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gopalan.thayalan\Desktop\Month End Activities\Month End Close\7. July 2019\"/>
    </mc:Choice>
  </mc:AlternateContent>
  <xr:revisionPtr revIDLastSave="0" documentId="13_ncr:1_{ED07EC8A-9CE7-4CE6-AD96-F024AA9A4ACF}" xr6:coauthVersionLast="41" xr6:coauthVersionMax="41" xr10:uidLastSave="{00000000-0000-0000-0000-000000000000}"/>
  <bookViews>
    <workbookView xWindow="-120" yWindow="-120" windowWidth="29040" windowHeight="15840" tabRatio="618" xr2:uid="{0420241A-D8A3-4BF8-9A61-FAB83B6BB6A8}"/>
  </bookViews>
  <sheets>
    <sheet name="Freight Out" sheetId="1" r:id="rId1"/>
    <sheet name="JULY Actuals" sheetId="6" state="hidden" r:id="rId2"/>
    <sheet name="July Contra Actuals" sheetId="7" state="hidden" r:id="rId3"/>
    <sheet name="APAC 28.6.2019" sheetId="2" state="hidden" r:id="rId4"/>
    <sheet name="June Actuals" sheetId="3" state="hidden" r:id="rId5"/>
    <sheet name="Korea Dom Contra" sheetId="4" state="hidden" r:id="rId6"/>
    <sheet name="7.9.2019" sheetId="5" state="hidden" r:id="rId7"/>
  </sheets>
  <externalReferences>
    <externalReference r:id="rId8"/>
  </externalReferences>
  <definedNames>
    <definedName name="_xlnm._FilterDatabase" localSheetId="3" hidden="1">'APAC 28.6.2019'!$B$3:$B$71</definedName>
    <definedName name="Account_Details" localSheetId="2">'July Contra Actuals'!$A$1:$P$11</definedName>
    <definedName name="_xlnm.Print_Area" localSheetId="6">'7.9.2019'!$A$1:$Y$34</definedName>
    <definedName name="_xlnm.Print_Titles" localSheetId="6">'7.9.2019'!$4:$9,'7.9.2019'!$A:$E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5" i="7" l="1"/>
  <c r="L15" i="7"/>
  <c r="L14" i="7"/>
  <c r="M14" i="7" s="1"/>
  <c r="H7" i="1"/>
  <c r="H6" i="1"/>
  <c r="H5" i="1"/>
  <c r="C16" i="6"/>
  <c r="B16" i="6"/>
  <c r="B15" i="6"/>
  <c r="B14" i="6"/>
  <c r="B13" i="6"/>
  <c r="H25" i="1"/>
  <c r="H13" i="1" l="1"/>
  <c r="H18" i="1" s="1"/>
  <c r="H10" i="1"/>
  <c r="W7" i="1" s="1"/>
  <c r="H15" i="1"/>
  <c r="N15" i="1" s="1"/>
  <c r="H14" i="1"/>
  <c r="H22" i="1" s="1"/>
  <c r="H16" i="1"/>
  <c r="H24" i="1" s="1"/>
  <c r="C14" i="6"/>
  <c r="C15" i="6"/>
  <c r="C13" i="6"/>
  <c r="H21" i="1" l="1"/>
  <c r="H23" i="1"/>
  <c r="W5" i="1"/>
  <c r="W6" i="1"/>
  <c r="H26" i="1"/>
  <c r="G17" i="1" l="1"/>
  <c r="G16" i="1"/>
  <c r="N16" i="1" s="1"/>
  <c r="G14" i="1"/>
  <c r="N14" i="1" s="1"/>
  <c r="G13" i="1"/>
  <c r="G9" i="1"/>
  <c r="G8" i="1"/>
  <c r="G6" i="1"/>
  <c r="N6" i="1" s="1"/>
  <c r="G5" i="1"/>
  <c r="G21" i="1" l="1"/>
  <c r="G25" i="1"/>
  <c r="G24" i="1"/>
  <c r="G18" i="1"/>
  <c r="P10" i="1"/>
  <c r="G14" i="3"/>
  <c r="F11" i="3" s="1"/>
  <c r="G22" i="1"/>
  <c r="O16" i="1"/>
  <c r="F39" i="4"/>
  <c r="F38" i="4"/>
  <c r="C29" i="3"/>
  <c r="G7" i="1"/>
  <c r="G23" i="1" s="1"/>
  <c r="F22" i="1"/>
  <c r="AS78" i="2"/>
  <c r="AH78" i="2"/>
  <c r="AT78" i="2" s="1"/>
  <c r="AG78" i="2"/>
  <c r="AF78" i="2"/>
  <c r="AE78" i="2"/>
  <c r="AD78" i="2"/>
  <c r="X78" i="2"/>
  <c r="W78" i="2"/>
  <c r="AH77" i="2"/>
  <c r="AT77" i="2" s="1"/>
  <c r="AG77" i="2"/>
  <c r="AF77" i="2"/>
  <c r="AE77" i="2"/>
  <c r="AD77" i="2"/>
  <c r="AC77" i="2"/>
  <c r="AU77" i="2" s="1"/>
  <c r="AS76" i="2"/>
  <c r="AH76" i="2"/>
  <c r="AT76" i="2" s="1"/>
  <c r="AG76" i="2"/>
  <c r="AF76" i="2"/>
  <c r="AE76" i="2"/>
  <c r="AD76" i="2"/>
  <c r="X76" i="2"/>
  <c r="W76" i="2"/>
  <c r="AU75" i="2"/>
  <c r="AH75" i="2"/>
  <c r="AT75" i="2" s="1"/>
  <c r="AG75" i="2"/>
  <c r="AF75" i="2"/>
  <c r="AE75" i="2"/>
  <c r="AD75" i="2"/>
  <c r="AU74" i="2"/>
  <c r="AH74" i="2"/>
  <c r="AT74" i="2" s="1"/>
  <c r="AG74" i="2"/>
  <c r="AF74" i="2"/>
  <c r="AE74" i="2"/>
  <c r="AD74" i="2"/>
  <c r="AU73" i="2"/>
  <c r="AH73" i="2"/>
  <c r="AT73" i="2" s="1"/>
  <c r="AG73" i="2"/>
  <c r="AF73" i="2"/>
  <c r="AE73" i="2"/>
  <c r="AD73" i="2"/>
  <c r="AU72" i="2"/>
  <c r="AH72" i="2"/>
  <c r="AT72" i="2" s="1"/>
  <c r="AG72" i="2"/>
  <c r="AF72" i="2"/>
  <c r="AE72" i="2"/>
  <c r="AD72" i="2"/>
  <c r="AH71" i="2"/>
  <c r="AT71" i="2" s="1"/>
  <c r="AG71" i="2"/>
  <c r="AF71" i="2"/>
  <c r="AE71" i="2"/>
  <c r="AD71" i="2"/>
  <c r="AR70" i="2"/>
  <c r="AM70" i="2"/>
  <c r="AH70" i="2"/>
  <c r="AT70" i="2" s="1"/>
  <c r="AG70" i="2"/>
  <c r="AF70" i="2"/>
  <c r="AE70" i="2"/>
  <c r="AD70" i="2"/>
  <c r="J70" i="2"/>
  <c r="I70" i="2"/>
  <c r="H70" i="2"/>
  <c r="G70" i="2"/>
  <c r="F70" i="2"/>
  <c r="E70" i="2"/>
  <c r="D70" i="2"/>
  <c r="Z70" i="2" s="1"/>
  <c r="AT69" i="2"/>
  <c r="AL69" i="2"/>
  <c r="AL71" i="2" s="1"/>
  <c r="AK69" i="2"/>
  <c r="AK71" i="2" s="1"/>
  <c r="AJ69" i="2"/>
  <c r="AM69" i="2" s="1"/>
  <c r="AH69" i="2"/>
  <c r="AG69" i="2"/>
  <c r="AF69" i="2"/>
  <c r="AE69" i="2"/>
  <c r="AD69" i="2"/>
  <c r="C69" i="2"/>
  <c r="AR68" i="2"/>
  <c r="AM68" i="2"/>
  <c r="AH68" i="2"/>
  <c r="AT68" i="2" s="1"/>
  <c r="AG68" i="2"/>
  <c r="AF68" i="2"/>
  <c r="AE68" i="2"/>
  <c r="AD68" i="2"/>
  <c r="AB68" i="2"/>
  <c r="BC68" i="2" s="1"/>
  <c r="AA68" i="2"/>
  <c r="BB68" i="2" s="1"/>
  <c r="Z68" i="2"/>
  <c r="BA68" i="2" s="1"/>
  <c r="K68" i="2"/>
  <c r="AQ67" i="2"/>
  <c r="AQ69" i="2" s="1"/>
  <c r="AQ71" i="2" s="1"/>
  <c r="AP67" i="2"/>
  <c r="AP69" i="2" s="1"/>
  <c r="AP71" i="2" s="1"/>
  <c r="AO67" i="2"/>
  <c r="AM67" i="2"/>
  <c r="AH67" i="2"/>
  <c r="AT67" i="2" s="1"/>
  <c r="AG67" i="2"/>
  <c r="AF67" i="2"/>
  <c r="AE67" i="2"/>
  <c r="AD67" i="2"/>
  <c r="C67" i="2"/>
  <c r="BK66" i="2"/>
  <c r="BI66" i="2"/>
  <c r="BG66" i="2"/>
  <c r="AR66" i="2"/>
  <c r="AM66" i="2"/>
  <c r="BM66" i="2" s="1"/>
  <c r="AH66" i="2"/>
  <c r="AT66" i="2" s="1"/>
  <c r="AG66" i="2"/>
  <c r="AF66" i="2"/>
  <c r="AE66" i="2"/>
  <c r="AD66" i="2"/>
  <c r="J66" i="2"/>
  <c r="I66" i="2"/>
  <c r="H66" i="2"/>
  <c r="G66" i="2"/>
  <c r="F66" i="2"/>
  <c r="E66" i="2"/>
  <c r="D66" i="2"/>
  <c r="Z66" i="2" s="1"/>
  <c r="AR65" i="2"/>
  <c r="AM65" i="2"/>
  <c r="AH65" i="2"/>
  <c r="AT65" i="2" s="1"/>
  <c r="AG65" i="2"/>
  <c r="AF65" i="2"/>
  <c r="AE65" i="2"/>
  <c r="AD65" i="2"/>
  <c r="AB65" i="2"/>
  <c r="BC65" i="2" s="1"/>
  <c r="AA65" i="2"/>
  <c r="BB65" i="2" s="1"/>
  <c r="Z65" i="2"/>
  <c r="BA65" i="2" s="1"/>
  <c r="K65" i="2"/>
  <c r="AR64" i="2"/>
  <c r="AM64" i="2"/>
  <c r="AH64" i="2"/>
  <c r="AT64" i="2" s="1"/>
  <c r="AG64" i="2"/>
  <c r="AF64" i="2"/>
  <c r="AE64" i="2"/>
  <c r="AD64" i="2"/>
  <c r="J64" i="2"/>
  <c r="I64" i="2"/>
  <c r="H64" i="2"/>
  <c r="G64" i="2"/>
  <c r="F64" i="2"/>
  <c r="E64" i="2"/>
  <c r="D64" i="2"/>
  <c r="BC63" i="2"/>
  <c r="BB63" i="2"/>
  <c r="BA63" i="2"/>
  <c r="AR63" i="2"/>
  <c r="AM63" i="2"/>
  <c r="AH63" i="2"/>
  <c r="AT63" i="2" s="1"/>
  <c r="AG63" i="2"/>
  <c r="AF63" i="2"/>
  <c r="AE63" i="2"/>
  <c r="AD63" i="2"/>
  <c r="AC63" i="2"/>
  <c r="BD63" i="2" s="1"/>
  <c r="AU62" i="2"/>
  <c r="AH62" i="2"/>
  <c r="AT62" i="2" s="1"/>
  <c r="AG62" i="2"/>
  <c r="AF62" i="2"/>
  <c r="AE62" i="2"/>
  <c r="AD62" i="2"/>
  <c r="AH61" i="2"/>
  <c r="AT61" i="2" s="1"/>
  <c r="AG61" i="2"/>
  <c r="AF61" i="2"/>
  <c r="AE61" i="2"/>
  <c r="AD61" i="2"/>
  <c r="AV60" i="2"/>
  <c r="AQ60" i="2"/>
  <c r="AP60" i="2"/>
  <c r="AO60" i="2"/>
  <c r="AR60" i="2" s="1"/>
  <c r="AL60" i="2"/>
  <c r="AK60" i="2"/>
  <c r="AJ60" i="2"/>
  <c r="AH60" i="2"/>
  <c r="AT60" i="2" s="1"/>
  <c r="AG60" i="2"/>
  <c r="AF60" i="2"/>
  <c r="AE60" i="2"/>
  <c r="AD60" i="2"/>
  <c r="J60" i="2"/>
  <c r="I60" i="2"/>
  <c r="H60" i="2"/>
  <c r="G60" i="2"/>
  <c r="AA60" i="2" s="1"/>
  <c r="BB60" i="2" s="1"/>
  <c r="F60" i="2"/>
  <c r="E60" i="2"/>
  <c r="D60" i="2"/>
  <c r="AH59" i="2"/>
  <c r="AT59" i="2" s="1"/>
  <c r="AG59" i="2"/>
  <c r="AF59" i="2"/>
  <c r="AE59" i="2"/>
  <c r="AD59" i="2"/>
  <c r="AV58" i="2"/>
  <c r="AQ58" i="2"/>
  <c r="AP58" i="2"/>
  <c r="AO58" i="2"/>
  <c r="AL58" i="2"/>
  <c r="AK58" i="2"/>
  <c r="AJ58" i="2"/>
  <c r="AH58" i="2"/>
  <c r="AT58" i="2" s="1"/>
  <c r="AG58" i="2"/>
  <c r="AF58" i="2"/>
  <c r="AE58" i="2"/>
  <c r="AD58" i="2"/>
  <c r="J58" i="2"/>
  <c r="I58" i="2"/>
  <c r="H58" i="2"/>
  <c r="G58" i="2"/>
  <c r="F58" i="2"/>
  <c r="E58" i="2"/>
  <c r="D58" i="2"/>
  <c r="AH57" i="2"/>
  <c r="AT57" i="2" s="1"/>
  <c r="AG57" i="2"/>
  <c r="AF57" i="2"/>
  <c r="AE57" i="2"/>
  <c r="AD57" i="2"/>
  <c r="C57" i="2"/>
  <c r="AV56" i="2"/>
  <c r="AQ56" i="2"/>
  <c r="AP56" i="2"/>
  <c r="AO56" i="2"/>
  <c r="AL56" i="2"/>
  <c r="AK56" i="2"/>
  <c r="AJ56" i="2"/>
  <c r="AH56" i="2"/>
  <c r="AT56" i="2" s="1"/>
  <c r="AG56" i="2"/>
  <c r="AF56" i="2"/>
  <c r="AE56" i="2"/>
  <c r="AD56" i="2"/>
  <c r="J56" i="2"/>
  <c r="I56" i="2"/>
  <c r="H56" i="2"/>
  <c r="AB56" i="2" s="1"/>
  <c r="G56" i="2"/>
  <c r="F56" i="2"/>
  <c r="E56" i="2"/>
  <c r="D56" i="2"/>
  <c r="AV55" i="2"/>
  <c r="AQ55" i="2"/>
  <c r="AP55" i="2"/>
  <c r="AO55" i="2"/>
  <c r="AL55" i="2"/>
  <c r="AK55" i="2"/>
  <c r="AJ55" i="2"/>
  <c r="AH55" i="2"/>
  <c r="AT55" i="2" s="1"/>
  <c r="AG55" i="2"/>
  <c r="AF55" i="2"/>
  <c r="AE55" i="2"/>
  <c r="AD55" i="2"/>
  <c r="AB55" i="2"/>
  <c r="AA55" i="2"/>
  <c r="Z55" i="2"/>
  <c r="AC55" i="2" s="1"/>
  <c r="K55" i="2"/>
  <c r="AV54" i="2"/>
  <c r="AQ54" i="2"/>
  <c r="AP54" i="2"/>
  <c r="AO54" i="2"/>
  <c r="AL54" i="2"/>
  <c r="AK54" i="2"/>
  <c r="AJ54" i="2"/>
  <c r="AH54" i="2"/>
  <c r="AT54" i="2" s="1"/>
  <c r="AG54" i="2"/>
  <c r="AF54" i="2"/>
  <c r="AE54" i="2"/>
  <c r="AD54" i="2"/>
  <c r="L54" i="2"/>
  <c r="O60" i="2" s="1"/>
  <c r="J54" i="2"/>
  <c r="J57" i="2" s="1"/>
  <c r="I54" i="2"/>
  <c r="H54" i="2"/>
  <c r="G54" i="2"/>
  <c r="F54" i="2"/>
  <c r="E54" i="2"/>
  <c r="E57" i="2" s="1"/>
  <c r="D54" i="2"/>
  <c r="Z54" i="2" s="1"/>
  <c r="BC53" i="2"/>
  <c r="BB53" i="2"/>
  <c r="BA53" i="2"/>
  <c r="AR53" i="2"/>
  <c r="AM53" i="2"/>
  <c r="AH53" i="2"/>
  <c r="AT53" i="2" s="1"/>
  <c r="AG53" i="2"/>
  <c r="AF53" i="2"/>
  <c r="AE53" i="2"/>
  <c r="AD53" i="2"/>
  <c r="AC53" i="2"/>
  <c r="AY53" i="2" s="1"/>
  <c r="AU52" i="2"/>
  <c r="AH52" i="2"/>
  <c r="AT52" i="2" s="1"/>
  <c r="AW52" i="2" s="1"/>
  <c r="AG52" i="2"/>
  <c r="AF52" i="2"/>
  <c r="AE52" i="2"/>
  <c r="AD52" i="2"/>
  <c r="AH51" i="2"/>
  <c r="AT51" i="2" s="1"/>
  <c r="AG51" i="2"/>
  <c r="AF51" i="2"/>
  <c r="AE51" i="2"/>
  <c r="AD51" i="2"/>
  <c r="AV50" i="2"/>
  <c r="AQ50" i="2"/>
  <c r="AP50" i="2"/>
  <c r="AO50" i="2"/>
  <c r="AL50" i="2"/>
  <c r="AK50" i="2"/>
  <c r="AJ50" i="2"/>
  <c r="AH50" i="2"/>
  <c r="AT50" i="2" s="1"/>
  <c r="AG50" i="2"/>
  <c r="AF50" i="2"/>
  <c r="AE50" i="2"/>
  <c r="AD50" i="2"/>
  <c r="J50" i="2"/>
  <c r="I50" i="2"/>
  <c r="H50" i="2"/>
  <c r="G50" i="2"/>
  <c r="F50" i="2"/>
  <c r="E50" i="2"/>
  <c r="D50" i="2"/>
  <c r="C50" i="2"/>
  <c r="AH49" i="2"/>
  <c r="AT49" i="2" s="1"/>
  <c r="AG49" i="2"/>
  <c r="AF49" i="2"/>
  <c r="AE49" i="2"/>
  <c r="AD49" i="2"/>
  <c r="AR48" i="2"/>
  <c r="AL48" i="2"/>
  <c r="AK48" i="2"/>
  <c r="AJ48" i="2"/>
  <c r="AH48" i="2"/>
  <c r="AT48" i="2" s="1"/>
  <c r="AG48" i="2"/>
  <c r="AF48" i="2"/>
  <c r="AE48" i="2"/>
  <c r="AD48" i="2"/>
  <c r="AB48" i="2"/>
  <c r="BC48" i="2" s="1"/>
  <c r="AA48" i="2"/>
  <c r="Z48" i="2"/>
  <c r="AH47" i="2"/>
  <c r="AT47" i="2" s="1"/>
  <c r="AG47" i="2"/>
  <c r="AF47" i="2"/>
  <c r="AE47" i="2"/>
  <c r="AD47" i="2"/>
  <c r="AV46" i="2"/>
  <c r="AQ46" i="2"/>
  <c r="AP46" i="2"/>
  <c r="AO46" i="2"/>
  <c r="AL46" i="2"/>
  <c r="AK46" i="2"/>
  <c r="AJ46" i="2"/>
  <c r="AH46" i="2"/>
  <c r="AT46" i="2" s="1"/>
  <c r="AG46" i="2"/>
  <c r="AF46" i="2"/>
  <c r="AE46" i="2"/>
  <c r="AD46" i="2"/>
  <c r="J46" i="2"/>
  <c r="I46" i="2"/>
  <c r="H46" i="2"/>
  <c r="G46" i="2"/>
  <c r="F46" i="2"/>
  <c r="E46" i="2"/>
  <c r="D46" i="2"/>
  <c r="C46" i="2"/>
  <c r="AV45" i="2"/>
  <c r="AQ45" i="2"/>
  <c r="AP45" i="2"/>
  <c r="AO45" i="2"/>
  <c r="AL45" i="2"/>
  <c r="AK45" i="2"/>
  <c r="AJ45" i="2"/>
  <c r="AH45" i="2"/>
  <c r="AT45" i="2" s="1"/>
  <c r="AG45" i="2"/>
  <c r="AF45" i="2"/>
  <c r="AE45" i="2"/>
  <c r="AD45" i="2"/>
  <c r="AB45" i="2"/>
  <c r="BC45" i="2" s="1"/>
  <c r="AA45" i="2"/>
  <c r="Z45" i="2"/>
  <c r="BA45" i="2" s="1"/>
  <c r="K45" i="2"/>
  <c r="AV44" i="2"/>
  <c r="AQ44" i="2"/>
  <c r="AP44" i="2"/>
  <c r="AO44" i="2"/>
  <c r="AO47" i="2" s="1"/>
  <c r="AL44" i="2"/>
  <c r="AK44" i="2"/>
  <c r="AJ44" i="2"/>
  <c r="AJ47" i="2" s="1"/>
  <c r="AH44" i="2"/>
  <c r="AT44" i="2" s="1"/>
  <c r="AG44" i="2"/>
  <c r="AF44" i="2"/>
  <c r="AE44" i="2"/>
  <c r="AD44" i="2"/>
  <c r="L44" i="2"/>
  <c r="R50" i="2" s="1"/>
  <c r="J44" i="2"/>
  <c r="I44" i="2"/>
  <c r="H44" i="2"/>
  <c r="G44" i="2"/>
  <c r="G47" i="2" s="1"/>
  <c r="G49" i="2" s="1"/>
  <c r="F44" i="2"/>
  <c r="P44" i="2" s="1"/>
  <c r="E44" i="2"/>
  <c r="D44" i="2"/>
  <c r="C44" i="2"/>
  <c r="M44" i="2" s="1"/>
  <c r="BC43" i="2"/>
  <c r="BB43" i="2"/>
  <c r="BA43" i="2"/>
  <c r="AR43" i="2"/>
  <c r="AM43" i="2"/>
  <c r="AH43" i="2"/>
  <c r="AT43" i="2" s="1"/>
  <c r="AG43" i="2"/>
  <c r="AF43" i="2"/>
  <c r="AE43" i="2"/>
  <c r="AD43" i="2"/>
  <c r="AC43" i="2"/>
  <c r="AU43" i="2" s="1"/>
  <c r="AU42" i="2"/>
  <c r="AH42" i="2"/>
  <c r="AT42" i="2" s="1"/>
  <c r="AG42" i="2"/>
  <c r="AF42" i="2"/>
  <c r="AE42" i="2"/>
  <c r="AD42" i="2"/>
  <c r="AH41" i="2"/>
  <c r="AT41" i="2" s="1"/>
  <c r="AG41" i="2"/>
  <c r="AF41" i="2"/>
  <c r="AE41" i="2"/>
  <c r="AD41" i="2"/>
  <c r="AV40" i="2"/>
  <c r="AQ40" i="2"/>
  <c r="AP40" i="2"/>
  <c r="AO40" i="2"/>
  <c r="AL40" i="2"/>
  <c r="AK40" i="2"/>
  <c r="AJ40" i="2"/>
  <c r="AH40" i="2"/>
  <c r="AT40" i="2" s="1"/>
  <c r="AG40" i="2"/>
  <c r="AF40" i="2"/>
  <c r="AE40" i="2"/>
  <c r="AD40" i="2"/>
  <c r="J40" i="2"/>
  <c r="AB40" i="2" s="1"/>
  <c r="I40" i="2"/>
  <c r="H40" i="2"/>
  <c r="G40" i="2"/>
  <c r="F40" i="2"/>
  <c r="E40" i="2"/>
  <c r="D40" i="2"/>
  <c r="C40" i="2"/>
  <c r="AH39" i="2"/>
  <c r="AT39" i="2" s="1"/>
  <c r="AG39" i="2"/>
  <c r="AF39" i="2"/>
  <c r="AE39" i="2"/>
  <c r="AD39" i="2"/>
  <c r="AR38" i="2"/>
  <c r="AL38" i="2"/>
  <c r="AK38" i="2"/>
  <c r="AJ38" i="2"/>
  <c r="AH38" i="2"/>
  <c r="AT38" i="2" s="1"/>
  <c r="AG38" i="2"/>
  <c r="AF38" i="2"/>
  <c r="AE38" i="2"/>
  <c r="AD38" i="2"/>
  <c r="AB38" i="2"/>
  <c r="AA38" i="2"/>
  <c r="Z38" i="2"/>
  <c r="K38" i="2"/>
  <c r="AH37" i="2"/>
  <c r="AT37" i="2" s="1"/>
  <c r="AG37" i="2"/>
  <c r="AF37" i="2"/>
  <c r="AE37" i="2"/>
  <c r="AD37" i="2"/>
  <c r="AV36" i="2"/>
  <c r="AQ36" i="2"/>
  <c r="AP36" i="2"/>
  <c r="AO36" i="2"/>
  <c r="AL36" i="2"/>
  <c r="AK36" i="2"/>
  <c r="AJ36" i="2"/>
  <c r="AH36" i="2"/>
  <c r="AT36" i="2" s="1"/>
  <c r="AG36" i="2"/>
  <c r="AF36" i="2"/>
  <c r="AE36" i="2"/>
  <c r="AD36" i="2"/>
  <c r="J36" i="2"/>
  <c r="I36" i="2"/>
  <c r="H36" i="2"/>
  <c r="G36" i="2"/>
  <c r="F36" i="2"/>
  <c r="E36" i="2"/>
  <c r="D36" i="2"/>
  <c r="C36" i="2"/>
  <c r="AV35" i="2"/>
  <c r="AQ35" i="2"/>
  <c r="AP35" i="2"/>
  <c r="AO35" i="2"/>
  <c r="AL35" i="2"/>
  <c r="BC35" i="2" s="1"/>
  <c r="AK35" i="2"/>
  <c r="AJ35" i="2"/>
  <c r="AH35" i="2"/>
  <c r="AT35" i="2" s="1"/>
  <c r="AG35" i="2"/>
  <c r="AF35" i="2"/>
  <c r="AE35" i="2"/>
  <c r="AD35" i="2"/>
  <c r="AB35" i="2"/>
  <c r="AA35" i="2"/>
  <c r="Z35" i="2"/>
  <c r="AC35" i="2" s="1"/>
  <c r="K35" i="2"/>
  <c r="AV34" i="2"/>
  <c r="AQ34" i="2"/>
  <c r="AP34" i="2"/>
  <c r="AO34" i="2"/>
  <c r="AL34" i="2"/>
  <c r="AK34" i="2"/>
  <c r="AJ34" i="2"/>
  <c r="AH34" i="2"/>
  <c r="AT34" i="2" s="1"/>
  <c r="AG34" i="2"/>
  <c r="AF34" i="2"/>
  <c r="AE34" i="2"/>
  <c r="AD34" i="2"/>
  <c r="L34" i="2"/>
  <c r="M35" i="2" s="1"/>
  <c r="J34" i="2"/>
  <c r="J37" i="2" s="1"/>
  <c r="I34" i="2"/>
  <c r="H34" i="2"/>
  <c r="H37" i="2" s="1"/>
  <c r="G34" i="2"/>
  <c r="Q34" i="2" s="1"/>
  <c r="F34" i="2"/>
  <c r="E34" i="2"/>
  <c r="D34" i="2"/>
  <c r="C34" i="2"/>
  <c r="F7" i="1" s="1"/>
  <c r="BC33" i="2"/>
  <c r="BB33" i="2"/>
  <c r="BA33" i="2"/>
  <c r="AU33" i="2"/>
  <c r="AR33" i="2"/>
  <c r="AM33" i="2"/>
  <c r="AH33" i="2"/>
  <c r="AT33" i="2" s="1"/>
  <c r="AW33" i="2" s="1"/>
  <c r="AG33" i="2"/>
  <c r="AF33" i="2"/>
  <c r="AE33" i="2"/>
  <c r="AD33" i="2"/>
  <c r="AC33" i="2"/>
  <c r="BD33" i="2" s="1"/>
  <c r="K33" i="2"/>
  <c r="AU32" i="2"/>
  <c r="AH32" i="2"/>
  <c r="AT32" i="2" s="1"/>
  <c r="AW32" i="2" s="1"/>
  <c r="AG32" i="2"/>
  <c r="AF32" i="2"/>
  <c r="AE32" i="2"/>
  <c r="AD32" i="2"/>
  <c r="AH31" i="2"/>
  <c r="AT31" i="2" s="1"/>
  <c r="AG31" i="2"/>
  <c r="AF31" i="2"/>
  <c r="AE31" i="2"/>
  <c r="AD31" i="2"/>
  <c r="AV30" i="2"/>
  <c r="AL30" i="2"/>
  <c r="AK30" i="2"/>
  <c r="AJ30" i="2"/>
  <c r="AH30" i="2"/>
  <c r="AT30" i="2" s="1"/>
  <c r="AG30" i="2"/>
  <c r="AF30" i="2"/>
  <c r="AE30" i="2"/>
  <c r="AD30" i="2"/>
  <c r="AH29" i="2"/>
  <c r="AT29" i="2" s="1"/>
  <c r="AG29" i="2"/>
  <c r="AF29" i="2"/>
  <c r="AE29" i="2"/>
  <c r="AD29" i="2"/>
  <c r="AV28" i="2"/>
  <c r="AL28" i="2"/>
  <c r="AK28" i="2"/>
  <c r="AJ28" i="2"/>
  <c r="AH28" i="2"/>
  <c r="AT28" i="2" s="1"/>
  <c r="AG28" i="2"/>
  <c r="AF28" i="2"/>
  <c r="AE28" i="2"/>
  <c r="AD28" i="2"/>
  <c r="AH27" i="2"/>
  <c r="AT27" i="2" s="1"/>
  <c r="AG27" i="2"/>
  <c r="AF27" i="2"/>
  <c r="AE27" i="2"/>
  <c r="AD27" i="2"/>
  <c r="AV26" i="2"/>
  <c r="AV6" i="2" s="1"/>
  <c r="AL26" i="2"/>
  <c r="AK26" i="2"/>
  <c r="AJ26" i="2"/>
  <c r="AH26" i="2"/>
  <c r="AT26" i="2" s="1"/>
  <c r="AG26" i="2"/>
  <c r="AF26" i="2"/>
  <c r="AE26" i="2"/>
  <c r="AD26" i="2"/>
  <c r="AV25" i="2"/>
  <c r="AT25" i="2"/>
  <c r="AL25" i="2"/>
  <c r="AK25" i="2"/>
  <c r="AJ25" i="2"/>
  <c r="AH25" i="2"/>
  <c r="AG25" i="2"/>
  <c r="AF25" i="2"/>
  <c r="AE25" i="2"/>
  <c r="AD25" i="2"/>
  <c r="J25" i="2"/>
  <c r="I25" i="2"/>
  <c r="H25" i="2"/>
  <c r="AB25" i="2" s="1"/>
  <c r="BC25" i="2" s="1"/>
  <c r="G25" i="2"/>
  <c r="F25" i="2"/>
  <c r="E25" i="2"/>
  <c r="AA25" i="2" s="1"/>
  <c r="BB25" i="2" s="1"/>
  <c r="D25" i="2"/>
  <c r="C25" i="2"/>
  <c r="AV24" i="2"/>
  <c r="AL24" i="2"/>
  <c r="AK24" i="2"/>
  <c r="AJ24" i="2"/>
  <c r="AH24" i="2"/>
  <c r="AT24" i="2" s="1"/>
  <c r="AG24" i="2"/>
  <c r="AF24" i="2"/>
  <c r="AE24" i="2"/>
  <c r="AD24" i="2"/>
  <c r="BC23" i="2"/>
  <c r="BB23" i="2"/>
  <c r="BA23" i="2"/>
  <c r="AR23" i="2"/>
  <c r="AM23" i="2"/>
  <c r="AH23" i="2"/>
  <c r="AT23" i="2" s="1"/>
  <c r="AG23" i="2"/>
  <c r="AF23" i="2"/>
  <c r="AE23" i="2"/>
  <c r="AD23" i="2"/>
  <c r="AC23" i="2"/>
  <c r="BD23" i="2" s="1"/>
  <c r="AU22" i="2"/>
  <c r="AH22" i="2"/>
  <c r="AT22" i="2" s="1"/>
  <c r="AW22" i="2" s="1"/>
  <c r="AG22" i="2"/>
  <c r="AF22" i="2"/>
  <c r="AE22" i="2"/>
  <c r="AD22" i="2"/>
  <c r="AH21" i="2"/>
  <c r="AT21" i="2" s="1"/>
  <c r="AG21" i="2"/>
  <c r="AF21" i="2"/>
  <c r="AE21" i="2"/>
  <c r="AD21" i="2"/>
  <c r="AV20" i="2"/>
  <c r="AQ20" i="2"/>
  <c r="AP20" i="2"/>
  <c r="AO20" i="2"/>
  <c r="AL20" i="2"/>
  <c r="AK20" i="2"/>
  <c r="AJ20" i="2"/>
  <c r="AH20" i="2"/>
  <c r="AT20" i="2" s="1"/>
  <c r="AG20" i="2"/>
  <c r="AF20" i="2"/>
  <c r="AE20" i="2"/>
  <c r="AD20" i="2"/>
  <c r="J20" i="2"/>
  <c r="I20" i="2"/>
  <c r="H20" i="2"/>
  <c r="G20" i="2"/>
  <c r="F20" i="2"/>
  <c r="E20" i="2"/>
  <c r="D20" i="2"/>
  <c r="C20" i="2"/>
  <c r="AH19" i="2"/>
  <c r="AT19" i="2" s="1"/>
  <c r="AG19" i="2"/>
  <c r="AF19" i="2"/>
  <c r="AE19" i="2"/>
  <c r="AD19" i="2"/>
  <c r="AV18" i="2"/>
  <c r="AQ18" i="2"/>
  <c r="AP18" i="2"/>
  <c r="AO18" i="2"/>
  <c r="AL18" i="2"/>
  <c r="AK18" i="2"/>
  <c r="AJ18" i="2"/>
  <c r="AH18" i="2"/>
  <c r="AT18" i="2" s="1"/>
  <c r="AG18" i="2"/>
  <c r="AF18" i="2"/>
  <c r="AE18" i="2"/>
  <c r="AD18" i="2"/>
  <c r="J18" i="2"/>
  <c r="I18" i="2"/>
  <c r="H18" i="2"/>
  <c r="G18" i="2"/>
  <c r="F18" i="2"/>
  <c r="E18" i="2"/>
  <c r="D18" i="2"/>
  <c r="AH17" i="2"/>
  <c r="AT17" i="2" s="1"/>
  <c r="AG17" i="2"/>
  <c r="AF17" i="2"/>
  <c r="AE17" i="2"/>
  <c r="AD17" i="2"/>
  <c r="AV16" i="2"/>
  <c r="AQ16" i="2"/>
  <c r="AP16" i="2"/>
  <c r="AO16" i="2"/>
  <c r="AL16" i="2"/>
  <c r="AK16" i="2"/>
  <c r="AJ16" i="2"/>
  <c r="AH16" i="2"/>
  <c r="AT16" i="2" s="1"/>
  <c r="AG16" i="2"/>
  <c r="AF16" i="2"/>
  <c r="AE16" i="2"/>
  <c r="AD16" i="2"/>
  <c r="J16" i="2"/>
  <c r="I16" i="2"/>
  <c r="H16" i="2"/>
  <c r="G16" i="2"/>
  <c r="F16" i="2"/>
  <c r="E16" i="2"/>
  <c r="D16" i="2"/>
  <c r="C16" i="2"/>
  <c r="F13" i="1" s="1"/>
  <c r="N13" i="1" s="1"/>
  <c r="AV15" i="2"/>
  <c r="AQ15" i="2"/>
  <c r="AQ25" i="2" s="1"/>
  <c r="AP15" i="2"/>
  <c r="AP25" i="2" s="1"/>
  <c r="AO15" i="2"/>
  <c r="AO25" i="2" s="1"/>
  <c r="AL15" i="2"/>
  <c r="BC15" i="2" s="1"/>
  <c r="AK15" i="2"/>
  <c r="BB15" i="2" s="1"/>
  <c r="AJ15" i="2"/>
  <c r="AH15" i="2"/>
  <c r="AT15" i="2" s="1"/>
  <c r="AG15" i="2"/>
  <c r="AF15" i="2"/>
  <c r="AE15" i="2"/>
  <c r="AD15" i="2"/>
  <c r="AC15" i="2"/>
  <c r="AU15" i="2" s="1"/>
  <c r="K15" i="2"/>
  <c r="AV14" i="2"/>
  <c r="AQ14" i="2"/>
  <c r="AP14" i="2"/>
  <c r="AO14" i="2"/>
  <c r="AL14" i="2"/>
  <c r="AK14" i="2"/>
  <c r="AJ14" i="2"/>
  <c r="AH14" i="2"/>
  <c r="AT14" i="2" s="1"/>
  <c r="AG14" i="2"/>
  <c r="AF14" i="2"/>
  <c r="AE14" i="2"/>
  <c r="AD14" i="2"/>
  <c r="J14" i="2"/>
  <c r="J17" i="2" s="1"/>
  <c r="I14" i="2"/>
  <c r="H14" i="2"/>
  <c r="G14" i="2"/>
  <c r="F14" i="2"/>
  <c r="E14" i="2"/>
  <c r="D14" i="2"/>
  <c r="C14" i="2"/>
  <c r="F5" i="1" s="1"/>
  <c r="N5" i="1" s="1"/>
  <c r="BC13" i="2"/>
  <c r="BB13" i="2"/>
  <c r="BA13" i="2"/>
  <c r="AR13" i="2"/>
  <c r="AM13" i="2"/>
  <c r="AH13" i="2"/>
  <c r="AT13" i="2" s="1"/>
  <c r="AG13" i="2"/>
  <c r="AF13" i="2"/>
  <c r="AE13" i="2"/>
  <c r="AD13" i="2"/>
  <c r="AC13" i="2"/>
  <c r="BD13" i="2" s="1"/>
  <c r="AU12" i="2"/>
  <c r="AH12" i="2"/>
  <c r="AT12" i="2" s="1"/>
  <c r="AW12" i="2" s="1"/>
  <c r="AG12" i="2"/>
  <c r="AF12" i="2"/>
  <c r="AE12" i="2"/>
  <c r="AD12" i="2"/>
  <c r="AH11" i="2"/>
  <c r="AT11" i="2" s="1"/>
  <c r="AG11" i="2"/>
  <c r="AF11" i="2"/>
  <c r="AE11" i="2"/>
  <c r="AD11" i="2"/>
  <c r="AV10" i="2"/>
  <c r="AQ10" i="2"/>
  <c r="AQ30" i="2" s="1"/>
  <c r="AP10" i="2"/>
  <c r="AO10" i="2"/>
  <c r="AL10" i="2"/>
  <c r="AK10" i="2"/>
  <c r="AJ10" i="2"/>
  <c r="AH10" i="2"/>
  <c r="AT10" i="2" s="1"/>
  <c r="AG10" i="2"/>
  <c r="AF10" i="2"/>
  <c r="AE10" i="2"/>
  <c r="AD10" i="2"/>
  <c r="J10" i="2"/>
  <c r="J30" i="2" s="1"/>
  <c r="I10" i="2"/>
  <c r="I30" i="2" s="1"/>
  <c r="H10" i="2"/>
  <c r="G10" i="2"/>
  <c r="G30" i="2" s="1"/>
  <c r="F10" i="2"/>
  <c r="E10" i="2"/>
  <c r="D10" i="2"/>
  <c r="C10" i="2"/>
  <c r="AH9" i="2"/>
  <c r="AT9" i="2" s="1"/>
  <c r="AG9" i="2"/>
  <c r="AF9" i="2"/>
  <c r="AE9" i="2"/>
  <c r="AD9" i="2"/>
  <c r="AQ8" i="2"/>
  <c r="AP8" i="2"/>
  <c r="AP28" i="2" s="1"/>
  <c r="AO8" i="2"/>
  <c r="AL8" i="2"/>
  <c r="AK8" i="2"/>
  <c r="AJ8" i="2"/>
  <c r="AH8" i="2"/>
  <c r="AT8" i="2" s="1"/>
  <c r="AG8" i="2"/>
  <c r="AF8" i="2"/>
  <c r="AE8" i="2"/>
  <c r="AD8" i="2"/>
  <c r="J8" i="2"/>
  <c r="I8" i="2"/>
  <c r="H8" i="2"/>
  <c r="G8" i="2"/>
  <c r="F8" i="2"/>
  <c r="E8" i="2"/>
  <c r="D8" i="2"/>
  <c r="C8" i="2"/>
  <c r="C28" i="2" s="1"/>
  <c r="AH7" i="2"/>
  <c r="AT7" i="2" s="1"/>
  <c r="AG7" i="2"/>
  <c r="AF7" i="2"/>
  <c r="AE7" i="2"/>
  <c r="AD7" i="2"/>
  <c r="AQ6" i="2"/>
  <c r="AP6" i="2"/>
  <c r="AP26" i="2" s="1"/>
  <c r="AO6" i="2"/>
  <c r="AL6" i="2"/>
  <c r="AK6" i="2"/>
  <c r="AJ6" i="2"/>
  <c r="AH6" i="2"/>
  <c r="AT6" i="2" s="1"/>
  <c r="AG6" i="2"/>
  <c r="AF6" i="2"/>
  <c r="AE6" i="2"/>
  <c r="AD6" i="2"/>
  <c r="J6" i="2"/>
  <c r="J26" i="2" s="1"/>
  <c r="I6" i="2"/>
  <c r="H6" i="2"/>
  <c r="G6" i="2"/>
  <c r="F6" i="2"/>
  <c r="E6" i="2"/>
  <c r="D6" i="2"/>
  <c r="C6" i="2"/>
  <c r="F17" i="1" s="1"/>
  <c r="N17" i="1" s="1"/>
  <c r="AR5" i="2"/>
  <c r="AL5" i="2"/>
  <c r="AK5" i="2"/>
  <c r="AJ5" i="2"/>
  <c r="AH5" i="2"/>
  <c r="AT5" i="2" s="1"/>
  <c r="AG5" i="2"/>
  <c r="AF5" i="2"/>
  <c r="AE5" i="2"/>
  <c r="AD5" i="2"/>
  <c r="AB5" i="2"/>
  <c r="BC5" i="2" s="1"/>
  <c r="AA5" i="2"/>
  <c r="Z5" i="2"/>
  <c r="K5" i="2"/>
  <c r="AQ4" i="2"/>
  <c r="AP4" i="2"/>
  <c r="AP24" i="2" s="1"/>
  <c r="AO4" i="2"/>
  <c r="AL4" i="2"/>
  <c r="AK4" i="2"/>
  <c r="AJ4" i="2"/>
  <c r="AH4" i="2"/>
  <c r="AT4" i="2" s="1"/>
  <c r="AX4" i="2" s="1"/>
  <c r="AG4" i="2"/>
  <c r="AF4" i="2"/>
  <c r="AE4" i="2"/>
  <c r="AD4" i="2"/>
  <c r="N4" i="2"/>
  <c r="J4" i="2"/>
  <c r="J7" i="2" s="1"/>
  <c r="I4" i="2"/>
  <c r="H4" i="2"/>
  <c r="G4" i="2"/>
  <c r="G7" i="2" s="1"/>
  <c r="Q7" i="2" s="1"/>
  <c r="F4" i="2"/>
  <c r="E4" i="2"/>
  <c r="D4" i="2"/>
  <c r="D7" i="2" s="1"/>
  <c r="C4" i="2"/>
  <c r="L3" i="2"/>
  <c r="P5" i="2" s="1"/>
  <c r="X2" i="2"/>
  <c r="W1" i="2"/>
  <c r="X1" i="2" s="1"/>
  <c r="V15" i="2" s="1"/>
  <c r="G26" i="1" l="1"/>
  <c r="G10" i="1"/>
  <c r="S15" i="1"/>
  <c r="S16" i="1" s="1"/>
  <c r="N7" i="1"/>
  <c r="N22" i="1"/>
  <c r="AM71" i="2"/>
  <c r="AM15" i="2"/>
  <c r="AM25" i="2"/>
  <c r="AM34" i="2"/>
  <c r="N36" i="2"/>
  <c r="BD43" i="2"/>
  <c r="AU53" i="2"/>
  <c r="AA66" i="2"/>
  <c r="AM28" i="2"/>
  <c r="AQ17" i="2"/>
  <c r="AQ19" i="2" s="1"/>
  <c r="AQ21" i="2" s="1"/>
  <c r="AV8" i="2"/>
  <c r="T37" i="2"/>
  <c r="AR34" i="2"/>
  <c r="Z46" i="2"/>
  <c r="AU13" i="2"/>
  <c r="AB36" i="2"/>
  <c r="J67" i="2"/>
  <c r="J69" i="2" s="1"/>
  <c r="AA8" i="2"/>
  <c r="BB8" i="2" s="1"/>
  <c r="AO30" i="2"/>
  <c r="S34" i="2"/>
  <c r="P46" i="2"/>
  <c r="BK56" i="2"/>
  <c r="F7" i="2"/>
  <c r="P7" i="2" s="1"/>
  <c r="AQ26" i="2"/>
  <c r="AP30" i="2"/>
  <c r="AR30" i="2" s="1"/>
  <c r="AQ28" i="2"/>
  <c r="AK27" i="2"/>
  <c r="AK29" i="2" s="1"/>
  <c r="AK31" i="2" s="1"/>
  <c r="AO24" i="2"/>
  <c r="AO27" i="2" s="1"/>
  <c r="AB8" i="2"/>
  <c r="AB60" i="2"/>
  <c r="BC60" i="2" s="1"/>
  <c r="AJ71" i="2"/>
  <c r="I7" i="2"/>
  <c r="AV27" i="2"/>
  <c r="AM26" i="2"/>
  <c r="AA34" i="2"/>
  <c r="BB34" i="2" s="1"/>
  <c r="AM38" i="2"/>
  <c r="AR54" i="2"/>
  <c r="D67" i="2"/>
  <c r="AK17" i="2"/>
  <c r="AK19" i="2" s="1"/>
  <c r="AK21" i="2" s="1"/>
  <c r="AR16" i="2"/>
  <c r="Z25" i="2"/>
  <c r="Z36" i="2"/>
  <c r="AW42" i="2"/>
  <c r="AM50" i="2"/>
  <c r="AR67" i="2"/>
  <c r="AX35" i="2"/>
  <c r="AU35" i="2"/>
  <c r="AW35" i="2" s="1"/>
  <c r="Z4" i="2"/>
  <c r="G17" i="2"/>
  <c r="G19" i="2" s="1"/>
  <c r="AO17" i="2"/>
  <c r="AO19" i="2" s="1"/>
  <c r="F47" i="2"/>
  <c r="AB50" i="2"/>
  <c r="BC50" i="2" s="1"/>
  <c r="BC55" i="2"/>
  <c r="E67" i="2"/>
  <c r="AB70" i="2"/>
  <c r="BC70" i="2" s="1"/>
  <c r="P6" i="2"/>
  <c r="BK6" i="2"/>
  <c r="AM8" i="2"/>
  <c r="AP17" i="2"/>
  <c r="AP19" i="2" s="1"/>
  <c r="AP21" i="2" s="1"/>
  <c r="AK37" i="2"/>
  <c r="AK39" i="2" s="1"/>
  <c r="AK41" i="2" s="1"/>
  <c r="AV37" i="2"/>
  <c r="AV39" i="2" s="1"/>
  <c r="AV41" i="2" s="1"/>
  <c r="AM40" i="2"/>
  <c r="AK47" i="2"/>
  <c r="AK49" i="2" s="1"/>
  <c r="AK51" i="2" s="1"/>
  <c r="N46" i="2"/>
  <c r="AC48" i="2"/>
  <c r="BA48" i="2"/>
  <c r="AR55" i="2"/>
  <c r="AA4" i="2"/>
  <c r="BB4" i="2" s="1"/>
  <c r="AO26" i="2"/>
  <c r="AM30" i="2"/>
  <c r="I37" i="2"/>
  <c r="I39" i="2" s="1"/>
  <c r="I41" i="2" s="1"/>
  <c r="BK36" i="2"/>
  <c r="BA38" i="2"/>
  <c r="AA40" i="2"/>
  <c r="BB40" i="2" s="1"/>
  <c r="AL47" i="2"/>
  <c r="AL49" i="2" s="1"/>
  <c r="AL51" i="2" s="1"/>
  <c r="AK7" i="2"/>
  <c r="AK9" i="2" s="1"/>
  <c r="AK11" i="2" s="1"/>
  <c r="S6" i="2"/>
  <c r="R8" i="2"/>
  <c r="AO28" i="2"/>
  <c r="AR28" i="2" s="1"/>
  <c r="F30" i="2"/>
  <c r="AP37" i="2"/>
  <c r="AP39" i="2" s="1"/>
  <c r="AP41" i="2" s="1"/>
  <c r="T44" i="2"/>
  <c r="AP47" i="2"/>
  <c r="AP49" i="2" s="1"/>
  <c r="AP51" i="2" s="1"/>
  <c r="AR46" i="2"/>
  <c r="F57" i="2"/>
  <c r="F59" i="2" s="1"/>
  <c r="R4" i="2"/>
  <c r="AQ37" i="2"/>
  <c r="AQ39" i="2" s="1"/>
  <c r="AQ41" i="2" s="1"/>
  <c r="AR40" i="2"/>
  <c r="AQ47" i="2"/>
  <c r="AQ49" i="2" s="1"/>
  <c r="AQ51" i="2" s="1"/>
  <c r="AM45" i="2"/>
  <c r="AB46" i="2"/>
  <c r="BC46" i="2" s="1"/>
  <c r="AM54" i="2"/>
  <c r="AM5" i="2"/>
  <c r="BC8" i="2"/>
  <c r="R10" i="2"/>
  <c r="AJ27" i="2"/>
  <c r="AJ29" i="2" s="1"/>
  <c r="AM35" i="2"/>
  <c r="BD35" i="2" s="1"/>
  <c r="AV47" i="2"/>
  <c r="AV49" i="2" s="1"/>
  <c r="AV51" i="2" s="1"/>
  <c r="BB45" i="2"/>
  <c r="AA56" i="2"/>
  <c r="BB56" i="2" s="1"/>
  <c r="N58" i="2"/>
  <c r="AM58" i="2"/>
  <c r="AM60" i="2"/>
  <c r="BC40" i="2"/>
  <c r="I57" i="2"/>
  <c r="I59" i="2" s="1"/>
  <c r="M4" i="2"/>
  <c r="AM24" i="2"/>
  <c r="BM26" i="2" s="1"/>
  <c r="R36" i="2"/>
  <c r="AR36" i="2"/>
  <c r="AW43" i="2"/>
  <c r="AP57" i="2"/>
  <c r="AP59" i="2" s="1"/>
  <c r="AP61" i="2" s="1"/>
  <c r="AR56" i="2"/>
  <c r="AA70" i="2"/>
  <c r="BB70" i="2" s="1"/>
  <c r="AM48" i="2"/>
  <c r="AA54" i="2"/>
  <c r="BB54" i="2" s="1"/>
  <c r="BB5" i="2"/>
  <c r="AL17" i="2"/>
  <c r="AL19" i="2" s="1"/>
  <c r="AL21" i="2" s="1"/>
  <c r="AR18" i="2"/>
  <c r="AR20" i="2"/>
  <c r="F37" i="2"/>
  <c r="P37" i="2" s="1"/>
  <c r="AR35" i="2"/>
  <c r="AA44" i="2"/>
  <c r="BB44" i="2" s="1"/>
  <c r="AC45" i="2"/>
  <c r="O13" i="1"/>
  <c r="F18" i="1"/>
  <c r="N18" i="1" s="1"/>
  <c r="F23" i="1"/>
  <c r="N23" i="1" s="1"/>
  <c r="D47" i="2"/>
  <c r="BG6" i="2"/>
  <c r="AW15" i="2"/>
  <c r="BB48" i="2"/>
  <c r="P56" i="2"/>
  <c r="AB6" i="2"/>
  <c r="BC6" i="2" s="1"/>
  <c r="BI6" i="2"/>
  <c r="R34" i="2"/>
  <c r="K36" i="2"/>
  <c r="U36" i="2" s="1"/>
  <c r="N44" i="2"/>
  <c r="S50" i="2"/>
  <c r="AR50" i="2"/>
  <c r="AM55" i="2"/>
  <c r="BD55" i="2" s="1"/>
  <c r="F9" i="1"/>
  <c r="N9" i="1" s="1"/>
  <c r="AR26" i="2"/>
  <c r="AP7" i="2"/>
  <c r="AP9" i="2" s="1"/>
  <c r="AP11" i="2" s="1"/>
  <c r="D24" i="2"/>
  <c r="N34" i="2"/>
  <c r="M40" i="2"/>
  <c r="K44" i="2"/>
  <c r="U44" i="2" s="1"/>
  <c r="E47" i="2"/>
  <c r="E49" i="2" s="1"/>
  <c r="Q47" i="2"/>
  <c r="O58" i="2"/>
  <c r="N60" i="2"/>
  <c r="AM18" i="2"/>
  <c r="AY35" i="2"/>
  <c r="S36" i="2"/>
  <c r="N38" i="2"/>
  <c r="U45" i="2"/>
  <c r="BA55" i="2"/>
  <c r="T56" i="2"/>
  <c r="O5" i="2"/>
  <c r="R6" i="2"/>
  <c r="R13" i="2" s="1"/>
  <c r="BK16" i="2"/>
  <c r="N35" i="2"/>
  <c r="P38" i="2"/>
  <c r="M45" i="2"/>
  <c r="Q46" i="2"/>
  <c r="BB55" i="2"/>
  <c r="AR6" i="2"/>
  <c r="D9" i="2"/>
  <c r="N9" i="2" s="1"/>
  <c r="G28" i="2"/>
  <c r="AM20" i="2"/>
  <c r="R35" i="2"/>
  <c r="Q38" i="2"/>
  <c r="O45" i="2"/>
  <c r="BG46" i="2"/>
  <c r="AQ57" i="2"/>
  <c r="AQ59" i="2" s="1"/>
  <c r="AQ61" i="2" s="1"/>
  <c r="AR58" i="2"/>
  <c r="BA5" i="2"/>
  <c r="O8" i="2"/>
  <c r="H28" i="2"/>
  <c r="AB28" i="2" s="1"/>
  <c r="BC28" i="2" s="1"/>
  <c r="S35" i="2"/>
  <c r="D37" i="2"/>
  <c r="D39" i="2" s="1"/>
  <c r="D41" i="2" s="1"/>
  <c r="N41" i="2" s="1"/>
  <c r="R38" i="2"/>
  <c r="S45" i="2"/>
  <c r="S46" i="2"/>
  <c r="M50" i="2"/>
  <c r="S58" i="2"/>
  <c r="AB66" i="2"/>
  <c r="C7" i="2"/>
  <c r="Z7" i="2" s="1"/>
  <c r="I28" i="2"/>
  <c r="T35" i="2"/>
  <c r="T46" i="2"/>
  <c r="BK46" i="2"/>
  <c r="G57" i="2"/>
  <c r="G59" i="2" s="1"/>
  <c r="T58" i="2"/>
  <c r="S60" i="2"/>
  <c r="P10" i="2"/>
  <c r="AR14" i="2"/>
  <c r="J28" i="2"/>
  <c r="U35" i="2"/>
  <c r="Q36" i="2"/>
  <c r="S44" i="2"/>
  <c r="AR45" i="2"/>
  <c r="O46" i="2"/>
  <c r="AM46" i="2"/>
  <c r="O50" i="2"/>
  <c r="AB54" i="2"/>
  <c r="BC54" i="2" s="1"/>
  <c r="AL57" i="2"/>
  <c r="AL59" i="2" s="1"/>
  <c r="T60" i="2"/>
  <c r="J71" i="2"/>
  <c r="J72" i="2" s="1"/>
  <c r="AB18" i="2"/>
  <c r="BC18" i="2" s="1"/>
  <c r="BI26" i="2"/>
  <c r="Q48" i="2"/>
  <c r="AO57" i="2"/>
  <c r="AR57" i="2" s="1"/>
  <c r="N56" i="2"/>
  <c r="K60" i="2"/>
  <c r="U60" i="2" s="1"/>
  <c r="AL7" i="2"/>
  <c r="AL9" i="2" s="1"/>
  <c r="AL11" i="2" s="1"/>
  <c r="S10" i="2"/>
  <c r="P34" i="2"/>
  <c r="BG36" i="2"/>
  <c r="BD45" i="2"/>
  <c r="R46" i="2"/>
  <c r="Q50" i="2"/>
  <c r="AM56" i="2"/>
  <c r="BM56" i="2" s="1"/>
  <c r="F8" i="1"/>
  <c r="O14" i="1"/>
  <c r="F21" i="1"/>
  <c r="N21" i="1" s="1"/>
  <c r="BA4" i="2"/>
  <c r="D11" i="2"/>
  <c r="AC5" i="2"/>
  <c r="AV17" i="2"/>
  <c r="AV19" i="2" s="1"/>
  <c r="AV21" i="2" s="1"/>
  <c r="BC36" i="2"/>
  <c r="BA25" i="2"/>
  <c r="AC25" i="2"/>
  <c r="M10" i="2"/>
  <c r="K10" i="2"/>
  <c r="Z10" i="2"/>
  <c r="C30" i="2"/>
  <c r="F17" i="2"/>
  <c r="F24" i="2"/>
  <c r="K4" i="2"/>
  <c r="AR8" i="2"/>
  <c r="Q10" i="2"/>
  <c r="T5" i="2"/>
  <c r="L14" i="2"/>
  <c r="M16" i="2" s="1"/>
  <c r="S5" i="2"/>
  <c r="R5" i="2"/>
  <c r="Q5" i="2"/>
  <c r="T10" i="2"/>
  <c r="P8" i="2"/>
  <c r="T6" i="2"/>
  <c r="AV4" i="2"/>
  <c r="AA14" i="2"/>
  <c r="BB14" i="2" s="1"/>
  <c r="E17" i="2"/>
  <c r="E24" i="2"/>
  <c r="E76" i="2" s="1"/>
  <c r="N6" i="2"/>
  <c r="U5" i="2"/>
  <c r="S8" i="2"/>
  <c r="S13" i="2" s="1"/>
  <c r="N10" i="2"/>
  <c r="AA16" i="2"/>
  <c r="E26" i="2"/>
  <c r="T7" i="2"/>
  <c r="J9" i="2"/>
  <c r="C24" i="2"/>
  <c r="Z14" i="2"/>
  <c r="K14" i="2"/>
  <c r="C17" i="2"/>
  <c r="S7" i="2"/>
  <c r="I9" i="2"/>
  <c r="O4" i="2"/>
  <c r="M6" i="2"/>
  <c r="K6" i="2"/>
  <c r="Z6" i="2"/>
  <c r="P4" i="2"/>
  <c r="AO7" i="2"/>
  <c r="O6" i="2"/>
  <c r="AA6" i="2"/>
  <c r="E7" i="2"/>
  <c r="AM4" i="2"/>
  <c r="M5" i="2"/>
  <c r="O10" i="2"/>
  <c r="AA10" i="2"/>
  <c r="BB10" i="2" s="1"/>
  <c r="E30" i="2"/>
  <c r="AB14" i="2"/>
  <c r="BC14" i="2" s="1"/>
  <c r="H17" i="2"/>
  <c r="H24" i="2"/>
  <c r="H76" i="2" s="1"/>
  <c r="F26" i="2"/>
  <c r="H39" i="2"/>
  <c r="R37" i="2"/>
  <c r="AV7" i="2"/>
  <c r="AV9" i="2" s="1"/>
  <c r="AV11" i="2" s="1"/>
  <c r="AV29" i="2"/>
  <c r="AV31" i="2" s="1"/>
  <c r="N7" i="2"/>
  <c r="Q4" i="2"/>
  <c r="T4" i="2"/>
  <c r="N5" i="2"/>
  <c r="Q6" i="2"/>
  <c r="K8" i="2"/>
  <c r="I17" i="2"/>
  <c r="I24" i="2"/>
  <c r="AJ17" i="2"/>
  <c r="AM14" i="2"/>
  <c r="G26" i="2"/>
  <c r="BG16" i="2"/>
  <c r="D28" i="2"/>
  <c r="Z28" i="2" s="1"/>
  <c r="AQ24" i="2"/>
  <c r="AQ27" i="2" s="1"/>
  <c r="AQ29" i="2" s="1"/>
  <c r="AQ31" i="2" s="1"/>
  <c r="AQ7" i="2"/>
  <c r="AQ9" i="2" s="1"/>
  <c r="AQ11" i="2" s="1"/>
  <c r="AR4" i="2"/>
  <c r="N8" i="2"/>
  <c r="J19" i="2"/>
  <c r="H26" i="2"/>
  <c r="AB16" i="2"/>
  <c r="BI16" i="2"/>
  <c r="AB4" i="2"/>
  <c r="BC4" i="2" s="1"/>
  <c r="H7" i="2"/>
  <c r="AR24" i="2"/>
  <c r="AB10" i="2"/>
  <c r="BC10" i="2" s="1"/>
  <c r="H30" i="2"/>
  <c r="AB30" i="2" s="1"/>
  <c r="BC30" i="2" s="1"/>
  <c r="AW13" i="2"/>
  <c r="AR25" i="2"/>
  <c r="I26" i="2"/>
  <c r="F39" i="2"/>
  <c r="S4" i="2"/>
  <c r="AP27" i="2"/>
  <c r="AP29" i="2" s="1"/>
  <c r="AP31" i="2" s="1"/>
  <c r="V5" i="2"/>
  <c r="Q8" i="2"/>
  <c r="G9" i="2"/>
  <c r="AM10" i="2"/>
  <c r="C26" i="2"/>
  <c r="E28" i="2"/>
  <c r="C37" i="2"/>
  <c r="M34" i="2"/>
  <c r="K34" i="2"/>
  <c r="U34" i="2" s="1"/>
  <c r="N37" i="2"/>
  <c r="AJ37" i="2"/>
  <c r="J39" i="2"/>
  <c r="AL61" i="2"/>
  <c r="AX15" i="2"/>
  <c r="Z20" i="2"/>
  <c r="D26" i="2"/>
  <c r="D27" i="2" s="1"/>
  <c r="F28" i="2"/>
  <c r="D30" i="2"/>
  <c r="BA35" i="2"/>
  <c r="BI36" i="2"/>
  <c r="AL37" i="2"/>
  <c r="AL39" i="2" s="1"/>
  <c r="AL41" i="2" s="1"/>
  <c r="AR44" i="2"/>
  <c r="AX45" i="2"/>
  <c r="AO59" i="2"/>
  <c r="AY15" i="2"/>
  <c r="Z16" i="2"/>
  <c r="AM16" i="2"/>
  <c r="D17" i="2"/>
  <c r="K20" i="2"/>
  <c r="AA20" i="2"/>
  <c r="BB20" i="2" s="1"/>
  <c r="G24" i="2"/>
  <c r="BG26" i="2"/>
  <c r="BA46" i="2"/>
  <c r="BD48" i="2"/>
  <c r="AY48" i="2"/>
  <c r="AX48" i="2"/>
  <c r="AU48" i="2"/>
  <c r="AW48" i="2" s="1"/>
  <c r="J59" i="2"/>
  <c r="T57" i="2"/>
  <c r="BA15" i="2"/>
  <c r="K16" i="2"/>
  <c r="AB20" i="2"/>
  <c r="BC20" i="2" s="1"/>
  <c r="T34" i="2"/>
  <c r="M36" i="2"/>
  <c r="T36" i="2"/>
  <c r="AM36" i="2"/>
  <c r="T38" i="2"/>
  <c r="Q40" i="2"/>
  <c r="P47" i="2"/>
  <c r="F49" i="2"/>
  <c r="M46" i="2"/>
  <c r="K46" i="2"/>
  <c r="U46" i="2" s="1"/>
  <c r="AW62" i="2"/>
  <c r="Z67" i="2"/>
  <c r="D69" i="2"/>
  <c r="AM6" i="2"/>
  <c r="AU23" i="2"/>
  <c r="AW23" i="2" s="1"/>
  <c r="G37" i="2"/>
  <c r="AO37" i="2"/>
  <c r="BB35" i="2"/>
  <c r="BA36" i="2"/>
  <c r="G51" i="2"/>
  <c r="Q49" i="2"/>
  <c r="AW53" i="2"/>
  <c r="E69" i="2"/>
  <c r="T8" i="2"/>
  <c r="Z18" i="2"/>
  <c r="J24" i="2"/>
  <c r="J27" i="2" s="1"/>
  <c r="J29" i="2" s="1"/>
  <c r="J31" i="2" s="1"/>
  <c r="J32" i="2" s="1"/>
  <c r="Z34" i="2"/>
  <c r="O36" i="2"/>
  <c r="AA36" i="2"/>
  <c r="AC36" i="2" s="1"/>
  <c r="S40" i="2"/>
  <c r="R44" i="2"/>
  <c r="H47" i="2"/>
  <c r="AB44" i="2"/>
  <c r="BC44" i="2" s="1"/>
  <c r="O47" i="2"/>
  <c r="AA47" i="2"/>
  <c r="BB47" i="2" s="1"/>
  <c r="N47" i="2"/>
  <c r="D49" i="2"/>
  <c r="AV76" i="2"/>
  <c r="BC56" i="2"/>
  <c r="BD15" i="2"/>
  <c r="K18" i="2"/>
  <c r="AA18" i="2"/>
  <c r="BB18" i="2" s="1"/>
  <c r="BK26" i="2"/>
  <c r="AL27" i="2"/>
  <c r="AL29" i="2" s="1"/>
  <c r="AL31" i="2" s="1"/>
  <c r="AB34" i="2"/>
  <c r="BC34" i="2" s="1"/>
  <c r="P36" i="2"/>
  <c r="AC38" i="2"/>
  <c r="BC38" i="2"/>
  <c r="T40" i="2"/>
  <c r="BA66" i="2"/>
  <c r="AC66" i="2"/>
  <c r="AJ7" i="2"/>
  <c r="K25" i="2"/>
  <c r="V25" i="2" s="1"/>
  <c r="N39" i="2"/>
  <c r="K40" i="2"/>
  <c r="U40" i="2" s="1"/>
  <c r="AJ49" i="2"/>
  <c r="AM47" i="2"/>
  <c r="BB66" i="2"/>
  <c r="Z8" i="2"/>
  <c r="AR10" i="2"/>
  <c r="AR15" i="2"/>
  <c r="N18" i="2"/>
  <c r="O38" i="2"/>
  <c r="S38" i="2"/>
  <c r="N40" i="2"/>
  <c r="O35" i="2"/>
  <c r="E37" i="2"/>
  <c r="BB38" i="2"/>
  <c r="O40" i="2"/>
  <c r="BA54" i="2"/>
  <c r="P35" i="2"/>
  <c r="U38" i="2"/>
  <c r="P40" i="2"/>
  <c r="BI46" i="2"/>
  <c r="O57" i="2"/>
  <c r="E59" i="2"/>
  <c r="AA57" i="2"/>
  <c r="M8" i="2"/>
  <c r="O34" i="2"/>
  <c r="Q35" i="2"/>
  <c r="M38" i="2"/>
  <c r="R40" i="2"/>
  <c r="AO49" i="2"/>
  <c r="P57" i="2"/>
  <c r="AJ76" i="2"/>
  <c r="BC66" i="2"/>
  <c r="Z40" i="2"/>
  <c r="AY45" i="2"/>
  <c r="AU45" i="2"/>
  <c r="AW45" i="2" s="1"/>
  <c r="Q57" i="2"/>
  <c r="BA70" i="2"/>
  <c r="AC70" i="2"/>
  <c r="U48" i="2"/>
  <c r="BD53" i="2"/>
  <c r="O54" i="2"/>
  <c r="N55" i="2"/>
  <c r="R56" i="2"/>
  <c r="D57" i="2"/>
  <c r="Z57" i="2" s="1"/>
  <c r="AV57" i="2"/>
  <c r="AV59" i="2" s="1"/>
  <c r="P60" i="2"/>
  <c r="F67" i="2"/>
  <c r="F69" i="2" s="1"/>
  <c r="F71" i="2" s="1"/>
  <c r="F72" i="2" s="1"/>
  <c r="AO69" i="2"/>
  <c r="I47" i="2"/>
  <c r="T50" i="2"/>
  <c r="P54" i="2"/>
  <c r="O55" i="2"/>
  <c r="S56" i="2"/>
  <c r="S78" i="2" s="1"/>
  <c r="Z58" i="2"/>
  <c r="Q60" i="2"/>
  <c r="G67" i="2"/>
  <c r="G69" i="2" s="1"/>
  <c r="G71" i="2" s="1"/>
  <c r="G72" i="2" s="1"/>
  <c r="AK76" i="2"/>
  <c r="J47" i="2"/>
  <c r="Q54" i="2"/>
  <c r="P55" i="2"/>
  <c r="AU55" i="2"/>
  <c r="AW55" i="2" s="1"/>
  <c r="AJ57" i="2"/>
  <c r="AA58" i="2"/>
  <c r="BB58" i="2" s="1"/>
  <c r="R60" i="2"/>
  <c r="H67" i="2"/>
  <c r="AL76" i="2"/>
  <c r="O44" i="2"/>
  <c r="N45" i="2"/>
  <c r="Z50" i="2"/>
  <c r="R54" i="2"/>
  <c r="Q55" i="2"/>
  <c r="AK57" i="2"/>
  <c r="AK59" i="2" s="1"/>
  <c r="K58" i="2"/>
  <c r="U58" i="2" s="1"/>
  <c r="AB58" i="2"/>
  <c r="BC58" i="2" s="1"/>
  <c r="AU63" i="2"/>
  <c r="AW63" i="2" s="1"/>
  <c r="I67" i="2"/>
  <c r="I69" i="2" s="1"/>
  <c r="I71" i="2" s="1"/>
  <c r="I72" i="2" s="1"/>
  <c r="C76" i="2"/>
  <c r="M48" i="2"/>
  <c r="AA50" i="2"/>
  <c r="BB50" i="2" s="1"/>
  <c r="S54" i="2"/>
  <c r="R55" i="2"/>
  <c r="Z56" i="2"/>
  <c r="H57" i="2"/>
  <c r="M58" i="2"/>
  <c r="C59" i="2"/>
  <c r="K64" i="2"/>
  <c r="D76" i="2"/>
  <c r="O10" i="1" s="1"/>
  <c r="Q44" i="2"/>
  <c r="P45" i="2"/>
  <c r="N48" i="2"/>
  <c r="K50" i="2"/>
  <c r="U50" i="2" s="1"/>
  <c r="T54" i="2"/>
  <c r="S55" i="2"/>
  <c r="AX55" i="2"/>
  <c r="Z64" i="2"/>
  <c r="AC65" i="2"/>
  <c r="K66" i="2"/>
  <c r="C71" i="2"/>
  <c r="Q45" i="2"/>
  <c r="O48" i="2"/>
  <c r="T55" i="2"/>
  <c r="AY55" i="2"/>
  <c r="K56" i="2"/>
  <c r="U56" i="2" s="1"/>
  <c r="Z60" i="2"/>
  <c r="AA64" i="2"/>
  <c r="BB64" i="2" s="1"/>
  <c r="R45" i="2"/>
  <c r="C47" i="2"/>
  <c r="P48" i="2"/>
  <c r="N50" i="2"/>
  <c r="AX53" i="2"/>
  <c r="U55" i="2"/>
  <c r="M56" i="2"/>
  <c r="P58" i="2"/>
  <c r="AB64" i="2"/>
  <c r="BC64" i="2" s="1"/>
  <c r="K54" i="2"/>
  <c r="U54" i="2" s="1"/>
  <c r="M57" i="2"/>
  <c r="Q58" i="2"/>
  <c r="K70" i="2"/>
  <c r="T45" i="2"/>
  <c r="AA46" i="2"/>
  <c r="AC46" i="2" s="1"/>
  <c r="R48" i="2"/>
  <c r="P50" i="2"/>
  <c r="O56" i="2"/>
  <c r="R58" i="2"/>
  <c r="M60" i="2"/>
  <c r="AC68" i="2"/>
  <c r="Z44" i="2"/>
  <c r="BF46" i="2" s="1"/>
  <c r="AM44" i="2"/>
  <c r="S48" i="2"/>
  <c r="M54" i="2"/>
  <c r="T48" i="2"/>
  <c r="N54" i="2"/>
  <c r="M55" i="2"/>
  <c r="Q56" i="2"/>
  <c r="U15" i="1" l="1"/>
  <c r="F10" i="1"/>
  <c r="N10" i="1" s="1"/>
  <c r="N8" i="1"/>
  <c r="S39" i="2"/>
  <c r="R78" i="2"/>
  <c r="F9" i="2"/>
  <c r="AR47" i="2"/>
  <c r="BJ56" i="2"/>
  <c r="BM36" i="2"/>
  <c r="I27" i="2"/>
  <c r="I29" i="2" s="1"/>
  <c r="I31" i="2" s="1"/>
  <c r="I32" i="2" s="1"/>
  <c r="P13" i="2"/>
  <c r="AA26" i="2"/>
  <c r="BB26" i="2" s="1"/>
  <c r="G27" i="2"/>
  <c r="G29" i="2" s="1"/>
  <c r="G31" i="2" s="1"/>
  <c r="G32" i="2" s="1"/>
  <c r="J76" i="2"/>
  <c r="AB76" i="2" s="1"/>
  <c r="S37" i="2"/>
  <c r="AC54" i="2"/>
  <c r="BD54" i="2" s="1"/>
  <c r="G76" i="2"/>
  <c r="S14" i="2"/>
  <c r="AB37" i="2"/>
  <c r="O13" i="2"/>
  <c r="T78" i="2"/>
  <c r="BM46" i="2"/>
  <c r="D29" i="2"/>
  <c r="AR17" i="2"/>
  <c r="T17" i="2"/>
  <c r="N16" i="2"/>
  <c r="Z76" i="2"/>
  <c r="S57" i="2"/>
  <c r="BM6" i="2"/>
  <c r="AA30" i="2"/>
  <c r="BB30" i="2" s="1"/>
  <c r="I42" i="2"/>
  <c r="S41" i="2"/>
  <c r="K7" i="2"/>
  <c r="U7" i="2" s="1"/>
  <c r="AC4" i="2"/>
  <c r="AY4" i="2" s="1"/>
  <c r="F25" i="1"/>
  <c r="N25" i="1" s="1"/>
  <c r="AM76" i="2"/>
  <c r="M7" i="2"/>
  <c r="AA67" i="2"/>
  <c r="BB67" i="2" s="1"/>
  <c r="C9" i="2"/>
  <c r="M9" i="2" s="1"/>
  <c r="R20" i="2"/>
  <c r="F11" i="2"/>
  <c r="P9" i="2"/>
  <c r="I76" i="2"/>
  <c r="P20" i="2"/>
  <c r="O15" i="1"/>
  <c r="BM16" i="2"/>
  <c r="T13" i="2"/>
  <c r="F27" i="2"/>
  <c r="F29" i="2" s="1"/>
  <c r="Q16" i="2"/>
  <c r="O16" i="2"/>
  <c r="F24" i="1"/>
  <c r="N24" i="1" s="1"/>
  <c r="BD46" i="2"/>
  <c r="AY46" i="2"/>
  <c r="AX46" i="2"/>
  <c r="AU46" i="2"/>
  <c r="AW46" i="2" s="1"/>
  <c r="BA28" i="2"/>
  <c r="BA57" i="2"/>
  <c r="V7" i="2"/>
  <c r="R7" i="2"/>
  <c r="H9" i="2"/>
  <c r="AB7" i="2"/>
  <c r="BC7" i="2" s="1"/>
  <c r="BJ66" i="2"/>
  <c r="BH66" i="2"/>
  <c r="F76" i="2"/>
  <c r="K67" i="2"/>
  <c r="AO61" i="2"/>
  <c r="AR61" i="2" s="1"/>
  <c r="AR59" i="2"/>
  <c r="S18" i="2"/>
  <c r="O20" i="2"/>
  <c r="N20" i="2"/>
  <c r="V8" i="2"/>
  <c r="U8" i="2"/>
  <c r="V14" i="2"/>
  <c r="U14" i="2"/>
  <c r="Q19" i="2"/>
  <c r="G21" i="2"/>
  <c r="F19" i="2"/>
  <c r="P17" i="2"/>
  <c r="AU4" i="2"/>
  <c r="AW4" i="2" s="1"/>
  <c r="BF16" i="2"/>
  <c r="AC16" i="2"/>
  <c r="BA16" i="2"/>
  <c r="AB67" i="2"/>
  <c r="BC67" i="2" s="1"/>
  <c r="H69" i="2"/>
  <c r="K69" i="2" s="1"/>
  <c r="V18" i="2"/>
  <c r="U18" i="2"/>
  <c r="P39" i="2"/>
  <c r="F41" i="2"/>
  <c r="S17" i="2"/>
  <c r="I19" i="2"/>
  <c r="BH16" i="2"/>
  <c r="BB16" i="2"/>
  <c r="Z26" i="2"/>
  <c r="K26" i="2"/>
  <c r="V26" i="2" s="1"/>
  <c r="BC37" i="2"/>
  <c r="AJ59" i="2"/>
  <c r="AM57" i="2"/>
  <c r="AX70" i="2"/>
  <c r="AU70" i="2"/>
  <c r="AW70" i="2" s="1"/>
  <c r="BD70" i="2"/>
  <c r="AY70" i="2"/>
  <c r="BB57" i="2"/>
  <c r="BH36" i="2"/>
  <c r="BB36" i="2"/>
  <c r="BA67" i="2"/>
  <c r="P18" i="2"/>
  <c r="AM29" i="2"/>
  <c r="AJ31" i="2"/>
  <c r="AM31" i="2" s="1"/>
  <c r="Q13" i="2"/>
  <c r="U15" i="2"/>
  <c r="AO9" i="2"/>
  <c r="AR7" i="2"/>
  <c r="AC14" i="2"/>
  <c r="BA14" i="2"/>
  <c r="Q17" i="2"/>
  <c r="P14" i="2"/>
  <c r="BJ36" i="2"/>
  <c r="AA28" i="2"/>
  <c r="BB28" i="2" s="1"/>
  <c r="R39" i="2"/>
  <c r="H41" i="2"/>
  <c r="AB39" i="2"/>
  <c r="BC39" i="2" s="1"/>
  <c r="G52" i="2"/>
  <c r="Q51" i="2"/>
  <c r="AC20" i="2"/>
  <c r="BA20" i="2"/>
  <c r="C61" i="2"/>
  <c r="M59" i="2"/>
  <c r="S47" i="2"/>
  <c r="I49" i="2"/>
  <c r="I78" i="2" s="1"/>
  <c r="E61" i="2"/>
  <c r="AA59" i="2"/>
  <c r="BB59" i="2" s="1"/>
  <c r="O59" i="2"/>
  <c r="AU36" i="2"/>
  <c r="AW36" i="2" s="1"/>
  <c r="AY36" i="2"/>
  <c r="AX36" i="2"/>
  <c r="BD36" i="2"/>
  <c r="V16" i="2"/>
  <c r="U16" i="2"/>
  <c r="S59" i="2"/>
  <c r="I61" i="2"/>
  <c r="AR19" i="2"/>
  <c r="AO21" i="2"/>
  <c r="AR21" i="2" s="1"/>
  <c r="AM27" i="2"/>
  <c r="AB24" i="2"/>
  <c r="BC24" i="2" s="1"/>
  <c r="H27" i="2"/>
  <c r="M14" i="2"/>
  <c r="Z30" i="2"/>
  <c r="K30" i="2"/>
  <c r="V30" i="2" s="1"/>
  <c r="T20" i="2"/>
  <c r="E19" i="2"/>
  <c r="AA17" i="2"/>
  <c r="BB17" i="2" s="1"/>
  <c r="O17" i="2"/>
  <c r="AC58" i="2"/>
  <c r="BA58" i="2"/>
  <c r="I11" i="2"/>
  <c r="S9" i="2"/>
  <c r="R47" i="2"/>
  <c r="H49" i="2"/>
  <c r="AB47" i="2"/>
  <c r="BC47" i="2" s="1"/>
  <c r="BJ46" i="2"/>
  <c r="Z69" i="2"/>
  <c r="D71" i="2"/>
  <c r="Z71" i="2" s="1"/>
  <c r="BB6" i="2"/>
  <c r="BH6" i="2"/>
  <c r="BH46" i="2"/>
  <c r="BB46" i="2"/>
  <c r="M47" i="2"/>
  <c r="K47" i="2"/>
  <c r="U47" i="2" s="1"/>
  <c r="Z47" i="2"/>
  <c r="C49" i="2"/>
  <c r="BD65" i="2"/>
  <c r="AY65" i="2"/>
  <c r="AX65" i="2"/>
  <c r="AU65" i="2"/>
  <c r="AW65" i="2" s="1"/>
  <c r="AK78" i="2"/>
  <c r="AK61" i="2"/>
  <c r="AO71" i="2"/>
  <c r="AR71" i="2" s="1"/>
  <c r="AR69" i="2"/>
  <c r="P59" i="2"/>
  <c r="F61" i="2"/>
  <c r="P61" i="2" s="1"/>
  <c r="E39" i="2"/>
  <c r="AA37" i="2"/>
  <c r="BB37" i="2" s="1"/>
  <c r="O37" i="2"/>
  <c r="AX38" i="2"/>
  <c r="AU38" i="2"/>
  <c r="AW38" i="2" s="1"/>
  <c r="BD38" i="2"/>
  <c r="AY38" i="2"/>
  <c r="AC34" i="2"/>
  <c r="BL36" i="2" s="1"/>
  <c r="BA34" i="2"/>
  <c r="BF36" i="2"/>
  <c r="AL78" i="2"/>
  <c r="O18" i="2"/>
  <c r="AB17" i="2"/>
  <c r="BC17" i="2" s="1"/>
  <c r="R17" i="2"/>
  <c r="H19" i="2"/>
  <c r="C27" i="2"/>
  <c r="Z24" i="2"/>
  <c r="K24" i="2"/>
  <c r="V24" i="2" s="1"/>
  <c r="V76" i="2" s="1"/>
  <c r="AC10" i="2"/>
  <c r="BA10" i="2"/>
  <c r="AM7" i="2"/>
  <c r="AJ9" i="2"/>
  <c r="BA7" i="2"/>
  <c r="K37" i="2"/>
  <c r="U37" i="2" s="1"/>
  <c r="C39" i="2"/>
  <c r="Z37" i="2"/>
  <c r="M37" i="2"/>
  <c r="AY66" i="2"/>
  <c r="AX66" i="2"/>
  <c r="AU66" i="2"/>
  <c r="AW66" i="2" s="1"/>
  <c r="BD66" i="2"/>
  <c r="AR27" i="2"/>
  <c r="AO29" i="2"/>
  <c r="E9" i="2"/>
  <c r="AA7" i="2"/>
  <c r="O7" i="2"/>
  <c r="BA8" i="2"/>
  <c r="AC8" i="2"/>
  <c r="M17" i="2"/>
  <c r="K17" i="2"/>
  <c r="C19" i="2"/>
  <c r="Z17" i="2"/>
  <c r="BA64" i="2"/>
  <c r="AC64" i="2"/>
  <c r="BL66" i="2" s="1"/>
  <c r="H59" i="2"/>
  <c r="AB57" i="2"/>
  <c r="BC57" i="2" s="1"/>
  <c r="R57" i="2"/>
  <c r="AJ51" i="2"/>
  <c r="AM51" i="2" s="1"/>
  <c r="AM49" i="2"/>
  <c r="N49" i="2"/>
  <c r="D51" i="2"/>
  <c r="T39" i="2"/>
  <c r="J41" i="2"/>
  <c r="G11" i="2"/>
  <c r="Q9" i="2"/>
  <c r="BF6" i="2"/>
  <c r="AC6" i="2"/>
  <c r="BA6" i="2"/>
  <c r="U10" i="2"/>
  <c r="V10" i="2"/>
  <c r="AY68" i="2"/>
  <c r="AX68" i="2"/>
  <c r="AU68" i="2"/>
  <c r="AW68" i="2" s="1"/>
  <c r="BD68" i="2"/>
  <c r="AC40" i="2"/>
  <c r="BA40" i="2"/>
  <c r="AC56" i="2"/>
  <c r="BA56" i="2"/>
  <c r="T47" i="2"/>
  <c r="J49" i="2"/>
  <c r="J78" i="2" s="1"/>
  <c r="Q59" i="2"/>
  <c r="G61" i="2"/>
  <c r="Q61" i="2" s="1"/>
  <c r="AC18" i="2"/>
  <c r="BA18" i="2"/>
  <c r="F51" i="2"/>
  <c r="P49" i="2"/>
  <c r="U20" i="2"/>
  <c r="V20" i="2"/>
  <c r="AM37" i="2"/>
  <c r="AJ39" i="2"/>
  <c r="BJ16" i="2"/>
  <c r="BC16" i="2"/>
  <c r="V6" i="2"/>
  <c r="U6" i="2"/>
  <c r="K28" i="2"/>
  <c r="V28" i="2" s="1"/>
  <c r="Q18" i="2"/>
  <c r="S16" i="2"/>
  <c r="N15" i="2"/>
  <c r="N14" i="2"/>
  <c r="Q20" i="2"/>
  <c r="M18" i="2"/>
  <c r="P16" i="2"/>
  <c r="T15" i="2"/>
  <c r="M20" i="2"/>
  <c r="Q15" i="2"/>
  <c r="R18" i="2"/>
  <c r="R15" i="2"/>
  <c r="Q14" i="2"/>
  <c r="P15" i="2"/>
  <c r="O14" i="2"/>
  <c r="O15" i="2"/>
  <c r="M15" i="2"/>
  <c r="T14" i="2"/>
  <c r="S15" i="2"/>
  <c r="R14" i="2"/>
  <c r="T16" i="2"/>
  <c r="R16" i="2"/>
  <c r="BD5" i="2"/>
  <c r="AY5" i="2"/>
  <c r="AU5" i="2"/>
  <c r="AW5" i="2" s="1"/>
  <c r="AX5" i="2"/>
  <c r="AC60" i="2"/>
  <c r="BA60" i="2"/>
  <c r="AC50" i="2"/>
  <c r="BA50" i="2"/>
  <c r="AV78" i="2"/>
  <c r="AV61" i="2"/>
  <c r="AR49" i="2"/>
  <c r="AO51" i="2"/>
  <c r="AR51" i="2" s="1"/>
  <c r="AO39" i="2"/>
  <c r="AR37" i="2"/>
  <c r="T59" i="2"/>
  <c r="J61" i="2"/>
  <c r="T18" i="2"/>
  <c r="BJ6" i="2"/>
  <c r="AB26" i="2"/>
  <c r="M13" i="2"/>
  <c r="N13" i="2"/>
  <c r="S20" i="2"/>
  <c r="BA44" i="2"/>
  <c r="AC44" i="2"/>
  <c r="N57" i="2"/>
  <c r="K57" i="2"/>
  <c r="U57" i="2" s="1"/>
  <c r="D59" i="2"/>
  <c r="Z59" i="2" s="1"/>
  <c r="O49" i="2"/>
  <c r="E51" i="2"/>
  <c r="AA49" i="2"/>
  <c r="BB49" i="2" s="1"/>
  <c r="E71" i="2"/>
  <c r="AA69" i="2"/>
  <c r="BB69" i="2" s="1"/>
  <c r="G39" i="2"/>
  <c r="Q37" i="2"/>
  <c r="N17" i="2"/>
  <c r="D19" i="2"/>
  <c r="J21" i="2"/>
  <c r="T19" i="2"/>
  <c r="AM17" i="2"/>
  <c r="AJ19" i="2"/>
  <c r="T9" i="2"/>
  <c r="J11" i="2"/>
  <c r="E27" i="2"/>
  <c r="AA24" i="2"/>
  <c r="BB24" i="2" s="1"/>
  <c r="BD25" i="2"/>
  <c r="AY25" i="2"/>
  <c r="AX25" i="2"/>
  <c r="AU25" i="2"/>
  <c r="AW25" i="2" s="1"/>
  <c r="D12" i="2"/>
  <c r="N11" i="2"/>
  <c r="D31" i="2"/>
  <c r="D32" i="2" s="1"/>
  <c r="V4" i="2"/>
  <c r="U4" i="2"/>
  <c r="BD4" i="2" l="1"/>
  <c r="K59" i="2"/>
  <c r="AU54" i="2"/>
  <c r="AW54" i="2" s="1"/>
  <c r="AX54" i="2"/>
  <c r="AC67" i="2"/>
  <c r="AY54" i="2"/>
  <c r="AA76" i="2"/>
  <c r="AC76" i="2" s="1"/>
  <c r="AU76" i="2" s="1"/>
  <c r="Z9" i="2"/>
  <c r="F26" i="1"/>
  <c r="N26" i="1" s="1"/>
  <c r="F31" i="2"/>
  <c r="F32" i="2" s="1"/>
  <c r="F78" i="2"/>
  <c r="P11" i="2"/>
  <c r="F12" i="2"/>
  <c r="C11" i="2"/>
  <c r="K76" i="2"/>
  <c r="E78" i="2"/>
  <c r="AO41" i="2"/>
  <c r="AR41" i="2" s="1"/>
  <c r="AR39" i="2"/>
  <c r="BA37" i="2"/>
  <c r="AC37" i="2"/>
  <c r="Q39" i="2"/>
  <c r="G41" i="2"/>
  <c r="O9" i="2"/>
  <c r="AA9" i="2"/>
  <c r="BB9" i="2" s="1"/>
  <c r="E11" i="2"/>
  <c r="AX67" i="2"/>
  <c r="AU67" i="2"/>
  <c r="AW67" i="2" s="1"/>
  <c r="BD67" i="2"/>
  <c r="AY67" i="2"/>
  <c r="AM39" i="2"/>
  <c r="AJ41" i="2"/>
  <c r="AM41" i="2" s="1"/>
  <c r="AM9" i="2"/>
  <c r="AJ11" i="2"/>
  <c r="AM11" i="2" s="1"/>
  <c r="AA27" i="2"/>
  <c r="BB27" i="2" s="1"/>
  <c r="E29" i="2"/>
  <c r="AU56" i="2"/>
  <c r="AW56" i="2" s="1"/>
  <c r="BL56" i="2"/>
  <c r="BD56" i="2"/>
  <c r="AY56" i="2"/>
  <c r="AX56" i="2"/>
  <c r="Q11" i="2"/>
  <c r="G12" i="2"/>
  <c r="AC17" i="2"/>
  <c r="BA17" i="2"/>
  <c r="AU10" i="2"/>
  <c r="AW10" i="2" s="1"/>
  <c r="BD10" i="2"/>
  <c r="AX10" i="2"/>
  <c r="AY10" i="2"/>
  <c r="I62" i="2"/>
  <c r="S61" i="2"/>
  <c r="H71" i="2"/>
  <c r="K71" i="2" s="1"/>
  <c r="K72" i="2" s="1"/>
  <c r="AB69" i="2"/>
  <c r="BC69" i="2" s="1"/>
  <c r="R59" i="2"/>
  <c r="H61" i="2"/>
  <c r="AB59" i="2"/>
  <c r="BC59" i="2" s="1"/>
  <c r="BA59" i="2"/>
  <c r="J12" i="2"/>
  <c r="T11" i="2"/>
  <c r="AU34" i="2"/>
  <c r="AW34" i="2" s="1"/>
  <c r="BD34" i="2"/>
  <c r="AY34" i="2"/>
  <c r="AX34" i="2"/>
  <c r="AY58" i="2"/>
  <c r="AX58" i="2"/>
  <c r="AU58" i="2"/>
  <c r="AW58" i="2" s="1"/>
  <c r="BD58" i="2"/>
  <c r="BD14" i="2"/>
  <c r="AU14" i="2"/>
  <c r="AW14" i="2" s="1"/>
  <c r="AY14" i="2"/>
  <c r="AX14" i="2"/>
  <c r="BA26" i="2"/>
  <c r="BF26" i="2"/>
  <c r="AC26" i="2"/>
  <c r="BH26" i="2"/>
  <c r="E52" i="2"/>
  <c r="O51" i="2"/>
  <c r="AA51" i="2"/>
  <c r="BB51" i="2" s="1"/>
  <c r="AJ21" i="2"/>
  <c r="AM21" i="2" s="1"/>
  <c r="AM19" i="2"/>
  <c r="J62" i="2"/>
  <c r="T61" i="2"/>
  <c r="BD60" i="2"/>
  <c r="AY60" i="2"/>
  <c r="AX60" i="2"/>
  <c r="AU60" i="2"/>
  <c r="AW60" i="2" s="1"/>
  <c r="AY40" i="2"/>
  <c r="AX40" i="2"/>
  <c r="BD40" i="2"/>
  <c r="AU40" i="2"/>
  <c r="AW40" i="2" s="1"/>
  <c r="T41" i="2"/>
  <c r="J42" i="2"/>
  <c r="M19" i="2"/>
  <c r="C21" i="2"/>
  <c r="K19" i="2"/>
  <c r="Z19" i="2"/>
  <c r="AR9" i="2"/>
  <c r="AO11" i="2"/>
  <c r="AR11" i="2" s="1"/>
  <c r="AC57" i="2"/>
  <c r="BA71" i="2"/>
  <c r="AO31" i="2"/>
  <c r="AR31" i="2" s="1"/>
  <c r="AR29" i="2"/>
  <c r="S11" i="2"/>
  <c r="I12" i="2"/>
  <c r="E72" i="2"/>
  <c r="AA71" i="2"/>
  <c r="BB71" i="2" s="1"/>
  <c r="G22" i="2"/>
  <c r="Q21" i="2"/>
  <c r="AU50" i="2"/>
  <c r="AW50" i="2" s="1"/>
  <c r="BD50" i="2"/>
  <c r="AY50" i="2"/>
  <c r="AX50" i="2"/>
  <c r="AY20" i="2"/>
  <c r="AX20" i="2"/>
  <c r="AU20" i="2"/>
  <c r="AW20" i="2" s="1"/>
  <c r="BD20" i="2"/>
  <c r="D61" i="2"/>
  <c r="N61" i="2" s="1"/>
  <c r="D78" i="2"/>
  <c r="O26" i="1" s="1"/>
  <c r="N59" i="2"/>
  <c r="F52" i="2"/>
  <c r="P51" i="2"/>
  <c r="V17" i="2"/>
  <c r="U17" i="2"/>
  <c r="AC24" i="2"/>
  <c r="BA24" i="2"/>
  <c r="O19" i="2"/>
  <c r="E21" i="2"/>
  <c r="AA19" i="2"/>
  <c r="BB19" i="2" s="1"/>
  <c r="O61" i="2"/>
  <c r="AA61" i="2"/>
  <c r="BB61" i="2" s="1"/>
  <c r="S19" i="2"/>
  <c r="I21" i="2"/>
  <c r="BA9" i="2"/>
  <c r="AC9" i="2"/>
  <c r="N19" i="2"/>
  <c r="D21" i="2"/>
  <c r="M61" i="2"/>
  <c r="AU6" i="2"/>
  <c r="AW6" i="2" s="1"/>
  <c r="BD6" i="2"/>
  <c r="BL6" i="2"/>
  <c r="AX6" i="2"/>
  <c r="AY6" i="2"/>
  <c r="P19" i="2"/>
  <c r="F21" i="2"/>
  <c r="AY64" i="2"/>
  <c r="AX64" i="2"/>
  <c r="AU64" i="2"/>
  <c r="AW64" i="2" s="1"/>
  <c r="BD64" i="2"/>
  <c r="D52" i="2"/>
  <c r="N51" i="2"/>
  <c r="C29" i="2"/>
  <c r="C78" i="2" s="1"/>
  <c r="Z78" i="2" s="1"/>
  <c r="Z27" i="2"/>
  <c r="K27" i="2"/>
  <c r="V27" i="2" s="1"/>
  <c r="BA69" i="2"/>
  <c r="S49" i="2"/>
  <c r="I51" i="2"/>
  <c r="AB41" i="2"/>
  <c r="BC41" i="2" s="1"/>
  <c r="H42" i="2"/>
  <c r="R41" i="2"/>
  <c r="BL16" i="2"/>
  <c r="AX16" i="2"/>
  <c r="AU16" i="2"/>
  <c r="AW16" i="2" s="1"/>
  <c r="BD16" i="2"/>
  <c r="AY16" i="2"/>
  <c r="K9" i="2"/>
  <c r="AC28" i="2"/>
  <c r="T49" i="2"/>
  <c r="J51" i="2"/>
  <c r="BC26" i="2"/>
  <c r="BJ26" i="2"/>
  <c r="J22" i="2"/>
  <c r="T21" i="2"/>
  <c r="AU18" i="2"/>
  <c r="AW18" i="2" s="1"/>
  <c r="BD18" i="2"/>
  <c r="AY18" i="2"/>
  <c r="AX18" i="2"/>
  <c r="BD8" i="2"/>
  <c r="AY8" i="2"/>
  <c r="AX8" i="2"/>
  <c r="AU8" i="2"/>
  <c r="AW8" i="2" s="1"/>
  <c r="R19" i="2"/>
  <c r="H21" i="2"/>
  <c r="AB19" i="2"/>
  <c r="BC19" i="2" s="1"/>
  <c r="P41" i="2"/>
  <c r="F42" i="2"/>
  <c r="C12" i="2"/>
  <c r="M11" i="2"/>
  <c r="Z11" i="2"/>
  <c r="AX44" i="2"/>
  <c r="AU44" i="2"/>
  <c r="AW44" i="2" s="1"/>
  <c r="BD44" i="2"/>
  <c r="AY44" i="2"/>
  <c r="BA30" i="2"/>
  <c r="AC30" i="2"/>
  <c r="U59" i="2"/>
  <c r="AM59" i="2"/>
  <c r="AJ78" i="2"/>
  <c r="AJ61" i="2"/>
  <c r="AM61" i="2" s="1"/>
  <c r="C41" i="2"/>
  <c r="Z39" i="2"/>
  <c r="M39" i="2"/>
  <c r="K39" i="2"/>
  <c r="U39" i="2" s="1"/>
  <c r="E41" i="2"/>
  <c r="AA39" i="2"/>
  <c r="BB39" i="2" s="1"/>
  <c r="O39" i="2"/>
  <c r="M49" i="2"/>
  <c r="K49" i="2"/>
  <c r="U49" i="2" s="1"/>
  <c r="C51" i="2"/>
  <c r="Z49" i="2"/>
  <c r="H51" i="2"/>
  <c r="AB49" i="2"/>
  <c r="BC49" i="2" s="1"/>
  <c r="R49" i="2"/>
  <c r="BL46" i="2"/>
  <c r="G78" i="2"/>
  <c r="BB7" i="2"/>
  <c r="AC7" i="2"/>
  <c r="AC47" i="2"/>
  <c r="BA47" i="2"/>
  <c r="AB27" i="2"/>
  <c r="BC27" i="2" s="1"/>
  <c r="H29" i="2"/>
  <c r="AB9" i="2"/>
  <c r="BC9" i="2" s="1"/>
  <c r="R9" i="2"/>
  <c r="H11" i="2"/>
  <c r="P26" i="1" l="1"/>
  <c r="AA78" i="2"/>
  <c r="AC59" i="2"/>
  <c r="K11" i="2"/>
  <c r="K12" i="2" s="1"/>
  <c r="V11" i="2"/>
  <c r="V9" i="2"/>
  <c r="U9" i="2"/>
  <c r="BA11" i="2"/>
  <c r="Z21" i="2"/>
  <c r="C22" i="2"/>
  <c r="M21" i="2"/>
  <c r="K21" i="2"/>
  <c r="E31" i="2"/>
  <c r="AA29" i="2"/>
  <c r="BB29" i="2" s="1"/>
  <c r="I22" i="2"/>
  <c r="S21" i="2"/>
  <c r="AC19" i="2"/>
  <c r="BA19" i="2"/>
  <c r="AC27" i="2"/>
  <c r="BA27" i="2"/>
  <c r="AM78" i="2"/>
  <c r="C31" i="2"/>
  <c r="Z29" i="2"/>
  <c r="K29" i="2"/>
  <c r="V29" i="2" s="1"/>
  <c r="V78" i="2" s="1"/>
  <c r="AY59" i="2"/>
  <c r="AX59" i="2"/>
  <c r="AU59" i="2"/>
  <c r="AW59" i="2" s="1"/>
  <c r="BD59" i="2"/>
  <c r="G42" i="2"/>
  <c r="Q41" i="2"/>
  <c r="AY7" i="2"/>
  <c r="AX7" i="2"/>
  <c r="AU7" i="2"/>
  <c r="AW7" i="2" s="1"/>
  <c r="BD7" i="2"/>
  <c r="F22" i="2"/>
  <c r="P21" i="2"/>
  <c r="AU57" i="2"/>
  <c r="AW57" i="2" s="1"/>
  <c r="BD57" i="2"/>
  <c r="AY57" i="2"/>
  <c r="AX57" i="2"/>
  <c r="BA39" i="2"/>
  <c r="AC39" i="2"/>
  <c r="AC69" i="2"/>
  <c r="AY26" i="2"/>
  <c r="BL26" i="2"/>
  <c r="AX26" i="2"/>
  <c r="AU26" i="2"/>
  <c r="AW26" i="2" s="1"/>
  <c r="BD26" i="2"/>
  <c r="K41" i="2"/>
  <c r="Z41" i="2"/>
  <c r="M41" i="2"/>
  <c r="C42" i="2"/>
  <c r="H52" i="2"/>
  <c r="R51" i="2"/>
  <c r="AB51" i="2"/>
  <c r="BC51" i="2" s="1"/>
  <c r="E12" i="2"/>
  <c r="O11" i="2"/>
  <c r="AA11" i="2"/>
  <c r="BB11" i="2" s="1"/>
  <c r="AC49" i="2"/>
  <c r="BA49" i="2"/>
  <c r="AB29" i="2"/>
  <c r="BC29" i="2" s="1"/>
  <c r="H31" i="2"/>
  <c r="C52" i="2"/>
  <c r="M51" i="2"/>
  <c r="K51" i="2"/>
  <c r="Z51" i="2"/>
  <c r="Z61" i="2"/>
  <c r="E22" i="2"/>
  <c r="O21" i="2"/>
  <c r="AA21" i="2"/>
  <c r="BB21" i="2" s="1"/>
  <c r="BD9" i="2"/>
  <c r="AY9" i="2"/>
  <c r="AX9" i="2"/>
  <c r="AU9" i="2"/>
  <c r="AW9" i="2" s="1"/>
  <c r="H12" i="2"/>
  <c r="AB11" i="2"/>
  <c r="BC11" i="2" s="1"/>
  <c r="R11" i="2"/>
  <c r="BD28" i="2"/>
  <c r="AY28" i="2"/>
  <c r="AX28" i="2"/>
  <c r="AU28" i="2"/>
  <c r="AW28" i="2" s="1"/>
  <c r="H72" i="2"/>
  <c r="AB71" i="2"/>
  <c r="BC71" i="2" s="1"/>
  <c r="V19" i="2"/>
  <c r="U19" i="2"/>
  <c r="AY47" i="2"/>
  <c r="AX47" i="2"/>
  <c r="AU47" i="2"/>
  <c r="AW47" i="2" s="1"/>
  <c r="BD47" i="2"/>
  <c r="AX30" i="2"/>
  <c r="BD30" i="2"/>
  <c r="AY30" i="2"/>
  <c r="AU30" i="2"/>
  <c r="AW30" i="2" s="1"/>
  <c r="K61" i="2"/>
  <c r="AU37" i="2"/>
  <c r="AW37" i="2" s="1"/>
  <c r="BD37" i="2"/>
  <c r="AY37" i="2"/>
  <c r="AX37" i="2"/>
  <c r="H22" i="2"/>
  <c r="R21" i="2"/>
  <c r="AB21" i="2"/>
  <c r="BC21" i="2" s="1"/>
  <c r="R61" i="2"/>
  <c r="H62" i="2"/>
  <c r="AB61" i="2"/>
  <c r="BC61" i="2" s="1"/>
  <c r="BD17" i="2"/>
  <c r="AY17" i="2"/>
  <c r="AX17" i="2"/>
  <c r="AU17" i="2"/>
  <c r="AW17" i="2" s="1"/>
  <c r="E42" i="2"/>
  <c r="AA41" i="2"/>
  <c r="BB41" i="2" s="1"/>
  <c r="O41" i="2"/>
  <c r="D22" i="2"/>
  <c r="N21" i="2"/>
  <c r="BD24" i="2"/>
  <c r="AY24" i="2"/>
  <c r="AX24" i="2"/>
  <c r="AU24" i="2"/>
  <c r="AW24" i="2" s="1"/>
  <c r="J52" i="2"/>
  <c r="T51" i="2"/>
  <c r="I52" i="2"/>
  <c r="S51" i="2"/>
  <c r="H78" i="2"/>
  <c r="AB78" i="2" s="1"/>
  <c r="U11" i="2" l="1"/>
  <c r="AC71" i="2"/>
  <c r="AY71" i="2" s="1"/>
  <c r="AC78" i="2"/>
  <c r="AU78" i="2" s="1"/>
  <c r="K78" i="2"/>
  <c r="BA41" i="2"/>
  <c r="AC41" i="2"/>
  <c r="K42" i="2"/>
  <c r="U41" i="2"/>
  <c r="E32" i="2"/>
  <c r="AA31" i="2"/>
  <c r="BB31" i="2" s="1"/>
  <c r="BD49" i="2"/>
  <c r="AY49" i="2"/>
  <c r="AX49" i="2"/>
  <c r="AU49" i="2"/>
  <c r="AW49" i="2" s="1"/>
  <c r="K62" i="2"/>
  <c r="U61" i="2"/>
  <c r="BA29" i="2"/>
  <c r="AC29" i="2"/>
  <c r="K31" i="2"/>
  <c r="C32" i="2"/>
  <c r="Z31" i="2"/>
  <c r="H32" i="2"/>
  <c r="AB31" i="2"/>
  <c r="BC31" i="2" s="1"/>
  <c r="BA21" i="2"/>
  <c r="AC21" i="2"/>
  <c r="AC61" i="2"/>
  <c r="BA61" i="2"/>
  <c r="AY69" i="2"/>
  <c r="AX69" i="2"/>
  <c r="AU69" i="2"/>
  <c r="AW69" i="2" s="1"/>
  <c r="BD69" i="2"/>
  <c r="BA51" i="2"/>
  <c r="AC51" i="2"/>
  <c r="AY39" i="2"/>
  <c r="AU39" i="2"/>
  <c r="AW39" i="2" s="1"/>
  <c r="BD39" i="2"/>
  <c r="AX39" i="2"/>
  <c r="BD27" i="2"/>
  <c r="AY27" i="2"/>
  <c r="AX27" i="2"/>
  <c r="AU27" i="2"/>
  <c r="AW27" i="2" s="1"/>
  <c r="K52" i="2"/>
  <c r="U51" i="2"/>
  <c r="AC11" i="2"/>
  <c r="K22" i="2"/>
  <c r="V21" i="2"/>
  <c r="U21" i="2"/>
  <c r="AU19" i="2"/>
  <c r="AW19" i="2" s="1"/>
  <c r="BD19" i="2"/>
  <c r="AY19" i="2"/>
  <c r="AX19" i="2"/>
  <c r="BD71" i="2" l="1"/>
  <c r="AU71" i="2"/>
  <c r="AW71" i="2" s="1"/>
  <c r="AX71" i="2"/>
  <c r="AU11" i="2"/>
  <c r="AW11" i="2" s="1"/>
  <c r="BD11" i="2"/>
  <c r="AY11" i="2"/>
  <c r="AX11" i="2"/>
  <c r="AC31" i="2"/>
  <c r="BA31" i="2"/>
  <c r="K32" i="2"/>
  <c r="V31" i="2"/>
  <c r="BD29" i="2"/>
  <c r="AY29" i="2"/>
  <c r="AX29" i="2"/>
  <c r="AU29" i="2"/>
  <c r="AW29" i="2" s="1"/>
  <c r="AU41" i="2"/>
  <c r="AW41" i="2" s="1"/>
  <c r="BD41" i="2"/>
  <c r="AY41" i="2"/>
  <c r="AX41" i="2"/>
  <c r="AY51" i="2"/>
  <c r="AX51" i="2"/>
  <c r="AU51" i="2"/>
  <c r="AW51" i="2" s="1"/>
  <c r="BD51" i="2"/>
  <c r="AU61" i="2"/>
  <c r="AW61" i="2" s="1"/>
  <c r="BD61" i="2"/>
  <c r="AY61" i="2"/>
  <c r="AX61" i="2"/>
  <c r="AY21" i="2"/>
  <c r="AX21" i="2"/>
  <c r="AU21" i="2"/>
  <c r="AW21" i="2" s="1"/>
  <c r="BD21" i="2"/>
  <c r="AY31" i="2" l="1"/>
  <c r="AU31" i="2"/>
  <c r="AW31" i="2" s="1"/>
  <c r="BD31" i="2"/>
  <c r="AX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Rajagopalan Thayalan</author>
  </authors>
  <commentList>
    <comment ref="E6" authorId="0" shapeId="0" xr:uid="{E1ACE11B-DE47-4253-B1A3-41F6F210EBAC}">
      <text>
        <r>
          <rPr>
            <b/>
            <sz val="9"/>
            <color indexed="81"/>
            <rFont val="Tahoma"/>
            <family val="2"/>
          </rPr>
          <t>Rajagopalan Thayalan: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 xr:uid="{3CCCC1D4-1F04-4A38-99F0-9ADD553F4CE7}">
      <text>
        <r>
          <rPr>
            <b/>
            <sz val="9"/>
            <color indexed="81"/>
            <rFont val="Tahoma"/>
            <family val="2"/>
          </rPr>
          <t>Rajagopalan Thayalan: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5" authorId="0" shapeId="0" xr:uid="{C0A7636A-B6C2-4972-8FBE-073E0931F026}">
      <text>
        <r>
          <rPr>
            <b/>
            <sz val="9"/>
            <color indexed="81"/>
            <rFont val="Tahoma"/>
            <family val="2"/>
          </rPr>
          <t>Rajagopalan Thayalan:</t>
        </r>
        <r>
          <rPr>
            <sz val="9"/>
            <color indexed="81"/>
            <rFont val="Tahoma"/>
            <family val="2"/>
          </rPr>
          <t xml:space="preserve">
In Chris file, but nothing will be loaded for Other Income.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ccount_Details" type="4" refreshedVersion="1" background="1" saveData="1">
    <webPr firstRow="1" xl2000="1" url="https://acm.juullabs.com:443//Export/ExcelQuery.axd?companyid=SGHoldCo" post="requestData=%7B%22company%22%3A%22SGHoldCo%22%2C%22parameters%22%3A%7B%22OrganizationID%22%3A%7B%22view_name%22%3A%22Filter%22%2C%22display_name%22%3A%22Company%3A%22%2C%22is_default%22%3Afalse%2C%22value%22%3Anull%7D%2C%22BranchID%22%3A%7B%22view_name%22%3A%22Filter%22%2C%22display_name%22%3A%22Branch%3A%22%2C%22is_default%22%3Atrue%2C%22value%22%3A%22JUULSG%22%7D%2C%22LedgerID%22%3A%7B%22view_name%22%3A%22Filter%22%2C%22display_name%22%3A%22Ledger%3A%22%2C%22is_default%22%3Atrue%2C%22value%22%3A%22ACTUAL%22%7D%2C%22StartPeriodID%22%3A%7B%22view_name%22%3A%22Filter%22%2C%22display_name%22%3A%22From%20Period%3A%22%2C%22is_default%22%3Afalse%2C%22value%22%3A%22072019%22%7D%2C%22EndPeriodID%22%3A%7B%22view_name%22%3A%22Filter%22%2C%22display_name%22%3A%22To%20Period%3A%22%2C%22is_default%22%3Afalse%2C%22value%22%3A%22072019%22%7D%2C%22AccountID%22%3A%7B%22view_name%22%3A%22Filter%22%2C%22display_name%22%3A%22Account%3A%22%2C%22is_default%22%3Afalse%2C%22value%22%3A%22497100%22%7D%2C%22SubID%22%3A%7B%22view_name%22%3A%22Filter%22%2C%22display_name%22%3A%22Subaccount%3A%22%2C%22is_default%22%3Atrue%2C%22value%22%3Anull%7D%2C%22StartDateUI%22%3A%7B%22view_name%22%3A%22Filter%22%2C%22display_name%22%3A%22From%20Date%3A%22%2C%22is_default%22%3Atrue%2C%22value%22%3Anull%7D%2C%22PeriodStartDateUI%22%3A%7B%22view_name%22%3A%22Filter%22%2C%22display_name%22%3A%22Period%20Start%20Date%3A%22%2C%22is_default%22%3Afalse%2C%22value%22%3A%2201%2F07%2F2019%2000%3A00%3A00%22%7D%2C%22EndDateUI%22%3A%7B%22view_name%22%3A%22Filter%22%2C%22display_name%22%3A%22To%20Date%3A%22%2C%22is_default%22%3Atrue%2C%22value%22%3Anull%7D%2C%22PeriodEndDateUI%22%3A%7B%22view_name%22%3A%22Filter%22%2C%22display_name%22%3A%22Period%20End%20Date%3A%22%2C%22is_default%22%3Afalse%2C%22value%22%3A%2231%2F07%2F2019%2000%3A00%3A00%22%7D%2C%22ShowSummary%22%3A%7B%22view_name%22%3A%22Filter%22%2C%22display_name%22%3A%22Show%20Summary%22%2C%22is_default%22%3Atrue%2C%22value%22%3A%22False%22%7D%2C%22IncludeUnposted%22%3A%7B%22view_name%22%3A%22Filter%22%2C%22display_name%22%3A%22Include%20Unposted%22%2C%22is_default%22%3Atrue%2C%22value%22%3A%22False%22%7D%2C%22IncludeUnreleased%22%3A%7B%22view_name%22%3A%22Filter%22%2C%22display_name%22%3A%22Include%20Unreleased%22%2C%22is_default%22%3Atrue%2C%22value%22%3A%22False%22%7D%2C%22IncludeReclassified%22%3A%7B%22view_name%22%3A%22Filter%22%2C%22display_name%22%3A%22Include%20Reclassified%22%2C%22is_default%22%3Atrue%2C%22value%22%3A%22False%22%7D%2C%22ShowCuryDetail%22%3A%7B%22view_name%22%3A%22Filter%22%2C%22display_name%22%3A%22Show%20Currency%20Details%22%2C%22is_default%22%3Atrue%2C%22value%22%3A%22False%22%7D%2C%22BegBal%22%3A%7B%22view_name%22%3A%22Filter%22%2C%22display_name%22%3A%22Beginning%20Balance%3A%22%2C%22is_default%22%3Afalse%2C%22value%22%3A%222149317.84%22%7D%2C%22TurnOver%22%3A%7B%22view_name%22%3A%22Filter%22%2C%22display_name%22%3A%22Turnover%3A%22%2C%22is_default%22%3Afalse%2C%22value%22%3A%22-1463616.48%22%7D%2C%22EndBal%22%3A%7B%22view_name%22%3A%22Filter%22%2C%22display_name%22%3A%22Ending%20Balance%3A%22%2C%22is_default%22%3Afalse%2C%22value%22%3A%22685701.36%22%7D%7D%2C%22filter_name%22%3A%22Saved%20Filter%22%2C%22filters%22%3A%7B%7D%2C%22data%22%3A%7B%22screen_id%22%3A%22GL.40.40.00%22%2C%22view_name%22%3A%22GLTranEnq%22%2C%22parameters%22%3A%5B%7B%22view_name%22%3A%22Filter%22%2C%22items%22%3A%5B%7B%22name%22%3A%22OrganizationID%22%2C%22is_key%22%3Afalse%2C%22value%22%3Anull%7D%2C%7B%22name%22%3A%22BranchID%22%2C%22is_key%22%3Afalse%2C%22value%22%3A%22JUULSG%22%7D%2C%7B%22name%22%3A%22LedgerID%22%2C%22is_key%22%3Afalse%2C%22value%22%3A%22ACTUAL%22%7D%2C%7B%22name%22%3A%22StartPeriodID%22%2C%22is_key%22%3Afalse%2C%22value%22%3A%22072019%22%7D%2C%7B%22name%22%3A%22EndPeriodID%22%2C%22is_key%22%3Afalse%2C%22value%22%3A%22072019%22%7D%2C%7B%22name%22%3A%22AccountID%22%2C%22is_key%22%3Afalse%2C%22value%22%3A%22497100%22%7D%2C%7B%22name%22%3A%22SubID%22%2C%22is_key%22%3Afalse%2C%22value%22%3Anull%7D%2C%7B%22name%22%3A%22StartDateUI%22%2C%22is_key%22%3Afalse%2C%22value%22%3Anull%7D%2C%7B%22name%22%3A%22PeriodStartDateUI%22%2C%22is_key%22%3Afalse%2C%22value%22%3A%2201%2F07%2F2019%2000%3A00%3A00%22%7D%2C%7B%22name%22%3A%22EndDateUI%22%2C%22is_key%22%3Afalse%2C%22value%22%3Anull%7D%2C%7B%22name%22%3A%22PeriodEndDateUI%22%2C%22is_key%22%3Afalse%2C%22value%22%3A%2231%2F07%2F2019%2000%3A00%3A00%22%7D%2C%7B%22name%22%3A%22ShowSummary%22%2C%22is_key%22%3Afalse%2C%22value%22%3A%22False%22%7D%2C%7B%22name%22%3A%22IncludeUnposted%22%2C%22is_key%22%3Afalse%2C%22value%22%3A%22False%22%7D%2C%7B%22name%22%3A%22IncludeUnreleased%22%2C%22is_key%22%3Afalse%2C%22value%22%3A%22False%22%7D%2C%7B%22name%22%3A%22IncludeReclassified%22%2C%22is_key%22%3Afalse%2C%22value%22%3A%22False%22%7D%2C%7B%22name%22%3A%22ShowCuryDetail%22%2C%22is_key%22%3Afalse%2C%22value%22%3A%22False%22%7D%2C%7B%22name%22%3A%22BegBal%22%2C%22is_key%22%3Afalse%2C%22value%22%3A%222149317.84%22%7D%2C%7B%22name%22%3A%22TurnOver%22%2C%22is_key%22%3Afalse%2C%22value%22%3A%22-1463616.48%22%7D%2C%7B%22name%22%3A%22EndBal%22%2C%22is_key%22%3Afalse%2C%22value%22%3A%22685701.36%22%7D%5D%7D%5D%2C%22filters%22%3A%5B%5D%2C%22fields%22%3A%22Selected%2CModule%2CBatchNbr%2CTranDate%2CFinPeriodID%2CTranDesc%2CReferenceID%2CRefNbr%2CAccountID%2CSubID%2CSignBegBalance%2CDebitAmt%2CReclassBatchNbr%2CCreditAmt%2CSignEndBalance%2CReferenceID_BaccountR_AcctName%22%7D%7D" htmlFormat="all"/>
  </connection>
</connections>
</file>

<file path=xl/sharedStrings.xml><?xml version="1.0" encoding="utf-8"?>
<sst xmlns="http://schemas.openxmlformats.org/spreadsheetml/2006/main" count="945" uniqueCount="311">
  <si>
    <t>Contra Revenue Accruals</t>
  </si>
  <si>
    <t>Korea Duty free</t>
  </si>
  <si>
    <t>Guam Duty Free</t>
  </si>
  <si>
    <t>Philippines</t>
  </si>
  <si>
    <t>Indonesia</t>
  </si>
  <si>
    <t>Gross Revenue</t>
  </si>
  <si>
    <t>Contra Revenue</t>
  </si>
  <si>
    <t>Net Revenue (Expected)</t>
  </si>
  <si>
    <t>AVG May Rate</t>
  </si>
  <si>
    <t>AOP/FC Rates</t>
  </si>
  <si>
    <t>AOP Rates</t>
  </si>
  <si>
    <t>With Korea Rate at 1125</t>
  </si>
  <si>
    <t>Due on 6/28</t>
  </si>
  <si>
    <t>Due on 6/17</t>
  </si>
  <si>
    <t>Due on 6/10</t>
  </si>
  <si>
    <t>May FC</t>
  </si>
  <si>
    <t>June Flash on 6/10</t>
  </si>
  <si>
    <t>June Flash on 6/17</t>
  </si>
  <si>
    <t>June Flash on 6/28</t>
  </si>
  <si>
    <t>May Forecast</t>
  </si>
  <si>
    <t>Variance</t>
  </si>
  <si>
    <t>6/17 Vs. 6/10</t>
  </si>
  <si>
    <t>Contra Revenue % over Gross Revenue</t>
  </si>
  <si>
    <t>USD</t>
  </si>
  <si>
    <t>Actual</t>
  </si>
  <si>
    <t>June FC</t>
  </si>
  <si>
    <t>FY 2019</t>
  </si>
  <si>
    <t>FC Rates</t>
  </si>
  <si>
    <t>Actual (LC)</t>
  </si>
  <si>
    <t>FC (LC)</t>
  </si>
  <si>
    <t>FY2019</t>
  </si>
  <si>
    <t>6/17 Vs 6/28</t>
  </si>
  <si>
    <t>6/10 Vs 6/17</t>
  </si>
  <si>
    <t>6/17 Vs May FC</t>
  </si>
  <si>
    <t>Q2</t>
  </si>
  <si>
    <t>Q3</t>
  </si>
  <si>
    <t>Q4</t>
  </si>
  <si>
    <t>FY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</si>
  <si>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</si>
  <si>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</si>
  <si>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</si>
  <si>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</si>
  <si>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</si>
  <si>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</si>
  <si>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</si>
  <si>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</si>
  <si>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</si>
  <si>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Q1</t>
  </si>
  <si>
    <t>6/17</t>
  </si>
  <si>
    <t>6/10</t>
  </si>
  <si>
    <t>Korea Domestic</t>
  </si>
  <si>
    <t xml:space="preserve">                    </t>
  </si>
  <si>
    <t>Other Income</t>
  </si>
  <si>
    <t>Returns and Allowances</t>
  </si>
  <si>
    <t>Net Revenue w/o Promotions</t>
  </si>
  <si>
    <t>Promotions</t>
  </si>
  <si>
    <t>Net Revenue w/ Promotions</t>
  </si>
  <si>
    <t>COGS</t>
  </si>
  <si>
    <t>Gross Margin</t>
  </si>
  <si>
    <t>GM%</t>
  </si>
  <si>
    <t>Korea DF</t>
  </si>
  <si>
    <t>Korea Total</t>
  </si>
  <si>
    <t>New Zealand</t>
  </si>
  <si>
    <t>APAC Total Gross Revenue</t>
  </si>
  <si>
    <t>APAC total Net Revenue</t>
  </si>
  <si>
    <t>APAC TOTAL</t>
  </si>
  <si>
    <t>LC</t>
  </si>
  <si>
    <t>Rates</t>
  </si>
  <si>
    <t>USD M</t>
  </si>
  <si>
    <t>05-2019</t>
  </si>
  <si>
    <t>06-2019</t>
  </si>
  <si>
    <t xml:space="preserve">YTD June </t>
  </si>
  <si>
    <t xml:space="preserve">SG Holdco </t>
  </si>
  <si>
    <t>Jun YTD</t>
  </si>
  <si>
    <t>Better For You Corporation</t>
  </si>
  <si>
    <t>Hotel  Shilla Co.,Ltd.</t>
  </si>
  <si>
    <t>Hotel Lotte Co., Ltd. (Duty Free)</t>
  </si>
  <si>
    <t>Duty Free</t>
  </si>
  <si>
    <t>Lotte Duty Free Guam</t>
  </si>
  <si>
    <t>PT JAGAD UTAMA LESTARI</t>
  </si>
  <si>
    <t>Net Revenue</t>
  </si>
  <si>
    <t>Total APAC</t>
  </si>
  <si>
    <t>SHINSEGAE DF Icn.</t>
  </si>
  <si>
    <t>Grand Total</t>
  </si>
  <si>
    <t>Korea Sell In</t>
  </si>
  <si>
    <t>Corp Average Rates - USD</t>
  </si>
  <si>
    <t>May Rates</t>
  </si>
  <si>
    <t>Corp Average Rates - KRW</t>
  </si>
  <si>
    <t>APAC Total</t>
  </si>
  <si>
    <t>June MTD</t>
  </si>
  <si>
    <t>Korea Domestic Contra revenue accruals for June 2019 from Jasmine</t>
  </si>
  <si>
    <t>KRW</t>
  </si>
  <si>
    <t>Rate</t>
  </si>
  <si>
    <r>
      <rPr>
        <sz val="11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 JV will be on reversal mode, accruals to be based upon YTD numbers</t>
    </r>
  </si>
  <si>
    <t>June Forecast</t>
  </si>
  <si>
    <t>GL Account</t>
  </si>
  <si>
    <t>Sub Account</t>
  </si>
  <si>
    <t xml:space="preserve">  </t>
  </si>
  <si>
    <t/>
  </si>
  <si>
    <t>HD1</t>
  </si>
  <si>
    <t>P&amp;L Trend</t>
  </si>
  <si>
    <t>HD2</t>
  </si>
  <si>
    <t>Run on Jul 09 2019 3:40:02 PM</t>
  </si>
  <si>
    <t>HD3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</si>
  <si>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</si>
  <si>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</si>
  <si>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</si>
  <si>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</si>
  <si>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</si>
  <si>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</si>
  <si>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</si>
  <si>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</si>
  <si>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</si>
  <si>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</si>
  <si>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</si>
  <si>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</si>
  <si>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</si>
  <si>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</si>
  <si>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</si>
  <si>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</si>
  <si>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</si>
  <si>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</si>
  <si>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 xml:space="preserve">        </t>
  </si>
  <si>
    <t>2019</t>
  </si>
  <si>
    <t>DIM112</t>
  </si>
  <si>
    <t>South Korea</t>
  </si>
  <si>
    <t>Product Sales</t>
  </si>
  <si>
    <t>4100 - Sales</t>
  </si>
  <si>
    <t>[Geography].&amp;[270]</t>
  </si>
  <si>
    <t>[Geography].&amp;[333]</t>
  </si>
  <si>
    <t>False</t>
  </si>
  <si>
    <t>[Account].&amp;[3374]</t>
  </si>
  <si>
    <t>[Account].&amp;[1416]</t>
  </si>
  <si>
    <t>[Department].&amp;[113]</t>
  </si>
  <si>
    <t>[Department].&amp;[291]</t>
  </si>
  <si>
    <t>[Geography].&amp;[270]|_|[Account].&amp;[3374]|_|[Department].&amp;[113]</t>
  </si>
  <si>
    <t>4150 - Retail Operations</t>
  </si>
  <si>
    <t>True</t>
  </si>
  <si>
    <t>[Department].&amp;[409]</t>
  </si>
  <si>
    <t>[Geography].&amp;[270]|_|[Account].&amp;[3374]|_|[Department].&amp;[409]</t>
  </si>
  <si>
    <t>4140 - Duty Free</t>
  </si>
  <si>
    <t>[Department].&amp;[408]</t>
  </si>
  <si>
    <t>[Geography].&amp;[270]|_|[Account].&amp;[3374]|_|[Department].&amp;[408]</t>
  </si>
  <si>
    <t>2. Contra Revenue</t>
  </si>
  <si>
    <t>[Account].&amp;[117]</t>
  </si>
  <si>
    <t>[Account].&amp;[113]</t>
  </si>
  <si>
    <t>[Geography].&amp;[270]|_|[Account].&amp;[117]|_|[Department].&amp;[113]</t>
  </si>
  <si>
    <t>[Geography].&amp;[270]|_|[Account].&amp;[117]|_|[Department].&amp;[409]</t>
  </si>
  <si>
    <t>[Geography].&amp;[270]|_|[Account].&amp;[117]|_|[Department].&amp;[408]</t>
  </si>
  <si>
    <t>3. Promotions</t>
  </si>
  <si>
    <t>[Account].&amp;[1441]</t>
  </si>
  <si>
    <t>[Geography].&amp;[270]|_|[Account].&amp;[1441]|_|[Department].&amp;[113]</t>
  </si>
  <si>
    <t>[Geography].&amp;[270]|_|[Account].&amp;[1441]|_|[Department].&amp;[409]</t>
  </si>
  <si>
    <t>Guam</t>
  </si>
  <si>
    <t>[Geography].&amp;[344]</t>
  </si>
  <si>
    <t>[Geography].&amp;[334]</t>
  </si>
  <si>
    <t>[Geography].&amp;[344]|_|[Account].&amp;[3374]|_|[Department].&amp;[408]</t>
  </si>
  <si>
    <t>[Geography].&amp;[344]|_|[Account].&amp;[117]|_|[Department].&amp;[408]</t>
  </si>
  <si>
    <t>[Geography].&amp;[268]</t>
  </si>
  <si>
    <t>[Geography].&amp;[268]|_|[Account].&amp;[3374]|_|[Department].&amp;[113]</t>
  </si>
  <si>
    <t>[Geography].&amp;[268]|_|[Account].&amp;[117]|_|[Department].&amp;[113]</t>
  </si>
  <si>
    <t>[Geography].&amp;[271]</t>
  </si>
  <si>
    <t>[Geography].&amp;[271]|_|[Account].&amp;[3374]|_|[Department].&amp;[113]</t>
  </si>
  <si>
    <t>[Geography].&amp;[271]|_|[Account].&amp;[117]|_|[Department].&amp;[113]</t>
  </si>
  <si>
    <t>[Geography].&amp;[271]|_|[Account].&amp;[1441]|_|[Department].&amp;[113]</t>
  </si>
  <si>
    <t>[Geography].&amp;[272]</t>
  </si>
  <si>
    <t>[Geography].&amp;[272]|_|[Account].&amp;[3374]|_|[Department].&amp;[113]</t>
  </si>
  <si>
    <t>[Geography].&amp;[272]|_|[Account].&amp;[117]|_|[Department].&amp;[113]</t>
  </si>
  <si>
    <t>APAC</t>
  </si>
  <si>
    <t>[Geography].&amp;[152]</t>
  </si>
  <si>
    <t>[Geography].&amp;[113]</t>
  </si>
  <si>
    <t>[Geography].&amp;[152]|_|[Account].&amp;[3374]|_|[Department].&amp;[113]</t>
  </si>
  <si>
    <t>[Geography].&amp;[152]|_|[Account].&amp;[3374]|_|[Department].&amp;[409]</t>
  </si>
  <si>
    <t>[Geography].&amp;[152]|_|[Account].&amp;[3374]|_|[Department].&amp;[408]</t>
  </si>
  <si>
    <t>[Geography].&amp;[152]|_|[Account].&amp;[117]|_|[Department].&amp;[113]</t>
  </si>
  <si>
    <t>[Geography].&amp;[152]|_|[Account].&amp;[117]|_|[Department].&amp;[409]</t>
  </si>
  <si>
    <t>[Geography].&amp;[152]|_|[Account].&amp;[117]|_|[Department].&amp;[408]</t>
  </si>
  <si>
    <t>[Geography].&amp;[152]|_|[Account].&amp;[1441]|_|[Department].&amp;[113]</t>
  </si>
  <si>
    <t>[Geography].&amp;[152]|_|[Account].&amp;[1441]|_|[Department].&amp;[409]</t>
  </si>
  <si>
    <t>[Time].&amp;[407]</t>
  </si>
  <si>
    <t>[Time].&amp;[408]</t>
  </si>
  <si>
    <t>[Time].&amp;[409]</t>
  </si>
  <si>
    <t>[Time].&amp;[410]</t>
  </si>
  <si>
    <t>[Time].&amp;[411]</t>
  </si>
  <si>
    <t>[Time].&amp;[412]</t>
  </si>
  <si>
    <t>[Time].&amp;[413]</t>
  </si>
  <si>
    <t>[Time].&amp;[414]</t>
  </si>
  <si>
    <t>[Time].&amp;[415]</t>
  </si>
  <si>
    <t>[Time].&amp;[416]</t>
  </si>
  <si>
    <t>[Time].&amp;[417]</t>
  </si>
  <si>
    <t>[Time].&amp;[418]</t>
  </si>
  <si>
    <t>[Time].&amp;[419]</t>
  </si>
  <si>
    <t>[Time].&amp;[420]</t>
  </si>
  <si>
    <t>[Time].&amp;[421]</t>
  </si>
  <si>
    <t>[Time].&amp;[422]</t>
  </si>
  <si>
    <t>[Time].&amp;[423]</t>
  </si>
  <si>
    <t>[Time].&amp;[424]</t>
  </si>
  <si>
    <t>[Time].[38]</t>
  </si>
  <si>
    <t>[Time].&amp;[5095]</t>
  </si>
  <si>
    <t>0</t>
  </si>
  <si>
    <t>[Time].&amp;[5094]</t>
  </si>
  <si>
    <t>[Time].&amp;[5096]</t>
  </si>
  <si>
    <t>[Time].&amp;[5097]</t>
  </si>
  <si>
    <t>[Time].&amp;[5098]</t>
  </si>
  <si>
    <t>[Time].&amp;[5099]</t>
  </si>
  <si>
    <t>[Time].&amp;[5101]</t>
  </si>
  <si>
    <t>[Time].&amp;[5102]</t>
  </si>
  <si>
    <t>[Time].[All Time]</t>
  </si>
  <si>
    <t>FALSE</t>
  </si>
  <si>
    <t>CS - 18mth Trended</t>
  </si>
  <si>
    <t>31</t>
  </si>
  <si>
    <t>32</t>
  </si>
  <si>
    <t>33</t>
  </si>
  <si>
    <t>34</t>
  </si>
  <si>
    <t>36</t>
  </si>
  <si>
    <t>35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</si>
  <si>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</si>
  <si>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</si>
  <si>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</si>
  <si>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</si>
  <si>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</si>
  <si>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</si>
  <si>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</si>
  <si>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</si>
  <si>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</si>
  <si>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</si>
  <si>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</si>
  <si>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</si>
  <si>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38</t>
  </si>
  <si>
    <t>37</t>
  </si>
  <si>
    <t>DIM107</t>
  </si>
  <si>
    <t>DIM100</t>
  </si>
  <si>
    <t>DIM104</t>
  </si>
  <si>
    <t>@curmth-6@</t>
  </si>
  <si>
    <t>@curmth-5@</t>
  </si>
  <si>
    <t>@curmth-4@</t>
  </si>
  <si>
    <t>@curmth-3@</t>
  </si>
  <si>
    <t>@curmth-2@</t>
  </si>
  <si>
    <t>@curmth-1@</t>
  </si>
  <si>
    <t>@curmth@</t>
  </si>
  <si>
    <t>@curmth+1@</t>
  </si>
  <si>
    <t>@curmth+2@</t>
  </si>
  <si>
    <t>@curmth+3@</t>
  </si>
  <si>
    <t>@curmth+4@</t>
  </si>
  <si>
    <t>@curmth+5@</t>
  </si>
  <si>
    <t>@curmth+6@</t>
  </si>
  <si>
    <t>@curmth+7@</t>
  </si>
  <si>
    <t>@curmth+8@</t>
  </si>
  <si>
    <t>@curmth+9@</t>
  </si>
  <si>
    <t>@curmth+10@</t>
  </si>
  <si>
    <t>@curmth+11@</t>
  </si>
  <si>
    <t>@curyr@</t>
  </si>
  <si>
    <t>KR001-DUT-4140-JUL</t>
  </si>
  <si>
    <t>GU001-DUT-4140-JUL</t>
  </si>
  <si>
    <t>PH001-STR-4100-JUL</t>
  </si>
  <si>
    <t>Row Labels</t>
  </si>
  <si>
    <t>Sum of Credit Amount</t>
  </si>
  <si>
    <t>HDC Shilla Duty Free LTD.</t>
  </si>
  <si>
    <t xml:space="preserve">From MY exchange rate file. </t>
  </si>
  <si>
    <t>BFY</t>
  </si>
  <si>
    <t>PT JUUL</t>
  </si>
  <si>
    <t>Dutyfree Guam,</t>
  </si>
  <si>
    <t>Dutyfree Korea</t>
  </si>
  <si>
    <t>497100</t>
  </si>
  <si>
    <t>Selected</t>
  </si>
  <si>
    <t>Module</t>
  </si>
  <si>
    <t>Batch Number</t>
  </si>
  <si>
    <t>Tran. Date</t>
  </si>
  <si>
    <t>Period</t>
  </si>
  <si>
    <t>Description</t>
  </si>
  <si>
    <t>Business Account</t>
  </si>
  <si>
    <t>Ref. Number</t>
  </si>
  <si>
    <t>Account</t>
  </si>
  <si>
    <t>Subaccount</t>
  </si>
  <si>
    <t>Beg. Balance</t>
  </si>
  <si>
    <t>Debit Amount</t>
  </si>
  <si>
    <t>Reclass. Batch Number</t>
  </si>
  <si>
    <t>Credit Amount</t>
  </si>
  <si>
    <t>Ending Balance</t>
  </si>
  <si>
    <t>Business Account Name</t>
  </si>
  <si>
    <t>GL</t>
  </si>
  <si>
    <t>GL08-00001545</t>
  </si>
  <si>
    <t>07-2019</t>
  </si>
  <si>
    <t>Payment to Philippines Master Distributor</t>
  </si>
  <si>
    <t>GL08-00001432</t>
  </si>
  <si>
    <t>Contra Revenue Accruals - YTD June 2019</t>
  </si>
  <si>
    <t>Contra Accrl Ju</t>
  </si>
  <si>
    <t>KR001-DUT-4140-JRK</t>
  </si>
  <si>
    <t>GU001-DUT-4140-JRK</t>
  </si>
  <si>
    <t>PH001-STR-4100-JRK</t>
  </si>
  <si>
    <t>ID001-STR-4100-JRK</t>
  </si>
  <si>
    <t>GL08-00001604</t>
  </si>
  <si>
    <t>Reversal of Contra Revenue Accruals - YTD June 2019</t>
  </si>
  <si>
    <t>AP</t>
  </si>
  <si>
    <t>GL08-00001975</t>
  </si>
  <si>
    <t>Q2_Others (BFY headcount)</t>
  </si>
  <si>
    <t>08-0000097</t>
  </si>
  <si>
    <t>AP08-00001007</t>
  </si>
  <si>
    <t>PH001-CRP-4100-JUL</t>
  </si>
  <si>
    <t>Q2_Others (BFY headcount) 12% VAT</t>
  </si>
  <si>
    <t>GL08-00001498</t>
  </si>
  <si>
    <t>Minimart - Listing &amp; branding fee payment</t>
  </si>
  <si>
    <t>08-0000140</t>
  </si>
  <si>
    <t>AP08-00000713</t>
  </si>
  <si>
    <t>ID001-CRP-4100-JUL</t>
  </si>
  <si>
    <t>PT Jagad Utama Lestari</t>
  </si>
  <si>
    <t>Minimart - Listing &amp; branding fee payment_10% VAT</t>
  </si>
  <si>
    <t>PT JUL</t>
  </si>
  <si>
    <t>YTD July</t>
  </si>
  <si>
    <t xml:space="preserve">Freight out amount </t>
  </si>
  <si>
    <t>SGD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</si>
</sst>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* #,##0_);_(* \(#,##0\);_(* &quot;-&quot;??_);_(@_)"/>
    <numFmt numFmtId="165" formatCode="0.00000"/>
    <numFmt numFmtId="166" formatCode="0.0%"/>
    <numFmt numFmtId="167" formatCode="_(* #,##0.0_);_(* \(#,##0.0\);_(* &quot;-&quot;??_);_(@_)"/>
    <numFmt numFmtId="168" formatCode="_(* #,##0.000000_);_(* \(#,##0.000000\);_(* &quot;-&quot;??_);_(@_)"/>
    <numFmt numFmtId="169" formatCode="_(* #,##0.0000_);_(* \(#,##0.0000\);_(* &quot;-&quot;??_);_(@_)"/>
    <numFmt numFmtId="170" formatCode="_(* #,##0_);[Red]_(* \(#,##0\);_(* &quot;-&quot;_);_(@_)"/>
    <numFmt numFmtId="171" formatCode="dd\/mm\/yyyy"/>
    <numFmt numFmtId="172" formatCode="#,##0.00;[Red]\-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Tahoma"/>
      <family val="2"/>
    </font>
    <font>
      <sz val="9"/>
      <color rgb="FFFF0000"/>
      <name val="Tahoma"/>
      <family val="2"/>
    </font>
    <font>
      <b/>
      <sz val="9"/>
      <color rgb="FFFF0000"/>
      <name val="Tahoma"/>
      <family val="2"/>
    </font>
    <font>
      <b/>
      <sz val="9"/>
      <name val="Tahoma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name val="Tahoma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80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Alignment="0"/>
    <xf numFmtId="43" fontId="11" fillId="0" borderId="0" applyFont="0" applyFill="0" applyBorder="0" applyAlignment="0" applyProtection="0"/>
    <xf numFmtId="0" fontId="19" fillId="0" borderId="0" applyAlignment="0"/>
    <xf numFmtId="43" fontId="19" fillId="0" borderId="0" applyFont="0" applyFill="0" applyBorder="0" applyAlignment="0" applyProtection="0"/>
    <xf numFmtId="0" fontId="20" fillId="12" borderId="11" applyAlignment="0"/>
    <xf numFmtId="0" fontId="21" fillId="13" borderId="28" applyAlignment="0"/>
    <xf numFmtId="171" fontId="21" fillId="13" borderId="28"/>
    <xf numFmtId="172" fontId="21" fillId="13" borderId="28"/>
  </cellStyleXfs>
  <cellXfs count="214">
    <xf numFmtId="0" fontId="0" fillId="0" borderId="0" xfId="0"/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0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0" fillId="0" borderId="3" xfId="1" applyNumberFormat="1" applyFont="1" applyBorder="1"/>
    <xf numFmtId="164" fontId="6" fillId="0" borderId="0" xfId="1" applyNumberFormat="1" applyFont="1" applyFill="1" applyAlignment="1">
      <alignment horizontal="center"/>
    </xf>
    <xf numFmtId="164" fontId="6" fillId="0" borderId="0" xfId="1" applyNumberFormat="1" applyFont="1" applyAlignment="1">
      <alignment horizontal="center"/>
    </xf>
    <xf numFmtId="164" fontId="0" fillId="0" borderId="0" xfId="1" applyNumberFormat="1" applyFont="1"/>
    <xf numFmtId="164" fontId="7" fillId="2" borderId="0" xfId="1" applyNumberFormat="1" applyFont="1" applyFill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64" fontId="4" fillId="2" borderId="9" xfId="1" applyNumberFormat="1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164" fontId="4" fillId="4" borderId="0" xfId="1" applyNumberFormat="1" applyFont="1" applyFill="1" applyAlignment="1">
      <alignment horizontal="center"/>
    </xf>
    <xf numFmtId="164" fontId="4" fillId="2" borderId="0" xfId="1" applyNumberFormat="1" applyFont="1" applyFill="1" applyAlignment="1">
      <alignment horizontal="center"/>
    </xf>
    <xf numFmtId="165" fontId="0" fillId="0" borderId="0" xfId="0" applyNumberFormat="1"/>
    <xf numFmtId="0" fontId="4" fillId="3" borderId="8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164" fontId="4" fillId="3" borderId="8" xfId="1" applyNumberFormat="1" applyFont="1" applyFill="1" applyBorder="1" applyAlignment="1">
      <alignment horizontal="center"/>
    </xf>
    <xf numFmtId="164" fontId="4" fillId="3" borderId="10" xfId="1" applyNumberFormat="1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7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164" fontId="7" fillId="0" borderId="9" xfId="1" applyNumberFormat="1" applyFont="1" applyBorder="1" applyAlignment="1">
      <alignment horizontal="center"/>
    </xf>
    <xf numFmtId="165" fontId="4" fillId="0" borderId="0" xfId="0" applyNumberFormat="1" applyFont="1"/>
    <xf numFmtId="164" fontId="7" fillId="0" borderId="0" xfId="1" applyNumberFormat="1" applyFont="1" applyFill="1" applyAlignment="1">
      <alignment horizontal="center"/>
    </xf>
    <xf numFmtId="164" fontId="7" fillId="0" borderId="0" xfId="1" applyNumberFormat="1" applyFont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164" fontId="7" fillId="0" borderId="0" xfId="1" applyNumberFormat="1" applyFont="1" applyBorder="1" applyAlignment="1">
      <alignment horizontal="center"/>
    </xf>
    <xf numFmtId="164" fontId="7" fillId="0" borderId="10" xfId="1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" fontId="5" fillId="0" borderId="8" xfId="0" quotePrefix="1" applyNumberFormat="1" applyFont="1" applyBorder="1" applyAlignment="1">
      <alignment horizontal="center"/>
    </xf>
    <xf numFmtId="0" fontId="5" fillId="0" borderId="0" xfId="0" quotePrefix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0" xfId="0" applyFont="1" applyBorder="1"/>
    <xf numFmtId="164" fontId="0" fillId="0" borderId="0" xfId="1" applyNumberFormat="1" applyFont="1" applyFill="1" applyBorder="1"/>
    <xf numFmtId="164" fontId="0" fillId="0" borderId="9" xfId="1" applyNumberFormat="1" applyFont="1" applyBorder="1"/>
    <xf numFmtId="164" fontId="0" fillId="4" borderId="0" xfId="1" applyNumberFormat="1" applyFont="1" applyFill="1"/>
    <xf numFmtId="164" fontId="0" fillId="0" borderId="8" xfId="1" applyNumberFormat="1" applyFont="1" applyBorder="1"/>
    <xf numFmtId="164" fontId="0" fillId="0" borderId="0" xfId="1" applyNumberFormat="1" applyFont="1" applyBorder="1"/>
    <xf numFmtId="164" fontId="0" fillId="0" borderId="10" xfId="1" applyNumberFormat="1" applyFont="1" applyBorder="1"/>
    <xf numFmtId="164" fontId="0" fillId="0" borderId="0" xfId="0" applyNumberFormat="1"/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0" xfId="1" applyNumberFormat="1" applyFont="1" applyFill="1"/>
    <xf numFmtId="9" fontId="0" fillId="0" borderId="8" xfId="2" applyFont="1" applyFill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9" xfId="2" applyFont="1" applyBorder="1" applyAlignment="1">
      <alignment horizontal="center"/>
    </xf>
    <xf numFmtId="0" fontId="7" fillId="0" borderId="11" xfId="0" applyFont="1" applyBorder="1"/>
    <xf numFmtId="164" fontId="0" fillId="8" borderId="12" xfId="1" applyNumberFormat="1" applyFont="1" applyFill="1" applyBorder="1"/>
    <xf numFmtId="164" fontId="0" fillId="8" borderId="13" xfId="1" applyNumberFormat="1" applyFont="1" applyFill="1" applyBorder="1"/>
    <xf numFmtId="164" fontId="0" fillId="8" borderId="14" xfId="1" applyNumberFormat="1" applyFont="1" applyFill="1" applyBorder="1"/>
    <xf numFmtId="164" fontId="0" fillId="8" borderId="15" xfId="1" applyNumberFormat="1" applyFont="1" applyFill="1" applyBorder="1"/>
    <xf numFmtId="164" fontId="0" fillId="8" borderId="16" xfId="1" applyNumberFormat="1" applyFont="1" applyFill="1" applyBorder="1"/>
    <xf numFmtId="164" fontId="0" fillId="8" borderId="17" xfId="1" applyNumberFormat="1" applyFont="1" applyFill="1" applyBorder="1"/>
    <xf numFmtId="164" fontId="0" fillId="8" borderId="18" xfId="1" applyNumberFormat="1" applyFont="1" applyFill="1" applyBorder="1"/>
    <xf numFmtId="164" fontId="8" fillId="0" borderId="0" xfId="1" applyNumberFormat="1" applyFont="1" applyFill="1" applyBorder="1"/>
    <xf numFmtId="164" fontId="0" fillId="4" borderId="0" xfId="1" applyNumberFormat="1" applyFont="1" applyFill="1" applyBorder="1"/>
    <xf numFmtId="164" fontId="8" fillId="4" borderId="0" xfId="1" applyNumberFormat="1" applyFont="1" applyFill="1" applyBorder="1"/>
    <xf numFmtId="9" fontId="0" fillId="8" borderId="0" xfId="2" applyFont="1" applyFill="1" applyBorder="1"/>
    <xf numFmtId="164" fontId="0" fillId="8" borderId="0" xfId="1" applyNumberFormat="1" applyFont="1" applyFill="1" applyBorder="1"/>
    <xf numFmtId="164" fontId="0" fillId="8" borderId="8" xfId="1" applyNumberFormat="1" applyFont="1" applyFill="1" applyBorder="1"/>
    <xf numFmtId="164" fontId="0" fillId="8" borderId="9" xfId="1" applyNumberFormat="1" applyFont="1" applyFill="1" applyBorder="1"/>
    <xf numFmtId="164" fontId="0" fillId="8" borderId="10" xfId="1" applyNumberFormat="1" applyFont="1" applyFill="1" applyBorder="1"/>
    <xf numFmtId="166" fontId="0" fillId="0" borderId="0" xfId="2" applyNumberFormat="1" applyFont="1" applyFill="1" applyBorder="1"/>
    <xf numFmtId="3" fontId="0" fillId="0" borderId="0" xfId="0" applyNumberFormat="1" applyFill="1" applyBorder="1"/>
    <xf numFmtId="0" fontId="4" fillId="0" borderId="0" xfId="0" applyFont="1"/>
    <xf numFmtId="3" fontId="0" fillId="4" borderId="0" xfId="0" applyNumberFormat="1" applyFill="1" applyBorder="1"/>
    <xf numFmtId="43" fontId="0" fillId="0" borderId="0" xfId="1" applyFont="1" applyFill="1" applyBorder="1"/>
    <xf numFmtId="43" fontId="0" fillId="0" borderId="0" xfId="1" applyFont="1" applyBorder="1"/>
    <xf numFmtId="9" fontId="0" fillId="0" borderId="8" xfId="2" applyFont="1" applyBorder="1" applyAlignment="1">
      <alignment horizontal="center"/>
    </xf>
    <xf numFmtId="43" fontId="0" fillId="0" borderId="0" xfId="0" applyNumberFormat="1" applyFill="1" applyBorder="1"/>
    <xf numFmtId="3" fontId="0" fillId="0" borderId="0" xfId="0" applyNumberFormat="1" applyBorder="1"/>
    <xf numFmtId="0" fontId="0" fillId="0" borderId="0" xfId="0" applyFill="1" applyBorder="1"/>
    <xf numFmtId="164" fontId="4" fillId="0" borderId="0" xfId="0" applyNumberFormat="1" applyFont="1" applyFill="1" applyBorder="1"/>
    <xf numFmtId="164" fontId="4" fillId="0" borderId="9" xfId="0" applyNumberFormat="1" applyFont="1" applyFill="1" applyBorder="1"/>
    <xf numFmtId="164" fontId="4" fillId="0" borderId="0" xfId="1" applyNumberFormat="1" applyFont="1" applyBorder="1"/>
    <xf numFmtId="164" fontId="4" fillId="0" borderId="9" xfId="1" applyNumberFormat="1" applyFont="1" applyBorder="1"/>
    <xf numFmtId="164" fontId="4" fillId="0" borderId="8" xfId="1" applyNumberFormat="1" applyFont="1" applyBorder="1"/>
    <xf numFmtId="164" fontId="4" fillId="0" borderId="8" xfId="0" applyNumberFormat="1" applyFont="1" applyFill="1" applyBorder="1"/>
    <xf numFmtId="164" fontId="4" fillId="0" borderId="10" xfId="0" applyNumberFormat="1" applyFont="1" applyFill="1" applyBorder="1"/>
    <xf numFmtId="0" fontId="4" fillId="0" borderId="0" xfId="0" applyFont="1" applyFill="1" applyBorder="1"/>
    <xf numFmtId="0" fontId="4" fillId="0" borderId="0" xfId="0" applyFont="1" applyBorder="1"/>
    <xf numFmtId="0" fontId="5" fillId="0" borderId="19" xfId="0" applyFont="1" applyBorder="1" applyAlignment="1">
      <alignment horizontal="center"/>
    </xf>
    <xf numFmtId="0" fontId="7" fillId="0" borderId="20" xfId="0" applyFont="1" applyFill="1" applyBorder="1"/>
    <xf numFmtId="164" fontId="4" fillId="0" borderId="20" xfId="1" applyNumberFormat="1" applyFont="1" applyBorder="1"/>
    <xf numFmtId="164" fontId="4" fillId="0" borderId="20" xfId="1" applyNumberFormat="1" applyFont="1" applyFill="1" applyBorder="1"/>
    <xf numFmtId="164" fontId="4" fillId="0" borderId="21" xfId="1" applyNumberFormat="1" applyFont="1" applyBorder="1"/>
    <xf numFmtId="164" fontId="4" fillId="0" borderId="0" xfId="1" applyNumberFormat="1" applyFont="1"/>
    <xf numFmtId="164" fontId="0" fillId="0" borderId="19" xfId="1" applyNumberFormat="1" applyFont="1" applyBorder="1"/>
    <xf numFmtId="164" fontId="4" fillId="2" borderId="21" xfId="1" applyNumberFormat="1" applyFont="1" applyFill="1" applyBorder="1"/>
    <xf numFmtId="164" fontId="4" fillId="0" borderId="19" xfId="1" applyNumberFormat="1" applyFont="1" applyBorder="1"/>
    <xf numFmtId="164" fontId="4" fillId="0" borderId="22" xfId="1" applyNumberFormat="1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0" fontId="3" fillId="0" borderId="0" xfId="0" applyFont="1"/>
    <xf numFmtId="0" fontId="7" fillId="0" borderId="23" xfId="0" applyFont="1" applyBorder="1"/>
    <xf numFmtId="164" fontId="0" fillId="0" borderId="23" xfId="0" applyNumberFormat="1" applyBorder="1"/>
    <xf numFmtId="164" fontId="0" fillId="0" borderId="23" xfId="1" applyNumberFormat="1" applyFont="1" applyBorder="1"/>
    <xf numFmtId="0" fontId="11" fillId="0" borderId="0" xfId="3" applyNumberFormat="1" applyFont="1" applyFill="1" applyBorder="1"/>
    <xf numFmtId="0" fontId="12" fillId="2" borderId="0" xfId="3" applyNumberFormat="1" applyFont="1" applyFill="1" applyBorder="1"/>
    <xf numFmtId="17" fontId="11" fillId="0" borderId="0" xfId="3" applyNumberFormat="1" applyFont="1" applyFill="1" applyBorder="1"/>
    <xf numFmtId="0" fontId="13" fillId="0" borderId="1" xfId="3" applyNumberFormat="1" applyFont="1" applyFill="1" applyBorder="1" applyAlignment="1">
      <alignment horizontal="center"/>
    </xf>
    <xf numFmtId="17" fontId="14" fillId="0" borderId="2" xfId="3" applyNumberFormat="1" applyFont="1" applyFill="1" applyBorder="1" applyAlignment="1">
      <alignment horizontal="center"/>
    </xf>
    <xf numFmtId="0" fontId="14" fillId="0" borderId="3" xfId="3" applyNumberFormat="1" applyFont="1" applyFill="1" applyBorder="1" applyAlignment="1">
      <alignment horizontal="center"/>
    </xf>
    <xf numFmtId="164" fontId="0" fillId="0" borderId="0" xfId="4" applyNumberFormat="1" applyFont="1" applyFill="1" applyBorder="1"/>
    <xf numFmtId="164" fontId="11" fillId="0" borderId="0" xfId="3" applyNumberFormat="1" applyFont="1" applyFill="1" applyBorder="1"/>
    <xf numFmtId="168" fontId="11" fillId="0" borderId="0" xfId="3" applyNumberFormat="1" applyFont="1" applyFill="1" applyBorder="1"/>
    <xf numFmtId="0" fontId="11" fillId="0" borderId="8" xfId="3" applyNumberFormat="1" applyFont="1" applyFill="1" applyBorder="1"/>
    <xf numFmtId="167" fontId="0" fillId="0" borderId="0" xfId="4" applyNumberFormat="1" applyFont="1" applyFill="1" applyBorder="1"/>
    <xf numFmtId="167" fontId="0" fillId="0" borderId="9" xfId="4" applyNumberFormat="1" applyFont="1" applyFill="1" applyBorder="1"/>
    <xf numFmtId="0" fontId="11" fillId="0" borderId="19" xfId="3" applyNumberFormat="1" applyFont="1" applyFill="1" applyBorder="1"/>
    <xf numFmtId="167" fontId="0" fillId="0" borderId="20" xfId="4" applyNumberFormat="1" applyFont="1" applyFill="1" applyBorder="1"/>
    <xf numFmtId="167" fontId="0" fillId="0" borderId="21" xfId="4" applyNumberFormat="1" applyFont="1" applyFill="1" applyBorder="1"/>
    <xf numFmtId="0" fontId="11" fillId="0" borderId="24" xfId="3" applyNumberFormat="1" applyFont="1" applyFill="1" applyBorder="1"/>
    <xf numFmtId="167" fontId="0" fillId="0" borderId="24" xfId="4" applyNumberFormat="1" applyFont="1" applyFill="1" applyBorder="1"/>
    <xf numFmtId="0" fontId="11" fillId="2" borderId="0" xfId="3" applyNumberFormat="1" applyFont="1" applyFill="1" applyBorder="1"/>
    <xf numFmtId="164" fontId="0" fillId="2" borderId="0" xfId="4" applyNumberFormat="1" applyFont="1" applyFill="1" applyBorder="1"/>
    <xf numFmtId="169" fontId="0" fillId="0" borderId="0" xfId="4" applyNumberFormat="1" applyFont="1" applyFill="1" applyBorder="1"/>
    <xf numFmtId="168" fontId="0" fillId="0" borderId="0" xfId="4" applyNumberFormat="1" applyFont="1" applyFill="1" applyBorder="1"/>
    <xf numFmtId="43" fontId="11" fillId="0" borderId="0" xfId="3" applyNumberFormat="1" applyFont="1" applyFill="1" applyBorder="1"/>
    <xf numFmtId="0" fontId="13" fillId="0" borderId="0" xfId="3" applyNumberFormat="1" applyFont="1" applyFill="1" applyBorder="1"/>
    <xf numFmtId="164" fontId="11" fillId="2" borderId="0" xfId="3" applyNumberFormat="1" applyFont="1" applyFill="1" applyBorder="1"/>
    <xf numFmtId="0" fontId="13" fillId="0" borderId="0" xfId="3" applyNumberFormat="1" applyFont="1" applyFill="1" applyBorder="1" applyAlignment="1">
      <alignment horizontal="center"/>
    </xf>
    <xf numFmtId="0" fontId="11" fillId="3" borderId="0" xfId="3" applyNumberFormat="1" applyFont="1" applyFill="1" applyBorder="1"/>
    <xf numFmtId="164" fontId="11" fillId="3" borderId="0" xfId="3" applyNumberFormat="1" applyFont="1" applyFill="1" applyBorder="1"/>
    <xf numFmtId="0" fontId="7" fillId="0" borderId="0" xfId="0" applyFont="1" applyAlignment="1">
      <alignment horizontal="center"/>
    </xf>
    <xf numFmtId="17" fontId="4" fillId="3" borderId="0" xfId="0" applyNumberFormat="1" applyFont="1" applyFill="1"/>
    <xf numFmtId="17" fontId="4" fillId="4" borderId="0" xfId="0" applyNumberFormat="1" applyFont="1" applyFill="1"/>
    <xf numFmtId="1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164" fontId="0" fillId="0" borderId="2" xfId="1" applyNumberFormat="1" applyFont="1" applyBorder="1"/>
    <xf numFmtId="164" fontId="0" fillId="0" borderId="20" xfId="1" applyNumberFormat="1" applyFont="1" applyBorder="1"/>
    <xf numFmtId="164" fontId="0" fillId="0" borderId="21" xfId="1" applyNumberFormat="1" applyFont="1" applyBorder="1"/>
    <xf numFmtId="17" fontId="4" fillId="9" borderId="0" xfId="0" applyNumberFormat="1" applyFont="1" applyFill="1"/>
    <xf numFmtId="43" fontId="0" fillId="0" borderId="0" xfId="0" applyNumberFormat="1"/>
    <xf numFmtId="3" fontId="0" fillId="0" borderId="0" xfId="0" applyNumberFormat="1"/>
    <xf numFmtId="43" fontId="0" fillId="0" borderId="0" xfId="1" applyFont="1"/>
    <xf numFmtId="0" fontId="17" fillId="0" borderId="0" xfId="0" quotePrefix="1" applyFont="1"/>
    <xf numFmtId="49" fontId="18" fillId="0" borderId="0" xfId="0" quotePrefix="1" applyNumberFormat="1" applyFont="1" applyAlignment="1">
      <alignment horizontal="center"/>
    </xf>
    <xf numFmtId="49" fontId="15" fillId="11" borderId="25" xfId="0" quotePrefix="1" applyNumberFormat="1" applyFont="1" applyFill="1" applyBorder="1" applyAlignment="1">
      <alignment horizontal="left"/>
    </xf>
    <xf numFmtId="49" fontId="18" fillId="0" borderId="26" xfId="0" quotePrefix="1" applyNumberFormat="1" applyFont="1" applyBorder="1" applyAlignment="1">
      <alignment horizontal="center"/>
    </xf>
    <xf numFmtId="0" fontId="17" fillId="0" borderId="27" xfId="0" applyFont="1" applyBorder="1"/>
    <xf numFmtId="0" fontId="17" fillId="0" borderId="0" xfId="0" applyFont="1"/>
    <xf numFmtId="0" fontId="17" fillId="0" borderId="25" xfId="0" quotePrefix="1" applyFont="1" applyBorder="1"/>
    <xf numFmtId="0" fontId="17" fillId="0" borderId="26" xfId="0" quotePrefix="1" applyFont="1" applyBorder="1"/>
    <xf numFmtId="49" fontId="17" fillId="0" borderId="0" xfId="0" quotePrefix="1" applyNumberFormat="1" applyFont="1"/>
    <xf numFmtId="170" fontId="17" fillId="0" borderId="0" xfId="0" applyNumberFormat="1" applyFont="1" applyAlignment="1"/>
    <xf numFmtId="170" fontId="17" fillId="0" borderId="25" xfId="0" applyNumberFormat="1" applyFont="1" applyBorder="1" applyAlignment="1"/>
    <xf numFmtId="170" fontId="17" fillId="0" borderId="26" xfId="0" applyNumberFormat="1" applyFont="1" applyBorder="1" applyAlignment="1"/>
    <xf numFmtId="0" fontId="19" fillId="0" borderId="0" xfId="5" applyNumberFormat="1" applyFont="1" applyFill="1" applyBorder="1"/>
    <xf numFmtId="43" fontId="0" fillId="0" borderId="0" xfId="6" applyFont="1" applyFill="1" applyBorder="1"/>
    <xf numFmtId="43" fontId="19" fillId="0" borderId="0" xfId="5" applyNumberFormat="1" applyFont="1" applyFill="1" applyBorder="1"/>
    <xf numFmtId="0" fontId="14" fillId="0" borderId="0" xfId="5" applyNumberFormat="1" applyFont="1" applyFill="1" applyBorder="1" applyAlignment="1">
      <alignment horizontal="center"/>
    </xf>
    <xf numFmtId="0" fontId="14" fillId="0" borderId="0" xfId="5" applyNumberFormat="1" applyFont="1" applyFill="1" applyBorder="1"/>
    <xf numFmtId="0" fontId="20" fillId="12" borderId="11" xfId="7" applyFont="1" applyFill="1" applyBorder="1" applyAlignment="1"/>
    <xf numFmtId="0" fontId="21" fillId="13" borderId="28" xfId="8" applyFont="1" applyFill="1" applyBorder="1" applyAlignment="1"/>
    <xf numFmtId="171" fontId="21" fillId="13" borderId="28" xfId="9" applyNumberFormat="1" applyFont="1" applyFill="1" applyBorder="1" applyAlignment="1"/>
    <xf numFmtId="172" fontId="21" fillId="13" borderId="28" xfId="10" applyNumberFormat="1" applyFont="1" applyFill="1" applyBorder="1" applyAlignment="1"/>
    <xf numFmtId="40" fontId="11" fillId="0" borderId="0" xfId="3" applyNumberFormat="1" applyFont="1" applyFill="1" applyBorder="1"/>
    <xf numFmtId="43" fontId="11" fillId="0" borderId="0" xfId="1" applyFont="1" applyFill="1" applyBorder="1"/>
    <xf numFmtId="164" fontId="11" fillId="0" borderId="0" xfId="1" applyNumberFormat="1" applyFont="1" applyFill="1" applyBorder="1"/>
    <xf numFmtId="172" fontId="11" fillId="0" borderId="0" xfId="3" applyNumberFormat="1" applyFont="1" applyFill="1" applyBorder="1"/>
    <xf numFmtId="164" fontId="0" fillId="0" borderId="3" xfId="1" applyNumberFormat="1" applyFont="1" applyFill="1" applyBorder="1"/>
    <xf numFmtId="164" fontId="0" fillId="0" borderId="9" xfId="1" applyNumberFormat="1" applyFont="1" applyFill="1" applyBorder="1"/>
    <xf numFmtId="164" fontId="0" fillId="0" borderId="21" xfId="1" applyNumberFormat="1" applyFont="1" applyFill="1" applyBorder="1"/>
    <xf numFmtId="164" fontId="0" fillId="2" borderId="20" xfId="1" applyNumberFormat="1" applyFont="1" applyFill="1" applyBorder="1"/>
    <xf numFmtId="0" fontId="4" fillId="6" borderId="0" xfId="0" applyFont="1" applyFill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64" fontId="4" fillId="4" borderId="1" xfId="1" applyNumberFormat="1" applyFont="1" applyFill="1" applyBorder="1" applyAlignment="1">
      <alignment horizontal="center"/>
    </xf>
    <xf numFmtId="164" fontId="4" fillId="4" borderId="2" xfId="1" applyNumberFormat="1" applyFont="1" applyFill="1" applyBorder="1" applyAlignment="1">
      <alignment horizontal="center"/>
    </xf>
    <xf numFmtId="164" fontId="4" fillId="4" borderId="3" xfId="1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9" fontId="7" fillId="0" borderId="5" xfId="2" applyFont="1" applyBorder="1" applyAlignment="1">
      <alignment horizontal="center"/>
    </xf>
    <xf numFmtId="9" fontId="7" fillId="0" borderId="6" xfId="2" applyFont="1" applyBorder="1" applyAlignment="1">
      <alignment horizontal="center"/>
    </xf>
    <xf numFmtId="9" fontId="7" fillId="0" borderId="7" xfId="2" applyFont="1" applyBorder="1" applyAlignment="1">
      <alignment horizontal="center"/>
    </xf>
    <xf numFmtId="0" fontId="11" fillId="0" borderId="0" xfId="3" applyNumberFormat="1" applyFont="1" applyFill="1" applyBorder="1" applyAlignment="1">
      <alignment horizontal="center"/>
    </xf>
    <xf numFmtId="0" fontId="11" fillId="0" borderId="5" xfId="3" applyNumberFormat="1" applyFont="1" applyFill="1" applyBorder="1" applyAlignment="1">
      <alignment horizontal="center"/>
    </xf>
    <xf numFmtId="0" fontId="11" fillId="0" borderId="6" xfId="3" applyNumberFormat="1" applyFont="1" applyFill="1" applyBorder="1" applyAlignment="1">
      <alignment horizontal="center"/>
    </xf>
    <xf numFmtId="0" fontId="11" fillId="0" borderId="7" xfId="3" applyNumberFormat="1" applyFont="1" applyFill="1" applyBorder="1" applyAlignment="1">
      <alignment horizontal="center"/>
    </xf>
    <xf numFmtId="49" fontId="15" fillId="10" borderId="0" xfId="0" quotePrefix="1" applyNumberFormat="1" applyFont="1" applyFill="1" applyAlignment="1">
      <alignment horizontal="left" wrapText="1"/>
    </xf>
    <xf numFmtId="49" fontId="15" fillId="10" borderId="0" xfId="0" applyNumberFormat="1" applyFont="1" applyFill="1" applyAlignment="1">
      <alignment horizontal="left" wrapText="1"/>
    </xf>
    <xf numFmtId="49" fontId="15" fillId="10" borderId="0" xfId="0" quotePrefix="1" applyNumberFormat="1" applyFont="1" applyFill="1" applyAlignment="1">
      <alignment horizontal="center" wrapText="1"/>
    </xf>
    <xf numFmtId="49" fontId="15" fillId="10" borderId="0" xfId="0" applyNumberFormat="1" applyFont="1" applyFill="1" applyAlignment="1">
      <alignment horizontal="center" wrapText="1"/>
    </xf>
    <xf numFmtId="49" fontId="15" fillId="10" borderId="0" xfId="0" quotePrefix="1" applyNumberFormat="1" applyFont="1" applyFill="1" applyAlignment="1">
      <alignment horizontal="right" wrapText="1"/>
    </xf>
    <xf numFmtId="49" fontId="15" fillId="10" borderId="0" xfId="0" applyNumberFormat="1" applyFont="1" applyFill="1" applyAlignment="1">
      <alignment horizontal="right" wrapText="1"/>
    </xf>
    <xf numFmtId="49" fontId="15" fillId="10" borderId="0" xfId="0" quotePrefix="1" applyNumberFormat="1" applyFont="1" applyFill="1" applyAlignment="1">
      <alignment horizontal="left" wrapText="1" indent="13"/>
    </xf>
    <xf numFmtId="49" fontId="16" fillId="10" borderId="0" xfId="0" quotePrefix="1" applyNumberFormat="1" applyFont="1" applyFill="1" applyAlignment="1">
      <alignment horizontal="left" wrapText="1"/>
    </xf>
    <xf numFmtId="49" fontId="16" fillId="10" borderId="0" xfId="0" applyNumberFormat="1" applyFont="1" applyFill="1" applyAlignment="1">
      <alignment horizontal="left" wrapText="1"/>
    </xf>
    <xf numFmtId="0" fontId="4" fillId="2" borderId="0" xfId="0" applyFont="1" applyFill="1" applyAlignment="1">
      <alignment horizontal="center"/>
    </xf>
    <xf numFmtId="43" fontId="7" fillId="0" borderId="0" xfId="1" applyFont="1"/>
  </cellXfs>
  <cellStyles count="11">
    <cellStyle name="Comma" xfId="1" builtinId="3"/>
    <cellStyle name="Comma 2" xfId="4" xr:uid="{AAA8E778-6CE4-4942-B223-C7C114F0BE12}"/>
    <cellStyle name="Comma 3" xfId="6" xr:uid="{59BCA4C0-7E30-4EAE-A79F-EEE028C0A451}"/>
    <cellStyle name="Normal" xfId="0" builtinId="0"/>
    <cellStyle name="Normal 2" xfId="3" xr:uid="{2AA9BD1F-ED24-4E77-ADAA-F2AA3EC516BB}"/>
    <cellStyle name="Normal 3" xfId="5" xr:uid="{BC5AD102-6E88-4332-A6BD-7F4D64A4E656}"/>
    <cellStyle name="Percent" xfId="2" builtinId="5"/>
    <cellStyle name="Style 2" xfId="7" xr:uid="{F253FD08-B57F-4660-9A9B-73EEAF1DEC7E}"/>
    <cellStyle name="Style 3" xfId="8" xr:uid="{9C1724EE-941F-4E43-AF7F-E8EEDE629BCE}"/>
    <cellStyle name="Style 4" xfId="9" xr:uid="{0A3658BB-61A0-4381-81D6-4E6394E06BC9}"/>
    <cellStyle name="Style 5" xfId="10" xr:uid="{51456389-21EC-4FD7-87E0-EBA26832E1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53060.5D60B430" TargetMode="Externa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38</xdr:col>
      <xdr:colOff>350286</xdr:colOff>
      <xdr:row>62</xdr:row>
      <xdr:rowOff>8929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3CF400-1E19-424F-90B7-0E54E01ED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833" y="2328333"/>
          <a:ext cx="17114286" cy="47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24</xdr:col>
      <xdr:colOff>624840</xdr:colOff>
      <xdr:row>32</xdr:row>
      <xdr:rowOff>53340</xdr:rowOff>
    </xdr:to>
    <xdr:pic>
      <xdr:nvPicPr>
        <xdr:cNvPr id="2" name="그림 1" descr="cid:image001.jpg@01D53060.5D60B430">
          <a:extLst>
            <a:ext uri="{FF2B5EF4-FFF2-40B4-BE49-F238E27FC236}">
              <a16:creationId xmlns:a16="http://schemas.microsoft.com/office/drawing/2014/main" id="{8D3FBE27-D933-4697-997F-A6E43B405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731520"/>
          <a:ext cx="12786360" cy="5173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114300</xdr:rowOff>
    </xdr:from>
    <xdr:to>
      <xdr:col>1</xdr:col>
      <xdr:colOff>381000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EF4349-ACFB-4EFE-B9DA-E9128C1E9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"/>
          <a:ext cx="1085850" cy="742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jagopalan.thayalan/Desktop/Month%20End%20Activities/Monthly%20Forecast/6.%20June%20Forecast/Flash%2028th%20June/APAC%20FC%2028th%20June%20with%2070%25%20PH%20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re"/>
      <sheetName val="Summary"/>
      <sheetName val="Summary. (4)"/>
      <sheetName val="Summary. (3)"/>
      <sheetName val="Summary. (2)"/>
      <sheetName val="Summary."/>
      <sheetName val="APAC 28.6.2019"/>
      <sheetName val="APAC 17.6.2019"/>
      <sheetName val="May FC"/>
      <sheetName val="May KR TB"/>
      <sheetName val="May SG TB"/>
      <sheetName val="Brandon Hom Rates"/>
      <sheetName val="Revenue Summary"/>
      <sheetName val="COGS Actuals"/>
      <sheetName val="June KR DF"/>
      <sheetName val="Korea Domestic Jasmine"/>
      <sheetName val="Jasmine"/>
      <sheetName val="Korea Domestic"/>
      <sheetName val="6.17 vs 6.10"/>
      <sheetName val="6.28 (PH Edit)"/>
      <sheetName val="6.28"/>
      <sheetName val="6.17"/>
      <sheetName val="6.10"/>
      <sheetName val="May Forecast"/>
      <sheetName val="MFC Duty Free - Total"/>
      <sheetName val="Currency Exchange Rate"/>
      <sheetName val="Host Loaded"/>
      <sheetName val="Host Loaded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Y4">
            <v>0</v>
          </cell>
          <cell r="Z4">
            <v>41451186.303725995</v>
          </cell>
          <cell r="AA4">
            <v>49661195.39745</v>
          </cell>
          <cell r="AB4">
            <v>34112920.806510001</v>
          </cell>
          <cell r="AC4">
            <v>125225302.50768599</v>
          </cell>
        </row>
        <row r="5"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Y6">
            <v>0</v>
          </cell>
          <cell r="Z6">
            <v>-2883821.1964139994</v>
          </cell>
          <cell r="AA6">
            <v>-6941053.7514500003</v>
          </cell>
          <cell r="AB6">
            <v>-6968448.3805299997</v>
          </cell>
          <cell r="AC6">
            <v>-16793323.328393999</v>
          </cell>
        </row>
        <row r="7">
          <cell r="Y7">
            <v>0</v>
          </cell>
          <cell r="Z7">
            <v>38567365.107311994</v>
          </cell>
          <cell r="AA7">
            <v>42720141.645999998</v>
          </cell>
          <cell r="AB7">
            <v>27144472.425980002</v>
          </cell>
          <cell r="AC7">
            <v>108431979.17929199</v>
          </cell>
        </row>
        <row r="8">
          <cell r="Y8">
            <v>0</v>
          </cell>
          <cell r="Z8">
            <v>0</v>
          </cell>
          <cell r="AA8">
            <v>0</v>
          </cell>
          <cell r="AB8">
            <v>-3036285.6496700002</v>
          </cell>
          <cell r="AC8">
            <v>-3036285.6496700002</v>
          </cell>
        </row>
        <row r="9">
          <cell r="Y9">
            <v>0</v>
          </cell>
          <cell r="Z9">
            <v>38567365.107311994</v>
          </cell>
          <cell r="AA9">
            <v>42720141.645999998</v>
          </cell>
          <cell r="AB9">
            <v>24108186.776310001</v>
          </cell>
          <cell r="AC9">
            <v>105395693.52962199</v>
          </cell>
        </row>
        <row r="10">
          <cell r="Y10">
            <v>0</v>
          </cell>
          <cell r="Z10">
            <v>22477845.781610079</v>
          </cell>
          <cell r="AA10">
            <v>26867105.739210002</v>
          </cell>
          <cell r="AB10">
            <v>17476011.690409999</v>
          </cell>
          <cell r="AC10">
            <v>66820963.211230084</v>
          </cell>
        </row>
        <row r="11">
          <cell r="Y11">
            <v>0</v>
          </cell>
          <cell r="Z11">
            <v>16089519.325701917</v>
          </cell>
          <cell r="AA11">
            <v>15853035.906789996</v>
          </cell>
          <cell r="AB11">
            <v>6632175.0859000012</v>
          </cell>
          <cell r="AC11">
            <v>38574730.318391912</v>
          </cell>
        </row>
        <row r="13">
          <cell r="AC13">
            <v>0</v>
          </cell>
        </row>
        <row r="14">
          <cell r="Y14">
            <v>0</v>
          </cell>
          <cell r="Z14">
            <v>3805195.6678590002</v>
          </cell>
          <cell r="AA14">
            <v>4492289.7382999994</v>
          </cell>
          <cell r="AB14">
            <v>4204462.4339899998</v>
          </cell>
          <cell r="AC14">
            <v>12501947.840149</v>
          </cell>
        </row>
        <row r="15">
          <cell r="AC15">
            <v>0</v>
          </cell>
        </row>
        <row r="16">
          <cell r="Y16">
            <v>0</v>
          </cell>
          <cell r="Z16">
            <v>-572862.42138700001</v>
          </cell>
          <cell r="AA16">
            <v>-673843.46120000002</v>
          </cell>
          <cell r="AB16">
            <v>-630669.36387</v>
          </cell>
          <cell r="AC16">
            <v>-1877375.246457</v>
          </cell>
        </row>
        <row r="17">
          <cell r="Y17">
            <v>0</v>
          </cell>
          <cell r="Z17">
            <v>3232333.2464719997</v>
          </cell>
          <cell r="AA17">
            <v>3818446.2770999996</v>
          </cell>
          <cell r="AB17">
            <v>3573793.0701200003</v>
          </cell>
          <cell r="AC17">
            <v>10624572.593692001</v>
          </cell>
        </row>
        <row r="18"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</row>
        <row r="19">
          <cell r="Y19">
            <v>0</v>
          </cell>
          <cell r="Z19">
            <v>3232333.2464719997</v>
          </cell>
          <cell r="AA19">
            <v>3818446.2770999996</v>
          </cell>
          <cell r="AB19">
            <v>3573793.0701200003</v>
          </cell>
          <cell r="AC19">
            <v>10624572.593692001</v>
          </cell>
        </row>
        <row r="20">
          <cell r="Y20">
            <v>0</v>
          </cell>
          <cell r="Z20">
            <v>1471518.78091</v>
          </cell>
          <cell r="AA20">
            <v>2032657.92821</v>
          </cell>
          <cell r="AB20">
            <v>1575301.4167800001</v>
          </cell>
          <cell r="AC20">
            <v>5079478.1259000003</v>
          </cell>
        </row>
        <row r="21">
          <cell r="Y21">
            <v>0</v>
          </cell>
          <cell r="Z21">
            <v>1760814.4655619999</v>
          </cell>
          <cell r="AA21">
            <v>1785788.3488899996</v>
          </cell>
          <cell r="AB21">
            <v>1998491.6533400004</v>
          </cell>
          <cell r="AC21">
            <v>5545094.4677919997</v>
          </cell>
        </row>
        <row r="23">
          <cell r="AC23">
            <v>0</v>
          </cell>
        </row>
        <row r="24">
          <cell r="Y24">
            <v>0</v>
          </cell>
          <cell r="Z24">
            <v>45256381.971584998</v>
          </cell>
          <cell r="AA24">
            <v>54153485.135749996</v>
          </cell>
          <cell r="AB24">
            <v>38317383.240500003</v>
          </cell>
          <cell r="AC24">
            <v>137727250.347835</v>
          </cell>
        </row>
        <row r="25"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Y26">
            <v>0</v>
          </cell>
          <cell r="Z26">
            <v>-3456683.6178009994</v>
          </cell>
          <cell r="AA26">
            <v>-7614897.2126500001</v>
          </cell>
          <cell r="AB26">
            <v>-7599117.7444000002</v>
          </cell>
          <cell r="AC26">
            <v>-18670698.574850999</v>
          </cell>
        </row>
        <row r="27">
          <cell r="Y27">
            <v>0</v>
          </cell>
          <cell r="Z27">
            <v>41799698.353783995</v>
          </cell>
          <cell r="AA27">
            <v>46538587.923099995</v>
          </cell>
          <cell r="AB27">
            <v>30718265.496100005</v>
          </cell>
          <cell r="AC27">
            <v>119056551.772984</v>
          </cell>
        </row>
        <row r="28">
          <cell r="Y28">
            <v>0</v>
          </cell>
          <cell r="Z28">
            <v>0</v>
          </cell>
          <cell r="AA28">
            <v>0</v>
          </cell>
          <cell r="AB28">
            <v>-3036285.6496700002</v>
          </cell>
          <cell r="AC28">
            <v>-3036285.6496700002</v>
          </cell>
        </row>
        <row r="29">
          <cell r="Y29">
            <v>0</v>
          </cell>
          <cell r="Z29">
            <v>41799698.353783995</v>
          </cell>
          <cell r="AA29">
            <v>46538587.923099995</v>
          </cell>
          <cell r="AB29">
            <v>27681979.846430004</v>
          </cell>
          <cell r="AC29">
            <v>116020266.12331399</v>
          </cell>
        </row>
        <row r="30">
          <cell r="Y30">
            <v>0</v>
          </cell>
          <cell r="Z30">
            <v>23949364.562520079</v>
          </cell>
          <cell r="AA30">
            <v>28899763.667420004</v>
          </cell>
          <cell r="AB30">
            <v>19051313.107190002</v>
          </cell>
          <cell r="AC30">
            <v>71900441.337130085</v>
          </cell>
        </row>
        <row r="31">
          <cell r="Y31">
            <v>0</v>
          </cell>
          <cell r="Z31">
            <v>17850333.791263919</v>
          </cell>
          <cell r="AA31">
            <v>17638824.255679995</v>
          </cell>
          <cell r="AB31">
            <v>8630666.7392400019</v>
          </cell>
          <cell r="AC31">
            <v>44119824.786183923</v>
          </cell>
        </row>
        <row r="33">
          <cell r="AC33">
            <v>0</v>
          </cell>
        </row>
        <row r="34">
          <cell r="Y34">
            <v>0</v>
          </cell>
          <cell r="Z34">
            <v>1291858.9930489999</v>
          </cell>
          <cell r="AA34">
            <v>1640308.5478000001</v>
          </cell>
          <cell r="AB34">
            <v>2353481.3819399998</v>
          </cell>
          <cell r="AC34">
            <v>5285648.922789</v>
          </cell>
        </row>
        <row r="35"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Y36">
            <v>0</v>
          </cell>
          <cell r="Z36">
            <v>0</v>
          </cell>
          <cell r="AA36">
            <v>-328061.70955999999</v>
          </cell>
          <cell r="AB36">
            <v>-470696.28801000002</v>
          </cell>
          <cell r="AC36">
            <v>-798757.99757000001</v>
          </cell>
        </row>
        <row r="37">
          <cell r="Y37">
            <v>0</v>
          </cell>
          <cell r="Z37">
            <v>1291858.9930489999</v>
          </cell>
          <cell r="AA37">
            <v>1312246.83824</v>
          </cell>
          <cell r="AB37">
            <v>1882785.09393</v>
          </cell>
          <cell r="AC37">
            <v>4486890.9252189994</v>
          </cell>
        </row>
        <row r="38"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9">
          <cell r="Y39">
            <v>0</v>
          </cell>
          <cell r="Z39">
            <v>1291858.9930489999</v>
          </cell>
          <cell r="AA39">
            <v>1312246.83824</v>
          </cell>
          <cell r="AB39">
            <v>1882785.09393</v>
          </cell>
          <cell r="AC39">
            <v>4486890.9252189994</v>
          </cell>
        </row>
        <row r="40">
          <cell r="Y40">
            <v>0</v>
          </cell>
          <cell r="Z40">
            <v>410440.72930499999</v>
          </cell>
          <cell r="AA40">
            <v>564654.65692999994</v>
          </cell>
          <cell r="AB40">
            <v>749626.84484999999</v>
          </cell>
          <cell r="AC40">
            <v>1724722.2310849999</v>
          </cell>
        </row>
        <row r="41">
          <cell r="Y41">
            <v>0</v>
          </cell>
          <cell r="Z41">
            <v>881418.26374399988</v>
          </cell>
          <cell r="AA41">
            <v>747592.18131000001</v>
          </cell>
          <cell r="AB41">
            <v>1133158.24908</v>
          </cell>
          <cell r="AC41">
            <v>2762168.6941339998</v>
          </cell>
        </row>
        <row r="43">
          <cell r="AC43">
            <v>0</v>
          </cell>
        </row>
        <row r="44">
          <cell r="Y44">
            <v>0</v>
          </cell>
          <cell r="Z44">
            <v>1615232.2428230001</v>
          </cell>
          <cell r="AA44">
            <v>3297161.214648</v>
          </cell>
          <cell r="AB44">
            <v>1919796.526512</v>
          </cell>
          <cell r="AC44">
            <v>6832189.9839829998</v>
          </cell>
        </row>
        <row r="45"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Y46">
            <v>0</v>
          </cell>
          <cell r="Z46">
            <v>-107469.98063999999</v>
          </cell>
          <cell r="AA46">
            <v>-494574.18220799998</v>
          </cell>
          <cell r="AB46">
            <v>-287969.47891199996</v>
          </cell>
          <cell r="AC46">
            <v>-890013.64175999991</v>
          </cell>
        </row>
        <row r="47">
          <cell r="Y47">
            <v>0</v>
          </cell>
          <cell r="Z47">
            <v>1507762.2621830001</v>
          </cell>
          <cell r="AA47">
            <v>2802587.0324399997</v>
          </cell>
          <cell r="AB47">
            <v>1631827.0476000002</v>
          </cell>
          <cell r="AC47">
            <v>5942176.3422229998</v>
          </cell>
        </row>
        <row r="48"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</row>
        <row r="49">
          <cell r="Y49">
            <v>0</v>
          </cell>
          <cell r="Z49">
            <v>1507762.2621830001</v>
          </cell>
          <cell r="AA49">
            <v>2802587.0324399997</v>
          </cell>
          <cell r="AB49">
            <v>1631827.0476000002</v>
          </cell>
          <cell r="AC49">
            <v>5942176.3422229998</v>
          </cell>
        </row>
        <row r="50">
          <cell r="Y50">
            <v>0</v>
          </cell>
          <cell r="Z50">
            <v>987846.08373499999</v>
          </cell>
          <cell r="AA50">
            <v>2175560.1293039997</v>
          </cell>
          <cell r="AB50">
            <v>1081886.1754320001</v>
          </cell>
          <cell r="AC50">
            <v>4245292.3884709999</v>
          </cell>
        </row>
        <row r="51">
          <cell r="Y51">
            <v>0</v>
          </cell>
          <cell r="Z51">
            <v>519916.17844800011</v>
          </cell>
          <cell r="AA51">
            <v>627026.90313600015</v>
          </cell>
          <cell r="AB51">
            <v>549940.87216800009</v>
          </cell>
          <cell r="AC51">
            <v>1696883.9537520004</v>
          </cell>
        </row>
        <row r="53">
          <cell r="AC53">
            <v>0</v>
          </cell>
        </row>
        <row r="54">
          <cell r="Y54">
            <v>0</v>
          </cell>
          <cell r="Z54">
            <v>0</v>
          </cell>
          <cell r="AA54">
            <v>0</v>
          </cell>
          <cell r="AB54">
            <v>4390327.7964000003</v>
          </cell>
          <cell r="AC54">
            <v>4390327.7964000003</v>
          </cell>
        </row>
        <row r="55"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  <row r="56">
          <cell r="Y56">
            <v>0</v>
          </cell>
          <cell r="Z56">
            <v>0</v>
          </cell>
          <cell r="AA56">
            <v>0</v>
          </cell>
          <cell r="AB56">
            <v>-658549.03080000007</v>
          </cell>
          <cell r="AC56">
            <v>-658549.03080000007</v>
          </cell>
        </row>
        <row r="57">
          <cell r="Y57">
            <v>0</v>
          </cell>
          <cell r="Z57">
            <v>0</v>
          </cell>
          <cell r="AA57">
            <v>0</v>
          </cell>
          <cell r="AB57">
            <v>3731778.7656000005</v>
          </cell>
          <cell r="AC57">
            <v>3731778.7656000005</v>
          </cell>
        </row>
        <row r="58">
          <cell r="Y58">
            <v>0</v>
          </cell>
          <cell r="Z58">
            <v>0</v>
          </cell>
          <cell r="AA58">
            <v>0</v>
          </cell>
          <cell r="AB58">
            <v>-160804.00200000001</v>
          </cell>
          <cell r="AC58">
            <v>-160804.00200000001</v>
          </cell>
        </row>
        <row r="59">
          <cell r="Y59">
            <v>0</v>
          </cell>
          <cell r="Z59">
            <v>0</v>
          </cell>
          <cell r="AA59">
            <v>0</v>
          </cell>
          <cell r="AB59">
            <v>3570974.7636000002</v>
          </cell>
          <cell r="AC59">
            <v>3570974.7636000002</v>
          </cell>
        </row>
        <row r="60">
          <cell r="Y60">
            <v>0</v>
          </cell>
          <cell r="Z60">
            <v>0</v>
          </cell>
          <cell r="AA60">
            <v>0</v>
          </cell>
          <cell r="AB60">
            <v>1455429.4373999999</v>
          </cell>
          <cell r="AC60">
            <v>1455429.4373999999</v>
          </cell>
        </row>
        <row r="61">
          <cell r="Y61">
            <v>0</v>
          </cell>
          <cell r="Z61">
            <v>0</v>
          </cell>
          <cell r="AA61">
            <v>0</v>
          </cell>
          <cell r="AB61">
            <v>2115545.3262</v>
          </cell>
          <cell r="AC61">
            <v>2115545.3262</v>
          </cell>
        </row>
        <row r="63">
          <cell r="AC63">
            <v>0</v>
          </cell>
        </row>
        <row r="64">
          <cell r="Y64">
            <v>0</v>
          </cell>
          <cell r="Z64">
            <v>0</v>
          </cell>
          <cell r="AA64">
            <v>216185</v>
          </cell>
          <cell r="AB64">
            <v>150678</v>
          </cell>
          <cell r="AC64">
            <v>366863</v>
          </cell>
        </row>
        <row r="65"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Y66">
            <v>0</v>
          </cell>
          <cell r="Z66">
            <v>0</v>
          </cell>
          <cell r="AA66">
            <v>-32428</v>
          </cell>
          <cell r="AB66">
            <v>-22601</v>
          </cell>
          <cell r="AC66">
            <v>-55029</v>
          </cell>
        </row>
        <row r="67">
          <cell r="Y67">
            <v>0</v>
          </cell>
          <cell r="Z67">
            <v>0</v>
          </cell>
          <cell r="AA67">
            <v>183757</v>
          </cell>
          <cell r="AB67">
            <v>128077</v>
          </cell>
          <cell r="AC67">
            <v>311834</v>
          </cell>
        </row>
        <row r="68"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</row>
        <row r="69">
          <cell r="Y69">
            <v>0</v>
          </cell>
          <cell r="Z69">
            <v>0</v>
          </cell>
          <cell r="AA69">
            <v>183757</v>
          </cell>
          <cell r="AB69">
            <v>128077</v>
          </cell>
          <cell r="AC69">
            <v>311834</v>
          </cell>
        </row>
        <row r="70">
          <cell r="Y70">
            <v>0</v>
          </cell>
          <cell r="Z70">
            <v>0</v>
          </cell>
          <cell r="AA70">
            <v>102105</v>
          </cell>
          <cell r="AB70">
            <v>69375</v>
          </cell>
          <cell r="AC70">
            <v>171480</v>
          </cell>
        </row>
        <row r="71">
          <cell r="Y71">
            <v>0</v>
          </cell>
          <cell r="Z71">
            <v>0</v>
          </cell>
          <cell r="AA71">
            <v>81652</v>
          </cell>
          <cell r="AB71">
            <v>58702</v>
          </cell>
          <cell r="AC71">
            <v>140354</v>
          </cell>
        </row>
        <row r="76">
          <cell r="Y76">
            <v>0</v>
          </cell>
          <cell r="Z76">
            <v>48163473.207456991</v>
          </cell>
          <cell r="AA76">
            <v>59307139.898197994</v>
          </cell>
          <cell r="AB76">
            <v>47131666.945352003</v>
          </cell>
          <cell r="AC76">
            <v>154602280.05100697</v>
          </cell>
        </row>
        <row r="77">
          <cell r="AC77">
            <v>0</v>
          </cell>
        </row>
        <row r="78">
          <cell r="Y78">
            <v>0</v>
          </cell>
          <cell r="Z78">
            <v>44599319.609016001</v>
          </cell>
          <cell r="AA78">
            <v>50837178.793779999</v>
          </cell>
          <cell r="AB78">
            <v>34895643.751560003</v>
          </cell>
          <cell r="AC78">
            <v>130332142.154356</v>
          </cell>
        </row>
      </sheetData>
      <sheetData sheetId="8"/>
      <sheetData sheetId="9">
        <row r="43">
          <cell r="J43">
            <v>6669050.7947500814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1">
          <cell r="L21">
            <v>13066874.664956</v>
          </cell>
          <cell r="M21">
            <v>20718751.988480002</v>
          </cell>
          <cell r="N21">
            <v>28618306.443999998</v>
          </cell>
          <cell r="O21">
            <v>15650762.938720001</v>
          </cell>
          <cell r="P21">
            <v>16650916.837099999</v>
          </cell>
          <cell r="Q21">
            <v>16152149.68822</v>
          </cell>
          <cell r="R21">
            <v>17161224.312959999</v>
          </cell>
          <cell r="S21">
            <v>18253083.757089999</v>
          </cell>
        </row>
        <row r="22">
          <cell r="L22">
            <v>-584510.11507399997</v>
          </cell>
          <cell r="M22">
            <v>-806183.09953999997</v>
          </cell>
          <cell r="N22">
            <v>-2962311.2082199999</v>
          </cell>
          <cell r="O22">
            <v>-2125836.94141</v>
          </cell>
          <cell r="P22">
            <v>-2335836.82332</v>
          </cell>
          <cell r="Q22">
            <v>-2374476.8329099999</v>
          </cell>
          <cell r="R22">
            <v>-2488448.4961700002</v>
          </cell>
          <cell r="S22">
            <v>-2629134.7300399998</v>
          </cell>
        </row>
        <row r="24">
          <cell r="M24">
            <v>11626616.067430001</v>
          </cell>
          <cell r="N24">
            <v>15733288.84127</v>
          </cell>
          <cell r="O24">
            <v>8325327.9309200002</v>
          </cell>
          <cell r="P24">
            <v>8751097.5970600005</v>
          </cell>
          <cell r="Q24">
            <v>8373256.9283999996</v>
          </cell>
          <cell r="R24">
            <v>8787429.8939699996</v>
          </cell>
          <cell r="S24">
            <v>9211716.77881</v>
          </cell>
        </row>
        <row r="28">
          <cell r="L28">
            <v>24217.58466</v>
          </cell>
          <cell r="M28">
            <v>42251.101620000001</v>
          </cell>
          <cell r="N28">
            <v>52564.156190000002</v>
          </cell>
          <cell r="O28">
            <v>81372.351970000003</v>
          </cell>
          <cell r="P28">
            <v>88079.540640000007</v>
          </cell>
          <cell r="Q28">
            <v>91952.392349999995</v>
          </cell>
          <cell r="R28">
            <v>148283.27423000001</v>
          </cell>
          <cell r="S28">
            <v>173530.11585</v>
          </cell>
        </row>
        <row r="29">
          <cell r="M29">
            <v>-1267.5326299999999</v>
          </cell>
          <cell r="N29">
            <v>-1576.92535</v>
          </cell>
          <cell r="O29">
            <v>-2441.1705499999998</v>
          </cell>
          <cell r="P29">
            <v>-2642.3861099999999</v>
          </cell>
          <cell r="Q29">
            <v>-2758.5721800000001</v>
          </cell>
          <cell r="R29">
            <v>-4448.4976900000001</v>
          </cell>
          <cell r="S29">
            <v>-5205.9034300000003</v>
          </cell>
        </row>
        <row r="31">
          <cell r="M31">
            <v>20725.112590000001</v>
          </cell>
          <cell r="N31">
            <v>25288.06826</v>
          </cell>
          <cell r="O31">
            <v>38033.5046</v>
          </cell>
          <cell r="P31">
            <v>41203.693440000003</v>
          </cell>
          <cell r="Q31">
            <v>42754.884899999997</v>
          </cell>
          <cell r="R31">
            <v>68700.524619999997</v>
          </cell>
          <cell r="S31">
            <v>80082.15943</v>
          </cell>
        </row>
        <row r="43">
          <cell r="N43">
            <v>-347171.03584800003</v>
          </cell>
          <cell r="O43">
            <v>-364555.21957399999</v>
          </cell>
          <cell r="P43">
            <v>-436489.728038</v>
          </cell>
          <cell r="Q43">
            <v>-505984.36224699998</v>
          </cell>
          <cell r="R43">
            <v>-548192.74282499996</v>
          </cell>
          <cell r="S43">
            <v>-593259.86228600005</v>
          </cell>
        </row>
      </sheetData>
      <sheetData sheetId="20">
        <row r="23">
          <cell r="Q23">
            <v>-886498.74130999995</v>
          </cell>
          <cell r="R23">
            <v>0</v>
          </cell>
          <cell r="S23">
            <v>-981067.18891999999</v>
          </cell>
        </row>
        <row r="25">
          <cell r="L25">
            <v>2561909.2680489998</v>
          </cell>
          <cell r="M25">
            <v>1243286.3998100001</v>
          </cell>
          <cell r="N25">
            <v>852583.68012999999</v>
          </cell>
          <cell r="O25">
            <v>2294450.2398999999</v>
          </cell>
          <cell r="P25">
            <v>1345255.8182699999</v>
          </cell>
          <cell r="Q25">
            <v>1384499.0632199999</v>
          </cell>
          <cell r="R25">
            <v>1404364.2048800001</v>
          </cell>
          <cell r="S25">
            <v>1415599.1658900001</v>
          </cell>
        </row>
        <row r="26">
          <cell r="L26">
            <v>-386369.46109699999</v>
          </cell>
          <cell r="M26">
            <v>-186492.96028999999</v>
          </cell>
          <cell r="N26">
            <v>-127887.55252</v>
          </cell>
          <cell r="O26">
            <v>-344167.53552999999</v>
          </cell>
          <cell r="P26">
            <v>-201788.37315</v>
          </cell>
          <cell r="Q26">
            <v>-207674.85921</v>
          </cell>
          <cell r="R26">
            <v>-210654.63055</v>
          </cell>
          <cell r="S26">
            <v>-212339.87411</v>
          </cell>
        </row>
        <row r="27">
          <cell r="L27">
            <v>818832.46299000003</v>
          </cell>
          <cell r="M27">
            <v>652686.31791999994</v>
          </cell>
          <cell r="N27">
            <v>422482.01358999999</v>
          </cell>
          <cell r="O27">
            <v>1056269.9483700001</v>
          </cell>
          <cell r="P27">
            <v>553905.96625000006</v>
          </cell>
          <cell r="Q27">
            <v>530642.75991999998</v>
          </cell>
          <cell r="R27">
            <v>516361.44559999998</v>
          </cell>
          <cell r="S27">
            <v>528297.21126000001</v>
          </cell>
        </row>
        <row r="30">
          <cell r="Q30">
            <v>-6867.7345100000002</v>
          </cell>
          <cell r="R30">
            <v>0</v>
          </cell>
          <cell r="S30">
            <v>-18255.991389999999</v>
          </cell>
        </row>
        <row r="32">
          <cell r="N32">
            <v>102472</v>
          </cell>
          <cell r="O32">
            <v>67757</v>
          </cell>
          <cell r="P32">
            <v>45956</v>
          </cell>
          <cell r="Q32">
            <v>53873</v>
          </cell>
          <cell r="R32">
            <v>47875</v>
          </cell>
          <cell r="S32">
            <v>48930</v>
          </cell>
        </row>
        <row r="33">
          <cell r="N33">
            <v>-15371</v>
          </cell>
          <cell r="O33">
            <v>-10163</v>
          </cell>
          <cell r="P33">
            <v>-6894</v>
          </cell>
          <cell r="Q33">
            <v>-8081</v>
          </cell>
          <cell r="R33">
            <v>-7181</v>
          </cell>
          <cell r="S33">
            <v>-7339</v>
          </cell>
        </row>
        <row r="34">
          <cell r="N34">
            <v>42157</v>
          </cell>
          <cell r="O34">
            <v>37831</v>
          </cell>
          <cell r="P34">
            <v>22117</v>
          </cell>
          <cell r="Q34">
            <v>24219</v>
          </cell>
          <cell r="R34">
            <v>22436</v>
          </cell>
          <cell r="S34">
            <v>22720</v>
          </cell>
        </row>
        <row r="35">
          <cell r="L35">
            <v>898765.70488700003</v>
          </cell>
          <cell r="M35">
            <v>716466.53793600004</v>
          </cell>
          <cell r="N35">
            <v>2022920.092008</v>
          </cell>
          <cell r="O35">
            <v>885206.85904799995</v>
          </cell>
          <cell r="P35">
            <v>389034.263592</v>
          </cell>
          <cell r="Q35">
            <v>544791.63175199996</v>
          </cell>
          <cell r="R35">
            <v>633979.37570400001</v>
          </cell>
          <cell r="S35">
            <v>741025.51905600005</v>
          </cell>
        </row>
        <row r="36">
          <cell r="M36">
            <v>-107469.98063999999</v>
          </cell>
          <cell r="N36">
            <v>-303438.01377600001</v>
          </cell>
          <cell r="O36">
            <v>-132781.02890400001</v>
          </cell>
          <cell r="P36">
            <v>-58355.139528</v>
          </cell>
          <cell r="Q36">
            <v>-81718.744751999999</v>
          </cell>
          <cell r="R36">
            <v>-95096.906352000005</v>
          </cell>
          <cell r="S36">
            <v>-111153.827808</v>
          </cell>
        </row>
        <row r="37">
          <cell r="L37">
            <v>488315.40352699999</v>
          </cell>
          <cell r="M37">
            <v>499530.68020800001</v>
          </cell>
          <cell r="N37">
            <v>1355506.162488</v>
          </cell>
          <cell r="O37">
            <v>580855.48768799996</v>
          </cell>
          <cell r="P37">
            <v>239198.47912800001</v>
          </cell>
          <cell r="Q37">
            <v>320887.69689600001</v>
          </cell>
          <cell r="R37">
            <v>359388.822384</v>
          </cell>
          <cell r="S37">
            <v>401609.65615200001</v>
          </cell>
        </row>
        <row r="38">
          <cell r="Q38">
            <v>1444521.0552000001</v>
          </cell>
          <cell r="R38">
            <v>1515041.4513000001</v>
          </cell>
          <cell r="S38">
            <v>1430765.2899</v>
          </cell>
        </row>
        <row r="39">
          <cell r="Q39">
            <v>-216677.74230000001</v>
          </cell>
          <cell r="R39">
            <v>-227256.11369999999</v>
          </cell>
          <cell r="S39">
            <v>-214615.17480000001</v>
          </cell>
        </row>
        <row r="40">
          <cell r="Q40">
            <v>-60229.744200000001</v>
          </cell>
          <cell r="R40">
            <v>0</v>
          </cell>
          <cell r="S40">
            <v>-100574.25780000001</v>
          </cell>
        </row>
        <row r="42">
          <cell r="L42">
            <v>1291858.9930489999</v>
          </cell>
          <cell r="M42">
            <v>0</v>
          </cell>
          <cell r="N42">
            <v>495958.62264000002</v>
          </cell>
          <cell r="O42">
            <v>520793.17082</v>
          </cell>
          <cell r="P42">
            <v>623556.75433999998</v>
          </cell>
          <cell r="Q42">
            <v>722834.80321000004</v>
          </cell>
          <cell r="R42">
            <v>783132.48974999995</v>
          </cell>
          <cell r="S42">
            <v>847514.08898</v>
          </cell>
        </row>
        <row r="44">
          <cell r="L44">
            <v>410440.72930499999</v>
          </cell>
          <cell r="M44">
            <v>0</v>
          </cell>
          <cell r="N44">
            <v>178194.04381999999</v>
          </cell>
          <cell r="O44">
            <v>171893.33147999999</v>
          </cell>
          <cell r="P44">
            <v>214567.28163000001</v>
          </cell>
          <cell r="Q44">
            <v>239547.66654000001</v>
          </cell>
          <cell r="R44">
            <v>250101.54663</v>
          </cell>
          <cell r="S44">
            <v>259977.63167999999</v>
          </cell>
        </row>
      </sheetData>
      <sheetData sheetId="21"/>
      <sheetData sheetId="22">
        <row r="4">
          <cell r="X4">
            <v>41450547.530364282</v>
          </cell>
          <cell r="Y4">
            <v>29875408.273010001</v>
          </cell>
          <cell r="Z4">
            <v>43635981.384580001</v>
          </cell>
        </row>
        <row r="5">
          <cell r="X5">
            <v>0</v>
          </cell>
          <cell r="Y5">
            <v>0</v>
          </cell>
          <cell r="Z5">
            <v>0</v>
          </cell>
        </row>
        <row r="6">
          <cell r="X6">
            <v>-4354014.1079530418</v>
          </cell>
          <cell r="Y6">
            <v>-4343981.46</v>
          </cell>
          <cell r="Z6">
            <v>-6379984.7238400001</v>
          </cell>
        </row>
        <row r="8">
          <cell r="X8">
            <v>-583907.42825581331</v>
          </cell>
          <cell r="Y8">
            <v>0</v>
          </cell>
          <cell r="Z8">
            <v>-2107210.1869000001</v>
          </cell>
        </row>
        <row r="10">
          <cell r="X10">
            <v>22240256.438984867</v>
          </cell>
          <cell r="Y10">
            <v>14881774.665030001</v>
          </cell>
          <cell r="Z10">
            <v>20697245.477090001</v>
          </cell>
        </row>
        <row r="13">
          <cell r="X13">
            <v>3925578.6745409784</v>
          </cell>
          <cell r="Y13">
            <v>3689604.7269900003</v>
          </cell>
          <cell r="Z13">
            <v>4993092.6154199997</v>
          </cell>
        </row>
        <row r="14">
          <cell r="X14">
            <v>0</v>
          </cell>
          <cell r="Y14">
            <v>0</v>
          </cell>
          <cell r="Z14">
            <v>0</v>
          </cell>
        </row>
        <row r="15">
          <cell r="X15">
            <v>-680932.0915652914</v>
          </cell>
          <cell r="Y15">
            <v>-218717.69920000003</v>
          </cell>
          <cell r="Z15">
            <v>-237723.81359999999</v>
          </cell>
        </row>
        <row r="17">
          <cell r="X17">
            <v>0</v>
          </cell>
          <cell r="Y17">
            <v>0</v>
          </cell>
          <cell r="Z17">
            <v>0</v>
          </cell>
        </row>
        <row r="19">
          <cell r="X19">
            <v>1585003.6779873017</v>
          </cell>
          <cell r="Y19">
            <v>2473558.8049900001</v>
          </cell>
          <cell r="Z19">
            <v>3341510.4568300005</v>
          </cell>
        </row>
        <row r="22">
          <cell r="X22">
            <v>45376126.204905257</v>
          </cell>
          <cell r="Y22">
            <v>33565013</v>
          </cell>
          <cell r="Z22">
            <v>48629074</v>
          </cell>
        </row>
        <row r="23">
          <cell r="X23">
            <v>0</v>
          </cell>
          <cell r="Y23">
            <v>0</v>
          </cell>
          <cell r="Z23">
            <v>0</v>
          </cell>
        </row>
        <row r="24">
          <cell r="X24">
            <v>-5034946.1995183332</v>
          </cell>
          <cell r="Y24">
            <v>-4562699.1591999996</v>
          </cell>
          <cell r="Z24">
            <v>-6617708.5374400001</v>
          </cell>
        </row>
        <row r="26">
          <cell r="X26">
            <v>-583907.42825581331</v>
          </cell>
          <cell r="Y26">
            <v>0</v>
          </cell>
          <cell r="Z26">
            <v>-2107210.1869000001</v>
          </cell>
        </row>
        <row r="28">
          <cell r="X28">
            <v>23825260.116972171</v>
          </cell>
          <cell r="Y28">
            <v>17355333.47002</v>
          </cell>
          <cell r="Z28">
            <v>24038755.933919996</v>
          </cell>
        </row>
        <row r="31">
          <cell r="X31">
            <v>1798146.1476387384</v>
          </cell>
          <cell r="Y31">
            <v>1306679</v>
          </cell>
          <cell r="Z31">
            <v>1715445</v>
          </cell>
        </row>
        <row r="32">
          <cell r="X32">
            <v>0</v>
          </cell>
          <cell r="Y32">
            <v>0</v>
          </cell>
          <cell r="Z32">
            <v>0</v>
          </cell>
        </row>
        <row r="33">
          <cell r="X33">
            <v>-78920</v>
          </cell>
          <cell r="Y33">
            <v>-159619</v>
          </cell>
          <cell r="Z33">
            <v>-209552</v>
          </cell>
        </row>
        <row r="35">
          <cell r="X35">
            <v>0</v>
          </cell>
          <cell r="Y35">
            <v>0</v>
          </cell>
          <cell r="Z35">
            <v>0</v>
          </cell>
        </row>
        <row r="37">
          <cell r="X37">
            <v>753410.2742723329</v>
          </cell>
          <cell r="Y37">
            <v>549744</v>
          </cell>
          <cell r="Z37">
            <v>704698</v>
          </cell>
        </row>
        <row r="40">
          <cell r="X40">
            <v>1445129.9584065382</v>
          </cell>
          <cell r="Y40">
            <v>1458073</v>
          </cell>
          <cell r="Z40">
            <v>3232637</v>
          </cell>
        </row>
        <row r="41">
          <cell r="X41">
            <v>0</v>
          </cell>
          <cell r="Y41">
            <v>0</v>
          </cell>
          <cell r="Z41">
            <v>0</v>
          </cell>
        </row>
        <row r="42">
          <cell r="X42">
            <v>-77376</v>
          </cell>
          <cell r="Y42">
            <v>-208505</v>
          </cell>
          <cell r="Z42">
            <v>-462267</v>
          </cell>
        </row>
        <row r="44">
          <cell r="X44">
            <v>0</v>
          </cell>
          <cell r="Y44">
            <v>0</v>
          </cell>
          <cell r="Z44">
            <v>0</v>
          </cell>
        </row>
        <row r="46">
          <cell r="X46">
            <v>909751.47562785703</v>
          </cell>
          <cell r="Y46">
            <v>899873</v>
          </cell>
          <cell r="Z46">
            <v>1723398</v>
          </cell>
        </row>
        <row r="49">
          <cell r="X49">
            <v>0</v>
          </cell>
          <cell r="Y49">
            <v>0</v>
          </cell>
          <cell r="Z49">
            <v>2195174</v>
          </cell>
        </row>
        <row r="50">
          <cell r="X50">
            <v>0</v>
          </cell>
          <cell r="Y50">
            <v>0</v>
          </cell>
          <cell r="Z50">
            <v>0</v>
          </cell>
        </row>
        <row r="51">
          <cell r="X51">
            <v>0</v>
          </cell>
          <cell r="Y51">
            <v>0</v>
          </cell>
          <cell r="Z51">
            <v>-65856</v>
          </cell>
        </row>
        <row r="53">
          <cell r="X53">
            <v>0</v>
          </cell>
          <cell r="Y53">
            <v>0</v>
          </cell>
          <cell r="Z53">
            <v>-231941</v>
          </cell>
        </row>
        <row r="55">
          <cell r="X55">
            <v>0</v>
          </cell>
          <cell r="Y55">
            <v>0</v>
          </cell>
          <cell r="Z55">
            <v>746112</v>
          </cell>
        </row>
      </sheetData>
      <sheetData sheetId="23">
        <row r="15">
          <cell r="AA15">
            <v>100368658.94419</v>
          </cell>
        </row>
        <row r="16">
          <cell r="AA16">
            <v>69471.823329999999</v>
          </cell>
        </row>
        <row r="17">
          <cell r="AA17">
            <v>-13273206.997959999</v>
          </cell>
        </row>
        <row r="18">
          <cell r="AA18">
            <v>-2107210.1869000001</v>
          </cell>
        </row>
        <row r="19">
          <cell r="AA19">
            <v>50898603.250040002</v>
          </cell>
        </row>
        <row r="20">
          <cell r="AA20">
            <v>6544433.0723040001</v>
          </cell>
          <cell r="AC20">
            <v>1853722.4750640001</v>
          </cell>
          <cell r="AD20">
            <v>1458073.548648</v>
          </cell>
          <cell r="AE20">
            <v>3232637.0485920003</v>
          </cell>
        </row>
        <row r="21">
          <cell r="AA21">
            <v>32722.165368000002</v>
          </cell>
          <cell r="AC21">
            <v>9268.6124159999999</v>
          </cell>
          <cell r="AD21">
            <v>7290.3677040000002</v>
          </cell>
          <cell r="AE21">
            <v>16163.185247999998</v>
          </cell>
        </row>
        <row r="22">
          <cell r="AA22">
            <v>-935853.92928000004</v>
          </cell>
          <cell r="AC22">
            <v>-265082.31396</v>
          </cell>
          <cell r="AD22">
            <v>-208504.51739999998</v>
          </cell>
          <cell r="AE22">
            <v>-462267.09791999997</v>
          </cell>
        </row>
        <row r="23">
          <cell r="AA23">
            <v>3926166.1894080001</v>
          </cell>
          <cell r="AC23">
            <v>1302894.6076799999</v>
          </cell>
          <cell r="AD23">
            <v>899872.81631999998</v>
          </cell>
          <cell r="AE23">
            <v>1723398.765408</v>
          </cell>
        </row>
        <row r="24">
          <cell r="AA24">
            <v>2195174.2977</v>
          </cell>
          <cell r="AC24">
            <v>0</v>
          </cell>
          <cell r="AD24">
            <v>0</v>
          </cell>
          <cell r="AE24">
            <v>2195174.2977</v>
          </cell>
        </row>
        <row r="25">
          <cell r="AA25">
            <v>10975.632299999999</v>
          </cell>
          <cell r="AC25">
            <v>0</v>
          </cell>
          <cell r="AD25">
            <v>0</v>
          </cell>
          <cell r="AE25">
            <v>10975.632300000001</v>
          </cell>
        </row>
        <row r="26">
          <cell r="AA26">
            <v>-65855.180399999997</v>
          </cell>
          <cell r="AC26">
            <v>0</v>
          </cell>
          <cell r="AD26">
            <v>0</v>
          </cell>
          <cell r="AE26">
            <v>-65855.180399999997</v>
          </cell>
        </row>
        <row r="27">
          <cell r="AA27">
            <v>-231940.74179999999</v>
          </cell>
          <cell r="AC27">
            <v>0</v>
          </cell>
          <cell r="AD27">
            <v>0</v>
          </cell>
          <cell r="AE27">
            <v>-231940.74179999999</v>
          </cell>
        </row>
        <row r="28">
          <cell r="AA28">
            <v>746112.12749999994</v>
          </cell>
          <cell r="AC28">
            <v>0</v>
          </cell>
          <cell r="AD28">
            <v>0</v>
          </cell>
          <cell r="AE28">
            <v>746112.12749999994</v>
          </cell>
        </row>
        <row r="29">
          <cell r="AA29">
            <v>4599975.3194199996</v>
          </cell>
          <cell r="AC29">
            <v>1577850.9512999998</v>
          </cell>
          <cell r="AD29">
            <v>1306679.06733</v>
          </cell>
          <cell r="AE29">
            <v>1715445.3007900002</v>
          </cell>
        </row>
        <row r="30">
          <cell r="AA30">
            <v>22999.860519999998</v>
          </cell>
          <cell r="AC30">
            <v>7889.24604</v>
          </cell>
          <cell r="AD30">
            <v>6533.3847800000003</v>
          </cell>
          <cell r="AE30">
            <v>8577.2296999999999</v>
          </cell>
        </row>
        <row r="31">
          <cell r="AA31">
            <v>-561915.99074000004</v>
          </cell>
          <cell r="AC31">
            <v>-192744.40041999999</v>
          </cell>
          <cell r="AD31">
            <v>-159619.12421000001</v>
          </cell>
          <cell r="AE31">
            <v>-209552.46610999998</v>
          </cell>
        </row>
        <row r="32">
          <cell r="AA32">
            <v>1891346.2659</v>
          </cell>
          <cell r="AC32">
            <v>636903.20733</v>
          </cell>
          <cell r="AD32">
            <v>549744.69628000003</v>
          </cell>
          <cell r="AE32">
            <v>704698.36228999996</v>
          </cell>
        </row>
        <row r="37">
          <cell r="AC37">
            <v>12988452.013313089</v>
          </cell>
          <cell r="AD37">
            <v>29893494.284463819</v>
          </cell>
          <cell r="AE37">
            <v>43660457.659316316</v>
          </cell>
        </row>
        <row r="39">
          <cell r="AC39">
            <v>-1912215.7047184925</v>
          </cell>
          <cell r="AD39">
            <v>-4345053.6063424144</v>
          </cell>
          <cell r="AE39">
            <v>-6381150.0372861894</v>
          </cell>
        </row>
        <row r="40">
          <cell r="AC40">
            <v>0</v>
          </cell>
          <cell r="AD40">
            <v>0</v>
          </cell>
          <cell r="AE40">
            <v>-2107210.1869000001</v>
          </cell>
        </row>
        <row r="41">
          <cell r="AC41">
            <v>7422443.4694269616</v>
          </cell>
          <cell r="AD41">
            <v>15836295.390638113</v>
          </cell>
          <cell r="AE41">
            <v>22205876.176381297</v>
          </cell>
        </row>
        <row r="43">
          <cell r="AC43">
            <v>5186119.8867169116</v>
          </cell>
          <cell r="AD43">
            <v>3671518.4285861817</v>
          </cell>
          <cell r="AE43">
            <v>4968616.6717936816</v>
          </cell>
        </row>
        <row r="44">
          <cell r="AC44">
            <v>25930.599433584561</v>
          </cell>
          <cell r="AD44">
            <v>18357.592142930909</v>
          </cell>
          <cell r="AE44">
            <v>24843.083358968408</v>
          </cell>
        </row>
        <row r="45">
          <cell r="AC45">
            <v>-180583.59660150739</v>
          </cell>
          <cell r="AD45">
            <v>-217645.55285758543</v>
          </cell>
          <cell r="AE45">
            <v>-236558.50015381043</v>
          </cell>
        </row>
        <row r="46">
          <cell r="AC46">
            <v>0</v>
          </cell>
          <cell r="AD46">
            <v>0</v>
          </cell>
          <cell r="AE46">
            <v>0</v>
          </cell>
        </row>
        <row r="47">
          <cell r="AC47">
            <v>2082070.3766730381</v>
          </cell>
          <cell r="AD47">
            <v>1519038.0793818887</v>
          </cell>
          <cell r="AE47">
            <v>1832879.7575387016</v>
          </cell>
        </row>
      </sheetData>
      <sheetData sheetId="24">
        <row r="23">
          <cell r="P23">
            <v>13826254.987096773</v>
          </cell>
        </row>
        <row r="31">
          <cell r="P31">
            <v>69131.274935483874</v>
          </cell>
        </row>
        <row r="56">
          <cell r="P56">
            <v>-634787.64961290325</v>
          </cell>
        </row>
        <row r="65">
          <cell r="P65">
            <v>0</v>
          </cell>
        </row>
        <row r="97">
          <cell r="P97">
            <v>-5433988.2135936283</v>
          </cell>
        </row>
      </sheetData>
      <sheetData sheetId="25">
        <row r="86">
          <cell r="H86">
            <v>7.2000000000000002E-5</v>
          </cell>
        </row>
        <row r="126">
          <cell r="E126">
            <v>9.1E-4</v>
          </cell>
          <cell r="H126">
            <v>9.1E-4</v>
          </cell>
        </row>
        <row r="146">
          <cell r="H146">
            <v>0.69330000000000003</v>
          </cell>
        </row>
        <row r="156">
          <cell r="H156">
            <v>1.9369999999999998E-2</v>
          </cell>
        </row>
      </sheetData>
      <sheetData sheetId="26"/>
      <sheetData sheetId="27">
        <row r="27">
          <cell r="Q27">
            <v>480465.21960000001</v>
          </cell>
          <cell r="R27">
            <v>499250.18310000002</v>
          </cell>
          <cell r="S27">
            <v>475714.03470000002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count_Details" adjustColumnWidth="0" connectionId="1" xr16:uid="{9DE7A89B-10CE-41EF-BD08-70E8BA1E533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AD1F-384D-40D7-8A2A-68B7497F0CD7}">
  <dimension ref="D3:X36"/>
  <sheetViews>
    <sheetView tabSelected="1" zoomScale="90" zoomScaleNormal="90" workbookViewId="0">
      <selection activeCell="AF8" sqref="AF8"/>
    </sheetView>
  </sheetViews>
  <sheetFormatPr defaultRowHeight="15" outlineLevelCol="1" x14ac:dyDescent="0.25"/>
  <cols>
    <col min="4" max="4" width="11.140625" customWidth="1"/>
    <col min="5" max="5" width="25.85546875" customWidth="1"/>
    <col min="6" max="6" width="16.140625" hidden="1" customWidth="1"/>
    <col min="7" max="7" width="13.7109375" hidden="1" customWidth="1"/>
    <col min="8" max="8" width="12.85546875" customWidth="1"/>
    <col min="9" max="13" width="8.85546875" hidden="1" customWidth="1" outlineLevel="1"/>
    <col min="14" max="14" width="13" hidden="1" customWidth="1" collapsed="1"/>
    <col min="15" max="15" width="17.5703125" hidden="1" customWidth="1"/>
    <col min="16" max="16" width="13.28515625" style="8" hidden="1" customWidth="1"/>
    <col min="17" max="18" width="0" hidden="1" customWidth="1"/>
    <col min="19" max="19" width="14.5703125" hidden="1" customWidth="1"/>
    <col min="20" max="20" width="0" hidden="1" customWidth="1"/>
    <col min="21" max="21" width="14.5703125" hidden="1" customWidth="1"/>
    <col min="22" max="22" width="21" customWidth="1"/>
    <col min="23" max="23" width="13.28515625" bestFit="1" customWidth="1"/>
    <col min="24" max="24" width="20" bestFit="1" customWidth="1"/>
  </cols>
  <sheetData>
    <row r="3" spans="4:24" x14ac:dyDescent="0.25">
      <c r="E3" s="189" t="s">
        <v>0</v>
      </c>
      <c r="F3" s="189"/>
      <c r="G3" s="189"/>
      <c r="H3" s="189"/>
      <c r="I3" s="189"/>
      <c r="J3" s="189"/>
      <c r="K3" s="189"/>
      <c r="L3" s="189"/>
      <c r="M3" s="189"/>
      <c r="N3" s="189"/>
      <c r="O3" s="151" t="s">
        <v>94</v>
      </c>
      <c r="W3" s="212" t="s">
        <v>310</v>
      </c>
    </row>
    <row r="4" spans="4:24" ht="15.75" thickBot="1" x14ac:dyDescent="0.3">
      <c r="E4" s="156" t="s">
        <v>5</v>
      </c>
      <c r="F4" s="150">
        <v>43586</v>
      </c>
      <c r="G4" s="150">
        <v>43617</v>
      </c>
      <c r="H4" s="150">
        <v>43647</v>
      </c>
      <c r="I4" s="150">
        <v>43678</v>
      </c>
      <c r="J4" s="150">
        <v>43709</v>
      </c>
      <c r="K4" s="150">
        <v>43739</v>
      </c>
      <c r="L4" s="150">
        <v>43770</v>
      </c>
      <c r="M4" s="150">
        <v>43800</v>
      </c>
      <c r="N4" s="147" t="s">
        <v>308</v>
      </c>
      <c r="O4" s="150">
        <v>43617</v>
      </c>
      <c r="V4" t="s">
        <v>309</v>
      </c>
      <c r="W4" s="159">
        <v>44223.53</v>
      </c>
      <c r="X4" s="151" t="s">
        <v>96</v>
      </c>
    </row>
    <row r="5" spans="4:24" x14ac:dyDescent="0.25">
      <c r="E5" s="152" t="s">
        <v>1</v>
      </c>
      <c r="F5" s="153">
        <f>'APAC 28.6.2019'!C14</f>
        <v>2561909.2680489998</v>
      </c>
      <c r="G5" s="153">
        <f>'7.9.2019'!M12</f>
        <v>1215975.5893649999</v>
      </c>
      <c r="H5" s="153">
        <f>-'JULY Actuals'!C16</f>
        <v>1080986.1238448666</v>
      </c>
      <c r="I5" s="153"/>
      <c r="J5" s="153"/>
      <c r="K5" s="153"/>
      <c r="L5" s="153"/>
      <c r="M5" s="153"/>
      <c r="N5" s="5">
        <f t="shared" ref="N5:N10" si="0">SUM(F5:H5)</f>
        <v>4858870.9812588664</v>
      </c>
      <c r="W5" s="213">
        <f>(H5/$H$10)*$W$4</f>
        <v>22192.74061006997</v>
      </c>
      <c r="X5" s="147" t="s">
        <v>252</v>
      </c>
    </row>
    <row r="6" spans="4:24" x14ac:dyDescent="0.25">
      <c r="E6" s="29" t="s">
        <v>2</v>
      </c>
      <c r="F6" s="52">
        <v>0</v>
      </c>
      <c r="G6" s="52">
        <f>'7.9.2019'!M18</f>
        <v>103675.560224</v>
      </c>
      <c r="H6" s="52">
        <f>-'JULY Actuals'!C15</f>
        <v>34384.079167576216</v>
      </c>
      <c r="I6" s="52"/>
      <c r="J6" s="52"/>
      <c r="K6" s="52"/>
      <c r="L6" s="52"/>
      <c r="M6" s="52"/>
      <c r="N6" s="49">
        <f t="shared" si="0"/>
        <v>138059.63939157623</v>
      </c>
      <c r="W6" s="213">
        <f t="shared" ref="W6:W7" si="1">(H6/$H$10)*$W$4</f>
        <v>705.90818258425622</v>
      </c>
      <c r="X6" s="147" t="s">
        <v>253</v>
      </c>
    </row>
    <row r="7" spans="4:24" x14ac:dyDescent="0.25">
      <c r="E7" s="29" t="s">
        <v>3</v>
      </c>
      <c r="F7" s="52">
        <f>'APAC 28.6.2019'!C34</f>
        <v>1291858.9930489999</v>
      </c>
      <c r="G7" s="52">
        <f>'June Actuals'!C3</f>
        <v>0</v>
      </c>
      <c r="H7" s="52">
        <f>-'JULY Actuals'!C13</f>
        <v>1038713.563268573</v>
      </c>
      <c r="I7" s="52"/>
      <c r="J7" s="52"/>
      <c r="K7" s="52"/>
      <c r="L7" s="52"/>
      <c r="M7" s="52"/>
      <c r="N7" s="49">
        <f t="shared" si="0"/>
        <v>2330572.5563175729</v>
      </c>
      <c r="W7" s="213">
        <f t="shared" si="1"/>
        <v>21324.88120734577</v>
      </c>
      <c r="X7" s="147" t="s">
        <v>254</v>
      </c>
    </row>
    <row r="8" spans="4:24" ht="15.75" thickBot="1" x14ac:dyDescent="0.3">
      <c r="E8" s="107" t="s">
        <v>4</v>
      </c>
      <c r="F8" s="154">
        <f>'APAC 28.6.2019'!C44</f>
        <v>898765.70488700003</v>
      </c>
      <c r="G8" s="154">
        <f>'7.9.2019'!M20</f>
        <v>730618.05293100001</v>
      </c>
      <c r="H8" s="188"/>
      <c r="I8" s="154"/>
      <c r="J8" s="154"/>
      <c r="K8" s="154"/>
      <c r="L8" s="154"/>
      <c r="M8" s="154"/>
      <c r="N8" s="155">
        <f t="shared" si="0"/>
        <v>1629383.7578179999</v>
      </c>
      <c r="W8" s="159"/>
    </row>
    <row r="9" spans="4:24" x14ac:dyDescent="0.25">
      <c r="E9" t="s">
        <v>50</v>
      </c>
      <c r="F9" s="8">
        <f>'APAC 28.6.2019'!C4</f>
        <v>13091092.249615999</v>
      </c>
      <c r="G9" s="8">
        <f>'7.9.2019'!M10+'7.9.2019'!M11</f>
        <v>19351813.471289001</v>
      </c>
      <c r="H9" s="8"/>
      <c r="I9" s="8"/>
      <c r="J9" s="8"/>
      <c r="K9" s="8"/>
      <c r="L9" s="8"/>
      <c r="M9" s="8"/>
      <c r="N9" s="8">
        <f t="shared" si="0"/>
        <v>32442905.720904998</v>
      </c>
      <c r="P9" s="8">
        <v>20649512.019499999</v>
      </c>
    </row>
    <row r="10" spans="4:24" ht="15.75" thickBot="1" x14ac:dyDescent="0.3">
      <c r="E10" s="117" t="s">
        <v>65</v>
      </c>
      <c r="F10" s="119">
        <f>SUM(F5:F9)</f>
        <v>17843626.215600997</v>
      </c>
      <c r="G10" s="119">
        <f>SUM(G5:G9)</f>
        <v>21402082.673808999</v>
      </c>
      <c r="H10" s="119">
        <f>SUM(H5:H9)</f>
        <v>2154083.7662810162</v>
      </c>
      <c r="I10" s="119"/>
      <c r="J10" s="119"/>
      <c r="K10" s="119"/>
      <c r="L10" s="119"/>
      <c r="M10" s="119"/>
      <c r="N10" s="119">
        <f t="shared" si="0"/>
        <v>41399792.655691013</v>
      </c>
      <c r="O10" s="8">
        <f>'APAC 28.6.2019'!D76</f>
        <v>22720756.027846001</v>
      </c>
      <c r="P10" s="8">
        <f>P9-G9</f>
        <v>1297698.5482109971</v>
      </c>
    </row>
    <row r="11" spans="4:24" ht="15.75" hidden="1" thickTop="1" x14ac:dyDescent="0.25"/>
    <row r="12" spans="4:24" ht="15.75" hidden="1" thickTop="1" x14ac:dyDescent="0.25">
      <c r="D12" s="151" t="s">
        <v>95</v>
      </c>
      <c r="E12" s="148" t="s">
        <v>6</v>
      </c>
      <c r="F12" s="150">
        <v>43586</v>
      </c>
      <c r="G12" s="150">
        <v>43617</v>
      </c>
      <c r="H12" s="150">
        <v>43647</v>
      </c>
      <c r="I12" s="150"/>
      <c r="J12" s="150"/>
      <c r="K12" s="150"/>
      <c r="L12" s="150"/>
      <c r="M12" s="150"/>
      <c r="N12" s="147" t="s">
        <v>308</v>
      </c>
      <c r="O12">
        <v>1.35</v>
      </c>
    </row>
    <row r="13" spans="4:24" ht="15.75" hidden="1" thickTop="1" x14ac:dyDescent="0.25">
      <c r="D13" s="147">
        <v>497100</v>
      </c>
      <c r="E13" s="152" t="s">
        <v>1</v>
      </c>
      <c r="F13" s="153">
        <f>'APAC 28.6.2019'!C16</f>
        <v>-386369.46109699999</v>
      </c>
      <c r="G13" s="153">
        <f>'7.9.2019'!M15</f>
        <v>-171668.30606599999</v>
      </c>
      <c r="H13" s="153">
        <f>-H5*0.15</f>
        <v>-162147.91857672998</v>
      </c>
      <c r="I13" s="153"/>
      <c r="J13" s="153"/>
      <c r="K13" s="153"/>
      <c r="L13" s="153"/>
      <c r="M13" s="153"/>
      <c r="N13" s="185">
        <f t="shared" ref="N13:N18" si="2">SUM(F13:H13)</f>
        <v>-720185.6857397299</v>
      </c>
      <c r="O13" s="157">
        <f>N13*$O$12</f>
        <v>-972250.67574863543</v>
      </c>
    </row>
    <row r="14" spans="4:24" ht="15.75" hidden="1" thickTop="1" x14ac:dyDescent="0.25">
      <c r="D14" s="147">
        <v>497100</v>
      </c>
      <c r="E14" s="29" t="s">
        <v>2</v>
      </c>
      <c r="F14" s="52">
        <v>0</v>
      </c>
      <c r="G14" s="52">
        <f>'7.9.2019'!M19</f>
        <v>-15348.760633</v>
      </c>
      <c r="H14" s="52">
        <f>-H6*0.15</f>
        <v>-5157.611875136432</v>
      </c>
      <c r="I14" s="52"/>
      <c r="J14" s="52"/>
      <c r="K14" s="52"/>
      <c r="L14" s="52"/>
      <c r="M14" s="52"/>
      <c r="N14" s="186">
        <f t="shared" si="2"/>
        <v>-20506.372508136432</v>
      </c>
      <c r="O14" s="157">
        <f t="shared" ref="O14:O16" si="3">N14*$O$12</f>
        <v>-27683.602885984186</v>
      </c>
      <c r="S14" s="159">
        <v>-2087169</v>
      </c>
    </row>
    <row r="15" spans="4:24" ht="15.75" hidden="1" thickTop="1" x14ac:dyDescent="0.25">
      <c r="D15" s="147">
        <v>497100</v>
      </c>
      <c r="E15" s="29" t="s">
        <v>3</v>
      </c>
      <c r="F15" s="52">
        <v>0</v>
      </c>
      <c r="G15" s="52">
        <v>-900000</v>
      </c>
      <c r="H15" s="52">
        <f>-H7*0.7</f>
        <v>-727099.49428800109</v>
      </c>
      <c r="I15" s="52"/>
      <c r="J15" s="52"/>
      <c r="K15" s="52"/>
      <c r="L15" s="52"/>
      <c r="M15" s="52"/>
      <c r="N15" s="186">
        <f t="shared" si="2"/>
        <v>-1627099.4942880012</v>
      </c>
      <c r="O15" s="157">
        <f t="shared" si="3"/>
        <v>-2196584.317288802</v>
      </c>
      <c r="S15" s="157">
        <f>F7*10%</f>
        <v>129185.8993049</v>
      </c>
      <c r="U15" s="157">
        <f>G18-S15</f>
        <v>-2094569.1636159001</v>
      </c>
    </row>
    <row r="16" spans="4:24" ht="16.5" hidden="1" thickTop="1" thickBot="1" x14ac:dyDescent="0.3">
      <c r="D16" s="147">
        <v>497100</v>
      </c>
      <c r="E16" s="107" t="s">
        <v>4</v>
      </c>
      <c r="F16" s="154">
        <v>0</v>
      </c>
      <c r="G16" s="154">
        <f>'7.9.2019'!M21</f>
        <v>-108165.161253</v>
      </c>
      <c r="H16" s="154">
        <f>H8*0%</f>
        <v>0</v>
      </c>
      <c r="I16" s="154"/>
      <c r="J16" s="154"/>
      <c r="K16" s="154"/>
      <c r="L16" s="154"/>
      <c r="M16" s="154"/>
      <c r="N16" s="187">
        <f t="shared" si="2"/>
        <v>-108165.161253</v>
      </c>
      <c r="O16" s="157">
        <f t="shared" si="3"/>
        <v>-146022.96769155</v>
      </c>
      <c r="S16" s="157">
        <f>S14+S15</f>
        <v>-1957983.1006950999</v>
      </c>
    </row>
    <row r="17" spans="5:19" ht="15.75" hidden="1" thickTop="1" x14ac:dyDescent="0.25">
      <c r="E17" t="s">
        <v>50</v>
      </c>
      <c r="F17" s="8">
        <f>'APAC 28.6.2019'!C6</f>
        <v>-584510.11507399997</v>
      </c>
      <c r="G17" s="8">
        <f>'7.9.2019'!M13</f>
        <v>-770201.03635900002</v>
      </c>
      <c r="H17" s="8"/>
      <c r="I17" s="8"/>
      <c r="J17" s="8"/>
      <c r="K17" s="8"/>
      <c r="L17" s="8"/>
      <c r="M17" s="8"/>
      <c r="N17" s="8">
        <f t="shared" si="2"/>
        <v>-1354711.1514329999</v>
      </c>
    </row>
    <row r="18" spans="5:19" ht="16.5" hidden="1" thickTop="1" thickBot="1" x14ac:dyDescent="0.3">
      <c r="E18" s="117" t="s">
        <v>65</v>
      </c>
      <c r="F18" s="119">
        <f>SUM(F13:F17)</f>
        <v>-970879.57617100002</v>
      </c>
      <c r="G18" s="119">
        <f>SUM(G13:G17)</f>
        <v>-1965383.264311</v>
      </c>
      <c r="H18" s="119">
        <f>SUM(H13:H17)</f>
        <v>-894405.02473986754</v>
      </c>
      <c r="I18" s="119"/>
      <c r="J18" s="119"/>
      <c r="K18" s="119"/>
      <c r="L18" s="119"/>
      <c r="M18" s="119"/>
      <c r="N18" s="119">
        <f t="shared" si="2"/>
        <v>-3830667.8652218678</v>
      </c>
      <c r="S18" s="158">
        <v>21402083</v>
      </c>
    </row>
    <row r="19" spans="5:19" ht="15.75" hidden="1" thickTop="1" x14ac:dyDescent="0.25"/>
    <row r="20" spans="5:19" ht="15.75" hidden="1" thickTop="1" x14ac:dyDescent="0.25">
      <c r="E20" s="149" t="s">
        <v>7</v>
      </c>
      <c r="F20" s="150">
        <v>43586</v>
      </c>
      <c r="G20" s="150">
        <v>43617</v>
      </c>
      <c r="H20" s="150">
        <v>43647</v>
      </c>
      <c r="I20" s="150"/>
      <c r="J20" s="150"/>
      <c r="K20" s="150"/>
      <c r="L20" s="150"/>
      <c r="M20" s="150"/>
      <c r="N20" s="147" t="s">
        <v>308</v>
      </c>
      <c r="S20" s="157" t="s">
        <v>97</v>
      </c>
    </row>
    <row r="21" spans="5:19" ht="15.75" hidden="1" thickTop="1" x14ac:dyDescent="0.25">
      <c r="E21" s="152" t="s">
        <v>1</v>
      </c>
      <c r="F21" s="153">
        <f t="shared" ref="F21:H25" si="4">F5+F13</f>
        <v>2175539.8069519997</v>
      </c>
      <c r="G21" s="153">
        <f t="shared" si="4"/>
        <v>1044307.2832989999</v>
      </c>
      <c r="H21" s="153">
        <f t="shared" si="4"/>
        <v>918838.20526813669</v>
      </c>
      <c r="I21" s="153"/>
      <c r="J21" s="153"/>
      <c r="K21" s="153"/>
      <c r="L21" s="153"/>
      <c r="M21" s="153"/>
      <c r="N21" s="5">
        <f t="shared" ref="N21:N26" si="5">SUM(F21:H21)</f>
        <v>4138685.2955191364</v>
      </c>
    </row>
    <row r="22" spans="5:19" ht="15.75" hidden="1" thickTop="1" x14ac:dyDescent="0.25">
      <c r="E22" s="29" t="s">
        <v>2</v>
      </c>
      <c r="F22" s="52">
        <f t="shared" si="4"/>
        <v>0</v>
      </c>
      <c r="G22" s="52">
        <f t="shared" si="4"/>
        <v>88326.799591000003</v>
      </c>
      <c r="H22" s="52">
        <f t="shared" si="4"/>
        <v>29226.467292439782</v>
      </c>
      <c r="I22" s="52"/>
      <c r="J22" s="52"/>
      <c r="K22" s="52"/>
      <c r="L22" s="52"/>
      <c r="M22" s="52"/>
      <c r="N22" s="49">
        <f t="shared" si="5"/>
        <v>117553.26688343979</v>
      </c>
    </row>
    <row r="23" spans="5:19" ht="15.75" hidden="1" thickTop="1" x14ac:dyDescent="0.25">
      <c r="E23" s="29" t="s">
        <v>3</v>
      </c>
      <c r="F23" s="52">
        <f t="shared" si="4"/>
        <v>1291858.9930489999</v>
      </c>
      <c r="G23" s="52">
        <f t="shared" si="4"/>
        <v>-900000</v>
      </c>
      <c r="H23" s="52">
        <f t="shared" si="4"/>
        <v>311614.06898057193</v>
      </c>
      <c r="I23" s="52"/>
      <c r="J23" s="52"/>
      <c r="K23" s="52"/>
      <c r="L23" s="52"/>
      <c r="M23" s="52"/>
      <c r="N23" s="49">
        <f t="shared" si="5"/>
        <v>703473.06202957185</v>
      </c>
    </row>
    <row r="24" spans="5:19" ht="16.5" hidden="1" thickTop="1" thickBot="1" x14ac:dyDescent="0.3">
      <c r="E24" s="107" t="s">
        <v>4</v>
      </c>
      <c r="F24" s="154">
        <f t="shared" si="4"/>
        <v>898765.70488700003</v>
      </c>
      <c r="G24" s="154">
        <f t="shared" si="4"/>
        <v>622452.89167799999</v>
      </c>
      <c r="H24" s="154">
        <f t="shared" si="4"/>
        <v>0</v>
      </c>
      <c r="I24" s="154"/>
      <c r="J24" s="154"/>
      <c r="K24" s="154"/>
      <c r="L24" s="154"/>
      <c r="M24" s="154"/>
      <c r="N24" s="155">
        <f t="shared" si="5"/>
        <v>1521218.596565</v>
      </c>
    </row>
    <row r="25" spans="5:19" ht="15.75" hidden="1" thickTop="1" x14ac:dyDescent="0.25">
      <c r="E25" t="s">
        <v>50</v>
      </c>
      <c r="F25" s="8">
        <f t="shared" si="4"/>
        <v>12506582.134542</v>
      </c>
      <c r="G25" s="8">
        <f t="shared" si="4"/>
        <v>18581612.43493</v>
      </c>
      <c r="H25" s="8">
        <f t="shared" si="4"/>
        <v>0</v>
      </c>
      <c r="I25" s="8"/>
      <c r="J25" s="8"/>
      <c r="K25" s="8"/>
      <c r="L25" s="8"/>
      <c r="M25" s="8"/>
      <c r="N25" s="8">
        <f t="shared" si="5"/>
        <v>31088194.569472</v>
      </c>
    </row>
    <row r="26" spans="5:19" ht="16.5" hidden="1" thickTop="1" thickBot="1" x14ac:dyDescent="0.3">
      <c r="E26" s="117" t="s">
        <v>65</v>
      </c>
      <c r="F26" s="118">
        <f>SUM(F21:F25)</f>
        <v>16872746.639430001</v>
      </c>
      <c r="G26" s="118">
        <f>SUM(G21:G25)</f>
        <v>19436699.409497999</v>
      </c>
      <c r="H26" s="118">
        <f>SUM(H21:H25)</f>
        <v>1259678.7415411484</v>
      </c>
      <c r="I26" s="118"/>
      <c r="J26" s="118"/>
      <c r="K26" s="118"/>
      <c r="L26" s="118"/>
      <c r="M26" s="118"/>
      <c r="N26" s="118">
        <f t="shared" si="5"/>
        <v>37569124.790469147</v>
      </c>
      <c r="O26" s="8">
        <f>'APAC 28.6.2019'!D78</f>
        <v>21619342.454746004</v>
      </c>
      <c r="P26" s="8">
        <f>G26-O26</f>
        <v>-2182643.0452480055</v>
      </c>
    </row>
    <row r="27" spans="5:19" ht="15.75" hidden="1" thickTop="1" x14ac:dyDescent="0.25"/>
    <row r="28" spans="5:19" ht="15.75" hidden="1" thickTop="1" x14ac:dyDescent="0.25"/>
    <row r="29" spans="5:19" ht="15.75" hidden="1" thickTop="1" x14ac:dyDescent="0.25">
      <c r="E29" t="s">
        <v>93</v>
      </c>
    </row>
    <row r="30" spans="5:19" ht="15.75" hidden="1" thickTop="1" x14ac:dyDescent="0.25"/>
    <row r="31" spans="5:19" ht="15.75" hidden="1" thickTop="1" x14ac:dyDescent="0.25"/>
    <row r="32" spans="5:19" ht="15.75" hidden="1" thickTop="1" x14ac:dyDescent="0.25"/>
    <row r="33" ht="15.75" hidden="1" thickTop="1" x14ac:dyDescent="0.25"/>
    <row r="34" ht="15.75" hidden="1" thickTop="1" x14ac:dyDescent="0.25"/>
    <row r="35" ht="15.75" hidden="1" thickTop="1" x14ac:dyDescent="0.25"/>
    <row r="36" ht="15.75" thickTop="1" x14ac:dyDescent="0.25"/>
  </sheetData>
  <mergeCells count="1">
    <mergeCell ref="E3:N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F329-AFED-438B-897C-A6A160BF217F}">
  <dimension ref="A3:D16"/>
  <sheetViews>
    <sheetView workbookViewId="0">
      <selection activeCell="F30" sqref="F30"/>
    </sheetView>
  </sheetViews>
  <sheetFormatPr defaultRowHeight="15" x14ac:dyDescent="0.25"/>
  <cols>
    <col min="1" max="1" width="27.7109375" style="172" bestFit="1" customWidth="1"/>
    <col min="2" max="2" width="21.140625" style="173" bestFit="1" customWidth="1"/>
    <col min="3" max="3" width="14" style="172" bestFit="1" customWidth="1"/>
    <col min="4" max="4" width="26.28515625" style="172" bestFit="1" customWidth="1"/>
    <col min="5" max="16384" width="9.140625" style="172"/>
  </cols>
  <sheetData>
    <row r="3" spans="1:4" x14ac:dyDescent="0.25">
      <c r="A3" t="s">
        <v>255</v>
      </c>
      <c r="B3" t="s">
        <v>256</v>
      </c>
    </row>
    <row r="4" spans="1:4" x14ac:dyDescent="0.25">
      <c r="A4" t="s">
        <v>74</v>
      </c>
      <c r="B4" s="8">
        <v>-1427504.05</v>
      </c>
    </row>
    <row r="5" spans="1:4" x14ac:dyDescent="0.25">
      <c r="A5" t="s">
        <v>257</v>
      </c>
      <c r="B5" s="8">
        <v>-139226.84</v>
      </c>
    </row>
    <row r="6" spans="1:4" x14ac:dyDescent="0.25">
      <c r="A6" t="s">
        <v>76</v>
      </c>
      <c r="B6" s="8">
        <v>-1346372.3900000001</v>
      </c>
    </row>
    <row r="7" spans="1:4" x14ac:dyDescent="0.25">
      <c r="A7" t="s">
        <v>78</v>
      </c>
      <c r="B7" s="8">
        <v>-47254.039999999994</v>
      </c>
    </row>
    <row r="8" spans="1:4" x14ac:dyDescent="0.25">
      <c r="A8" t="s">
        <v>79</v>
      </c>
      <c r="B8" s="8">
        <v>82190.17</v>
      </c>
    </row>
    <row r="9" spans="1:4" x14ac:dyDescent="0.25">
      <c r="A9" t="s">
        <v>83</v>
      </c>
      <c r="B9" s="8">
        <v>-2878167.1500000004</v>
      </c>
    </row>
    <row r="12" spans="1:4" x14ac:dyDescent="0.25">
      <c r="A12" s="175" t="s">
        <v>5</v>
      </c>
      <c r="C12" s="172">
        <v>1.3743000000000001</v>
      </c>
      <c r="D12" s="176" t="s">
        <v>258</v>
      </c>
    </row>
    <row r="13" spans="1:4" x14ac:dyDescent="0.25">
      <c r="A13" s="175" t="s">
        <v>259</v>
      </c>
      <c r="B13" s="173">
        <f>B4</f>
        <v>-1427504.05</v>
      </c>
      <c r="C13" s="174">
        <f>B13/$C$12</f>
        <v>-1038713.563268573</v>
      </c>
    </row>
    <row r="14" spans="1:4" x14ac:dyDescent="0.25">
      <c r="A14" s="175" t="s">
        <v>260</v>
      </c>
      <c r="B14" s="173">
        <f>B8</f>
        <v>82190.17</v>
      </c>
      <c r="C14" s="174">
        <f t="shared" ref="C14:C16" si="0">B14/$C$12</f>
        <v>59805.115331441455</v>
      </c>
    </row>
    <row r="15" spans="1:4" x14ac:dyDescent="0.25">
      <c r="A15" s="175" t="s">
        <v>261</v>
      </c>
      <c r="B15" s="173">
        <f>B7</f>
        <v>-47254.039999999994</v>
      </c>
      <c r="C15" s="174">
        <f t="shared" si="0"/>
        <v>-34384.079167576216</v>
      </c>
    </row>
    <row r="16" spans="1:4" x14ac:dyDescent="0.25">
      <c r="A16" s="175" t="s">
        <v>262</v>
      </c>
      <c r="B16" s="173">
        <f>B5+B6</f>
        <v>-1485599.2300000002</v>
      </c>
      <c r="C16" s="174">
        <f t="shared" si="0"/>
        <v>-1080986.1238448666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1C74-B2CA-4C61-8670-77DACF5EACC3}">
  <dimension ref="A1:P26"/>
  <sheetViews>
    <sheetView workbookViewId="0">
      <selection activeCell="F30" sqref="F30"/>
    </sheetView>
  </sheetViews>
  <sheetFormatPr defaultRowHeight="11.25" x14ac:dyDescent="0.15"/>
  <cols>
    <col min="1" max="1" width="8.7109375" style="120" bestFit="1" customWidth="1"/>
    <col min="2" max="2" width="8" style="120" bestFit="1" customWidth="1"/>
    <col min="3" max="3" width="14.140625" style="120" bestFit="1" customWidth="1"/>
    <col min="4" max="4" width="10.7109375" style="120" bestFit="1" customWidth="1"/>
    <col min="5" max="5" width="7.7109375" style="120" bestFit="1" customWidth="1"/>
    <col min="6" max="6" width="48.42578125" style="120" bestFit="1" customWidth="1"/>
    <col min="7" max="7" width="16.42578125" style="120" bestFit="1" customWidth="1"/>
    <col min="8" max="8" width="14.28515625" style="120" bestFit="1" customWidth="1"/>
    <col min="9" max="9" width="8.140625" style="120" bestFit="1" customWidth="1"/>
    <col min="10" max="10" width="20" style="120" bestFit="1" customWidth="1"/>
    <col min="11" max="11" width="12.140625" style="120" customWidth="1"/>
    <col min="12" max="12" width="14" style="120" bestFit="1" customWidth="1"/>
    <col min="13" max="13" width="21.5703125" style="120" bestFit="1" customWidth="1"/>
    <col min="14" max="14" width="14.140625" style="120" bestFit="1" customWidth="1"/>
    <col min="15" max="15" width="14.42578125" style="120" bestFit="1" customWidth="1"/>
    <col min="16" max="16" width="25.140625" style="120" bestFit="1" customWidth="1"/>
    <col min="17" max="16384" width="9.140625" style="120"/>
  </cols>
  <sheetData>
    <row r="1" spans="1:16" ht="15" x14ac:dyDescent="0.25">
      <c r="A1" s="177" t="s">
        <v>264</v>
      </c>
      <c r="B1" s="177" t="s">
        <v>265</v>
      </c>
      <c r="C1" s="177" t="s">
        <v>266</v>
      </c>
      <c r="D1" s="177" t="s">
        <v>267</v>
      </c>
      <c r="E1" s="177" t="s">
        <v>268</v>
      </c>
      <c r="F1" s="177" t="s">
        <v>269</v>
      </c>
      <c r="G1" s="177" t="s">
        <v>270</v>
      </c>
      <c r="H1" s="177" t="s">
        <v>271</v>
      </c>
      <c r="I1" s="177" t="s">
        <v>272</v>
      </c>
      <c r="J1" s="177" t="s">
        <v>273</v>
      </c>
      <c r="K1" s="177" t="s">
        <v>274</v>
      </c>
      <c r="L1" s="177" t="s">
        <v>275</v>
      </c>
      <c r="M1" s="177" t="s">
        <v>276</v>
      </c>
      <c r="N1" s="177" t="s">
        <v>277</v>
      </c>
      <c r="O1" s="177" t="s">
        <v>278</v>
      </c>
      <c r="P1" s="177" t="s">
        <v>279</v>
      </c>
    </row>
    <row r="2" spans="1:16" ht="15" x14ac:dyDescent="0.25">
      <c r="A2" s="178"/>
      <c r="B2" s="178" t="s">
        <v>280</v>
      </c>
      <c r="C2" s="178" t="s">
        <v>281</v>
      </c>
      <c r="D2" s="179">
        <v>43647</v>
      </c>
      <c r="E2" s="178" t="s">
        <v>282</v>
      </c>
      <c r="F2" s="178" t="s">
        <v>283</v>
      </c>
      <c r="G2" s="178"/>
      <c r="H2" s="178" t="s">
        <v>259</v>
      </c>
      <c r="I2" s="178" t="s">
        <v>263</v>
      </c>
      <c r="J2" s="178" t="s">
        <v>254</v>
      </c>
      <c r="K2" s="180">
        <v>2149317.84</v>
      </c>
      <c r="L2" s="180">
        <v>0</v>
      </c>
      <c r="M2" s="178"/>
      <c r="N2" s="180">
        <v>1217522.5900000001</v>
      </c>
      <c r="O2" s="180">
        <v>931795.25</v>
      </c>
      <c r="P2" s="178"/>
    </row>
    <row r="3" spans="1:16" ht="15" x14ac:dyDescent="0.25">
      <c r="A3" s="178"/>
      <c r="B3" s="178" t="s">
        <v>280</v>
      </c>
      <c r="C3" s="178" t="s">
        <v>284</v>
      </c>
      <c r="D3" s="179">
        <v>43647</v>
      </c>
      <c r="E3" s="178" t="s">
        <v>282</v>
      </c>
      <c r="F3" s="178" t="s">
        <v>285</v>
      </c>
      <c r="G3" s="178"/>
      <c r="H3" s="178" t="s">
        <v>286</v>
      </c>
      <c r="I3" s="178" t="s">
        <v>263</v>
      </c>
      <c r="J3" s="178" t="s">
        <v>287</v>
      </c>
      <c r="K3" s="180">
        <v>931795.25</v>
      </c>
      <c r="L3" s="180">
        <v>0</v>
      </c>
      <c r="M3" s="178"/>
      <c r="N3" s="180">
        <v>767977.59</v>
      </c>
      <c r="O3" s="180">
        <v>163817.66</v>
      </c>
      <c r="P3" s="178"/>
    </row>
    <row r="4" spans="1:16" ht="15" x14ac:dyDescent="0.25">
      <c r="A4" s="178"/>
      <c r="B4" s="178" t="s">
        <v>280</v>
      </c>
      <c r="C4" s="178" t="s">
        <v>284</v>
      </c>
      <c r="D4" s="179">
        <v>43647</v>
      </c>
      <c r="E4" s="178" t="s">
        <v>282</v>
      </c>
      <c r="F4" s="178" t="s">
        <v>285</v>
      </c>
      <c r="G4" s="178"/>
      <c r="H4" s="178" t="s">
        <v>286</v>
      </c>
      <c r="I4" s="178" t="s">
        <v>263</v>
      </c>
      <c r="J4" s="178" t="s">
        <v>288</v>
      </c>
      <c r="K4" s="180">
        <v>163817.66</v>
      </c>
      <c r="L4" s="180">
        <v>0</v>
      </c>
      <c r="M4" s="178"/>
      <c r="N4" s="180">
        <v>20914.22</v>
      </c>
      <c r="O4" s="180">
        <v>142903.44</v>
      </c>
      <c r="P4" s="178"/>
    </row>
    <row r="5" spans="1:16" ht="15" x14ac:dyDescent="0.25">
      <c r="A5" s="178"/>
      <c r="B5" s="178" t="s">
        <v>280</v>
      </c>
      <c r="C5" s="178" t="s">
        <v>284</v>
      </c>
      <c r="D5" s="179">
        <v>43647</v>
      </c>
      <c r="E5" s="178" t="s">
        <v>282</v>
      </c>
      <c r="F5" s="178" t="s">
        <v>285</v>
      </c>
      <c r="G5" s="178"/>
      <c r="H5" s="178" t="s">
        <v>286</v>
      </c>
      <c r="I5" s="178" t="s">
        <v>263</v>
      </c>
      <c r="J5" s="178" t="s">
        <v>289</v>
      </c>
      <c r="K5" s="180">
        <v>142903.44</v>
      </c>
      <c r="L5" s="180">
        <v>0</v>
      </c>
      <c r="M5" s="178"/>
      <c r="N5" s="180">
        <v>174763.06</v>
      </c>
      <c r="O5" s="180">
        <v>-31859.62</v>
      </c>
      <c r="P5" s="178"/>
    </row>
    <row r="6" spans="1:16" ht="15" x14ac:dyDescent="0.25">
      <c r="A6" s="178"/>
      <c r="B6" s="178" t="s">
        <v>280</v>
      </c>
      <c r="C6" s="178" t="s">
        <v>284</v>
      </c>
      <c r="D6" s="179">
        <v>43647</v>
      </c>
      <c r="E6" s="178" t="s">
        <v>282</v>
      </c>
      <c r="F6" s="178" t="s">
        <v>285</v>
      </c>
      <c r="G6" s="178"/>
      <c r="H6" s="178" t="s">
        <v>286</v>
      </c>
      <c r="I6" s="178" t="s">
        <v>263</v>
      </c>
      <c r="J6" s="178" t="s">
        <v>290</v>
      </c>
      <c r="K6" s="180">
        <v>-31859.62</v>
      </c>
      <c r="L6" s="180">
        <v>0</v>
      </c>
      <c r="M6" s="178"/>
      <c r="N6" s="180">
        <v>147385.84</v>
      </c>
      <c r="O6" s="180">
        <v>-179245.46</v>
      </c>
      <c r="P6" s="178"/>
    </row>
    <row r="7" spans="1:16" ht="15" x14ac:dyDescent="0.25">
      <c r="A7" s="178"/>
      <c r="B7" s="178" t="s">
        <v>280</v>
      </c>
      <c r="C7" s="178" t="s">
        <v>291</v>
      </c>
      <c r="D7" s="179">
        <v>43647</v>
      </c>
      <c r="E7" s="178" t="s">
        <v>282</v>
      </c>
      <c r="F7" s="178" t="s">
        <v>292</v>
      </c>
      <c r="G7" s="178"/>
      <c r="H7" s="178" t="s">
        <v>286</v>
      </c>
      <c r="I7" s="178" t="s">
        <v>263</v>
      </c>
      <c r="J7" s="178" t="s">
        <v>254</v>
      </c>
      <c r="K7" s="180">
        <v>-179245.46</v>
      </c>
      <c r="L7" s="180">
        <v>174763.06</v>
      </c>
      <c r="M7" s="178"/>
      <c r="N7" s="180">
        <v>0</v>
      </c>
      <c r="O7" s="180">
        <v>-4482.3999999999996</v>
      </c>
      <c r="P7" s="178"/>
    </row>
    <row r="8" spans="1:16" ht="15" x14ac:dyDescent="0.25">
      <c r="A8" s="178"/>
      <c r="B8" s="178" t="s">
        <v>293</v>
      </c>
      <c r="C8" s="178" t="s">
        <v>294</v>
      </c>
      <c r="D8" s="179">
        <v>43627</v>
      </c>
      <c r="E8" s="178" t="s">
        <v>282</v>
      </c>
      <c r="F8" s="178" t="s">
        <v>295</v>
      </c>
      <c r="G8" s="178" t="s">
        <v>296</v>
      </c>
      <c r="H8" s="178" t="s">
        <v>297</v>
      </c>
      <c r="I8" s="178" t="s">
        <v>263</v>
      </c>
      <c r="J8" s="178" t="s">
        <v>298</v>
      </c>
      <c r="K8" s="180">
        <v>-4482.3999999999996</v>
      </c>
      <c r="L8" s="180">
        <v>461148.83</v>
      </c>
      <c r="M8" s="178"/>
      <c r="N8" s="180">
        <v>0</v>
      </c>
      <c r="O8" s="180">
        <v>456666.43</v>
      </c>
      <c r="P8" s="178" t="s">
        <v>74</v>
      </c>
    </row>
    <row r="9" spans="1:16" ht="15" x14ac:dyDescent="0.25">
      <c r="A9" s="178"/>
      <c r="B9" s="178" t="s">
        <v>293</v>
      </c>
      <c r="C9" s="178" t="s">
        <v>294</v>
      </c>
      <c r="D9" s="179">
        <v>43627</v>
      </c>
      <c r="E9" s="178" t="s">
        <v>282</v>
      </c>
      <c r="F9" s="178" t="s">
        <v>299</v>
      </c>
      <c r="G9" s="178" t="s">
        <v>296</v>
      </c>
      <c r="H9" s="178" t="s">
        <v>297</v>
      </c>
      <c r="I9" s="178" t="s">
        <v>263</v>
      </c>
      <c r="J9" s="178" t="s">
        <v>298</v>
      </c>
      <c r="K9" s="180">
        <v>456666.43</v>
      </c>
      <c r="L9" s="180">
        <v>55337.86</v>
      </c>
      <c r="M9" s="178"/>
      <c r="N9" s="180">
        <v>0</v>
      </c>
      <c r="O9" s="180">
        <v>512004.29</v>
      </c>
      <c r="P9" s="178" t="s">
        <v>74</v>
      </c>
    </row>
    <row r="10" spans="1:16" ht="15" x14ac:dyDescent="0.25">
      <c r="A10" s="178"/>
      <c r="B10" s="178" t="s">
        <v>293</v>
      </c>
      <c r="C10" s="178" t="s">
        <v>300</v>
      </c>
      <c r="D10" s="179">
        <v>43644</v>
      </c>
      <c r="E10" s="178" t="s">
        <v>282</v>
      </c>
      <c r="F10" s="178" t="s">
        <v>301</v>
      </c>
      <c r="G10" s="178" t="s">
        <v>302</v>
      </c>
      <c r="H10" s="178" t="s">
        <v>303</v>
      </c>
      <c r="I10" s="178" t="s">
        <v>263</v>
      </c>
      <c r="J10" s="178" t="s">
        <v>304</v>
      </c>
      <c r="K10" s="180">
        <v>512004.29</v>
      </c>
      <c r="L10" s="180">
        <v>157906.43</v>
      </c>
      <c r="M10" s="178"/>
      <c r="N10" s="180">
        <v>0</v>
      </c>
      <c r="O10" s="180">
        <v>669910.72</v>
      </c>
      <c r="P10" s="178" t="s">
        <v>305</v>
      </c>
    </row>
    <row r="11" spans="1:16" ht="15" x14ac:dyDescent="0.25">
      <c r="A11" s="178"/>
      <c r="B11" s="178" t="s">
        <v>293</v>
      </c>
      <c r="C11" s="178" t="s">
        <v>300</v>
      </c>
      <c r="D11" s="179">
        <v>43644</v>
      </c>
      <c r="E11" s="178" t="s">
        <v>282</v>
      </c>
      <c r="F11" s="178" t="s">
        <v>306</v>
      </c>
      <c r="G11" s="178" t="s">
        <v>302</v>
      </c>
      <c r="H11" s="178" t="s">
        <v>303</v>
      </c>
      <c r="I11" s="178" t="s">
        <v>263</v>
      </c>
      <c r="J11" s="178" t="s">
        <v>304</v>
      </c>
      <c r="K11" s="180">
        <v>669910.72</v>
      </c>
      <c r="L11" s="180">
        <v>15790.64</v>
      </c>
      <c r="M11" s="178"/>
      <c r="N11" s="180">
        <v>0</v>
      </c>
      <c r="O11" s="180">
        <v>685701.36</v>
      </c>
      <c r="P11" s="178" t="s">
        <v>305</v>
      </c>
    </row>
    <row r="13" spans="1:16" x14ac:dyDescent="0.15">
      <c r="L13" s="182"/>
      <c r="M13" s="182">
        <v>1.3743000000000001</v>
      </c>
    </row>
    <row r="14" spans="1:16" x14ac:dyDescent="0.15">
      <c r="K14" s="120" t="s">
        <v>259</v>
      </c>
      <c r="L14" s="183">
        <f>L8+L9</f>
        <v>516486.69</v>
      </c>
      <c r="M14" s="183">
        <f>L14/$M$13</f>
        <v>375818.00916830386</v>
      </c>
    </row>
    <row r="15" spans="1:16" x14ac:dyDescent="0.15">
      <c r="K15" s="120" t="s">
        <v>307</v>
      </c>
      <c r="L15" s="183">
        <f>L10+L11</f>
        <v>173697.07</v>
      </c>
      <c r="M15" s="183">
        <f>L15/$M$13</f>
        <v>126389.48555628319</v>
      </c>
    </row>
    <row r="16" spans="1:16" x14ac:dyDescent="0.15">
      <c r="N16" s="181"/>
      <c r="O16" s="141"/>
    </row>
    <row r="17" spans="6:15" x14ac:dyDescent="0.15">
      <c r="N17" s="184"/>
      <c r="O17" s="141"/>
    </row>
    <row r="20" spans="6:15" x14ac:dyDescent="0.15">
      <c r="L20" s="183"/>
      <c r="M20" s="183"/>
    </row>
    <row r="21" spans="6:15" x14ac:dyDescent="0.15">
      <c r="F21" s="183"/>
      <c r="L21" s="183"/>
      <c r="M21" s="183"/>
    </row>
    <row r="22" spans="6:15" x14ac:dyDescent="0.15">
      <c r="F22" s="183"/>
      <c r="L22" s="183"/>
      <c r="M22" s="183"/>
    </row>
    <row r="23" spans="6:15" x14ac:dyDescent="0.15">
      <c r="F23" s="183"/>
      <c r="L23" s="183"/>
      <c r="M23" s="183"/>
      <c r="N23" s="141"/>
    </row>
    <row r="24" spans="6:15" x14ac:dyDescent="0.15">
      <c r="F24" s="183"/>
      <c r="L24" s="183"/>
      <c r="M24" s="183"/>
    </row>
    <row r="25" spans="6:15" x14ac:dyDescent="0.15">
      <c r="F25" s="183"/>
      <c r="L25" s="127"/>
    </row>
    <row r="26" spans="6:15" x14ac:dyDescent="0.15">
      <c r="F26" s="18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E7FF2-50D4-4832-99E5-4B57E0BF64ED}">
  <dimension ref="A1:BN80"/>
  <sheetViews>
    <sheetView zoomScale="90" zoomScaleNormal="90" workbookViewId="0">
      <pane xSplit="2" ySplit="3" topLeftCell="C4" activePane="bottomRight" state="frozen"/>
      <selection activeCell="D78" sqref="D78"/>
      <selection pane="topRight" activeCell="D78" sqref="D78"/>
      <selection pane="bottomLeft" activeCell="D78" sqref="D78"/>
      <selection pane="bottomRight" activeCell="D78" sqref="D78"/>
    </sheetView>
  </sheetViews>
  <sheetFormatPr defaultRowHeight="15" outlineLevelCol="1" x14ac:dyDescent="0.25"/>
  <cols>
    <col min="1" max="1" width="16.140625" style="113" customWidth="1"/>
    <col min="2" max="2" width="25.5703125" customWidth="1"/>
    <col min="3" max="3" width="14.5703125" style="114" customWidth="1"/>
    <col min="4" max="10" width="14.5703125" customWidth="1"/>
    <col min="11" max="11" width="13.28515625" style="8" bestFit="1" customWidth="1"/>
    <col min="12" max="12" width="12.85546875" hidden="1" customWidth="1" outlineLevel="1"/>
    <col min="13" max="14" width="16.85546875" style="8" hidden="1" customWidth="1" outlineLevel="1"/>
    <col min="15" max="15" width="15.85546875" style="8" hidden="1" customWidth="1" outlineLevel="1"/>
    <col min="16" max="20" width="16.85546875" style="8" hidden="1" customWidth="1" outlineLevel="1"/>
    <col min="21" max="21" width="15.28515625" hidden="1" customWidth="1" outlineLevel="1"/>
    <col min="22" max="22" width="22.28515625" hidden="1" customWidth="1" collapsed="1"/>
    <col min="23" max="23" width="8.140625" hidden="1" customWidth="1"/>
    <col min="24" max="24" width="6.5703125" hidden="1" customWidth="1"/>
    <col min="25" max="25" width="11.140625" customWidth="1"/>
    <col min="26" max="29" width="13.7109375" customWidth="1"/>
    <col min="30" max="30" width="11.140625" customWidth="1"/>
    <col min="31" max="44" width="13.7109375" customWidth="1"/>
    <col min="45" max="47" width="24.85546875" style="8" customWidth="1"/>
    <col min="48" max="49" width="22.85546875" customWidth="1"/>
    <col min="50" max="50" width="23.140625" customWidth="1"/>
    <col min="51" max="51" width="21.7109375" customWidth="1"/>
    <col min="52" max="52" width="1.85546875" customWidth="1"/>
    <col min="53" max="55" width="11.85546875" hidden="1" customWidth="1" outlineLevel="1"/>
    <col min="56" max="56" width="12.85546875" hidden="1" customWidth="1" outlineLevel="1"/>
    <col min="57" max="57" width="1.7109375" hidden="1" customWidth="1" outlineLevel="1"/>
    <col min="58" max="65" width="12.85546875" style="115" hidden="1" customWidth="1" outlineLevel="1"/>
    <col min="66" max="66" width="8.85546875" collapsed="1"/>
  </cols>
  <sheetData>
    <row r="1" spans="1:65" ht="15.75" thickBot="1" x14ac:dyDescent="0.3">
      <c r="A1" s="1"/>
      <c r="B1" s="2"/>
      <c r="C1" s="3" t="s">
        <v>8</v>
      </c>
      <c r="D1" s="4" t="s">
        <v>9</v>
      </c>
      <c r="E1" s="4" t="s">
        <v>9</v>
      </c>
      <c r="F1" s="4" t="s">
        <v>9</v>
      </c>
      <c r="G1" s="4" t="s">
        <v>9</v>
      </c>
      <c r="H1" s="4" t="s">
        <v>9</v>
      </c>
      <c r="I1" s="4" t="s">
        <v>9</v>
      </c>
      <c r="J1" s="4" t="s">
        <v>9</v>
      </c>
      <c r="K1" s="5"/>
      <c r="M1" s="6" t="s">
        <v>8</v>
      </c>
      <c r="N1" s="7" t="s">
        <v>10</v>
      </c>
      <c r="O1" s="7" t="s">
        <v>10</v>
      </c>
      <c r="P1" s="7" t="s">
        <v>10</v>
      </c>
      <c r="Q1" s="7" t="s">
        <v>10</v>
      </c>
      <c r="R1" s="7" t="s">
        <v>10</v>
      </c>
      <c r="S1" s="7" t="s">
        <v>10</v>
      </c>
      <c r="T1" s="7" t="s">
        <v>10</v>
      </c>
      <c r="U1" s="8"/>
      <c r="V1" s="9" t="s">
        <v>11</v>
      </c>
      <c r="W1">
        <f>'[1]Currency Exchange Rate'!E126</f>
        <v>9.1E-4</v>
      </c>
      <c r="X1" s="8">
        <f>1/W1</f>
        <v>1098.901098901099</v>
      </c>
      <c r="Y1" s="192" t="s">
        <v>12</v>
      </c>
      <c r="Z1" s="193"/>
      <c r="AA1" s="193"/>
      <c r="AB1" s="193"/>
      <c r="AC1" s="194"/>
      <c r="AD1" s="192" t="s">
        <v>13</v>
      </c>
      <c r="AE1" s="193"/>
      <c r="AF1" s="193"/>
      <c r="AG1" s="193"/>
      <c r="AH1" s="194"/>
      <c r="AI1" s="192" t="s">
        <v>14</v>
      </c>
      <c r="AJ1" s="193"/>
      <c r="AK1" s="193"/>
      <c r="AL1" s="193"/>
      <c r="AM1" s="194"/>
      <c r="AN1" s="192" t="s">
        <v>15</v>
      </c>
      <c r="AO1" s="193"/>
      <c r="AP1" s="193"/>
      <c r="AQ1" s="193"/>
      <c r="AR1" s="194"/>
      <c r="AS1" s="10" t="s">
        <v>16</v>
      </c>
      <c r="AT1" s="10" t="s">
        <v>17</v>
      </c>
      <c r="AU1" s="11" t="s">
        <v>18</v>
      </c>
      <c r="AV1" s="10" t="s">
        <v>19</v>
      </c>
      <c r="AW1" s="12" t="s">
        <v>20</v>
      </c>
      <c r="AX1" s="12" t="s">
        <v>20</v>
      </c>
      <c r="AY1" s="13" t="s">
        <v>20</v>
      </c>
      <c r="BA1" s="190" t="s">
        <v>21</v>
      </c>
      <c r="BB1" s="195"/>
      <c r="BC1" s="195"/>
      <c r="BD1" s="191"/>
      <c r="BF1" s="196" t="s">
        <v>22</v>
      </c>
      <c r="BG1" s="197"/>
      <c r="BH1" s="197"/>
      <c r="BI1" s="197"/>
      <c r="BJ1" s="197"/>
      <c r="BK1" s="197"/>
      <c r="BL1" s="197"/>
      <c r="BM1" s="198"/>
    </row>
    <row r="2" spans="1:65" ht="15.75" thickBot="1" x14ac:dyDescent="0.3">
      <c r="A2" s="14"/>
      <c r="B2" s="15" t="s">
        <v>23</v>
      </c>
      <c r="C2" s="16" t="s">
        <v>24</v>
      </c>
      <c r="D2" s="17" t="s">
        <v>25</v>
      </c>
      <c r="E2" s="17" t="s">
        <v>25</v>
      </c>
      <c r="F2" s="17" t="s">
        <v>25</v>
      </c>
      <c r="G2" s="17" t="s">
        <v>25</v>
      </c>
      <c r="H2" s="17" t="s">
        <v>25</v>
      </c>
      <c r="I2" s="17" t="s">
        <v>25</v>
      </c>
      <c r="J2" s="17" t="s">
        <v>25</v>
      </c>
      <c r="K2" s="18" t="s">
        <v>26</v>
      </c>
      <c r="L2" s="19" t="s">
        <v>27</v>
      </c>
      <c r="M2" s="20" t="s">
        <v>28</v>
      </c>
      <c r="N2" s="21" t="s">
        <v>29</v>
      </c>
      <c r="O2" s="21" t="s">
        <v>29</v>
      </c>
      <c r="P2" s="21" t="s">
        <v>29</v>
      </c>
      <c r="Q2" s="21" t="s">
        <v>29</v>
      </c>
      <c r="R2" s="21" t="s">
        <v>29</v>
      </c>
      <c r="S2" s="21" t="s">
        <v>29</v>
      </c>
      <c r="T2" s="21" t="s">
        <v>29</v>
      </c>
      <c r="U2" s="21" t="s">
        <v>26</v>
      </c>
      <c r="V2" s="21" t="s">
        <v>30</v>
      </c>
      <c r="W2" s="22">
        <v>8.8900000000000003E-4</v>
      </c>
      <c r="X2" s="8">
        <f>1/W2</f>
        <v>1124.859392575928</v>
      </c>
      <c r="Y2" s="23" t="s">
        <v>25</v>
      </c>
      <c r="Z2" s="24" t="s">
        <v>25</v>
      </c>
      <c r="AA2" s="24" t="s">
        <v>25</v>
      </c>
      <c r="AB2" s="24" t="s">
        <v>25</v>
      </c>
      <c r="AC2" s="25" t="s">
        <v>25</v>
      </c>
      <c r="AD2" s="23" t="s">
        <v>25</v>
      </c>
      <c r="AE2" s="24" t="s">
        <v>25</v>
      </c>
      <c r="AF2" s="24" t="s">
        <v>25</v>
      </c>
      <c r="AG2" s="24" t="s">
        <v>25</v>
      </c>
      <c r="AH2" s="25" t="s">
        <v>25</v>
      </c>
      <c r="AI2" s="23" t="s">
        <v>25</v>
      </c>
      <c r="AJ2" s="24" t="s">
        <v>25</v>
      </c>
      <c r="AK2" s="24" t="s">
        <v>25</v>
      </c>
      <c r="AL2" s="24" t="s">
        <v>25</v>
      </c>
      <c r="AM2" s="25" t="s">
        <v>25</v>
      </c>
      <c r="AN2" s="24" t="s">
        <v>15</v>
      </c>
      <c r="AO2" s="24" t="s">
        <v>15</v>
      </c>
      <c r="AP2" s="24" t="s">
        <v>15</v>
      </c>
      <c r="AQ2" s="24" t="s">
        <v>15</v>
      </c>
      <c r="AR2" s="24" t="s">
        <v>15</v>
      </c>
      <c r="AS2" s="26" t="s">
        <v>26</v>
      </c>
      <c r="AT2" s="26" t="s">
        <v>26</v>
      </c>
      <c r="AU2" s="27" t="s">
        <v>26</v>
      </c>
      <c r="AV2" s="28" t="s">
        <v>26</v>
      </c>
      <c r="AW2" s="23" t="s">
        <v>31</v>
      </c>
      <c r="AX2" s="23" t="s">
        <v>32</v>
      </c>
      <c r="AY2" s="25" t="s">
        <v>33</v>
      </c>
      <c r="BA2" s="29"/>
      <c r="BB2" s="30"/>
      <c r="BC2" s="30"/>
      <c r="BD2" s="31"/>
      <c r="BF2" s="190" t="s">
        <v>34</v>
      </c>
      <c r="BG2" s="191"/>
      <c r="BH2" s="190" t="s">
        <v>35</v>
      </c>
      <c r="BI2" s="191"/>
      <c r="BJ2" s="190" t="s">
        <v>36</v>
      </c>
      <c r="BK2" s="191"/>
      <c r="BL2" s="190" t="s">
        <v>37</v>
      </c>
      <c r="BM2" s="191"/>
    </row>
    <row r="3" spans="1:65" x14ac:dyDescent="0.25">
      <c r="A3" s="14"/>
      <c r="B3" s="30"/>
      <c r="C3" s="32" t="s">
        <v>38</v>
      </c>
      <c r="D3" s="33" t="s">
        <v>39</v>
      </c>
      <c r="E3" s="33" t="s">
        <v>40</v>
      </c>
      <c r="F3" s="33" t="s">
        <v>41</v>
      </c>
      <c r="G3" s="33" t="s">
        <v>42</v>
      </c>
      <c r="H3" s="33" t="s">
        <v>43</v>
      </c>
      <c r="I3" s="33" t="s">
        <v>44</v>
      </c>
      <c r="J3" s="33" t="s">
        <v>45</v>
      </c>
      <c r="K3" s="34" t="s">
        <v>46</v>
      </c>
      <c r="L3" s="35">
        <f>'[1]Currency Exchange Rate'!H126</f>
        <v>9.1E-4</v>
      </c>
      <c r="M3" s="36" t="s">
        <v>38</v>
      </c>
      <c r="N3" s="37" t="s">
        <v>39</v>
      </c>
      <c r="O3" s="37" t="s">
        <v>40</v>
      </c>
      <c r="P3" s="37" t="s">
        <v>41</v>
      </c>
      <c r="Q3" s="37" t="s">
        <v>42</v>
      </c>
      <c r="R3" s="37" t="s">
        <v>43</v>
      </c>
      <c r="S3" s="37" t="s">
        <v>44</v>
      </c>
      <c r="T3" s="37" t="s">
        <v>45</v>
      </c>
      <c r="U3" s="37" t="s">
        <v>46</v>
      </c>
      <c r="V3" s="37" t="s">
        <v>46</v>
      </c>
      <c r="Y3" s="38" t="s">
        <v>47</v>
      </c>
      <c r="Z3" s="39" t="s">
        <v>34</v>
      </c>
      <c r="AA3" s="39" t="s">
        <v>35</v>
      </c>
      <c r="AB3" s="39" t="s">
        <v>36</v>
      </c>
      <c r="AC3" s="34" t="s">
        <v>26</v>
      </c>
      <c r="AD3" s="38" t="s">
        <v>47</v>
      </c>
      <c r="AE3" s="39" t="s">
        <v>34</v>
      </c>
      <c r="AF3" s="39" t="s">
        <v>35</v>
      </c>
      <c r="AG3" s="39" t="s">
        <v>36</v>
      </c>
      <c r="AH3" s="34" t="s">
        <v>26</v>
      </c>
      <c r="AI3" s="38" t="s">
        <v>47</v>
      </c>
      <c r="AJ3" s="39" t="s">
        <v>34</v>
      </c>
      <c r="AK3" s="39" t="s">
        <v>35</v>
      </c>
      <c r="AL3" s="39" t="s">
        <v>36</v>
      </c>
      <c r="AM3" s="34" t="s">
        <v>26</v>
      </c>
      <c r="AN3" s="39" t="s">
        <v>47</v>
      </c>
      <c r="AO3" s="39" t="s">
        <v>34</v>
      </c>
      <c r="AP3" s="39" t="s">
        <v>35</v>
      </c>
      <c r="AQ3" s="39" t="s">
        <v>36</v>
      </c>
      <c r="AR3" s="39" t="s">
        <v>26</v>
      </c>
      <c r="AS3" s="38" t="s">
        <v>46</v>
      </c>
      <c r="AT3" s="38" t="s">
        <v>46</v>
      </c>
      <c r="AU3" s="40" t="s">
        <v>46</v>
      </c>
      <c r="AV3" s="34" t="s">
        <v>46</v>
      </c>
      <c r="AW3" s="39"/>
      <c r="AX3" s="29"/>
      <c r="AY3" s="31"/>
      <c r="BA3" s="41" t="s">
        <v>34</v>
      </c>
      <c r="BB3" s="33" t="s">
        <v>35</v>
      </c>
      <c r="BC3" s="33" t="s">
        <v>36</v>
      </c>
      <c r="BD3" s="42" t="s">
        <v>37</v>
      </c>
      <c r="BF3" s="43" t="s">
        <v>48</v>
      </c>
      <c r="BG3" s="44" t="s">
        <v>49</v>
      </c>
      <c r="BH3" s="45" t="s">
        <v>48</v>
      </c>
      <c r="BI3" s="45" t="s">
        <v>49</v>
      </c>
      <c r="BJ3" s="45" t="s">
        <v>48</v>
      </c>
      <c r="BK3" s="45" t="s">
        <v>49</v>
      </c>
      <c r="BL3" s="45" t="s">
        <v>48</v>
      </c>
      <c r="BM3" s="46" t="s">
        <v>49</v>
      </c>
    </row>
    <row r="4" spans="1:65" x14ac:dyDescent="0.25">
      <c r="A4" s="14" t="s">
        <v>50</v>
      </c>
      <c r="B4" s="47" t="s">
        <v>5</v>
      </c>
      <c r="C4" s="48">
        <f>'[1]6.28 (PH Edit)'!L21+'[1]6.28 (PH Edit)'!L28</f>
        <v>13091092.249615999</v>
      </c>
      <c r="D4" s="48">
        <f>'[1]6.28 (PH Edit)'!M21+'[1]6.28 (PH Edit)'!M28</f>
        <v>20761003.090100002</v>
      </c>
      <c r="E4" s="48">
        <f>'[1]6.28 (PH Edit)'!N21+'[1]6.28 (PH Edit)'!N28</f>
        <v>28670870.600189999</v>
      </c>
      <c r="F4" s="48">
        <f>'[1]6.28 (PH Edit)'!O21+'[1]6.28 (PH Edit)'!O28</f>
        <v>15732135.290690001</v>
      </c>
      <c r="G4" s="48">
        <f>'[1]6.28 (PH Edit)'!P21+'[1]6.28 (PH Edit)'!P28</f>
        <v>16738996.377739999</v>
      </c>
      <c r="H4" s="48">
        <f>'[1]6.28 (PH Edit)'!Q21+'[1]6.28 (PH Edit)'!Q28</f>
        <v>16244102.080569999</v>
      </c>
      <c r="I4" s="48">
        <f>'[1]6.28 (PH Edit)'!R21+'[1]6.28 (PH Edit)'!R28</f>
        <v>17309507.587189998</v>
      </c>
      <c r="J4" s="48">
        <f>'[1]6.28 (PH Edit)'!S21+'[1]6.28 (PH Edit)'!S28</f>
        <v>18426613.87294</v>
      </c>
      <c r="K4" s="49">
        <f>SUM(C4:J4)</f>
        <v>146974321.14903599</v>
      </c>
      <c r="L4" t="s">
        <v>51</v>
      </c>
      <c r="M4" s="50">
        <f>C4/$L$3</f>
        <v>14385815658.91868</v>
      </c>
      <c r="N4" s="50">
        <f t="shared" ref="N4:U11" si="0">D4/$L$3</f>
        <v>22814289110</v>
      </c>
      <c r="O4" s="50">
        <f t="shared" si="0"/>
        <v>31506451209</v>
      </c>
      <c r="P4" s="50">
        <f t="shared" si="0"/>
        <v>17288060759</v>
      </c>
      <c r="Q4" s="50">
        <f t="shared" si="0"/>
        <v>18394501514</v>
      </c>
      <c r="R4" s="50">
        <f t="shared" si="0"/>
        <v>17850661627</v>
      </c>
      <c r="S4" s="50">
        <f t="shared" si="0"/>
        <v>19021436909</v>
      </c>
      <c r="T4" s="50">
        <f t="shared" si="0"/>
        <v>20249026234</v>
      </c>
      <c r="U4" s="8">
        <f t="shared" si="0"/>
        <v>161510243020.91867</v>
      </c>
      <c r="V4" s="8">
        <f>K4*$X$1/$X$2</f>
        <v>143582606.04559669</v>
      </c>
      <c r="Y4" s="51">
        <v>0</v>
      </c>
      <c r="Z4" s="52">
        <f>C4+D4</f>
        <v>33852095.339716002</v>
      </c>
      <c r="AA4" s="52">
        <f>E4+F4+G4</f>
        <v>61142002.268619999</v>
      </c>
      <c r="AB4" s="52">
        <f>H4+I4+J4</f>
        <v>51980223.540700004</v>
      </c>
      <c r="AC4" s="49">
        <f>SUM(Y4:AB4)</f>
        <v>146974321.14903599</v>
      </c>
      <c r="AD4" s="51">
        <f>'[1]APAC 17.6.2019'!Y4</f>
        <v>0</v>
      </c>
      <c r="AE4" s="52">
        <f>'[1]APAC 17.6.2019'!Z4</f>
        <v>41451186.303725995</v>
      </c>
      <c r="AF4" s="52">
        <f>'[1]APAC 17.6.2019'!AA4</f>
        <v>49661195.39745</v>
      </c>
      <c r="AG4" s="52">
        <f>'[1]APAC 17.6.2019'!AB4</f>
        <v>34112920.806510001</v>
      </c>
      <c r="AH4" s="49">
        <f>'[1]APAC 17.6.2019'!AC4</f>
        <v>125225302.50768599</v>
      </c>
      <c r="AI4" s="51"/>
      <c r="AJ4" s="52">
        <f>'[1]6.10'!X4</f>
        <v>41450547.530364282</v>
      </c>
      <c r="AK4" s="52">
        <f>'[1]6.10'!Y4</f>
        <v>29875408.273010001</v>
      </c>
      <c r="AL4" s="52">
        <f>'[1]6.10'!Z4</f>
        <v>43635981.384580001</v>
      </c>
      <c r="AM4" s="49">
        <f t="shared" ref="AM4:AM71" si="1">SUM(AI4:AL4)</f>
        <v>114961937.18795429</v>
      </c>
      <c r="AN4" s="52">
        <v>0</v>
      </c>
      <c r="AO4" s="52">
        <f>'[1]May Forecast'!AC37</f>
        <v>12988452.013313089</v>
      </c>
      <c r="AP4" s="52">
        <f>'[1]May Forecast'!AD37</f>
        <v>29893494.284463819</v>
      </c>
      <c r="AQ4" s="52">
        <f>'[1]May Forecast'!AE37</f>
        <v>43660457.659316316</v>
      </c>
      <c r="AR4" s="52">
        <f>SUM(AN4:AQ4)</f>
        <v>86542403.957093224</v>
      </c>
      <c r="AS4" s="51">
        <v>114961937.18795428</v>
      </c>
      <c r="AT4" s="51">
        <f>AH4</f>
        <v>125225302.50768599</v>
      </c>
      <c r="AU4" s="53">
        <f>AC4</f>
        <v>146974321.14903599</v>
      </c>
      <c r="AV4" s="49">
        <f>AV24-AV14</f>
        <v>86542403.957093224</v>
      </c>
      <c r="AW4" s="52">
        <f>AU4-AT4</f>
        <v>21749018.641350001</v>
      </c>
      <c r="AX4" s="51">
        <f>AT4-AS4</f>
        <v>10263365.319731712</v>
      </c>
      <c r="AY4" s="49">
        <f>AC4-AV4</f>
        <v>60431917.191942766</v>
      </c>
      <c r="AZ4" s="54"/>
      <c r="BA4" s="51">
        <f>Z4-AJ4</f>
        <v>-7598452.1906482801</v>
      </c>
      <c r="BB4" s="52">
        <f>AA4-AK4</f>
        <v>31266593.995609999</v>
      </c>
      <c r="BC4" s="52">
        <f>AB4-AL4</f>
        <v>8344242.1561200023</v>
      </c>
      <c r="BD4" s="49">
        <f>AC4-AM4</f>
        <v>32012383.961081699</v>
      </c>
      <c r="BF4" s="55"/>
      <c r="BG4" s="56"/>
      <c r="BH4" s="56"/>
      <c r="BI4" s="56"/>
      <c r="BJ4" s="56"/>
      <c r="BK4" s="56"/>
      <c r="BL4" s="56"/>
      <c r="BM4" s="57"/>
    </row>
    <row r="5" spans="1:65" x14ac:dyDescent="0.25">
      <c r="A5" s="14" t="s">
        <v>50</v>
      </c>
      <c r="B5" s="30" t="s">
        <v>52</v>
      </c>
      <c r="C5" s="48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49">
        <f t="shared" ref="K5:K61" si="2">SUM(C5:J5)</f>
        <v>0</v>
      </c>
      <c r="M5" s="58">
        <f t="shared" ref="M5:M11" si="3">C5/$L$3</f>
        <v>0</v>
      </c>
      <c r="N5" s="8">
        <f t="shared" si="0"/>
        <v>0</v>
      </c>
      <c r="O5" s="8">
        <f t="shared" si="0"/>
        <v>0</v>
      </c>
      <c r="P5" s="8">
        <f t="shared" si="0"/>
        <v>0</v>
      </c>
      <c r="Q5" s="8">
        <f t="shared" si="0"/>
        <v>0</v>
      </c>
      <c r="R5" s="8">
        <f t="shared" si="0"/>
        <v>0</v>
      </c>
      <c r="S5" s="8">
        <f t="shared" si="0"/>
        <v>0</v>
      </c>
      <c r="T5" s="8">
        <f t="shared" si="0"/>
        <v>0</v>
      </c>
      <c r="U5" s="8">
        <f t="shared" si="0"/>
        <v>0</v>
      </c>
      <c r="V5" s="8">
        <f t="shared" ref="V5:V11" si="4">K5*$X$1/$X$2</f>
        <v>0</v>
      </c>
      <c r="Y5" s="51">
        <v>0</v>
      </c>
      <c r="Z5" s="52">
        <f t="shared" ref="Z5:Z71" si="5">C5+D5</f>
        <v>0</v>
      </c>
      <c r="AA5" s="52">
        <f t="shared" ref="AA5:AA71" si="6">E5+F5+G5</f>
        <v>0</v>
      </c>
      <c r="AB5" s="52">
        <f t="shared" ref="AB5:AB71" si="7">H5+I5+J5</f>
        <v>0</v>
      </c>
      <c r="AC5" s="49">
        <f t="shared" ref="AC5:AC71" si="8">SUM(Y5:AB5)</f>
        <v>0</v>
      </c>
      <c r="AD5" s="51">
        <f>'[1]APAC 17.6.2019'!Y5</f>
        <v>0</v>
      </c>
      <c r="AE5" s="52">
        <f>'[1]APAC 17.6.2019'!Z5</f>
        <v>0</v>
      </c>
      <c r="AF5" s="52">
        <f>'[1]APAC 17.6.2019'!AA5</f>
        <v>0</v>
      </c>
      <c r="AG5" s="52">
        <f>'[1]APAC 17.6.2019'!AB5</f>
        <v>0</v>
      </c>
      <c r="AH5" s="49">
        <f>'[1]APAC 17.6.2019'!AC5</f>
        <v>0</v>
      </c>
      <c r="AI5" s="51"/>
      <c r="AJ5" s="52">
        <f>'[1]6.10'!X5</f>
        <v>0</v>
      </c>
      <c r="AK5" s="52">
        <f>'[1]6.10'!Y5</f>
        <v>0</v>
      </c>
      <c r="AL5" s="52">
        <f>'[1]6.10'!Z5</f>
        <v>0</v>
      </c>
      <c r="AM5" s="49">
        <f>SUM(AI5:AL5)</f>
        <v>0</v>
      </c>
      <c r="AN5" s="52">
        <v>0</v>
      </c>
      <c r="AO5" s="52"/>
      <c r="AP5" s="52"/>
      <c r="AQ5" s="52"/>
      <c r="AR5" s="52">
        <f t="shared" ref="AR5:AR71" si="9">SUM(AN5:AQ5)</f>
        <v>0</v>
      </c>
      <c r="AS5" s="51">
        <v>0</v>
      </c>
      <c r="AT5" s="51">
        <f t="shared" ref="AT5:AT68" si="10">AH5</f>
        <v>0</v>
      </c>
      <c r="AU5" s="53">
        <f t="shared" ref="AU5:AU68" si="11">AC5</f>
        <v>0</v>
      </c>
      <c r="AV5" s="49">
        <v>0</v>
      </c>
      <c r="AW5" s="52">
        <f t="shared" ref="AW5:AW68" si="12">AU5-AT5</f>
        <v>0</v>
      </c>
      <c r="AX5" s="51">
        <f t="shared" ref="AX5:AX11" si="13">AC5-AS5</f>
        <v>0</v>
      </c>
      <c r="AY5" s="49">
        <f t="shared" ref="AY5:AY11" si="14">AC5-AV5</f>
        <v>0</v>
      </c>
      <c r="AZ5" s="54"/>
      <c r="BA5" s="51">
        <f t="shared" ref="BA5:BD71" si="15">Z5-AJ5</f>
        <v>0</v>
      </c>
      <c r="BB5" s="52">
        <f t="shared" si="15"/>
        <v>0</v>
      </c>
      <c r="BC5" s="52">
        <f t="shared" si="15"/>
        <v>0</v>
      </c>
      <c r="BD5" s="49">
        <f t="shared" si="15"/>
        <v>0</v>
      </c>
      <c r="BF5" s="55"/>
      <c r="BG5" s="56"/>
      <c r="BH5" s="56"/>
      <c r="BI5" s="56"/>
      <c r="BJ5" s="56"/>
      <c r="BK5" s="56"/>
      <c r="BL5" s="56"/>
      <c r="BM5" s="57"/>
    </row>
    <row r="6" spans="1:65" x14ac:dyDescent="0.25">
      <c r="A6" s="14" t="s">
        <v>50</v>
      </c>
      <c r="B6" s="30" t="s">
        <v>53</v>
      </c>
      <c r="C6" s="48">
        <f>'[1]6.28 (PH Edit)'!L22+'[1]6.28 (PH Edit)'!L29</f>
        <v>-584510.11507399997</v>
      </c>
      <c r="D6" s="48">
        <f>'[1]6.28 (PH Edit)'!M22+'[1]6.28 (PH Edit)'!M29</f>
        <v>-807450.63217</v>
      </c>
      <c r="E6" s="48">
        <f>'[1]6.28 (PH Edit)'!N22+'[1]6.28 (PH Edit)'!N29</f>
        <v>-2963888.1335700001</v>
      </c>
      <c r="F6" s="48">
        <f>'[1]6.28 (PH Edit)'!O22+'[1]6.28 (PH Edit)'!O29</f>
        <v>-2128278.1119599999</v>
      </c>
      <c r="G6" s="48">
        <f>'[1]6.28 (PH Edit)'!P22+'[1]6.28 (PH Edit)'!P29</f>
        <v>-2338479.2094299998</v>
      </c>
      <c r="H6" s="48">
        <f>'[1]6.28 (PH Edit)'!Q22+'[1]6.28 (PH Edit)'!Q29</f>
        <v>-2377235.40509</v>
      </c>
      <c r="I6" s="48">
        <f>'[1]6.28 (PH Edit)'!R22+'[1]6.28 (PH Edit)'!R29</f>
        <v>-2492896.9938600003</v>
      </c>
      <c r="J6" s="48">
        <f>'[1]6.28 (PH Edit)'!S22+'[1]6.28 (PH Edit)'!S29</f>
        <v>-2634340.6334699998</v>
      </c>
      <c r="K6" s="49">
        <f t="shared" si="2"/>
        <v>-16327079.234624002</v>
      </c>
      <c r="M6" s="58">
        <f t="shared" si="3"/>
        <v>-642318807.77362633</v>
      </c>
      <c r="N6" s="8">
        <f t="shared" si="0"/>
        <v>-887308387</v>
      </c>
      <c r="O6" s="8">
        <f t="shared" si="0"/>
        <v>-3257019927</v>
      </c>
      <c r="P6" s="8">
        <f t="shared" si="0"/>
        <v>-2338767156</v>
      </c>
      <c r="Q6" s="8">
        <f t="shared" si="0"/>
        <v>-2569757373</v>
      </c>
      <c r="R6" s="8">
        <f t="shared" si="0"/>
        <v>-2612346599</v>
      </c>
      <c r="S6" s="8">
        <f t="shared" si="0"/>
        <v>-2739447246.0000005</v>
      </c>
      <c r="T6" s="8">
        <f t="shared" si="0"/>
        <v>-2894879816.9999995</v>
      </c>
      <c r="U6" s="8">
        <f t="shared" si="0"/>
        <v>-17941845312.773628</v>
      </c>
      <c r="V6" s="8">
        <f t="shared" si="4"/>
        <v>-15950300.483055755</v>
      </c>
      <c r="Y6" s="51">
        <v>0</v>
      </c>
      <c r="Z6" s="52">
        <f>C6+D6</f>
        <v>-1391960.747244</v>
      </c>
      <c r="AA6" s="52">
        <f t="shared" si="6"/>
        <v>-7430645.4549599998</v>
      </c>
      <c r="AB6" s="52">
        <f>H6+I6+J6</f>
        <v>-7504473.0324200001</v>
      </c>
      <c r="AC6" s="49">
        <f t="shared" si="8"/>
        <v>-16327079.234624</v>
      </c>
      <c r="AD6" s="51">
        <f>'[1]APAC 17.6.2019'!Y6</f>
        <v>0</v>
      </c>
      <c r="AE6" s="52">
        <f>'[1]APAC 17.6.2019'!Z6</f>
        <v>-2883821.1964139994</v>
      </c>
      <c r="AF6" s="52">
        <f>'[1]APAC 17.6.2019'!AA6</f>
        <v>-6941053.7514500003</v>
      </c>
      <c r="AG6" s="52">
        <f>'[1]APAC 17.6.2019'!AB6</f>
        <v>-6968448.3805299997</v>
      </c>
      <c r="AH6" s="49">
        <f>'[1]APAC 17.6.2019'!AC6</f>
        <v>-16793323.328393999</v>
      </c>
      <c r="AI6" s="51"/>
      <c r="AJ6" s="52">
        <f>'[1]6.10'!X6</f>
        <v>-4354014.1079530418</v>
      </c>
      <c r="AK6" s="52">
        <f>'[1]6.10'!Y6</f>
        <v>-4343981.46</v>
      </c>
      <c r="AL6" s="52">
        <f>'[1]6.10'!Z6</f>
        <v>-6379984.7238400001</v>
      </c>
      <c r="AM6" s="49">
        <f t="shared" si="1"/>
        <v>-15077980.291793043</v>
      </c>
      <c r="AN6" s="52">
        <v>0</v>
      </c>
      <c r="AO6" s="52">
        <f>'[1]May Forecast'!AC39</f>
        <v>-1912215.7047184925</v>
      </c>
      <c r="AP6" s="52">
        <f>'[1]May Forecast'!AD39</f>
        <v>-4345053.6063424144</v>
      </c>
      <c r="AQ6" s="52">
        <f>'[1]May Forecast'!AE39</f>
        <v>-6381150.0372861894</v>
      </c>
      <c r="AR6" s="52">
        <f t="shared" si="9"/>
        <v>-12638419.348347098</v>
      </c>
      <c r="AS6" s="51">
        <v>-15077980.291793041</v>
      </c>
      <c r="AT6" s="51">
        <f t="shared" si="10"/>
        <v>-16793323.328393999</v>
      </c>
      <c r="AU6" s="53">
        <f t="shared" si="11"/>
        <v>-16327079.234624</v>
      </c>
      <c r="AV6" s="49">
        <f>AV26-AV16</f>
        <v>-12638419.348347096</v>
      </c>
      <c r="AW6" s="52">
        <f t="shared" si="12"/>
        <v>466244.09376999922</v>
      </c>
      <c r="AX6" s="51">
        <f t="shared" si="13"/>
        <v>-1249098.9428309593</v>
      </c>
      <c r="AY6" s="49">
        <f t="shared" si="14"/>
        <v>-3688659.8862769045</v>
      </c>
      <c r="AZ6" s="54"/>
      <c r="BA6" s="51">
        <f t="shared" si="15"/>
        <v>2962053.3607090418</v>
      </c>
      <c r="BB6" s="52">
        <f t="shared" si="15"/>
        <v>-3086663.9949599998</v>
      </c>
      <c r="BC6" s="52">
        <f t="shared" si="15"/>
        <v>-1124488.30858</v>
      </c>
      <c r="BD6" s="49">
        <f t="shared" si="15"/>
        <v>-1249098.9428309575</v>
      </c>
      <c r="BF6" s="59">
        <f>-Z6/Z4</f>
        <v>4.1118894806222578E-2</v>
      </c>
      <c r="BG6" s="60">
        <f>-AJ6/AJ4</f>
        <v>0.10504117236964221</v>
      </c>
      <c r="BH6" s="60">
        <f>-AA6/AA4</f>
        <v>0.12153094729077332</v>
      </c>
      <c r="BI6" s="60">
        <f>-AK6/AK4</f>
        <v>0.14540325006786378</v>
      </c>
      <c r="BJ6" s="60">
        <f>-AB6/AB4</f>
        <v>0.14437169602674124</v>
      </c>
      <c r="BK6" s="60">
        <f>-AL6/AL4</f>
        <v>0.14620926403856582</v>
      </c>
      <c r="BL6" s="60">
        <f>-AC6/AC4</f>
        <v>0.11108797174213783</v>
      </c>
      <c r="BM6" s="61">
        <f>-AM6/AM4</f>
        <v>0.13115628233666293</v>
      </c>
    </row>
    <row r="7" spans="1:65" x14ac:dyDescent="0.25">
      <c r="A7" s="14" t="s">
        <v>50</v>
      </c>
      <c r="B7" s="30" t="s">
        <v>54</v>
      </c>
      <c r="C7" s="48">
        <f>SUM(C4:C6)</f>
        <v>12506582.134542</v>
      </c>
      <c r="D7" s="52">
        <f>SUM(D4:D6)</f>
        <v>19953552.457930002</v>
      </c>
      <c r="E7" s="52">
        <f t="shared" ref="E7:J7" si="16">SUM(E4:E6)</f>
        <v>25706982.466619998</v>
      </c>
      <c r="F7" s="52">
        <f t="shared" si="16"/>
        <v>13603857.178730002</v>
      </c>
      <c r="G7" s="52">
        <f t="shared" si="16"/>
        <v>14400517.16831</v>
      </c>
      <c r="H7" s="52">
        <f t="shared" si="16"/>
        <v>13866866.675479999</v>
      </c>
      <c r="I7" s="52">
        <f t="shared" si="16"/>
        <v>14816610.593329998</v>
      </c>
      <c r="J7" s="52">
        <f t="shared" si="16"/>
        <v>15792273.239470001</v>
      </c>
      <c r="K7" s="49">
        <f t="shared" si="2"/>
        <v>130647241.91441199</v>
      </c>
      <c r="M7" s="48">
        <f>C7/$L$3</f>
        <v>13743496851.145054</v>
      </c>
      <c r="N7" s="52">
        <f t="shared" si="0"/>
        <v>21926980723.000004</v>
      </c>
      <c r="O7" s="52">
        <f t="shared" si="0"/>
        <v>28249431281.999996</v>
      </c>
      <c r="P7" s="52">
        <f t="shared" si="0"/>
        <v>14949293603.000002</v>
      </c>
      <c r="Q7" s="52">
        <f t="shared" si="0"/>
        <v>15824744141</v>
      </c>
      <c r="R7" s="52">
        <f t="shared" si="0"/>
        <v>15238315027.999998</v>
      </c>
      <c r="S7" s="52">
        <f t="shared" si="0"/>
        <v>16281989662.999998</v>
      </c>
      <c r="T7" s="52">
        <f t="shared" si="0"/>
        <v>17354146417</v>
      </c>
      <c r="U7" s="52">
        <f t="shared" si="0"/>
        <v>143568397708.14505</v>
      </c>
      <c r="V7" s="52">
        <f t="shared" si="4"/>
        <v>127632305.56254095</v>
      </c>
      <c r="Y7" s="51">
        <v>0</v>
      </c>
      <c r="Z7" s="52">
        <f t="shared" si="5"/>
        <v>32460134.592472002</v>
      </c>
      <c r="AA7" s="52">
        <f t="shared" si="6"/>
        <v>53711356.813660003</v>
      </c>
      <c r="AB7" s="52">
        <f>H7+I7+J7</f>
        <v>44475750.508279994</v>
      </c>
      <c r="AC7" s="49">
        <f>SUM(Y7:AB7)</f>
        <v>130647241.91441201</v>
      </c>
      <c r="AD7" s="51">
        <f>'[1]APAC 17.6.2019'!Y7</f>
        <v>0</v>
      </c>
      <c r="AE7" s="52">
        <f>'[1]APAC 17.6.2019'!Z7</f>
        <v>38567365.107311994</v>
      </c>
      <c r="AF7" s="52">
        <f>'[1]APAC 17.6.2019'!AA7</f>
        <v>42720141.645999998</v>
      </c>
      <c r="AG7" s="52">
        <f>'[1]APAC 17.6.2019'!AB7</f>
        <v>27144472.425980002</v>
      </c>
      <c r="AH7" s="49">
        <f>'[1]APAC 17.6.2019'!AC7</f>
        <v>108431979.17929199</v>
      </c>
      <c r="AI7" s="51"/>
      <c r="AJ7" s="52">
        <f>SUM(AJ4:AJ6)</f>
        <v>37096533.422411241</v>
      </c>
      <c r="AK7" s="52">
        <f t="shared" ref="AK7:AL7" si="17">SUM(AK4:AK6)</f>
        <v>25531426.81301</v>
      </c>
      <c r="AL7" s="52">
        <f t="shared" si="17"/>
        <v>37255996.660740003</v>
      </c>
      <c r="AM7" s="49">
        <f t="shared" si="1"/>
        <v>99883956.896161243</v>
      </c>
      <c r="AN7" s="52">
        <v>0</v>
      </c>
      <c r="AO7" s="52">
        <f>SUM(AO4:AO6)</f>
        <v>11076236.308594596</v>
      </c>
      <c r="AP7" s="52">
        <f t="shared" ref="AP7:AQ7" si="18">SUM(AP4:AP6)</f>
        <v>25548440.678121403</v>
      </c>
      <c r="AQ7" s="52">
        <f t="shared" si="18"/>
        <v>37279307.622030124</v>
      </c>
      <c r="AR7" s="52">
        <f>SUM(AN7:AQ7)</f>
        <v>73903984.608746126</v>
      </c>
      <c r="AS7" s="51">
        <v>99883956.896161243</v>
      </c>
      <c r="AT7" s="51">
        <f t="shared" si="10"/>
        <v>108431979.17929199</v>
      </c>
      <c r="AU7" s="53">
        <f t="shared" si="11"/>
        <v>130647241.91441201</v>
      </c>
      <c r="AV7" s="49">
        <f>AV27-AV17</f>
        <v>73904325.157140642</v>
      </c>
      <c r="AW7" s="52">
        <f t="shared" si="12"/>
        <v>22215262.735120013</v>
      </c>
      <c r="AX7" s="51">
        <f t="shared" si="13"/>
        <v>30763285.018250763</v>
      </c>
      <c r="AY7" s="49">
        <f t="shared" si="14"/>
        <v>56742916.757271364</v>
      </c>
      <c r="AZ7" s="54"/>
      <c r="BA7" s="51">
        <f t="shared" si="15"/>
        <v>-4636398.8299392387</v>
      </c>
      <c r="BB7" s="52">
        <f t="shared" si="15"/>
        <v>28179930.000650004</v>
      </c>
      <c r="BC7" s="52">
        <f t="shared" si="15"/>
        <v>7219753.8475399911</v>
      </c>
      <c r="BD7" s="49">
        <f t="shared" si="15"/>
        <v>30763285.018250763</v>
      </c>
      <c r="BF7" s="55"/>
      <c r="BG7" s="56"/>
      <c r="BH7" s="56"/>
      <c r="BI7" s="56"/>
      <c r="BJ7" s="56"/>
      <c r="BK7" s="56"/>
      <c r="BL7" s="56"/>
      <c r="BM7" s="57"/>
    </row>
    <row r="8" spans="1:65" x14ac:dyDescent="0.25">
      <c r="A8" s="14" t="s">
        <v>50</v>
      </c>
      <c r="B8" s="30" t="s">
        <v>55</v>
      </c>
      <c r="C8" s="48">
        <f>'[1]6.28'!L23+'[1]6.28'!L30</f>
        <v>0</v>
      </c>
      <c r="D8" s="48">
        <f>'[1]6.28'!M23+'[1]6.28'!M30</f>
        <v>0</v>
      </c>
      <c r="E8" s="48">
        <f>'[1]6.28'!N23+'[1]6.28'!N30</f>
        <v>0</v>
      </c>
      <c r="F8" s="48">
        <f>'[1]6.28'!O23+'[1]6.28'!O30</f>
        <v>0</v>
      </c>
      <c r="G8" s="48">
        <f>'[1]6.28'!P23+'[1]6.28'!P30</f>
        <v>0</v>
      </c>
      <c r="H8" s="48">
        <f>'[1]6.28'!Q23+'[1]6.28'!Q30</f>
        <v>-893366.47581999993</v>
      </c>
      <c r="I8" s="48">
        <f>'[1]6.28'!R23+'[1]6.28'!R30</f>
        <v>0</v>
      </c>
      <c r="J8" s="48">
        <f>'[1]6.28'!S23+'[1]6.28'!S30</f>
        <v>-999323.18030999997</v>
      </c>
      <c r="K8" s="49">
        <f t="shared" si="2"/>
        <v>-1892689.65613</v>
      </c>
      <c r="M8" s="48">
        <f t="shared" si="3"/>
        <v>0</v>
      </c>
      <c r="N8" s="52">
        <f t="shared" si="0"/>
        <v>0</v>
      </c>
      <c r="O8" s="52">
        <f t="shared" si="0"/>
        <v>0</v>
      </c>
      <c r="P8" s="52">
        <f t="shared" si="0"/>
        <v>0</v>
      </c>
      <c r="Q8" s="52">
        <f t="shared" si="0"/>
        <v>0</v>
      </c>
      <c r="R8" s="52">
        <f t="shared" si="0"/>
        <v>-981721401.99999988</v>
      </c>
      <c r="S8" s="52">
        <f t="shared" si="0"/>
        <v>0</v>
      </c>
      <c r="T8" s="52">
        <f t="shared" si="0"/>
        <v>-1098157341</v>
      </c>
      <c r="U8" s="52">
        <f t="shared" si="0"/>
        <v>-2079878743</v>
      </c>
      <c r="V8" s="52">
        <f t="shared" si="4"/>
        <v>-1849012.2025270001</v>
      </c>
      <c r="Y8" s="51">
        <v>0</v>
      </c>
      <c r="Z8" s="52">
        <f t="shared" si="5"/>
        <v>0</v>
      </c>
      <c r="AA8" s="52">
        <f t="shared" si="6"/>
        <v>0</v>
      </c>
      <c r="AB8" s="52">
        <f t="shared" si="7"/>
        <v>-1892689.65613</v>
      </c>
      <c r="AC8" s="49">
        <f t="shared" si="8"/>
        <v>-1892689.65613</v>
      </c>
      <c r="AD8" s="51">
        <f>'[1]APAC 17.6.2019'!Y8</f>
        <v>0</v>
      </c>
      <c r="AE8" s="52">
        <f>'[1]APAC 17.6.2019'!Z8</f>
        <v>0</v>
      </c>
      <c r="AF8" s="52">
        <f>'[1]APAC 17.6.2019'!AA8</f>
        <v>0</v>
      </c>
      <c r="AG8" s="52">
        <f>'[1]APAC 17.6.2019'!AB8</f>
        <v>-3036285.6496700002</v>
      </c>
      <c r="AH8" s="49">
        <f>'[1]APAC 17.6.2019'!AC8</f>
        <v>-3036285.6496700002</v>
      </c>
      <c r="AI8" s="51"/>
      <c r="AJ8" s="52">
        <f>'[1]6.10'!X8</f>
        <v>-583907.42825581331</v>
      </c>
      <c r="AK8" s="52">
        <f>'[1]6.10'!Y8</f>
        <v>0</v>
      </c>
      <c r="AL8" s="52">
        <f>'[1]6.10'!Z8</f>
        <v>-2107210.1869000001</v>
      </c>
      <c r="AM8" s="49">
        <f t="shared" si="1"/>
        <v>-2691117.6151558133</v>
      </c>
      <c r="AN8" s="52">
        <v>0</v>
      </c>
      <c r="AO8" s="52">
        <f>'[1]May Forecast'!AC40</f>
        <v>0</v>
      </c>
      <c r="AP8" s="52">
        <f>'[1]May Forecast'!AD40</f>
        <v>0</v>
      </c>
      <c r="AQ8" s="52">
        <f>'[1]May Forecast'!AE40</f>
        <v>-2107210.1869000001</v>
      </c>
      <c r="AR8" s="52">
        <f t="shared" si="9"/>
        <v>-2107210.1869000001</v>
      </c>
      <c r="AS8" s="51">
        <v>-2691117.6151558133</v>
      </c>
      <c r="AT8" s="51">
        <f t="shared" si="10"/>
        <v>-3036285.6496700002</v>
      </c>
      <c r="AU8" s="53">
        <f t="shared" si="11"/>
        <v>-1892689.65613</v>
      </c>
      <c r="AV8" s="49">
        <f>AV28-AV18</f>
        <v>-2107210.1869000001</v>
      </c>
      <c r="AW8" s="52">
        <f t="shared" si="12"/>
        <v>1143595.9935400002</v>
      </c>
      <c r="AX8" s="51">
        <f t="shared" si="13"/>
        <v>798427.95902581327</v>
      </c>
      <c r="AY8" s="49">
        <f t="shared" si="14"/>
        <v>214520.53077000007</v>
      </c>
      <c r="AZ8" s="54"/>
      <c r="BA8" s="51">
        <f t="shared" si="15"/>
        <v>583907.42825581331</v>
      </c>
      <c r="BB8" s="52">
        <f t="shared" si="15"/>
        <v>0</v>
      </c>
      <c r="BC8" s="52">
        <f t="shared" si="15"/>
        <v>214520.53077000007</v>
      </c>
      <c r="BD8" s="49">
        <f t="shared" si="15"/>
        <v>798427.95902581327</v>
      </c>
      <c r="BF8" s="55"/>
      <c r="BG8" s="56"/>
      <c r="BH8" s="56"/>
      <c r="BI8" s="56"/>
      <c r="BJ8" s="56"/>
      <c r="BK8" s="56"/>
      <c r="BL8" s="56"/>
      <c r="BM8" s="57"/>
    </row>
    <row r="9" spans="1:65" x14ac:dyDescent="0.25">
      <c r="A9" s="14" t="s">
        <v>50</v>
      </c>
      <c r="B9" s="62" t="s">
        <v>56</v>
      </c>
      <c r="C9" s="63">
        <f>SUM(C7:C8)</f>
        <v>12506582.134542</v>
      </c>
      <c r="D9" s="64">
        <f>SUM(D7:D8)</f>
        <v>19953552.457930002</v>
      </c>
      <c r="E9" s="64">
        <f t="shared" ref="E9:I9" si="19">SUM(E7:E8)</f>
        <v>25706982.466619998</v>
      </c>
      <c r="F9" s="64">
        <f t="shared" si="19"/>
        <v>13603857.178730002</v>
      </c>
      <c r="G9" s="64">
        <f t="shared" si="19"/>
        <v>14400517.16831</v>
      </c>
      <c r="H9" s="64">
        <f t="shared" si="19"/>
        <v>12973500.199659999</v>
      </c>
      <c r="I9" s="64">
        <f t="shared" si="19"/>
        <v>14816610.593329998</v>
      </c>
      <c r="J9" s="64">
        <f>SUM(J7:J8)</f>
        <v>14792950.059160002</v>
      </c>
      <c r="K9" s="65">
        <f>SUM(C9:J9)</f>
        <v>128754552.25828201</v>
      </c>
      <c r="M9" s="63">
        <f t="shared" si="3"/>
        <v>13743496851.145054</v>
      </c>
      <c r="N9" s="64">
        <f t="shared" si="0"/>
        <v>21926980723.000004</v>
      </c>
      <c r="O9" s="64">
        <f t="shared" si="0"/>
        <v>28249431281.999996</v>
      </c>
      <c r="P9" s="64">
        <f t="shared" si="0"/>
        <v>14949293603.000002</v>
      </c>
      <c r="Q9" s="64">
        <f t="shared" si="0"/>
        <v>15824744141</v>
      </c>
      <c r="R9" s="64">
        <f t="shared" si="0"/>
        <v>14256593626</v>
      </c>
      <c r="S9" s="64">
        <f t="shared" si="0"/>
        <v>16281989662.999998</v>
      </c>
      <c r="T9" s="64">
        <f t="shared" si="0"/>
        <v>16255989076.000002</v>
      </c>
      <c r="U9" s="66">
        <f t="shared" si="0"/>
        <v>141488518965.14505</v>
      </c>
      <c r="V9" s="66">
        <f t="shared" si="4"/>
        <v>125783293.36001398</v>
      </c>
      <c r="Y9" s="67">
        <v>0</v>
      </c>
      <c r="Z9" s="64">
        <f>C9+D9</f>
        <v>32460134.592472002</v>
      </c>
      <c r="AA9" s="64">
        <f>E9+F9+G9</f>
        <v>53711356.813660003</v>
      </c>
      <c r="AB9" s="64">
        <f>H9+I9+J9</f>
        <v>42583060.852150001</v>
      </c>
      <c r="AC9" s="65">
        <f>SUM(Y9:AB9)</f>
        <v>128754552.25828201</v>
      </c>
      <c r="AD9" s="67">
        <f>'[1]APAC 17.6.2019'!Y9</f>
        <v>0</v>
      </c>
      <c r="AE9" s="64">
        <f>'[1]APAC 17.6.2019'!Z9</f>
        <v>38567365.107311994</v>
      </c>
      <c r="AF9" s="64">
        <f>'[1]APAC 17.6.2019'!AA9</f>
        <v>42720141.645999998</v>
      </c>
      <c r="AG9" s="64">
        <f>'[1]APAC 17.6.2019'!AB9</f>
        <v>24108186.776310001</v>
      </c>
      <c r="AH9" s="65">
        <f>'[1]APAC 17.6.2019'!AC9</f>
        <v>105395693.52962199</v>
      </c>
      <c r="AI9" s="67"/>
      <c r="AJ9" s="64">
        <f>SUM(AJ7:AJ8)</f>
        <v>36512625.994155429</v>
      </c>
      <c r="AK9" s="64">
        <f t="shared" ref="AK9:AL9" si="20">SUM(AK7:AK8)</f>
        <v>25531426.81301</v>
      </c>
      <c r="AL9" s="64">
        <f t="shared" si="20"/>
        <v>35148786.473840006</v>
      </c>
      <c r="AM9" s="65">
        <f t="shared" si="1"/>
        <v>97192839.281005442</v>
      </c>
      <c r="AN9" s="64">
        <v>0</v>
      </c>
      <c r="AO9" s="64">
        <f>SUM(AO7:AO8)</f>
        <v>11076236.308594596</v>
      </c>
      <c r="AP9" s="64">
        <f t="shared" ref="AP9:AQ9" si="21">SUM(AP7:AP8)</f>
        <v>25548440.678121403</v>
      </c>
      <c r="AQ9" s="64">
        <f t="shared" si="21"/>
        <v>35172097.435130127</v>
      </c>
      <c r="AR9" s="64">
        <f t="shared" si="9"/>
        <v>71796774.421846122</v>
      </c>
      <c r="AS9" s="67">
        <v>97192839.281005412</v>
      </c>
      <c r="AT9" s="67">
        <f t="shared" si="10"/>
        <v>105395693.52962199</v>
      </c>
      <c r="AU9" s="68">
        <f t="shared" si="11"/>
        <v>128754552.25828201</v>
      </c>
      <c r="AV9" s="65">
        <f t="shared" ref="AV9" si="22">SUM(AV7:AV8)</f>
        <v>71797114.970240638</v>
      </c>
      <c r="AW9" s="64">
        <f t="shared" si="12"/>
        <v>23358858.728660017</v>
      </c>
      <c r="AX9" s="69">
        <f t="shared" si="13"/>
        <v>31561712.977276593</v>
      </c>
      <c r="AY9" s="65">
        <f t="shared" si="14"/>
        <v>56957437.288041368</v>
      </c>
      <c r="AZ9" s="54"/>
      <c r="BA9" s="67">
        <f t="shared" si="15"/>
        <v>-4052491.4016834274</v>
      </c>
      <c r="BB9" s="64">
        <f t="shared" si="15"/>
        <v>28179930.000650004</v>
      </c>
      <c r="BC9" s="64">
        <f t="shared" si="15"/>
        <v>7434274.3783099949</v>
      </c>
      <c r="BD9" s="65">
        <f t="shared" si="15"/>
        <v>31561712.977276564</v>
      </c>
      <c r="BF9" s="55"/>
      <c r="BG9" s="56"/>
      <c r="BH9" s="56"/>
      <c r="BI9" s="56"/>
      <c r="BJ9" s="56"/>
      <c r="BK9" s="56"/>
      <c r="BL9" s="56"/>
      <c r="BM9" s="57"/>
    </row>
    <row r="10" spans="1:65" x14ac:dyDescent="0.25">
      <c r="A10" s="14" t="s">
        <v>50</v>
      </c>
      <c r="B10" s="30" t="s">
        <v>57</v>
      </c>
      <c r="C10" s="48">
        <f>'[1]May KR TB'!J43</f>
        <v>6669050.7947500814</v>
      </c>
      <c r="D10" s="70">
        <f>'[1]6.28 (PH Edit)'!M24+'[1]6.28 (PH Edit)'!M31</f>
        <v>11647341.180020001</v>
      </c>
      <c r="E10" s="70">
        <f>'[1]6.28 (PH Edit)'!N24+'[1]6.28 (PH Edit)'!N31</f>
        <v>15758576.909529999</v>
      </c>
      <c r="F10" s="70">
        <f>'[1]6.28 (PH Edit)'!O24+'[1]6.28 (PH Edit)'!O31</f>
        <v>8363361.4355199998</v>
      </c>
      <c r="G10" s="70">
        <f>'[1]6.28 (PH Edit)'!P24+'[1]6.28 (PH Edit)'!P31</f>
        <v>8792301.2905000001</v>
      </c>
      <c r="H10" s="70">
        <f>'[1]6.28 (PH Edit)'!Q24+'[1]6.28 (PH Edit)'!Q31</f>
        <v>8416011.8133000005</v>
      </c>
      <c r="I10" s="70">
        <f>'[1]6.28 (PH Edit)'!R24+'[1]6.28 (PH Edit)'!R31</f>
        <v>8856130.4185899999</v>
      </c>
      <c r="J10" s="70">
        <f>'[1]6.28 (PH Edit)'!S24+'[1]6.28 (PH Edit)'!S31</f>
        <v>9291798.9382399991</v>
      </c>
      <c r="K10" s="49">
        <f t="shared" si="2"/>
        <v>77794572.780450076</v>
      </c>
      <c r="M10" s="71">
        <f t="shared" si="3"/>
        <v>7328627246.9781113</v>
      </c>
      <c r="N10" s="72">
        <f t="shared" si="0"/>
        <v>12799276022</v>
      </c>
      <c r="O10" s="71">
        <f t="shared" si="0"/>
        <v>17317117483</v>
      </c>
      <c r="P10" s="71">
        <f t="shared" si="0"/>
        <v>9190507072</v>
      </c>
      <c r="Q10" s="71">
        <f t="shared" si="0"/>
        <v>9661869550</v>
      </c>
      <c r="R10" s="71">
        <f t="shared" si="0"/>
        <v>9248364630</v>
      </c>
      <c r="S10" s="71">
        <f t="shared" si="0"/>
        <v>9732011449</v>
      </c>
      <c r="T10" s="71">
        <f t="shared" si="0"/>
        <v>10210768063.999998</v>
      </c>
      <c r="U10" s="52">
        <f t="shared" si="0"/>
        <v>85488541516.978104</v>
      </c>
      <c r="V10" s="52">
        <f t="shared" si="4"/>
        <v>75999313.408593535</v>
      </c>
      <c r="Y10" s="51">
        <v>0</v>
      </c>
      <c r="Z10" s="52">
        <f t="shared" si="5"/>
        <v>18316391.974770084</v>
      </c>
      <c r="AA10" s="52">
        <f t="shared" si="6"/>
        <v>32914239.63555</v>
      </c>
      <c r="AB10" s="52">
        <f t="shared" si="7"/>
        <v>26563941.17013</v>
      </c>
      <c r="AC10" s="49">
        <f t="shared" si="8"/>
        <v>77794572.780450076</v>
      </c>
      <c r="AD10" s="51">
        <f>'[1]APAC 17.6.2019'!Y10</f>
        <v>0</v>
      </c>
      <c r="AE10" s="52">
        <f>'[1]APAC 17.6.2019'!Z10</f>
        <v>22477845.781610079</v>
      </c>
      <c r="AF10" s="52">
        <f>'[1]APAC 17.6.2019'!AA10</f>
        <v>26867105.739210002</v>
      </c>
      <c r="AG10" s="52">
        <f>'[1]APAC 17.6.2019'!AB10</f>
        <v>17476011.690409999</v>
      </c>
      <c r="AH10" s="49">
        <f>'[1]APAC 17.6.2019'!AC10</f>
        <v>66820963.211230084</v>
      </c>
      <c r="AI10" s="51"/>
      <c r="AJ10" s="52">
        <f>'[1]6.10'!X10</f>
        <v>22240256.438984867</v>
      </c>
      <c r="AK10" s="52">
        <f>'[1]6.10'!Y10</f>
        <v>14881774.665030001</v>
      </c>
      <c r="AL10" s="52">
        <f>'[1]6.10'!Z10</f>
        <v>20697245.477090001</v>
      </c>
      <c r="AM10" s="49">
        <f t="shared" si="1"/>
        <v>57819276.581104867</v>
      </c>
      <c r="AN10" s="52">
        <v>0</v>
      </c>
      <c r="AO10" s="52">
        <f>'[1]May Forecast'!AC41</f>
        <v>7422443.4694269616</v>
      </c>
      <c r="AP10" s="52">
        <f>'[1]May Forecast'!AD41</f>
        <v>15836295.390638113</v>
      </c>
      <c r="AQ10" s="52">
        <f>'[1]May Forecast'!AE41</f>
        <v>22205876.176381297</v>
      </c>
      <c r="AR10" s="52">
        <f t="shared" si="9"/>
        <v>45464615.03644637</v>
      </c>
      <c r="AS10" s="51">
        <v>63492106.876918264</v>
      </c>
      <c r="AT10" s="51">
        <f t="shared" si="10"/>
        <v>66820963.211230084</v>
      </c>
      <c r="AU10" s="53">
        <f t="shared" si="11"/>
        <v>77794572.780450076</v>
      </c>
      <c r="AV10" s="49">
        <f>AV30-AV20</f>
        <v>45464615.036446378</v>
      </c>
      <c r="AW10" s="52">
        <f t="shared" si="12"/>
        <v>10973609.569219992</v>
      </c>
      <c r="AX10" s="51">
        <f t="shared" si="13"/>
        <v>14302465.903531812</v>
      </c>
      <c r="AY10" s="49">
        <f t="shared" si="14"/>
        <v>32329957.744003698</v>
      </c>
      <c r="AZ10" s="54"/>
      <c r="BA10" s="51">
        <f t="shared" si="15"/>
        <v>-3923864.4642147832</v>
      </c>
      <c r="BB10" s="52">
        <f t="shared" si="15"/>
        <v>18032464.970519997</v>
      </c>
      <c r="BC10" s="52">
        <f t="shared" si="15"/>
        <v>5866695.6930399984</v>
      </c>
      <c r="BD10" s="49">
        <f t="shared" si="15"/>
        <v>19975296.199345209</v>
      </c>
      <c r="BF10" s="55"/>
      <c r="BG10" s="56"/>
      <c r="BH10" s="56"/>
      <c r="BI10" s="56"/>
      <c r="BJ10" s="56"/>
      <c r="BK10" s="56"/>
      <c r="BL10" s="56"/>
      <c r="BM10" s="57"/>
    </row>
    <row r="11" spans="1:65" x14ac:dyDescent="0.25">
      <c r="A11" s="14" t="s">
        <v>50</v>
      </c>
      <c r="B11" s="62" t="s">
        <v>58</v>
      </c>
      <c r="C11" s="63">
        <f>C9-C10</f>
        <v>5837531.3397919182</v>
      </c>
      <c r="D11" s="64">
        <f>D9-D10</f>
        <v>8306211.2779100016</v>
      </c>
      <c r="E11" s="64">
        <f t="shared" ref="E11:J11" si="23">E9-E10</f>
        <v>9948405.5570899993</v>
      </c>
      <c r="F11" s="64">
        <f t="shared" si="23"/>
        <v>5240495.7432100018</v>
      </c>
      <c r="G11" s="64">
        <f t="shared" si="23"/>
        <v>5608215.8778099995</v>
      </c>
      <c r="H11" s="64">
        <f t="shared" si="23"/>
        <v>4557488.386359999</v>
      </c>
      <c r="I11" s="64">
        <f t="shared" si="23"/>
        <v>5960480.1747399978</v>
      </c>
      <c r="J11" s="64">
        <f t="shared" si="23"/>
        <v>5501151.1209200025</v>
      </c>
      <c r="K11" s="65">
        <f t="shared" si="2"/>
        <v>50959979.477831915</v>
      </c>
      <c r="M11" s="63">
        <f t="shared" si="3"/>
        <v>6414869604.1669426</v>
      </c>
      <c r="N11" s="64">
        <f t="shared" si="0"/>
        <v>9127704701.0000019</v>
      </c>
      <c r="O11" s="64">
        <f t="shared" si="0"/>
        <v>10932313799</v>
      </c>
      <c r="P11" s="64">
        <f t="shared" si="0"/>
        <v>5758786531.0000019</v>
      </c>
      <c r="Q11" s="64">
        <f t="shared" si="0"/>
        <v>6162874590.999999</v>
      </c>
      <c r="R11" s="64">
        <f t="shared" si="0"/>
        <v>5008228995.999999</v>
      </c>
      <c r="S11" s="64">
        <f t="shared" si="0"/>
        <v>6549978213.9999971</v>
      </c>
      <c r="T11" s="64">
        <f t="shared" si="0"/>
        <v>6045221012.0000029</v>
      </c>
      <c r="U11" s="66">
        <f t="shared" si="0"/>
        <v>55999977448.166939</v>
      </c>
      <c r="V11" s="66">
        <f t="shared" si="4"/>
        <v>49783979.951420411</v>
      </c>
      <c r="Y11" s="67">
        <v>0</v>
      </c>
      <c r="Z11" s="64">
        <f t="shared" si="5"/>
        <v>14143742.61770192</v>
      </c>
      <c r="AA11" s="64">
        <f t="shared" si="6"/>
        <v>20797117.178110003</v>
      </c>
      <c r="AB11" s="64">
        <f t="shared" si="7"/>
        <v>16019119.682019999</v>
      </c>
      <c r="AC11" s="65">
        <f t="shared" si="8"/>
        <v>50959979.477831922</v>
      </c>
      <c r="AD11" s="67">
        <f>'[1]APAC 17.6.2019'!Y11</f>
        <v>0</v>
      </c>
      <c r="AE11" s="64">
        <f>'[1]APAC 17.6.2019'!Z11</f>
        <v>16089519.325701917</v>
      </c>
      <c r="AF11" s="64">
        <f>'[1]APAC 17.6.2019'!AA11</f>
        <v>15853035.906789996</v>
      </c>
      <c r="AG11" s="64">
        <f>'[1]APAC 17.6.2019'!AB11</f>
        <v>6632175.0859000012</v>
      </c>
      <c r="AH11" s="65">
        <f>'[1]APAC 17.6.2019'!AC11</f>
        <v>38574730.318391912</v>
      </c>
      <c r="AI11" s="67"/>
      <c r="AJ11" s="64">
        <f t="shared" ref="AJ11:AL11" si="24">AJ9-AJ10</f>
        <v>14272369.555170562</v>
      </c>
      <c r="AK11" s="64">
        <f t="shared" si="24"/>
        <v>10649652.147979999</v>
      </c>
      <c r="AL11" s="64">
        <f t="shared" si="24"/>
        <v>14451540.996750005</v>
      </c>
      <c r="AM11" s="65">
        <f t="shared" si="1"/>
        <v>39373562.699900568</v>
      </c>
      <c r="AN11" s="64">
        <v>0</v>
      </c>
      <c r="AO11" s="64">
        <f t="shared" ref="AO11:AQ11" si="25">AO9-AO10</f>
        <v>3653792.839167634</v>
      </c>
      <c r="AP11" s="64">
        <f t="shared" si="25"/>
        <v>9712145.2874832898</v>
      </c>
      <c r="AQ11" s="64">
        <f t="shared" si="25"/>
        <v>12966221.258748829</v>
      </c>
      <c r="AR11" s="64">
        <f t="shared" si="9"/>
        <v>26332159.385399751</v>
      </c>
      <c r="AS11" s="67">
        <v>33700732.404087164</v>
      </c>
      <c r="AT11" s="67">
        <f t="shared" si="10"/>
        <v>38574730.318391912</v>
      </c>
      <c r="AU11" s="68">
        <f t="shared" si="11"/>
        <v>50959979.477831922</v>
      </c>
      <c r="AV11" s="65">
        <f t="shared" ref="AV11" si="26">AV9-AV10</f>
        <v>26332499.93379426</v>
      </c>
      <c r="AW11" s="64">
        <f t="shared" si="12"/>
        <v>12385249.159440011</v>
      </c>
      <c r="AX11" s="69">
        <f t="shared" si="13"/>
        <v>17259247.073744759</v>
      </c>
      <c r="AY11" s="65">
        <f t="shared" si="14"/>
        <v>24627479.544037662</v>
      </c>
      <c r="AZ11" s="54"/>
      <c r="BA11" s="67">
        <f t="shared" si="15"/>
        <v>-128626.93746864237</v>
      </c>
      <c r="BB11" s="64">
        <f t="shared" si="15"/>
        <v>10147465.030130005</v>
      </c>
      <c r="BC11" s="64">
        <f t="shared" si="15"/>
        <v>1567578.6852699947</v>
      </c>
      <c r="BD11" s="65">
        <f t="shared" si="15"/>
        <v>11586416.777931355</v>
      </c>
      <c r="BF11" s="55"/>
      <c r="BG11" s="56"/>
      <c r="BH11" s="56"/>
      <c r="BI11" s="56"/>
      <c r="BJ11" s="56"/>
      <c r="BK11" s="56"/>
      <c r="BL11" s="56"/>
      <c r="BM11" s="57"/>
    </row>
    <row r="12" spans="1:65" x14ac:dyDescent="0.25">
      <c r="A12" s="14"/>
      <c r="B12" s="47" t="s">
        <v>59</v>
      </c>
      <c r="C12" s="73">
        <f>C11/C9</f>
        <v>0.46675672673745189</v>
      </c>
      <c r="D12" s="73">
        <f t="shared" ref="D12:K12" si="27">D11/D9</f>
        <v>0.41627731680475383</v>
      </c>
      <c r="E12" s="73">
        <f t="shared" si="27"/>
        <v>0.38699235003594079</v>
      </c>
      <c r="F12" s="73">
        <f t="shared" si="27"/>
        <v>0.38522131439336621</v>
      </c>
      <c r="G12" s="73">
        <f t="shared" si="27"/>
        <v>0.38944544923369323</v>
      </c>
      <c r="H12" s="73">
        <f t="shared" si="27"/>
        <v>0.35129211979966968</v>
      </c>
      <c r="I12" s="73">
        <f t="shared" si="27"/>
        <v>0.40228364896241725</v>
      </c>
      <c r="J12" s="73">
        <f t="shared" si="27"/>
        <v>0.37187654246920226</v>
      </c>
      <c r="K12" s="73">
        <f t="shared" si="27"/>
        <v>0.39579167170420543</v>
      </c>
      <c r="M12" s="74"/>
      <c r="N12" s="74"/>
      <c r="O12" s="74"/>
      <c r="P12" s="74"/>
      <c r="Q12" s="74"/>
      <c r="R12" s="74"/>
      <c r="S12" s="74"/>
      <c r="T12" s="74"/>
      <c r="U12" s="74"/>
      <c r="V12" s="74"/>
      <c r="Y12" s="75"/>
      <c r="Z12" s="74"/>
      <c r="AA12" s="74"/>
      <c r="AB12" s="74"/>
      <c r="AC12" s="76"/>
      <c r="AD12" s="75">
        <f>'[1]APAC 17.6.2019'!Y12</f>
        <v>0</v>
      </c>
      <c r="AE12" s="74">
        <f>'[1]APAC 17.6.2019'!Z12</f>
        <v>0</v>
      </c>
      <c r="AF12" s="74">
        <f>'[1]APAC 17.6.2019'!AA12</f>
        <v>0</v>
      </c>
      <c r="AG12" s="74">
        <f>'[1]APAC 17.6.2019'!AB12</f>
        <v>0</v>
      </c>
      <c r="AH12" s="76">
        <f>'[1]APAC 17.6.2019'!AC12</f>
        <v>0</v>
      </c>
      <c r="AI12" s="75"/>
      <c r="AJ12" s="74"/>
      <c r="AK12" s="74"/>
      <c r="AL12" s="74"/>
      <c r="AM12" s="76"/>
      <c r="AN12" s="74"/>
      <c r="AO12" s="74"/>
      <c r="AP12" s="74"/>
      <c r="AQ12" s="74"/>
      <c r="AR12" s="74"/>
      <c r="AS12" s="75"/>
      <c r="AT12" s="75">
        <f t="shared" si="10"/>
        <v>0</v>
      </c>
      <c r="AU12" s="77">
        <f t="shared" si="11"/>
        <v>0</v>
      </c>
      <c r="AV12" s="76"/>
      <c r="AW12" s="74">
        <f t="shared" si="12"/>
        <v>0</v>
      </c>
      <c r="AX12" s="75"/>
      <c r="AY12" s="76"/>
      <c r="AZ12" s="54"/>
      <c r="BA12" s="75"/>
      <c r="BB12" s="74"/>
      <c r="BC12" s="74"/>
      <c r="BD12" s="76"/>
      <c r="BF12" s="55"/>
      <c r="BG12" s="56"/>
      <c r="BH12" s="56"/>
      <c r="BI12" s="56"/>
      <c r="BJ12" s="56"/>
      <c r="BK12" s="56"/>
      <c r="BL12" s="56"/>
      <c r="BM12" s="57"/>
    </row>
    <row r="13" spans="1:65" x14ac:dyDescent="0.25">
      <c r="A13" s="14"/>
      <c r="B13" s="30"/>
      <c r="C13" s="78"/>
      <c r="D13" s="78"/>
      <c r="E13" s="78"/>
      <c r="F13" s="78"/>
      <c r="G13" s="78"/>
      <c r="H13" s="78"/>
      <c r="I13" s="78"/>
      <c r="J13" s="78"/>
      <c r="K13" s="49"/>
      <c r="M13" s="50">
        <f t="shared" ref="M13:T13" si="28">M6+M8</f>
        <v>-642318807.77362633</v>
      </c>
      <c r="N13" s="50">
        <f t="shared" si="28"/>
        <v>-887308387</v>
      </c>
      <c r="O13" s="50">
        <f t="shared" si="28"/>
        <v>-3257019927</v>
      </c>
      <c r="P13" s="50">
        <f t="shared" si="28"/>
        <v>-2338767156</v>
      </c>
      <c r="Q13" s="50">
        <f t="shared" si="28"/>
        <v>-2569757373</v>
      </c>
      <c r="R13" s="50">
        <f t="shared" si="28"/>
        <v>-3594068001</v>
      </c>
      <c r="S13" s="50">
        <f t="shared" si="28"/>
        <v>-2739447246.0000005</v>
      </c>
      <c r="T13" s="50">
        <f t="shared" si="28"/>
        <v>-3993037157.9999995</v>
      </c>
      <c r="Y13" s="51"/>
      <c r="Z13" s="52"/>
      <c r="AA13" s="52"/>
      <c r="AB13" s="52"/>
      <c r="AC13" s="49">
        <f t="shared" si="8"/>
        <v>0</v>
      </c>
      <c r="AD13" s="51">
        <f>'[1]APAC 17.6.2019'!Y13</f>
        <v>0</v>
      </c>
      <c r="AE13" s="52">
        <f>'[1]APAC 17.6.2019'!Z13</f>
        <v>0</v>
      </c>
      <c r="AF13" s="52">
        <f>'[1]APAC 17.6.2019'!AA13</f>
        <v>0</v>
      </c>
      <c r="AG13" s="52">
        <f>'[1]APAC 17.6.2019'!AB13</f>
        <v>0</v>
      </c>
      <c r="AH13" s="49">
        <f>'[1]APAC 17.6.2019'!AC13</f>
        <v>0</v>
      </c>
      <c r="AI13" s="51"/>
      <c r="AJ13" s="52"/>
      <c r="AK13" s="52"/>
      <c r="AL13" s="52"/>
      <c r="AM13" s="49">
        <f t="shared" si="1"/>
        <v>0</v>
      </c>
      <c r="AN13" s="52"/>
      <c r="AO13" s="52"/>
      <c r="AP13" s="52"/>
      <c r="AQ13" s="52"/>
      <c r="AR13" s="52">
        <f t="shared" si="9"/>
        <v>0</v>
      </c>
      <c r="AS13" s="51"/>
      <c r="AT13" s="51">
        <f t="shared" si="10"/>
        <v>0</v>
      </c>
      <c r="AU13" s="53">
        <f t="shared" si="11"/>
        <v>0</v>
      </c>
      <c r="AV13" s="49"/>
      <c r="AW13" s="52">
        <f t="shared" si="12"/>
        <v>0</v>
      </c>
      <c r="AX13" s="51"/>
      <c r="AY13" s="49"/>
      <c r="AZ13" s="54"/>
      <c r="BA13" s="51">
        <f t="shared" si="15"/>
        <v>0</v>
      </c>
      <c r="BB13" s="52">
        <f t="shared" si="15"/>
        <v>0</v>
      </c>
      <c r="BC13" s="52">
        <f t="shared" si="15"/>
        <v>0</v>
      </c>
      <c r="BD13" s="49">
        <f t="shared" si="15"/>
        <v>0</v>
      </c>
      <c r="BF13" s="55"/>
      <c r="BG13" s="56"/>
      <c r="BH13" s="56"/>
      <c r="BI13" s="56"/>
      <c r="BJ13" s="56"/>
      <c r="BK13" s="56"/>
      <c r="BL13" s="56"/>
      <c r="BM13" s="57"/>
    </row>
    <row r="14" spans="1:65" x14ac:dyDescent="0.25">
      <c r="A14" s="14" t="s">
        <v>60</v>
      </c>
      <c r="B14" s="47" t="s">
        <v>5</v>
      </c>
      <c r="C14" s="79">
        <f>'[1]6.28'!L25</f>
        <v>2561909.2680489998</v>
      </c>
      <c r="D14" s="79">
        <f>'[1]6.28'!M25</f>
        <v>1243286.3998100001</v>
      </c>
      <c r="E14" s="79">
        <f>'[1]6.28'!N25</f>
        <v>852583.68012999999</v>
      </c>
      <c r="F14" s="79">
        <f>'[1]6.28'!O25</f>
        <v>2294450.2398999999</v>
      </c>
      <c r="G14" s="79">
        <f>'[1]6.28'!P25</f>
        <v>1345255.8182699999</v>
      </c>
      <c r="H14" s="79">
        <f>'[1]6.28'!Q25</f>
        <v>1384499.0632199999</v>
      </c>
      <c r="I14" s="79">
        <f>'[1]6.28'!R25</f>
        <v>1404364.2048800001</v>
      </c>
      <c r="J14" s="79">
        <f>'[1]6.28'!S25</f>
        <v>1415599.1658900001</v>
      </c>
      <c r="K14" s="49">
        <f>SUM(C14:J14)</f>
        <v>12501947.840149</v>
      </c>
      <c r="L14" s="80">
        <f>L3</f>
        <v>9.1E-4</v>
      </c>
      <c r="M14" s="81">
        <f>C14/$L$14</f>
        <v>2815284909.9439559</v>
      </c>
      <c r="N14" s="81">
        <f t="shared" ref="N14:U21" si="29">D14/$L$14</f>
        <v>1366248791</v>
      </c>
      <c r="O14" s="81">
        <f t="shared" si="29"/>
        <v>936905143</v>
      </c>
      <c r="P14" s="81">
        <f t="shared" si="29"/>
        <v>2521373890</v>
      </c>
      <c r="Q14" s="81">
        <f t="shared" si="29"/>
        <v>1478303097</v>
      </c>
      <c r="R14" s="81">
        <f t="shared" si="29"/>
        <v>1521427542</v>
      </c>
      <c r="S14" s="81">
        <f t="shared" si="29"/>
        <v>1543257368</v>
      </c>
      <c r="T14" s="81">
        <f t="shared" si="29"/>
        <v>1555603479</v>
      </c>
      <c r="U14" s="52">
        <f t="shared" si="29"/>
        <v>13738404219.943956</v>
      </c>
      <c r="V14" s="52">
        <f t="shared" ref="V14:V31" si="30">K14*$X$1/$X$2</f>
        <v>12213441.351530178</v>
      </c>
      <c r="Y14" s="51">
        <v>0</v>
      </c>
      <c r="Z14" s="52">
        <f t="shared" si="5"/>
        <v>3805195.6678590002</v>
      </c>
      <c r="AA14" s="52">
        <f t="shared" si="6"/>
        <v>4492289.7382999994</v>
      </c>
      <c r="AB14" s="52">
        <f t="shared" si="7"/>
        <v>4204462.4339899998</v>
      </c>
      <c r="AC14" s="49">
        <f t="shared" si="8"/>
        <v>12501947.840149</v>
      </c>
      <c r="AD14" s="51">
        <f>'[1]APAC 17.6.2019'!Y14</f>
        <v>0</v>
      </c>
      <c r="AE14" s="52">
        <f>'[1]APAC 17.6.2019'!Z14</f>
        <v>3805195.6678590002</v>
      </c>
      <c r="AF14" s="52">
        <f>'[1]APAC 17.6.2019'!AA14</f>
        <v>4492289.7382999994</v>
      </c>
      <c r="AG14" s="52">
        <f>'[1]APAC 17.6.2019'!AB14</f>
        <v>4204462.4339899998</v>
      </c>
      <c r="AH14" s="49">
        <f>'[1]APAC 17.6.2019'!AC14</f>
        <v>12501947.840149</v>
      </c>
      <c r="AI14" s="51"/>
      <c r="AJ14" s="52">
        <f>'[1]6.10'!X13</f>
        <v>3925578.6745409784</v>
      </c>
      <c r="AK14" s="52">
        <f>'[1]6.10'!Y13</f>
        <v>3689604.7269900003</v>
      </c>
      <c r="AL14" s="52">
        <f>'[1]6.10'!Z13</f>
        <v>4993092.6154199997</v>
      </c>
      <c r="AM14" s="49">
        <f t="shared" si="1"/>
        <v>12608276.01695098</v>
      </c>
      <c r="AN14" s="52">
        <v>0</v>
      </c>
      <c r="AO14" s="52">
        <f>'[1]May Forecast'!AC43</f>
        <v>5186119.8867169116</v>
      </c>
      <c r="AP14" s="52">
        <f>'[1]May Forecast'!AD43</f>
        <v>3671518.4285861817</v>
      </c>
      <c r="AQ14" s="52">
        <f>'[1]May Forecast'!AE43</f>
        <v>4968616.6717936816</v>
      </c>
      <c r="AR14" s="52">
        <f t="shared" si="9"/>
        <v>13826254.987096775</v>
      </c>
      <c r="AS14" s="51">
        <v>12608276.01695098</v>
      </c>
      <c r="AT14" s="51">
        <f t="shared" si="10"/>
        <v>12501947.840149</v>
      </c>
      <c r="AU14" s="53">
        <f t="shared" si="11"/>
        <v>12501947.840149</v>
      </c>
      <c r="AV14" s="49">
        <f>'[1]MFC Duty Free - Total'!P23</f>
        <v>13826254.987096773</v>
      </c>
      <c r="AW14" s="52">
        <f>AU14-AT14</f>
        <v>0</v>
      </c>
      <c r="AX14" s="51">
        <f t="shared" ref="AX14:AX21" si="31">AC14-AS14</f>
        <v>-106328.17680197954</v>
      </c>
      <c r="AY14" s="49">
        <f t="shared" ref="AY14:AY21" si="32">AC14-AV14</f>
        <v>-1324307.1469477732</v>
      </c>
      <c r="AZ14" s="54"/>
      <c r="BA14" s="51">
        <f t="shared" si="15"/>
        <v>-120383.00668197824</v>
      </c>
      <c r="BB14" s="52">
        <f t="shared" si="15"/>
        <v>802685.01130999904</v>
      </c>
      <c r="BC14" s="52">
        <f t="shared" si="15"/>
        <v>-788630.18142999988</v>
      </c>
      <c r="BD14" s="49">
        <f t="shared" si="15"/>
        <v>-106328.17680197954</v>
      </c>
      <c r="BF14" s="55"/>
      <c r="BG14" s="56"/>
      <c r="BH14" s="56"/>
      <c r="BI14" s="56"/>
      <c r="BJ14" s="56"/>
      <c r="BK14" s="56"/>
      <c r="BL14" s="56"/>
      <c r="BM14" s="57"/>
    </row>
    <row r="15" spans="1:65" x14ac:dyDescent="0.25">
      <c r="A15" s="14" t="s">
        <v>60</v>
      </c>
      <c r="B15" s="30" t="s">
        <v>52</v>
      </c>
      <c r="C15" s="82">
        <v>0</v>
      </c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49">
        <f t="shared" si="2"/>
        <v>0</v>
      </c>
      <c r="M15" s="82">
        <f t="shared" ref="M15:M21" si="33">C15/$L$14</f>
        <v>0</v>
      </c>
      <c r="N15" s="83">
        <f t="shared" si="29"/>
        <v>0</v>
      </c>
      <c r="O15" s="83">
        <f t="shared" si="29"/>
        <v>0</v>
      </c>
      <c r="P15" s="83">
        <f t="shared" si="29"/>
        <v>0</v>
      </c>
      <c r="Q15" s="83">
        <f t="shared" si="29"/>
        <v>0</v>
      </c>
      <c r="R15" s="83">
        <f t="shared" si="29"/>
        <v>0</v>
      </c>
      <c r="S15" s="83">
        <f t="shared" si="29"/>
        <v>0</v>
      </c>
      <c r="T15" s="83">
        <f t="shared" si="29"/>
        <v>0</v>
      </c>
      <c r="U15" s="52">
        <f t="shared" si="29"/>
        <v>0</v>
      </c>
      <c r="V15" s="52">
        <f t="shared" si="30"/>
        <v>0</v>
      </c>
      <c r="Y15" s="51"/>
      <c r="Z15" s="52"/>
      <c r="AA15" s="52"/>
      <c r="AB15" s="52"/>
      <c r="AC15" s="49">
        <f t="shared" si="8"/>
        <v>0</v>
      </c>
      <c r="AD15" s="51">
        <f>'[1]APAC 17.6.2019'!Y15</f>
        <v>0</v>
      </c>
      <c r="AE15" s="52">
        <f>'[1]APAC 17.6.2019'!Z15</f>
        <v>0</v>
      </c>
      <c r="AF15" s="52">
        <f>'[1]APAC 17.6.2019'!AA15</f>
        <v>0</v>
      </c>
      <c r="AG15" s="52">
        <f>'[1]APAC 17.6.2019'!AB15</f>
        <v>0</v>
      </c>
      <c r="AH15" s="49">
        <f>'[1]APAC 17.6.2019'!AC15</f>
        <v>0</v>
      </c>
      <c r="AI15" s="51"/>
      <c r="AJ15" s="52">
        <f>'[1]6.10'!X14</f>
        <v>0</v>
      </c>
      <c r="AK15" s="52">
        <f>'[1]6.10'!Y14</f>
        <v>0</v>
      </c>
      <c r="AL15" s="52">
        <f>'[1]6.10'!Z14</f>
        <v>0</v>
      </c>
      <c r="AM15" s="49">
        <f t="shared" si="1"/>
        <v>0</v>
      </c>
      <c r="AN15" s="52"/>
      <c r="AO15" s="52">
        <f>'[1]May Forecast'!AC44</f>
        <v>25930.599433584561</v>
      </c>
      <c r="AP15" s="52">
        <f>'[1]May Forecast'!AD44</f>
        <v>18357.592142930909</v>
      </c>
      <c r="AQ15" s="52">
        <f>'[1]May Forecast'!AE44</f>
        <v>24843.083358968408</v>
      </c>
      <c r="AR15" s="52">
        <f t="shared" si="9"/>
        <v>69131.274935483874</v>
      </c>
      <c r="AS15" s="51">
        <v>0</v>
      </c>
      <c r="AT15" s="51">
        <f t="shared" si="10"/>
        <v>0</v>
      </c>
      <c r="AU15" s="53">
        <f t="shared" si="11"/>
        <v>0</v>
      </c>
      <c r="AV15" s="49">
        <f>'[1]MFC Duty Free - Total'!P31</f>
        <v>69131.274935483874</v>
      </c>
      <c r="AW15" s="52">
        <f t="shared" si="12"/>
        <v>0</v>
      </c>
      <c r="AX15" s="51">
        <f t="shared" si="31"/>
        <v>0</v>
      </c>
      <c r="AY15" s="49">
        <f t="shared" si="32"/>
        <v>-69131.274935483874</v>
      </c>
      <c r="AZ15" s="54"/>
      <c r="BA15" s="51">
        <f t="shared" si="15"/>
        <v>0</v>
      </c>
      <c r="BB15" s="52">
        <f t="shared" si="15"/>
        <v>0</v>
      </c>
      <c r="BC15" s="52">
        <f t="shared" si="15"/>
        <v>0</v>
      </c>
      <c r="BD15" s="49">
        <f t="shared" si="15"/>
        <v>0</v>
      </c>
      <c r="BF15" s="55"/>
      <c r="BG15" s="56"/>
      <c r="BH15" s="56"/>
      <c r="BI15" s="56"/>
      <c r="BJ15" s="56"/>
      <c r="BK15" s="56"/>
      <c r="BL15" s="56"/>
      <c r="BM15" s="57"/>
    </row>
    <row r="16" spans="1:65" x14ac:dyDescent="0.25">
      <c r="A16" s="14" t="s">
        <v>60</v>
      </c>
      <c r="B16" s="30" t="s">
        <v>53</v>
      </c>
      <c r="C16" s="48">
        <f>'[1]6.28'!L26</f>
        <v>-386369.46109699999</v>
      </c>
      <c r="D16" s="48">
        <f>'[1]6.28'!M26</f>
        <v>-186492.96028999999</v>
      </c>
      <c r="E16" s="48">
        <f>'[1]6.28'!N26</f>
        <v>-127887.55252</v>
      </c>
      <c r="F16" s="48">
        <f>'[1]6.28'!O26</f>
        <v>-344167.53552999999</v>
      </c>
      <c r="G16" s="48">
        <f>'[1]6.28'!P26</f>
        <v>-201788.37315</v>
      </c>
      <c r="H16" s="48">
        <f>'[1]6.28'!Q26</f>
        <v>-207674.85921</v>
      </c>
      <c r="I16" s="48">
        <f>'[1]6.28'!R26</f>
        <v>-210654.63055</v>
      </c>
      <c r="J16" s="48">
        <f>'[1]6.28'!S26</f>
        <v>-212339.87411</v>
      </c>
      <c r="K16" s="49">
        <f t="shared" si="2"/>
        <v>-1877375.246457</v>
      </c>
      <c r="M16" s="71">
        <f t="shared" si="33"/>
        <v>-424581825.38131869</v>
      </c>
      <c r="N16" s="71">
        <f t="shared" si="29"/>
        <v>-204937319</v>
      </c>
      <c r="O16" s="71">
        <f t="shared" si="29"/>
        <v>-140535772</v>
      </c>
      <c r="P16" s="71">
        <f t="shared" si="29"/>
        <v>-378206083</v>
      </c>
      <c r="Q16" s="71">
        <f t="shared" si="29"/>
        <v>-221745465</v>
      </c>
      <c r="R16" s="71">
        <f t="shared" si="29"/>
        <v>-228214131</v>
      </c>
      <c r="S16" s="71">
        <f t="shared" si="29"/>
        <v>-231488605</v>
      </c>
      <c r="T16" s="71">
        <f t="shared" si="29"/>
        <v>-233340521</v>
      </c>
      <c r="U16" s="52">
        <f t="shared" si="29"/>
        <v>-2063049721.3813188</v>
      </c>
      <c r="V16" s="52">
        <f t="shared" si="30"/>
        <v>-1834051.2023079924</v>
      </c>
      <c r="Y16" s="51">
        <v>0</v>
      </c>
      <c r="Z16" s="52">
        <f t="shared" si="5"/>
        <v>-572862.42138700001</v>
      </c>
      <c r="AA16" s="52">
        <f t="shared" si="6"/>
        <v>-673843.46120000002</v>
      </c>
      <c r="AB16" s="52">
        <f t="shared" si="7"/>
        <v>-630669.36387</v>
      </c>
      <c r="AC16" s="49">
        <f t="shared" si="8"/>
        <v>-1877375.246457</v>
      </c>
      <c r="AD16" s="51">
        <f>'[1]APAC 17.6.2019'!Y16</f>
        <v>0</v>
      </c>
      <c r="AE16" s="52">
        <f>'[1]APAC 17.6.2019'!Z16</f>
        <v>-572862.42138700001</v>
      </c>
      <c r="AF16" s="52">
        <f>'[1]APAC 17.6.2019'!AA16</f>
        <v>-673843.46120000002</v>
      </c>
      <c r="AG16" s="52">
        <f>'[1]APAC 17.6.2019'!AB16</f>
        <v>-630669.36387</v>
      </c>
      <c r="AH16" s="49">
        <f>'[1]APAC 17.6.2019'!AC16</f>
        <v>-1877375.246457</v>
      </c>
      <c r="AI16" s="51"/>
      <c r="AJ16" s="52">
        <f>'[1]6.10'!X15</f>
        <v>-680932.0915652914</v>
      </c>
      <c r="AK16" s="52">
        <f>'[1]6.10'!Y15</f>
        <v>-218717.69920000003</v>
      </c>
      <c r="AL16" s="52">
        <f>'[1]6.10'!Z15</f>
        <v>-237723.81359999999</v>
      </c>
      <c r="AM16" s="49">
        <f t="shared" si="1"/>
        <v>-1137373.6043652915</v>
      </c>
      <c r="AN16" s="52">
        <v>0</v>
      </c>
      <c r="AO16" s="52">
        <f>'[1]May Forecast'!AC45</f>
        <v>-180583.59660150739</v>
      </c>
      <c r="AP16" s="52">
        <f>'[1]May Forecast'!AD45</f>
        <v>-217645.55285758543</v>
      </c>
      <c r="AQ16" s="52">
        <f>'[1]May Forecast'!AE45</f>
        <v>-236558.50015381043</v>
      </c>
      <c r="AR16" s="52">
        <f t="shared" si="9"/>
        <v>-634787.64961290325</v>
      </c>
      <c r="AS16" s="51">
        <v>-1137373.6043652915</v>
      </c>
      <c r="AT16" s="51">
        <f t="shared" si="10"/>
        <v>-1877375.246457</v>
      </c>
      <c r="AU16" s="53">
        <f t="shared" si="11"/>
        <v>-1877375.246457</v>
      </c>
      <c r="AV16" s="49">
        <f>'[1]MFC Duty Free - Total'!P56</f>
        <v>-634787.64961290325</v>
      </c>
      <c r="AW16" s="52">
        <f t="shared" si="12"/>
        <v>0</v>
      </c>
      <c r="AX16" s="51">
        <f t="shared" si="31"/>
        <v>-740001.64209170849</v>
      </c>
      <c r="AY16" s="49">
        <f t="shared" si="32"/>
        <v>-1242587.5968440967</v>
      </c>
      <c r="AZ16" s="54"/>
      <c r="BA16" s="51">
        <f t="shared" si="15"/>
        <v>108069.67017829139</v>
      </c>
      <c r="BB16" s="52">
        <f t="shared" si="15"/>
        <v>-455125.76199999999</v>
      </c>
      <c r="BC16" s="52">
        <f t="shared" si="15"/>
        <v>-392945.55027000001</v>
      </c>
      <c r="BD16" s="49">
        <f t="shared" si="15"/>
        <v>-740001.64209170849</v>
      </c>
      <c r="BF16" s="84">
        <f>-Z16/Z14</f>
        <v>0.15054742814561281</v>
      </c>
      <c r="BG16" s="60">
        <f>-AJ16/AJ14</f>
        <v>0.17346030942684226</v>
      </c>
      <c r="BH16" s="60">
        <f>-AA16/AA14</f>
        <v>0.15000000010128467</v>
      </c>
      <c r="BI16" s="60">
        <f>-AK16/AK14</f>
        <v>5.9279439230996198E-2</v>
      </c>
      <c r="BJ16" s="60">
        <f>-AB16/AB14</f>
        <v>0.14999999970781044</v>
      </c>
      <c r="BK16" s="60">
        <f>-AL16/AL14</f>
        <v>4.7610535575856441E-2</v>
      </c>
      <c r="BL16" s="60">
        <f>-AC16/AC14</f>
        <v>0.15016661967089323</v>
      </c>
      <c r="BM16" s="61">
        <f>-AM16/AM14</f>
        <v>9.0208495026296159E-2</v>
      </c>
    </row>
    <row r="17" spans="1:65" x14ac:dyDescent="0.25">
      <c r="A17" s="14" t="s">
        <v>60</v>
      </c>
      <c r="B17" s="30" t="s">
        <v>54</v>
      </c>
      <c r="C17" s="48">
        <f>SUM(C14:C16)</f>
        <v>2175539.8069519997</v>
      </c>
      <c r="D17" s="52">
        <f t="shared" ref="D17:J17" si="34">SUM(D14:D16)</f>
        <v>1056793.43952</v>
      </c>
      <c r="E17" s="52">
        <f t="shared" si="34"/>
        <v>724696.12760999997</v>
      </c>
      <c r="F17" s="52">
        <f t="shared" si="34"/>
        <v>1950282.7043699999</v>
      </c>
      <c r="G17" s="52">
        <f t="shared" si="34"/>
        <v>1143467.4451199998</v>
      </c>
      <c r="H17" s="52">
        <f t="shared" si="34"/>
        <v>1176824.20401</v>
      </c>
      <c r="I17" s="52">
        <f t="shared" si="34"/>
        <v>1193709.5743300002</v>
      </c>
      <c r="J17" s="52">
        <f t="shared" si="34"/>
        <v>1203259.2917800001</v>
      </c>
      <c r="K17" s="49">
        <f t="shared" si="2"/>
        <v>10624572.593692001</v>
      </c>
      <c r="M17" s="48">
        <f>C17/$L$14</f>
        <v>2390703084.5626369</v>
      </c>
      <c r="N17" s="52">
        <f t="shared" si="29"/>
        <v>1161311472</v>
      </c>
      <c r="O17" s="52">
        <f t="shared" si="29"/>
        <v>796369371</v>
      </c>
      <c r="P17" s="52">
        <f t="shared" si="29"/>
        <v>2143167807</v>
      </c>
      <c r="Q17" s="52">
        <f t="shared" si="29"/>
        <v>1256557631.9999998</v>
      </c>
      <c r="R17" s="52">
        <f t="shared" si="29"/>
        <v>1293213411</v>
      </c>
      <c r="S17" s="52">
        <f t="shared" si="29"/>
        <v>1311768763.0000002</v>
      </c>
      <c r="T17" s="52">
        <f t="shared" si="29"/>
        <v>1322262958</v>
      </c>
      <c r="U17" s="52">
        <f t="shared" si="29"/>
        <v>11675354498.562639</v>
      </c>
      <c r="V17" s="52">
        <f t="shared" si="30"/>
        <v>10379390.149222186</v>
      </c>
      <c r="Y17" s="51">
        <v>0</v>
      </c>
      <c r="Z17" s="52">
        <f t="shared" si="5"/>
        <v>3232333.2464719997</v>
      </c>
      <c r="AA17" s="52">
        <f t="shared" si="6"/>
        <v>3818446.2770999996</v>
      </c>
      <c r="AB17" s="52">
        <f t="shared" si="7"/>
        <v>3573793.0701200003</v>
      </c>
      <c r="AC17" s="49">
        <f t="shared" si="8"/>
        <v>10624572.593692001</v>
      </c>
      <c r="AD17" s="51">
        <f>'[1]APAC 17.6.2019'!Y17</f>
        <v>0</v>
      </c>
      <c r="AE17" s="52">
        <f>'[1]APAC 17.6.2019'!Z17</f>
        <v>3232333.2464719997</v>
      </c>
      <c r="AF17" s="52">
        <f>'[1]APAC 17.6.2019'!AA17</f>
        <v>3818446.2770999996</v>
      </c>
      <c r="AG17" s="52">
        <f>'[1]APAC 17.6.2019'!AB17</f>
        <v>3573793.0701200003</v>
      </c>
      <c r="AH17" s="49">
        <f>'[1]APAC 17.6.2019'!AC17</f>
        <v>10624572.593692001</v>
      </c>
      <c r="AI17" s="51"/>
      <c r="AJ17" s="52">
        <f>SUM(AJ14:AJ16)</f>
        <v>3244646.582975687</v>
      </c>
      <c r="AK17" s="52">
        <f t="shared" ref="AK17:AL17" si="35">SUM(AK14:AK16)</f>
        <v>3470887.0277900002</v>
      </c>
      <c r="AL17" s="52">
        <f t="shared" si="35"/>
        <v>4755368.8018199997</v>
      </c>
      <c r="AM17" s="49">
        <f t="shared" si="1"/>
        <v>11470902.412585687</v>
      </c>
      <c r="AN17" s="52">
        <v>0</v>
      </c>
      <c r="AO17" s="52">
        <f>SUM(AO14:AO16)</f>
        <v>5031466.8895489881</v>
      </c>
      <c r="AP17" s="52">
        <f t="shared" ref="AP17:AQ17" si="36">SUM(AP14:AP16)</f>
        <v>3472230.4678715272</v>
      </c>
      <c r="AQ17" s="52">
        <f t="shared" si="36"/>
        <v>4756901.2549988395</v>
      </c>
      <c r="AR17" s="52">
        <f t="shared" si="9"/>
        <v>13260598.612419356</v>
      </c>
      <c r="AS17" s="51">
        <v>11470902.412585687</v>
      </c>
      <c r="AT17" s="51">
        <f t="shared" si="10"/>
        <v>10624572.593692001</v>
      </c>
      <c r="AU17" s="53">
        <f t="shared" si="11"/>
        <v>10624572.593692001</v>
      </c>
      <c r="AV17" s="49">
        <f t="shared" ref="AV17" si="37">SUM(AV14:AV16)</f>
        <v>13260598.612419354</v>
      </c>
      <c r="AW17" s="52">
        <f t="shared" si="12"/>
        <v>0</v>
      </c>
      <c r="AX17" s="51">
        <f t="shared" si="31"/>
        <v>-846329.81889368594</v>
      </c>
      <c r="AY17" s="49">
        <f t="shared" si="32"/>
        <v>-2636026.0187273528</v>
      </c>
      <c r="AZ17" s="54"/>
      <c r="BA17" s="51">
        <f t="shared" si="15"/>
        <v>-12313.336503687315</v>
      </c>
      <c r="BB17" s="52">
        <f t="shared" si="15"/>
        <v>347559.2493099994</v>
      </c>
      <c r="BC17" s="52">
        <f t="shared" si="15"/>
        <v>-1181575.7316999994</v>
      </c>
      <c r="BD17" s="49">
        <f t="shared" si="15"/>
        <v>-846329.81889368594</v>
      </c>
      <c r="BF17" s="55"/>
      <c r="BG17" s="56"/>
      <c r="BH17" s="56"/>
      <c r="BI17" s="56"/>
      <c r="BJ17" s="56"/>
      <c r="BK17" s="56"/>
      <c r="BL17" s="56"/>
      <c r="BM17" s="57"/>
    </row>
    <row r="18" spans="1:65" x14ac:dyDescent="0.25">
      <c r="A18" s="14" t="s">
        <v>60</v>
      </c>
      <c r="B18" s="30" t="s">
        <v>55</v>
      </c>
      <c r="C18" s="48">
        <v>0</v>
      </c>
      <c r="D18" s="52">
        <f>'[1]Host Loaded1'!M70</f>
        <v>0</v>
      </c>
      <c r="E18" s="52">
        <f>'[1]Host Loaded1'!N70</f>
        <v>0</v>
      </c>
      <c r="F18" s="52">
        <f>'[1]Host Loaded1'!O70</f>
        <v>0</v>
      </c>
      <c r="G18" s="52">
        <f>'[1]Host Loaded1'!P70</f>
        <v>0</v>
      </c>
      <c r="H18" s="52">
        <f>'[1]Host Loaded1'!Q70</f>
        <v>0</v>
      </c>
      <c r="I18" s="52">
        <f>'[1]Host Loaded1'!R70</f>
        <v>0</v>
      </c>
      <c r="J18" s="52">
        <f>'[1]Host Loaded1'!S70</f>
        <v>0</v>
      </c>
      <c r="K18" s="49">
        <f t="shared" si="2"/>
        <v>0</v>
      </c>
      <c r="M18" s="48">
        <f t="shared" si="33"/>
        <v>0</v>
      </c>
      <c r="N18" s="52">
        <f t="shared" si="29"/>
        <v>0</v>
      </c>
      <c r="O18" s="52">
        <f t="shared" si="29"/>
        <v>0</v>
      </c>
      <c r="P18" s="52">
        <f t="shared" si="29"/>
        <v>0</v>
      </c>
      <c r="Q18" s="52">
        <f t="shared" si="29"/>
        <v>0</v>
      </c>
      <c r="R18" s="52">
        <f t="shared" si="29"/>
        <v>0</v>
      </c>
      <c r="S18" s="52">
        <f t="shared" si="29"/>
        <v>0</v>
      </c>
      <c r="T18" s="52">
        <f t="shared" si="29"/>
        <v>0</v>
      </c>
      <c r="U18" s="52">
        <f t="shared" si="29"/>
        <v>0</v>
      </c>
      <c r="V18" s="52">
        <f t="shared" si="30"/>
        <v>0</v>
      </c>
      <c r="Y18" s="51">
        <v>0</v>
      </c>
      <c r="Z18" s="52">
        <f t="shared" si="5"/>
        <v>0</v>
      </c>
      <c r="AA18" s="52">
        <f t="shared" si="6"/>
        <v>0</v>
      </c>
      <c r="AB18" s="52">
        <f t="shared" si="7"/>
        <v>0</v>
      </c>
      <c r="AC18" s="49">
        <f t="shared" si="8"/>
        <v>0</v>
      </c>
      <c r="AD18" s="51">
        <f>'[1]APAC 17.6.2019'!Y18</f>
        <v>0</v>
      </c>
      <c r="AE18" s="52">
        <f>'[1]APAC 17.6.2019'!Z18</f>
        <v>0</v>
      </c>
      <c r="AF18" s="52">
        <f>'[1]APAC 17.6.2019'!AA18</f>
        <v>0</v>
      </c>
      <c r="AG18" s="52">
        <f>'[1]APAC 17.6.2019'!AB18</f>
        <v>0</v>
      </c>
      <c r="AH18" s="49">
        <f>'[1]APAC 17.6.2019'!AC18</f>
        <v>0</v>
      </c>
      <c r="AI18" s="51"/>
      <c r="AJ18" s="52">
        <f>'[1]6.10'!X17</f>
        <v>0</v>
      </c>
      <c r="AK18" s="52">
        <f>'[1]6.10'!Y17</f>
        <v>0</v>
      </c>
      <c r="AL18" s="52">
        <f>'[1]6.10'!Z17</f>
        <v>0</v>
      </c>
      <c r="AM18" s="49">
        <f t="shared" si="1"/>
        <v>0</v>
      </c>
      <c r="AN18" s="52">
        <v>0</v>
      </c>
      <c r="AO18" s="52">
        <f>'[1]May Forecast'!AC46</f>
        <v>0</v>
      </c>
      <c r="AP18" s="52">
        <f>'[1]May Forecast'!AD46</f>
        <v>0</v>
      </c>
      <c r="AQ18" s="52">
        <f>'[1]May Forecast'!AE46</f>
        <v>0</v>
      </c>
      <c r="AR18" s="52">
        <f t="shared" si="9"/>
        <v>0</v>
      </c>
      <c r="AS18" s="51">
        <v>0</v>
      </c>
      <c r="AT18" s="51">
        <f t="shared" si="10"/>
        <v>0</v>
      </c>
      <c r="AU18" s="53">
        <f t="shared" si="11"/>
        <v>0</v>
      </c>
      <c r="AV18" s="49">
        <f>'[1]MFC Duty Free - Total'!P65</f>
        <v>0</v>
      </c>
      <c r="AW18" s="52">
        <f t="shared" si="12"/>
        <v>0</v>
      </c>
      <c r="AX18" s="51">
        <f t="shared" si="31"/>
        <v>0</v>
      </c>
      <c r="AY18" s="49">
        <f t="shared" si="32"/>
        <v>0</v>
      </c>
      <c r="AZ18" s="54"/>
      <c r="BA18" s="51">
        <f t="shared" si="15"/>
        <v>0</v>
      </c>
      <c r="BB18" s="52">
        <f t="shared" si="15"/>
        <v>0</v>
      </c>
      <c r="BC18" s="52">
        <f t="shared" si="15"/>
        <v>0</v>
      </c>
      <c r="BD18" s="49">
        <f t="shared" si="15"/>
        <v>0</v>
      </c>
      <c r="BF18" s="55"/>
      <c r="BG18" s="56"/>
      <c r="BH18" s="56"/>
      <c r="BI18" s="56"/>
      <c r="BJ18" s="56"/>
      <c r="BK18" s="56"/>
      <c r="BL18" s="56"/>
      <c r="BM18" s="57"/>
    </row>
    <row r="19" spans="1:65" x14ac:dyDescent="0.25">
      <c r="A19" s="14" t="s">
        <v>60</v>
      </c>
      <c r="B19" s="62" t="s">
        <v>56</v>
      </c>
      <c r="C19" s="63">
        <f>SUM(C17:C18)</f>
        <v>2175539.8069519997</v>
      </c>
      <c r="D19" s="64">
        <f>SUM(D17:D18)</f>
        <v>1056793.43952</v>
      </c>
      <c r="E19" s="64">
        <f t="shared" ref="E19:J19" si="38">SUM(E17:E18)</f>
        <v>724696.12760999997</v>
      </c>
      <c r="F19" s="64">
        <f t="shared" si="38"/>
        <v>1950282.7043699999</v>
      </c>
      <c r="G19" s="64">
        <f t="shared" si="38"/>
        <v>1143467.4451199998</v>
      </c>
      <c r="H19" s="64">
        <f t="shared" si="38"/>
        <v>1176824.20401</v>
      </c>
      <c r="I19" s="64">
        <f t="shared" si="38"/>
        <v>1193709.5743300002</v>
      </c>
      <c r="J19" s="64">
        <f t="shared" si="38"/>
        <v>1203259.2917800001</v>
      </c>
      <c r="K19" s="65">
        <f t="shared" si="2"/>
        <v>10624572.593692001</v>
      </c>
      <c r="M19" s="63">
        <f t="shared" si="33"/>
        <v>2390703084.5626369</v>
      </c>
      <c r="N19" s="64">
        <f t="shared" si="29"/>
        <v>1161311472</v>
      </c>
      <c r="O19" s="64">
        <f t="shared" si="29"/>
        <v>796369371</v>
      </c>
      <c r="P19" s="64">
        <f t="shared" si="29"/>
        <v>2143167807</v>
      </c>
      <c r="Q19" s="64">
        <f t="shared" si="29"/>
        <v>1256557631.9999998</v>
      </c>
      <c r="R19" s="64">
        <f t="shared" si="29"/>
        <v>1293213411</v>
      </c>
      <c r="S19" s="64">
        <f t="shared" si="29"/>
        <v>1311768763.0000002</v>
      </c>
      <c r="T19" s="64">
        <f t="shared" si="29"/>
        <v>1322262958</v>
      </c>
      <c r="U19" s="64">
        <f t="shared" si="29"/>
        <v>11675354498.562639</v>
      </c>
      <c r="V19" s="66">
        <f t="shared" si="30"/>
        <v>10379390.149222186</v>
      </c>
      <c r="Y19" s="67">
        <v>0</v>
      </c>
      <c r="Z19" s="64">
        <f t="shared" si="5"/>
        <v>3232333.2464719997</v>
      </c>
      <c r="AA19" s="64">
        <f t="shared" si="6"/>
        <v>3818446.2770999996</v>
      </c>
      <c r="AB19" s="64">
        <f t="shared" si="7"/>
        <v>3573793.0701200003</v>
      </c>
      <c r="AC19" s="65">
        <f t="shared" si="8"/>
        <v>10624572.593692001</v>
      </c>
      <c r="AD19" s="67">
        <f>'[1]APAC 17.6.2019'!Y19</f>
        <v>0</v>
      </c>
      <c r="AE19" s="64">
        <f>'[1]APAC 17.6.2019'!Z19</f>
        <v>3232333.2464719997</v>
      </c>
      <c r="AF19" s="64">
        <f>'[1]APAC 17.6.2019'!AA19</f>
        <v>3818446.2770999996</v>
      </c>
      <c r="AG19" s="64">
        <f>'[1]APAC 17.6.2019'!AB19</f>
        <v>3573793.0701200003</v>
      </c>
      <c r="AH19" s="65">
        <f>'[1]APAC 17.6.2019'!AC19</f>
        <v>10624572.593692001</v>
      </c>
      <c r="AI19" s="67"/>
      <c r="AJ19" s="64">
        <f>SUM(AJ17:AJ18)</f>
        <v>3244646.582975687</v>
      </c>
      <c r="AK19" s="64">
        <f t="shared" ref="AK19:AL19" si="39">SUM(AK17:AK18)</f>
        <v>3470887.0277900002</v>
      </c>
      <c r="AL19" s="64">
        <f t="shared" si="39"/>
        <v>4755368.8018199997</v>
      </c>
      <c r="AM19" s="65">
        <f t="shared" si="1"/>
        <v>11470902.412585687</v>
      </c>
      <c r="AN19" s="64">
        <v>0</v>
      </c>
      <c r="AO19" s="64">
        <f>SUM(AO17:AO18)</f>
        <v>5031466.8895489881</v>
      </c>
      <c r="AP19" s="64">
        <f t="shared" ref="AP19:AQ19" si="40">SUM(AP17:AP18)</f>
        <v>3472230.4678715272</v>
      </c>
      <c r="AQ19" s="64">
        <f t="shared" si="40"/>
        <v>4756901.2549988395</v>
      </c>
      <c r="AR19" s="64">
        <f t="shared" si="9"/>
        <v>13260598.612419356</v>
      </c>
      <c r="AS19" s="67">
        <v>11470902.412585687</v>
      </c>
      <c r="AT19" s="67">
        <f t="shared" si="10"/>
        <v>10624572.593692001</v>
      </c>
      <c r="AU19" s="68">
        <f t="shared" si="11"/>
        <v>10624572.593692001</v>
      </c>
      <c r="AV19" s="65">
        <f t="shared" ref="AV19" si="41">SUM(AV17:AV18)</f>
        <v>13260598.612419354</v>
      </c>
      <c r="AW19" s="64">
        <f t="shared" si="12"/>
        <v>0</v>
      </c>
      <c r="AX19" s="69">
        <f t="shared" si="31"/>
        <v>-846329.81889368594</v>
      </c>
      <c r="AY19" s="65">
        <f t="shared" si="32"/>
        <v>-2636026.0187273528</v>
      </c>
      <c r="AZ19" s="54"/>
      <c r="BA19" s="67">
        <f t="shared" si="15"/>
        <v>-12313.336503687315</v>
      </c>
      <c r="BB19" s="64">
        <f t="shared" si="15"/>
        <v>347559.2493099994</v>
      </c>
      <c r="BC19" s="64">
        <f t="shared" si="15"/>
        <v>-1181575.7316999994</v>
      </c>
      <c r="BD19" s="65">
        <f t="shared" si="15"/>
        <v>-846329.81889368594</v>
      </c>
      <c r="BF19" s="55"/>
      <c r="BG19" s="56"/>
      <c r="BH19" s="56"/>
      <c r="BI19" s="56"/>
      <c r="BJ19" s="56"/>
      <c r="BK19" s="56"/>
      <c r="BL19" s="56"/>
      <c r="BM19" s="57"/>
    </row>
    <row r="20" spans="1:65" x14ac:dyDescent="0.25">
      <c r="A20" s="14" t="s">
        <v>60</v>
      </c>
      <c r="B20" s="30" t="s">
        <v>57</v>
      </c>
      <c r="C20" s="48">
        <f>'[1]6.28'!L27</f>
        <v>818832.46299000003</v>
      </c>
      <c r="D20" s="48">
        <f>'[1]6.28'!M27</f>
        <v>652686.31791999994</v>
      </c>
      <c r="E20" s="48">
        <f>'[1]6.28'!N27</f>
        <v>422482.01358999999</v>
      </c>
      <c r="F20" s="48">
        <f>'[1]6.28'!O27</f>
        <v>1056269.9483700001</v>
      </c>
      <c r="G20" s="48">
        <f>'[1]6.28'!P27</f>
        <v>553905.96625000006</v>
      </c>
      <c r="H20" s="48">
        <f>'[1]6.28'!Q27</f>
        <v>530642.75991999998</v>
      </c>
      <c r="I20" s="48">
        <f>'[1]6.28'!R27</f>
        <v>516361.44559999998</v>
      </c>
      <c r="J20" s="48">
        <f>'[1]6.28'!S27</f>
        <v>528297.21126000001</v>
      </c>
      <c r="K20" s="49">
        <f>(SUM(C20:J20))*-1</f>
        <v>-5079478.1259000003</v>
      </c>
      <c r="M20" s="71">
        <f t="shared" si="33"/>
        <v>899815893.39560437</v>
      </c>
      <c r="N20" s="71">
        <f t="shared" si="29"/>
        <v>717237711.99999988</v>
      </c>
      <c r="O20" s="71">
        <f t="shared" si="29"/>
        <v>464265949</v>
      </c>
      <c r="P20" s="71">
        <f t="shared" si="29"/>
        <v>1160736207.0000002</v>
      </c>
      <c r="Q20" s="71">
        <f t="shared" si="29"/>
        <v>608687875.00000012</v>
      </c>
      <c r="R20" s="71">
        <f t="shared" si="29"/>
        <v>583123912</v>
      </c>
      <c r="S20" s="71">
        <f t="shared" si="29"/>
        <v>567430160</v>
      </c>
      <c r="T20" s="71">
        <f t="shared" si="29"/>
        <v>580546386</v>
      </c>
      <c r="U20" s="52">
        <f t="shared" si="29"/>
        <v>-5581844094.3956051</v>
      </c>
      <c r="V20" s="52">
        <f t="shared" si="30"/>
        <v>-4962259.3999176929</v>
      </c>
      <c r="Y20" s="51">
        <v>0</v>
      </c>
      <c r="Z20" s="52">
        <f t="shared" si="5"/>
        <v>1471518.78091</v>
      </c>
      <c r="AA20" s="52">
        <f t="shared" si="6"/>
        <v>2032657.92821</v>
      </c>
      <c r="AB20" s="52">
        <f t="shared" si="7"/>
        <v>1575301.4167800001</v>
      </c>
      <c r="AC20" s="49">
        <f t="shared" si="8"/>
        <v>5079478.1259000003</v>
      </c>
      <c r="AD20" s="51">
        <f>'[1]APAC 17.6.2019'!Y20</f>
        <v>0</v>
      </c>
      <c r="AE20" s="52">
        <f>'[1]APAC 17.6.2019'!Z20</f>
        <v>1471518.78091</v>
      </c>
      <c r="AF20" s="52">
        <f>'[1]APAC 17.6.2019'!AA20</f>
        <v>2032657.92821</v>
      </c>
      <c r="AG20" s="52">
        <f>'[1]APAC 17.6.2019'!AB20</f>
        <v>1575301.4167800001</v>
      </c>
      <c r="AH20" s="49">
        <f>'[1]APAC 17.6.2019'!AC20</f>
        <v>5079478.1259000003</v>
      </c>
      <c r="AI20" s="51"/>
      <c r="AJ20" s="52">
        <f>'[1]6.10'!X19</f>
        <v>1585003.6779873017</v>
      </c>
      <c r="AK20" s="52">
        <f>'[1]6.10'!Y19</f>
        <v>2473558.8049900001</v>
      </c>
      <c r="AL20" s="52">
        <f>'[1]6.10'!Z19</f>
        <v>3341510.4568300005</v>
      </c>
      <c r="AM20" s="49">
        <f t="shared" si="1"/>
        <v>7400072.9398073023</v>
      </c>
      <c r="AN20" s="52">
        <v>0</v>
      </c>
      <c r="AO20" s="52">
        <f>'[1]May Forecast'!AC47</f>
        <v>2082070.3766730381</v>
      </c>
      <c r="AP20" s="52">
        <f>'[1]May Forecast'!AD47</f>
        <v>1519038.0793818887</v>
      </c>
      <c r="AQ20" s="52">
        <f>'[1]May Forecast'!AE47</f>
        <v>1832879.7575387016</v>
      </c>
      <c r="AR20" s="52">
        <f t="shared" si="9"/>
        <v>5433988.2135936283</v>
      </c>
      <c r="AS20" s="51">
        <v>7400072.9398073023</v>
      </c>
      <c r="AT20" s="51">
        <f t="shared" si="10"/>
        <v>5079478.1259000003</v>
      </c>
      <c r="AU20" s="53">
        <f t="shared" si="11"/>
        <v>5079478.1259000003</v>
      </c>
      <c r="AV20" s="49">
        <f>-'[1]MFC Duty Free - Total'!P97</f>
        <v>5433988.2135936283</v>
      </c>
      <c r="AW20" s="52">
        <f t="shared" si="12"/>
        <v>0</v>
      </c>
      <c r="AX20" s="51">
        <f t="shared" si="31"/>
        <v>-2320594.813907302</v>
      </c>
      <c r="AY20" s="49">
        <f t="shared" si="32"/>
        <v>-354510.08769362792</v>
      </c>
      <c r="AZ20" s="54"/>
      <c r="BA20" s="51">
        <f t="shared" si="15"/>
        <v>-113484.89707730175</v>
      </c>
      <c r="BB20" s="52">
        <f t="shared" si="15"/>
        <v>-440900.87678000005</v>
      </c>
      <c r="BC20" s="52">
        <f t="shared" si="15"/>
        <v>-1766209.0400500004</v>
      </c>
      <c r="BD20" s="49">
        <f t="shared" si="15"/>
        <v>-2320594.813907302</v>
      </c>
      <c r="BF20" s="55"/>
      <c r="BG20" s="56"/>
      <c r="BH20" s="56"/>
      <c r="BI20" s="56"/>
      <c r="BJ20" s="56"/>
      <c r="BK20" s="56"/>
      <c r="BL20" s="56"/>
      <c r="BM20" s="57"/>
    </row>
    <row r="21" spans="1:65" x14ac:dyDescent="0.25">
      <c r="A21" s="14" t="s">
        <v>60</v>
      </c>
      <c r="B21" s="62" t="s">
        <v>58</v>
      </c>
      <c r="C21" s="63">
        <f>C19-C20</f>
        <v>1356707.3439619998</v>
      </c>
      <c r="D21" s="64">
        <f>D19-D20</f>
        <v>404107.12160000007</v>
      </c>
      <c r="E21" s="64">
        <f t="shared" ref="E21:J21" si="42">E19-E20</f>
        <v>302214.11401999998</v>
      </c>
      <c r="F21" s="64">
        <f t="shared" si="42"/>
        <v>894012.75599999982</v>
      </c>
      <c r="G21" s="64">
        <f t="shared" si="42"/>
        <v>589561.47886999976</v>
      </c>
      <c r="H21" s="64">
        <f t="shared" si="42"/>
        <v>646181.44409</v>
      </c>
      <c r="I21" s="64">
        <f t="shared" si="42"/>
        <v>677348.12873000023</v>
      </c>
      <c r="J21" s="64">
        <f t="shared" si="42"/>
        <v>674962.08052000008</v>
      </c>
      <c r="K21" s="65">
        <f t="shared" si="2"/>
        <v>5545094.4677919997</v>
      </c>
      <c r="M21" s="63">
        <f t="shared" si="33"/>
        <v>1490887191.1670327</v>
      </c>
      <c r="N21" s="64">
        <f t="shared" si="29"/>
        <v>444073760.00000006</v>
      </c>
      <c r="O21" s="64">
        <f t="shared" si="29"/>
        <v>332103422</v>
      </c>
      <c r="P21" s="64">
        <f t="shared" si="29"/>
        <v>982431599.99999976</v>
      </c>
      <c r="Q21" s="64">
        <f t="shared" si="29"/>
        <v>647869756.99999976</v>
      </c>
      <c r="R21" s="64">
        <f t="shared" si="29"/>
        <v>710089499</v>
      </c>
      <c r="S21" s="64">
        <f t="shared" si="29"/>
        <v>744338603.00000024</v>
      </c>
      <c r="T21" s="64">
        <f t="shared" si="29"/>
        <v>741716572.00000012</v>
      </c>
      <c r="U21" s="64">
        <f t="shared" si="29"/>
        <v>6093510404.1670322</v>
      </c>
      <c r="V21" s="66">
        <f t="shared" si="30"/>
        <v>5417130.749304492</v>
      </c>
      <c r="Y21" s="67">
        <v>0</v>
      </c>
      <c r="Z21" s="64">
        <f t="shared" si="5"/>
        <v>1760814.4655619999</v>
      </c>
      <c r="AA21" s="64">
        <f t="shared" si="6"/>
        <v>1785788.3488899996</v>
      </c>
      <c r="AB21" s="64">
        <f t="shared" si="7"/>
        <v>1998491.6533400004</v>
      </c>
      <c r="AC21" s="65">
        <f t="shared" si="8"/>
        <v>5545094.4677919997</v>
      </c>
      <c r="AD21" s="67">
        <f>'[1]APAC 17.6.2019'!Y21</f>
        <v>0</v>
      </c>
      <c r="AE21" s="64">
        <f>'[1]APAC 17.6.2019'!Z21</f>
        <v>1760814.4655619999</v>
      </c>
      <c r="AF21" s="64">
        <f>'[1]APAC 17.6.2019'!AA21</f>
        <v>1785788.3488899996</v>
      </c>
      <c r="AG21" s="64">
        <f>'[1]APAC 17.6.2019'!AB21</f>
        <v>1998491.6533400004</v>
      </c>
      <c r="AH21" s="65">
        <f>'[1]APAC 17.6.2019'!AC21</f>
        <v>5545094.4677919997</v>
      </c>
      <c r="AI21" s="67"/>
      <c r="AJ21" s="64">
        <f t="shared" ref="AJ21:AL21" si="43">AJ19-AJ20</f>
        <v>1659642.9049883853</v>
      </c>
      <c r="AK21" s="64">
        <f t="shared" si="43"/>
        <v>997328.22280000011</v>
      </c>
      <c r="AL21" s="64">
        <f t="shared" si="43"/>
        <v>1413858.3449899992</v>
      </c>
      <c r="AM21" s="65">
        <f t="shared" si="1"/>
        <v>4070829.4727783846</v>
      </c>
      <c r="AN21" s="64">
        <v>0</v>
      </c>
      <c r="AO21" s="64">
        <f t="shared" ref="AO21:AQ21" si="44">AO19-AO20</f>
        <v>2949396.51287595</v>
      </c>
      <c r="AP21" s="64">
        <f t="shared" si="44"/>
        <v>1953192.3884896385</v>
      </c>
      <c r="AQ21" s="64">
        <f t="shared" si="44"/>
        <v>2924021.4974601381</v>
      </c>
      <c r="AR21" s="64">
        <f t="shared" si="9"/>
        <v>7826610.3988257265</v>
      </c>
      <c r="AS21" s="67">
        <v>4070829.4727783855</v>
      </c>
      <c r="AT21" s="67">
        <f t="shared" si="10"/>
        <v>5545094.4677919997</v>
      </c>
      <c r="AU21" s="68">
        <f t="shared" si="11"/>
        <v>5545094.4677919997</v>
      </c>
      <c r="AV21" s="65">
        <f t="shared" ref="AV21" si="45">AV19-AV20</f>
        <v>7826610.3988257255</v>
      </c>
      <c r="AW21" s="64">
        <f t="shared" si="12"/>
        <v>0</v>
      </c>
      <c r="AX21" s="69">
        <f t="shared" si="31"/>
        <v>1474264.9950136142</v>
      </c>
      <c r="AY21" s="65">
        <f t="shared" si="32"/>
        <v>-2281515.9310337259</v>
      </c>
      <c r="AZ21" s="54"/>
      <c r="BA21" s="67">
        <f t="shared" si="15"/>
        <v>101171.56057361467</v>
      </c>
      <c r="BB21" s="64">
        <f t="shared" si="15"/>
        <v>788460.12608999945</v>
      </c>
      <c r="BC21" s="64">
        <f t="shared" si="15"/>
        <v>584633.30835000123</v>
      </c>
      <c r="BD21" s="65">
        <f t="shared" si="15"/>
        <v>1474264.9950136151</v>
      </c>
      <c r="BF21" s="55"/>
      <c r="BG21" s="56"/>
      <c r="BH21" s="56"/>
      <c r="BI21" s="56"/>
      <c r="BJ21" s="56"/>
      <c r="BK21" s="56"/>
      <c r="BL21" s="56"/>
      <c r="BM21" s="57"/>
    </row>
    <row r="22" spans="1:65" x14ac:dyDescent="0.25">
      <c r="A22" s="14"/>
      <c r="B22" s="47" t="s">
        <v>59</v>
      </c>
      <c r="C22" s="73">
        <f>C21/C19</f>
        <v>0.62361871735309216</v>
      </c>
      <c r="D22" s="73">
        <f t="shared" ref="D22:K22" si="46">D21/D19</f>
        <v>0.38238988480430691</v>
      </c>
      <c r="E22" s="73">
        <f t="shared" si="46"/>
        <v>0.41702184199145953</v>
      </c>
      <c r="F22" s="73">
        <f t="shared" si="46"/>
        <v>0.45840162249133665</v>
      </c>
      <c r="G22" s="73">
        <f t="shared" si="46"/>
        <v>0.51559096097233348</v>
      </c>
      <c r="H22" s="73">
        <f t="shared" si="46"/>
        <v>0.54908918586833311</v>
      </c>
      <c r="I22" s="73">
        <f t="shared" si="46"/>
        <v>0.56743126074881245</v>
      </c>
      <c r="J22" s="73">
        <f t="shared" si="46"/>
        <v>0.56094483136840623</v>
      </c>
      <c r="K22" s="73">
        <f t="shared" si="46"/>
        <v>0.52191223871765169</v>
      </c>
      <c r="M22" s="74"/>
      <c r="N22" s="74"/>
      <c r="O22" s="74"/>
      <c r="P22" s="74"/>
      <c r="Q22" s="74"/>
      <c r="R22" s="74"/>
      <c r="S22" s="74"/>
      <c r="T22" s="74"/>
      <c r="U22" s="74"/>
      <c r="V22" s="74"/>
      <c r="Y22" s="75"/>
      <c r="Z22" s="74"/>
      <c r="AA22" s="74"/>
      <c r="AB22" s="74"/>
      <c r="AC22" s="76"/>
      <c r="AD22" s="75">
        <f>'[1]APAC 17.6.2019'!Y22</f>
        <v>0</v>
      </c>
      <c r="AE22" s="74">
        <f>'[1]APAC 17.6.2019'!Z22</f>
        <v>0</v>
      </c>
      <c r="AF22" s="74">
        <f>'[1]APAC 17.6.2019'!AA22</f>
        <v>0</v>
      </c>
      <c r="AG22" s="74">
        <f>'[1]APAC 17.6.2019'!AB22</f>
        <v>0</v>
      </c>
      <c r="AH22" s="76">
        <f>'[1]APAC 17.6.2019'!AC22</f>
        <v>0</v>
      </c>
      <c r="AI22" s="75"/>
      <c r="AJ22" s="74"/>
      <c r="AK22" s="74"/>
      <c r="AL22" s="74"/>
      <c r="AM22" s="76"/>
      <c r="AN22" s="74"/>
      <c r="AO22" s="74"/>
      <c r="AP22" s="74"/>
      <c r="AQ22" s="74"/>
      <c r="AR22" s="74"/>
      <c r="AS22" s="75"/>
      <c r="AT22" s="75">
        <f t="shared" si="10"/>
        <v>0</v>
      </c>
      <c r="AU22" s="77">
        <f t="shared" si="11"/>
        <v>0</v>
      </c>
      <c r="AV22" s="76"/>
      <c r="AW22" s="74">
        <f t="shared" si="12"/>
        <v>0</v>
      </c>
      <c r="AX22" s="75"/>
      <c r="AY22" s="76"/>
      <c r="AZ22" s="54"/>
      <c r="BA22" s="75"/>
      <c r="BB22" s="74"/>
      <c r="BC22" s="74"/>
      <c r="BD22" s="76"/>
      <c r="BF22" s="55"/>
      <c r="BG22" s="56"/>
      <c r="BH22" s="56"/>
      <c r="BI22" s="56"/>
      <c r="BJ22" s="56"/>
      <c r="BK22" s="56"/>
      <c r="BL22" s="56"/>
      <c r="BM22" s="57"/>
    </row>
    <row r="23" spans="1:65" x14ac:dyDescent="0.25">
      <c r="A23" s="14"/>
      <c r="B23" s="30"/>
      <c r="C23" s="85"/>
      <c r="D23" s="85"/>
      <c r="E23" s="85"/>
      <c r="F23" s="85"/>
      <c r="G23" s="85"/>
      <c r="H23" s="85"/>
      <c r="I23" s="30"/>
      <c r="J23" s="30"/>
      <c r="K23" s="49"/>
      <c r="Y23" s="51"/>
      <c r="Z23" s="52"/>
      <c r="AA23" s="52"/>
      <c r="AB23" s="52"/>
      <c r="AC23" s="49">
        <f t="shared" si="8"/>
        <v>0</v>
      </c>
      <c r="AD23" s="51">
        <f>'[1]APAC 17.6.2019'!Y23</f>
        <v>0</v>
      </c>
      <c r="AE23" s="52">
        <f>'[1]APAC 17.6.2019'!Z23</f>
        <v>0</v>
      </c>
      <c r="AF23" s="52">
        <f>'[1]APAC 17.6.2019'!AA23</f>
        <v>0</v>
      </c>
      <c r="AG23" s="52">
        <f>'[1]APAC 17.6.2019'!AB23</f>
        <v>0</v>
      </c>
      <c r="AH23" s="49">
        <f>'[1]APAC 17.6.2019'!AC23</f>
        <v>0</v>
      </c>
      <c r="AI23" s="51"/>
      <c r="AJ23" s="52"/>
      <c r="AK23" s="52"/>
      <c r="AL23" s="52"/>
      <c r="AM23" s="49">
        <f t="shared" si="1"/>
        <v>0</v>
      </c>
      <c r="AN23" s="52"/>
      <c r="AO23" s="52"/>
      <c r="AP23" s="52"/>
      <c r="AQ23" s="52"/>
      <c r="AR23" s="52">
        <f t="shared" si="9"/>
        <v>0</v>
      </c>
      <c r="AS23" s="51"/>
      <c r="AT23" s="51">
        <f t="shared" si="10"/>
        <v>0</v>
      </c>
      <c r="AU23" s="53">
        <f t="shared" si="11"/>
        <v>0</v>
      </c>
      <c r="AV23" s="49"/>
      <c r="AW23" s="52">
        <f t="shared" si="12"/>
        <v>0</v>
      </c>
      <c r="AX23" s="51"/>
      <c r="AY23" s="49"/>
      <c r="AZ23" s="54"/>
      <c r="BA23" s="51">
        <f t="shared" si="15"/>
        <v>0</v>
      </c>
      <c r="BB23" s="52">
        <f t="shared" si="15"/>
        <v>0</v>
      </c>
      <c r="BC23" s="52">
        <f t="shared" si="15"/>
        <v>0</v>
      </c>
      <c r="BD23" s="49">
        <f t="shared" si="15"/>
        <v>0</v>
      </c>
      <c r="BF23" s="55"/>
      <c r="BG23" s="56"/>
      <c r="BH23" s="56"/>
      <c r="BI23" s="56"/>
      <c r="BJ23" s="56"/>
      <c r="BK23" s="56"/>
      <c r="BL23" s="56"/>
      <c r="BM23" s="57"/>
    </row>
    <row r="24" spans="1:65" x14ac:dyDescent="0.25">
      <c r="A24" s="14" t="s">
        <v>61</v>
      </c>
      <c r="B24" s="47" t="s">
        <v>5</v>
      </c>
      <c r="C24" s="79">
        <f t="shared" ref="C24:J26" si="47">C14+C4</f>
        <v>15653001.517664999</v>
      </c>
      <c r="D24" s="86">
        <f t="shared" si="47"/>
        <v>22004289.489910003</v>
      </c>
      <c r="E24" s="86">
        <f t="shared" si="47"/>
        <v>29523454.28032</v>
      </c>
      <c r="F24" s="86">
        <f t="shared" si="47"/>
        <v>18026585.530590001</v>
      </c>
      <c r="G24" s="86">
        <f>G14+G4</f>
        <v>18084252.196010001</v>
      </c>
      <c r="H24" s="86">
        <f t="shared" si="47"/>
        <v>17628601.143789999</v>
      </c>
      <c r="I24" s="86">
        <f t="shared" si="47"/>
        <v>18713871.792069998</v>
      </c>
      <c r="J24" s="86">
        <f>J14+J4</f>
        <v>19842213.038830001</v>
      </c>
      <c r="K24" s="49">
        <f>SUM(C24:J24)</f>
        <v>159476268.98918504</v>
      </c>
      <c r="V24" s="52">
        <f t="shared" si="30"/>
        <v>155796047.39712694</v>
      </c>
      <c r="Y24" s="51">
        <v>0</v>
      </c>
      <c r="Z24" s="52">
        <f t="shared" si="5"/>
        <v>37657291.007575005</v>
      </c>
      <c r="AA24" s="52">
        <f t="shared" si="6"/>
        <v>65634292.006920002</v>
      </c>
      <c r="AB24" s="52">
        <f t="shared" si="7"/>
        <v>56184685.97468999</v>
      </c>
      <c r="AC24" s="49">
        <f t="shared" si="8"/>
        <v>159476268.98918501</v>
      </c>
      <c r="AD24" s="51">
        <f>'[1]APAC 17.6.2019'!Y24</f>
        <v>0</v>
      </c>
      <c r="AE24" s="52">
        <f>'[1]APAC 17.6.2019'!Z24</f>
        <v>45256381.971584998</v>
      </c>
      <c r="AF24" s="52">
        <f>'[1]APAC 17.6.2019'!AA24</f>
        <v>54153485.135749996</v>
      </c>
      <c r="AG24" s="52">
        <f>'[1]APAC 17.6.2019'!AB24</f>
        <v>38317383.240500003</v>
      </c>
      <c r="AH24" s="49">
        <f>'[1]APAC 17.6.2019'!AC24</f>
        <v>137727250.347835</v>
      </c>
      <c r="AI24" s="51"/>
      <c r="AJ24" s="52">
        <f>'[1]6.10'!X22</f>
        <v>45376126.204905257</v>
      </c>
      <c r="AK24" s="52">
        <f>'[1]6.10'!Y22</f>
        <v>33565013</v>
      </c>
      <c r="AL24" s="52">
        <f>'[1]6.10'!Z22</f>
        <v>48629074</v>
      </c>
      <c r="AM24" s="49">
        <f t="shared" si="1"/>
        <v>127570213.20490526</v>
      </c>
      <c r="AN24" s="52">
        <v>0</v>
      </c>
      <c r="AO24" s="52">
        <f t="shared" ref="AO24:AQ26" si="48">AO4+AO14</f>
        <v>18174571.900030002</v>
      </c>
      <c r="AP24" s="52">
        <f t="shared" si="48"/>
        <v>33565012.71305</v>
      </c>
      <c r="AQ24" s="52">
        <f t="shared" si="48"/>
        <v>48629074.331110001</v>
      </c>
      <c r="AR24" s="52">
        <f t="shared" si="9"/>
        <v>100368658.94419</v>
      </c>
      <c r="AS24" s="51">
        <v>127570213.20490526</v>
      </c>
      <c r="AT24" s="51">
        <f t="shared" si="10"/>
        <v>137727250.347835</v>
      </c>
      <c r="AU24" s="53">
        <f t="shared" si="11"/>
        <v>159476268.98918501</v>
      </c>
      <c r="AV24" s="49">
        <f>'[1]May Forecast'!AA15</f>
        <v>100368658.94419</v>
      </c>
      <c r="AW24" s="52">
        <f t="shared" si="12"/>
        <v>21749018.641350001</v>
      </c>
      <c r="AX24" s="51">
        <f t="shared" ref="AX24:AX31" si="49">AC24-AS24</f>
        <v>31906055.784279749</v>
      </c>
      <c r="AY24" s="49">
        <f t="shared" ref="AY24:AY31" si="50">AC24-AV24</f>
        <v>59107610.04499501</v>
      </c>
      <c r="AZ24" s="54"/>
      <c r="BA24" s="51">
        <f t="shared" si="15"/>
        <v>-7718835.1973302513</v>
      </c>
      <c r="BB24" s="52">
        <f t="shared" si="15"/>
        <v>32069279.006920002</v>
      </c>
      <c r="BC24" s="52">
        <f t="shared" si="15"/>
        <v>7555611.9746899903</v>
      </c>
      <c r="BD24" s="49">
        <f t="shared" si="15"/>
        <v>31906055.784279749</v>
      </c>
      <c r="BF24" s="55"/>
      <c r="BG24" s="56"/>
      <c r="BH24" s="56"/>
      <c r="BI24" s="56"/>
      <c r="BJ24" s="56"/>
      <c r="BK24" s="56"/>
      <c r="BL24" s="56"/>
      <c r="BM24" s="57"/>
    </row>
    <row r="25" spans="1:65" x14ac:dyDescent="0.25">
      <c r="A25" s="14" t="s">
        <v>61</v>
      </c>
      <c r="B25" s="30" t="s">
        <v>52</v>
      </c>
      <c r="C25" s="82">
        <f t="shared" si="47"/>
        <v>0</v>
      </c>
      <c r="D25" s="83">
        <f t="shared" si="47"/>
        <v>0</v>
      </c>
      <c r="E25" s="83">
        <f t="shared" si="47"/>
        <v>0</v>
      </c>
      <c r="F25" s="83">
        <f t="shared" si="47"/>
        <v>0</v>
      </c>
      <c r="G25" s="83">
        <f t="shared" si="47"/>
        <v>0</v>
      </c>
      <c r="H25" s="83">
        <f t="shared" si="47"/>
        <v>0</v>
      </c>
      <c r="I25" s="83">
        <f t="shared" si="47"/>
        <v>0</v>
      </c>
      <c r="J25" s="83">
        <f t="shared" si="47"/>
        <v>0</v>
      </c>
      <c r="K25" s="49">
        <f t="shared" si="2"/>
        <v>0</v>
      </c>
      <c r="V25" s="52">
        <f t="shared" si="30"/>
        <v>0</v>
      </c>
      <c r="Y25" s="51">
        <v>0</v>
      </c>
      <c r="Z25" s="52">
        <f t="shared" si="5"/>
        <v>0</v>
      </c>
      <c r="AA25" s="52">
        <f t="shared" si="6"/>
        <v>0</v>
      </c>
      <c r="AB25" s="52">
        <f t="shared" si="7"/>
        <v>0</v>
      </c>
      <c r="AC25" s="49">
        <f t="shared" si="8"/>
        <v>0</v>
      </c>
      <c r="AD25" s="51">
        <f>'[1]APAC 17.6.2019'!Y25</f>
        <v>0</v>
      </c>
      <c r="AE25" s="52">
        <f>'[1]APAC 17.6.2019'!Z25</f>
        <v>0</v>
      </c>
      <c r="AF25" s="52">
        <f>'[1]APAC 17.6.2019'!AA25</f>
        <v>0</v>
      </c>
      <c r="AG25" s="52">
        <f>'[1]APAC 17.6.2019'!AB25</f>
        <v>0</v>
      </c>
      <c r="AH25" s="49">
        <f>'[1]APAC 17.6.2019'!AC25</f>
        <v>0</v>
      </c>
      <c r="AI25" s="51"/>
      <c r="AJ25" s="52">
        <f>'[1]6.10'!X23</f>
        <v>0</v>
      </c>
      <c r="AK25" s="52">
        <f>'[1]6.10'!Y23</f>
        <v>0</v>
      </c>
      <c r="AL25" s="52">
        <f>'[1]6.10'!Z23</f>
        <v>0</v>
      </c>
      <c r="AM25" s="49">
        <f t="shared" si="1"/>
        <v>0</v>
      </c>
      <c r="AN25" s="52">
        <v>0</v>
      </c>
      <c r="AO25" s="52">
        <f t="shared" si="48"/>
        <v>25930.599433584561</v>
      </c>
      <c r="AP25" s="52">
        <f t="shared" si="48"/>
        <v>18357.592142930909</v>
      </c>
      <c r="AQ25" s="52">
        <f t="shared" si="48"/>
        <v>24843.083358968408</v>
      </c>
      <c r="AR25" s="52">
        <f t="shared" si="9"/>
        <v>69131.274935483874</v>
      </c>
      <c r="AS25" s="51">
        <v>0</v>
      </c>
      <c r="AT25" s="51">
        <f t="shared" si="10"/>
        <v>0</v>
      </c>
      <c r="AU25" s="53">
        <f t="shared" si="11"/>
        <v>0</v>
      </c>
      <c r="AV25" s="49">
        <f>'[1]May Forecast'!AA16</f>
        <v>69471.823329999999</v>
      </c>
      <c r="AW25" s="52">
        <f t="shared" si="12"/>
        <v>0</v>
      </c>
      <c r="AX25" s="51">
        <f t="shared" si="49"/>
        <v>0</v>
      </c>
      <c r="AY25" s="49">
        <f t="shared" si="50"/>
        <v>-69471.823329999999</v>
      </c>
      <c r="AZ25" s="54"/>
      <c r="BA25" s="51">
        <f t="shared" si="15"/>
        <v>0</v>
      </c>
      <c r="BB25" s="52">
        <f t="shared" si="15"/>
        <v>0</v>
      </c>
      <c r="BC25" s="52">
        <f t="shared" si="15"/>
        <v>0</v>
      </c>
      <c r="BD25" s="49">
        <f t="shared" si="15"/>
        <v>0</v>
      </c>
      <c r="BF25" s="55"/>
      <c r="BG25" s="56"/>
      <c r="BH25" s="56"/>
      <c r="BI25" s="56"/>
      <c r="BJ25" s="56"/>
      <c r="BK25" s="56"/>
      <c r="BL25" s="56"/>
      <c r="BM25" s="57"/>
    </row>
    <row r="26" spans="1:65" x14ac:dyDescent="0.25">
      <c r="A26" s="14" t="s">
        <v>61</v>
      </c>
      <c r="B26" s="30" t="s">
        <v>53</v>
      </c>
      <c r="C26" s="48">
        <f t="shared" si="47"/>
        <v>-970879.57617100002</v>
      </c>
      <c r="D26" s="48">
        <f t="shared" si="47"/>
        <v>-993943.59245999996</v>
      </c>
      <c r="E26" s="48">
        <f t="shared" si="47"/>
        <v>-3091775.68609</v>
      </c>
      <c r="F26" s="48">
        <f t="shared" si="47"/>
        <v>-2472445.6474899999</v>
      </c>
      <c r="G26" s="48">
        <f t="shared" si="47"/>
        <v>-2540267.5825799997</v>
      </c>
      <c r="H26" s="48">
        <f t="shared" si="47"/>
        <v>-2584910.2642999999</v>
      </c>
      <c r="I26" s="48">
        <f t="shared" si="47"/>
        <v>-2703551.6244100002</v>
      </c>
      <c r="J26" s="48">
        <f t="shared" si="47"/>
        <v>-2846680.50758</v>
      </c>
      <c r="K26" s="49">
        <f t="shared" si="2"/>
        <v>-18204454.481081001</v>
      </c>
      <c r="V26" s="52">
        <f t="shared" si="30"/>
        <v>-17784351.685363751</v>
      </c>
      <c r="Y26" s="51">
        <v>0</v>
      </c>
      <c r="Z26" s="52">
        <f t="shared" si="5"/>
        <v>-1964823.168631</v>
      </c>
      <c r="AA26" s="52">
        <f t="shared" si="6"/>
        <v>-8104488.9161600005</v>
      </c>
      <c r="AB26" s="52">
        <f t="shared" si="7"/>
        <v>-8135142.3962899996</v>
      </c>
      <c r="AC26" s="49">
        <f t="shared" si="8"/>
        <v>-18204454.481081001</v>
      </c>
      <c r="AD26" s="51">
        <f>'[1]APAC 17.6.2019'!Y26</f>
        <v>0</v>
      </c>
      <c r="AE26" s="52">
        <f>'[1]APAC 17.6.2019'!Z26</f>
        <v>-3456683.6178009994</v>
      </c>
      <c r="AF26" s="52">
        <f>'[1]APAC 17.6.2019'!AA26</f>
        <v>-7614897.2126500001</v>
      </c>
      <c r="AG26" s="52">
        <f>'[1]APAC 17.6.2019'!AB26</f>
        <v>-7599117.7444000002</v>
      </c>
      <c r="AH26" s="49">
        <f>'[1]APAC 17.6.2019'!AC26</f>
        <v>-18670698.574850999</v>
      </c>
      <c r="AI26" s="51"/>
      <c r="AJ26" s="52">
        <f>'[1]6.10'!X24</f>
        <v>-5034946.1995183332</v>
      </c>
      <c r="AK26" s="52">
        <f>'[1]6.10'!Y24</f>
        <v>-4562699.1591999996</v>
      </c>
      <c r="AL26" s="52">
        <f>'[1]6.10'!Z24</f>
        <v>-6617708.5374400001</v>
      </c>
      <c r="AM26" s="49">
        <f t="shared" si="1"/>
        <v>-16215353.896158332</v>
      </c>
      <c r="AN26" s="52">
        <v>0</v>
      </c>
      <c r="AO26" s="52">
        <f t="shared" si="48"/>
        <v>-2092799.3013199999</v>
      </c>
      <c r="AP26" s="52">
        <f t="shared" si="48"/>
        <v>-4562699.1591999996</v>
      </c>
      <c r="AQ26" s="52">
        <f t="shared" si="48"/>
        <v>-6617708.5374400001</v>
      </c>
      <c r="AR26" s="52">
        <f t="shared" si="9"/>
        <v>-13273206.997959999</v>
      </c>
      <c r="AS26" s="51">
        <v>-16215353.896158334</v>
      </c>
      <c r="AT26" s="51">
        <f t="shared" si="10"/>
        <v>-18670698.574850999</v>
      </c>
      <c r="AU26" s="53">
        <f t="shared" si="11"/>
        <v>-18204454.481081001</v>
      </c>
      <c r="AV26" s="49">
        <f>'[1]May Forecast'!AA17</f>
        <v>-13273206.997959999</v>
      </c>
      <c r="AW26" s="52">
        <f t="shared" si="12"/>
        <v>466244.09376999736</v>
      </c>
      <c r="AX26" s="51">
        <f t="shared" si="49"/>
        <v>-1989100.5849226676</v>
      </c>
      <c r="AY26" s="49">
        <f t="shared" si="50"/>
        <v>-4931247.4831210021</v>
      </c>
      <c r="AZ26" s="54"/>
      <c r="BA26" s="51">
        <f t="shared" si="15"/>
        <v>3070123.0308873332</v>
      </c>
      <c r="BB26" s="52">
        <f t="shared" si="15"/>
        <v>-3541789.7569600008</v>
      </c>
      <c r="BC26" s="52">
        <f t="shared" si="15"/>
        <v>-1517433.8588499995</v>
      </c>
      <c r="BD26" s="49">
        <f t="shared" si="15"/>
        <v>-1989100.5849226695</v>
      </c>
      <c r="BF26" s="84">
        <f>-Z26/Z24</f>
        <v>5.217643425905924E-2</v>
      </c>
      <c r="BG26" s="60">
        <f>-AJ26/AJ24</f>
        <v>0.1109602476152767</v>
      </c>
      <c r="BH26" s="60">
        <f>-AA26/AA24</f>
        <v>0.12347949019249757</v>
      </c>
      <c r="BI26" s="60">
        <f>-AK26/AK24</f>
        <v>0.13593616541128703</v>
      </c>
      <c r="BJ26" s="60">
        <f>-AB26/AB24</f>
        <v>0.14479287825787099</v>
      </c>
      <c r="BK26" s="60">
        <f>-AL26/AL24</f>
        <v>0.13608543188463756</v>
      </c>
      <c r="BL26" s="60">
        <f>-AC26/AC24</f>
        <v>0.11415149474255351</v>
      </c>
      <c r="BM26" s="61">
        <f>-AM26/AM24</f>
        <v>0.12710924822327435</v>
      </c>
    </row>
    <row r="27" spans="1:65" x14ac:dyDescent="0.25">
      <c r="A27" s="14" t="s">
        <v>61</v>
      </c>
      <c r="B27" s="30" t="s">
        <v>54</v>
      </c>
      <c r="C27" s="48">
        <f>SUM(C24:C26)</f>
        <v>14682121.941493999</v>
      </c>
      <c r="D27" s="52">
        <f t="shared" ref="D27:H27" si="51">SUM(D24:D26)</f>
        <v>21010345.897450004</v>
      </c>
      <c r="E27" s="52">
        <f t="shared" si="51"/>
        <v>26431678.59423</v>
      </c>
      <c r="F27" s="52">
        <f t="shared" si="51"/>
        <v>15554139.883100001</v>
      </c>
      <c r="G27" s="52">
        <f t="shared" si="51"/>
        <v>15543984.613430001</v>
      </c>
      <c r="H27" s="52">
        <f t="shared" si="51"/>
        <v>15043690.879489999</v>
      </c>
      <c r="I27" s="52">
        <f>SUM(I24:I26)</f>
        <v>16010320.167659998</v>
      </c>
      <c r="J27" s="52">
        <f>SUM(J24:J26)</f>
        <v>16995532.53125</v>
      </c>
      <c r="K27" s="49">
        <f>SUM(C27:J27)</f>
        <v>141271814.50810403</v>
      </c>
      <c r="V27" s="52">
        <f t="shared" si="30"/>
        <v>138011695.71176317</v>
      </c>
      <c r="Y27" s="51">
        <v>0</v>
      </c>
      <c r="Z27" s="52">
        <f t="shared" si="5"/>
        <v>35692467.838944003</v>
      </c>
      <c r="AA27" s="52">
        <f t="shared" si="6"/>
        <v>57529803.09076</v>
      </c>
      <c r="AB27" s="52">
        <f t="shared" si="7"/>
        <v>48049543.578400001</v>
      </c>
      <c r="AC27" s="49">
        <f t="shared" si="8"/>
        <v>141271814.50810403</v>
      </c>
      <c r="AD27" s="51">
        <f>'[1]APAC 17.6.2019'!Y27</f>
        <v>0</v>
      </c>
      <c r="AE27" s="52">
        <f>'[1]APAC 17.6.2019'!Z27</f>
        <v>41799698.353783995</v>
      </c>
      <c r="AF27" s="52">
        <f>'[1]APAC 17.6.2019'!AA27</f>
        <v>46538587.923099995</v>
      </c>
      <c r="AG27" s="52">
        <f>'[1]APAC 17.6.2019'!AB27</f>
        <v>30718265.496100005</v>
      </c>
      <c r="AH27" s="49">
        <f>'[1]APAC 17.6.2019'!AC27</f>
        <v>119056551.772984</v>
      </c>
      <c r="AI27" s="51"/>
      <c r="AJ27" s="52">
        <f>SUM(AJ24:AJ26)</f>
        <v>40341180.005386926</v>
      </c>
      <c r="AK27" s="52">
        <f t="shared" ref="AK27:AL27" si="52">SUM(AK24:AK26)</f>
        <v>29002313.840800002</v>
      </c>
      <c r="AL27" s="52">
        <f t="shared" si="52"/>
        <v>42011365.462559998</v>
      </c>
      <c r="AM27" s="49">
        <f t="shared" si="1"/>
        <v>111354859.30874693</v>
      </c>
      <c r="AN27" s="52">
        <v>0</v>
      </c>
      <c r="AO27" s="52">
        <f>SUM(AO24:AO26)</f>
        <v>16107703.198143588</v>
      </c>
      <c r="AP27" s="52">
        <f t="shared" ref="AP27:AQ27" si="53">SUM(AP24:AP26)</f>
        <v>29020671.145992935</v>
      </c>
      <c r="AQ27" s="52">
        <f t="shared" si="53"/>
        <v>42036208.877028964</v>
      </c>
      <c r="AR27" s="52">
        <f t="shared" si="9"/>
        <v>87164583.221165478</v>
      </c>
      <c r="AS27" s="51">
        <v>111354859.30874692</v>
      </c>
      <c r="AT27" s="51">
        <f t="shared" si="10"/>
        <v>119056551.772984</v>
      </c>
      <c r="AU27" s="53">
        <f t="shared" si="11"/>
        <v>141271814.50810403</v>
      </c>
      <c r="AV27" s="49">
        <f>SUM(AV24:AV26)</f>
        <v>87164923.769559994</v>
      </c>
      <c r="AW27" s="52">
        <f t="shared" si="12"/>
        <v>22215262.735120028</v>
      </c>
      <c r="AX27" s="51">
        <f t="shared" si="49"/>
        <v>29916955.199357107</v>
      </c>
      <c r="AY27" s="49">
        <f t="shared" si="50"/>
        <v>54106890.738544032</v>
      </c>
      <c r="AZ27" s="54"/>
      <c r="BA27" s="51">
        <f t="shared" si="15"/>
        <v>-4648712.1664429232</v>
      </c>
      <c r="BB27" s="52">
        <f t="shared" si="15"/>
        <v>28527489.249959998</v>
      </c>
      <c r="BC27" s="52">
        <f t="shared" si="15"/>
        <v>6038178.1158400029</v>
      </c>
      <c r="BD27" s="49">
        <f t="shared" si="15"/>
        <v>29916955.199357092</v>
      </c>
      <c r="BF27" s="55"/>
      <c r="BG27" s="56"/>
      <c r="BH27" s="56"/>
      <c r="BI27" s="56"/>
      <c r="BJ27" s="56"/>
      <c r="BK27" s="56"/>
      <c r="BL27" s="56"/>
      <c r="BM27" s="57"/>
    </row>
    <row r="28" spans="1:65" x14ac:dyDescent="0.25">
      <c r="A28" s="14" t="s">
        <v>61</v>
      </c>
      <c r="B28" s="30" t="s">
        <v>55</v>
      </c>
      <c r="C28" s="48">
        <f t="shared" ref="C28:J28" si="54">C18+C8</f>
        <v>0</v>
      </c>
      <c r="D28" s="48">
        <f t="shared" si="54"/>
        <v>0</v>
      </c>
      <c r="E28" s="48">
        <f t="shared" si="54"/>
        <v>0</v>
      </c>
      <c r="F28" s="48">
        <f t="shared" si="54"/>
        <v>0</v>
      </c>
      <c r="G28" s="48">
        <f t="shared" si="54"/>
        <v>0</v>
      </c>
      <c r="H28" s="48">
        <f t="shared" si="54"/>
        <v>-893366.47581999993</v>
      </c>
      <c r="I28" s="48">
        <f t="shared" si="54"/>
        <v>0</v>
      </c>
      <c r="J28" s="48">
        <f t="shared" si="54"/>
        <v>-999323.18030999997</v>
      </c>
      <c r="K28" s="49">
        <f>SUM(C28:J28)</f>
        <v>-1892689.65613</v>
      </c>
      <c r="V28" s="52">
        <f t="shared" si="30"/>
        <v>-1849012.2025270001</v>
      </c>
      <c r="Y28" s="51">
        <v>0</v>
      </c>
      <c r="Z28" s="52">
        <f t="shared" si="5"/>
        <v>0</v>
      </c>
      <c r="AA28" s="52">
        <f t="shared" si="6"/>
        <v>0</v>
      </c>
      <c r="AB28" s="52">
        <f t="shared" si="7"/>
        <v>-1892689.65613</v>
      </c>
      <c r="AC28" s="49">
        <f t="shared" si="8"/>
        <v>-1892689.65613</v>
      </c>
      <c r="AD28" s="51">
        <f>'[1]APAC 17.6.2019'!Y28</f>
        <v>0</v>
      </c>
      <c r="AE28" s="52">
        <f>'[1]APAC 17.6.2019'!Z28</f>
        <v>0</v>
      </c>
      <c r="AF28" s="52">
        <f>'[1]APAC 17.6.2019'!AA28</f>
        <v>0</v>
      </c>
      <c r="AG28" s="52">
        <f>'[1]APAC 17.6.2019'!AB28</f>
        <v>-3036285.6496700002</v>
      </c>
      <c r="AH28" s="49">
        <f>'[1]APAC 17.6.2019'!AC28</f>
        <v>-3036285.6496700002</v>
      </c>
      <c r="AI28" s="51"/>
      <c r="AJ28" s="52">
        <f>'[1]6.10'!X26</f>
        <v>-583907.42825581331</v>
      </c>
      <c r="AK28" s="52">
        <f>'[1]6.10'!Y26</f>
        <v>0</v>
      </c>
      <c r="AL28" s="52">
        <f>'[1]6.10'!Z26</f>
        <v>-2107210.1869000001</v>
      </c>
      <c r="AM28" s="49">
        <f t="shared" si="1"/>
        <v>-2691117.6151558133</v>
      </c>
      <c r="AN28" s="52">
        <v>0</v>
      </c>
      <c r="AO28" s="52">
        <f>AO8+AO18</f>
        <v>0</v>
      </c>
      <c r="AP28" s="52">
        <f>AP8+AP18</f>
        <v>0</v>
      </c>
      <c r="AQ28" s="52">
        <f>AQ8+AQ18</f>
        <v>-2107210.1869000001</v>
      </c>
      <c r="AR28" s="52">
        <f t="shared" si="9"/>
        <v>-2107210.1869000001</v>
      </c>
      <c r="AS28" s="51">
        <v>-2691117.6151558133</v>
      </c>
      <c r="AT28" s="51">
        <f t="shared" si="10"/>
        <v>-3036285.6496700002</v>
      </c>
      <c r="AU28" s="53">
        <f t="shared" si="11"/>
        <v>-1892689.65613</v>
      </c>
      <c r="AV28" s="49">
        <f>'[1]May Forecast'!AA18</f>
        <v>-2107210.1869000001</v>
      </c>
      <c r="AW28" s="52">
        <f t="shared" si="12"/>
        <v>1143595.9935400002</v>
      </c>
      <c r="AX28" s="51">
        <f t="shared" si="49"/>
        <v>798427.95902581327</v>
      </c>
      <c r="AY28" s="49">
        <f t="shared" si="50"/>
        <v>214520.53077000007</v>
      </c>
      <c r="AZ28" s="54"/>
      <c r="BA28" s="51">
        <f t="shared" si="15"/>
        <v>583907.42825581331</v>
      </c>
      <c r="BB28" s="52">
        <f t="shared" si="15"/>
        <v>0</v>
      </c>
      <c r="BC28" s="52">
        <f t="shared" si="15"/>
        <v>214520.53077000007</v>
      </c>
      <c r="BD28" s="49">
        <f t="shared" si="15"/>
        <v>798427.95902581327</v>
      </c>
      <c r="BF28" s="55"/>
      <c r="BG28" s="56"/>
      <c r="BH28" s="56"/>
      <c r="BI28" s="56"/>
      <c r="BJ28" s="56"/>
      <c r="BK28" s="56"/>
      <c r="BL28" s="56"/>
      <c r="BM28" s="57"/>
    </row>
    <row r="29" spans="1:65" x14ac:dyDescent="0.25">
      <c r="A29" s="14" t="s">
        <v>61</v>
      </c>
      <c r="B29" s="62" t="s">
        <v>56</v>
      </c>
      <c r="C29" s="63">
        <f>SUM(C27:C28)</f>
        <v>14682121.941493999</v>
      </c>
      <c r="D29" s="64">
        <f>SUM(D27:D28)</f>
        <v>21010345.897450004</v>
      </c>
      <c r="E29" s="64">
        <f t="shared" ref="E29:I29" si="55">SUM(E27:E28)</f>
        <v>26431678.59423</v>
      </c>
      <c r="F29" s="64">
        <f t="shared" si="55"/>
        <v>15554139.883100001</v>
      </c>
      <c r="G29" s="64">
        <f t="shared" si="55"/>
        <v>15543984.613430001</v>
      </c>
      <c r="H29" s="64">
        <f t="shared" si="55"/>
        <v>14150324.40367</v>
      </c>
      <c r="I29" s="64">
        <f t="shared" si="55"/>
        <v>16010320.167659998</v>
      </c>
      <c r="J29" s="64">
        <f>SUM(J27:J28)</f>
        <v>15996209.35094</v>
      </c>
      <c r="K29" s="65">
        <f>SUM(C29:J29)</f>
        <v>139379124.85197401</v>
      </c>
      <c r="V29" s="66">
        <f t="shared" si="30"/>
        <v>136162683.50923616</v>
      </c>
      <c r="Y29" s="67">
        <v>0</v>
      </c>
      <c r="Z29" s="64">
        <f t="shared" si="5"/>
        <v>35692467.838944003</v>
      </c>
      <c r="AA29" s="64">
        <f t="shared" si="6"/>
        <v>57529803.09076</v>
      </c>
      <c r="AB29" s="64">
        <f t="shared" si="7"/>
        <v>46156853.92227</v>
      </c>
      <c r="AC29" s="65">
        <f t="shared" si="8"/>
        <v>139379124.85197401</v>
      </c>
      <c r="AD29" s="67">
        <f>'[1]APAC 17.6.2019'!Y29</f>
        <v>0</v>
      </c>
      <c r="AE29" s="64">
        <f>'[1]APAC 17.6.2019'!Z29</f>
        <v>41799698.353783995</v>
      </c>
      <c r="AF29" s="64">
        <f>'[1]APAC 17.6.2019'!AA29</f>
        <v>46538587.923099995</v>
      </c>
      <c r="AG29" s="64">
        <f>'[1]APAC 17.6.2019'!AB29</f>
        <v>27681979.846430004</v>
      </c>
      <c r="AH29" s="65">
        <f>'[1]APAC 17.6.2019'!AC29</f>
        <v>116020266.12331399</v>
      </c>
      <c r="AI29" s="67"/>
      <c r="AJ29" s="64">
        <f>SUM(AJ27:AJ28)</f>
        <v>39757272.577131115</v>
      </c>
      <c r="AK29" s="64">
        <f t="shared" ref="AK29:AL29" si="56">SUM(AK27:AK28)</f>
        <v>29002313.840800002</v>
      </c>
      <c r="AL29" s="64">
        <f t="shared" si="56"/>
        <v>39904155.275660001</v>
      </c>
      <c r="AM29" s="65">
        <f t="shared" si="1"/>
        <v>108663741.69359112</v>
      </c>
      <c r="AN29" s="64">
        <v>0</v>
      </c>
      <c r="AO29" s="64">
        <f>SUM(AO27:AO28)</f>
        <v>16107703.198143588</v>
      </c>
      <c r="AP29" s="64">
        <f t="shared" ref="AP29:AQ29" si="57">SUM(AP27:AP28)</f>
        <v>29020671.145992935</v>
      </c>
      <c r="AQ29" s="64">
        <f t="shared" si="57"/>
        <v>39928998.690128967</v>
      </c>
      <c r="AR29" s="64">
        <f t="shared" si="9"/>
        <v>85057373.034265488</v>
      </c>
      <c r="AS29" s="67">
        <v>108663741.6935911</v>
      </c>
      <c r="AT29" s="67">
        <f t="shared" si="10"/>
        <v>116020266.12331399</v>
      </c>
      <c r="AU29" s="68">
        <f t="shared" si="11"/>
        <v>139379124.85197401</v>
      </c>
      <c r="AV29" s="65">
        <f>SUM(AV27:AV28)</f>
        <v>85057713.58265999</v>
      </c>
      <c r="AW29" s="64">
        <f t="shared" si="12"/>
        <v>23358858.728660017</v>
      </c>
      <c r="AX29" s="69">
        <f t="shared" si="49"/>
        <v>30715383.158382908</v>
      </c>
      <c r="AY29" s="65">
        <f t="shared" si="50"/>
        <v>54321411.269314021</v>
      </c>
      <c r="AZ29" s="54"/>
      <c r="BA29" s="67">
        <f t="shared" si="15"/>
        <v>-4064804.7381871119</v>
      </c>
      <c r="BB29" s="64">
        <f t="shared" si="15"/>
        <v>28527489.249959998</v>
      </c>
      <c r="BC29" s="64">
        <f t="shared" si="15"/>
        <v>6252698.6466099992</v>
      </c>
      <c r="BD29" s="65">
        <f t="shared" si="15"/>
        <v>30715383.158382893</v>
      </c>
      <c r="BF29" s="55"/>
      <c r="BG29" s="56"/>
      <c r="BH29" s="56"/>
      <c r="BI29" s="56"/>
      <c r="BJ29" s="56"/>
      <c r="BK29" s="56"/>
      <c r="BL29" s="56"/>
      <c r="BM29" s="57"/>
    </row>
    <row r="30" spans="1:65" x14ac:dyDescent="0.25">
      <c r="A30" s="14" t="s">
        <v>61</v>
      </c>
      <c r="B30" s="30" t="s">
        <v>57</v>
      </c>
      <c r="C30" s="48">
        <f t="shared" ref="C30:J30" si="58">C10+C20</f>
        <v>7487883.2577400813</v>
      </c>
      <c r="D30" s="52">
        <f t="shared" si="58"/>
        <v>12300027.49794</v>
      </c>
      <c r="E30" s="52">
        <f t="shared" si="58"/>
        <v>16181058.923119999</v>
      </c>
      <c r="F30" s="52">
        <f t="shared" si="58"/>
        <v>9419631.3838899992</v>
      </c>
      <c r="G30" s="52">
        <f t="shared" si="58"/>
        <v>9346207.2567500006</v>
      </c>
      <c r="H30" s="52">
        <f t="shared" si="58"/>
        <v>8946654.5732199997</v>
      </c>
      <c r="I30" s="52">
        <f t="shared" si="58"/>
        <v>9372491.8641899992</v>
      </c>
      <c r="J30" s="52">
        <f t="shared" si="58"/>
        <v>9820096.1494999994</v>
      </c>
      <c r="K30" s="49">
        <f t="shared" si="2"/>
        <v>82874050.906350076</v>
      </c>
      <c r="V30" s="52">
        <f t="shared" si="30"/>
        <v>80961572.808511227</v>
      </c>
      <c r="Y30" s="51">
        <v>0</v>
      </c>
      <c r="Z30" s="52">
        <f t="shared" si="5"/>
        <v>19787910.755680081</v>
      </c>
      <c r="AA30" s="52">
        <f t="shared" si="6"/>
        <v>34946897.563759997</v>
      </c>
      <c r="AB30" s="52">
        <f t="shared" si="7"/>
        <v>28139242.586909994</v>
      </c>
      <c r="AC30" s="49">
        <f t="shared" si="8"/>
        <v>82874050.906350076</v>
      </c>
      <c r="AD30" s="51">
        <f>'[1]APAC 17.6.2019'!Y30</f>
        <v>0</v>
      </c>
      <c r="AE30" s="52">
        <f>'[1]APAC 17.6.2019'!Z30</f>
        <v>23949364.562520079</v>
      </c>
      <c r="AF30" s="52">
        <f>'[1]APAC 17.6.2019'!AA30</f>
        <v>28899763.667420004</v>
      </c>
      <c r="AG30" s="52">
        <f>'[1]APAC 17.6.2019'!AB30</f>
        <v>19051313.107190002</v>
      </c>
      <c r="AH30" s="49">
        <f>'[1]APAC 17.6.2019'!AC30</f>
        <v>71900441.337130085</v>
      </c>
      <c r="AI30" s="51"/>
      <c r="AJ30" s="52">
        <f>'[1]6.10'!X28</f>
        <v>23825260.116972171</v>
      </c>
      <c r="AK30" s="52">
        <f>'[1]6.10'!Y28</f>
        <v>17355333.47002</v>
      </c>
      <c r="AL30" s="52">
        <f>'[1]6.10'!Z28</f>
        <v>24038755.933919996</v>
      </c>
      <c r="AM30" s="49">
        <f t="shared" si="1"/>
        <v>65219349.52091217</v>
      </c>
      <c r="AN30" s="52">
        <v>0</v>
      </c>
      <c r="AO30" s="52">
        <f>AO10+AO20</f>
        <v>9504513.8460999988</v>
      </c>
      <c r="AP30" s="52">
        <f>AP10+AP20</f>
        <v>17355333.470020004</v>
      </c>
      <c r="AQ30" s="52">
        <f>AQ10+AQ20</f>
        <v>24038755.93392</v>
      </c>
      <c r="AR30" s="52">
        <f t="shared" si="9"/>
        <v>50898603.250040002</v>
      </c>
      <c r="AS30" s="51">
        <v>70892179.816725567</v>
      </c>
      <c r="AT30" s="51">
        <f t="shared" si="10"/>
        <v>71900441.337130085</v>
      </c>
      <c r="AU30" s="53">
        <f t="shared" si="11"/>
        <v>82874050.906350076</v>
      </c>
      <c r="AV30" s="49">
        <f>'[1]May Forecast'!AA19</f>
        <v>50898603.250040002</v>
      </c>
      <c r="AW30" s="52">
        <f t="shared" si="12"/>
        <v>10973609.569219992</v>
      </c>
      <c r="AX30" s="51">
        <f t="shared" si="49"/>
        <v>11981871.089624509</v>
      </c>
      <c r="AY30" s="49">
        <f t="shared" si="50"/>
        <v>31975447.656310074</v>
      </c>
      <c r="AZ30" s="54"/>
      <c r="BA30" s="51">
        <f t="shared" si="15"/>
        <v>-4037349.3612920903</v>
      </c>
      <c r="BB30" s="52">
        <f t="shared" si="15"/>
        <v>17591564.093739998</v>
      </c>
      <c r="BC30" s="52">
        <f t="shared" si="15"/>
        <v>4100486.6529899985</v>
      </c>
      <c r="BD30" s="49">
        <f t="shared" si="15"/>
        <v>17654701.385437906</v>
      </c>
      <c r="BF30" s="55"/>
      <c r="BG30" s="56"/>
      <c r="BH30" s="56"/>
      <c r="BI30" s="56"/>
      <c r="BJ30" s="56"/>
      <c r="BK30" s="56"/>
      <c r="BL30" s="56"/>
      <c r="BM30" s="57"/>
    </row>
    <row r="31" spans="1:65" x14ac:dyDescent="0.25">
      <c r="A31" s="14" t="s">
        <v>61</v>
      </c>
      <c r="B31" s="62" t="s">
        <v>58</v>
      </c>
      <c r="C31" s="63">
        <f>C29-C30</f>
        <v>7194238.6837539179</v>
      </c>
      <c r="D31" s="64">
        <f t="shared" ref="D31:J31" si="59">D29-D30</f>
        <v>8710318.3995100036</v>
      </c>
      <c r="E31" s="64">
        <f t="shared" si="59"/>
        <v>10250619.67111</v>
      </c>
      <c r="F31" s="64">
        <f t="shared" si="59"/>
        <v>6134508.4992100019</v>
      </c>
      <c r="G31" s="64">
        <f t="shared" si="59"/>
        <v>6197777.3566800002</v>
      </c>
      <c r="H31" s="64">
        <f t="shared" si="59"/>
        <v>5203669.8304500002</v>
      </c>
      <c r="I31" s="64">
        <f t="shared" si="59"/>
        <v>6637828.3034699988</v>
      </c>
      <c r="J31" s="64">
        <f t="shared" si="59"/>
        <v>6176113.2014400009</v>
      </c>
      <c r="K31" s="65">
        <f t="shared" si="2"/>
        <v>56505073.945623919</v>
      </c>
      <c r="V31" s="66">
        <f t="shared" si="30"/>
        <v>55201110.700724907</v>
      </c>
      <c r="Y31" s="67">
        <v>0</v>
      </c>
      <c r="Z31" s="64">
        <f t="shared" si="5"/>
        <v>15904557.083263922</v>
      </c>
      <c r="AA31" s="64">
        <f t="shared" si="6"/>
        <v>22582905.527000003</v>
      </c>
      <c r="AB31" s="64">
        <f t="shared" si="7"/>
        <v>18017611.335359998</v>
      </c>
      <c r="AC31" s="65">
        <f t="shared" si="8"/>
        <v>56505073.945623927</v>
      </c>
      <c r="AD31" s="67">
        <f>'[1]APAC 17.6.2019'!Y31</f>
        <v>0</v>
      </c>
      <c r="AE31" s="64">
        <f>'[1]APAC 17.6.2019'!Z31</f>
        <v>17850333.791263919</v>
      </c>
      <c r="AF31" s="64">
        <f>'[1]APAC 17.6.2019'!AA31</f>
        <v>17638824.255679995</v>
      </c>
      <c r="AG31" s="64">
        <f>'[1]APAC 17.6.2019'!AB31</f>
        <v>8630666.7392400019</v>
      </c>
      <c r="AH31" s="65">
        <f>'[1]APAC 17.6.2019'!AC31</f>
        <v>44119824.786183923</v>
      </c>
      <c r="AI31" s="67"/>
      <c r="AJ31" s="64">
        <f t="shared" ref="AJ31:AL31" si="60">AJ29-AJ30</f>
        <v>15932012.460158944</v>
      </c>
      <c r="AK31" s="64">
        <f t="shared" si="60"/>
        <v>11646980.370780002</v>
      </c>
      <c r="AL31" s="64">
        <f t="shared" si="60"/>
        <v>15865399.341740005</v>
      </c>
      <c r="AM31" s="65">
        <f t="shared" si="1"/>
        <v>43444392.172678947</v>
      </c>
      <c r="AN31" s="64">
        <v>0</v>
      </c>
      <c r="AO31" s="64">
        <f t="shared" ref="AO31:AQ31" si="61">AO29-AO30</f>
        <v>6603189.3520435896</v>
      </c>
      <c r="AP31" s="64">
        <f t="shared" si="61"/>
        <v>11665337.675972931</v>
      </c>
      <c r="AQ31" s="64">
        <f t="shared" si="61"/>
        <v>15890242.756208967</v>
      </c>
      <c r="AR31" s="64">
        <f t="shared" si="9"/>
        <v>34158769.784225494</v>
      </c>
      <c r="AS31" s="67">
        <v>37771561.876865551</v>
      </c>
      <c r="AT31" s="67">
        <f t="shared" si="10"/>
        <v>44119824.786183923</v>
      </c>
      <c r="AU31" s="68">
        <f t="shared" si="11"/>
        <v>56505073.945623927</v>
      </c>
      <c r="AV31" s="65">
        <f>AV29-AV30</f>
        <v>34159110.332619987</v>
      </c>
      <c r="AW31" s="64">
        <f t="shared" si="12"/>
        <v>12385249.159440003</v>
      </c>
      <c r="AX31" s="69">
        <f t="shared" si="49"/>
        <v>18733512.068758376</v>
      </c>
      <c r="AY31" s="65">
        <f t="shared" si="50"/>
        <v>22345963.613003939</v>
      </c>
      <c r="AZ31" s="54"/>
      <c r="BA31" s="67">
        <f t="shared" si="15"/>
        <v>-27455.376895021647</v>
      </c>
      <c r="BB31" s="64">
        <f t="shared" si="15"/>
        <v>10935925.15622</v>
      </c>
      <c r="BC31" s="64">
        <f t="shared" si="15"/>
        <v>2152211.9936199933</v>
      </c>
      <c r="BD31" s="65">
        <f t="shared" si="15"/>
        <v>13060681.772944979</v>
      </c>
      <c r="BF31" s="55"/>
      <c r="BG31" s="56"/>
      <c r="BH31" s="56"/>
      <c r="BI31" s="56"/>
      <c r="BJ31" s="56"/>
      <c r="BK31" s="56"/>
      <c r="BL31" s="56"/>
      <c r="BM31" s="57"/>
    </row>
    <row r="32" spans="1:65" x14ac:dyDescent="0.25">
      <c r="A32" s="14"/>
      <c r="B32" s="47" t="s">
        <v>59</v>
      </c>
      <c r="C32" s="73">
        <f>C31/C29</f>
        <v>0.48999992728720371</v>
      </c>
      <c r="D32" s="73">
        <f t="shared" ref="D32:K32" si="62">D31/D29</f>
        <v>0.41457282245730009</v>
      </c>
      <c r="E32" s="73">
        <f t="shared" si="62"/>
        <v>0.38781568997088584</v>
      </c>
      <c r="F32" s="73">
        <f t="shared" si="62"/>
        <v>0.39439715376838763</v>
      </c>
      <c r="G32" s="73">
        <f t="shared" si="62"/>
        <v>0.39872513456588998</v>
      </c>
      <c r="H32" s="73">
        <f t="shared" si="62"/>
        <v>0.36774208717790152</v>
      </c>
      <c r="I32" s="73">
        <f t="shared" si="62"/>
        <v>0.41459684965439114</v>
      </c>
      <c r="J32" s="73">
        <f t="shared" si="62"/>
        <v>0.38609854784609132</v>
      </c>
      <c r="K32" s="73">
        <f t="shared" si="62"/>
        <v>0.40540557279029038</v>
      </c>
      <c r="V32" s="74"/>
      <c r="Y32" s="75"/>
      <c r="Z32" s="74"/>
      <c r="AA32" s="74"/>
      <c r="AB32" s="74"/>
      <c r="AC32" s="76"/>
      <c r="AD32" s="75">
        <f>'[1]APAC 17.6.2019'!Y32</f>
        <v>0</v>
      </c>
      <c r="AE32" s="74">
        <f>'[1]APAC 17.6.2019'!Z32</f>
        <v>0</v>
      </c>
      <c r="AF32" s="74">
        <f>'[1]APAC 17.6.2019'!AA32</f>
        <v>0</v>
      </c>
      <c r="AG32" s="74">
        <f>'[1]APAC 17.6.2019'!AB32</f>
        <v>0</v>
      </c>
      <c r="AH32" s="76">
        <f>'[1]APAC 17.6.2019'!AC32</f>
        <v>0</v>
      </c>
      <c r="AI32" s="75"/>
      <c r="AJ32" s="74"/>
      <c r="AK32" s="74"/>
      <c r="AL32" s="74"/>
      <c r="AM32" s="76"/>
      <c r="AN32" s="74"/>
      <c r="AO32" s="74"/>
      <c r="AP32" s="74"/>
      <c r="AQ32" s="74"/>
      <c r="AR32" s="74"/>
      <c r="AS32" s="75"/>
      <c r="AT32" s="75">
        <f t="shared" si="10"/>
        <v>0</v>
      </c>
      <c r="AU32" s="77">
        <f t="shared" si="11"/>
        <v>0</v>
      </c>
      <c r="AV32" s="76"/>
      <c r="AW32" s="74">
        <f t="shared" si="12"/>
        <v>0</v>
      </c>
      <c r="AX32" s="75"/>
      <c r="AY32" s="76"/>
      <c r="AZ32" s="54"/>
      <c r="BA32" s="75"/>
      <c r="BB32" s="74"/>
      <c r="BC32" s="74"/>
      <c r="BD32" s="76"/>
      <c r="BF32" s="55"/>
      <c r="BG32" s="56"/>
      <c r="BH32" s="56"/>
      <c r="BI32" s="56"/>
      <c r="BJ32" s="56"/>
      <c r="BK32" s="56"/>
      <c r="BL32" s="56"/>
      <c r="BM32" s="57"/>
    </row>
    <row r="33" spans="1:65" x14ac:dyDescent="0.25">
      <c r="A33" s="14"/>
      <c r="B33" s="30"/>
      <c r="C33" s="87"/>
      <c r="D33" s="30"/>
      <c r="E33" s="30"/>
      <c r="F33" s="30"/>
      <c r="G33" s="30"/>
      <c r="H33" s="30"/>
      <c r="I33" s="30"/>
      <c r="J33" s="30"/>
      <c r="K33" s="49">
        <f t="shared" si="2"/>
        <v>0</v>
      </c>
      <c r="Y33" s="51"/>
      <c r="Z33" s="52"/>
      <c r="AA33" s="52"/>
      <c r="AB33" s="52"/>
      <c r="AC33" s="49">
        <f t="shared" si="8"/>
        <v>0</v>
      </c>
      <c r="AD33" s="51">
        <f>'[1]APAC 17.6.2019'!Y33</f>
        <v>0</v>
      </c>
      <c r="AE33" s="52">
        <f>'[1]APAC 17.6.2019'!Z33</f>
        <v>0</v>
      </c>
      <c r="AF33" s="52">
        <f>'[1]APAC 17.6.2019'!AA33</f>
        <v>0</v>
      </c>
      <c r="AG33" s="52">
        <f>'[1]APAC 17.6.2019'!AB33</f>
        <v>0</v>
      </c>
      <c r="AH33" s="49">
        <f>'[1]APAC 17.6.2019'!AC33</f>
        <v>0</v>
      </c>
      <c r="AI33" s="51"/>
      <c r="AJ33" s="52"/>
      <c r="AK33" s="52"/>
      <c r="AL33" s="52"/>
      <c r="AM33" s="49">
        <f t="shared" si="1"/>
        <v>0</v>
      </c>
      <c r="AN33" s="52"/>
      <c r="AO33" s="52"/>
      <c r="AP33" s="52"/>
      <c r="AQ33" s="52"/>
      <c r="AR33" s="52">
        <f t="shared" si="9"/>
        <v>0</v>
      </c>
      <c r="AS33" s="51">
        <v>0</v>
      </c>
      <c r="AT33" s="51">
        <f t="shared" si="10"/>
        <v>0</v>
      </c>
      <c r="AU33" s="53">
        <f t="shared" si="11"/>
        <v>0</v>
      </c>
      <c r="AV33" s="49"/>
      <c r="AW33" s="52">
        <f t="shared" si="12"/>
        <v>0</v>
      </c>
      <c r="AX33" s="51"/>
      <c r="AY33" s="49"/>
      <c r="AZ33" s="54"/>
      <c r="BA33" s="51">
        <f t="shared" si="15"/>
        <v>0</v>
      </c>
      <c r="BB33" s="52">
        <f t="shared" si="15"/>
        <v>0</v>
      </c>
      <c r="BC33" s="52">
        <f t="shared" si="15"/>
        <v>0</v>
      </c>
      <c r="BD33" s="49">
        <f t="shared" si="15"/>
        <v>0</v>
      </c>
      <c r="BF33" s="55"/>
      <c r="BG33" s="56"/>
      <c r="BH33" s="56"/>
      <c r="BI33" s="56"/>
      <c r="BJ33" s="56"/>
      <c r="BK33" s="56"/>
      <c r="BL33" s="56"/>
      <c r="BM33" s="57"/>
    </row>
    <row r="34" spans="1:65" x14ac:dyDescent="0.25">
      <c r="A34" s="14" t="s">
        <v>3</v>
      </c>
      <c r="B34" s="47" t="s">
        <v>5</v>
      </c>
      <c r="C34" s="48">
        <f>'[1]6.28'!L42</f>
        <v>1291858.9930489999</v>
      </c>
      <c r="D34" s="48">
        <f>'[1]6.28'!M42</f>
        <v>0</v>
      </c>
      <c r="E34" s="48">
        <f>'[1]6.28'!N42</f>
        <v>495958.62264000002</v>
      </c>
      <c r="F34" s="48">
        <f>'[1]6.28'!O42</f>
        <v>520793.17082</v>
      </c>
      <c r="G34" s="48">
        <f>'[1]6.28'!P42</f>
        <v>623556.75433999998</v>
      </c>
      <c r="H34" s="48">
        <f>'[1]6.28'!Q42</f>
        <v>722834.80321000004</v>
      </c>
      <c r="I34" s="48">
        <f>'[1]6.28'!R42</f>
        <v>783132.48974999995</v>
      </c>
      <c r="J34" s="48">
        <f>'[1]6.28'!S42</f>
        <v>847514.08898</v>
      </c>
      <c r="K34" s="49">
        <f>SUM(C34:J34)</f>
        <v>5285648.922789</v>
      </c>
      <c r="L34" s="80">
        <f>'[1]Currency Exchange Rate'!H156</f>
        <v>1.9369999999999998E-2</v>
      </c>
      <c r="M34" s="71">
        <f>C34/$L$34</f>
        <v>66693804.494011357</v>
      </c>
      <c r="N34" s="71">
        <f t="shared" ref="N34:U41" si="63">D34/$L$34</f>
        <v>0</v>
      </c>
      <c r="O34" s="71">
        <f t="shared" si="63"/>
        <v>25604472.000000004</v>
      </c>
      <c r="P34" s="71">
        <f t="shared" si="63"/>
        <v>26886586.000000004</v>
      </c>
      <c r="Q34" s="71">
        <f t="shared" si="63"/>
        <v>32191882.000000004</v>
      </c>
      <c r="R34" s="71">
        <f t="shared" si="63"/>
        <v>37317233.000000007</v>
      </c>
      <c r="S34" s="71">
        <f t="shared" si="63"/>
        <v>40430175</v>
      </c>
      <c r="T34" s="71">
        <f t="shared" si="63"/>
        <v>43753954.000000007</v>
      </c>
      <c r="U34" s="71">
        <f t="shared" si="63"/>
        <v>272878106.4940114</v>
      </c>
      <c r="V34" s="52">
        <v>5771025.7478991831</v>
      </c>
      <c r="Y34" s="51">
        <v>0</v>
      </c>
      <c r="Z34" s="52">
        <f t="shared" si="5"/>
        <v>1291858.9930489999</v>
      </c>
      <c r="AA34" s="52">
        <f t="shared" si="6"/>
        <v>1640308.5478000001</v>
      </c>
      <c r="AB34" s="52">
        <f t="shared" si="7"/>
        <v>2353481.3819399998</v>
      </c>
      <c r="AC34" s="49">
        <f t="shared" si="8"/>
        <v>5285648.922789</v>
      </c>
      <c r="AD34" s="51">
        <f>'[1]APAC 17.6.2019'!Y34</f>
        <v>0</v>
      </c>
      <c r="AE34" s="52">
        <f>'[1]APAC 17.6.2019'!Z34</f>
        <v>1291858.9930489999</v>
      </c>
      <c r="AF34" s="52">
        <f>'[1]APAC 17.6.2019'!AA34</f>
        <v>1640308.5478000001</v>
      </c>
      <c r="AG34" s="52">
        <f>'[1]APAC 17.6.2019'!AB34</f>
        <v>2353481.3819399998</v>
      </c>
      <c r="AH34" s="49">
        <f>'[1]APAC 17.6.2019'!AC34</f>
        <v>5285648.922789</v>
      </c>
      <c r="AI34" s="51"/>
      <c r="AJ34" s="52">
        <f>'[1]6.10'!X31</f>
        <v>1798146.1476387384</v>
      </c>
      <c r="AK34" s="52">
        <f>'[1]6.10'!Y31</f>
        <v>1306679</v>
      </c>
      <c r="AL34" s="52">
        <f>'[1]6.10'!Z31</f>
        <v>1715445</v>
      </c>
      <c r="AM34" s="49">
        <f t="shared" si="1"/>
        <v>4820270.1476387382</v>
      </c>
      <c r="AN34" s="52">
        <v>0</v>
      </c>
      <c r="AO34" s="52">
        <f>'[1]May Forecast'!AC29</f>
        <v>1577850.9512999998</v>
      </c>
      <c r="AP34" s="52">
        <f>'[1]May Forecast'!AD29</f>
        <v>1306679.06733</v>
      </c>
      <c r="AQ34" s="52">
        <f>'[1]May Forecast'!AE29</f>
        <v>1715445.3007900002</v>
      </c>
      <c r="AR34" s="52">
        <f t="shared" si="9"/>
        <v>4599975.3194200005</v>
      </c>
      <c r="AS34" s="51">
        <v>4820270.1476387382</v>
      </c>
      <c r="AT34" s="51">
        <f t="shared" si="10"/>
        <v>5285648.922789</v>
      </c>
      <c r="AU34" s="53">
        <f t="shared" si="11"/>
        <v>5285648.922789</v>
      </c>
      <c r="AV34" s="49">
        <f>'[1]May Forecast'!AA29</f>
        <v>4599975.3194199996</v>
      </c>
      <c r="AW34" s="52">
        <f t="shared" si="12"/>
        <v>0</v>
      </c>
      <c r="AX34" s="51">
        <f t="shared" ref="AX34:AX41" si="64">AC34-AS34</f>
        <v>465378.77515026182</v>
      </c>
      <c r="AY34" s="49">
        <f t="shared" ref="AY34:AY41" si="65">AC34-AV34</f>
        <v>685673.60336900037</v>
      </c>
      <c r="AZ34" s="54"/>
      <c r="BA34" s="51">
        <f t="shared" si="15"/>
        <v>-506287.15458973846</v>
      </c>
      <c r="BB34" s="52">
        <f t="shared" si="15"/>
        <v>333629.54780000006</v>
      </c>
      <c r="BC34" s="52">
        <f t="shared" si="15"/>
        <v>638036.38193999976</v>
      </c>
      <c r="BD34" s="49">
        <f t="shared" si="15"/>
        <v>465378.77515026182</v>
      </c>
      <c r="BF34" s="55"/>
      <c r="BG34" s="56"/>
      <c r="BH34" s="56"/>
      <c r="BI34" s="56"/>
      <c r="BJ34" s="56"/>
      <c r="BK34" s="56"/>
      <c r="BL34" s="56"/>
      <c r="BM34" s="57"/>
    </row>
    <row r="35" spans="1:65" x14ac:dyDescent="0.25">
      <c r="A35" s="14" t="s">
        <v>3</v>
      </c>
      <c r="B35" s="30" t="s">
        <v>52</v>
      </c>
      <c r="C35" s="48">
        <v>0</v>
      </c>
      <c r="D35" s="48">
        <v>0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8">
        <v>0</v>
      </c>
      <c r="K35" s="49">
        <f t="shared" si="2"/>
        <v>0</v>
      </c>
      <c r="L35" s="80"/>
      <c r="M35" s="48">
        <f t="shared" ref="M35:M41" si="66">C35/$L$34</f>
        <v>0</v>
      </c>
      <c r="N35" s="48">
        <f t="shared" si="63"/>
        <v>0</v>
      </c>
      <c r="O35" s="48">
        <f t="shared" si="63"/>
        <v>0</v>
      </c>
      <c r="P35" s="48">
        <f t="shared" si="63"/>
        <v>0</v>
      </c>
      <c r="Q35" s="48">
        <f t="shared" si="63"/>
        <v>0</v>
      </c>
      <c r="R35" s="48">
        <f t="shared" si="63"/>
        <v>0</v>
      </c>
      <c r="S35" s="48">
        <f t="shared" si="63"/>
        <v>0</v>
      </c>
      <c r="T35" s="48">
        <f t="shared" si="63"/>
        <v>0</v>
      </c>
      <c r="U35" s="52">
        <f t="shared" si="63"/>
        <v>0</v>
      </c>
      <c r="V35" s="52">
        <v>0</v>
      </c>
      <c r="Y35" s="51">
        <v>0</v>
      </c>
      <c r="Z35" s="52">
        <f t="shared" si="5"/>
        <v>0</v>
      </c>
      <c r="AA35" s="52">
        <f t="shared" si="6"/>
        <v>0</v>
      </c>
      <c r="AB35" s="52">
        <f t="shared" si="7"/>
        <v>0</v>
      </c>
      <c r="AC35" s="49">
        <f t="shared" si="8"/>
        <v>0</v>
      </c>
      <c r="AD35" s="51">
        <f>'[1]APAC 17.6.2019'!Y35</f>
        <v>0</v>
      </c>
      <c r="AE35" s="52">
        <f>'[1]APAC 17.6.2019'!Z35</f>
        <v>0</v>
      </c>
      <c r="AF35" s="52">
        <f>'[1]APAC 17.6.2019'!AA35</f>
        <v>0</v>
      </c>
      <c r="AG35" s="52">
        <f>'[1]APAC 17.6.2019'!AB35</f>
        <v>0</v>
      </c>
      <c r="AH35" s="49">
        <f>'[1]APAC 17.6.2019'!AC35</f>
        <v>0</v>
      </c>
      <c r="AI35" s="51"/>
      <c r="AJ35" s="52">
        <f>'[1]6.10'!X32</f>
        <v>0</v>
      </c>
      <c r="AK35" s="52">
        <f>'[1]6.10'!Y32</f>
        <v>0</v>
      </c>
      <c r="AL35" s="52">
        <f>'[1]6.10'!Z32</f>
        <v>0</v>
      </c>
      <c r="AM35" s="49">
        <f t="shared" si="1"/>
        <v>0</v>
      </c>
      <c r="AN35" s="52">
        <v>0</v>
      </c>
      <c r="AO35" s="52">
        <f>'[1]May Forecast'!AC30</f>
        <v>7889.24604</v>
      </c>
      <c r="AP35" s="52">
        <f>'[1]May Forecast'!AD30</f>
        <v>6533.3847800000003</v>
      </c>
      <c r="AQ35" s="52">
        <f>'[1]May Forecast'!AE30</f>
        <v>8577.2296999999999</v>
      </c>
      <c r="AR35" s="52">
        <f t="shared" si="9"/>
        <v>22999.860520000002</v>
      </c>
      <c r="AS35" s="51">
        <v>0</v>
      </c>
      <c r="AT35" s="51">
        <f t="shared" si="10"/>
        <v>0</v>
      </c>
      <c r="AU35" s="53">
        <f t="shared" si="11"/>
        <v>0</v>
      </c>
      <c r="AV35" s="49">
        <f>'[1]May Forecast'!AA30</f>
        <v>22999.860519999998</v>
      </c>
      <c r="AW35" s="52">
        <f t="shared" si="12"/>
        <v>0</v>
      </c>
      <c r="AX35" s="51">
        <f t="shared" si="64"/>
        <v>0</v>
      </c>
      <c r="AY35" s="49">
        <f t="shared" si="65"/>
        <v>-22999.860519999998</v>
      </c>
      <c r="AZ35" s="54"/>
      <c r="BA35" s="51">
        <f t="shared" si="15"/>
        <v>0</v>
      </c>
      <c r="BB35" s="52">
        <f t="shared" si="15"/>
        <v>0</v>
      </c>
      <c r="BC35" s="52">
        <f t="shared" si="15"/>
        <v>0</v>
      </c>
      <c r="BD35" s="49">
        <f t="shared" si="15"/>
        <v>0</v>
      </c>
      <c r="BF35" s="55"/>
      <c r="BG35" s="56"/>
      <c r="BH35" s="56"/>
      <c r="BI35" s="56"/>
      <c r="BJ35" s="56"/>
      <c r="BK35" s="56"/>
      <c r="BL35" s="56"/>
      <c r="BM35" s="57"/>
    </row>
    <row r="36" spans="1:65" x14ac:dyDescent="0.25">
      <c r="A36" s="14" t="s">
        <v>3</v>
      </c>
      <c r="B36" s="30" t="s">
        <v>53</v>
      </c>
      <c r="C36" s="48">
        <f>'[1]6.28 (PH Edit)'!L43</f>
        <v>0</v>
      </c>
      <c r="D36" s="48">
        <f>'[1]6.28 (PH Edit)'!M43</f>
        <v>0</v>
      </c>
      <c r="E36" s="48">
        <f>'[1]6.28 (PH Edit)'!N43</f>
        <v>-347171.03584800003</v>
      </c>
      <c r="F36" s="48">
        <f>'[1]6.28 (PH Edit)'!O43</f>
        <v>-364555.21957399999</v>
      </c>
      <c r="G36" s="48">
        <f>'[1]6.28 (PH Edit)'!P43</f>
        <v>-436489.728038</v>
      </c>
      <c r="H36" s="48">
        <f>'[1]6.28 (PH Edit)'!Q43</f>
        <v>-505984.36224699998</v>
      </c>
      <c r="I36" s="48">
        <f>'[1]6.28 (PH Edit)'!R43</f>
        <v>-548192.74282499996</v>
      </c>
      <c r="J36" s="48">
        <f>'[1]6.28 (PH Edit)'!S43</f>
        <v>-593259.86228600005</v>
      </c>
      <c r="K36" s="49">
        <f>SUM(C36:J36)</f>
        <v>-2795652.9508179999</v>
      </c>
      <c r="L36" s="80"/>
      <c r="M36" s="71">
        <f>C36/$L$34</f>
        <v>0</v>
      </c>
      <c r="N36" s="71">
        <f t="shared" si="63"/>
        <v>0</v>
      </c>
      <c r="O36" s="71">
        <f t="shared" si="63"/>
        <v>-17923130.400000002</v>
      </c>
      <c r="P36" s="71">
        <f t="shared" si="63"/>
        <v>-18820610.199999999</v>
      </c>
      <c r="Q36" s="71">
        <f t="shared" si="63"/>
        <v>-22534317.400000002</v>
      </c>
      <c r="R36" s="71">
        <f t="shared" si="63"/>
        <v>-26122063.100000001</v>
      </c>
      <c r="S36" s="71">
        <f t="shared" si="63"/>
        <v>-28301122.5</v>
      </c>
      <c r="T36" s="71">
        <f t="shared" si="63"/>
        <v>-30627767.800000004</v>
      </c>
      <c r="U36" s="71">
        <f t="shared" si="63"/>
        <v>-144329011.40000001</v>
      </c>
      <c r="V36" s="52">
        <v>-546232.69927969773</v>
      </c>
      <c r="Y36" s="51">
        <v>0</v>
      </c>
      <c r="Z36" s="52">
        <f t="shared" si="5"/>
        <v>0</v>
      </c>
      <c r="AA36" s="52">
        <f t="shared" si="6"/>
        <v>-1148215.98346</v>
      </c>
      <c r="AB36" s="52">
        <f t="shared" si="7"/>
        <v>-1647436.9673580001</v>
      </c>
      <c r="AC36" s="49">
        <f t="shared" si="8"/>
        <v>-2795652.9508180004</v>
      </c>
      <c r="AD36" s="51">
        <f>'[1]APAC 17.6.2019'!Y36</f>
        <v>0</v>
      </c>
      <c r="AE36" s="52">
        <f>'[1]APAC 17.6.2019'!Z36</f>
        <v>0</v>
      </c>
      <c r="AF36" s="52">
        <f>'[1]APAC 17.6.2019'!AA36</f>
        <v>-328061.70955999999</v>
      </c>
      <c r="AG36" s="52">
        <f>'[1]APAC 17.6.2019'!AB36</f>
        <v>-470696.28801000002</v>
      </c>
      <c r="AH36" s="49">
        <f>'[1]APAC 17.6.2019'!AC36</f>
        <v>-798757.99757000001</v>
      </c>
      <c r="AI36" s="51"/>
      <c r="AJ36" s="52">
        <f>'[1]6.10'!X33</f>
        <v>-78920</v>
      </c>
      <c r="AK36" s="52">
        <f>'[1]6.10'!Y33</f>
        <v>-159619</v>
      </c>
      <c r="AL36" s="52">
        <f>'[1]6.10'!Z33</f>
        <v>-209552</v>
      </c>
      <c r="AM36" s="49">
        <f t="shared" si="1"/>
        <v>-448091</v>
      </c>
      <c r="AN36" s="52">
        <v>0</v>
      </c>
      <c r="AO36" s="52">
        <f>'[1]May Forecast'!AC31</f>
        <v>-192744.40041999999</v>
      </c>
      <c r="AP36" s="52">
        <f>'[1]May Forecast'!AD31</f>
        <v>-159619.12421000001</v>
      </c>
      <c r="AQ36" s="52">
        <f>'[1]May Forecast'!AE31</f>
        <v>-209552.46610999998</v>
      </c>
      <c r="AR36" s="52">
        <f t="shared" si="9"/>
        <v>-561915.99074000004</v>
      </c>
      <c r="AS36" s="51">
        <v>-448091</v>
      </c>
      <c r="AT36" s="51">
        <f t="shared" si="10"/>
        <v>-798757.99757000001</v>
      </c>
      <c r="AU36" s="53">
        <f t="shared" si="11"/>
        <v>-2795652.9508180004</v>
      </c>
      <c r="AV36" s="49">
        <f>'[1]May Forecast'!AA31</f>
        <v>-561915.99074000004</v>
      </c>
      <c r="AW36" s="52">
        <f t="shared" si="12"/>
        <v>-1996894.9532480002</v>
      </c>
      <c r="AX36" s="51">
        <f t="shared" si="64"/>
        <v>-2347561.9508180004</v>
      </c>
      <c r="AY36" s="49">
        <f t="shared" si="65"/>
        <v>-2233736.9600780001</v>
      </c>
      <c r="AZ36" s="54"/>
      <c r="BA36" s="51">
        <f t="shared" si="15"/>
        <v>78920</v>
      </c>
      <c r="BB36" s="52">
        <f t="shared" si="15"/>
        <v>-988596.98346000002</v>
      </c>
      <c r="BC36" s="52">
        <f t="shared" si="15"/>
        <v>-1437884.9673580001</v>
      </c>
      <c r="BD36" s="49">
        <f t="shared" si="15"/>
        <v>-2347561.9508180004</v>
      </c>
      <c r="BF36" s="84">
        <f>-Z36/Z34</f>
        <v>0</v>
      </c>
      <c r="BG36" s="60">
        <f>-AJ36/AJ34</f>
        <v>4.3889647181145394E-2</v>
      </c>
      <c r="BH36" s="60">
        <f>-AA36/AA34</f>
        <v>0.7</v>
      </c>
      <c r="BI36" s="60">
        <f>-AK36/AK34</f>
        <v>0.12215624495381039</v>
      </c>
      <c r="BJ36" s="60">
        <f>-AB36/AB34</f>
        <v>0.70000000000000007</v>
      </c>
      <c r="BK36" s="60">
        <f>-AL36/AL34</f>
        <v>0.12215605863201677</v>
      </c>
      <c r="BL36" s="60">
        <f>-AC36/AC34</f>
        <v>0.5289138555465881</v>
      </c>
      <c r="BM36" s="61">
        <f>-AM36/AM34</f>
        <v>9.2959727624291402E-2</v>
      </c>
    </row>
    <row r="37" spans="1:65" x14ac:dyDescent="0.25">
      <c r="A37" s="14" t="s">
        <v>3</v>
      </c>
      <c r="B37" s="30" t="s">
        <v>54</v>
      </c>
      <c r="C37" s="48">
        <f>SUM(C34:C36)</f>
        <v>1291858.9930489999</v>
      </c>
      <c r="D37" s="48">
        <f t="shared" ref="D37:J37" si="67">SUM(D34:D36)</f>
        <v>0</v>
      </c>
      <c r="E37" s="48">
        <f t="shared" si="67"/>
        <v>148787.58679199999</v>
      </c>
      <c r="F37" s="48">
        <f t="shared" si="67"/>
        <v>156237.95124600001</v>
      </c>
      <c r="G37" s="48">
        <f t="shared" si="67"/>
        <v>187067.02630199998</v>
      </c>
      <c r="H37" s="48">
        <f t="shared" si="67"/>
        <v>216850.44096300006</v>
      </c>
      <c r="I37" s="48">
        <f t="shared" si="67"/>
        <v>234939.74692499998</v>
      </c>
      <c r="J37" s="48">
        <f t="shared" si="67"/>
        <v>254254.22669399995</v>
      </c>
      <c r="K37" s="49">
        <f t="shared" si="2"/>
        <v>2489995.9719710001</v>
      </c>
      <c r="L37" s="80"/>
      <c r="M37" s="48">
        <f t="shared" si="66"/>
        <v>66693804.494011357</v>
      </c>
      <c r="N37" s="52">
        <f t="shared" si="63"/>
        <v>0</v>
      </c>
      <c r="O37" s="52">
        <f t="shared" si="63"/>
        <v>7681341.5999999996</v>
      </c>
      <c r="P37" s="52">
        <f t="shared" si="63"/>
        <v>8065975.8000000017</v>
      </c>
      <c r="Q37" s="52">
        <f t="shared" si="63"/>
        <v>9657564.5999999996</v>
      </c>
      <c r="R37" s="52">
        <f t="shared" si="63"/>
        <v>11195169.900000004</v>
      </c>
      <c r="S37" s="52">
        <f t="shared" si="63"/>
        <v>12129052.5</v>
      </c>
      <c r="T37" s="52">
        <f t="shared" si="63"/>
        <v>13126186.199999999</v>
      </c>
      <c r="U37" s="52">
        <f t="shared" si="63"/>
        <v>128549095.09401137</v>
      </c>
      <c r="V37" s="52">
        <v>5224793.0486194845</v>
      </c>
      <c r="Y37" s="51">
        <v>0</v>
      </c>
      <c r="Z37" s="52">
        <f t="shared" si="5"/>
        <v>1291858.9930489999</v>
      </c>
      <c r="AA37" s="52">
        <f t="shared" si="6"/>
        <v>492092.56433999998</v>
      </c>
      <c r="AB37" s="52">
        <f t="shared" si="7"/>
        <v>706044.414582</v>
      </c>
      <c r="AC37" s="49">
        <f t="shared" si="8"/>
        <v>2489995.9719710001</v>
      </c>
      <c r="AD37" s="51">
        <f>'[1]APAC 17.6.2019'!Y37</f>
        <v>0</v>
      </c>
      <c r="AE37" s="52">
        <f>'[1]APAC 17.6.2019'!Z37</f>
        <v>1291858.9930489999</v>
      </c>
      <c r="AF37" s="52">
        <f>'[1]APAC 17.6.2019'!AA37</f>
        <v>1312246.83824</v>
      </c>
      <c r="AG37" s="52">
        <f>'[1]APAC 17.6.2019'!AB37</f>
        <v>1882785.09393</v>
      </c>
      <c r="AH37" s="49">
        <f>'[1]APAC 17.6.2019'!AC37</f>
        <v>4486890.9252189994</v>
      </c>
      <c r="AI37" s="51"/>
      <c r="AJ37" s="52">
        <f>SUM(AJ34:AJ36)</f>
        <v>1719226.1476387384</v>
      </c>
      <c r="AK37" s="52">
        <f t="shared" ref="AK37:AL37" si="68">SUM(AK34:AK36)</f>
        <v>1147060</v>
      </c>
      <c r="AL37" s="52">
        <f t="shared" si="68"/>
        <v>1505893</v>
      </c>
      <c r="AM37" s="49">
        <f t="shared" si="1"/>
        <v>4372179.1476387382</v>
      </c>
      <c r="AN37" s="52">
        <v>0</v>
      </c>
      <c r="AO37" s="52">
        <f>SUM(AO34:AO36)</f>
        <v>1392995.7969199999</v>
      </c>
      <c r="AP37" s="52">
        <f t="shared" ref="AP37:AQ37" si="69">SUM(AP34:AP36)</f>
        <v>1153593.3278999999</v>
      </c>
      <c r="AQ37" s="52">
        <f t="shared" si="69"/>
        <v>1514470.0643800003</v>
      </c>
      <c r="AR37" s="52">
        <f t="shared" si="9"/>
        <v>4061059.1891999999</v>
      </c>
      <c r="AS37" s="51">
        <v>4372179.1476387382</v>
      </c>
      <c r="AT37" s="51">
        <f t="shared" si="10"/>
        <v>4486890.9252189994</v>
      </c>
      <c r="AU37" s="53">
        <f t="shared" si="11"/>
        <v>2489995.9719710001</v>
      </c>
      <c r="AV37" s="49">
        <f t="shared" ref="AV37" si="70">SUM(AV34:AV36)</f>
        <v>4061059.189199999</v>
      </c>
      <c r="AW37" s="52">
        <f t="shared" si="12"/>
        <v>-1996894.9532479993</v>
      </c>
      <c r="AX37" s="51">
        <f t="shared" si="64"/>
        <v>-1882183.1756677381</v>
      </c>
      <c r="AY37" s="49">
        <f t="shared" si="65"/>
        <v>-1571063.2172289989</v>
      </c>
      <c r="AZ37" s="54"/>
      <c r="BA37" s="51">
        <f t="shared" si="15"/>
        <v>-427367.15458973846</v>
      </c>
      <c r="BB37" s="52">
        <f t="shared" si="15"/>
        <v>-654967.43565999996</v>
      </c>
      <c r="BC37" s="52">
        <f t="shared" si="15"/>
        <v>-799848.585418</v>
      </c>
      <c r="BD37" s="49">
        <f t="shared" si="15"/>
        <v>-1882183.1756677381</v>
      </c>
      <c r="BF37" s="55"/>
      <c r="BG37" s="56"/>
      <c r="BH37" s="56"/>
      <c r="BI37" s="56"/>
      <c r="BJ37" s="56"/>
      <c r="BK37" s="56"/>
      <c r="BL37" s="56"/>
      <c r="BM37" s="57"/>
    </row>
    <row r="38" spans="1:65" x14ac:dyDescent="0.25">
      <c r="A38" s="14" t="s">
        <v>3</v>
      </c>
      <c r="B38" s="30" t="s">
        <v>55</v>
      </c>
      <c r="C38" s="48"/>
      <c r="D38" s="48"/>
      <c r="E38" s="52"/>
      <c r="F38" s="52"/>
      <c r="G38" s="52"/>
      <c r="H38" s="52"/>
      <c r="I38" s="52"/>
      <c r="J38" s="52"/>
      <c r="K38" s="49">
        <f t="shared" si="2"/>
        <v>0</v>
      </c>
      <c r="L38" s="80"/>
      <c r="M38" s="48">
        <f t="shared" si="66"/>
        <v>0</v>
      </c>
      <c r="N38" s="52">
        <f t="shared" si="63"/>
        <v>0</v>
      </c>
      <c r="O38" s="52">
        <f t="shared" si="63"/>
        <v>0</v>
      </c>
      <c r="P38" s="52">
        <f t="shared" si="63"/>
        <v>0</v>
      </c>
      <c r="Q38" s="52">
        <f t="shared" si="63"/>
        <v>0</v>
      </c>
      <c r="R38" s="52">
        <f t="shared" si="63"/>
        <v>0</v>
      </c>
      <c r="S38" s="52">
        <f t="shared" si="63"/>
        <v>0</v>
      </c>
      <c r="T38" s="52">
        <f t="shared" si="63"/>
        <v>0</v>
      </c>
      <c r="U38" s="52">
        <f t="shared" si="63"/>
        <v>0</v>
      </c>
      <c r="V38" s="52">
        <v>0</v>
      </c>
      <c r="Y38" s="51">
        <v>0</v>
      </c>
      <c r="Z38" s="52">
        <f t="shared" si="5"/>
        <v>0</v>
      </c>
      <c r="AA38" s="52">
        <f t="shared" si="6"/>
        <v>0</v>
      </c>
      <c r="AB38" s="52">
        <f t="shared" si="7"/>
        <v>0</v>
      </c>
      <c r="AC38" s="49">
        <f t="shared" si="8"/>
        <v>0</v>
      </c>
      <c r="AD38" s="51">
        <f>'[1]APAC 17.6.2019'!Y38</f>
        <v>0</v>
      </c>
      <c r="AE38" s="52">
        <f>'[1]APAC 17.6.2019'!Z38</f>
        <v>0</v>
      </c>
      <c r="AF38" s="52">
        <f>'[1]APAC 17.6.2019'!AA38</f>
        <v>0</v>
      </c>
      <c r="AG38" s="52">
        <f>'[1]APAC 17.6.2019'!AB38</f>
        <v>0</v>
      </c>
      <c r="AH38" s="49">
        <f>'[1]APAC 17.6.2019'!AC38</f>
        <v>0</v>
      </c>
      <c r="AI38" s="51"/>
      <c r="AJ38" s="52">
        <f>'[1]6.10'!X35</f>
        <v>0</v>
      </c>
      <c r="AK38" s="52">
        <f>'[1]6.10'!Y35</f>
        <v>0</v>
      </c>
      <c r="AL38" s="52">
        <f>'[1]6.10'!Z35</f>
        <v>0</v>
      </c>
      <c r="AM38" s="49">
        <f t="shared" si="1"/>
        <v>0</v>
      </c>
      <c r="AN38" s="52">
        <v>0</v>
      </c>
      <c r="AO38" s="52"/>
      <c r="AP38" s="52"/>
      <c r="AQ38" s="52"/>
      <c r="AR38" s="52">
        <f t="shared" si="9"/>
        <v>0</v>
      </c>
      <c r="AS38" s="51">
        <v>0</v>
      </c>
      <c r="AT38" s="51">
        <f t="shared" si="10"/>
        <v>0</v>
      </c>
      <c r="AU38" s="53">
        <f t="shared" si="11"/>
        <v>0</v>
      </c>
      <c r="AV38" s="49">
        <v>0</v>
      </c>
      <c r="AW38" s="52">
        <f t="shared" si="12"/>
        <v>0</v>
      </c>
      <c r="AX38" s="51">
        <f t="shared" si="64"/>
        <v>0</v>
      </c>
      <c r="AY38" s="49">
        <f t="shared" si="65"/>
        <v>0</v>
      </c>
      <c r="AZ38" s="54"/>
      <c r="BA38" s="51">
        <f t="shared" si="15"/>
        <v>0</v>
      </c>
      <c r="BB38" s="52">
        <f t="shared" si="15"/>
        <v>0</v>
      </c>
      <c r="BC38" s="52">
        <f t="shared" si="15"/>
        <v>0</v>
      </c>
      <c r="BD38" s="49">
        <f t="shared" si="15"/>
        <v>0</v>
      </c>
      <c r="BF38" s="55"/>
      <c r="BG38" s="56"/>
      <c r="BH38" s="56"/>
      <c r="BI38" s="56"/>
      <c r="BJ38" s="56"/>
      <c r="BK38" s="56"/>
      <c r="BL38" s="56"/>
      <c r="BM38" s="57"/>
    </row>
    <row r="39" spans="1:65" x14ac:dyDescent="0.25">
      <c r="A39" s="14" t="s">
        <v>3</v>
      </c>
      <c r="B39" s="62" t="s">
        <v>56</v>
      </c>
      <c r="C39" s="63">
        <f>SUM(C37:C38)</f>
        <v>1291858.9930489999</v>
      </c>
      <c r="D39" s="64">
        <f>SUM(D37:D38)</f>
        <v>0</v>
      </c>
      <c r="E39" s="64">
        <f>SUM(E37:E38)</f>
        <v>148787.58679199999</v>
      </c>
      <c r="F39" s="64">
        <f t="shared" ref="F39:I39" si="71">SUM(F37:F38)</f>
        <v>156237.95124600001</v>
      </c>
      <c r="G39" s="64">
        <f t="shared" si="71"/>
        <v>187067.02630199998</v>
      </c>
      <c r="H39" s="64">
        <f t="shared" si="71"/>
        <v>216850.44096300006</v>
      </c>
      <c r="I39" s="64">
        <f t="shared" si="71"/>
        <v>234939.74692499998</v>
      </c>
      <c r="J39" s="64">
        <f>SUM(J37:J38)</f>
        <v>254254.22669399995</v>
      </c>
      <c r="K39" s="65">
        <f>SUM(C39:J39)</f>
        <v>2489995.9719710001</v>
      </c>
      <c r="L39" s="80"/>
      <c r="M39" s="63">
        <f t="shared" si="66"/>
        <v>66693804.494011357</v>
      </c>
      <c r="N39" s="64">
        <f t="shared" si="63"/>
        <v>0</v>
      </c>
      <c r="O39" s="64">
        <f t="shared" si="63"/>
        <v>7681341.5999999996</v>
      </c>
      <c r="P39" s="64">
        <f t="shared" si="63"/>
        <v>8065975.8000000017</v>
      </c>
      <c r="Q39" s="64">
        <f t="shared" si="63"/>
        <v>9657564.5999999996</v>
      </c>
      <c r="R39" s="64">
        <f t="shared" si="63"/>
        <v>11195169.900000004</v>
      </c>
      <c r="S39" s="64">
        <f t="shared" si="63"/>
        <v>12129052.5</v>
      </c>
      <c r="T39" s="64">
        <f t="shared" si="63"/>
        <v>13126186.199999999</v>
      </c>
      <c r="U39" s="66">
        <f t="shared" si="63"/>
        <v>128549095.09401137</v>
      </c>
      <c r="V39" s="66">
        <v>5224793.0486194845</v>
      </c>
      <c r="Y39" s="67">
        <v>0</v>
      </c>
      <c r="Z39" s="64">
        <f t="shared" si="5"/>
        <v>1291858.9930489999</v>
      </c>
      <c r="AA39" s="64">
        <f t="shared" si="6"/>
        <v>492092.56433999998</v>
      </c>
      <c r="AB39" s="64">
        <f t="shared" si="7"/>
        <v>706044.414582</v>
      </c>
      <c r="AC39" s="65">
        <f t="shared" si="8"/>
        <v>2489995.9719710001</v>
      </c>
      <c r="AD39" s="67">
        <f>'[1]APAC 17.6.2019'!Y39</f>
        <v>0</v>
      </c>
      <c r="AE39" s="64">
        <f>'[1]APAC 17.6.2019'!Z39</f>
        <v>1291858.9930489999</v>
      </c>
      <c r="AF39" s="64">
        <f>'[1]APAC 17.6.2019'!AA39</f>
        <v>1312246.83824</v>
      </c>
      <c r="AG39" s="64">
        <f>'[1]APAC 17.6.2019'!AB39</f>
        <v>1882785.09393</v>
      </c>
      <c r="AH39" s="65">
        <f>'[1]APAC 17.6.2019'!AC39</f>
        <v>4486890.9252189994</v>
      </c>
      <c r="AI39" s="67"/>
      <c r="AJ39" s="64">
        <f>SUM(AJ37:AJ38)</f>
        <v>1719226.1476387384</v>
      </c>
      <c r="AK39" s="64">
        <f t="shared" ref="AK39:AL39" si="72">SUM(AK37:AK38)</f>
        <v>1147060</v>
      </c>
      <c r="AL39" s="64">
        <f t="shared" si="72"/>
        <v>1505893</v>
      </c>
      <c r="AM39" s="65">
        <f t="shared" si="1"/>
        <v>4372179.1476387382</v>
      </c>
      <c r="AN39" s="64">
        <v>0</v>
      </c>
      <c r="AO39" s="64">
        <f>SUM(AO37:AO38)</f>
        <v>1392995.7969199999</v>
      </c>
      <c r="AP39" s="64">
        <f t="shared" ref="AP39:AQ39" si="73">SUM(AP37:AP38)</f>
        <v>1153593.3278999999</v>
      </c>
      <c r="AQ39" s="64">
        <f t="shared" si="73"/>
        <v>1514470.0643800003</v>
      </c>
      <c r="AR39" s="64">
        <f t="shared" si="9"/>
        <v>4061059.1891999999</v>
      </c>
      <c r="AS39" s="67">
        <v>4372179.1476387382</v>
      </c>
      <c r="AT39" s="67">
        <f t="shared" si="10"/>
        <v>4486890.9252189994</v>
      </c>
      <c r="AU39" s="68">
        <f t="shared" si="11"/>
        <v>2489995.9719710001</v>
      </c>
      <c r="AV39" s="65">
        <f>SUM(AV37:AV38)</f>
        <v>4061059.189199999</v>
      </c>
      <c r="AW39" s="64">
        <f t="shared" si="12"/>
        <v>-1996894.9532479993</v>
      </c>
      <c r="AX39" s="69">
        <f t="shared" si="64"/>
        <v>-1882183.1756677381</v>
      </c>
      <c r="AY39" s="65">
        <f t="shared" si="65"/>
        <v>-1571063.2172289989</v>
      </c>
      <c r="AZ39" s="54"/>
      <c r="BA39" s="67">
        <f t="shared" si="15"/>
        <v>-427367.15458973846</v>
      </c>
      <c r="BB39" s="64">
        <f t="shared" si="15"/>
        <v>-654967.43565999996</v>
      </c>
      <c r="BC39" s="64">
        <f t="shared" si="15"/>
        <v>-799848.585418</v>
      </c>
      <c r="BD39" s="65">
        <f t="shared" si="15"/>
        <v>-1882183.1756677381</v>
      </c>
      <c r="BF39" s="55"/>
      <c r="BG39" s="56"/>
      <c r="BH39" s="56"/>
      <c r="BI39" s="56"/>
      <c r="BJ39" s="56"/>
      <c r="BK39" s="56"/>
      <c r="BL39" s="56"/>
      <c r="BM39" s="57"/>
    </row>
    <row r="40" spans="1:65" x14ac:dyDescent="0.25">
      <c r="A40" s="14" t="s">
        <v>3</v>
      </c>
      <c r="B40" s="30" t="s">
        <v>57</v>
      </c>
      <c r="C40" s="48">
        <f>'[1]6.28'!L44</f>
        <v>410440.72930499999</v>
      </c>
      <c r="D40" s="48">
        <f>'[1]6.28'!M44</f>
        <v>0</v>
      </c>
      <c r="E40" s="48">
        <f>'[1]6.28'!N44</f>
        <v>178194.04381999999</v>
      </c>
      <c r="F40" s="48">
        <f>'[1]6.28'!O44</f>
        <v>171893.33147999999</v>
      </c>
      <c r="G40" s="48">
        <f>'[1]6.28'!P44</f>
        <v>214567.28163000001</v>
      </c>
      <c r="H40" s="48">
        <f>'[1]6.28'!Q44</f>
        <v>239547.66654000001</v>
      </c>
      <c r="I40" s="48">
        <f>'[1]6.28'!R44</f>
        <v>250101.54663</v>
      </c>
      <c r="J40" s="48">
        <f>'[1]6.28'!S44</f>
        <v>259977.63167999999</v>
      </c>
      <c r="K40" s="49">
        <f t="shared" si="2"/>
        <v>1724722.2310850001</v>
      </c>
      <c r="L40" s="80"/>
      <c r="M40" s="71">
        <f t="shared" si="66"/>
        <v>21189505.90113578</v>
      </c>
      <c r="N40" s="71">
        <f t="shared" si="63"/>
        <v>0</v>
      </c>
      <c r="O40" s="71">
        <f t="shared" si="63"/>
        <v>9199486</v>
      </c>
      <c r="P40" s="71">
        <f t="shared" si="63"/>
        <v>8874204</v>
      </c>
      <c r="Q40" s="71">
        <f t="shared" si="63"/>
        <v>11077299.000000002</v>
      </c>
      <c r="R40" s="71">
        <f t="shared" si="63"/>
        <v>12366942.000000002</v>
      </c>
      <c r="S40" s="71">
        <f t="shared" si="63"/>
        <v>12911799.000000002</v>
      </c>
      <c r="T40" s="71">
        <f t="shared" si="63"/>
        <v>13421664</v>
      </c>
      <c r="U40" s="52">
        <f t="shared" si="63"/>
        <v>89040899.901135787</v>
      </c>
      <c r="V40" s="52">
        <v>2047387.18260995</v>
      </c>
      <c r="Y40" s="51">
        <v>0</v>
      </c>
      <c r="Z40" s="52">
        <f t="shared" si="5"/>
        <v>410440.72930499999</v>
      </c>
      <c r="AA40" s="52">
        <f t="shared" si="6"/>
        <v>564654.65692999994</v>
      </c>
      <c r="AB40" s="52">
        <f t="shared" si="7"/>
        <v>749626.84484999999</v>
      </c>
      <c r="AC40" s="49">
        <f t="shared" si="8"/>
        <v>1724722.2310849999</v>
      </c>
      <c r="AD40" s="51">
        <f>'[1]APAC 17.6.2019'!Y40</f>
        <v>0</v>
      </c>
      <c r="AE40" s="52">
        <f>'[1]APAC 17.6.2019'!Z40</f>
        <v>410440.72930499999</v>
      </c>
      <c r="AF40" s="52">
        <f>'[1]APAC 17.6.2019'!AA40</f>
        <v>564654.65692999994</v>
      </c>
      <c r="AG40" s="52">
        <f>'[1]APAC 17.6.2019'!AB40</f>
        <v>749626.84484999999</v>
      </c>
      <c r="AH40" s="49">
        <f>'[1]APAC 17.6.2019'!AC40</f>
        <v>1724722.2310849999</v>
      </c>
      <c r="AI40" s="51"/>
      <c r="AJ40" s="52">
        <f>'[1]6.10'!X37</f>
        <v>753410.2742723329</v>
      </c>
      <c r="AK40" s="52">
        <f>'[1]6.10'!Y37</f>
        <v>549744</v>
      </c>
      <c r="AL40" s="52">
        <f>'[1]6.10'!Z37</f>
        <v>704698</v>
      </c>
      <c r="AM40" s="49">
        <f t="shared" si="1"/>
        <v>2007852.2742723329</v>
      </c>
      <c r="AN40" s="52">
        <v>0</v>
      </c>
      <c r="AO40" s="52">
        <f>'[1]May Forecast'!AC32</f>
        <v>636903.20733</v>
      </c>
      <c r="AP40" s="52">
        <f>'[1]May Forecast'!AD32</f>
        <v>549744.69628000003</v>
      </c>
      <c r="AQ40" s="52">
        <f>'[1]May Forecast'!AE32</f>
        <v>704698.36228999996</v>
      </c>
      <c r="AR40" s="52">
        <f t="shared" si="9"/>
        <v>1891346.2659</v>
      </c>
      <c r="AS40" s="51">
        <v>2007852.2742723329</v>
      </c>
      <c r="AT40" s="51">
        <f t="shared" si="10"/>
        <v>1724722.2310849999</v>
      </c>
      <c r="AU40" s="53">
        <f t="shared" si="11"/>
        <v>1724722.2310849999</v>
      </c>
      <c r="AV40" s="49">
        <f>'[1]May Forecast'!AA32</f>
        <v>1891346.2659</v>
      </c>
      <c r="AW40" s="52">
        <f t="shared" si="12"/>
        <v>0</v>
      </c>
      <c r="AX40" s="51">
        <f t="shared" si="64"/>
        <v>-283130.04318733304</v>
      </c>
      <c r="AY40" s="49">
        <f t="shared" si="65"/>
        <v>-166624.03481500014</v>
      </c>
      <c r="AZ40" s="54"/>
      <c r="BA40" s="51">
        <f t="shared" si="15"/>
        <v>-342969.54496733291</v>
      </c>
      <c r="BB40" s="52">
        <f t="shared" si="15"/>
        <v>14910.656929999939</v>
      </c>
      <c r="BC40" s="52">
        <f t="shared" si="15"/>
        <v>44928.844849999994</v>
      </c>
      <c r="BD40" s="49">
        <f t="shared" si="15"/>
        <v>-283130.04318733304</v>
      </c>
      <c r="BF40" s="55"/>
      <c r="BG40" s="56"/>
      <c r="BH40" s="56"/>
      <c r="BI40" s="56"/>
      <c r="BJ40" s="56"/>
      <c r="BK40" s="56"/>
      <c r="BL40" s="56"/>
      <c r="BM40" s="57"/>
    </row>
    <row r="41" spans="1:65" x14ac:dyDescent="0.25">
      <c r="A41" s="14" t="s">
        <v>3</v>
      </c>
      <c r="B41" s="62" t="s">
        <v>58</v>
      </c>
      <c r="C41" s="63">
        <f>C39-C40</f>
        <v>881418.26374399988</v>
      </c>
      <c r="D41" s="64">
        <f t="shared" ref="D41:J41" si="74">D39-D40</f>
        <v>0</v>
      </c>
      <c r="E41" s="64">
        <f t="shared" si="74"/>
        <v>-29406.457028000004</v>
      </c>
      <c r="F41" s="64">
        <f t="shared" si="74"/>
        <v>-15655.380233999982</v>
      </c>
      <c r="G41" s="64">
        <f t="shared" si="74"/>
        <v>-27500.255328000028</v>
      </c>
      <c r="H41" s="64">
        <f t="shared" si="74"/>
        <v>-22697.225576999946</v>
      </c>
      <c r="I41" s="64">
        <f t="shared" si="74"/>
        <v>-15161.799705000012</v>
      </c>
      <c r="J41" s="64">
        <f t="shared" si="74"/>
        <v>-5723.4049860000378</v>
      </c>
      <c r="K41" s="65">
        <f t="shared" si="2"/>
        <v>765273.74088599987</v>
      </c>
      <c r="L41" s="80"/>
      <c r="M41" s="63">
        <f t="shared" si="66"/>
        <v>45504298.592875578</v>
      </c>
      <c r="N41" s="64">
        <f t="shared" si="63"/>
        <v>0</v>
      </c>
      <c r="O41" s="64">
        <f t="shared" si="63"/>
        <v>-1518144.4000000004</v>
      </c>
      <c r="P41" s="64">
        <f t="shared" si="63"/>
        <v>-808228.19999999914</v>
      </c>
      <c r="Q41" s="64">
        <f t="shared" si="63"/>
        <v>-1419734.4000000015</v>
      </c>
      <c r="R41" s="64">
        <f t="shared" si="63"/>
        <v>-1171772.0999999973</v>
      </c>
      <c r="S41" s="64">
        <f t="shared" si="63"/>
        <v>-782746.5000000007</v>
      </c>
      <c r="T41" s="64">
        <f t="shared" si="63"/>
        <v>-295477.80000000197</v>
      </c>
      <c r="U41" s="66">
        <f t="shared" si="63"/>
        <v>39508195.192875579</v>
      </c>
      <c r="V41" s="66">
        <v>3177405.8660095339</v>
      </c>
      <c r="Y41" s="67">
        <v>0</v>
      </c>
      <c r="Z41" s="64">
        <f t="shared" si="5"/>
        <v>881418.26374399988</v>
      </c>
      <c r="AA41" s="64">
        <f t="shared" si="6"/>
        <v>-72562.092590000015</v>
      </c>
      <c r="AB41" s="64">
        <f t="shared" si="7"/>
        <v>-43582.430267999996</v>
      </c>
      <c r="AC41" s="65">
        <f t="shared" si="8"/>
        <v>765273.74088599987</v>
      </c>
      <c r="AD41" s="67">
        <f>'[1]APAC 17.6.2019'!Y41</f>
        <v>0</v>
      </c>
      <c r="AE41" s="64">
        <f>'[1]APAC 17.6.2019'!Z41</f>
        <v>881418.26374399988</v>
      </c>
      <c r="AF41" s="64">
        <f>'[1]APAC 17.6.2019'!AA41</f>
        <v>747592.18131000001</v>
      </c>
      <c r="AG41" s="64">
        <f>'[1]APAC 17.6.2019'!AB41</f>
        <v>1133158.24908</v>
      </c>
      <c r="AH41" s="65">
        <f>'[1]APAC 17.6.2019'!AC41</f>
        <v>2762168.6941339998</v>
      </c>
      <c r="AI41" s="67"/>
      <c r="AJ41" s="64">
        <f t="shared" ref="AJ41:AL41" si="75">AJ39-AJ40</f>
        <v>965815.87336640549</v>
      </c>
      <c r="AK41" s="64">
        <f t="shared" si="75"/>
        <v>597316</v>
      </c>
      <c r="AL41" s="64">
        <f t="shared" si="75"/>
        <v>801195</v>
      </c>
      <c r="AM41" s="65">
        <f t="shared" si="1"/>
        <v>2364326.8733664053</v>
      </c>
      <c r="AN41" s="64">
        <v>0</v>
      </c>
      <c r="AO41" s="64">
        <f t="shared" ref="AO41:AQ41" si="76">AO39-AO40</f>
        <v>756092.58958999987</v>
      </c>
      <c r="AP41" s="64">
        <f t="shared" si="76"/>
        <v>603848.63161999988</v>
      </c>
      <c r="AQ41" s="64">
        <f t="shared" si="76"/>
        <v>809771.70209000038</v>
      </c>
      <c r="AR41" s="64">
        <f t="shared" si="9"/>
        <v>2169712.9232999999</v>
      </c>
      <c r="AS41" s="67">
        <v>2364326.8733664053</v>
      </c>
      <c r="AT41" s="67">
        <f t="shared" si="10"/>
        <v>2762168.6941339998</v>
      </c>
      <c r="AU41" s="68">
        <f t="shared" si="11"/>
        <v>765273.74088599987</v>
      </c>
      <c r="AV41" s="65">
        <f t="shared" ref="AV41" si="77">AV39-AV40</f>
        <v>2169712.923299999</v>
      </c>
      <c r="AW41" s="64">
        <f t="shared" si="12"/>
        <v>-1996894.9532479998</v>
      </c>
      <c r="AX41" s="69">
        <f t="shared" si="64"/>
        <v>-1599053.1324804053</v>
      </c>
      <c r="AY41" s="65">
        <f t="shared" si="65"/>
        <v>-1404439.182413999</v>
      </c>
      <c r="AZ41" s="54"/>
      <c r="BA41" s="67">
        <f t="shared" si="15"/>
        <v>-84397.609622405609</v>
      </c>
      <c r="BB41" s="64">
        <f t="shared" si="15"/>
        <v>-669878.09259000001</v>
      </c>
      <c r="BC41" s="64">
        <f t="shared" si="15"/>
        <v>-844777.430268</v>
      </c>
      <c r="BD41" s="65">
        <f t="shared" si="15"/>
        <v>-1599053.1324804053</v>
      </c>
      <c r="BF41" s="55"/>
      <c r="BG41" s="56"/>
      <c r="BH41" s="56"/>
      <c r="BI41" s="56"/>
      <c r="BJ41" s="56"/>
      <c r="BK41" s="56"/>
      <c r="BL41" s="56"/>
      <c r="BM41" s="57"/>
    </row>
    <row r="42" spans="1:65" x14ac:dyDescent="0.25">
      <c r="A42" s="14"/>
      <c r="B42" s="47" t="s">
        <v>59</v>
      </c>
      <c r="C42" s="73">
        <f>C41/C39</f>
        <v>0.68228674219599439</v>
      </c>
      <c r="D42" s="73"/>
      <c r="E42" s="73">
        <f>E41/E39</f>
        <v>-0.19764052675381608</v>
      </c>
      <c r="F42" s="73">
        <f t="shared" ref="F42:K42" si="78">F41/F39</f>
        <v>-0.10020216028914927</v>
      </c>
      <c r="G42" s="73">
        <f t="shared" si="78"/>
        <v>-0.14700749710750075</v>
      </c>
      <c r="H42" s="73">
        <f t="shared" si="78"/>
        <v>-0.10466764778621153</v>
      </c>
      <c r="I42" s="73">
        <f t="shared" si="78"/>
        <v>-6.4534843096771224E-2</v>
      </c>
      <c r="J42" s="73">
        <f t="shared" si="78"/>
        <v>-2.2510559845631474E-2</v>
      </c>
      <c r="K42" s="73">
        <f t="shared" si="78"/>
        <v>0.3073393489388796</v>
      </c>
      <c r="L42" s="80"/>
      <c r="M42" s="74"/>
      <c r="N42" s="74"/>
      <c r="O42" s="74"/>
      <c r="P42" s="74"/>
      <c r="Q42" s="74"/>
      <c r="R42" s="74"/>
      <c r="S42" s="74"/>
      <c r="T42" s="74"/>
      <c r="U42" s="74"/>
      <c r="V42" s="74"/>
      <c r="Y42" s="75"/>
      <c r="Z42" s="74"/>
      <c r="AA42" s="74"/>
      <c r="AB42" s="74"/>
      <c r="AC42" s="76"/>
      <c r="AD42" s="75">
        <f>'[1]APAC 17.6.2019'!Y42</f>
        <v>0</v>
      </c>
      <c r="AE42" s="74">
        <f>'[1]APAC 17.6.2019'!Z42</f>
        <v>0</v>
      </c>
      <c r="AF42" s="74">
        <f>'[1]APAC 17.6.2019'!AA42</f>
        <v>0</v>
      </c>
      <c r="AG42" s="74">
        <f>'[1]APAC 17.6.2019'!AB42</f>
        <v>0</v>
      </c>
      <c r="AH42" s="76">
        <f>'[1]APAC 17.6.2019'!AC42</f>
        <v>0</v>
      </c>
      <c r="AI42" s="75"/>
      <c r="AJ42" s="74"/>
      <c r="AK42" s="74"/>
      <c r="AL42" s="74"/>
      <c r="AM42" s="76"/>
      <c r="AN42" s="74"/>
      <c r="AO42" s="74"/>
      <c r="AP42" s="74"/>
      <c r="AQ42" s="74"/>
      <c r="AR42" s="74"/>
      <c r="AS42" s="75"/>
      <c r="AT42" s="75">
        <f t="shared" si="10"/>
        <v>0</v>
      </c>
      <c r="AU42" s="77">
        <f t="shared" si="11"/>
        <v>0</v>
      </c>
      <c r="AV42" s="76"/>
      <c r="AW42" s="74">
        <f t="shared" si="12"/>
        <v>0</v>
      </c>
      <c r="AX42" s="75"/>
      <c r="AY42" s="76"/>
      <c r="AZ42" s="54"/>
      <c r="BA42" s="75"/>
      <c r="BB42" s="74"/>
      <c r="BC42" s="74"/>
      <c r="BD42" s="76"/>
      <c r="BF42" s="55"/>
      <c r="BG42" s="56"/>
      <c r="BH42" s="56"/>
      <c r="BI42" s="56"/>
      <c r="BJ42" s="56"/>
      <c r="BK42" s="56"/>
      <c r="BL42" s="56"/>
      <c r="BM42" s="57"/>
    </row>
    <row r="43" spans="1:65" x14ac:dyDescent="0.25">
      <c r="A43" s="14"/>
      <c r="B43" s="30"/>
      <c r="C43" s="87"/>
      <c r="D43" s="30"/>
      <c r="E43" s="30"/>
      <c r="F43" s="30"/>
      <c r="G43" s="30"/>
      <c r="H43" s="30"/>
      <c r="I43" s="30"/>
      <c r="J43" s="30"/>
      <c r="K43" s="49"/>
      <c r="L43" s="80"/>
      <c r="V43" s="52"/>
      <c r="Y43" s="51"/>
      <c r="Z43" s="52"/>
      <c r="AA43" s="52"/>
      <c r="AB43" s="52"/>
      <c r="AC43" s="49">
        <f t="shared" si="8"/>
        <v>0</v>
      </c>
      <c r="AD43" s="51">
        <f>'[1]APAC 17.6.2019'!Y43</f>
        <v>0</v>
      </c>
      <c r="AE43" s="52">
        <f>'[1]APAC 17.6.2019'!Z43</f>
        <v>0</v>
      </c>
      <c r="AF43" s="52">
        <f>'[1]APAC 17.6.2019'!AA43</f>
        <v>0</v>
      </c>
      <c r="AG43" s="52">
        <f>'[1]APAC 17.6.2019'!AB43</f>
        <v>0</v>
      </c>
      <c r="AH43" s="49">
        <f>'[1]APAC 17.6.2019'!AC43</f>
        <v>0</v>
      </c>
      <c r="AI43" s="51"/>
      <c r="AJ43" s="52"/>
      <c r="AK43" s="52"/>
      <c r="AL43" s="52"/>
      <c r="AM43" s="49">
        <f t="shared" si="1"/>
        <v>0</v>
      </c>
      <c r="AN43" s="52"/>
      <c r="AO43" s="52"/>
      <c r="AP43" s="52"/>
      <c r="AQ43" s="52"/>
      <c r="AR43" s="52">
        <f t="shared" si="9"/>
        <v>0</v>
      </c>
      <c r="AS43" s="51"/>
      <c r="AT43" s="51">
        <f t="shared" si="10"/>
        <v>0</v>
      </c>
      <c r="AU43" s="53">
        <f t="shared" si="11"/>
        <v>0</v>
      </c>
      <c r="AV43" s="49"/>
      <c r="AW43" s="52">
        <f t="shared" si="12"/>
        <v>0</v>
      </c>
      <c r="AX43" s="51"/>
      <c r="AY43" s="49"/>
      <c r="AZ43" s="54"/>
      <c r="BA43" s="51">
        <f t="shared" si="15"/>
        <v>0</v>
      </c>
      <c r="BB43" s="52">
        <f t="shared" si="15"/>
        <v>0</v>
      </c>
      <c r="BC43" s="52">
        <f t="shared" si="15"/>
        <v>0</v>
      </c>
      <c r="BD43" s="49">
        <f t="shared" si="15"/>
        <v>0</v>
      </c>
      <c r="BF43" s="55"/>
      <c r="BG43" s="56"/>
      <c r="BH43" s="56"/>
      <c r="BI43" s="56"/>
      <c r="BJ43" s="56"/>
      <c r="BK43" s="56"/>
      <c r="BL43" s="56"/>
      <c r="BM43" s="57"/>
    </row>
    <row r="44" spans="1:65" x14ac:dyDescent="0.25">
      <c r="A44" s="14" t="s">
        <v>4</v>
      </c>
      <c r="B44" s="47" t="s">
        <v>5</v>
      </c>
      <c r="C44" s="48">
        <f>'[1]6.28'!L35</f>
        <v>898765.70488700003</v>
      </c>
      <c r="D44" s="48">
        <f>'[1]6.28'!M35</f>
        <v>716466.53793600004</v>
      </c>
      <c r="E44" s="48">
        <f>'[1]6.28'!N35</f>
        <v>2022920.092008</v>
      </c>
      <c r="F44" s="48">
        <f>'[1]6.28'!O35</f>
        <v>885206.85904799995</v>
      </c>
      <c r="G44" s="48">
        <f>'[1]6.28'!P35</f>
        <v>389034.263592</v>
      </c>
      <c r="H44" s="48">
        <f>'[1]6.28'!Q35</f>
        <v>544791.63175199996</v>
      </c>
      <c r="I44" s="48">
        <f>'[1]6.28'!R35</f>
        <v>633979.37570400001</v>
      </c>
      <c r="J44" s="48">
        <f>'[1]6.28'!S35</f>
        <v>741025.51905600005</v>
      </c>
      <c r="K44" s="49">
        <f t="shared" si="2"/>
        <v>6832189.9839829998</v>
      </c>
      <c r="L44" s="80">
        <f>'[1]Currency Exchange Rate'!H86</f>
        <v>7.2000000000000002E-5</v>
      </c>
      <c r="M44" s="71">
        <f>C44/$L$44</f>
        <v>12482857012.319445</v>
      </c>
      <c r="N44" s="71">
        <f t="shared" ref="N44:U51" si="79">D44/$L$44</f>
        <v>9950924138</v>
      </c>
      <c r="O44" s="71">
        <f t="shared" si="79"/>
        <v>28096112389</v>
      </c>
      <c r="P44" s="71">
        <f t="shared" si="79"/>
        <v>12294539709</v>
      </c>
      <c r="Q44" s="71">
        <f t="shared" si="79"/>
        <v>5403253661</v>
      </c>
      <c r="R44" s="71">
        <f t="shared" si="79"/>
        <v>7566550440.999999</v>
      </c>
      <c r="S44" s="71">
        <f t="shared" si="79"/>
        <v>8805269107</v>
      </c>
      <c r="T44" s="71">
        <f t="shared" si="79"/>
        <v>10292021098</v>
      </c>
      <c r="U44" s="52">
        <f t="shared" si="79"/>
        <v>94891527555.319443</v>
      </c>
      <c r="V44" s="52">
        <v>6837462.237551149</v>
      </c>
      <c r="Y44" s="51">
        <v>0</v>
      </c>
      <c r="Z44" s="52">
        <f t="shared" si="5"/>
        <v>1615232.2428230001</v>
      </c>
      <c r="AA44" s="52">
        <f t="shared" si="6"/>
        <v>3297161.214648</v>
      </c>
      <c r="AB44" s="52">
        <f t="shared" si="7"/>
        <v>1919796.526512</v>
      </c>
      <c r="AC44" s="49">
        <f t="shared" si="8"/>
        <v>6832189.9839829998</v>
      </c>
      <c r="AD44" s="51">
        <f>'[1]APAC 17.6.2019'!Y44</f>
        <v>0</v>
      </c>
      <c r="AE44" s="52">
        <f>'[1]APAC 17.6.2019'!Z44</f>
        <v>1615232.2428230001</v>
      </c>
      <c r="AF44" s="52">
        <f>'[1]APAC 17.6.2019'!AA44</f>
        <v>3297161.214648</v>
      </c>
      <c r="AG44" s="52">
        <f>'[1]APAC 17.6.2019'!AB44</f>
        <v>1919796.526512</v>
      </c>
      <c r="AH44" s="49">
        <f>'[1]APAC 17.6.2019'!AC44</f>
        <v>6832189.9839829998</v>
      </c>
      <c r="AI44" s="51"/>
      <c r="AJ44" s="52">
        <f>'[1]6.10'!X40</f>
        <v>1445129.9584065382</v>
      </c>
      <c r="AK44" s="52">
        <f>'[1]6.10'!Y40</f>
        <v>1458073</v>
      </c>
      <c r="AL44" s="52">
        <f>'[1]6.10'!Z40</f>
        <v>3232637</v>
      </c>
      <c r="AM44" s="49">
        <f t="shared" si="1"/>
        <v>6135839.9584065378</v>
      </c>
      <c r="AN44" s="52">
        <v>0</v>
      </c>
      <c r="AO44" s="52">
        <f>'[1]May Forecast'!AC20</f>
        <v>1853722.4750640001</v>
      </c>
      <c r="AP44" s="52">
        <f>'[1]May Forecast'!AD20</f>
        <v>1458073.548648</v>
      </c>
      <c r="AQ44" s="52">
        <f>'[1]May Forecast'!AE20</f>
        <v>3232637.0485920003</v>
      </c>
      <c r="AR44" s="52">
        <f t="shared" si="9"/>
        <v>6544433.0723040001</v>
      </c>
      <c r="AS44" s="51">
        <v>6135839.9584065378</v>
      </c>
      <c r="AT44" s="51">
        <f t="shared" si="10"/>
        <v>6832189.9839829998</v>
      </c>
      <c r="AU44" s="53">
        <f t="shared" si="11"/>
        <v>6832189.9839829998</v>
      </c>
      <c r="AV44" s="49">
        <f>'[1]May Forecast'!AA20</f>
        <v>6544433.0723040001</v>
      </c>
      <c r="AW44" s="52">
        <f t="shared" si="12"/>
        <v>0</v>
      </c>
      <c r="AX44" s="51">
        <f t="shared" ref="AX44:AX61" si="80">AC44-AS44</f>
        <v>696350.02557646204</v>
      </c>
      <c r="AY44" s="49">
        <f t="shared" ref="AY44:AY61" si="81">AC44-AV44</f>
        <v>287756.91167899966</v>
      </c>
      <c r="AZ44" s="54"/>
      <c r="BA44" s="51">
        <f t="shared" si="15"/>
        <v>170102.28441646183</v>
      </c>
      <c r="BB44" s="52">
        <f t="shared" si="15"/>
        <v>1839088.214648</v>
      </c>
      <c r="BC44" s="52">
        <f t="shared" si="15"/>
        <v>-1312840.473488</v>
      </c>
      <c r="BD44" s="49">
        <f t="shared" si="15"/>
        <v>696350.02557646204</v>
      </c>
      <c r="BF44" s="55"/>
      <c r="BG44" s="56"/>
      <c r="BH44" s="56"/>
      <c r="BI44" s="56"/>
      <c r="BJ44" s="56"/>
      <c r="BK44" s="56"/>
      <c r="BL44" s="56"/>
      <c r="BM44" s="57"/>
    </row>
    <row r="45" spans="1:65" x14ac:dyDescent="0.25">
      <c r="A45" s="14" t="s">
        <v>4</v>
      </c>
      <c r="B45" s="30" t="s">
        <v>52</v>
      </c>
      <c r="C45" s="48">
        <v>0</v>
      </c>
      <c r="D45" s="48">
        <v>0</v>
      </c>
      <c r="E45" s="48">
        <v>0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49">
        <f t="shared" si="2"/>
        <v>0</v>
      </c>
      <c r="L45" s="80"/>
      <c r="M45" s="48">
        <f>C45/$L$44</f>
        <v>0</v>
      </c>
      <c r="N45" s="48">
        <f t="shared" si="79"/>
        <v>0</v>
      </c>
      <c r="O45" s="48">
        <f t="shared" si="79"/>
        <v>0</v>
      </c>
      <c r="P45" s="48">
        <f t="shared" si="79"/>
        <v>0</v>
      </c>
      <c r="Q45" s="48">
        <f t="shared" si="79"/>
        <v>0</v>
      </c>
      <c r="R45" s="48">
        <f t="shared" si="79"/>
        <v>0</v>
      </c>
      <c r="S45" s="48">
        <f t="shared" si="79"/>
        <v>0</v>
      </c>
      <c r="T45" s="48">
        <f t="shared" si="79"/>
        <v>0</v>
      </c>
      <c r="U45" s="52">
        <f t="shared" si="79"/>
        <v>0</v>
      </c>
      <c r="V45" s="52">
        <v>0</v>
      </c>
      <c r="Y45" s="51">
        <v>0</v>
      </c>
      <c r="Z45" s="52">
        <f t="shared" si="5"/>
        <v>0</v>
      </c>
      <c r="AA45" s="52">
        <f t="shared" si="6"/>
        <v>0</v>
      </c>
      <c r="AB45" s="52">
        <f t="shared" si="7"/>
        <v>0</v>
      </c>
      <c r="AC45" s="49">
        <f t="shared" si="8"/>
        <v>0</v>
      </c>
      <c r="AD45" s="51">
        <f>'[1]APAC 17.6.2019'!Y45</f>
        <v>0</v>
      </c>
      <c r="AE45" s="52">
        <f>'[1]APAC 17.6.2019'!Z45</f>
        <v>0</v>
      </c>
      <c r="AF45" s="52">
        <f>'[1]APAC 17.6.2019'!AA45</f>
        <v>0</v>
      </c>
      <c r="AG45" s="52">
        <f>'[1]APAC 17.6.2019'!AB45</f>
        <v>0</v>
      </c>
      <c r="AH45" s="49">
        <f>'[1]APAC 17.6.2019'!AC45</f>
        <v>0</v>
      </c>
      <c r="AI45" s="51"/>
      <c r="AJ45" s="52">
        <f>'[1]6.10'!X41</f>
        <v>0</v>
      </c>
      <c r="AK45" s="52">
        <f>'[1]6.10'!Y41</f>
        <v>0</v>
      </c>
      <c r="AL45" s="52">
        <f>'[1]6.10'!Z41</f>
        <v>0</v>
      </c>
      <c r="AM45" s="49">
        <f t="shared" si="1"/>
        <v>0</v>
      </c>
      <c r="AN45" s="52">
        <v>0</v>
      </c>
      <c r="AO45" s="52">
        <f>'[1]May Forecast'!AC21</f>
        <v>9268.6124159999999</v>
      </c>
      <c r="AP45" s="52">
        <f>'[1]May Forecast'!AD21</f>
        <v>7290.3677040000002</v>
      </c>
      <c r="AQ45" s="52">
        <f>'[1]May Forecast'!AE21</f>
        <v>16163.185247999998</v>
      </c>
      <c r="AR45" s="52">
        <f t="shared" si="9"/>
        <v>32722.165367999998</v>
      </c>
      <c r="AS45" s="51">
        <v>0</v>
      </c>
      <c r="AT45" s="51">
        <f t="shared" si="10"/>
        <v>0</v>
      </c>
      <c r="AU45" s="53">
        <f t="shared" si="11"/>
        <v>0</v>
      </c>
      <c r="AV45" s="49">
        <f>'[1]May Forecast'!AA21</f>
        <v>32722.165368000002</v>
      </c>
      <c r="AW45" s="52">
        <f t="shared" si="12"/>
        <v>0</v>
      </c>
      <c r="AX45" s="51">
        <f t="shared" si="80"/>
        <v>0</v>
      </c>
      <c r="AY45" s="49">
        <f t="shared" si="81"/>
        <v>-32722.165368000002</v>
      </c>
      <c r="AZ45" s="54"/>
      <c r="BA45" s="51">
        <f t="shared" si="15"/>
        <v>0</v>
      </c>
      <c r="BB45" s="52">
        <f t="shared" si="15"/>
        <v>0</v>
      </c>
      <c r="BC45" s="52">
        <f t="shared" si="15"/>
        <v>0</v>
      </c>
      <c r="BD45" s="49">
        <f t="shared" si="15"/>
        <v>0</v>
      </c>
      <c r="BF45" s="55"/>
      <c r="BG45" s="56"/>
      <c r="BH45" s="56"/>
      <c r="BI45" s="56"/>
      <c r="BJ45" s="56"/>
      <c r="BK45" s="56"/>
      <c r="BL45" s="56"/>
      <c r="BM45" s="57"/>
    </row>
    <row r="46" spans="1:65" x14ac:dyDescent="0.25">
      <c r="A46" s="14" t="s">
        <v>4</v>
      </c>
      <c r="B46" s="30" t="s">
        <v>53</v>
      </c>
      <c r="C46" s="48">
        <f>'[1]6.28'!L36</f>
        <v>0</v>
      </c>
      <c r="D46" s="48">
        <f>'[1]6.28'!M36</f>
        <v>-107469.98063999999</v>
      </c>
      <c r="E46" s="48">
        <f>'[1]6.28'!N36</f>
        <v>-303438.01377600001</v>
      </c>
      <c r="F46" s="48">
        <f>'[1]6.28'!O36</f>
        <v>-132781.02890400001</v>
      </c>
      <c r="G46" s="48">
        <f>'[1]6.28'!P36</f>
        <v>-58355.139528</v>
      </c>
      <c r="H46" s="48">
        <f>'[1]6.28'!Q36</f>
        <v>-81718.744751999999</v>
      </c>
      <c r="I46" s="48">
        <f>'[1]6.28'!R36</f>
        <v>-95096.906352000005</v>
      </c>
      <c r="J46" s="48">
        <f>'[1]6.28'!S36</f>
        <v>-111153.827808</v>
      </c>
      <c r="K46" s="49">
        <f t="shared" si="2"/>
        <v>-890013.64175999991</v>
      </c>
      <c r="L46" s="80"/>
      <c r="M46" s="71">
        <f t="shared" ref="M46:M51" si="82">C46/$L$44</f>
        <v>0</v>
      </c>
      <c r="N46" s="71">
        <f t="shared" si="79"/>
        <v>-1492638620</v>
      </c>
      <c r="O46" s="71">
        <f t="shared" si="79"/>
        <v>-4214416858</v>
      </c>
      <c r="P46" s="71">
        <f t="shared" si="79"/>
        <v>-1844180957</v>
      </c>
      <c r="Q46" s="71">
        <f t="shared" si="79"/>
        <v>-810488049</v>
      </c>
      <c r="R46" s="71">
        <f t="shared" si="79"/>
        <v>-1134982566</v>
      </c>
      <c r="S46" s="71">
        <f t="shared" si="79"/>
        <v>-1320790366</v>
      </c>
      <c r="T46" s="71">
        <f t="shared" si="79"/>
        <v>-1543803164</v>
      </c>
      <c r="U46" s="52">
        <f t="shared" si="79"/>
        <v>-12361300579.999998</v>
      </c>
      <c r="V46" s="52">
        <v>-848479.67191767925</v>
      </c>
      <c r="Y46" s="51">
        <v>0</v>
      </c>
      <c r="Z46" s="52">
        <f t="shared" si="5"/>
        <v>-107469.98063999999</v>
      </c>
      <c r="AA46" s="52">
        <f t="shared" si="6"/>
        <v>-494574.18220799998</v>
      </c>
      <c r="AB46" s="52">
        <f t="shared" si="7"/>
        <v>-287969.47891199996</v>
      </c>
      <c r="AC46" s="49">
        <f t="shared" si="8"/>
        <v>-890013.64175999991</v>
      </c>
      <c r="AD46" s="51">
        <f>'[1]APAC 17.6.2019'!Y46</f>
        <v>0</v>
      </c>
      <c r="AE46" s="52">
        <f>'[1]APAC 17.6.2019'!Z46</f>
        <v>-107469.98063999999</v>
      </c>
      <c r="AF46" s="52">
        <f>'[1]APAC 17.6.2019'!AA46</f>
        <v>-494574.18220799998</v>
      </c>
      <c r="AG46" s="52">
        <f>'[1]APAC 17.6.2019'!AB46</f>
        <v>-287969.47891199996</v>
      </c>
      <c r="AH46" s="49">
        <f>'[1]APAC 17.6.2019'!AC46</f>
        <v>-890013.64175999991</v>
      </c>
      <c r="AI46" s="51"/>
      <c r="AJ46" s="52">
        <f>'[1]6.10'!X42</f>
        <v>-77376</v>
      </c>
      <c r="AK46" s="52">
        <f>'[1]6.10'!Y42</f>
        <v>-208505</v>
      </c>
      <c r="AL46" s="52">
        <f>'[1]6.10'!Z42</f>
        <v>-462267</v>
      </c>
      <c r="AM46" s="49">
        <f t="shared" si="1"/>
        <v>-748148</v>
      </c>
      <c r="AN46" s="52">
        <v>0</v>
      </c>
      <c r="AO46" s="52">
        <f>'[1]May Forecast'!AC22</f>
        <v>-265082.31396</v>
      </c>
      <c r="AP46" s="52">
        <f>'[1]May Forecast'!AD22</f>
        <v>-208504.51739999998</v>
      </c>
      <c r="AQ46" s="52">
        <f>'[1]May Forecast'!AE22</f>
        <v>-462267.09791999997</v>
      </c>
      <c r="AR46" s="52">
        <f t="shared" si="9"/>
        <v>-935853.92927999992</v>
      </c>
      <c r="AS46" s="51">
        <v>-748148</v>
      </c>
      <c r="AT46" s="51">
        <f t="shared" si="10"/>
        <v>-890013.64175999991</v>
      </c>
      <c r="AU46" s="53">
        <f t="shared" si="11"/>
        <v>-890013.64175999991</v>
      </c>
      <c r="AV46" s="49">
        <f>'[1]May Forecast'!AA22</f>
        <v>-935853.92928000004</v>
      </c>
      <c r="AW46" s="52">
        <f t="shared" si="12"/>
        <v>0</v>
      </c>
      <c r="AX46" s="51">
        <f t="shared" si="80"/>
        <v>-141865.64175999991</v>
      </c>
      <c r="AY46" s="49">
        <f t="shared" si="81"/>
        <v>45840.287520000129</v>
      </c>
      <c r="AZ46" s="54"/>
      <c r="BA46" s="51">
        <f t="shared" si="15"/>
        <v>-30093.980639999994</v>
      </c>
      <c r="BB46" s="52">
        <f t="shared" si="15"/>
        <v>-286069.18220799998</v>
      </c>
      <c r="BC46" s="52">
        <f t="shared" si="15"/>
        <v>174297.52108800004</v>
      </c>
      <c r="BD46" s="49">
        <f t="shared" si="15"/>
        <v>-141865.64175999991</v>
      </c>
      <c r="BF46" s="84">
        <f>-Z46/Z44</f>
        <v>6.6535311635539676E-2</v>
      </c>
      <c r="BG46" s="60">
        <f>-AJ46/AJ44</f>
        <v>5.3542589405120404E-2</v>
      </c>
      <c r="BH46" s="60">
        <f>-AA46/AA44</f>
        <v>0.15000000000327554</v>
      </c>
      <c r="BI46" s="60">
        <f>-AK46/AK44</f>
        <v>0.14300038475439844</v>
      </c>
      <c r="BJ46" s="60">
        <f>-AB46/AB44</f>
        <v>0.14999999996624641</v>
      </c>
      <c r="BK46" s="60">
        <f>-AL46/AL44</f>
        <v>0.14299997184960761</v>
      </c>
      <c r="BL46" s="60">
        <f>-AC46/AC44</f>
        <v>0.13026769510896177</v>
      </c>
      <c r="BM46" s="61">
        <f>-AM46/AM44</f>
        <v>0.12193082040462674</v>
      </c>
    </row>
    <row r="47" spans="1:65" x14ac:dyDescent="0.25">
      <c r="A47" s="14" t="s">
        <v>4</v>
      </c>
      <c r="B47" s="30" t="s">
        <v>54</v>
      </c>
      <c r="C47" s="48">
        <f>SUM(C44:C46)</f>
        <v>898765.70488700003</v>
      </c>
      <c r="D47" s="52">
        <f t="shared" ref="D47:J47" si="83">SUM(D44:D46)</f>
        <v>608996.55729600007</v>
      </c>
      <c r="E47" s="52">
        <f t="shared" si="83"/>
        <v>1719482.0782320001</v>
      </c>
      <c r="F47" s="52">
        <f t="shared" si="83"/>
        <v>752425.83014400001</v>
      </c>
      <c r="G47" s="52">
        <f t="shared" si="83"/>
        <v>330679.12406399997</v>
      </c>
      <c r="H47" s="52">
        <f t="shared" si="83"/>
        <v>463072.88699999999</v>
      </c>
      <c r="I47" s="52">
        <f t="shared" si="83"/>
        <v>538882.46935200004</v>
      </c>
      <c r="J47" s="52">
        <f t="shared" si="83"/>
        <v>629871.69124800002</v>
      </c>
      <c r="K47" s="49">
        <f t="shared" si="2"/>
        <v>5942176.3422230007</v>
      </c>
      <c r="L47" s="80"/>
      <c r="M47" s="48">
        <f t="shared" si="82"/>
        <v>12482857012.319445</v>
      </c>
      <c r="N47" s="52">
        <f t="shared" si="79"/>
        <v>8458285518.000001</v>
      </c>
      <c r="O47" s="52">
        <f t="shared" si="79"/>
        <v>23881695531</v>
      </c>
      <c r="P47" s="52">
        <f t="shared" si="79"/>
        <v>10450358752</v>
      </c>
      <c r="Q47" s="52">
        <f t="shared" si="79"/>
        <v>4592765612</v>
      </c>
      <c r="R47" s="52">
        <f t="shared" si="79"/>
        <v>6431567875</v>
      </c>
      <c r="S47" s="52">
        <f t="shared" si="79"/>
        <v>7484478741</v>
      </c>
      <c r="T47" s="52">
        <f t="shared" si="79"/>
        <v>8748217934</v>
      </c>
      <c r="U47" s="52">
        <f t="shared" si="79"/>
        <v>82530226975.319458</v>
      </c>
      <c r="V47" s="52">
        <v>5988982.5656334702</v>
      </c>
      <c r="Y47" s="51">
        <v>0</v>
      </c>
      <c r="Z47" s="52">
        <f t="shared" si="5"/>
        <v>1507762.2621830001</v>
      </c>
      <c r="AA47" s="52">
        <f t="shared" si="6"/>
        <v>2802587.0324399997</v>
      </c>
      <c r="AB47" s="52">
        <f t="shared" si="7"/>
        <v>1631827.0476000002</v>
      </c>
      <c r="AC47" s="49">
        <f t="shared" si="8"/>
        <v>5942176.3422229998</v>
      </c>
      <c r="AD47" s="51">
        <f>'[1]APAC 17.6.2019'!Y47</f>
        <v>0</v>
      </c>
      <c r="AE47" s="52">
        <f>'[1]APAC 17.6.2019'!Z47</f>
        <v>1507762.2621830001</v>
      </c>
      <c r="AF47" s="52">
        <f>'[1]APAC 17.6.2019'!AA47</f>
        <v>2802587.0324399997</v>
      </c>
      <c r="AG47" s="52">
        <f>'[1]APAC 17.6.2019'!AB47</f>
        <v>1631827.0476000002</v>
      </c>
      <c r="AH47" s="49">
        <f>'[1]APAC 17.6.2019'!AC47</f>
        <v>5942176.3422229998</v>
      </c>
      <c r="AI47" s="51"/>
      <c r="AJ47" s="52">
        <f>SUM(AJ44:AJ46)</f>
        <v>1367753.9584065382</v>
      </c>
      <c r="AK47" s="52">
        <f t="shared" ref="AK47:AL47" si="84">SUM(AK44:AK46)</f>
        <v>1249568</v>
      </c>
      <c r="AL47" s="52">
        <f t="shared" si="84"/>
        <v>2770370</v>
      </c>
      <c r="AM47" s="49">
        <f t="shared" si="1"/>
        <v>5387691.9584065378</v>
      </c>
      <c r="AN47" s="52">
        <v>0</v>
      </c>
      <c r="AO47" s="52">
        <f>SUM(AO44:AO46)</f>
        <v>1597908.7735200003</v>
      </c>
      <c r="AP47" s="52">
        <f t="shared" ref="AP47:AQ47" si="85">SUM(AP44:AP46)</f>
        <v>1256859.3989520001</v>
      </c>
      <c r="AQ47" s="52">
        <f t="shared" si="85"/>
        <v>2786533.1359200003</v>
      </c>
      <c r="AR47" s="52">
        <f t="shared" si="9"/>
        <v>5641301.3083920004</v>
      </c>
      <c r="AS47" s="51">
        <v>5387691.9584065378</v>
      </c>
      <c r="AT47" s="51">
        <f t="shared" si="10"/>
        <v>5942176.3422229998</v>
      </c>
      <c r="AU47" s="53">
        <f t="shared" si="11"/>
        <v>5942176.3422229998</v>
      </c>
      <c r="AV47" s="49">
        <f t="shared" ref="AV47" si="86">SUM(AV44:AV46)</f>
        <v>5641301.3083920004</v>
      </c>
      <c r="AW47" s="52">
        <f t="shared" si="12"/>
        <v>0</v>
      </c>
      <c r="AX47" s="51">
        <f t="shared" si="80"/>
        <v>554484.38381646201</v>
      </c>
      <c r="AY47" s="49">
        <f t="shared" si="81"/>
        <v>300875.0338309994</v>
      </c>
      <c r="AZ47" s="54"/>
      <c r="BA47" s="51">
        <f t="shared" si="15"/>
        <v>140008.30377646186</v>
      </c>
      <c r="BB47" s="52">
        <f t="shared" si="15"/>
        <v>1553019.0324399997</v>
      </c>
      <c r="BC47" s="52">
        <f t="shared" si="15"/>
        <v>-1138542.9523999998</v>
      </c>
      <c r="BD47" s="49">
        <f t="shared" si="15"/>
        <v>554484.38381646201</v>
      </c>
      <c r="BF47" s="55"/>
      <c r="BG47" s="56"/>
      <c r="BH47" s="56"/>
      <c r="BI47" s="56"/>
      <c r="BJ47" s="56"/>
      <c r="BK47" s="56"/>
      <c r="BL47" s="56"/>
      <c r="BM47" s="57"/>
    </row>
    <row r="48" spans="1:65" x14ac:dyDescent="0.25">
      <c r="A48" s="14" t="s">
        <v>4</v>
      </c>
      <c r="B48" s="30" t="s">
        <v>55</v>
      </c>
      <c r="C48" s="48"/>
      <c r="D48" s="52"/>
      <c r="E48" s="52"/>
      <c r="F48" s="52"/>
      <c r="G48" s="52"/>
      <c r="H48" s="52"/>
      <c r="I48" s="52"/>
      <c r="J48" s="52"/>
      <c r="K48" s="49"/>
      <c r="L48" s="80"/>
      <c r="M48" s="48">
        <f t="shared" si="82"/>
        <v>0</v>
      </c>
      <c r="N48" s="52">
        <f t="shared" si="79"/>
        <v>0</v>
      </c>
      <c r="O48" s="52">
        <f t="shared" si="79"/>
        <v>0</v>
      </c>
      <c r="P48" s="52">
        <f t="shared" si="79"/>
        <v>0</v>
      </c>
      <c r="Q48" s="52">
        <f t="shared" si="79"/>
        <v>0</v>
      </c>
      <c r="R48" s="52">
        <f t="shared" si="79"/>
        <v>0</v>
      </c>
      <c r="S48" s="52">
        <f t="shared" si="79"/>
        <v>0</v>
      </c>
      <c r="T48" s="52">
        <f t="shared" si="79"/>
        <v>0</v>
      </c>
      <c r="U48" s="52">
        <f t="shared" si="79"/>
        <v>0</v>
      </c>
      <c r="V48" s="52"/>
      <c r="Y48" s="51">
        <v>0</v>
      </c>
      <c r="Z48" s="52">
        <f t="shared" si="5"/>
        <v>0</v>
      </c>
      <c r="AA48" s="52">
        <f t="shared" si="6"/>
        <v>0</v>
      </c>
      <c r="AB48" s="52">
        <f t="shared" si="7"/>
        <v>0</v>
      </c>
      <c r="AC48" s="49">
        <f t="shared" si="8"/>
        <v>0</v>
      </c>
      <c r="AD48" s="51">
        <f>'[1]APAC 17.6.2019'!Y48</f>
        <v>0</v>
      </c>
      <c r="AE48" s="52">
        <f>'[1]APAC 17.6.2019'!Z48</f>
        <v>0</v>
      </c>
      <c r="AF48" s="52">
        <f>'[1]APAC 17.6.2019'!AA48</f>
        <v>0</v>
      </c>
      <c r="AG48" s="52">
        <f>'[1]APAC 17.6.2019'!AB48</f>
        <v>0</v>
      </c>
      <c r="AH48" s="49">
        <f>'[1]APAC 17.6.2019'!AC48</f>
        <v>0</v>
      </c>
      <c r="AI48" s="51"/>
      <c r="AJ48" s="52">
        <f>'[1]6.10'!X44</f>
        <v>0</v>
      </c>
      <c r="AK48" s="52">
        <f>'[1]6.10'!Y44</f>
        <v>0</v>
      </c>
      <c r="AL48" s="52">
        <f>'[1]6.10'!Z44</f>
        <v>0</v>
      </c>
      <c r="AM48" s="49">
        <f t="shared" si="1"/>
        <v>0</v>
      </c>
      <c r="AN48" s="52">
        <v>0</v>
      </c>
      <c r="AO48" s="52">
        <v>0</v>
      </c>
      <c r="AP48" s="52">
        <v>0</v>
      </c>
      <c r="AQ48" s="52">
        <v>0</v>
      </c>
      <c r="AR48" s="52">
        <f t="shared" si="9"/>
        <v>0</v>
      </c>
      <c r="AS48" s="51"/>
      <c r="AT48" s="51">
        <f t="shared" si="10"/>
        <v>0</v>
      </c>
      <c r="AU48" s="53">
        <f t="shared" si="11"/>
        <v>0</v>
      </c>
      <c r="AV48" s="49">
        <v>0</v>
      </c>
      <c r="AW48" s="52">
        <f t="shared" si="12"/>
        <v>0</v>
      </c>
      <c r="AX48" s="51">
        <f t="shared" si="80"/>
        <v>0</v>
      </c>
      <c r="AY48" s="49">
        <f t="shared" si="81"/>
        <v>0</v>
      </c>
      <c r="AZ48" s="54"/>
      <c r="BA48" s="51">
        <f t="shared" si="15"/>
        <v>0</v>
      </c>
      <c r="BB48" s="52">
        <f t="shared" si="15"/>
        <v>0</v>
      </c>
      <c r="BC48" s="52">
        <f t="shared" si="15"/>
        <v>0</v>
      </c>
      <c r="BD48" s="49">
        <f t="shared" si="15"/>
        <v>0</v>
      </c>
      <c r="BF48" s="55"/>
      <c r="BG48" s="56"/>
      <c r="BH48" s="56"/>
      <c r="BI48" s="56"/>
      <c r="BJ48" s="56"/>
      <c r="BK48" s="56"/>
      <c r="BL48" s="56"/>
      <c r="BM48" s="57"/>
    </row>
    <row r="49" spans="1:65" x14ac:dyDescent="0.25">
      <c r="A49" s="14" t="s">
        <v>4</v>
      </c>
      <c r="B49" s="62" t="s">
        <v>56</v>
      </c>
      <c r="C49" s="63">
        <f>SUM(C47:C48)</f>
        <v>898765.70488700003</v>
      </c>
      <c r="D49" s="64">
        <f>SUM(D47:D48)</f>
        <v>608996.55729600007</v>
      </c>
      <c r="E49" s="64">
        <f t="shared" ref="E49:J49" si="87">SUM(E47:E48)</f>
        <v>1719482.0782320001</v>
      </c>
      <c r="F49" s="64">
        <f t="shared" si="87"/>
        <v>752425.83014400001</v>
      </c>
      <c r="G49" s="64">
        <f t="shared" si="87"/>
        <v>330679.12406399997</v>
      </c>
      <c r="H49" s="64">
        <f t="shared" si="87"/>
        <v>463072.88699999999</v>
      </c>
      <c r="I49" s="64">
        <f t="shared" si="87"/>
        <v>538882.46935200004</v>
      </c>
      <c r="J49" s="64">
        <f t="shared" si="87"/>
        <v>629871.69124800002</v>
      </c>
      <c r="K49" s="65">
        <f>SUM(C49:J49)</f>
        <v>5942176.3422230007</v>
      </c>
      <c r="L49" s="80"/>
      <c r="M49" s="63">
        <f t="shared" si="82"/>
        <v>12482857012.319445</v>
      </c>
      <c r="N49" s="64">
        <f t="shared" si="79"/>
        <v>8458285518.000001</v>
      </c>
      <c r="O49" s="64">
        <f t="shared" si="79"/>
        <v>23881695531</v>
      </c>
      <c r="P49" s="64">
        <f t="shared" si="79"/>
        <v>10450358752</v>
      </c>
      <c r="Q49" s="64">
        <f t="shared" si="79"/>
        <v>4592765612</v>
      </c>
      <c r="R49" s="64">
        <f t="shared" si="79"/>
        <v>6431567875</v>
      </c>
      <c r="S49" s="64">
        <f t="shared" si="79"/>
        <v>7484478741</v>
      </c>
      <c r="T49" s="64">
        <f t="shared" si="79"/>
        <v>8748217934</v>
      </c>
      <c r="U49" s="66">
        <f t="shared" si="79"/>
        <v>82530226975.319458</v>
      </c>
      <c r="V49" s="66">
        <v>5988982.5656334702</v>
      </c>
      <c r="Y49" s="67">
        <v>0</v>
      </c>
      <c r="Z49" s="64">
        <f t="shared" si="5"/>
        <v>1507762.2621830001</v>
      </c>
      <c r="AA49" s="64">
        <f t="shared" si="6"/>
        <v>2802587.0324399997</v>
      </c>
      <c r="AB49" s="64">
        <f t="shared" si="7"/>
        <v>1631827.0476000002</v>
      </c>
      <c r="AC49" s="65">
        <f t="shared" si="8"/>
        <v>5942176.3422229998</v>
      </c>
      <c r="AD49" s="67">
        <f>'[1]APAC 17.6.2019'!Y49</f>
        <v>0</v>
      </c>
      <c r="AE49" s="64">
        <f>'[1]APAC 17.6.2019'!Z49</f>
        <v>1507762.2621830001</v>
      </c>
      <c r="AF49" s="64">
        <f>'[1]APAC 17.6.2019'!AA49</f>
        <v>2802587.0324399997</v>
      </c>
      <c r="AG49" s="64">
        <f>'[1]APAC 17.6.2019'!AB49</f>
        <v>1631827.0476000002</v>
      </c>
      <c r="AH49" s="65">
        <f>'[1]APAC 17.6.2019'!AC49</f>
        <v>5942176.3422229998</v>
      </c>
      <c r="AI49" s="67"/>
      <c r="AJ49" s="64">
        <f>SUM(AJ47:AJ48)</f>
        <v>1367753.9584065382</v>
      </c>
      <c r="AK49" s="64">
        <f t="shared" ref="AK49:AL49" si="88">SUM(AK47:AK48)</f>
        <v>1249568</v>
      </c>
      <c r="AL49" s="64">
        <f t="shared" si="88"/>
        <v>2770370</v>
      </c>
      <c r="AM49" s="65">
        <f t="shared" si="1"/>
        <v>5387691.9584065378</v>
      </c>
      <c r="AN49" s="64">
        <v>0</v>
      </c>
      <c r="AO49" s="64">
        <f>SUM(AO47:AO48)</f>
        <v>1597908.7735200003</v>
      </c>
      <c r="AP49" s="64">
        <f t="shared" ref="AP49:AQ49" si="89">SUM(AP47:AP48)</f>
        <v>1256859.3989520001</v>
      </c>
      <c r="AQ49" s="64">
        <f t="shared" si="89"/>
        <v>2786533.1359200003</v>
      </c>
      <c r="AR49" s="64">
        <f t="shared" si="9"/>
        <v>5641301.3083920004</v>
      </c>
      <c r="AS49" s="67">
        <v>5387691.9584065378</v>
      </c>
      <c r="AT49" s="67">
        <f t="shared" si="10"/>
        <v>5942176.3422229998</v>
      </c>
      <c r="AU49" s="68">
        <f t="shared" si="11"/>
        <v>5942176.3422229998</v>
      </c>
      <c r="AV49" s="65">
        <f t="shared" ref="AV49" si="90">SUM(AV47:AV48)</f>
        <v>5641301.3083920004</v>
      </c>
      <c r="AW49" s="64">
        <f t="shared" si="12"/>
        <v>0</v>
      </c>
      <c r="AX49" s="69">
        <f t="shared" si="80"/>
        <v>554484.38381646201</v>
      </c>
      <c r="AY49" s="65">
        <f t="shared" si="81"/>
        <v>300875.0338309994</v>
      </c>
      <c r="AZ49" s="54"/>
      <c r="BA49" s="67">
        <f t="shared" si="15"/>
        <v>140008.30377646186</v>
      </c>
      <c r="BB49" s="64">
        <f t="shared" si="15"/>
        <v>1553019.0324399997</v>
      </c>
      <c r="BC49" s="64">
        <f t="shared" si="15"/>
        <v>-1138542.9523999998</v>
      </c>
      <c r="BD49" s="65">
        <f t="shared" si="15"/>
        <v>554484.38381646201</v>
      </c>
      <c r="BF49" s="55"/>
      <c r="BG49" s="56"/>
      <c r="BH49" s="56"/>
      <c r="BI49" s="56"/>
      <c r="BJ49" s="56"/>
      <c r="BK49" s="56"/>
      <c r="BL49" s="56"/>
      <c r="BM49" s="57"/>
    </row>
    <row r="50" spans="1:65" x14ac:dyDescent="0.25">
      <c r="A50" s="14" t="s">
        <v>4</v>
      </c>
      <c r="B50" s="30" t="s">
        <v>57</v>
      </c>
      <c r="C50" s="48">
        <f>'[1]6.28'!L37</f>
        <v>488315.40352699999</v>
      </c>
      <c r="D50" s="48">
        <f>'[1]6.28'!M37</f>
        <v>499530.68020800001</v>
      </c>
      <c r="E50" s="48">
        <f>'[1]6.28'!N37</f>
        <v>1355506.162488</v>
      </c>
      <c r="F50" s="48">
        <f>'[1]6.28'!O37</f>
        <v>580855.48768799996</v>
      </c>
      <c r="G50" s="48">
        <f>'[1]6.28'!P37</f>
        <v>239198.47912800001</v>
      </c>
      <c r="H50" s="48">
        <f>'[1]6.28'!Q37</f>
        <v>320887.69689600001</v>
      </c>
      <c r="I50" s="48">
        <f>'[1]6.28'!R37</f>
        <v>359388.822384</v>
      </c>
      <c r="J50" s="48">
        <f>'[1]6.28'!S37</f>
        <v>401609.65615200001</v>
      </c>
      <c r="K50" s="49">
        <f t="shared" si="2"/>
        <v>4245292.388470999</v>
      </c>
      <c r="L50" s="80"/>
      <c r="M50" s="71">
        <f t="shared" si="82"/>
        <v>6782158382.3194437</v>
      </c>
      <c r="N50" s="71">
        <f t="shared" si="79"/>
        <v>6937926114</v>
      </c>
      <c r="O50" s="71">
        <f t="shared" si="79"/>
        <v>18826474479</v>
      </c>
      <c r="P50" s="71">
        <f t="shared" si="79"/>
        <v>8067437328.999999</v>
      </c>
      <c r="Q50" s="71">
        <f t="shared" si="79"/>
        <v>3322201099</v>
      </c>
      <c r="R50" s="71">
        <f t="shared" si="79"/>
        <v>4456773568</v>
      </c>
      <c r="S50" s="71">
        <f t="shared" si="79"/>
        <v>4991511422</v>
      </c>
      <c r="T50" s="71">
        <f t="shared" si="79"/>
        <v>5577911891</v>
      </c>
      <c r="U50" s="52">
        <f t="shared" si="79"/>
        <v>58962394284.319427</v>
      </c>
      <c r="V50" s="52">
        <v>4294717.4605251839</v>
      </c>
      <c r="Y50" s="51">
        <v>0</v>
      </c>
      <c r="Z50" s="52">
        <f t="shared" si="5"/>
        <v>987846.08373499999</v>
      </c>
      <c r="AA50" s="52">
        <f t="shared" si="6"/>
        <v>2175560.1293039997</v>
      </c>
      <c r="AB50" s="52">
        <f t="shared" si="7"/>
        <v>1081886.1754320001</v>
      </c>
      <c r="AC50" s="49">
        <f t="shared" si="8"/>
        <v>4245292.3884709999</v>
      </c>
      <c r="AD50" s="51">
        <f>'[1]APAC 17.6.2019'!Y50</f>
        <v>0</v>
      </c>
      <c r="AE50" s="52">
        <f>'[1]APAC 17.6.2019'!Z50</f>
        <v>987846.08373499999</v>
      </c>
      <c r="AF50" s="52">
        <f>'[1]APAC 17.6.2019'!AA50</f>
        <v>2175560.1293039997</v>
      </c>
      <c r="AG50" s="52">
        <f>'[1]APAC 17.6.2019'!AB50</f>
        <v>1081886.1754320001</v>
      </c>
      <c r="AH50" s="49">
        <f>'[1]APAC 17.6.2019'!AC50</f>
        <v>4245292.3884709999</v>
      </c>
      <c r="AI50" s="51"/>
      <c r="AJ50" s="52">
        <f>'[1]6.10'!X46</f>
        <v>909751.47562785703</v>
      </c>
      <c r="AK50" s="52">
        <f>'[1]6.10'!Y46</f>
        <v>899873</v>
      </c>
      <c r="AL50" s="52">
        <f>'[1]6.10'!Z46</f>
        <v>1723398</v>
      </c>
      <c r="AM50" s="49">
        <f t="shared" si="1"/>
        <v>3533022.4756278573</v>
      </c>
      <c r="AN50" s="52">
        <v>0</v>
      </c>
      <c r="AO50" s="52">
        <f>'[1]May Forecast'!AC23</f>
        <v>1302894.6076799999</v>
      </c>
      <c r="AP50" s="52">
        <f>'[1]May Forecast'!AD23</f>
        <v>899872.81631999998</v>
      </c>
      <c r="AQ50" s="52">
        <f>'[1]May Forecast'!AE23</f>
        <v>1723398.765408</v>
      </c>
      <c r="AR50" s="52">
        <f t="shared" si="9"/>
        <v>3926166.1894079996</v>
      </c>
      <c r="AS50" s="51">
        <v>3533022.4756278573</v>
      </c>
      <c r="AT50" s="51">
        <f>AH50</f>
        <v>4245292.3884709999</v>
      </c>
      <c r="AU50" s="53">
        <f t="shared" si="11"/>
        <v>4245292.3884709999</v>
      </c>
      <c r="AV50" s="49">
        <f>'[1]May Forecast'!AA23</f>
        <v>3926166.1894080001</v>
      </c>
      <c r="AW50" s="52">
        <f>AU50-AT50</f>
        <v>0</v>
      </c>
      <c r="AX50" s="51">
        <f t="shared" si="80"/>
        <v>712269.91284314264</v>
      </c>
      <c r="AY50" s="49">
        <f t="shared" si="81"/>
        <v>319126.1990629998</v>
      </c>
      <c r="AZ50" s="54"/>
      <c r="BA50" s="51">
        <f t="shared" si="15"/>
        <v>78094.608107142965</v>
      </c>
      <c r="BB50" s="52">
        <f t="shared" si="15"/>
        <v>1275687.1293039997</v>
      </c>
      <c r="BC50" s="52">
        <f t="shared" si="15"/>
        <v>-641511.82456799992</v>
      </c>
      <c r="BD50" s="49">
        <f t="shared" si="15"/>
        <v>712269.91284314264</v>
      </c>
      <c r="BF50" s="55"/>
      <c r="BG50" s="56"/>
      <c r="BH50" s="56"/>
      <c r="BI50" s="56"/>
      <c r="BJ50" s="56"/>
      <c r="BK50" s="56"/>
      <c r="BL50" s="56"/>
      <c r="BM50" s="57"/>
    </row>
    <row r="51" spans="1:65" x14ac:dyDescent="0.25">
      <c r="A51" s="14" t="s">
        <v>4</v>
      </c>
      <c r="B51" s="62" t="s">
        <v>58</v>
      </c>
      <c r="C51" s="63">
        <f>C49-C50</f>
        <v>410450.30136000004</v>
      </c>
      <c r="D51" s="64">
        <f t="shared" ref="D51:J51" si="91">D49-D50</f>
        <v>109465.87708800007</v>
      </c>
      <c r="E51" s="64">
        <f t="shared" si="91"/>
        <v>363975.91574400011</v>
      </c>
      <c r="F51" s="64">
        <f t="shared" si="91"/>
        <v>171570.34245600004</v>
      </c>
      <c r="G51" s="64">
        <f t="shared" si="91"/>
        <v>91480.644935999968</v>
      </c>
      <c r="H51" s="64">
        <f t="shared" si="91"/>
        <v>142185.19010399998</v>
      </c>
      <c r="I51" s="64">
        <f t="shared" si="91"/>
        <v>179493.64696800004</v>
      </c>
      <c r="J51" s="64">
        <f t="shared" si="91"/>
        <v>228262.03509600001</v>
      </c>
      <c r="K51" s="65">
        <f t="shared" si="2"/>
        <v>1696883.9537520004</v>
      </c>
      <c r="L51" s="80"/>
      <c r="M51" s="63">
        <f t="shared" si="82"/>
        <v>5700698630</v>
      </c>
      <c r="N51" s="64">
        <f t="shared" si="79"/>
        <v>1520359404.000001</v>
      </c>
      <c r="O51" s="64">
        <f t="shared" si="79"/>
        <v>5055221052.0000019</v>
      </c>
      <c r="P51" s="64">
        <f t="shared" si="79"/>
        <v>2382921423.0000005</v>
      </c>
      <c r="Q51" s="64">
        <f t="shared" si="79"/>
        <v>1270564512.9999995</v>
      </c>
      <c r="R51" s="64">
        <f t="shared" si="79"/>
        <v>1974794306.9999998</v>
      </c>
      <c r="S51" s="64">
        <f t="shared" si="79"/>
        <v>2492967319.0000005</v>
      </c>
      <c r="T51" s="64">
        <f t="shared" si="79"/>
        <v>3170306043</v>
      </c>
      <c r="U51" s="66">
        <f t="shared" si="79"/>
        <v>23567832691.000004</v>
      </c>
      <c r="V51" s="66">
        <v>1694265.1051082865</v>
      </c>
      <c r="Y51" s="67">
        <v>0</v>
      </c>
      <c r="Z51" s="64">
        <f t="shared" si="5"/>
        <v>519916.17844800011</v>
      </c>
      <c r="AA51" s="64">
        <f t="shared" si="6"/>
        <v>627026.90313600015</v>
      </c>
      <c r="AB51" s="64">
        <f t="shared" si="7"/>
        <v>549940.87216800009</v>
      </c>
      <c r="AC51" s="65">
        <f t="shared" si="8"/>
        <v>1696883.9537520004</v>
      </c>
      <c r="AD51" s="67">
        <f>'[1]APAC 17.6.2019'!Y51</f>
        <v>0</v>
      </c>
      <c r="AE51" s="64">
        <f>'[1]APAC 17.6.2019'!Z51</f>
        <v>519916.17844800011</v>
      </c>
      <c r="AF51" s="64">
        <f>'[1]APAC 17.6.2019'!AA51</f>
        <v>627026.90313600015</v>
      </c>
      <c r="AG51" s="64">
        <f>'[1]APAC 17.6.2019'!AB51</f>
        <v>549940.87216800009</v>
      </c>
      <c r="AH51" s="65">
        <f>'[1]APAC 17.6.2019'!AC51</f>
        <v>1696883.9537520004</v>
      </c>
      <c r="AI51" s="67"/>
      <c r="AJ51" s="64">
        <f t="shared" ref="AJ51:AL51" si="92">AJ49-AJ50</f>
        <v>458002.48277868121</v>
      </c>
      <c r="AK51" s="64">
        <f t="shared" si="92"/>
        <v>349695</v>
      </c>
      <c r="AL51" s="64">
        <f t="shared" si="92"/>
        <v>1046972</v>
      </c>
      <c r="AM51" s="65">
        <f t="shared" si="1"/>
        <v>1854669.4827786812</v>
      </c>
      <c r="AN51" s="64">
        <v>0</v>
      </c>
      <c r="AO51" s="64">
        <f t="shared" ref="AO51:AQ51" si="93">AO49-AO50</f>
        <v>295014.16584000038</v>
      </c>
      <c r="AP51" s="64">
        <f t="shared" si="93"/>
        <v>356986.58263200009</v>
      </c>
      <c r="AQ51" s="64">
        <f t="shared" si="93"/>
        <v>1063134.3705120003</v>
      </c>
      <c r="AR51" s="64">
        <f t="shared" si="9"/>
        <v>1715135.1189840008</v>
      </c>
      <c r="AS51" s="67">
        <v>1854669.4827786814</v>
      </c>
      <c r="AT51" s="67">
        <f t="shared" si="10"/>
        <v>1696883.9537520004</v>
      </c>
      <c r="AU51" s="68">
        <f t="shared" si="11"/>
        <v>1696883.9537520004</v>
      </c>
      <c r="AV51" s="65">
        <f t="shared" ref="AV51" si="94">AV49-AV50</f>
        <v>1715135.1189840003</v>
      </c>
      <c r="AW51" s="64">
        <f t="shared" si="12"/>
        <v>0</v>
      </c>
      <c r="AX51" s="69">
        <f t="shared" si="80"/>
        <v>-157785.52902668109</v>
      </c>
      <c r="AY51" s="65">
        <f t="shared" si="81"/>
        <v>-18251.165231999941</v>
      </c>
      <c r="AZ51" s="54"/>
      <c r="BA51" s="67">
        <f t="shared" si="15"/>
        <v>61913.695669318899</v>
      </c>
      <c r="BB51" s="64">
        <f t="shared" si="15"/>
        <v>277331.90313600015</v>
      </c>
      <c r="BC51" s="64">
        <f t="shared" si="15"/>
        <v>-497031.12783199991</v>
      </c>
      <c r="BD51" s="65">
        <f t="shared" si="15"/>
        <v>-157785.52902668086</v>
      </c>
      <c r="BF51" s="55"/>
      <c r="BG51" s="56"/>
      <c r="BH51" s="56"/>
      <c r="BI51" s="56"/>
      <c r="BJ51" s="56"/>
      <c r="BK51" s="56"/>
      <c r="BL51" s="56"/>
      <c r="BM51" s="57"/>
    </row>
    <row r="52" spans="1:65" x14ac:dyDescent="0.25">
      <c r="A52" s="14"/>
      <c r="B52" s="47" t="s">
        <v>59</v>
      </c>
      <c r="C52" s="73">
        <f>C51/C49</f>
        <v>0.45668220218928485</v>
      </c>
      <c r="D52" s="73">
        <f t="shared" ref="D52:K52" si="95">D51/D49</f>
        <v>0.17974794073391562</v>
      </c>
      <c r="E52" s="73">
        <f t="shared" si="95"/>
        <v>0.21167764430452579</v>
      </c>
      <c r="F52" s="73">
        <f t="shared" si="95"/>
        <v>0.22802293007825733</v>
      </c>
      <c r="G52" s="73">
        <f t="shared" si="95"/>
        <v>0.27664475401929123</v>
      </c>
      <c r="H52" s="73">
        <f t="shared" si="95"/>
        <v>0.30704710661239809</v>
      </c>
      <c r="I52" s="73">
        <f t="shared" si="95"/>
        <v>0.33308496226243745</v>
      </c>
      <c r="J52" s="73">
        <f t="shared" si="95"/>
        <v>0.36239449759002768</v>
      </c>
      <c r="K52" s="73">
        <f t="shared" si="95"/>
        <v>0.28556607142311546</v>
      </c>
      <c r="L52" s="80"/>
      <c r="M52" s="74"/>
      <c r="N52" s="74"/>
      <c r="O52" s="74"/>
      <c r="P52" s="74"/>
      <c r="Q52" s="74"/>
      <c r="R52" s="74"/>
      <c r="S52" s="74"/>
      <c r="T52" s="74"/>
      <c r="U52" s="74"/>
      <c r="V52" s="74"/>
      <c r="Y52" s="75"/>
      <c r="Z52" s="74"/>
      <c r="AA52" s="74"/>
      <c r="AB52" s="74"/>
      <c r="AC52" s="76"/>
      <c r="AD52" s="75">
        <f>'[1]APAC 17.6.2019'!Y52</f>
        <v>0</v>
      </c>
      <c r="AE52" s="74">
        <f>'[1]APAC 17.6.2019'!Z52</f>
        <v>0</v>
      </c>
      <c r="AF52" s="74">
        <f>'[1]APAC 17.6.2019'!AA52</f>
        <v>0</v>
      </c>
      <c r="AG52" s="74">
        <f>'[1]APAC 17.6.2019'!AB52</f>
        <v>0</v>
      </c>
      <c r="AH52" s="76">
        <f>'[1]APAC 17.6.2019'!AC52</f>
        <v>0</v>
      </c>
      <c r="AI52" s="75"/>
      <c r="AJ52" s="74"/>
      <c r="AK52" s="74"/>
      <c r="AL52" s="74"/>
      <c r="AM52" s="76"/>
      <c r="AN52" s="74"/>
      <c r="AO52" s="74"/>
      <c r="AP52" s="74"/>
      <c r="AQ52" s="74"/>
      <c r="AR52" s="74"/>
      <c r="AS52" s="75"/>
      <c r="AT52" s="75">
        <f t="shared" si="10"/>
        <v>0</v>
      </c>
      <c r="AU52" s="77">
        <f t="shared" si="11"/>
        <v>0</v>
      </c>
      <c r="AV52" s="76"/>
      <c r="AW52" s="74">
        <f t="shared" si="12"/>
        <v>0</v>
      </c>
      <c r="AX52" s="75"/>
      <c r="AY52" s="76"/>
      <c r="AZ52" s="54"/>
      <c r="BA52" s="75"/>
      <c r="BB52" s="74"/>
      <c r="BC52" s="74"/>
      <c r="BD52" s="76"/>
      <c r="BF52" s="55"/>
      <c r="BG52" s="56"/>
      <c r="BH52" s="56"/>
      <c r="BI52" s="56"/>
      <c r="BJ52" s="56"/>
      <c r="BK52" s="56"/>
      <c r="BL52" s="56"/>
      <c r="BM52" s="57"/>
    </row>
    <row r="53" spans="1:65" x14ac:dyDescent="0.25">
      <c r="A53" s="14"/>
      <c r="B53" s="30"/>
      <c r="C53" s="87"/>
      <c r="D53" s="30"/>
      <c r="E53" s="30"/>
      <c r="F53" s="30"/>
      <c r="G53" s="30"/>
      <c r="H53" s="30"/>
      <c r="I53" s="30"/>
      <c r="J53" s="30"/>
      <c r="K53" s="49"/>
      <c r="L53" s="80"/>
      <c r="V53" s="52"/>
      <c r="Y53" s="51"/>
      <c r="Z53" s="52"/>
      <c r="AA53" s="52"/>
      <c r="AB53" s="52"/>
      <c r="AC53" s="49">
        <f t="shared" si="8"/>
        <v>0</v>
      </c>
      <c r="AD53" s="51">
        <f>'[1]APAC 17.6.2019'!Y53</f>
        <v>0</v>
      </c>
      <c r="AE53" s="52">
        <f>'[1]APAC 17.6.2019'!Z53</f>
        <v>0</v>
      </c>
      <c r="AF53" s="52">
        <f>'[1]APAC 17.6.2019'!AA53</f>
        <v>0</v>
      </c>
      <c r="AG53" s="52">
        <f>'[1]APAC 17.6.2019'!AB53</f>
        <v>0</v>
      </c>
      <c r="AH53" s="49">
        <f>'[1]APAC 17.6.2019'!AC53</f>
        <v>0</v>
      </c>
      <c r="AI53" s="51"/>
      <c r="AJ53" s="52"/>
      <c r="AK53" s="52"/>
      <c r="AL53" s="52"/>
      <c r="AM53" s="49">
        <f t="shared" si="1"/>
        <v>0</v>
      </c>
      <c r="AN53" s="52"/>
      <c r="AO53" s="52"/>
      <c r="AP53" s="52"/>
      <c r="AQ53" s="52"/>
      <c r="AR53" s="52">
        <f t="shared" si="9"/>
        <v>0</v>
      </c>
      <c r="AS53" s="51"/>
      <c r="AT53" s="51">
        <f t="shared" si="10"/>
        <v>0</v>
      </c>
      <c r="AU53" s="53">
        <f t="shared" si="11"/>
        <v>0</v>
      </c>
      <c r="AV53" s="49"/>
      <c r="AW53" s="52">
        <f t="shared" si="12"/>
        <v>0</v>
      </c>
      <c r="AX53" s="51">
        <f t="shared" si="80"/>
        <v>0</v>
      </c>
      <c r="AY53" s="49">
        <f t="shared" si="81"/>
        <v>0</v>
      </c>
      <c r="AZ53" s="54"/>
      <c r="BA53" s="51">
        <f t="shared" si="15"/>
        <v>0</v>
      </c>
      <c r="BB53" s="52">
        <f t="shared" si="15"/>
        <v>0</v>
      </c>
      <c r="BC53" s="52">
        <f t="shared" si="15"/>
        <v>0</v>
      </c>
      <c r="BD53" s="49">
        <f t="shared" si="15"/>
        <v>0</v>
      </c>
      <c r="BF53" s="55"/>
      <c r="BG53" s="56"/>
      <c r="BH53" s="56"/>
      <c r="BI53" s="56"/>
      <c r="BJ53" s="56"/>
      <c r="BK53" s="56"/>
      <c r="BL53" s="56"/>
      <c r="BM53" s="57"/>
    </row>
    <row r="54" spans="1:65" x14ac:dyDescent="0.25">
      <c r="A54" s="14" t="s">
        <v>62</v>
      </c>
      <c r="B54" s="47" t="s">
        <v>5</v>
      </c>
      <c r="C54" s="48"/>
      <c r="D54" s="52">
        <f>'[1]Host Loaded1'!M24</f>
        <v>0</v>
      </c>
      <c r="E54" s="52">
        <f>'[1]Host Loaded1'!N24</f>
        <v>0</v>
      </c>
      <c r="F54" s="52">
        <f>'[1]Host Loaded1'!O24</f>
        <v>0</v>
      </c>
      <c r="G54" s="52">
        <f>'[1]Host Loaded1'!P24</f>
        <v>0</v>
      </c>
      <c r="H54" s="52">
        <f>'[1]6.28'!Q38</f>
        <v>1444521.0552000001</v>
      </c>
      <c r="I54" s="52">
        <f>'[1]6.28'!R38</f>
        <v>1515041.4513000001</v>
      </c>
      <c r="J54" s="52">
        <f>'[1]6.28'!S38</f>
        <v>1430765.2899</v>
      </c>
      <c r="K54" s="49">
        <f t="shared" si="2"/>
        <v>4390327.7964000003</v>
      </c>
      <c r="L54" s="80">
        <f>'[1]Currency Exchange Rate'!H146</f>
        <v>0.69330000000000003</v>
      </c>
      <c r="M54" s="48">
        <f>C54/$L$54</f>
        <v>0</v>
      </c>
      <c r="N54" s="52">
        <f t="shared" ref="N54:U61" si="96">D54/$L$54</f>
        <v>0</v>
      </c>
      <c r="O54" s="52">
        <f t="shared" si="96"/>
        <v>0</v>
      </c>
      <c r="P54" s="52">
        <f t="shared" si="96"/>
        <v>0</v>
      </c>
      <c r="Q54" s="52">
        <f t="shared" si="96"/>
        <v>0</v>
      </c>
      <c r="R54" s="71">
        <f t="shared" si="96"/>
        <v>2083544</v>
      </c>
      <c r="S54" s="71">
        <f t="shared" si="96"/>
        <v>2185261</v>
      </c>
      <c r="T54" s="71">
        <f t="shared" si="96"/>
        <v>2063702.9999999998</v>
      </c>
      <c r="U54" s="52">
        <f t="shared" si="96"/>
        <v>6332508</v>
      </c>
      <c r="V54" s="52">
        <v>2195164.4221967971</v>
      </c>
      <c r="Y54" s="51">
        <v>0</v>
      </c>
      <c r="Z54" s="52">
        <f t="shared" si="5"/>
        <v>0</v>
      </c>
      <c r="AA54" s="52">
        <f t="shared" si="6"/>
        <v>0</v>
      </c>
      <c r="AB54" s="52">
        <f t="shared" si="7"/>
        <v>4390327.7964000003</v>
      </c>
      <c r="AC54" s="49">
        <f t="shared" si="8"/>
        <v>4390327.7964000003</v>
      </c>
      <c r="AD54" s="51">
        <f>'[1]APAC 17.6.2019'!Y54</f>
        <v>0</v>
      </c>
      <c r="AE54" s="52">
        <f>'[1]APAC 17.6.2019'!Z54</f>
        <v>0</v>
      </c>
      <c r="AF54" s="52">
        <f>'[1]APAC 17.6.2019'!AA54</f>
        <v>0</v>
      </c>
      <c r="AG54" s="52">
        <f>'[1]APAC 17.6.2019'!AB54</f>
        <v>4390327.7964000003</v>
      </c>
      <c r="AH54" s="49">
        <f>'[1]APAC 17.6.2019'!AC54</f>
        <v>4390327.7964000003</v>
      </c>
      <c r="AI54" s="51"/>
      <c r="AJ54" s="52">
        <f>'[1]6.10'!X49</f>
        <v>0</v>
      </c>
      <c r="AK54" s="52">
        <f>'[1]6.10'!Y49</f>
        <v>0</v>
      </c>
      <c r="AL54" s="52">
        <f>'[1]6.10'!Z49</f>
        <v>2195174</v>
      </c>
      <c r="AM54" s="49">
        <f t="shared" si="1"/>
        <v>2195174</v>
      </c>
      <c r="AN54" s="52">
        <v>0</v>
      </c>
      <c r="AO54" s="52">
        <f>'[1]May Forecast'!AC24</f>
        <v>0</v>
      </c>
      <c r="AP54" s="52">
        <f>'[1]May Forecast'!AD24</f>
        <v>0</v>
      </c>
      <c r="AQ54" s="52">
        <f>'[1]May Forecast'!AE24</f>
        <v>2195174.2977</v>
      </c>
      <c r="AR54" s="52">
        <f t="shared" si="9"/>
        <v>2195174.2977</v>
      </c>
      <c r="AS54" s="51">
        <v>2195174</v>
      </c>
      <c r="AT54" s="51">
        <f t="shared" si="10"/>
        <v>4390327.7964000003</v>
      </c>
      <c r="AU54" s="53">
        <f t="shared" si="11"/>
        <v>4390327.7964000003</v>
      </c>
      <c r="AV54" s="49">
        <f>'[1]May Forecast'!AA24</f>
        <v>2195174.2977</v>
      </c>
      <c r="AW54" s="52">
        <f t="shared" si="12"/>
        <v>0</v>
      </c>
      <c r="AX54" s="51">
        <f t="shared" si="80"/>
        <v>2195153.7964000003</v>
      </c>
      <c r="AY54" s="49">
        <f t="shared" si="81"/>
        <v>2195153.4987000003</v>
      </c>
      <c r="AZ54" s="54"/>
      <c r="BA54" s="51">
        <f t="shared" si="15"/>
        <v>0</v>
      </c>
      <c r="BB54" s="52">
        <f t="shared" si="15"/>
        <v>0</v>
      </c>
      <c r="BC54" s="52">
        <f t="shared" si="15"/>
        <v>2195153.7964000003</v>
      </c>
      <c r="BD54" s="49">
        <f t="shared" si="15"/>
        <v>2195153.7964000003</v>
      </c>
      <c r="BF54" s="55"/>
      <c r="BG54" s="56"/>
      <c r="BH54" s="56"/>
      <c r="BI54" s="56"/>
      <c r="BJ54" s="56"/>
      <c r="BK54" s="56"/>
      <c r="BL54" s="56"/>
      <c r="BM54" s="57"/>
    </row>
    <row r="55" spans="1:65" x14ac:dyDescent="0.25">
      <c r="A55" s="14" t="s">
        <v>62</v>
      </c>
      <c r="B55" s="30" t="s">
        <v>52</v>
      </c>
      <c r="C55" s="48">
        <v>0</v>
      </c>
      <c r="D55" s="48">
        <v>0</v>
      </c>
      <c r="E55" s="48">
        <v>0</v>
      </c>
      <c r="F55" s="48">
        <v>0</v>
      </c>
      <c r="G55" s="48">
        <v>0</v>
      </c>
      <c r="H55" s="48">
        <v>0</v>
      </c>
      <c r="I55" s="48">
        <v>0</v>
      </c>
      <c r="J55" s="48">
        <v>0</v>
      </c>
      <c r="K55" s="49">
        <f t="shared" si="2"/>
        <v>0</v>
      </c>
      <c r="M55" s="48">
        <f t="shared" ref="M55:M61" si="97">C55/$L$54</f>
        <v>0</v>
      </c>
      <c r="N55" s="48">
        <f t="shared" si="96"/>
        <v>0</v>
      </c>
      <c r="O55" s="48">
        <f t="shared" si="96"/>
        <v>0</v>
      </c>
      <c r="P55" s="48">
        <f t="shared" si="96"/>
        <v>0</v>
      </c>
      <c r="Q55" s="48">
        <f t="shared" si="96"/>
        <v>0</v>
      </c>
      <c r="R55" s="48">
        <f t="shared" si="96"/>
        <v>0</v>
      </c>
      <c r="S55" s="48">
        <f t="shared" si="96"/>
        <v>0</v>
      </c>
      <c r="T55" s="48">
        <f t="shared" si="96"/>
        <v>0</v>
      </c>
      <c r="U55" s="52">
        <f t="shared" si="96"/>
        <v>0</v>
      </c>
      <c r="V55" s="52">
        <v>0</v>
      </c>
      <c r="Y55" s="51">
        <v>0</v>
      </c>
      <c r="Z55" s="52">
        <f t="shared" si="5"/>
        <v>0</v>
      </c>
      <c r="AA55" s="52">
        <f t="shared" si="6"/>
        <v>0</v>
      </c>
      <c r="AB55" s="52">
        <f t="shared" si="7"/>
        <v>0</v>
      </c>
      <c r="AC55" s="49">
        <f t="shared" si="8"/>
        <v>0</v>
      </c>
      <c r="AD55" s="51">
        <f>'[1]APAC 17.6.2019'!Y55</f>
        <v>0</v>
      </c>
      <c r="AE55" s="52">
        <f>'[1]APAC 17.6.2019'!Z55</f>
        <v>0</v>
      </c>
      <c r="AF55" s="52">
        <f>'[1]APAC 17.6.2019'!AA55</f>
        <v>0</v>
      </c>
      <c r="AG55" s="52">
        <f>'[1]APAC 17.6.2019'!AB55</f>
        <v>0</v>
      </c>
      <c r="AH55" s="49">
        <f>'[1]APAC 17.6.2019'!AC55</f>
        <v>0</v>
      </c>
      <c r="AI55" s="51"/>
      <c r="AJ55" s="52">
        <f>'[1]6.10'!X50</f>
        <v>0</v>
      </c>
      <c r="AK55" s="52">
        <f>'[1]6.10'!Y50</f>
        <v>0</v>
      </c>
      <c r="AL55" s="52">
        <f>'[1]6.10'!Z50</f>
        <v>0</v>
      </c>
      <c r="AM55" s="49">
        <f t="shared" si="1"/>
        <v>0</v>
      </c>
      <c r="AN55" s="52">
        <v>0</v>
      </c>
      <c r="AO55" s="52">
        <f>'[1]May Forecast'!AC25</f>
        <v>0</v>
      </c>
      <c r="AP55" s="52">
        <f>'[1]May Forecast'!AD25</f>
        <v>0</v>
      </c>
      <c r="AQ55" s="52">
        <f>'[1]May Forecast'!AE25</f>
        <v>10975.632300000001</v>
      </c>
      <c r="AR55" s="52">
        <f t="shared" si="9"/>
        <v>10975.632300000001</v>
      </c>
      <c r="AS55" s="51">
        <v>0</v>
      </c>
      <c r="AT55" s="51">
        <f t="shared" si="10"/>
        <v>0</v>
      </c>
      <c r="AU55" s="53">
        <f t="shared" si="11"/>
        <v>0</v>
      </c>
      <c r="AV55" s="49">
        <f>'[1]May Forecast'!AA25</f>
        <v>10975.632299999999</v>
      </c>
      <c r="AW55" s="52">
        <f t="shared" si="12"/>
        <v>0</v>
      </c>
      <c r="AX55" s="51">
        <f t="shared" si="80"/>
        <v>0</v>
      </c>
      <c r="AY55" s="49">
        <f t="shared" si="81"/>
        <v>-10975.632299999999</v>
      </c>
      <c r="AZ55" s="54"/>
      <c r="BA55" s="51">
        <f t="shared" si="15"/>
        <v>0</v>
      </c>
      <c r="BB55" s="52">
        <f t="shared" si="15"/>
        <v>0</v>
      </c>
      <c r="BC55" s="52">
        <f t="shared" si="15"/>
        <v>0</v>
      </c>
      <c r="BD55" s="49">
        <f t="shared" si="15"/>
        <v>0</v>
      </c>
      <c r="BF55" s="55"/>
      <c r="BG55" s="56"/>
      <c r="BH55" s="56"/>
      <c r="BI55" s="56"/>
      <c r="BJ55" s="56"/>
      <c r="BK55" s="56"/>
      <c r="BL55" s="56"/>
      <c r="BM55" s="57"/>
    </row>
    <row r="56" spans="1:65" x14ac:dyDescent="0.25">
      <c r="A56" s="14" t="s">
        <v>62</v>
      </c>
      <c r="B56" s="30" t="s">
        <v>53</v>
      </c>
      <c r="C56" s="48"/>
      <c r="D56" s="52">
        <f>'[1]Host Loaded1'!M25</f>
        <v>0</v>
      </c>
      <c r="E56" s="52">
        <f>'[1]Host Loaded1'!N25</f>
        <v>0</v>
      </c>
      <c r="F56" s="52">
        <f>'[1]Host Loaded1'!O25</f>
        <v>0</v>
      </c>
      <c r="G56" s="52">
        <f>'[1]Host Loaded1'!P25</f>
        <v>0</v>
      </c>
      <c r="H56" s="52">
        <f>'[1]6.28'!Q39</f>
        <v>-216677.74230000001</v>
      </c>
      <c r="I56" s="52">
        <f>'[1]6.28'!R39</f>
        <v>-227256.11369999999</v>
      </c>
      <c r="J56" s="52">
        <f>'[1]6.28'!S39</f>
        <v>-214615.17480000001</v>
      </c>
      <c r="K56" s="49">
        <f t="shared" si="2"/>
        <v>-658549.03080000007</v>
      </c>
      <c r="M56" s="48">
        <f t="shared" si="97"/>
        <v>0</v>
      </c>
      <c r="N56" s="52">
        <f t="shared" si="96"/>
        <v>0</v>
      </c>
      <c r="O56" s="52">
        <f t="shared" si="96"/>
        <v>0</v>
      </c>
      <c r="P56" s="52">
        <f t="shared" si="96"/>
        <v>0</v>
      </c>
      <c r="Q56" s="52">
        <f t="shared" si="96"/>
        <v>0</v>
      </c>
      <c r="R56" s="52">
        <f t="shared" si="96"/>
        <v>-312531</v>
      </c>
      <c r="S56" s="52">
        <f t="shared" si="96"/>
        <v>-327788.99999999994</v>
      </c>
      <c r="T56" s="52">
        <f t="shared" si="96"/>
        <v>-309556</v>
      </c>
      <c r="U56" s="52">
        <f t="shared" si="96"/>
        <v>-949876</v>
      </c>
      <c r="V56" s="52">
        <v>-65856</v>
      </c>
      <c r="Y56" s="51">
        <v>0</v>
      </c>
      <c r="Z56" s="52">
        <f t="shared" si="5"/>
        <v>0</v>
      </c>
      <c r="AA56" s="52">
        <f t="shared" si="6"/>
        <v>0</v>
      </c>
      <c r="AB56" s="52">
        <f t="shared" si="7"/>
        <v>-658549.03080000007</v>
      </c>
      <c r="AC56" s="49">
        <f t="shared" si="8"/>
        <v>-658549.03080000007</v>
      </c>
      <c r="AD56" s="51">
        <f>'[1]APAC 17.6.2019'!Y56</f>
        <v>0</v>
      </c>
      <c r="AE56" s="52">
        <f>'[1]APAC 17.6.2019'!Z56</f>
        <v>0</v>
      </c>
      <c r="AF56" s="52">
        <f>'[1]APAC 17.6.2019'!AA56</f>
        <v>0</v>
      </c>
      <c r="AG56" s="52">
        <f>'[1]APAC 17.6.2019'!AB56</f>
        <v>-658549.03080000007</v>
      </c>
      <c r="AH56" s="49">
        <f>'[1]APAC 17.6.2019'!AC56</f>
        <v>-658549.03080000007</v>
      </c>
      <c r="AI56" s="51"/>
      <c r="AJ56" s="52">
        <f>'[1]6.10'!X51</f>
        <v>0</v>
      </c>
      <c r="AK56" s="52">
        <f>'[1]6.10'!Y51</f>
        <v>0</v>
      </c>
      <c r="AL56" s="52">
        <f>'[1]6.10'!Z51</f>
        <v>-65856</v>
      </c>
      <c r="AM56" s="49">
        <f t="shared" si="1"/>
        <v>-65856</v>
      </c>
      <c r="AN56" s="52">
        <v>0</v>
      </c>
      <c r="AO56" s="52">
        <f>'[1]May Forecast'!AC26</f>
        <v>0</v>
      </c>
      <c r="AP56" s="52">
        <f>'[1]May Forecast'!AD26</f>
        <v>0</v>
      </c>
      <c r="AQ56" s="52">
        <f>'[1]May Forecast'!AE26</f>
        <v>-65855.180399999997</v>
      </c>
      <c r="AR56" s="52">
        <f t="shared" si="9"/>
        <v>-65855.180399999997</v>
      </c>
      <c r="AS56" s="51">
        <v>-65856</v>
      </c>
      <c r="AT56" s="51">
        <f t="shared" si="10"/>
        <v>-658549.03080000007</v>
      </c>
      <c r="AU56" s="53">
        <f t="shared" si="11"/>
        <v>-658549.03080000007</v>
      </c>
      <c r="AV56" s="49">
        <f>'[1]May Forecast'!AA26</f>
        <v>-65855.180399999997</v>
      </c>
      <c r="AW56" s="52">
        <f t="shared" si="12"/>
        <v>0</v>
      </c>
      <c r="AX56" s="51">
        <f t="shared" si="80"/>
        <v>-592693.03080000007</v>
      </c>
      <c r="AY56" s="49">
        <f t="shared" si="81"/>
        <v>-592693.85040000011</v>
      </c>
      <c r="AZ56" s="54"/>
      <c r="BA56" s="51">
        <f t="shared" si="15"/>
        <v>0</v>
      </c>
      <c r="BB56" s="52">
        <f t="shared" si="15"/>
        <v>0</v>
      </c>
      <c r="BC56" s="52">
        <f t="shared" si="15"/>
        <v>-592693.03080000007</v>
      </c>
      <c r="BD56" s="49">
        <f t="shared" si="15"/>
        <v>-592693.03080000007</v>
      </c>
      <c r="BF56" s="84"/>
      <c r="BG56" s="60"/>
      <c r="BH56" s="60"/>
      <c r="BI56" s="60"/>
      <c r="BJ56" s="60">
        <f>-AB56/AB54</f>
        <v>0.14999996841693686</v>
      </c>
      <c r="BK56" s="60">
        <f>-AL56/AL54</f>
        <v>3.0000355324908187E-2</v>
      </c>
      <c r="BL56" s="60">
        <f>-AC56/AC54</f>
        <v>0.14999996841693686</v>
      </c>
      <c r="BM56" s="61">
        <f>-AM56/AM54</f>
        <v>3.0000355324908187E-2</v>
      </c>
    </row>
    <row r="57" spans="1:65" x14ac:dyDescent="0.25">
      <c r="A57" s="14" t="s">
        <v>62</v>
      </c>
      <c r="B57" s="30" t="s">
        <v>54</v>
      </c>
      <c r="C57" s="48">
        <f>SUM(C54:C56)</f>
        <v>0</v>
      </c>
      <c r="D57" s="52">
        <f t="shared" ref="D57:J57" si="98">SUM(D54:D56)</f>
        <v>0</v>
      </c>
      <c r="E57" s="52">
        <f t="shared" si="98"/>
        <v>0</v>
      </c>
      <c r="F57" s="52">
        <f t="shared" si="98"/>
        <v>0</v>
      </c>
      <c r="G57" s="52">
        <f t="shared" si="98"/>
        <v>0</v>
      </c>
      <c r="H57" s="52">
        <f t="shared" si="98"/>
        <v>1227843.3129</v>
      </c>
      <c r="I57" s="52">
        <f t="shared" si="98"/>
        <v>1287785.3376000002</v>
      </c>
      <c r="J57" s="52">
        <f t="shared" si="98"/>
        <v>1216150.1151000001</v>
      </c>
      <c r="K57" s="49">
        <f t="shared" si="2"/>
        <v>3731778.7656000005</v>
      </c>
      <c r="M57" s="48">
        <f>C57/$L$54</f>
        <v>0</v>
      </c>
      <c r="N57" s="52">
        <f t="shared" si="96"/>
        <v>0</v>
      </c>
      <c r="O57" s="52">
        <f t="shared" si="96"/>
        <v>0</v>
      </c>
      <c r="P57" s="52">
        <f t="shared" si="96"/>
        <v>0</v>
      </c>
      <c r="Q57" s="52">
        <f t="shared" si="96"/>
        <v>0</v>
      </c>
      <c r="R57" s="52">
        <f t="shared" si="96"/>
        <v>1771013</v>
      </c>
      <c r="S57" s="52">
        <f t="shared" si="96"/>
        <v>1857472.0000000002</v>
      </c>
      <c r="T57" s="52">
        <f t="shared" si="96"/>
        <v>1754147</v>
      </c>
      <c r="U57" s="52">
        <f t="shared" si="96"/>
        <v>5382632.0000000009</v>
      </c>
      <c r="V57" s="52">
        <v>2129308.4221967971</v>
      </c>
      <c r="Y57" s="51">
        <v>0</v>
      </c>
      <c r="Z57" s="52">
        <f t="shared" si="5"/>
        <v>0</v>
      </c>
      <c r="AA57" s="52">
        <f t="shared" si="6"/>
        <v>0</v>
      </c>
      <c r="AB57" s="52">
        <f t="shared" si="7"/>
        <v>3731778.7656000005</v>
      </c>
      <c r="AC57" s="49">
        <f t="shared" si="8"/>
        <v>3731778.7656000005</v>
      </c>
      <c r="AD57" s="51">
        <f>'[1]APAC 17.6.2019'!Y57</f>
        <v>0</v>
      </c>
      <c r="AE57" s="52">
        <f>'[1]APAC 17.6.2019'!Z57</f>
        <v>0</v>
      </c>
      <c r="AF57" s="52">
        <f>'[1]APAC 17.6.2019'!AA57</f>
        <v>0</v>
      </c>
      <c r="AG57" s="52">
        <f>'[1]APAC 17.6.2019'!AB57</f>
        <v>3731778.7656000005</v>
      </c>
      <c r="AH57" s="49">
        <f>'[1]APAC 17.6.2019'!AC57</f>
        <v>3731778.7656000005</v>
      </c>
      <c r="AI57" s="51"/>
      <c r="AJ57" s="52">
        <f>SUM(AJ54:AJ56)</f>
        <v>0</v>
      </c>
      <c r="AK57" s="52">
        <f t="shared" ref="AK57:AL57" si="99">SUM(AK54:AK56)</f>
        <v>0</v>
      </c>
      <c r="AL57" s="52">
        <f t="shared" si="99"/>
        <v>2129318</v>
      </c>
      <c r="AM57" s="49">
        <f t="shared" si="1"/>
        <v>2129318</v>
      </c>
      <c r="AN57" s="52">
        <v>0</v>
      </c>
      <c r="AO57" s="52">
        <f>SUM(AO54:AO56)</f>
        <v>0</v>
      </c>
      <c r="AP57" s="52">
        <f t="shared" ref="AP57:AQ57" si="100">SUM(AP54:AP56)</f>
        <v>0</v>
      </c>
      <c r="AQ57" s="52">
        <f t="shared" si="100"/>
        <v>2140294.7496000002</v>
      </c>
      <c r="AR57" s="52">
        <f t="shared" si="9"/>
        <v>2140294.7496000002</v>
      </c>
      <c r="AS57" s="51">
        <v>2129318</v>
      </c>
      <c r="AT57" s="51">
        <f t="shared" si="10"/>
        <v>3731778.7656000005</v>
      </c>
      <c r="AU57" s="53">
        <f t="shared" si="11"/>
        <v>3731778.7656000005</v>
      </c>
      <c r="AV57" s="49">
        <f t="shared" ref="AV57" si="101">SUM(AV54:AV56)</f>
        <v>2140294.7496000002</v>
      </c>
      <c r="AW57" s="52">
        <f t="shared" si="12"/>
        <v>0</v>
      </c>
      <c r="AX57" s="51">
        <f t="shared" si="80"/>
        <v>1602460.7656000005</v>
      </c>
      <c r="AY57" s="49">
        <f t="shared" si="81"/>
        <v>1591484.0160000003</v>
      </c>
      <c r="AZ57" s="54"/>
      <c r="BA57" s="51">
        <f t="shared" si="15"/>
        <v>0</v>
      </c>
      <c r="BB57" s="52">
        <f t="shared" si="15"/>
        <v>0</v>
      </c>
      <c r="BC57" s="52">
        <f t="shared" si="15"/>
        <v>1602460.7656000005</v>
      </c>
      <c r="BD57" s="49">
        <f t="shared" si="15"/>
        <v>1602460.7656000005</v>
      </c>
      <c r="BF57" s="55"/>
      <c r="BG57" s="56"/>
      <c r="BH57" s="56"/>
      <c r="BI57" s="56"/>
      <c r="BJ57" s="56"/>
      <c r="BK57" s="56"/>
      <c r="BL57" s="56"/>
      <c r="BM57" s="57"/>
    </row>
    <row r="58" spans="1:65" x14ac:dyDescent="0.25">
      <c r="A58" s="14" t="s">
        <v>62</v>
      </c>
      <c r="B58" s="30" t="s">
        <v>55</v>
      </c>
      <c r="C58" s="48"/>
      <c r="D58" s="52">
        <f>'[1]Host Loaded1'!M26</f>
        <v>0</v>
      </c>
      <c r="E58" s="52">
        <f>'[1]Host Loaded1'!N26</f>
        <v>0</v>
      </c>
      <c r="F58" s="52">
        <f>'[1]Host Loaded1'!O26</f>
        <v>0</v>
      </c>
      <c r="G58" s="52">
        <f>'[1]Host Loaded1'!P26</f>
        <v>0</v>
      </c>
      <c r="H58" s="52">
        <f>'[1]6.28'!Q40</f>
        <v>-60229.744200000001</v>
      </c>
      <c r="I58" s="52">
        <f>'[1]6.28'!R40</f>
        <v>0</v>
      </c>
      <c r="J58" s="52">
        <f>'[1]6.28'!S40</f>
        <v>-100574.25780000001</v>
      </c>
      <c r="K58" s="49">
        <f t="shared" si="2"/>
        <v>-160804.00200000001</v>
      </c>
      <c r="M58" s="48">
        <f t="shared" si="97"/>
        <v>0</v>
      </c>
      <c r="N58" s="52">
        <f t="shared" si="96"/>
        <v>0</v>
      </c>
      <c r="O58" s="52">
        <f t="shared" si="96"/>
        <v>0</v>
      </c>
      <c r="P58" s="52">
        <f t="shared" si="96"/>
        <v>0</v>
      </c>
      <c r="Q58" s="52">
        <f t="shared" si="96"/>
        <v>0</v>
      </c>
      <c r="R58" s="52">
        <f t="shared" si="96"/>
        <v>-86874</v>
      </c>
      <c r="S58" s="52">
        <f t="shared" si="96"/>
        <v>0</v>
      </c>
      <c r="T58" s="52">
        <f t="shared" si="96"/>
        <v>-145066</v>
      </c>
      <c r="U58" s="52">
        <f t="shared" si="96"/>
        <v>-231940</v>
      </c>
      <c r="V58" s="52">
        <v>-231939.47368421033</v>
      </c>
      <c r="Y58" s="51">
        <v>0</v>
      </c>
      <c r="Z58" s="52">
        <f t="shared" si="5"/>
        <v>0</v>
      </c>
      <c r="AA58" s="52">
        <f t="shared" si="6"/>
        <v>0</v>
      </c>
      <c r="AB58" s="52">
        <f t="shared" si="7"/>
        <v>-160804.00200000001</v>
      </c>
      <c r="AC58" s="49">
        <f t="shared" si="8"/>
        <v>-160804.00200000001</v>
      </c>
      <c r="AD58" s="51">
        <f>'[1]APAC 17.6.2019'!Y58</f>
        <v>0</v>
      </c>
      <c r="AE58" s="52">
        <f>'[1]APAC 17.6.2019'!Z58</f>
        <v>0</v>
      </c>
      <c r="AF58" s="52">
        <f>'[1]APAC 17.6.2019'!AA58</f>
        <v>0</v>
      </c>
      <c r="AG58" s="52">
        <f>'[1]APAC 17.6.2019'!AB58</f>
        <v>-160804.00200000001</v>
      </c>
      <c r="AH58" s="49">
        <f>'[1]APAC 17.6.2019'!AC58</f>
        <v>-160804.00200000001</v>
      </c>
      <c r="AI58" s="51"/>
      <c r="AJ58" s="52">
        <f>'[1]6.10'!X53</f>
        <v>0</v>
      </c>
      <c r="AK58" s="52">
        <f>'[1]6.10'!Y53</f>
        <v>0</v>
      </c>
      <c r="AL58" s="52">
        <f>'[1]6.10'!Z53</f>
        <v>-231941</v>
      </c>
      <c r="AM58" s="49">
        <f t="shared" si="1"/>
        <v>-231941</v>
      </c>
      <c r="AN58" s="52">
        <v>0</v>
      </c>
      <c r="AO58" s="52">
        <f>'[1]May Forecast'!AC27</f>
        <v>0</v>
      </c>
      <c r="AP58" s="52">
        <f>'[1]May Forecast'!AD27</f>
        <v>0</v>
      </c>
      <c r="AQ58" s="52">
        <f>'[1]May Forecast'!AE27</f>
        <v>-231940.74179999999</v>
      </c>
      <c r="AR58" s="52">
        <f t="shared" si="9"/>
        <v>-231940.74179999999</v>
      </c>
      <c r="AS58" s="51">
        <v>-231941</v>
      </c>
      <c r="AT58" s="51">
        <f t="shared" si="10"/>
        <v>-160804.00200000001</v>
      </c>
      <c r="AU58" s="53">
        <f t="shared" si="11"/>
        <v>-160804.00200000001</v>
      </c>
      <c r="AV58" s="49">
        <f>'[1]May Forecast'!AA27</f>
        <v>-231940.74179999999</v>
      </c>
      <c r="AW58" s="52">
        <f t="shared" si="12"/>
        <v>0</v>
      </c>
      <c r="AX58" s="51">
        <f t="shared" si="80"/>
        <v>71136.997999999992</v>
      </c>
      <c r="AY58" s="49">
        <f t="shared" si="81"/>
        <v>71136.739799999981</v>
      </c>
      <c r="AZ58" s="54"/>
      <c r="BA58" s="51">
        <f t="shared" si="15"/>
        <v>0</v>
      </c>
      <c r="BB58" s="52">
        <f t="shared" si="15"/>
        <v>0</v>
      </c>
      <c r="BC58" s="52">
        <f t="shared" si="15"/>
        <v>71136.997999999992</v>
      </c>
      <c r="BD58" s="49">
        <f t="shared" si="15"/>
        <v>71136.997999999992</v>
      </c>
      <c r="BF58" s="55"/>
      <c r="BG58" s="56"/>
      <c r="BH58" s="56"/>
      <c r="BI58" s="56"/>
      <c r="BJ58" s="56"/>
      <c r="BK58" s="56"/>
      <c r="BL58" s="56"/>
      <c r="BM58" s="57"/>
    </row>
    <row r="59" spans="1:65" x14ac:dyDescent="0.25">
      <c r="A59" s="14" t="s">
        <v>62</v>
      </c>
      <c r="B59" s="62" t="s">
        <v>56</v>
      </c>
      <c r="C59" s="63">
        <f>SUM(C57:C58)</f>
        <v>0</v>
      </c>
      <c r="D59" s="64">
        <f t="shared" ref="D59:J59" si="102">SUM(D57:D58)</f>
        <v>0</v>
      </c>
      <c r="E59" s="64">
        <f t="shared" si="102"/>
        <v>0</v>
      </c>
      <c r="F59" s="64">
        <f t="shared" si="102"/>
        <v>0</v>
      </c>
      <c r="G59" s="64">
        <f t="shared" si="102"/>
        <v>0</v>
      </c>
      <c r="H59" s="64">
        <f t="shared" si="102"/>
        <v>1167613.5686999999</v>
      </c>
      <c r="I59" s="64">
        <f t="shared" si="102"/>
        <v>1287785.3376000002</v>
      </c>
      <c r="J59" s="64">
        <f t="shared" si="102"/>
        <v>1115575.8573</v>
      </c>
      <c r="K59" s="65">
        <f t="shared" si="2"/>
        <v>3570974.7636000002</v>
      </c>
      <c r="M59" s="63">
        <f t="shared" si="97"/>
        <v>0</v>
      </c>
      <c r="N59" s="64">
        <f t="shared" si="96"/>
        <v>0</v>
      </c>
      <c r="O59" s="64">
        <f t="shared" si="96"/>
        <v>0</v>
      </c>
      <c r="P59" s="64">
        <f t="shared" si="96"/>
        <v>0</v>
      </c>
      <c r="Q59" s="64">
        <f t="shared" si="96"/>
        <v>0</v>
      </c>
      <c r="R59" s="64">
        <f t="shared" si="96"/>
        <v>1684138.9999999998</v>
      </c>
      <c r="S59" s="64">
        <f t="shared" si="96"/>
        <v>1857472.0000000002</v>
      </c>
      <c r="T59" s="64">
        <f t="shared" si="96"/>
        <v>1609081</v>
      </c>
      <c r="U59" s="66">
        <f t="shared" si="96"/>
        <v>5150692</v>
      </c>
      <c r="V59" s="66">
        <v>1897368.9485125865</v>
      </c>
      <c r="Y59" s="67">
        <v>0</v>
      </c>
      <c r="Z59" s="64">
        <f t="shared" si="5"/>
        <v>0</v>
      </c>
      <c r="AA59" s="64">
        <f t="shared" si="6"/>
        <v>0</v>
      </c>
      <c r="AB59" s="64">
        <f t="shared" si="7"/>
        <v>3570974.7636000002</v>
      </c>
      <c r="AC59" s="65">
        <f t="shared" si="8"/>
        <v>3570974.7636000002</v>
      </c>
      <c r="AD59" s="67">
        <f>'[1]APAC 17.6.2019'!Y59</f>
        <v>0</v>
      </c>
      <c r="AE59" s="64">
        <f>'[1]APAC 17.6.2019'!Z59</f>
        <v>0</v>
      </c>
      <c r="AF59" s="64">
        <f>'[1]APAC 17.6.2019'!AA59</f>
        <v>0</v>
      </c>
      <c r="AG59" s="64">
        <f>'[1]APAC 17.6.2019'!AB59</f>
        <v>3570974.7636000002</v>
      </c>
      <c r="AH59" s="65">
        <f>'[1]APAC 17.6.2019'!AC59</f>
        <v>3570974.7636000002</v>
      </c>
      <c r="AI59" s="67"/>
      <c r="AJ59" s="64">
        <f>SUM(AJ57:AJ58)</f>
        <v>0</v>
      </c>
      <c r="AK59" s="64">
        <f t="shared" ref="AK59:AL59" si="103">SUM(AK57:AK58)</f>
        <v>0</v>
      </c>
      <c r="AL59" s="64">
        <f t="shared" si="103"/>
        <v>1897377</v>
      </c>
      <c r="AM59" s="65">
        <f t="shared" si="1"/>
        <v>1897377</v>
      </c>
      <c r="AN59" s="64">
        <v>0</v>
      </c>
      <c r="AO59" s="64">
        <f>SUM(AO57:AO58)</f>
        <v>0</v>
      </c>
      <c r="AP59" s="64">
        <f t="shared" ref="AP59:AQ59" si="104">SUM(AP57:AP58)</f>
        <v>0</v>
      </c>
      <c r="AQ59" s="64">
        <f t="shared" si="104"/>
        <v>1908354.0078000003</v>
      </c>
      <c r="AR59" s="64">
        <f t="shared" si="9"/>
        <v>1908354.0078000003</v>
      </c>
      <c r="AS59" s="67">
        <v>1897377</v>
      </c>
      <c r="AT59" s="67">
        <f t="shared" si="10"/>
        <v>3570974.7636000002</v>
      </c>
      <c r="AU59" s="68">
        <f t="shared" si="11"/>
        <v>3570974.7636000002</v>
      </c>
      <c r="AV59" s="65">
        <f t="shared" ref="AV59" si="105">SUM(AV57:AV58)</f>
        <v>1908354.0078000003</v>
      </c>
      <c r="AW59" s="64">
        <f t="shared" si="12"/>
        <v>0</v>
      </c>
      <c r="AX59" s="69">
        <f t="shared" si="80"/>
        <v>1673597.7636000002</v>
      </c>
      <c r="AY59" s="65">
        <f t="shared" si="81"/>
        <v>1662620.7557999999</v>
      </c>
      <c r="AZ59" s="54"/>
      <c r="BA59" s="67">
        <f t="shared" si="15"/>
        <v>0</v>
      </c>
      <c r="BB59" s="64">
        <f t="shared" si="15"/>
        <v>0</v>
      </c>
      <c r="BC59" s="64">
        <f t="shared" si="15"/>
        <v>1673597.7636000002</v>
      </c>
      <c r="BD59" s="65">
        <f t="shared" si="15"/>
        <v>1673597.7636000002</v>
      </c>
      <c r="BF59" s="55"/>
      <c r="BG59" s="56"/>
      <c r="BH59" s="56"/>
      <c r="BI59" s="56"/>
      <c r="BJ59" s="56"/>
      <c r="BK59" s="56"/>
      <c r="BL59" s="56"/>
      <c r="BM59" s="57"/>
    </row>
    <row r="60" spans="1:65" x14ac:dyDescent="0.25">
      <c r="A60" s="14" t="s">
        <v>62</v>
      </c>
      <c r="B60" s="30" t="s">
        <v>57</v>
      </c>
      <c r="C60" s="48"/>
      <c r="D60" s="52">
        <f>'[1]Host Loaded1'!M27</f>
        <v>0</v>
      </c>
      <c r="E60" s="52">
        <f>'[1]Host Loaded1'!N27</f>
        <v>0</v>
      </c>
      <c r="F60" s="52">
        <f>'[1]Host Loaded1'!O27</f>
        <v>0</v>
      </c>
      <c r="G60" s="52">
        <f>'[1]Host Loaded1'!P27</f>
        <v>0</v>
      </c>
      <c r="H60" s="52">
        <f>'[1]Host Loaded1'!Q27</f>
        <v>480465.21960000001</v>
      </c>
      <c r="I60" s="52">
        <f>'[1]Host Loaded1'!R27</f>
        <v>499250.18310000002</v>
      </c>
      <c r="J60" s="52">
        <f>'[1]Host Loaded1'!S27</f>
        <v>475714.03470000002</v>
      </c>
      <c r="K60" s="49">
        <f t="shared" si="2"/>
        <v>1455429.4373999999</v>
      </c>
      <c r="M60" s="48">
        <f t="shared" si="97"/>
        <v>0</v>
      </c>
      <c r="N60" s="52">
        <f t="shared" si="96"/>
        <v>0</v>
      </c>
      <c r="O60" s="52">
        <f t="shared" si="96"/>
        <v>0</v>
      </c>
      <c r="P60" s="52">
        <f t="shared" si="96"/>
        <v>0</v>
      </c>
      <c r="Q60" s="52">
        <f t="shared" si="96"/>
        <v>0</v>
      </c>
      <c r="R60" s="52">
        <f t="shared" si="96"/>
        <v>693012</v>
      </c>
      <c r="S60" s="52">
        <f t="shared" si="96"/>
        <v>720107</v>
      </c>
      <c r="T60" s="52">
        <f t="shared" si="96"/>
        <v>686159</v>
      </c>
      <c r="U60" s="52">
        <f t="shared" si="96"/>
        <v>2099278</v>
      </c>
      <c r="V60" s="52">
        <v>727714.60713692289</v>
      </c>
      <c r="Y60" s="51">
        <v>0</v>
      </c>
      <c r="Z60" s="52">
        <f t="shared" si="5"/>
        <v>0</v>
      </c>
      <c r="AA60" s="52">
        <f t="shared" si="6"/>
        <v>0</v>
      </c>
      <c r="AB60" s="52">
        <f t="shared" si="7"/>
        <v>1455429.4373999999</v>
      </c>
      <c r="AC60" s="49">
        <f t="shared" si="8"/>
        <v>1455429.4373999999</v>
      </c>
      <c r="AD60" s="51">
        <f>'[1]APAC 17.6.2019'!Y60</f>
        <v>0</v>
      </c>
      <c r="AE60" s="52">
        <f>'[1]APAC 17.6.2019'!Z60</f>
        <v>0</v>
      </c>
      <c r="AF60" s="52">
        <f>'[1]APAC 17.6.2019'!AA60</f>
        <v>0</v>
      </c>
      <c r="AG60" s="52">
        <f>'[1]APAC 17.6.2019'!AB60</f>
        <v>1455429.4373999999</v>
      </c>
      <c r="AH60" s="49">
        <f>'[1]APAC 17.6.2019'!AC60</f>
        <v>1455429.4373999999</v>
      </c>
      <c r="AI60" s="51"/>
      <c r="AJ60" s="52">
        <f>'[1]6.10'!X55</f>
        <v>0</v>
      </c>
      <c r="AK60" s="52">
        <f>'[1]6.10'!Y55</f>
        <v>0</v>
      </c>
      <c r="AL60" s="52">
        <f>'[1]6.10'!Z55</f>
        <v>746112</v>
      </c>
      <c r="AM60" s="49">
        <f t="shared" si="1"/>
        <v>746112</v>
      </c>
      <c r="AN60" s="52">
        <v>0</v>
      </c>
      <c r="AO60" s="52">
        <f>'[1]May Forecast'!AC28</f>
        <v>0</v>
      </c>
      <c r="AP60" s="52">
        <f>'[1]May Forecast'!AD28</f>
        <v>0</v>
      </c>
      <c r="AQ60" s="52">
        <f>'[1]May Forecast'!AE28</f>
        <v>746112.12749999994</v>
      </c>
      <c r="AR60" s="52">
        <f t="shared" si="9"/>
        <v>746112.12749999994</v>
      </c>
      <c r="AS60" s="51">
        <v>746112</v>
      </c>
      <c r="AT60" s="51">
        <f t="shared" si="10"/>
        <v>1455429.4373999999</v>
      </c>
      <c r="AU60" s="53">
        <f t="shared" si="11"/>
        <v>1455429.4373999999</v>
      </c>
      <c r="AV60" s="49">
        <f>'[1]May Forecast'!AA28</f>
        <v>746112.12749999994</v>
      </c>
      <c r="AW60" s="52">
        <f t="shared" si="12"/>
        <v>0</v>
      </c>
      <c r="AX60" s="51">
        <f t="shared" si="80"/>
        <v>709317.43739999994</v>
      </c>
      <c r="AY60" s="49">
        <f t="shared" si="81"/>
        <v>709317.30989999999</v>
      </c>
      <c r="AZ60" s="54"/>
      <c r="BA60" s="51">
        <f t="shared" si="15"/>
        <v>0</v>
      </c>
      <c r="BB60" s="52">
        <f t="shared" si="15"/>
        <v>0</v>
      </c>
      <c r="BC60" s="52">
        <f t="shared" si="15"/>
        <v>709317.43739999994</v>
      </c>
      <c r="BD60" s="49">
        <f t="shared" si="15"/>
        <v>709317.43739999994</v>
      </c>
      <c r="BF60" s="55"/>
      <c r="BG60" s="56"/>
      <c r="BH60" s="56"/>
      <c r="BI60" s="56"/>
      <c r="BJ60" s="56"/>
      <c r="BK60" s="56"/>
      <c r="BL60" s="56"/>
      <c r="BM60" s="57"/>
    </row>
    <row r="61" spans="1:65" x14ac:dyDescent="0.25">
      <c r="A61" s="14" t="s">
        <v>62</v>
      </c>
      <c r="B61" s="62" t="s">
        <v>58</v>
      </c>
      <c r="C61" s="63">
        <f>C59-C60</f>
        <v>0</v>
      </c>
      <c r="D61" s="64">
        <f t="shared" ref="D61:J61" si="106">D59-D60</f>
        <v>0</v>
      </c>
      <c r="E61" s="64">
        <f t="shared" si="106"/>
        <v>0</v>
      </c>
      <c r="F61" s="64">
        <f t="shared" si="106"/>
        <v>0</v>
      </c>
      <c r="G61" s="64">
        <f t="shared" si="106"/>
        <v>0</v>
      </c>
      <c r="H61" s="64">
        <f t="shared" si="106"/>
        <v>687148.34909999999</v>
      </c>
      <c r="I61" s="64">
        <f t="shared" si="106"/>
        <v>788535.15450000018</v>
      </c>
      <c r="J61" s="64">
        <f t="shared" si="106"/>
        <v>639861.82260000007</v>
      </c>
      <c r="K61" s="65">
        <f t="shared" si="2"/>
        <v>2115545.3262</v>
      </c>
      <c r="M61" s="63">
        <f t="shared" si="97"/>
        <v>0</v>
      </c>
      <c r="N61" s="64">
        <f t="shared" si="96"/>
        <v>0</v>
      </c>
      <c r="O61" s="64">
        <f t="shared" si="96"/>
        <v>0</v>
      </c>
      <c r="P61" s="64">
        <f t="shared" si="96"/>
        <v>0</v>
      </c>
      <c r="Q61" s="64">
        <f t="shared" si="96"/>
        <v>0</v>
      </c>
      <c r="R61" s="64">
        <f t="shared" si="96"/>
        <v>991127</v>
      </c>
      <c r="S61" s="64">
        <f t="shared" si="96"/>
        <v>1137365.0000000002</v>
      </c>
      <c r="T61" s="64">
        <f t="shared" si="96"/>
        <v>922922.00000000012</v>
      </c>
      <c r="U61" s="66">
        <f t="shared" si="96"/>
        <v>3051414</v>
      </c>
      <c r="V61" s="66">
        <v>1169654.3413756634</v>
      </c>
      <c r="Y61" s="67">
        <v>0</v>
      </c>
      <c r="Z61" s="64">
        <f t="shared" si="5"/>
        <v>0</v>
      </c>
      <c r="AA61" s="64">
        <f t="shared" si="6"/>
        <v>0</v>
      </c>
      <c r="AB61" s="64">
        <f t="shared" si="7"/>
        <v>2115545.3262</v>
      </c>
      <c r="AC61" s="65">
        <f t="shared" si="8"/>
        <v>2115545.3262</v>
      </c>
      <c r="AD61" s="67">
        <f>'[1]APAC 17.6.2019'!Y61</f>
        <v>0</v>
      </c>
      <c r="AE61" s="64">
        <f>'[1]APAC 17.6.2019'!Z61</f>
        <v>0</v>
      </c>
      <c r="AF61" s="64">
        <f>'[1]APAC 17.6.2019'!AA61</f>
        <v>0</v>
      </c>
      <c r="AG61" s="64">
        <f>'[1]APAC 17.6.2019'!AB61</f>
        <v>2115545.3262</v>
      </c>
      <c r="AH61" s="65">
        <f>'[1]APAC 17.6.2019'!AC61</f>
        <v>2115545.3262</v>
      </c>
      <c r="AI61" s="67"/>
      <c r="AJ61" s="64">
        <f t="shared" ref="AJ61:AL61" si="107">AJ59-AJ60</f>
        <v>0</v>
      </c>
      <c r="AK61" s="64">
        <f t="shared" si="107"/>
        <v>0</v>
      </c>
      <c r="AL61" s="64">
        <f t="shared" si="107"/>
        <v>1151265</v>
      </c>
      <c r="AM61" s="65">
        <f t="shared" si="1"/>
        <v>1151265</v>
      </c>
      <c r="AN61" s="64">
        <v>0</v>
      </c>
      <c r="AO61" s="64">
        <f t="shared" ref="AO61:AQ61" si="108">AO59-AO60</f>
        <v>0</v>
      </c>
      <c r="AP61" s="64">
        <f t="shared" si="108"/>
        <v>0</v>
      </c>
      <c r="AQ61" s="64">
        <f t="shared" si="108"/>
        <v>1162241.8803000003</v>
      </c>
      <c r="AR61" s="64">
        <f t="shared" si="9"/>
        <v>1162241.8803000003</v>
      </c>
      <c r="AS61" s="67">
        <v>1151265</v>
      </c>
      <c r="AT61" s="67">
        <f t="shared" si="10"/>
        <v>2115545.3262</v>
      </c>
      <c r="AU61" s="68">
        <f t="shared" si="11"/>
        <v>2115545.3262</v>
      </c>
      <c r="AV61" s="65">
        <f t="shared" ref="AV61" si="109">AV59-AV60</f>
        <v>1162241.8803000003</v>
      </c>
      <c r="AW61" s="64">
        <f t="shared" si="12"/>
        <v>0</v>
      </c>
      <c r="AX61" s="69">
        <f t="shared" si="80"/>
        <v>964280.32620000001</v>
      </c>
      <c r="AY61" s="65">
        <f t="shared" si="81"/>
        <v>953303.4458999997</v>
      </c>
      <c r="AZ61" s="54"/>
      <c r="BA61" s="67">
        <f t="shared" si="15"/>
        <v>0</v>
      </c>
      <c r="BB61" s="64">
        <f t="shared" si="15"/>
        <v>0</v>
      </c>
      <c r="BC61" s="64">
        <f t="shared" si="15"/>
        <v>964280.32620000001</v>
      </c>
      <c r="BD61" s="65">
        <f t="shared" si="15"/>
        <v>964280.32620000001</v>
      </c>
      <c r="BF61" s="55"/>
      <c r="BG61" s="56"/>
      <c r="BH61" s="56"/>
      <c r="BI61" s="56"/>
      <c r="BJ61" s="56"/>
      <c r="BK61" s="56"/>
      <c r="BL61" s="56"/>
      <c r="BM61" s="57"/>
    </row>
    <row r="62" spans="1:65" x14ac:dyDescent="0.25">
      <c r="A62" s="14"/>
      <c r="B62" s="47" t="s">
        <v>59</v>
      </c>
      <c r="C62" s="74"/>
      <c r="D62" s="74"/>
      <c r="E62" s="74"/>
      <c r="F62" s="74"/>
      <c r="G62" s="74"/>
      <c r="H62" s="73">
        <f>H61/H59</f>
        <v>0.58850664939176633</v>
      </c>
      <c r="I62" s="73">
        <f t="shared" ref="I62:K62" si="110">I61/I59</f>
        <v>0.61231878596285705</v>
      </c>
      <c r="J62" s="73">
        <f t="shared" si="110"/>
        <v>0.57357087679240515</v>
      </c>
      <c r="K62" s="73">
        <f t="shared" si="110"/>
        <v>0.59242796890204263</v>
      </c>
      <c r="M62" s="74"/>
      <c r="N62" s="74"/>
      <c r="O62" s="74"/>
      <c r="P62" s="74"/>
      <c r="Q62" s="74"/>
      <c r="R62" s="74"/>
      <c r="S62" s="74"/>
      <c r="T62" s="74"/>
      <c r="U62" s="74"/>
      <c r="V62" s="74"/>
      <c r="Y62" s="75"/>
      <c r="Z62" s="74"/>
      <c r="AA62" s="74"/>
      <c r="AB62" s="74"/>
      <c r="AC62" s="76"/>
      <c r="AD62" s="75">
        <f>'[1]APAC 17.6.2019'!Y62</f>
        <v>0</v>
      </c>
      <c r="AE62" s="74">
        <f>'[1]APAC 17.6.2019'!Z62</f>
        <v>0</v>
      </c>
      <c r="AF62" s="74">
        <f>'[1]APAC 17.6.2019'!AA62</f>
        <v>0</v>
      </c>
      <c r="AG62" s="74">
        <f>'[1]APAC 17.6.2019'!AB62</f>
        <v>0</v>
      </c>
      <c r="AH62" s="76">
        <f>'[1]APAC 17.6.2019'!AC62</f>
        <v>0</v>
      </c>
      <c r="AI62" s="75"/>
      <c r="AJ62" s="74"/>
      <c r="AK62" s="74"/>
      <c r="AL62" s="74"/>
      <c r="AM62" s="76"/>
      <c r="AN62" s="74"/>
      <c r="AO62" s="74"/>
      <c r="AP62" s="74"/>
      <c r="AQ62" s="74"/>
      <c r="AR62" s="74"/>
      <c r="AS62" s="75"/>
      <c r="AT62" s="75">
        <f t="shared" si="10"/>
        <v>0</v>
      </c>
      <c r="AU62" s="77">
        <f t="shared" si="11"/>
        <v>0</v>
      </c>
      <c r="AV62" s="76"/>
      <c r="AW62" s="74">
        <f t="shared" si="12"/>
        <v>0</v>
      </c>
      <c r="AX62" s="75"/>
      <c r="AY62" s="76"/>
      <c r="AZ62" s="54"/>
      <c r="BA62" s="75"/>
      <c r="BB62" s="74"/>
      <c r="BC62" s="74"/>
      <c r="BD62" s="76"/>
      <c r="BF62" s="55"/>
      <c r="BG62" s="56"/>
      <c r="BH62" s="56"/>
      <c r="BI62" s="56"/>
      <c r="BJ62" s="56"/>
      <c r="BK62" s="56"/>
      <c r="BL62" s="56"/>
      <c r="BM62" s="57"/>
    </row>
    <row r="63" spans="1:65" x14ac:dyDescent="0.25">
      <c r="A63" s="14"/>
      <c r="B63" s="30"/>
      <c r="C63" s="87"/>
      <c r="D63" s="30"/>
      <c r="E63" s="30"/>
      <c r="F63" s="30"/>
      <c r="G63" s="30"/>
      <c r="H63" s="30"/>
      <c r="I63" s="30"/>
      <c r="J63" s="30"/>
      <c r="K63" s="49"/>
      <c r="V63" s="52"/>
      <c r="Y63" s="51"/>
      <c r="Z63" s="52"/>
      <c r="AA63" s="52"/>
      <c r="AB63" s="52"/>
      <c r="AC63" s="49">
        <f t="shared" si="8"/>
        <v>0</v>
      </c>
      <c r="AD63" s="51">
        <f>'[1]APAC 17.6.2019'!Y63</f>
        <v>0</v>
      </c>
      <c r="AE63" s="52">
        <f>'[1]APAC 17.6.2019'!Z63</f>
        <v>0</v>
      </c>
      <c r="AF63" s="52">
        <f>'[1]APAC 17.6.2019'!AA63</f>
        <v>0</v>
      </c>
      <c r="AG63" s="52">
        <f>'[1]APAC 17.6.2019'!AB63</f>
        <v>0</v>
      </c>
      <c r="AH63" s="49">
        <f>'[1]APAC 17.6.2019'!AC63</f>
        <v>0</v>
      </c>
      <c r="AI63" s="51"/>
      <c r="AJ63" s="52"/>
      <c r="AK63" s="52"/>
      <c r="AL63" s="52"/>
      <c r="AM63" s="49">
        <f t="shared" si="1"/>
        <v>0</v>
      </c>
      <c r="AN63" s="52"/>
      <c r="AO63" s="52"/>
      <c r="AP63" s="52"/>
      <c r="AQ63" s="52"/>
      <c r="AR63" s="52">
        <f t="shared" si="9"/>
        <v>0</v>
      </c>
      <c r="AS63" s="51"/>
      <c r="AT63" s="51">
        <f t="shared" si="10"/>
        <v>0</v>
      </c>
      <c r="AU63" s="53">
        <f t="shared" si="11"/>
        <v>0</v>
      </c>
      <c r="AV63" s="49"/>
      <c r="AW63" s="52">
        <f t="shared" si="12"/>
        <v>0</v>
      </c>
      <c r="AX63" s="51"/>
      <c r="AY63" s="49"/>
      <c r="AZ63" s="54"/>
      <c r="BA63" s="51">
        <f t="shared" si="15"/>
        <v>0</v>
      </c>
      <c r="BB63" s="52">
        <f t="shared" si="15"/>
        <v>0</v>
      </c>
      <c r="BC63" s="52">
        <f t="shared" si="15"/>
        <v>0</v>
      </c>
      <c r="BD63" s="49">
        <f t="shared" si="15"/>
        <v>0</v>
      </c>
      <c r="BF63" s="55"/>
      <c r="BG63" s="56"/>
      <c r="BH63" s="56"/>
      <c r="BI63" s="56"/>
      <c r="BJ63" s="56"/>
      <c r="BK63" s="56"/>
      <c r="BL63" s="56"/>
      <c r="BM63" s="57"/>
    </row>
    <row r="64" spans="1:65" x14ac:dyDescent="0.25">
      <c r="A64" s="14" t="s">
        <v>2</v>
      </c>
      <c r="B64" s="47" t="s">
        <v>5</v>
      </c>
      <c r="C64" s="48"/>
      <c r="D64" s="52">
        <f>'[1]Host Loaded1'!M18</f>
        <v>0</v>
      </c>
      <c r="E64" s="52">
        <f>'[1]6.28'!N32</f>
        <v>102472</v>
      </c>
      <c r="F64" s="52">
        <f>'[1]6.28'!O32</f>
        <v>67757</v>
      </c>
      <c r="G64" s="52">
        <f>'[1]6.28'!P32</f>
        <v>45956</v>
      </c>
      <c r="H64" s="52">
        <f>'[1]6.28'!Q32</f>
        <v>53873</v>
      </c>
      <c r="I64" s="52">
        <f>'[1]6.28'!R32</f>
        <v>47875</v>
      </c>
      <c r="J64" s="52">
        <f>'[1]6.28'!S32</f>
        <v>48930</v>
      </c>
      <c r="K64" s="49">
        <f t="shared" ref="K64:K71" si="111">SUM(C64:J64)</f>
        <v>366863</v>
      </c>
      <c r="V64" s="52">
        <v>366862.2814016171</v>
      </c>
      <c r="Y64" s="51">
        <v>0</v>
      </c>
      <c r="Z64" s="52">
        <f t="shared" si="5"/>
        <v>0</v>
      </c>
      <c r="AA64" s="52">
        <f t="shared" si="6"/>
        <v>216185</v>
      </c>
      <c r="AB64" s="52">
        <f t="shared" si="7"/>
        <v>150678</v>
      </c>
      <c r="AC64" s="49">
        <f t="shared" si="8"/>
        <v>366863</v>
      </c>
      <c r="AD64" s="51">
        <f>'[1]APAC 17.6.2019'!Y64</f>
        <v>0</v>
      </c>
      <c r="AE64" s="52">
        <f>'[1]APAC 17.6.2019'!Z64</f>
        <v>0</v>
      </c>
      <c r="AF64" s="52">
        <f>'[1]APAC 17.6.2019'!AA64</f>
        <v>216185</v>
      </c>
      <c r="AG64" s="52">
        <f>'[1]APAC 17.6.2019'!AB64</f>
        <v>150678</v>
      </c>
      <c r="AH64" s="49">
        <f>'[1]APAC 17.6.2019'!AC64</f>
        <v>366863</v>
      </c>
      <c r="AI64" s="51"/>
      <c r="AJ64" s="52">
        <v>0</v>
      </c>
      <c r="AK64" s="52">
        <v>0</v>
      </c>
      <c r="AL64" s="52">
        <v>0</v>
      </c>
      <c r="AM64" s="49">
        <f>SUM(AI64:AL64)</f>
        <v>0</v>
      </c>
      <c r="AN64" s="52">
        <v>0</v>
      </c>
      <c r="AO64" s="52"/>
      <c r="AP64" s="52"/>
      <c r="AQ64" s="52"/>
      <c r="AR64" s="52">
        <f t="shared" si="9"/>
        <v>0</v>
      </c>
      <c r="AS64" s="51">
        <v>0</v>
      </c>
      <c r="AT64" s="51">
        <f t="shared" si="10"/>
        <v>366863</v>
      </c>
      <c r="AU64" s="53">
        <f t="shared" si="11"/>
        <v>366863</v>
      </c>
      <c r="AV64" s="49">
        <v>0</v>
      </c>
      <c r="AW64" s="52">
        <f t="shared" si="12"/>
        <v>0</v>
      </c>
      <c r="AX64" s="51">
        <f t="shared" ref="AX64:AX71" si="112">AC64-AS64</f>
        <v>366863</v>
      </c>
      <c r="AY64" s="49">
        <f t="shared" ref="AY64:AY71" si="113">AC64-AV64</f>
        <v>366863</v>
      </c>
      <c r="AZ64" s="54"/>
      <c r="BA64" s="51">
        <f t="shared" si="15"/>
        <v>0</v>
      </c>
      <c r="BB64" s="52">
        <f t="shared" si="15"/>
        <v>216185</v>
      </c>
      <c r="BC64" s="52">
        <f t="shared" si="15"/>
        <v>150678</v>
      </c>
      <c r="BD64" s="49">
        <f t="shared" si="15"/>
        <v>366863</v>
      </c>
      <c r="BF64" s="55"/>
      <c r="BG64" s="56"/>
      <c r="BH64" s="56"/>
      <c r="BI64" s="56"/>
      <c r="BJ64" s="56"/>
      <c r="BK64" s="56"/>
      <c r="BL64" s="56"/>
      <c r="BM64" s="57"/>
    </row>
    <row r="65" spans="1:65" x14ac:dyDescent="0.25">
      <c r="A65" s="14" t="s">
        <v>2</v>
      </c>
      <c r="B65" s="30" t="s">
        <v>52</v>
      </c>
      <c r="C65" s="48">
        <v>0</v>
      </c>
      <c r="D65" s="48">
        <v>0</v>
      </c>
      <c r="E65" s="48">
        <v>0</v>
      </c>
      <c r="F65" s="48">
        <v>0</v>
      </c>
      <c r="G65" s="48">
        <v>0</v>
      </c>
      <c r="H65" s="48">
        <v>0</v>
      </c>
      <c r="I65" s="48">
        <v>0</v>
      </c>
      <c r="J65" s="48">
        <v>0</v>
      </c>
      <c r="K65" s="49">
        <f t="shared" si="111"/>
        <v>0</v>
      </c>
      <c r="V65" s="52">
        <v>0</v>
      </c>
      <c r="Y65" s="51">
        <v>0</v>
      </c>
      <c r="Z65" s="52">
        <f t="shared" si="5"/>
        <v>0</v>
      </c>
      <c r="AA65" s="52">
        <f t="shared" si="6"/>
        <v>0</v>
      </c>
      <c r="AB65" s="52">
        <f t="shared" si="7"/>
        <v>0</v>
      </c>
      <c r="AC65" s="49">
        <f t="shared" si="8"/>
        <v>0</v>
      </c>
      <c r="AD65" s="51">
        <f>'[1]APAC 17.6.2019'!Y65</f>
        <v>0</v>
      </c>
      <c r="AE65" s="52">
        <f>'[1]APAC 17.6.2019'!Z65</f>
        <v>0</v>
      </c>
      <c r="AF65" s="52">
        <f>'[1]APAC 17.6.2019'!AA65</f>
        <v>0</v>
      </c>
      <c r="AG65" s="52">
        <f>'[1]APAC 17.6.2019'!AB65</f>
        <v>0</v>
      </c>
      <c r="AH65" s="49">
        <f>'[1]APAC 17.6.2019'!AC65</f>
        <v>0</v>
      </c>
      <c r="AI65" s="51"/>
      <c r="AJ65" s="52">
        <v>0</v>
      </c>
      <c r="AK65" s="52">
        <v>0</v>
      </c>
      <c r="AL65" s="52">
        <v>0</v>
      </c>
      <c r="AM65" s="49">
        <f t="shared" si="1"/>
        <v>0</v>
      </c>
      <c r="AN65" s="52">
        <v>0</v>
      </c>
      <c r="AO65" s="52"/>
      <c r="AP65" s="52"/>
      <c r="AQ65" s="52"/>
      <c r="AR65" s="52">
        <f t="shared" si="9"/>
        <v>0</v>
      </c>
      <c r="AS65" s="51">
        <v>0</v>
      </c>
      <c r="AT65" s="51">
        <f t="shared" si="10"/>
        <v>0</v>
      </c>
      <c r="AU65" s="53">
        <f t="shared" si="11"/>
        <v>0</v>
      </c>
      <c r="AV65" s="49">
        <v>0</v>
      </c>
      <c r="AW65" s="52">
        <f t="shared" si="12"/>
        <v>0</v>
      </c>
      <c r="AX65" s="51">
        <f t="shared" si="112"/>
        <v>0</v>
      </c>
      <c r="AY65" s="49">
        <f t="shared" si="113"/>
        <v>0</v>
      </c>
      <c r="AZ65" s="54"/>
      <c r="BA65" s="51">
        <f t="shared" si="15"/>
        <v>0</v>
      </c>
      <c r="BB65" s="52">
        <f t="shared" si="15"/>
        <v>0</v>
      </c>
      <c r="BC65" s="52">
        <f t="shared" si="15"/>
        <v>0</v>
      </c>
      <c r="BD65" s="49">
        <f t="shared" si="15"/>
        <v>0</v>
      </c>
      <c r="BF65" s="55"/>
      <c r="BG65" s="56"/>
      <c r="BH65" s="56"/>
      <c r="BI65" s="56"/>
      <c r="BJ65" s="56"/>
      <c r="BK65" s="56"/>
      <c r="BL65" s="56"/>
      <c r="BM65" s="57"/>
    </row>
    <row r="66" spans="1:65" x14ac:dyDescent="0.25">
      <c r="A66" s="14" t="s">
        <v>2</v>
      </c>
      <c r="B66" s="30" t="s">
        <v>53</v>
      </c>
      <c r="C66" s="48"/>
      <c r="D66" s="52">
        <f>'[1]Host Loaded1'!M19</f>
        <v>0</v>
      </c>
      <c r="E66" s="52">
        <f>'[1]6.28'!N33</f>
        <v>-15371</v>
      </c>
      <c r="F66" s="52">
        <f>'[1]6.28'!O33</f>
        <v>-10163</v>
      </c>
      <c r="G66" s="52">
        <f>'[1]6.28'!P33</f>
        <v>-6894</v>
      </c>
      <c r="H66" s="52">
        <f>'[1]6.28'!Q33</f>
        <v>-8081</v>
      </c>
      <c r="I66" s="52">
        <f>'[1]6.28'!R33</f>
        <v>-7181</v>
      </c>
      <c r="J66" s="52">
        <f>'[1]6.28'!S33</f>
        <v>-7339</v>
      </c>
      <c r="K66" s="49">
        <f t="shared" si="111"/>
        <v>-55029</v>
      </c>
      <c r="V66" s="52">
        <v>0</v>
      </c>
      <c r="Y66" s="51">
        <v>0</v>
      </c>
      <c r="Z66" s="52">
        <f t="shared" si="5"/>
        <v>0</v>
      </c>
      <c r="AA66" s="52">
        <f t="shared" si="6"/>
        <v>-32428</v>
      </c>
      <c r="AB66" s="52">
        <f t="shared" si="7"/>
        <v>-22601</v>
      </c>
      <c r="AC66" s="49">
        <f t="shared" si="8"/>
        <v>-55029</v>
      </c>
      <c r="AD66" s="51">
        <f>'[1]APAC 17.6.2019'!Y66</f>
        <v>0</v>
      </c>
      <c r="AE66" s="52">
        <f>'[1]APAC 17.6.2019'!Z66</f>
        <v>0</v>
      </c>
      <c r="AF66" s="52">
        <f>'[1]APAC 17.6.2019'!AA66</f>
        <v>-32428</v>
      </c>
      <c r="AG66" s="52">
        <f>'[1]APAC 17.6.2019'!AB66</f>
        <v>-22601</v>
      </c>
      <c r="AH66" s="49">
        <f>'[1]APAC 17.6.2019'!AC66</f>
        <v>-55029</v>
      </c>
      <c r="AI66" s="51"/>
      <c r="AJ66" s="52">
        <v>0</v>
      </c>
      <c r="AK66" s="52">
        <v>0</v>
      </c>
      <c r="AL66" s="52">
        <v>0</v>
      </c>
      <c r="AM66" s="49">
        <f t="shared" si="1"/>
        <v>0</v>
      </c>
      <c r="AN66" s="52">
        <v>0</v>
      </c>
      <c r="AO66" s="52"/>
      <c r="AP66" s="52"/>
      <c r="AQ66" s="52"/>
      <c r="AR66" s="52">
        <f t="shared" si="9"/>
        <v>0</v>
      </c>
      <c r="AS66" s="51">
        <v>0</v>
      </c>
      <c r="AT66" s="51">
        <f t="shared" si="10"/>
        <v>-55029</v>
      </c>
      <c r="AU66" s="53">
        <f t="shared" si="11"/>
        <v>-55029</v>
      </c>
      <c r="AV66" s="49">
        <v>0</v>
      </c>
      <c r="AW66" s="52">
        <f t="shared" si="12"/>
        <v>0</v>
      </c>
      <c r="AX66" s="51">
        <f t="shared" si="112"/>
        <v>-55029</v>
      </c>
      <c r="AY66" s="49">
        <f t="shared" si="113"/>
        <v>-55029</v>
      </c>
      <c r="AZ66" s="54"/>
      <c r="BA66" s="51">
        <f t="shared" si="15"/>
        <v>0</v>
      </c>
      <c r="BB66" s="52">
        <f t="shared" si="15"/>
        <v>-32428</v>
      </c>
      <c r="BC66" s="52">
        <f t="shared" si="15"/>
        <v>-22601</v>
      </c>
      <c r="BD66" s="49">
        <f t="shared" si="15"/>
        <v>-55029</v>
      </c>
      <c r="BF66" s="84"/>
      <c r="BG66" s="60" t="e">
        <f>-AJ66/AJ64</f>
        <v>#DIV/0!</v>
      </c>
      <c r="BH66" s="60">
        <f>-AA66/AA64</f>
        <v>0.15000115641695769</v>
      </c>
      <c r="BI66" s="60" t="e">
        <f>-AK66/AK64</f>
        <v>#DIV/0!</v>
      </c>
      <c r="BJ66" s="60">
        <f>-AB66/AB64</f>
        <v>0.14999535433175382</v>
      </c>
      <c r="BK66" s="60" t="e">
        <f>-AL66/AL64</f>
        <v>#DIV/0!</v>
      </c>
      <c r="BL66" s="60">
        <f>-AC66/AC64</f>
        <v>0.14999877338406981</v>
      </c>
      <c r="BM66" s="61" t="e">
        <f>-AM66/AM64</f>
        <v>#DIV/0!</v>
      </c>
    </row>
    <row r="67" spans="1:65" x14ac:dyDescent="0.25">
      <c r="A67" s="14" t="s">
        <v>2</v>
      </c>
      <c r="B67" s="30" t="s">
        <v>54</v>
      </c>
      <c r="C67" s="48">
        <f>SUM(C64:C66)</f>
        <v>0</v>
      </c>
      <c r="D67" s="52">
        <f t="shared" ref="D67:J67" si="114">SUM(D64:D66)</f>
        <v>0</v>
      </c>
      <c r="E67" s="52">
        <f>SUM(E64:E66)</f>
        <v>87101</v>
      </c>
      <c r="F67" s="52">
        <f t="shared" si="114"/>
        <v>57594</v>
      </c>
      <c r="G67" s="52">
        <f t="shared" si="114"/>
        <v>39062</v>
      </c>
      <c r="H67" s="52">
        <f t="shared" si="114"/>
        <v>45792</v>
      </c>
      <c r="I67" s="52">
        <f t="shared" si="114"/>
        <v>40694</v>
      </c>
      <c r="J67" s="52">
        <f t="shared" si="114"/>
        <v>41591</v>
      </c>
      <c r="K67" s="49">
        <f t="shared" si="111"/>
        <v>311834</v>
      </c>
      <c r="V67" s="52">
        <v>366862.2814016171</v>
      </c>
      <c r="Y67" s="51">
        <v>0</v>
      </c>
      <c r="Z67" s="52">
        <f t="shared" si="5"/>
        <v>0</v>
      </c>
      <c r="AA67" s="52">
        <f t="shared" si="6"/>
        <v>183757</v>
      </c>
      <c r="AB67" s="52">
        <f t="shared" si="7"/>
        <v>128077</v>
      </c>
      <c r="AC67" s="49">
        <f t="shared" si="8"/>
        <v>311834</v>
      </c>
      <c r="AD67" s="51">
        <f>'[1]APAC 17.6.2019'!Y67</f>
        <v>0</v>
      </c>
      <c r="AE67" s="52">
        <f>'[1]APAC 17.6.2019'!Z67</f>
        <v>0</v>
      </c>
      <c r="AF67" s="52">
        <f>'[1]APAC 17.6.2019'!AA67</f>
        <v>183757</v>
      </c>
      <c r="AG67" s="52">
        <f>'[1]APAC 17.6.2019'!AB67</f>
        <v>128077</v>
      </c>
      <c r="AH67" s="49">
        <f>'[1]APAC 17.6.2019'!AC67</f>
        <v>311834</v>
      </c>
      <c r="AI67" s="51"/>
      <c r="AJ67" s="52">
        <v>0</v>
      </c>
      <c r="AK67" s="52">
        <v>0</v>
      </c>
      <c r="AL67" s="52">
        <v>0</v>
      </c>
      <c r="AM67" s="49">
        <f t="shared" si="1"/>
        <v>0</v>
      </c>
      <c r="AN67" s="52">
        <v>0</v>
      </c>
      <c r="AO67" s="52">
        <f>SUM(AO64:AO66)</f>
        <v>0</v>
      </c>
      <c r="AP67" s="52">
        <f t="shared" ref="AP67:AQ67" si="115">SUM(AP64:AP66)</f>
        <v>0</v>
      </c>
      <c r="AQ67" s="52">
        <f t="shared" si="115"/>
        <v>0</v>
      </c>
      <c r="AR67" s="52">
        <f t="shared" si="9"/>
        <v>0</v>
      </c>
      <c r="AS67" s="51">
        <v>0</v>
      </c>
      <c r="AT67" s="51">
        <f t="shared" si="10"/>
        <v>311834</v>
      </c>
      <c r="AU67" s="53">
        <f t="shared" si="11"/>
        <v>311834</v>
      </c>
      <c r="AV67" s="49">
        <v>0</v>
      </c>
      <c r="AW67" s="52">
        <f t="shared" si="12"/>
        <v>0</v>
      </c>
      <c r="AX67" s="51">
        <f t="shared" si="112"/>
        <v>311834</v>
      </c>
      <c r="AY67" s="49">
        <f t="shared" si="113"/>
        <v>311834</v>
      </c>
      <c r="AZ67" s="54"/>
      <c r="BA67" s="51">
        <f t="shared" si="15"/>
        <v>0</v>
      </c>
      <c r="BB67" s="52">
        <f t="shared" si="15"/>
        <v>183757</v>
      </c>
      <c r="BC67" s="52">
        <f t="shared" si="15"/>
        <v>128077</v>
      </c>
      <c r="BD67" s="49">
        <f t="shared" si="15"/>
        <v>311834</v>
      </c>
      <c r="BF67" s="55"/>
      <c r="BG67" s="56"/>
      <c r="BH67" s="56"/>
      <c r="BI67" s="56"/>
      <c r="BJ67" s="56"/>
      <c r="BK67" s="56"/>
      <c r="BL67" s="56"/>
      <c r="BM67" s="57"/>
    </row>
    <row r="68" spans="1:65" x14ac:dyDescent="0.25">
      <c r="A68" s="14" t="s">
        <v>2</v>
      </c>
      <c r="B68" s="30" t="s">
        <v>55</v>
      </c>
      <c r="C68" s="48"/>
      <c r="D68" s="52"/>
      <c r="E68" s="52"/>
      <c r="F68" s="52"/>
      <c r="G68" s="52"/>
      <c r="H68" s="52"/>
      <c r="I68" s="52"/>
      <c r="J68" s="52"/>
      <c r="K68" s="49">
        <f t="shared" si="111"/>
        <v>0</v>
      </c>
      <c r="V68" s="52">
        <v>0</v>
      </c>
      <c r="Y68" s="51">
        <v>0</v>
      </c>
      <c r="Z68" s="52">
        <f t="shared" si="5"/>
        <v>0</v>
      </c>
      <c r="AA68" s="52">
        <f t="shared" si="6"/>
        <v>0</v>
      </c>
      <c r="AB68" s="52">
        <f t="shared" si="7"/>
        <v>0</v>
      </c>
      <c r="AC68" s="49">
        <f t="shared" si="8"/>
        <v>0</v>
      </c>
      <c r="AD68" s="51">
        <f>'[1]APAC 17.6.2019'!Y68</f>
        <v>0</v>
      </c>
      <c r="AE68" s="52">
        <f>'[1]APAC 17.6.2019'!Z68</f>
        <v>0</v>
      </c>
      <c r="AF68" s="52">
        <f>'[1]APAC 17.6.2019'!AA68</f>
        <v>0</v>
      </c>
      <c r="AG68" s="52">
        <f>'[1]APAC 17.6.2019'!AB68</f>
        <v>0</v>
      </c>
      <c r="AH68" s="49">
        <f>'[1]APAC 17.6.2019'!AC68</f>
        <v>0</v>
      </c>
      <c r="AI68" s="51"/>
      <c r="AJ68" s="52">
        <v>0</v>
      </c>
      <c r="AK68" s="52">
        <v>0</v>
      </c>
      <c r="AL68" s="52">
        <v>0</v>
      </c>
      <c r="AM68" s="49">
        <f t="shared" si="1"/>
        <v>0</v>
      </c>
      <c r="AN68" s="52">
        <v>0</v>
      </c>
      <c r="AO68" s="52"/>
      <c r="AP68" s="52"/>
      <c r="AQ68" s="52"/>
      <c r="AR68" s="52">
        <f t="shared" si="9"/>
        <v>0</v>
      </c>
      <c r="AS68" s="51">
        <v>0</v>
      </c>
      <c r="AT68" s="51">
        <f t="shared" si="10"/>
        <v>0</v>
      </c>
      <c r="AU68" s="53">
        <f t="shared" si="11"/>
        <v>0</v>
      </c>
      <c r="AV68" s="49">
        <v>0</v>
      </c>
      <c r="AW68" s="52">
        <f t="shared" si="12"/>
        <v>0</v>
      </c>
      <c r="AX68" s="51">
        <f t="shared" si="112"/>
        <v>0</v>
      </c>
      <c r="AY68" s="49">
        <f t="shared" si="113"/>
        <v>0</v>
      </c>
      <c r="AZ68" s="54"/>
      <c r="BA68" s="51">
        <f t="shared" si="15"/>
        <v>0</v>
      </c>
      <c r="BB68" s="52">
        <f t="shared" si="15"/>
        <v>0</v>
      </c>
      <c r="BC68" s="52">
        <f t="shared" si="15"/>
        <v>0</v>
      </c>
      <c r="BD68" s="49">
        <f t="shared" si="15"/>
        <v>0</v>
      </c>
      <c r="BF68" s="55"/>
      <c r="BG68" s="56"/>
      <c r="BH68" s="56"/>
      <c r="BI68" s="56"/>
      <c r="BJ68" s="56"/>
      <c r="BK68" s="56"/>
      <c r="BL68" s="56"/>
      <c r="BM68" s="57"/>
    </row>
    <row r="69" spans="1:65" x14ac:dyDescent="0.25">
      <c r="A69" s="14" t="s">
        <v>2</v>
      </c>
      <c r="B69" s="62" t="s">
        <v>56</v>
      </c>
      <c r="C69" s="63">
        <f>SUM(C67:C68)</f>
        <v>0</v>
      </c>
      <c r="D69" s="64">
        <f t="shared" ref="D69:J69" si="116">SUM(D67:D68)</f>
        <v>0</v>
      </c>
      <c r="E69" s="64">
        <f t="shared" si="116"/>
        <v>87101</v>
      </c>
      <c r="F69" s="64">
        <f t="shared" si="116"/>
        <v>57594</v>
      </c>
      <c r="G69" s="64">
        <f t="shared" si="116"/>
        <v>39062</v>
      </c>
      <c r="H69" s="64">
        <f t="shared" si="116"/>
        <v>45792</v>
      </c>
      <c r="I69" s="64">
        <f t="shared" si="116"/>
        <v>40694</v>
      </c>
      <c r="J69" s="64">
        <f t="shared" si="116"/>
        <v>41591</v>
      </c>
      <c r="K69" s="65">
        <f t="shared" si="111"/>
        <v>311834</v>
      </c>
      <c r="V69" s="66">
        <v>366862.2814016171</v>
      </c>
      <c r="Y69" s="67">
        <v>0</v>
      </c>
      <c r="Z69" s="64">
        <f t="shared" si="5"/>
        <v>0</v>
      </c>
      <c r="AA69" s="64">
        <f t="shared" si="6"/>
        <v>183757</v>
      </c>
      <c r="AB69" s="64">
        <f t="shared" si="7"/>
        <v>128077</v>
      </c>
      <c r="AC69" s="65">
        <f t="shared" si="8"/>
        <v>311834</v>
      </c>
      <c r="AD69" s="67">
        <f>'[1]APAC 17.6.2019'!Y69</f>
        <v>0</v>
      </c>
      <c r="AE69" s="64">
        <f>'[1]APAC 17.6.2019'!Z69</f>
        <v>0</v>
      </c>
      <c r="AF69" s="64">
        <f>'[1]APAC 17.6.2019'!AA69</f>
        <v>183757</v>
      </c>
      <c r="AG69" s="64">
        <f>'[1]APAC 17.6.2019'!AB69</f>
        <v>128077</v>
      </c>
      <c r="AH69" s="65">
        <f>'[1]APAC 17.6.2019'!AC69</f>
        <v>311834</v>
      </c>
      <c r="AI69" s="67"/>
      <c r="AJ69" s="64">
        <f>SUM(AJ67:AJ68)</f>
        <v>0</v>
      </c>
      <c r="AK69" s="64">
        <f t="shared" ref="AK69" si="117">SUM(AK67:AK68)</f>
        <v>0</v>
      </c>
      <c r="AL69" s="64">
        <f>SUM(AL67:AL68)</f>
        <v>0</v>
      </c>
      <c r="AM69" s="65">
        <f t="shared" si="1"/>
        <v>0</v>
      </c>
      <c r="AN69" s="64">
        <v>0</v>
      </c>
      <c r="AO69" s="64">
        <f>SUM(AO67:AO68)</f>
        <v>0</v>
      </c>
      <c r="AP69" s="64">
        <f t="shared" ref="AP69:AQ69" si="118">SUM(AP67:AP68)</f>
        <v>0</v>
      </c>
      <c r="AQ69" s="64">
        <f t="shared" si="118"/>
        <v>0</v>
      </c>
      <c r="AR69" s="64">
        <f t="shared" si="9"/>
        <v>0</v>
      </c>
      <c r="AS69" s="67">
        <v>0</v>
      </c>
      <c r="AT69" s="67">
        <f t="shared" ref="AT69:AT78" si="119">AH69</f>
        <v>311834</v>
      </c>
      <c r="AU69" s="68">
        <f t="shared" ref="AU69:AU78" si="120">AC69</f>
        <v>311834</v>
      </c>
      <c r="AV69" s="65">
        <v>0</v>
      </c>
      <c r="AW69" s="64">
        <f t="shared" ref="AW69:AW71" si="121">AU69-AT69</f>
        <v>0</v>
      </c>
      <c r="AX69" s="69">
        <f t="shared" si="112"/>
        <v>311834</v>
      </c>
      <c r="AY69" s="65">
        <f t="shared" si="113"/>
        <v>311834</v>
      </c>
      <c r="AZ69" s="54"/>
      <c r="BA69" s="67">
        <f t="shared" si="15"/>
        <v>0</v>
      </c>
      <c r="BB69" s="64">
        <f t="shared" si="15"/>
        <v>183757</v>
      </c>
      <c r="BC69" s="64">
        <f t="shared" si="15"/>
        <v>128077</v>
      </c>
      <c r="BD69" s="65">
        <f t="shared" si="15"/>
        <v>311834</v>
      </c>
      <c r="BF69" s="55"/>
      <c r="BG69" s="56"/>
      <c r="BH69" s="56"/>
      <c r="BI69" s="56"/>
      <c r="BJ69" s="56"/>
      <c r="BK69" s="56"/>
      <c r="BL69" s="56"/>
      <c r="BM69" s="57"/>
    </row>
    <row r="70" spans="1:65" x14ac:dyDescent="0.25">
      <c r="A70" s="14" t="s">
        <v>2</v>
      </c>
      <c r="B70" s="30" t="s">
        <v>57</v>
      </c>
      <c r="C70" s="48"/>
      <c r="D70" s="52">
        <f>'[1]Host Loaded1'!M20</f>
        <v>0</v>
      </c>
      <c r="E70" s="52">
        <f>'[1]6.28'!N34</f>
        <v>42157</v>
      </c>
      <c r="F70" s="52">
        <f>'[1]6.28'!O34</f>
        <v>37831</v>
      </c>
      <c r="G70" s="52">
        <f>'[1]6.28'!P34</f>
        <v>22117</v>
      </c>
      <c r="H70" s="52">
        <f>'[1]6.28'!Q34</f>
        <v>24219</v>
      </c>
      <c r="I70" s="52">
        <f>'[1]6.28'!R34</f>
        <v>22436</v>
      </c>
      <c r="J70" s="52">
        <f>'[1]6.28'!S34</f>
        <v>22720</v>
      </c>
      <c r="K70" s="49">
        <f t="shared" si="111"/>
        <v>171480</v>
      </c>
      <c r="V70" s="52">
        <v>171479.9935685074</v>
      </c>
      <c r="Y70" s="51">
        <v>0</v>
      </c>
      <c r="Z70" s="52">
        <f t="shared" si="5"/>
        <v>0</v>
      </c>
      <c r="AA70" s="52">
        <f t="shared" si="6"/>
        <v>102105</v>
      </c>
      <c r="AB70" s="52">
        <f t="shared" si="7"/>
        <v>69375</v>
      </c>
      <c r="AC70" s="49">
        <f t="shared" si="8"/>
        <v>171480</v>
      </c>
      <c r="AD70" s="51">
        <f>'[1]APAC 17.6.2019'!Y70</f>
        <v>0</v>
      </c>
      <c r="AE70" s="52">
        <f>'[1]APAC 17.6.2019'!Z70</f>
        <v>0</v>
      </c>
      <c r="AF70" s="52">
        <f>'[1]APAC 17.6.2019'!AA70</f>
        <v>102105</v>
      </c>
      <c r="AG70" s="52">
        <f>'[1]APAC 17.6.2019'!AB70</f>
        <v>69375</v>
      </c>
      <c r="AH70" s="49">
        <f>'[1]APAC 17.6.2019'!AC70</f>
        <v>171480</v>
      </c>
      <c r="AI70" s="51"/>
      <c r="AJ70" s="52">
        <v>0</v>
      </c>
      <c r="AK70" s="52">
        <v>0</v>
      </c>
      <c r="AL70" s="52">
        <v>0</v>
      </c>
      <c r="AM70" s="49">
        <f t="shared" si="1"/>
        <v>0</v>
      </c>
      <c r="AN70" s="52">
        <v>0</v>
      </c>
      <c r="AO70" s="52"/>
      <c r="AP70" s="52"/>
      <c r="AQ70" s="52"/>
      <c r="AR70" s="52">
        <f t="shared" si="9"/>
        <v>0</v>
      </c>
      <c r="AS70" s="51">
        <v>0</v>
      </c>
      <c r="AT70" s="51">
        <f t="shared" si="119"/>
        <v>171480</v>
      </c>
      <c r="AU70" s="53">
        <f t="shared" si="120"/>
        <v>171480</v>
      </c>
      <c r="AV70" s="49">
        <v>0</v>
      </c>
      <c r="AW70" s="52">
        <f t="shared" si="121"/>
        <v>0</v>
      </c>
      <c r="AX70" s="51">
        <f t="shared" si="112"/>
        <v>171480</v>
      </c>
      <c r="AY70" s="49">
        <f t="shared" si="113"/>
        <v>171480</v>
      </c>
      <c r="AZ70" s="54"/>
      <c r="BA70" s="51">
        <f t="shared" si="15"/>
        <v>0</v>
      </c>
      <c r="BB70" s="52">
        <f t="shared" si="15"/>
        <v>102105</v>
      </c>
      <c r="BC70" s="52">
        <f t="shared" si="15"/>
        <v>69375</v>
      </c>
      <c r="BD70" s="49">
        <f t="shared" si="15"/>
        <v>171480</v>
      </c>
      <c r="BF70" s="55"/>
      <c r="BG70" s="56"/>
      <c r="BH70" s="56"/>
      <c r="BI70" s="56"/>
      <c r="BJ70" s="56"/>
      <c r="BK70" s="56"/>
      <c r="BL70" s="56"/>
      <c r="BM70" s="57"/>
    </row>
    <row r="71" spans="1:65" x14ac:dyDescent="0.25">
      <c r="A71" s="14" t="s">
        <v>2</v>
      </c>
      <c r="B71" s="62" t="s">
        <v>58</v>
      </c>
      <c r="C71" s="63">
        <f>C69-C70</f>
        <v>0</v>
      </c>
      <c r="D71" s="64">
        <f t="shared" ref="D71:J71" si="122">D69-D70</f>
        <v>0</v>
      </c>
      <c r="E71" s="64">
        <f t="shared" si="122"/>
        <v>44944</v>
      </c>
      <c r="F71" s="64">
        <f t="shared" si="122"/>
        <v>19763</v>
      </c>
      <c r="G71" s="64">
        <f t="shared" si="122"/>
        <v>16945</v>
      </c>
      <c r="H71" s="64">
        <f t="shared" si="122"/>
        <v>21573</v>
      </c>
      <c r="I71" s="64">
        <f t="shared" si="122"/>
        <v>18258</v>
      </c>
      <c r="J71" s="64">
        <f t="shared" si="122"/>
        <v>18871</v>
      </c>
      <c r="K71" s="65">
        <f t="shared" si="111"/>
        <v>140354</v>
      </c>
      <c r="V71" s="66">
        <v>195382.28783310976</v>
      </c>
      <c r="Y71" s="67">
        <v>0</v>
      </c>
      <c r="Z71" s="64">
        <f t="shared" si="5"/>
        <v>0</v>
      </c>
      <c r="AA71" s="64">
        <f t="shared" si="6"/>
        <v>81652</v>
      </c>
      <c r="AB71" s="64">
        <f t="shared" si="7"/>
        <v>58702</v>
      </c>
      <c r="AC71" s="65">
        <f t="shared" si="8"/>
        <v>140354</v>
      </c>
      <c r="AD71" s="67">
        <f>'[1]APAC 17.6.2019'!Y71</f>
        <v>0</v>
      </c>
      <c r="AE71" s="64">
        <f>'[1]APAC 17.6.2019'!Z71</f>
        <v>0</v>
      </c>
      <c r="AF71" s="64">
        <f>'[1]APAC 17.6.2019'!AA71</f>
        <v>81652</v>
      </c>
      <c r="AG71" s="64">
        <f>'[1]APAC 17.6.2019'!AB71</f>
        <v>58702</v>
      </c>
      <c r="AH71" s="65">
        <f>'[1]APAC 17.6.2019'!AC71</f>
        <v>140354</v>
      </c>
      <c r="AI71" s="67"/>
      <c r="AJ71" s="64">
        <f t="shared" ref="AJ71:AK71" si="123">AJ69-AJ70</f>
        <v>0</v>
      </c>
      <c r="AK71" s="64">
        <f t="shared" si="123"/>
        <v>0</v>
      </c>
      <c r="AL71" s="64">
        <f>AL69-AL70</f>
        <v>0</v>
      </c>
      <c r="AM71" s="65">
        <f t="shared" si="1"/>
        <v>0</v>
      </c>
      <c r="AN71" s="64">
        <v>0</v>
      </c>
      <c r="AO71" s="64">
        <f t="shared" ref="AO71:AQ71" si="124">AO69-AO70</f>
        <v>0</v>
      </c>
      <c r="AP71" s="64">
        <f t="shared" si="124"/>
        <v>0</v>
      </c>
      <c r="AQ71" s="64">
        <f t="shared" si="124"/>
        <v>0</v>
      </c>
      <c r="AR71" s="64">
        <f t="shared" si="9"/>
        <v>0</v>
      </c>
      <c r="AS71" s="67">
        <v>0</v>
      </c>
      <c r="AT71" s="67">
        <f t="shared" si="119"/>
        <v>140354</v>
      </c>
      <c r="AU71" s="68">
        <f t="shared" si="120"/>
        <v>140354</v>
      </c>
      <c r="AV71" s="65">
        <v>0</v>
      </c>
      <c r="AW71" s="64">
        <f t="shared" si="121"/>
        <v>0</v>
      </c>
      <c r="AX71" s="69">
        <f t="shared" si="112"/>
        <v>140354</v>
      </c>
      <c r="AY71" s="65">
        <f t="shared" si="113"/>
        <v>140354</v>
      </c>
      <c r="AZ71" s="54"/>
      <c r="BA71" s="67">
        <f t="shared" si="15"/>
        <v>0</v>
      </c>
      <c r="BB71" s="64">
        <f t="shared" si="15"/>
        <v>81652</v>
      </c>
      <c r="BC71" s="64">
        <f t="shared" si="15"/>
        <v>58702</v>
      </c>
      <c r="BD71" s="65">
        <f t="shared" si="15"/>
        <v>140354</v>
      </c>
      <c r="BF71" s="55"/>
      <c r="BG71" s="56"/>
      <c r="BH71" s="56"/>
      <c r="BI71" s="56"/>
      <c r="BJ71" s="56"/>
      <c r="BK71" s="56"/>
      <c r="BL71" s="56"/>
      <c r="BM71" s="57"/>
    </row>
    <row r="72" spans="1:65" x14ac:dyDescent="0.25">
      <c r="A72" s="14"/>
      <c r="B72" s="47" t="s">
        <v>59</v>
      </c>
      <c r="C72" s="74"/>
      <c r="D72" s="74"/>
      <c r="E72" s="73">
        <f>E71/E69</f>
        <v>0.51599866821276452</v>
      </c>
      <c r="F72" s="73">
        <f t="shared" ref="F72:K72" si="125">F71/F69</f>
        <v>0.34314338299128383</v>
      </c>
      <c r="G72" s="73">
        <f t="shared" si="125"/>
        <v>0.43379755260867336</v>
      </c>
      <c r="H72" s="73">
        <f t="shared" si="125"/>
        <v>0.47110849056603776</v>
      </c>
      <c r="I72" s="73">
        <f t="shared" si="125"/>
        <v>0.44866565095591487</v>
      </c>
      <c r="J72" s="73">
        <f t="shared" si="125"/>
        <v>0.45372796999350823</v>
      </c>
      <c r="K72" s="73">
        <f t="shared" si="125"/>
        <v>0.45009203614743742</v>
      </c>
      <c r="V72" s="74"/>
      <c r="Y72" s="75"/>
      <c r="Z72" s="74"/>
      <c r="AA72" s="74"/>
      <c r="AB72" s="74"/>
      <c r="AC72" s="76"/>
      <c r="AD72" s="75">
        <f>'[1]APAC 17.6.2019'!Y72</f>
        <v>0</v>
      </c>
      <c r="AE72" s="74">
        <f>'[1]APAC 17.6.2019'!Z72</f>
        <v>0</v>
      </c>
      <c r="AF72" s="74">
        <f>'[1]APAC 17.6.2019'!AA72</f>
        <v>0</v>
      </c>
      <c r="AG72" s="74">
        <f>'[1]APAC 17.6.2019'!AB72</f>
        <v>0</v>
      </c>
      <c r="AH72" s="76">
        <f>'[1]APAC 17.6.2019'!AC72</f>
        <v>0</v>
      </c>
      <c r="AI72" s="75"/>
      <c r="AJ72" s="74"/>
      <c r="AK72" s="74"/>
      <c r="AL72" s="74"/>
      <c r="AM72" s="76"/>
      <c r="AN72" s="74"/>
      <c r="AO72" s="74"/>
      <c r="AP72" s="74"/>
      <c r="AQ72" s="74"/>
      <c r="AR72" s="74"/>
      <c r="AS72" s="75"/>
      <c r="AT72" s="75">
        <f t="shared" si="119"/>
        <v>0</v>
      </c>
      <c r="AU72" s="77">
        <f t="shared" si="120"/>
        <v>0</v>
      </c>
      <c r="AV72" s="76"/>
      <c r="AW72" s="74"/>
      <c r="AX72" s="75"/>
      <c r="AY72" s="76"/>
      <c r="AZ72" s="54"/>
      <c r="BA72" s="75"/>
      <c r="BB72" s="74"/>
      <c r="BC72" s="74"/>
      <c r="BD72" s="76"/>
      <c r="BF72" s="55"/>
      <c r="BG72" s="56"/>
      <c r="BH72" s="56"/>
      <c r="BI72" s="56"/>
      <c r="BJ72" s="56"/>
      <c r="BK72" s="56"/>
      <c r="BL72" s="56"/>
      <c r="BM72" s="57"/>
    </row>
    <row r="73" spans="1:65" x14ac:dyDescent="0.25">
      <c r="A73" s="14"/>
      <c r="B73" s="30"/>
      <c r="C73" s="87"/>
      <c r="D73" s="30"/>
      <c r="E73" s="30"/>
      <c r="F73" s="30"/>
      <c r="G73" s="30"/>
      <c r="H73" s="30"/>
      <c r="I73" s="30"/>
      <c r="J73" s="30"/>
      <c r="K73" s="49"/>
      <c r="Y73" s="51"/>
      <c r="Z73" s="52"/>
      <c r="AA73" s="52"/>
      <c r="AB73" s="52"/>
      <c r="AC73" s="49"/>
      <c r="AD73" s="51">
        <f>'[1]APAC 17.6.2019'!Y73</f>
        <v>0</v>
      </c>
      <c r="AE73" s="52">
        <f>'[1]APAC 17.6.2019'!Z73</f>
        <v>0</v>
      </c>
      <c r="AF73" s="52">
        <f>'[1]APAC 17.6.2019'!AA73</f>
        <v>0</v>
      </c>
      <c r="AG73" s="52">
        <f>'[1]APAC 17.6.2019'!AB73</f>
        <v>0</v>
      </c>
      <c r="AH73" s="49">
        <f>'[1]APAC 17.6.2019'!AC73</f>
        <v>0</v>
      </c>
      <c r="AI73" s="51"/>
      <c r="AJ73" s="52"/>
      <c r="AK73" s="52"/>
      <c r="AL73" s="52"/>
      <c r="AM73" s="49"/>
      <c r="AN73" s="52"/>
      <c r="AO73" s="52"/>
      <c r="AP73" s="52"/>
      <c r="AQ73" s="52"/>
      <c r="AR73" s="52"/>
      <c r="AS73" s="51"/>
      <c r="AT73" s="51">
        <f t="shared" si="119"/>
        <v>0</v>
      </c>
      <c r="AU73" s="53">
        <f t="shared" si="120"/>
        <v>0</v>
      </c>
      <c r="AV73" s="49"/>
      <c r="AW73" s="52"/>
      <c r="AX73" s="51"/>
      <c r="AY73" s="49"/>
      <c r="AZ73" s="54"/>
      <c r="BA73" s="29"/>
      <c r="BB73" s="30"/>
      <c r="BC73" s="30"/>
      <c r="BD73" s="31"/>
      <c r="BF73" s="55"/>
      <c r="BG73" s="56"/>
      <c r="BH73" s="56"/>
      <c r="BI73" s="56"/>
      <c r="BJ73" s="56"/>
      <c r="BK73" s="56"/>
      <c r="BL73" s="56"/>
      <c r="BM73" s="57"/>
    </row>
    <row r="74" spans="1:65" x14ac:dyDescent="0.25">
      <c r="A74" s="14"/>
      <c r="B74" s="30"/>
      <c r="C74" s="87"/>
      <c r="D74" s="30"/>
      <c r="E74" s="30"/>
      <c r="F74" s="30"/>
      <c r="G74" s="30"/>
      <c r="H74" s="30"/>
      <c r="I74" s="30"/>
      <c r="J74" s="30"/>
      <c r="K74" s="49"/>
      <c r="Y74" s="51"/>
      <c r="Z74" s="52"/>
      <c r="AA74" s="52"/>
      <c r="AB74" s="52"/>
      <c r="AC74" s="49"/>
      <c r="AD74" s="51">
        <f>'[1]APAC 17.6.2019'!Y74</f>
        <v>0</v>
      </c>
      <c r="AE74" s="52">
        <f>'[1]APAC 17.6.2019'!Z74</f>
        <v>0</v>
      </c>
      <c r="AF74" s="52">
        <f>'[1]APAC 17.6.2019'!AA74</f>
        <v>0</v>
      </c>
      <c r="AG74" s="52">
        <f>'[1]APAC 17.6.2019'!AB74</f>
        <v>0</v>
      </c>
      <c r="AH74" s="49">
        <f>'[1]APAC 17.6.2019'!AC74</f>
        <v>0</v>
      </c>
      <c r="AI74" s="51"/>
      <c r="AJ74" s="52"/>
      <c r="AK74" s="52"/>
      <c r="AL74" s="52"/>
      <c r="AM74" s="49"/>
      <c r="AN74" s="52"/>
      <c r="AO74" s="52"/>
      <c r="AP74" s="52"/>
      <c r="AQ74" s="52"/>
      <c r="AR74" s="52"/>
      <c r="AS74" s="51"/>
      <c r="AT74" s="51">
        <f t="shared" si="119"/>
        <v>0</v>
      </c>
      <c r="AU74" s="53">
        <f t="shared" si="120"/>
        <v>0</v>
      </c>
      <c r="AV74" s="49"/>
      <c r="AW74" s="52"/>
      <c r="AX74" s="51"/>
      <c r="AY74" s="49"/>
      <c r="AZ74" s="54"/>
      <c r="BA74" s="29"/>
      <c r="BB74" s="30"/>
      <c r="BC74" s="30"/>
      <c r="BD74" s="31"/>
      <c r="BF74" s="55"/>
      <c r="BG74" s="56"/>
      <c r="BH74" s="56"/>
      <c r="BI74" s="56"/>
      <c r="BJ74" s="56"/>
      <c r="BK74" s="56"/>
      <c r="BL74" s="56"/>
      <c r="BM74" s="57"/>
    </row>
    <row r="75" spans="1:65" x14ac:dyDescent="0.25">
      <c r="A75" s="14"/>
      <c r="B75" s="30"/>
      <c r="C75" s="87"/>
      <c r="D75" s="30"/>
      <c r="E75" s="30"/>
      <c r="F75" s="30"/>
      <c r="G75" s="30"/>
      <c r="H75" s="30"/>
      <c r="I75" s="30"/>
      <c r="J75" s="30"/>
      <c r="K75" s="49"/>
      <c r="Y75" s="51"/>
      <c r="Z75" s="52"/>
      <c r="AA75" s="52"/>
      <c r="AB75" s="52"/>
      <c r="AC75" s="49"/>
      <c r="AD75" s="51">
        <f>'[1]APAC 17.6.2019'!Y75</f>
        <v>0</v>
      </c>
      <c r="AE75" s="52">
        <f>'[1]APAC 17.6.2019'!Z75</f>
        <v>0</v>
      </c>
      <c r="AF75" s="52">
        <f>'[1]APAC 17.6.2019'!AA75</f>
        <v>0</v>
      </c>
      <c r="AG75" s="52">
        <f>'[1]APAC 17.6.2019'!AB75</f>
        <v>0</v>
      </c>
      <c r="AH75" s="49">
        <f>'[1]APAC 17.6.2019'!AC75</f>
        <v>0</v>
      </c>
      <c r="AI75" s="51"/>
      <c r="AJ75" s="52"/>
      <c r="AK75" s="52"/>
      <c r="AL75" s="52"/>
      <c r="AM75" s="49"/>
      <c r="AN75" s="52"/>
      <c r="AO75" s="52"/>
      <c r="AP75" s="52"/>
      <c r="AQ75" s="52"/>
      <c r="AR75" s="52"/>
      <c r="AS75" s="51"/>
      <c r="AT75" s="51">
        <f t="shared" si="119"/>
        <v>0</v>
      </c>
      <c r="AU75" s="53">
        <f t="shared" si="120"/>
        <v>0</v>
      </c>
      <c r="AV75" s="49"/>
      <c r="AW75" s="52"/>
      <c r="AX75" s="51"/>
      <c r="AY75" s="49"/>
      <c r="AZ75" s="54"/>
      <c r="BA75" s="29"/>
      <c r="BB75" s="30"/>
      <c r="BC75" s="30"/>
      <c r="BD75" s="31"/>
      <c r="BF75" s="55"/>
      <c r="BG75" s="56"/>
      <c r="BH75" s="56"/>
      <c r="BI75" s="56"/>
      <c r="BJ75" s="56"/>
      <c r="BK75" s="56"/>
      <c r="BL75" s="56"/>
      <c r="BM75" s="57"/>
    </row>
    <row r="76" spans="1:65" x14ac:dyDescent="0.25">
      <c r="A76" s="14"/>
      <c r="B76" s="47" t="s">
        <v>63</v>
      </c>
      <c r="C76" s="88">
        <f>C64+C54+C44+C34+C24</f>
        <v>17843626.215600997</v>
      </c>
      <c r="D76" s="88">
        <f>D64+D54+D44+D34+D24</f>
        <v>22720756.027846001</v>
      </c>
      <c r="E76" s="88">
        <f t="shared" ref="E76:K76" si="126">E64+E54+E44+E34+E24</f>
        <v>32144804.994968001</v>
      </c>
      <c r="F76" s="88">
        <f t="shared" si="126"/>
        <v>19500342.560458001</v>
      </c>
      <c r="G76" s="88">
        <f>G64+G54+G44+G34+G24</f>
        <v>19142799.213942003</v>
      </c>
      <c r="H76" s="88">
        <f t="shared" si="126"/>
        <v>20394621.633951999</v>
      </c>
      <c r="I76" s="88">
        <f t="shared" si="126"/>
        <v>21693900.108824</v>
      </c>
      <c r="J76" s="88">
        <f t="shared" si="126"/>
        <v>22910447.936766002</v>
      </c>
      <c r="K76" s="89">
        <f t="shared" si="126"/>
        <v>176351298.69235703</v>
      </c>
      <c r="V76" s="88">
        <f>V64+V54+V44+V34+V24</f>
        <v>170966562.08617568</v>
      </c>
      <c r="W76" s="88">
        <f t="shared" ref="W76:AS76" si="127">W64+W54+W44+W34+W24</f>
        <v>0</v>
      </c>
      <c r="X76" s="88">
        <f t="shared" si="127"/>
        <v>0</v>
      </c>
      <c r="Y76" s="51">
        <v>0</v>
      </c>
      <c r="Z76" s="90">
        <f>C76+D76</f>
        <v>40564382.243446998</v>
      </c>
      <c r="AA76" s="90">
        <f t="shared" ref="AA76:AA78" si="128">E76+F76+G76</f>
        <v>70787946.769368008</v>
      </c>
      <c r="AB76" s="90">
        <f t="shared" ref="AB76:AB78" si="129">H76+I76+J76</f>
        <v>64998969.679542005</v>
      </c>
      <c r="AC76" s="91">
        <f>SUM(Y76:AB76)</f>
        <v>176351298.692357</v>
      </c>
      <c r="AD76" s="51">
        <f>'[1]APAC 17.6.2019'!Y76</f>
        <v>0</v>
      </c>
      <c r="AE76" s="90">
        <f>'[1]APAC 17.6.2019'!Z76</f>
        <v>48163473.207456991</v>
      </c>
      <c r="AF76" s="90">
        <f>'[1]APAC 17.6.2019'!AA76</f>
        <v>59307139.898197994</v>
      </c>
      <c r="AG76" s="90">
        <f>'[1]APAC 17.6.2019'!AB76</f>
        <v>47131666.945352003</v>
      </c>
      <c r="AH76" s="91">
        <f>'[1]APAC 17.6.2019'!AC76</f>
        <v>154602280.05100697</v>
      </c>
      <c r="AI76" s="92"/>
      <c r="AJ76" s="90">
        <f t="shared" ref="AJ76:AM76" si="130">AJ64+AJ54+AJ44+AJ34+AJ24</f>
        <v>48619402.310950533</v>
      </c>
      <c r="AK76" s="90">
        <f t="shared" si="130"/>
        <v>36329765</v>
      </c>
      <c r="AL76" s="90">
        <f t="shared" si="130"/>
        <v>55772330</v>
      </c>
      <c r="AM76" s="91">
        <f t="shared" si="130"/>
        <v>140721497.31095052</v>
      </c>
      <c r="AN76" s="90">
        <v>0</v>
      </c>
      <c r="AO76" s="90"/>
      <c r="AP76" s="90"/>
      <c r="AQ76" s="90"/>
      <c r="AR76" s="90"/>
      <c r="AS76" s="93">
        <f t="shared" si="127"/>
        <v>140721497.31095052</v>
      </c>
      <c r="AT76" s="93">
        <f t="shared" si="119"/>
        <v>154602280.05100697</v>
      </c>
      <c r="AU76" s="94">
        <f t="shared" si="120"/>
        <v>176351298.692357</v>
      </c>
      <c r="AV76" s="89">
        <f t="shared" ref="AV76" si="131">AV64+AV54+AV44+AV34+AV24</f>
        <v>113708241.633614</v>
      </c>
      <c r="AW76" s="88"/>
      <c r="AX76" s="93"/>
      <c r="AY76" s="89"/>
      <c r="AZ76" s="54"/>
      <c r="BA76" s="29"/>
      <c r="BB76" s="30"/>
      <c r="BC76" s="30"/>
      <c r="BD76" s="31"/>
      <c r="BF76" s="55"/>
      <c r="BG76" s="56"/>
      <c r="BH76" s="56"/>
      <c r="BI76" s="56"/>
      <c r="BJ76" s="56"/>
      <c r="BK76" s="56"/>
      <c r="BL76" s="56"/>
      <c r="BM76" s="57"/>
    </row>
    <row r="77" spans="1:65" x14ac:dyDescent="0.25">
      <c r="A77" s="14"/>
      <c r="B77" s="30"/>
      <c r="C77" s="95"/>
      <c r="D77" s="96"/>
      <c r="E77" s="96"/>
      <c r="F77" s="96"/>
      <c r="G77" s="96"/>
      <c r="H77" s="96"/>
      <c r="I77" s="96"/>
      <c r="J77" s="96"/>
      <c r="K77" s="91"/>
      <c r="V77" s="90"/>
      <c r="Y77" s="51"/>
      <c r="Z77" s="90"/>
      <c r="AA77" s="90"/>
      <c r="AB77" s="90"/>
      <c r="AC77" s="91">
        <f t="shared" ref="AC77:AC78" si="132">SUM(Y77:AB77)</f>
        <v>0</v>
      </c>
      <c r="AD77" s="51">
        <f>'[1]APAC 17.6.2019'!Y77</f>
        <v>0</v>
      </c>
      <c r="AE77" s="90">
        <f>'[1]APAC 17.6.2019'!Z77</f>
        <v>0</v>
      </c>
      <c r="AF77" s="90">
        <f>'[1]APAC 17.6.2019'!AA77</f>
        <v>0</v>
      </c>
      <c r="AG77" s="90">
        <f>'[1]APAC 17.6.2019'!AB77</f>
        <v>0</v>
      </c>
      <c r="AH77" s="91">
        <f>'[1]APAC 17.6.2019'!AC77</f>
        <v>0</v>
      </c>
      <c r="AI77" s="92"/>
      <c r="AJ77" s="90"/>
      <c r="AK77" s="90"/>
      <c r="AL77" s="90"/>
      <c r="AM77" s="91"/>
      <c r="AN77" s="90"/>
      <c r="AO77" s="90"/>
      <c r="AP77" s="90"/>
      <c r="AQ77" s="90"/>
      <c r="AR77" s="90"/>
      <c r="AS77" s="51"/>
      <c r="AT77" s="51">
        <f t="shared" si="119"/>
        <v>0</v>
      </c>
      <c r="AU77" s="53">
        <f t="shared" si="120"/>
        <v>0</v>
      </c>
      <c r="AV77" s="49"/>
      <c r="AW77" s="52"/>
      <c r="AX77" s="51"/>
      <c r="AY77" s="49"/>
      <c r="AZ77" s="54"/>
      <c r="BA77" s="29"/>
      <c r="BB77" s="30"/>
      <c r="BC77" s="30"/>
      <c r="BD77" s="31"/>
      <c r="BF77" s="55"/>
      <c r="BG77" s="56"/>
      <c r="BH77" s="56"/>
      <c r="BI77" s="56"/>
      <c r="BJ77" s="56"/>
      <c r="BK77" s="56"/>
      <c r="BL77" s="56"/>
      <c r="BM77" s="57"/>
    </row>
    <row r="78" spans="1:65" ht="15.75" thickBot="1" x14ac:dyDescent="0.3">
      <c r="A78" s="97"/>
      <c r="B78" s="98" t="s">
        <v>64</v>
      </c>
      <c r="C78" s="99">
        <f>C59+C49+C39+C29+C69</f>
        <v>16872746.639429998</v>
      </c>
      <c r="D78" s="99">
        <f t="shared" ref="D78:J78" si="133">D59+D49+D39+D29+D69</f>
        <v>21619342.454746004</v>
      </c>
      <c r="E78" s="99">
        <f t="shared" si="133"/>
        <v>28387049.259254001</v>
      </c>
      <c r="F78" s="99">
        <f t="shared" si="133"/>
        <v>16520397.664490001</v>
      </c>
      <c r="G78" s="99">
        <f t="shared" si="133"/>
        <v>16100792.763796002</v>
      </c>
      <c r="H78" s="100">
        <f t="shared" si="133"/>
        <v>16043653.300333001</v>
      </c>
      <c r="I78" s="100">
        <f t="shared" si="133"/>
        <v>18112621.721536998</v>
      </c>
      <c r="J78" s="100">
        <f t="shared" si="133"/>
        <v>18037502.126182001</v>
      </c>
      <c r="K78" s="101">
        <f>K59+K49+K39+K29+K69</f>
        <v>151694105.92976803</v>
      </c>
      <c r="R78" s="50">
        <f>R56+R58</f>
        <v>-399405</v>
      </c>
      <c r="S78" s="50">
        <f t="shared" ref="S78:T78" si="134">S56+S58</f>
        <v>-327788.99999999994</v>
      </c>
      <c r="T78" s="50">
        <f t="shared" si="134"/>
        <v>-454622</v>
      </c>
      <c r="V78" s="102">
        <f>V59+V49+V39+V29+V69</f>
        <v>149640690.3534033</v>
      </c>
      <c r="W78" s="102">
        <f t="shared" ref="W78:AS78" si="135">W59+W49+W39+W29+W69</f>
        <v>0</v>
      </c>
      <c r="X78" s="102">
        <f t="shared" si="135"/>
        <v>0</v>
      </c>
      <c r="Y78" s="103">
        <v>0</v>
      </c>
      <c r="Z78" s="99">
        <f t="shared" ref="Z78" si="136">C78+D78</f>
        <v>38492089.094176002</v>
      </c>
      <c r="AA78" s="99">
        <f t="shared" si="128"/>
        <v>61008239.687540002</v>
      </c>
      <c r="AB78" s="99">
        <f t="shared" si="129"/>
        <v>52193777.148052007</v>
      </c>
      <c r="AC78" s="104">
        <f t="shared" si="132"/>
        <v>151694105.92976803</v>
      </c>
      <c r="AD78" s="103">
        <f>'[1]APAC 17.6.2019'!Y78</f>
        <v>0</v>
      </c>
      <c r="AE78" s="99">
        <f>'[1]APAC 17.6.2019'!Z78</f>
        <v>44599319.609016001</v>
      </c>
      <c r="AF78" s="99">
        <f>'[1]APAC 17.6.2019'!AA78</f>
        <v>50837178.793779999</v>
      </c>
      <c r="AG78" s="99">
        <f>'[1]APAC 17.6.2019'!AB78</f>
        <v>34895643.751560003</v>
      </c>
      <c r="AH78" s="104">
        <f>'[1]APAC 17.6.2019'!AC78</f>
        <v>130332142.154356</v>
      </c>
      <c r="AI78" s="105"/>
      <c r="AJ78" s="99">
        <f t="shared" ref="AJ78:AM78" si="137">AJ59+AJ49+AJ39+AJ29+AJ69</f>
        <v>42844252.683176391</v>
      </c>
      <c r="AK78" s="99">
        <f t="shared" si="137"/>
        <v>31398941.840800002</v>
      </c>
      <c r="AL78" s="99">
        <f t="shared" si="137"/>
        <v>46077795.275660001</v>
      </c>
      <c r="AM78" s="104">
        <f t="shared" si="137"/>
        <v>120320989.79963639</v>
      </c>
      <c r="AN78" s="99">
        <v>0</v>
      </c>
      <c r="AO78" s="99"/>
      <c r="AP78" s="99"/>
      <c r="AQ78" s="99"/>
      <c r="AR78" s="99"/>
      <c r="AS78" s="105">
        <f t="shared" si="135"/>
        <v>120320989.79963638</v>
      </c>
      <c r="AT78" s="105">
        <f t="shared" si="119"/>
        <v>130332142.154356</v>
      </c>
      <c r="AU78" s="106">
        <f t="shared" si="120"/>
        <v>151694105.92976803</v>
      </c>
      <c r="AV78" s="101">
        <f t="shared" ref="AV78" si="138">AV59+AV49+AV39+AV29+AV69</f>
        <v>96668428.08805199</v>
      </c>
      <c r="AW78" s="99"/>
      <c r="AX78" s="105"/>
      <c r="AY78" s="101"/>
      <c r="AZ78" s="54"/>
      <c r="BA78" s="107"/>
      <c r="BB78" s="108"/>
      <c r="BC78" s="108"/>
      <c r="BD78" s="109"/>
      <c r="BF78" s="110"/>
      <c r="BG78" s="111"/>
      <c r="BH78" s="111"/>
      <c r="BI78" s="111"/>
      <c r="BJ78" s="111"/>
      <c r="BK78" s="111"/>
      <c r="BL78" s="111"/>
      <c r="BM78" s="112"/>
    </row>
    <row r="79" spans="1:65" x14ac:dyDescent="0.25">
      <c r="AV79" s="8"/>
      <c r="AW79" s="8"/>
    </row>
    <row r="80" spans="1:65" x14ac:dyDescent="0.25">
      <c r="Z80" s="54"/>
      <c r="AA80" s="54"/>
      <c r="AE80" s="54"/>
      <c r="AF80" s="54"/>
    </row>
  </sheetData>
  <autoFilter ref="B3:B71" xr:uid="{67328B47-3BE1-4682-99BA-B8668A887321}"/>
  <mergeCells count="10">
    <mergeCell ref="BF2:BG2"/>
    <mergeCell ref="BH2:BI2"/>
    <mergeCell ref="BJ2:BK2"/>
    <mergeCell ref="BL2:BM2"/>
    <mergeCell ref="Y1:AC1"/>
    <mergeCell ref="AD1:AH1"/>
    <mergeCell ref="AI1:AM1"/>
    <mergeCell ref="AN1:AR1"/>
    <mergeCell ref="BA1:BD1"/>
    <mergeCell ref="BF1:BM1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7C86-BCC6-475C-986D-6F6C3F3529EA}">
  <dimension ref="A1:T31"/>
  <sheetViews>
    <sheetView workbookViewId="0">
      <selection activeCell="D78" sqref="D78"/>
    </sheetView>
  </sheetViews>
  <sheetFormatPr defaultColWidth="8.85546875" defaultRowHeight="11.25" outlineLevelCol="1" x14ac:dyDescent="0.15"/>
  <cols>
    <col min="1" max="1" width="23.28515625" style="120" bestFit="1" customWidth="1"/>
    <col min="2" max="2" width="14.5703125" style="120" hidden="1" customWidth="1" outlineLevel="1"/>
    <col min="3" max="3" width="14.7109375" style="120" bestFit="1" customWidth="1" collapsed="1"/>
    <col min="4" max="4" width="12.5703125" style="120" hidden="1" customWidth="1" outlineLevel="1"/>
    <col min="5" max="5" width="10.7109375" style="120" bestFit="1" customWidth="1" collapsed="1"/>
    <col min="6" max="6" width="11.5703125" style="120" bestFit="1" customWidth="1"/>
    <col min="7" max="7" width="8.85546875" style="120"/>
    <col min="8" max="8" width="11.5703125" style="120" customWidth="1" outlineLevel="1"/>
    <col min="9" max="9" width="11.85546875" style="120" customWidth="1" outlineLevel="1"/>
    <col min="10" max="10" width="7.5703125" style="120" customWidth="1" outlineLevel="1"/>
    <col min="11" max="11" width="14.7109375" style="120" customWidth="1" outlineLevel="1"/>
    <col min="12" max="12" width="8.140625" style="120" customWidth="1" outlineLevel="1"/>
    <col min="13" max="14" width="11.5703125" style="120" customWidth="1" outlineLevel="1"/>
    <col min="15" max="16" width="8.85546875" style="120"/>
    <col min="17" max="17" width="12.5703125" style="120" bestFit="1" customWidth="1"/>
    <col min="18" max="19" width="10.85546875" style="120" bestFit="1" customWidth="1"/>
    <col min="20" max="20" width="9.85546875" style="120" bestFit="1" customWidth="1"/>
    <col min="21" max="16384" width="8.85546875" style="120"/>
  </cols>
  <sheetData>
    <row r="1" spans="1:20" ht="12" thickBot="1" x14ac:dyDescent="0.2">
      <c r="J1" s="199" t="s">
        <v>66</v>
      </c>
      <c r="K1" s="199"/>
      <c r="L1" s="120" t="s">
        <v>67</v>
      </c>
      <c r="M1" s="199" t="s">
        <v>23</v>
      </c>
      <c r="N1" s="199"/>
      <c r="Q1" s="200" t="s">
        <v>68</v>
      </c>
      <c r="R1" s="201"/>
      <c r="S1" s="201"/>
      <c r="T1" s="202"/>
    </row>
    <row r="2" spans="1:20" x14ac:dyDescent="0.15">
      <c r="B2" s="120" t="s">
        <v>69</v>
      </c>
      <c r="C2" s="120" t="s">
        <v>70</v>
      </c>
      <c r="D2" s="120" t="s">
        <v>71</v>
      </c>
      <c r="I2" s="121" t="s">
        <v>72</v>
      </c>
      <c r="J2" s="122">
        <v>43586</v>
      </c>
      <c r="K2" s="122">
        <v>43617</v>
      </c>
      <c r="M2" s="122">
        <v>43586</v>
      </c>
      <c r="N2" s="122">
        <v>43617</v>
      </c>
      <c r="Q2" s="123" t="s">
        <v>5</v>
      </c>
      <c r="R2" s="124">
        <v>43586</v>
      </c>
      <c r="S2" s="124">
        <v>43617</v>
      </c>
      <c r="T2" s="125" t="s">
        <v>73</v>
      </c>
    </row>
    <row r="3" spans="1:20" ht="15" x14ac:dyDescent="0.25">
      <c r="A3" s="120" t="s">
        <v>74</v>
      </c>
      <c r="B3" s="126">
        <v>1770695.4499999997</v>
      </c>
      <c r="C3" s="126"/>
      <c r="D3" s="126">
        <v>1770695.4499999997</v>
      </c>
      <c r="I3" s="120" t="s">
        <v>5</v>
      </c>
      <c r="K3" s="127">
        <v>2793696.65</v>
      </c>
      <c r="L3" s="128">
        <v>0.72957718000000005</v>
      </c>
      <c r="M3" s="126">
        <v>4752533.9659850001</v>
      </c>
      <c r="N3" s="126">
        <v>2038217.323682447</v>
      </c>
      <c r="Q3" s="129" t="s">
        <v>4</v>
      </c>
      <c r="R3" s="130">
        <v>0.89876570488700003</v>
      </c>
      <c r="S3" s="130">
        <v>0.72632333873491817</v>
      </c>
      <c r="T3" s="131">
        <v>1.6250890436219181</v>
      </c>
    </row>
    <row r="4" spans="1:20" ht="15" x14ac:dyDescent="0.25">
      <c r="A4" s="120" t="s">
        <v>75</v>
      </c>
      <c r="B4" s="126">
        <v>2136504.4700000002</v>
      </c>
      <c r="C4" s="126">
        <v>224825.14</v>
      </c>
      <c r="D4" s="126">
        <v>2361329.6100000003</v>
      </c>
      <c r="N4" s="126"/>
      <c r="Q4" s="129" t="s">
        <v>3</v>
      </c>
      <c r="R4" s="130">
        <v>1.2918589930489999</v>
      </c>
      <c r="S4" s="130">
        <v>0</v>
      </c>
      <c r="T4" s="131">
        <v>1.2918589930489999</v>
      </c>
    </row>
    <row r="5" spans="1:20" ht="15" x14ac:dyDescent="0.25">
      <c r="A5" s="120" t="s">
        <v>76</v>
      </c>
      <c r="B5" s="126">
        <v>1374994.16</v>
      </c>
      <c r="C5" s="126">
        <v>812486.55</v>
      </c>
      <c r="D5" s="126">
        <v>2187480.71</v>
      </c>
      <c r="I5" s="120" t="s">
        <v>6</v>
      </c>
      <c r="L5" s="128">
        <v>0.72957718000000005</v>
      </c>
      <c r="M5" s="126">
        <v>-386369.46109699999</v>
      </c>
      <c r="N5" s="126">
        <v>0</v>
      </c>
      <c r="Q5" s="129" t="s">
        <v>77</v>
      </c>
      <c r="R5" s="130">
        <v>2.5619092680489999</v>
      </c>
      <c r="S5" s="130">
        <v>1.3118939849475288</v>
      </c>
      <c r="T5" s="131">
        <v>3.8738032529965287</v>
      </c>
    </row>
    <row r="6" spans="1:20" ht="15.75" thickBot="1" x14ac:dyDescent="0.3">
      <c r="A6" s="120" t="s">
        <v>78</v>
      </c>
      <c r="B6" s="126"/>
      <c r="C6" s="126">
        <v>141268.31000000003</v>
      </c>
      <c r="D6" s="126">
        <v>141268.31000000003</v>
      </c>
      <c r="N6" s="126"/>
      <c r="Q6" s="132" t="s">
        <v>50</v>
      </c>
      <c r="R6" s="133">
        <v>13.091092249615999</v>
      </c>
      <c r="S6" s="133">
        <v>19.197294037314109</v>
      </c>
      <c r="T6" s="134">
        <v>32.288386286930105</v>
      </c>
    </row>
    <row r="7" spans="1:20" ht="15.75" thickBot="1" x14ac:dyDescent="0.3">
      <c r="A7" s="120" t="s">
        <v>79</v>
      </c>
      <c r="B7" s="126">
        <v>1231899.42</v>
      </c>
      <c r="C7" s="126">
        <v>995540.10000000009</v>
      </c>
      <c r="D7" s="126">
        <v>2227439.52</v>
      </c>
      <c r="I7" s="120" t="s">
        <v>80</v>
      </c>
      <c r="K7" s="127">
        <v>2793696.65</v>
      </c>
      <c r="M7" s="127">
        <v>4366164.504888</v>
      </c>
      <c r="N7" s="126">
        <v>2038217.323682447</v>
      </c>
      <c r="Q7" s="135" t="s">
        <v>81</v>
      </c>
      <c r="R7" s="136">
        <v>17.843626215600999</v>
      </c>
      <c r="S7" s="136">
        <v>21.235511360996554</v>
      </c>
      <c r="T7" s="136">
        <v>39.079137576597553</v>
      </c>
    </row>
    <row r="8" spans="1:20" ht="15.75" thickTop="1" x14ac:dyDescent="0.25">
      <c r="A8" s="120" t="s">
        <v>82</v>
      </c>
      <c r="B8" s="126"/>
      <c r="C8" s="126">
        <v>619576.54999999981</v>
      </c>
      <c r="D8" s="126">
        <v>619576.54999999981</v>
      </c>
    </row>
    <row r="9" spans="1:20" ht="15" x14ac:dyDescent="0.25">
      <c r="A9" s="137" t="s">
        <v>83</v>
      </c>
      <c r="B9" s="138">
        <v>6514093.5</v>
      </c>
      <c r="C9" s="138">
        <v>2793696.65</v>
      </c>
      <c r="D9" s="138">
        <v>9307790.1499999985</v>
      </c>
      <c r="R9" s="130"/>
    </row>
    <row r="10" spans="1:20" ht="15" x14ac:dyDescent="0.25">
      <c r="I10" s="121" t="s">
        <v>50</v>
      </c>
      <c r="J10" s="122">
        <v>43586</v>
      </c>
      <c r="K10" s="122">
        <v>43617</v>
      </c>
      <c r="M10" s="122">
        <v>43586</v>
      </c>
      <c r="N10" s="122">
        <v>43617</v>
      </c>
      <c r="R10" s="130"/>
    </row>
    <row r="11" spans="1:20" ht="15" x14ac:dyDescent="0.25">
      <c r="A11" s="120" t="s">
        <v>84</v>
      </c>
      <c r="C11" s="126">
        <v>22691771450</v>
      </c>
      <c r="F11" s="141">
        <f>C11/G14</f>
        <v>20649512.019499999</v>
      </c>
      <c r="I11" s="120" t="s">
        <v>5</v>
      </c>
      <c r="K11" s="126">
        <v>22691771450</v>
      </c>
      <c r="L11" s="128">
        <v>8.4600244099999997E-4</v>
      </c>
      <c r="M11" s="126">
        <v>13091092.249615999</v>
      </c>
      <c r="N11" s="126">
        <v>19197294.03731411</v>
      </c>
    </row>
    <row r="12" spans="1:20" ht="15" x14ac:dyDescent="0.25">
      <c r="M12" s="126"/>
    </row>
    <row r="13" spans="1:20" ht="15" x14ac:dyDescent="0.25">
      <c r="A13" s="120" t="s">
        <v>85</v>
      </c>
      <c r="B13" s="139">
        <v>0.72957718000000005</v>
      </c>
      <c r="C13" s="140">
        <v>0.72957718000000005</v>
      </c>
      <c r="E13" s="120" t="s">
        <v>86</v>
      </c>
      <c r="F13" s="141">
        <v>1.3706569056888538</v>
      </c>
      <c r="G13" s="120">
        <v>9.1E-4</v>
      </c>
      <c r="I13" s="120" t="s">
        <v>6</v>
      </c>
      <c r="K13" s="120">
        <v>0</v>
      </c>
      <c r="M13" s="126">
        <v>-584510.11507399997</v>
      </c>
    </row>
    <row r="14" spans="1:20" ht="15" x14ac:dyDescent="0.25">
      <c r="A14" s="120" t="s">
        <v>87</v>
      </c>
      <c r="B14" s="139"/>
      <c r="C14" s="140">
        <v>8.4600244099999997E-4</v>
      </c>
      <c r="E14" s="120" t="s">
        <v>86</v>
      </c>
      <c r="F14" s="141">
        <v>1182.0296863658814</v>
      </c>
      <c r="G14" s="120">
        <f>1/G13</f>
        <v>1098.901098901099</v>
      </c>
      <c r="M14" s="126"/>
    </row>
    <row r="15" spans="1:20" ht="15" x14ac:dyDescent="0.25">
      <c r="B15" s="139"/>
      <c r="I15" s="120" t="s">
        <v>80</v>
      </c>
      <c r="K15" s="127">
        <v>22691771450</v>
      </c>
      <c r="M15" s="126">
        <v>12506582.134542</v>
      </c>
    </row>
    <row r="16" spans="1:20" ht="15" x14ac:dyDescent="0.25">
      <c r="B16" s="139"/>
    </row>
    <row r="17" spans="1:14" ht="15" x14ac:dyDescent="0.25">
      <c r="A17" s="120" t="s">
        <v>74</v>
      </c>
      <c r="B17" s="126">
        <v>1291858.9930498309</v>
      </c>
      <c r="C17" s="126">
        <v>0</v>
      </c>
      <c r="D17" s="127">
        <v>1291858.9930498309</v>
      </c>
    </row>
    <row r="18" spans="1:14" ht="15" x14ac:dyDescent="0.25">
      <c r="A18" s="120" t="s">
        <v>75</v>
      </c>
      <c r="B18" s="126">
        <v>1558744.9062799949</v>
      </c>
      <c r="C18" s="126">
        <v>164027.29163430523</v>
      </c>
      <c r="D18" s="127">
        <v>1722772.1979143</v>
      </c>
      <c r="I18" s="142" t="s">
        <v>88</v>
      </c>
      <c r="J18" s="122">
        <v>43586</v>
      </c>
      <c r="K18" s="122">
        <v>43617</v>
      </c>
      <c r="M18" s="122">
        <v>43586</v>
      </c>
      <c r="N18" s="122">
        <v>43617</v>
      </c>
    </row>
    <row r="19" spans="1:14" ht="15" x14ac:dyDescent="0.25">
      <c r="A19" s="120" t="s">
        <v>76</v>
      </c>
      <c r="B19" s="126">
        <v>1003164.3617692688</v>
      </c>
      <c r="C19" s="126">
        <v>592771.64593692904</v>
      </c>
      <c r="D19" s="127">
        <v>1595936.0077061979</v>
      </c>
      <c r="I19" s="120" t="s">
        <v>5</v>
      </c>
      <c r="M19" s="127">
        <v>17843626.215600997</v>
      </c>
    </row>
    <row r="20" spans="1:14" ht="15" x14ac:dyDescent="0.25">
      <c r="A20" s="120" t="s">
        <v>78</v>
      </c>
      <c r="B20" s="126">
        <v>0</v>
      </c>
      <c r="C20" s="126">
        <v>103066.13523316583</v>
      </c>
      <c r="D20" s="127">
        <v>103066.13523316583</v>
      </c>
    </row>
    <row r="21" spans="1:14" ht="15" x14ac:dyDescent="0.25">
      <c r="A21" s="120" t="s">
        <v>79</v>
      </c>
      <c r="B21" s="126">
        <v>898765.70488723565</v>
      </c>
      <c r="C21" s="126">
        <v>726323.33873491816</v>
      </c>
      <c r="D21" s="127">
        <v>1625089.0436221538</v>
      </c>
      <c r="I21" s="120" t="s">
        <v>6</v>
      </c>
      <c r="M21" s="127">
        <v>-970879.57617100002</v>
      </c>
    </row>
    <row r="22" spans="1:14" ht="15" x14ac:dyDescent="0.25">
      <c r="A22" s="120" t="s">
        <v>82</v>
      </c>
      <c r="B22" s="126">
        <v>0</v>
      </c>
      <c r="C22" s="126">
        <v>452028.91214312887</v>
      </c>
      <c r="D22" s="127">
        <v>452028.91214312887</v>
      </c>
    </row>
    <row r="23" spans="1:14" x14ac:dyDescent="0.15">
      <c r="A23" s="137" t="s">
        <v>46</v>
      </c>
      <c r="B23" s="143">
        <v>4752533.9659863301</v>
      </c>
      <c r="C23" s="143">
        <v>2038217.3236824472</v>
      </c>
      <c r="D23" s="143">
        <v>6790751.289668777</v>
      </c>
      <c r="I23" s="120" t="s">
        <v>80</v>
      </c>
      <c r="M23" s="127">
        <v>16872746.639430001</v>
      </c>
    </row>
    <row r="24" spans="1:14" x14ac:dyDescent="0.15">
      <c r="C24" s="144" t="s">
        <v>89</v>
      </c>
    </row>
    <row r="25" spans="1:14" x14ac:dyDescent="0.15">
      <c r="A25" s="120" t="s">
        <v>3</v>
      </c>
      <c r="B25" s="127">
        <v>1291858.9930498309</v>
      </c>
      <c r="C25" s="127">
        <v>0</v>
      </c>
      <c r="D25" s="127">
        <v>1291858.9930498309</v>
      </c>
    </row>
    <row r="26" spans="1:14" x14ac:dyDescent="0.15">
      <c r="A26" s="120" t="s">
        <v>4</v>
      </c>
      <c r="B26" s="127">
        <v>898765.70488723565</v>
      </c>
      <c r="C26" s="127">
        <v>726323.33873491816</v>
      </c>
      <c r="D26" s="127">
        <v>1625089.0436221538</v>
      </c>
    </row>
    <row r="27" spans="1:14" x14ac:dyDescent="0.15">
      <c r="A27" s="120" t="s">
        <v>77</v>
      </c>
      <c r="B27" s="127">
        <v>2561909.2680492634</v>
      </c>
      <c r="C27" s="127">
        <v>1311893.9849475289</v>
      </c>
      <c r="D27" s="127">
        <v>3873803.2529967926</v>
      </c>
    </row>
    <row r="28" spans="1:14" hidden="1" x14ac:dyDescent="0.15"/>
    <row r="29" spans="1:14" ht="15" x14ac:dyDescent="0.25">
      <c r="A29" s="120" t="s">
        <v>50</v>
      </c>
      <c r="C29" s="126">
        <f>C11/F14</f>
        <v>19197294.03731411</v>
      </c>
    </row>
    <row r="31" spans="1:14" x14ac:dyDescent="0.15">
      <c r="A31" s="145" t="s">
        <v>63</v>
      </c>
      <c r="B31" s="145"/>
      <c r="C31" s="146">
        <v>21235511.360996556</v>
      </c>
    </row>
  </sheetData>
  <mergeCells count="3">
    <mergeCell ref="J1:K1"/>
    <mergeCell ref="M1:N1"/>
    <mergeCell ref="Q1:T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8B2A-440C-4A6F-8AF6-8E5E004D0632}">
  <dimension ref="E35:F39"/>
  <sheetViews>
    <sheetView workbookViewId="0">
      <selection activeCell="D78" sqref="D78"/>
    </sheetView>
  </sheetViews>
  <sheetFormatPr defaultRowHeight="15" x14ac:dyDescent="0.25"/>
  <cols>
    <col min="6" max="6" width="14.28515625" bestFit="1" customWidth="1"/>
  </cols>
  <sheetData>
    <row r="35" spans="5:6" x14ac:dyDescent="0.25">
      <c r="F35" s="116" t="s">
        <v>90</v>
      </c>
    </row>
    <row r="37" spans="5:6" x14ac:dyDescent="0.25">
      <c r="E37" t="s">
        <v>91</v>
      </c>
      <c r="F37" s="8">
        <v>886358842</v>
      </c>
    </row>
    <row r="38" spans="5:6" x14ac:dyDescent="0.25">
      <c r="E38" t="s">
        <v>92</v>
      </c>
      <c r="F38" s="8">
        <f>'June Actuals'!F14</f>
        <v>1182.0296863658814</v>
      </c>
    </row>
    <row r="39" spans="5:6" x14ac:dyDescent="0.25">
      <c r="E39" t="s">
        <v>23</v>
      </c>
      <c r="F39" s="8">
        <f>F37/F38</f>
        <v>749861.74393393332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EDE0-5676-495F-A09E-CA4A09563AFA}">
  <sheetPr>
    <pageSetUpPr fitToPage="1"/>
  </sheetPr>
  <dimension ref="A1:AO41"/>
  <sheetViews>
    <sheetView showGridLines="0" workbookViewId="0">
      <pane xSplit="5" ySplit="9" topLeftCell="F10" activePane="bottomRight" state="frozen"/>
      <selection activeCell="D78" sqref="D78"/>
      <selection pane="topRight" activeCell="D78" sqref="D78"/>
      <selection pane="bottomLeft" activeCell="D78" sqref="D78"/>
      <selection pane="bottomRight" activeCell="D78" sqref="D78"/>
    </sheetView>
  </sheetViews>
  <sheetFormatPr defaultRowHeight="15" x14ac:dyDescent="0.25"/>
  <cols>
    <col min="1" max="1" width="10.5703125" customWidth="1"/>
    <col min="2" max="2" width="14.140625" customWidth="1"/>
    <col min="3" max="3" width="17.85546875" customWidth="1"/>
    <col min="4" max="5" width="22.28515625" hidden="1" customWidth="1"/>
    <col min="6" max="11" width="14.5703125" hidden="1" customWidth="1"/>
    <col min="12" max="19" width="10.5703125" customWidth="1"/>
    <col min="20" max="23" width="14.5703125" hidden="1" customWidth="1"/>
    <col min="24" max="24" width="4.7109375" customWidth="1"/>
    <col min="25" max="25" width="11.42578125" customWidth="1"/>
    <col min="26" max="26" width="18.7109375" hidden="1" customWidth="1"/>
    <col min="27" max="27" width="2.28515625" hidden="1" customWidth="1"/>
    <col min="28" max="28" width="18.7109375" hidden="1" customWidth="1"/>
    <col min="29" max="29" width="5.85546875" hidden="1" customWidth="1"/>
    <col min="30" max="30" width="2.28515625" hidden="1" customWidth="1"/>
    <col min="31" max="31" width="17.28515625" hidden="1" customWidth="1"/>
    <col min="32" max="32" width="2.28515625" hidden="1" customWidth="1"/>
    <col min="33" max="33" width="17.28515625" hidden="1" customWidth="1"/>
    <col min="34" max="34" width="5.85546875" hidden="1" customWidth="1"/>
    <col min="35" max="35" width="3.28515625" hidden="1" customWidth="1"/>
    <col min="36" max="36" width="19.85546875" hidden="1" customWidth="1"/>
    <col min="37" max="37" width="2.28515625" hidden="1" customWidth="1"/>
    <col min="38" max="38" width="19.85546875" hidden="1" customWidth="1"/>
    <col min="39" max="39" width="5.85546875" hidden="1" customWidth="1"/>
    <col min="40" max="41" width="2.28515625" hidden="1" customWidth="1"/>
  </cols>
  <sheetData>
    <row r="1" spans="1:41" ht="78" customHeight="1" x14ac:dyDescent="0.25">
      <c r="A1" s="209" t="s">
        <v>98</v>
      </c>
      <c r="B1" s="204"/>
      <c r="C1" s="204"/>
      <c r="D1" s="205" t="s">
        <v>98</v>
      </c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7" t="s">
        <v>98</v>
      </c>
      <c r="R1" s="208"/>
      <c r="S1" s="208"/>
      <c r="T1" s="208"/>
      <c r="U1" s="208"/>
      <c r="V1" s="208"/>
      <c r="W1" s="208"/>
      <c r="X1" s="208"/>
      <c r="Y1" s="208"/>
      <c r="AO1" t="s">
        <v>99</v>
      </c>
    </row>
    <row r="2" spans="1:41" ht="15" customHeight="1" x14ac:dyDescent="0.25">
      <c r="A2" s="210" t="s">
        <v>100</v>
      </c>
      <c r="B2" s="211"/>
      <c r="C2" s="211"/>
      <c r="D2" s="205" t="s">
        <v>98</v>
      </c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7" t="s">
        <v>98</v>
      </c>
      <c r="R2" s="208"/>
      <c r="S2" s="208"/>
      <c r="T2" s="208"/>
      <c r="U2" s="208"/>
      <c r="V2" s="208"/>
      <c r="W2" s="208"/>
      <c r="X2" s="208"/>
      <c r="Y2" s="208"/>
      <c r="AO2" t="s">
        <v>101</v>
      </c>
    </row>
    <row r="3" spans="1:41" ht="15" customHeight="1" x14ac:dyDescent="0.25">
      <c r="A3" s="203" t="s">
        <v>102</v>
      </c>
      <c r="B3" s="204"/>
      <c r="C3" s="204"/>
      <c r="D3" s="205" t="s">
        <v>98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7" t="s">
        <v>98</v>
      </c>
      <c r="R3" s="208"/>
      <c r="S3" s="208"/>
      <c r="T3" s="208"/>
      <c r="U3" s="208"/>
      <c r="V3" s="208"/>
      <c r="W3" s="208"/>
      <c r="X3" s="208"/>
      <c r="Y3" s="208"/>
      <c r="AO3" t="s">
        <v>103</v>
      </c>
    </row>
    <row r="4" spans="1:41" ht="15" customHeight="1" x14ac:dyDescent="0.25">
      <c r="A4" s="160" t="s">
        <v>98</v>
      </c>
      <c r="B4" s="160" t="s">
        <v>98</v>
      </c>
      <c r="C4" s="160" t="s">
        <v>98</v>
      </c>
      <c r="D4" s="160"/>
      <c r="E4" s="160"/>
      <c r="F4" s="161" t="s">
        <v>104</v>
      </c>
      <c r="G4" s="161" t="s">
        <v>105</v>
      </c>
      <c r="H4" s="161" t="s">
        <v>106</v>
      </c>
      <c r="I4" s="161" t="s">
        <v>107</v>
      </c>
      <c r="J4" s="161" t="s">
        <v>108</v>
      </c>
      <c r="K4" s="161" t="s">
        <v>109</v>
      </c>
      <c r="L4" s="161" t="s">
        <v>110</v>
      </c>
      <c r="M4" s="161" t="s">
        <v>111</v>
      </c>
      <c r="N4" s="161" t="s">
        <v>112</v>
      </c>
      <c r="O4" s="161" t="s">
        <v>113</v>
      </c>
      <c r="P4" s="161" t="s">
        <v>114</v>
      </c>
      <c r="Q4" s="161" t="s">
        <v>115</v>
      </c>
      <c r="R4" s="161" t="s">
        <v>116</v>
      </c>
      <c r="S4" s="161" t="s">
        <v>117</v>
      </c>
      <c r="T4" s="161" t="s">
        <v>118</v>
      </c>
      <c r="U4" s="161" t="s">
        <v>119</v>
      </c>
      <c r="V4" s="161" t="s">
        <v>120</v>
      </c>
      <c r="W4" s="161" t="s">
        <v>121</v>
      </c>
      <c r="X4" s="162" t="s">
        <v>122</v>
      </c>
      <c r="Y4" s="163" t="s">
        <v>123</v>
      </c>
      <c r="Z4" s="164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 t="s">
        <v>124</v>
      </c>
    </row>
    <row r="5" spans="1:41" hidden="1" x14ac:dyDescent="0.25">
      <c r="A5" s="160"/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6"/>
      <c r="Y5" s="167"/>
      <c r="Z5" s="164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 t="s">
        <v>124</v>
      </c>
    </row>
    <row r="6" spans="1:41" hidden="1" x14ac:dyDescent="0.25">
      <c r="A6" s="160"/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6"/>
      <c r="Y6" s="167"/>
      <c r="Z6" s="164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 t="s">
        <v>124</v>
      </c>
    </row>
    <row r="7" spans="1:41" hidden="1" x14ac:dyDescent="0.25">
      <c r="A7" s="160"/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6"/>
      <c r="Y7" s="167"/>
      <c r="Z7" s="164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 t="s">
        <v>124</v>
      </c>
    </row>
    <row r="8" spans="1:41" hidden="1" x14ac:dyDescent="0.25">
      <c r="A8" s="160"/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6"/>
      <c r="Y8" s="167"/>
      <c r="Z8" s="164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 t="s">
        <v>124</v>
      </c>
    </row>
    <row r="9" spans="1:41" hidden="1" x14ac:dyDescent="0.25">
      <c r="A9" s="160"/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6"/>
      <c r="Y9" s="167"/>
      <c r="Z9" s="164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 t="s">
        <v>124</v>
      </c>
    </row>
    <row r="10" spans="1:41" ht="15" customHeight="1" x14ac:dyDescent="0.25">
      <c r="A10" s="168" t="s">
        <v>125</v>
      </c>
      <c r="B10" s="168" t="s">
        <v>126</v>
      </c>
      <c r="C10" s="168" t="s">
        <v>127</v>
      </c>
      <c r="D10" s="160"/>
      <c r="E10" s="160"/>
      <c r="F10" s="169"/>
      <c r="G10" s="169"/>
      <c r="H10" s="169"/>
      <c r="I10" s="169"/>
      <c r="J10" s="169"/>
      <c r="K10" s="169"/>
      <c r="L10" s="169">
        <v>13066874.664956</v>
      </c>
      <c r="M10" s="169">
        <v>19339685.276137002</v>
      </c>
      <c r="N10" s="169">
        <v>28618306.443999998</v>
      </c>
      <c r="O10" s="169">
        <v>15650762.938720001</v>
      </c>
      <c r="P10" s="169">
        <v>16650916.837099999</v>
      </c>
      <c r="Q10" s="169">
        <v>16152149.68822</v>
      </c>
      <c r="R10" s="169">
        <v>17161224.312959999</v>
      </c>
      <c r="S10" s="169">
        <v>18253083.757089999</v>
      </c>
      <c r="T10" s="169"/>
      <c r="U10" s="169"/>
      <c r="V10" s="169"/>
      <c r="W10" s="169"/>
      <c r="X10" s="170"/>
      <c r="Y10" s="171">
        <v>144893003.91918299</v>
      </c>
      <c r="Z10" s="164" t="s">
        <v>128</v>
      </c>
      <c r="AA10" s="165">
        <v>5</v>
      </c>
      <c r="AB10" s="165" t="s">
        <v>129</v>
      </c>
      <c r="AC10" s="165" t="s">
        <v>130</v>
      </c>
      <c r="AD10" s="165">
        <v>3</v>
      </c>
      <c r="AE10" s="165" t="s">
        <v>131</v>
      </c>
      <c r="AF10" s="165">
        <v>7</v>
      </c>
      <c r="AG10" s="165" t="s">
        <v>132</v>
      </c>
      <c r="AH10" s="165" t="s">
        <v>130</v>
      </c>
      <c r="AI10" s="165">
        <v>3</v>
      </c>
      <c r="AJ10" s="165" t="s">
        <v>133</v>
      </c>
      <c r="AK10" s="165">
        <v>4</v>
      </c>
      <c r="AL10" s="165" t="s">
        <v>134</v>
      </c>
      <c r="AM10" s="165" t="s">
        <v>130</v>
      </c>
      <c r="AN10" s="165">
        <v>0</v>
      </c>
      <c r="AO10" s="165" t="s">
        <v>135</v>
      </c>
    </row>
    <row r="11" spans="1:41" ht="15" customHeight="1" x14ac:dyDescent="0.25">
      <c r="A11" s="160" t="s">
        <v>98</v>
      </c>
      <c r="B11" s="160" t="s">
        <v>98</v>
      </c>
      <c r="C11" s="168" t="s">
        <v>136</v>
      </c>
      <c r="D11" s="160"/>
      <c r="E11" s="160"/>
      <c r="F11" s="169"/>
      <c r="G11" s="169"/>
      <c r="H11" s="169"/>
      <c r="I11" s="169"/>
      <c r="J11" s="169"/>
      <c r="K11" s="169"/>
      <c r="L11" s="169">
        <v>24217.58466</v>
      </c>
      <c r="M11" s="169">
        <v>12128.195152</v>
      </c>
      <c r="N11" s="169">
        <v>52564.156190000002</v>
      </c>
      <c r="O11" s="169">
        <v>81372.351970000003</v>
      </c>
      <c r="P11" s="169">
        <v>88079.540640000007</v>
      </c>
      <c r="Q11" s="169">
        <v>91952.392349999995</v>
      </c>
      <c r="R11" s="169">
        <v>148283.27423000001</v>
      </c>
      <c r="S11" s="169">
        <v>173530.11585</v>
      </c>
      <c r="T11" s="169"/>
      <c r="U11" s="169"/>
      <c r="V11" s="169"/>
      <c r="W11" s="169"/>
      <c r="X11" s="170"/>
      <c r="Y11" s="171">
        <v>672127.611042</v>
      </c>
      <c r="Z11" s="164" t="s">
        <v>128</v>
      </c>
      <c r="AA11" s="165">
        <v>5</v>
      </c>
      <c r="AB11" s="165" t="s">
        <v>129</v>
      </c>
      <c r="AC11" s="165" t="s">
        <v>137</v>
      </c>
      <c r="AD11" s="165">
        <v>3</v>
      </c>
      <c r="AE11" s="165" t="s">
        <v>131</v>
      </c>
      <c r="AF11" s="165">
        <v>7</v>
      </c>
      <c r="AG11" s="165" t="s">
        <v>132</v>
      </c>
      <c r="AH11" s="165" t="s">
        <v>137</v>
      </c>
      <c r="AI11" s="165">
        <v>3</v>
      </c>
      <c r="AJ11" s="165" t="s">
        <v>138</v>
      </c>
      <c r="AK11" s="165">
        <v>4</v>
      </c>
      <c r="AL11" s="165" t="s">
        <v>134</v>
      </c>
      <c r="AM11" s="165" t="s">
        <v>137</v>
      </c>
      <c r="AN11" s="165">
        <v>0</v>
      </c>
      <c r="AO11" s="165" t="s">
        <v>139</v>
      </c>
    </row>
    <row r="12" spans="1:41" ht="15" customHeight="1" x14ac:dyDescent="0.25">
      <c r="A12" s="160" t="s">
        <v>98</v>
      </c>
      <c r="B12" s="160" t="s">
        <v>98</v>
      </c>
      <c r="C12" s="168" t="s">
        <v>140</v>
      </c>
      <c r="D12" s="160"/>
      <c r="E12" s="160"/>
      <c r="F12" s="169"/>
      <c r="G12" s="169"/>
      <c r="H12" s="169"/>
      <c r="I12" s="169"/>
      <c r="J12" s="169"/>
      <c r="K12" s="169"/>
      <c r="L12" s="169">
        <v>2561909.2680489998</v>
      </c>
      <c r="M12" s="169">
        <v>1215975.5893649999</v>
      </c>
      <c r="N12" s="169">
        <v>852583.68012999999</v>
      </c>
      <c r="O12" s="169">
        <v>2294450.2398999999</v>
      </c>
      <c r="P12" s="169">
        <v>1345255.8182699999</v>
      </c>
      <c r="Q12" s="169">
        <v>1384499.0632199999</v>
      </c>
      <c r="R12" s="169">
        <v>1404364.2048800001</v>
      </c>
      <c r="S12" s="169">
        <v>1415599.1658900001</v>
      </c>
      <c r="T12" s="169"/>
      <c r="U12" s="169"/>
      <c r="V12" s="169"/>
      <c r="W12" s="169"/>
      <c r="X12" s="170"/>
      <c r="Y12" s="171">
        <v>12474637.029704001</v>
      </c>
      <c r="Z12" s="164" t="s">
        <v>128</v>
      </c>
      <c r="AA12" s="165">
        <v>5</v>
      </c>
      <c r="AB12" s="165" t="s">
        <v>129</v>
      </c>
      <c r="AC12" s="165" t="s">
        <v>137</v>
      </c>
      <c r="AD12" s="165">
        <v>3</v>
      </c>
      <c r="AE12" s="165" t="s">
        <v>131</v>
      </c>
      <c r="AF12" s="165">
        <v>7</v>
      </c>
      <c r="AG12" s="165" t="s">
        <v>132</v>
      </c>
      <c r="AH12" s="165" t="s">
        <v>137</v>
      </c>
      <c r="AI12" s="165">
        <v>3</v>
      </c>
      <c r="AJ12" s="165" t="s">
        <v>141</v>
      </c>
      <c r="AK12" s="165">
        <v>4</v>
      </c>
      <c r="AL12" s="165" t="s">
        <v>134</v>
      </c>
      <c r="AM12" s="165" t="s">
        <v>137</v>
      </c>
      <c r="AN12" s="165">
        <v>0</v>
      </c>
      <c r="AO12" s="165" t="s">
        <v>142</v>
      </c>
    </row>
    <row r="13" spans="1:41" ht="15" customHeight="1" x14ac:dyDescent="0.25">
      <c r="A13" s="160" t="s">
        <v>98</v>
      </c>
      <c r="B13" s="168" t="s">
        <v>143</v>
      </c>
      <c r="C13" s="168" t="s">
        <v>127</v>
      </c>
      <c r="D13" s="160"/>
      <c r="E13" s="160"/>
      <c r="F13" s="169"/>
      <c r="G13" s="169"/>
      <c r="H13" s="169"/>
      <c r="I13" s="169"/>
      <c r="J13" s="169"/>
      <c r="K13" s="169"/>
      <c r="L13" s="169">
        <v>-584510.11507399997</v>
      </c>
      <c r="M13" s="169">
        <v>-770201.03635900002</v>
      </c>
      <c r="N13" s="169">
        <v>-2962311.2082199999</v>
      </c>
      <c r="O13" s="169">
        <v>-2125836.94141</v>
      </c>
      <c r="P13" s="169">
        <v>-2335836.82332</v>
      </c>
      <c r="Q13" s="169">
        <v>-2374476.8329099999</v>
      </c>
      <c r="R13" s="169">
        <v>-2488448.4961700002</v>
      </c>
      <c r="S13" s="169">
        <v>-2629134.7300399998</v>
      </c>
      <c r="T13" s="169"/>
      <c r="U13" s="169"/>
      <c r="V13" s="169"/>
      <c r="W13" s="169"/>
      <c r="X13" s="170"/>
      <c r="Y13" s="171">
        <v>-16270756.183503</v>
      </c>
      <c r="Z13" s="164" t="s">
        <v>128</v>
      </c>
      <c r="AA13" s="165">
        <v>5</v>
      </c>
      <c r="AB13" s="165" t="s">
        <v>129</v>
      </c>
      <c r="AC13" s="165" t="s">
        <v>137</v>
      </c>
      <c r="AD13" s="165">
        <v>3</v>
      </c>
      <c r="AE13" s="165" t="s">
        <v>144</v>
      </c>
      <c r="AF13" s="165">
        <v>6</v>
      </c>
      <c r="AG13" s="165" t="s">
        <v>145</v>
      </c>
      <c r="AH13" s="165" t="s">
        <v>130</v>
      </c>
      <c r="AI13" s="165">
        <v>11</v>
      </c>
      <c r="AJ13" s="165" t="s">
        <v>133</v>
      </c>
      <c r="AK13" s="165">
        <v>4</v>
      </c>
      <c r="AL13" s="165" t="s">
        <v>134</v>
      </c>
      <c r="AM13" s="165" t="s">
        <v>137</v>
      </c>
      <c r="AN13" s="165">
        <v>0</v>
      </c>
      <c r="AO13" s="165" t="s">
        <v>146</v>
      </c>
    </row>
    <row r="14" spans="1:41" ht="15" customHeight="1" x14ac:dyDescent="0.25">
      <c r="A14" s="160" t="s">
        <v>98</v>
      </c>
      <c r="B14" s="160" t="s">
        <v>98</v>
      </c>
      <c r="C14" s="168" t="s">
        <v>136</v>
      </c>
      <c r="D14" s="160"/>
      <c r="E14" s="160"/>
      <c r="F14" s="169"/>
      <c r="G14" s="169"/>
      <c r="H14" s="169"/>
      <c r="I14" s="169"/>
      <c r="J14" s="169"/>
      <c r="K14" s="169"/>
      <c r="L14" s="169"/>
      <c r="M14" s="169"/>
      <c r="N14" s="169">
        <v>-1576.92535</v>
      </c>
      <c r="O14" s="169">
        <v>-2441.1705499999998</v>
      </c>
      <c r="P14" s="169">
        <v>-2642.3861099999999</v>
      </c>
      <c r="Q14" s="169">
        <v>-2758.5721800000001</v>
      </c>
      <c r="R14" s="169">
        <v>-4448.4976900000001</v>
      </c>
      <c r="S14" s="169">
        <v>-5205.9034300000003</v>
      </c>
      <c r="T14" s="169"/>
      <c r="U14" s="169"/>
      <c r="V14" s="169"/>
      <c r="W14" s="169"/>
      <c r="X14" s="170"/>
      <c r="Y14" s="171">
        <v>-19073.455310000001</v>
      </c>
      <c r="Z14" s="164" t="s">
        <v>128</v>
      </c>
      <c r="AA14" s="165">
        <v>5</v>
      </c>
      <c r="AB14" s="165" t="s">
        <v>129</v>
      </c>
      <c r="AC14" s="165" t="s">
        <v>137</v>
      </c>
      <c r="AD14" s="165">
        <v>3</v>
      </c>
      <c r="AE14" s="165" t="s">
        <v>144</v>
      </c>
      <c r="AF14" s="165">
        <v>6</v>
      </c>
      <c r="AG14" s="165" t="s">
        <v>145</v>
      </c>
      <c r="AH14" s="165" t="s">
        <v>137</v>
      </c>
      <c r="AI14" s="165">
        <v>11</v>
      </c>
      <c r="AJ14" s="165" t="s">
        <v>138</v>
      </c>
      <c r="AK14" s="165">
        <v>4</v>
      </c>
      <c r="AL14" s="165" t="s">
        <v>134</v>
      </c>
      <c r="AM14" s="165" t="s">
        <v>137</v>
      </c>
      <c r="AN14" s="165">
        <v>0</v>
      </c>
      <c r="AO14" s="165" t="s">
        <v>147</v>
      </c>
    </row>
    <row r="15" spans="1:41" ht="15" customHeight="1" x14ac:dyDescent="0.25">
      <c r="A15" s="160" t="s">
        <v>98</v>
      </c>
      <c r="B15" s="160" t="s">
        <v>98</v>
      </c>
      <c r="C15" s="168" t="s">
        <v>140</v>
      </c>
      <c r="D15" s="160"/>
      <c r="E15" s="160"/>
      <c r="F15" s="169"/>
      <c r="G15" s="169"/>
      <c r="H15" s="169"/>
      <c r="I15" s="169"/>
      <c r="J15" s="169"/>
      <c r="K15" s="169"/>
      <c r="L15" s="169">
        <v>-386369.46109699999</v>
      </c>
      <c r="M15" s="169">
        <v>-171668.30606599999</v>
      </c>
      <c r="N15" s="169">
        <v>-127887.55252</v>
      </c>
      <c r="O15" s="169">
        <v>-344167.53552999999</v>
      </c>
      <c r="P15" s="169">
        <v>-201788.37315</v>
      </c>
      <c r="Q15" s="169">
        <v>-207674.85921</v>
      </c>
      <c r="R15" s="169">
        <v>-210654.63055</v>
      </c>
      <c r="S15" s="169">
        <v>-212339.87411</v>
      </c>
      <c r="T15" s="169"/>
      <c r="U15" s="169"/>
      <c r="V15" s="169"/>
      <c r="W15" s="169"/>
      <c r="X15" s="170"/>
      <c r="Y15" s="171">
        <v>-1862550.5922330001</v>
      </c>
      <c r="Z15" s="164" t="s">
        <v>128</v>
      </c>
      <c r="AA15" s="165">
        <v>5</v>
      </c>
      <c r="AB15" s="165" t="s">
        <v>129</v>
      </c>
      <c r="AC15" s="165" t="s">
        <v>137</v>
      </c>
      <c r="AD15" s="165">
        <v>3</v>
      </c>
      <c r="AE15" s="165" t="s">
        <v>144</v>
      </c>
      <c r="AF15" s="165">
        <v>6</v>
      </c>
      <c r="AG15" s="165" t="s">
        <v>145</v>
      </c>
      <c r="AH15" s="165" t="s">
        <v>137</v>
      </c>
      <c r="AI15" s="165">
        <v>11</v>
      </c>
      <c r="AJ15" s="165" t="s">
        <v>141</v>
      </c>
      <c r="AK15" s="165">
        <v>4</v>
      </c>
      <c r="AL15" s="165" t="s">
        <v>134</v>
      </c>
      <c r="AM15" s="165" t="s">
        <v>137</v>
      </c>
      <c r="AN15" s="165">
        <v>0</v>
      </c>
      <c r="AO15" s="165" t="s">
        <v>148</v>
      </c>
    </row>
    <row r="16" spans="1:41" ht="15" customHeight="1" x14ac:dyDescent="0.25">
      <c r="A16" s="160" t="s">
        <v>98</v>
      </c>
      <c r="B16" s="168" t="s">
        <v>149</v>
      </c>
      <c r="C16" s="168" t="s">
        <v>127</v>
      </c>
      <c r="D16" s="160"/>
      <c r="E16" s="160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>
        <v>-886498.74130999995</v>
      </c>
      <c r="R16" s="169">
        <v>0</v>
      </c>
      <c r="S16" s="169">
        <v>-981067.18891999999</v>
      </c>
      <c r="T16" s="169"/>
      <c r="U16" s="169"/>
      <c r="V16" s="169"/>
      <c r="W16" s="169"/>
      <c r="X16" s="170"/>
      <c r="Y16" s="171">
        <v>-1867565.9302300001</v>
      </c>
      <c r="Z16" s="164" t="s">
        <v>128</v>
      </c>
      <c r="AA16" s="165">
        <v>5</v>
      </c>
      <c r="AB16" s="165" t="s">
        <v>129</v>
      </c>
      <c r="AC16" s="165" t="s">
        <v>137</v>
      </c>
      <c r="AD16" s="165">
        <v>3</v>
      </c>
      <c r="AE16" s="165" t="s">
        <v>150</v>
      </c>
      <c r="AF16" s="165">
        <v>6</v>
      </c>
      <c r="AG16" s="165" t="s">
        <v>145</v>
      </c>
      <c r="AH16" s="165" t="s">
        <v>137</v>
      </c>
      <c r="AI16" s="165">
        <v>2</v>
      </c>
      <c r="AJ16" s="165" t="s">
        <v>133</v>
      </c>
      <c r="AK16" s="165">
        <v>4</v>
      </c>
      <c r="AL16" s="165" t="s">
        <v>134</v>
      </c>
      <c r="AM16" s="165" t="s">
        <v>137</v>
      </c>
      <c r="AN16" s="165">
        <v>0</v>
      </c>
      <c r="AO16" s="165" t="s">
        <v>151</v>
      </c>
    </row>
    <row r="17" spans="1:41" ht="15" customHeight="1" x14ac:dyDescent="0.25">
      <c r="A17" s="160" t="s">
        <v>98</v>
      </c>
      <c r="B17" s="160" t="s">
        <v>98</v>
      </c>
      <c r="C17" s="168" t="s">
        <v>136</v>
      </c>
      <c r="D17" s="160"/>
      <c r="E17" s="160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>
        <v>-6867.7345100000002</v>
      </c>
      <c r="R17" s="169">
        <v>0</v>
      </c>
      <c r="S17" s="169">
        <v>-18255.991389999999</v>
      </c>
      <c r="T17" s="169"/>
      <c r="U17" s="169"/>
      <c r="V17" s="169"/>
      <c r="W17" s="169"/>
      <c r="X17" s="170"/>
      <c r="Y17" s="171">
        <v>-25123.725900000001</v>
      </c>
      <c r="Z17" s="164" t="s">
        <v>128</v>
      </c>
      <c r="AA17" s="165">
        <v>5</v>
      </c>
      <c r="AB17" s="165" t="s">
        <v>129</v>
      </c>
      <c r="AC17" s="165" t="s">
        <v>137</v>
      </c>
      <c r="AD17" s="165">
        <v>3</v>
      </c>
      <c r="AE17" s="165" t="s">
        <v>150</v>
      </c>
      <c r="AF17" s="165">
        <v>6</v>
      </c>
      <c r="AG17" s="165" t="s">
        <v>145</v>
      </c>
      <c r="AH17" s="165" t="s">
        <v>137</v>
      </c>
      <c r="AI17" s="165">
        <v>2</v>
      </c>
      <c r="AJ17" s="165" t="s">
        <v>138</v>
      </c>
      <c r="AK17" s="165">
        <v>4</v>
      </c>
      <c r="AL17" s="165" t="s">
        <v>134</v>
      </c>
      <c r="AM17" s="165" t="s">
        <v>137</v>
      </c>
      <c r="AN17" s="165">
        <v>0</v>
      </c>
      <c r="AO17" s="165" t="s">
        <v>152</v>
      </c>
    </row>
    <row r="18" spans="1:41" ht="15" customHeight="1" x14ac:dyDescent="0.25">
      <c r="A18" s="168" t="s">
        <v>153</v>
      </c>
      <c r="B18" s="168" t="s">
        <v>126</v>
      </c>
      <c r="C18" s="168" t="s">
        <v>140</v>
      </c>
      <c r="D18" s="160"/>
      <c r="E18" s="160"/>
      <c r="F18" s="169"/>
      <c r="G18" s="169"/>
      <c r="H18" s="169"/>
      <c r="I18" s="169"/>
      <c r="J18" s="169"/>
      <c r="K18" s="169"/>
      <c r="L18" s="169"/>
      <c r="M18" s="169">
        <v>103675.560224</v>
      </c>
      <c r="N18" s="169">
        <v>102472</v>
      </c>
      <c r="O18" s="169">
        <v>67757</v>
      </c>
      <c r="P18" s="169">
        <v>45956</v>
      </c>
      <c r="Q18" s="169">
        <v>53873</v>
      </c>
      <c r="R18" s="169">
        <v>47875</v>
      </c>
      <c r="S18" s="169">
        <v>48930</v>
      </c>
      <c r="T18" s="169"/>
      <c r="U18" s="169"/>
      <c r="V18" s="169"/>
      <c r="W18" s="169"/>
      <c r="X18" s="170"/>
      <c r="Y18" s="171">
        <v>470538.56022400002</v>
      </c>
      <c r="Z18" s="164" t="s">
        <v>154</v>
      </c>
      <c r="AA18" s="165">
        <v>5</v>
      </c>
      <c r="AB18" s="165" t="s">
        <v>155</v>
      </c>
      <c r="AC18" s="165" t="s">
        <v>130</v>
      </c>
      <c r="AD18" s="165">
        <v>1</v>
      </c>
      <c r="AE18" s="165" t="s">
        <v>131</v>
      </c>
      <c r="AF18" s="165">
        <v>7</v>
      </c>
      <c r="AG18" s="165" t="s">
        <v>132</v>
      </c>
      <c r="AH18" s="165" t="s">
        <v>130</v>
      </c>
      <c r="AI18" s="165">
        <v>3</v>
      </c>
      <c r="AJ18" s="165" t="s">
        <v>141</v>
      </c>
      <c r="AK18" s="165">
        <v>4</v>
      </c>
      <c r="AL18" s="165" t="s">
        <v>134</v>
      </c>
      <c r="AM18" s="165" t="s">
        <v>137</v>
      </c>
      <c r="AN18" s="165">
        <v>0</v>
      </c>
      <c r="AO18" s="165" t="s">
        <v>156</v>
      </c>
    </row>
    <row r="19" spans="1:41" ht="15" customHeight="1" x14ac:dyDescent="0.25">
      <c r="A19" s="160" t="s">
        <v>98</v>
      </c>
      <c r="B19" s="168" t="s">
        <v>143</v>
      </c>
      <c r="C19" s="168" t="s">
        <v>140</v>
      </c>
      <c r="D19" s="160"/>
      <c r="E19" s="160"/>
      <c r="F19" s="169"/>
      <c r="G19" s="169"/>
      <c r="H19" s="169"/>
      <c r="I19" s="169"/>
      <c r="J19" s="169"/>
      <c r="K19" s="169"/>
      <c r="L19" s="169"/>
      <c r="M19" s="169">
        <v>-15348.760633</v>
      </c>
      <c r="N19" s="169">
        <v>-15371</v>
      </c>
      <c r="O19" s="169">
        <v>-10163</v>
      </c>
      <c r="P19" s="169">
        <v>-6894</v>
      </c>
      <c r="Q19" s="169">
        <v>-8081</v>
      </c>
      <c r="R19" s="169">
        <v>-7181</v>
      </c>
      <c r="S19" s="169">
        <v>-7339</v>
      </c>
      <c r="T19" s="169"/>
      <c r="U19" s="169"/>
      <c r="V19" s="169"/>
      <c r="W19" s="169"/>
      <c r="X19" s="170"/>
      <c r="Y19" s="171">
        <v>-70377.760632999998</v>
      </c>
      <c r="Z19" s="164" t="s">
        <v>154</v>
      </c>
      <c r="AA19" s="165">
        <v>5</v>
      </c>
      <c r="AB19" s="165" t="s">
        <v>155</v>
      </c>
      <c r="AC19" s="165" t="s">
        <v>137</v>
      </c>
      <c r="AD19" s="165">
        <v>1</v>
      </c>
      <c r="AE19" s="165" t="s">
        <v>144</v>
      </c>
      <c r="AF19" s="165">
        <v>6</v>
      </c>
      <c r="AG19" s="165" t="s">
        <v>145</v>
      </c>
      <c r="AH19" s="165" t="s">
        <v>130</v>
      </c>
      <c r="AI19" s="165">
        <v>11</v>
      </c>
      <c r="AJ19" s="165" t="s">
        <v>141</v>
      </c>
      <c r="AK19" s="165">
        <v>4</v>
      </c>
      <c r="AL19" s="165" t="s">
        <v>134</v>
      </c>
      <c r="AM19" s="165" t="s">
        <v>137</v>
      </c>
      <c r="AN19" s="165">
        <v>0</v>
      </c>
      <c r="AO19" s="165" t="s">
        <v>157</v>
      </c>
    </row>
    <row r="20" spans="1:41" ht="15" customHeight="1" x14ac:dyDescent="0.25">
      <c r="A20" s="168" t="s">
        <v>4</v>
      </c>
      <c r="B20" s="168" t="s">
        <v>126</v>
      </c>
      <c r="C20" s="168" t="s">
        <v>127</v>
      </c>
      <c r="D20" s="160"/>
      <c r="E20" s="160"/>
      <c r="F20" s="169"/>
      <c r="G20" s="169"/>
      <c r="H20" s="169"/>
      <c r="I20" s="169"/>
      <c r="J20" s="169"/>
      <c r="K20" s="169"/>
      <c r="L20" s="169">
        <v>898765.70488700003</v>
      </c>
      <c r="M20" s="169">
        <v>730618.05293100001</v>
      </c>
      <c r="N20" s="169">
        <v>2022920.092008</v>
      </c>
      <c r="O20" s="169">
        <v>885206.85904799995</v>
      </c>
      <c r="P20" s="169">
        <v>389034.263592</v>
      </c>
      <c r="Q20" s="169">
        <v>544791.63175199996</v>
      </c>
      <c r="R20" s="169">
        <v>633979.37570400001</v>
      </c>
      <c r="S20" s="169">
        <v>741025.51905600005</v>
      </c>
      <c r="T20" s="169"/>
      <c r="U20" s="169"/>
      <c r="V20" s="169"/>
      <c r="W20" s="169"/>
      <c r="X20" s="170"/>
      <c r="Y20" s="171">
        <v>6846341.4989780001</v>
      </c>
      <c r="Z20" s="164" t="s">
        <v>158</v>
      </c>
      <c r="AA20" s="165">
        <v>5</v>
      </c>
      <c r="AB20" s="165" t="s">
        <v>155</v>
      </c>
      <c r="AC20" s="165" t="s">
        <v>137</v>
      </c>
      <c r="AD20" s="165">
        <v>1</v>
      </c>
      <c r="AE20" s="165" t="s">
        <v>131</v>
      </c>
      <c r="AF20" s="165">
        <v>7</v>
      </c>
      <c r="AG20" s="165" t="s">
        <v>132</v>
      </c>
      <c r="AH20" s="165" t="s">
        <v>130</v>
      </c>
      <c r="AI20" s="165">
        <v>3</v>
      </c>
      <c r="AJ20" s="165" t="s">
        <v>133</v>
      </c>
      <c r="AK20" s="165">
        <v>4</v>
      </c>
      <c r="AL20" s="165" t="s">
        <v>134</v>
      </c>
      <c r="AM20" s="165" t="s">
        <v>137</v>
      </c>
      <c r="AN20" s="165">
        <v>0</v>
      </c>
      <c r="AO20" s="165" t="s">
        <v>159</v>
      </c>
    </row>
    <row r="21" spans="1:41" ht="15" customHeight="1" x14ac:dyDescent="0.25">
      <c r="A21" s="160" t="s">
        <v>98</v>
      </c>
      <c r="B21" s="168" t="s">
        <v>143</v>
      </c>
      <c r="C21" s="168" t="s">
        <v>127</v>
      </c>
      <c r="D21" s="160"/>
      <c r="E21" s="160"/>
      <c r="F21" s="169"/>
      <c r="G21" s="169"/>
      <c r="H21" s="169"/>
      <c r="I21" s="169"/>
      <c r="J21" s="169"/>
      <c r="K21" s="169"/>
      <c r="L21" s="169"/>
      <c r="M21" s="169">
        <v>-108165.161253</v>
      </c>
      <c r="N21" s="169">
        <v>-303438.01377600001</v>
      </c>
      <c r="O21" s="169">
        <v>-132781.02890400001</v>
      </c>
      <c r="P21" s="169">
        <v>-58355.139528</v>
      </c>
      <c r="Q21" s="169">
        <v>-81718.744751999999</v>
      </c>
      <c r="R21" s="169">
        <v>-95096.906352000005</v>
      </c>
      <c r="S21" s="169">
        <v>-111153.827808</v>
      </c>
      <c r="T21" s="169"/>
      <c r="U21" s="169"/>
      <c r="V21" s="169"/>
      <c r="W21" s="169"/>
      <c r="X21" s="170"/>
      <c r="Y21" s="171">
        <v>-890708.82237299997</v>
      </c>
      <c r="Z21" s="164" t="s">
        <v>158</v>
      </c>
      <c r="AA21" s="165">
        <v>5</v>
      </c>
      <c r="AB21" s="165" t="s">
        <v>155</v>
      </c>
      <c r="AC21" s="165" t="s">
        <v>137</v>
      </c>
      <c r="AD21" s="165">
        <v>1</v>
      </c>
      <c r="AE21" s="165" t="s">
        <v>144</v>
      </c>
      <c r="AF21" s="165">
        <v>6</v>
      </c>
      <c r="AG21" s="165" t="s">
        <v>145</v>
      </c>
      <c r="AH21" s="165" t="s">
        <v>130</v>
      </c>
      <c r="AI21" s="165">
        <v>11</v>
      </c>
      <c r="AJ21" s="165" t="s">
        <v>133</v>
      </c>
      <c r="AK21" s="165">
        <v>4</v>
      </c>
      <c r="AL21" s="165" t="s">
        <v>134</v>
      </c>
      <c r="AM21" s="165" t="s">
        <v>137</v>
      </c>
      <c r="AN21" s="165">
        <v>0</v>
      </c>
      <c r="AO21" s="165" t="s">
        <v>160</v>
      </c>
    </row>
    <row r="22" spans="1:41" ht="15" customHeight="1" x14ac:dyDescent="0.25">
      <c r="A22" s="168" t="s">
        <v>62</v>
      </c>
      <c r="B22" s="168" t="s">
        <v>126</v>
      </c>
      <c r="C22" s="168" t="s">
        <v>127</v>
      </c>
      <c r="D22" s="160"/>
      <c r="E22" s="160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>
        <v>1444521.0552000001</v>
      </c>
      <c r="R22" s="169">
        <v>1515041.4513000001</v>
      </c>
      <c r="S22" s="169">
        <v>1430765.2899</v>
      </c>
      <c r="T22" s="169"/>
      <c r="U22" s="169"/>
      <c r="V22" s="169"/>
      <c r="W22" s="169"/>
      <c r="X22" s="170"/>
      <c r="Y22" s="171">
        <v>4390327.7964000003</v>
      </c>
      <c r="Z22" s="164" t="s">
        <v>161</v>
      </c>
      <c r="AA22" s="165">
        <v>5</v>
      </c>
      <c r="AB22" s="165" t="s">
        <v>155</v>
      </c>
      <c r="AC22" s="165" t="s">
        <v>137</v>
      </c>
      <c r="AD22" s="165">
        <v>1</v>
      </c>
      <c r="AE22" s="165" t="s">
        <v>131</v>
      </c>
      <c r="AF22" s="165">
        <v>7</v>
      </c>
      <c r="AG22" s="165" t="s">
        <v>132</v>
      </c>
      <c r="AH22" s="165" t="s">
        <v>130</v>
      </c>
      <c r="AI22" s="165">
        <v>3</v>
      </c>
      <c r="AJ22" s="165" t="s">
        <v>133</v>
      </c>
      <c r="AK22" s="165">
        <v>4</v>
      </c>
      <c r="AL22" s="165" t="s">
        <v>134</v>
      </c>
      <c r="AM22" s="165" t="s">
        <v>137</v>
      </c>
      <c r="AN22" s="165">
        <v>0</v>
      </c>
      <c r="AO22" s="165" t="s">
        <v>162</v>
      </c>
    </row>
    <row r="23" spans="1:41" ht="15" customHeight="1" x14ac:dyDescent="0.25">
      <c r="A23" s="160" t="s">
        <v>98</v>
      </c>
      <c r="B23" s="168" t="s">
        <v>143</v>
      </c>
      <c r="C23" s="168" t="s">
        <v>127</v>
      </c>
      <c r="D23" s="160"/>
      <c r="E23" s="160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>
        <v>-216677.74230000001</v>
      </c>
      <c r="R23" s="169">
        <v>-227256.11369999999</v>
      </c>
      <c r="S23" s="169">
        <v>-214615.17480000001</v>
      </c>
      <c r="T23" s="169"/>
      <c r="U23" s="169"/>
      <c r="V23" s="169"/>
      <c r="W23" s="169"/>
      <c r="X23" s="170"/>
      <c r="Y23" s="171">
        <v>-658549.03079999995</v>
      </c>
      <c r="Z23" s="164" t="s">
        <v>161</v>
      </c>
      <c r="AA23" s="165">
        <v>5</v>
      </c>
      <c r="AB23" s="165" t="s">
        <v>155</v>
      </c>
      <c r="AC23" s="165" t="s">
        <v>137</v>
      </c>
      <c r="AD23" s="165">
        <v>1</v>
      </c>
      <c r="AE23" s="165" t="s">
        <v>144</v>
      </c>
      <c r="AF23" s="165">
        <v>6</v>
      </c>
      <c r="AG23" s="165" t="s">
        <v>145</v>
      </c>
      <c r="AH23" s="165" t="s">
        <v>130</v>
      </c>
      <c r="AI23" s="165">
        <v>11</v>
      </c>
      <c r="AJ23" s="165" t="s">
        <v>133</v>
      </c>
      <c r="AK23" s="165">
        <v>4</v>
      </c>
      <c r="AL23" s="165" t="s">
        <v>134</v>
      </c>
      <c r="AM23" s="165" t="s">
        <v>137</v>
      </c>
      <c r="AN23" s="165">
        <v>0</v>
      </c>
      <c r="AO23" s="165" t="s">
        <v>163</v>
      </c>
    </row>
    <row r="24" spans="1:41" ht="15" customHeight="1" x14ac:dyDescent="0.25">
      <c r="A24" s="160" t="s">
        <v>98</v>
      </c>
      <c r="B24" s="168" t="s">
        <v>149</v>
      </c>
      <c r="C24" s="168" t="s">
        <v>127</v>
      </c>
      <c r="D24" s="160"/>
      <c r="E24" s="160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>
        <v>-60229.744200000001</v>
      </c>
      <c r="R24" s="169">
        <v>0</v>
      </c>
      <c r="S24" s="169">
        <v>-100574.25780000001</v>
      </c>
      <c r="T24" s="169"/>
      <c r="U24" s="169"/>
      <c r="V24" s="169"/>
      <c r="W24" s="169"/>
      <c r="X24" s="170"/>
      <c r="Y24" s="171">
        <v>-160804.00200000001</v>
      </c>
      <c r="Z24" s="164" t="s">
        <v>161</v>
      </c>
      <c r="AA24" s="165">
        <v>5</v>
      </c>
      <c r="AB24" s="165" t="s">
        <v>155</v>
      </c>
      <c r="AC24" s="165" t="s">
        <v>137</v>
      </c>
      <c r="AD24" s="165">
        <v>1</v>
      </c>
      <c r="AE24" s="165" t="s">
        <v>150</v>
      </c>
      <c r="AF24" s="165">
        <v>6</v>
      </c>
      <c r="AG24" s="165" t="s">
        <v>145</v>
      </c>
      <c r="AH24" s="165" t="s">
        <v>137</v>
      </c>
      <c r="AI24" s="165">
        <v>2</v>
      </c>
      <c r="AJ24" s="165" t="s">
        <v>133</v>
      </c>
      <c r="AK24" s="165">
        <v>4</v>
      </c>
      <c r="AL24" s="165" t="s">
        <v>134</v>
      </c>
      <c r="AM24" s="165" t="s">
        <v>137</v>
      </c>
      <c r="AN24" s="165">
        <v>0</v>
      </c>
      <c r="AO24" s="165" t="s">
        <v>164</v>
      </c>
    </row>
    <row r="25" spans="1:41" ht="15" customHeight="1" x14ac:dyDescent="0.25">
      <c r="A25" s="168" t="s">
        <v>3</v>
      </c>
      <c r="B25" s="168" t="s">
        <v>126</v>
      </c>
      <c r="C25" s="168" t="s">
        <v>127</v>
      </c>
      <c r="D25" s="160"/>
      <c r="E25" s="160"/>
      <c r="F25" s="169"/>
      <c r="G25" s="169"/>
      <c r="H25" s="169"/>
      <c r="I25" s="169"/>
      <c r="J25" s="169"/>
      <c r="K25" s="169"/>
      <c r="L25" s="169">
        <v>1291858.9930489999</v>
      </c>
      <c r="M25" s="169">
        <v>0</v>
      </c>
      <c r="N25" s="169">
        <v>495958.62264000002</v>
      </c>
      <c r="O25" s="169">
        <v>520793.17082</v>
      </c>
      <c r="P25" s="169">
        <v>623556.75433999998</v>
      </c>
      <c r="Q25" s="169">
        <v>722834.80321000004</v>
      </c>
      <c r="R25" s="169">
        <v>783132.48974999995</v>
      </c>
      <c r="S25" s="169">
        <v>847514.08898</v>
      </c>
      <c r="T25" s="169"/>
      <c r="U25" s="169"/>
      <c r="V25" s="169"/>
      <c r="W25" s="169"/>
      <c r="X25" s="170"/>
      <c r="Y25" s="171">
        <v>5285648.922789</v>
      </c>
      <c r="Z25" s="164" t="s">
        <v>165</v>
      </c>
      <c r="AA25" s="165">
        <v>5</v>
      </c>
      <c r="AB25" s="165" t="s">
        <v>155</v>
      </c>
      <c r="AC25" s="165" t="s">
        <v>137</v>
      </c>
      <c r="AD25" s="165">
        <v>1</v>
      </c>
      <c r="AE25" s="165" t="s">
        <v>131</v>
      </c>
      <c r="AF25" s="165">
        <v>7</v>
      </c>
      <c r="AG25" s="165" t="s">
        <v>132</v>
      </c>
      <c r="AH25" s="165" t="s">
        <v>130</v>
      </c>
      <c r="AI25" s="165">
        <v>3</v>
      </c>
      <c r="AJ25" s="165" t="s">
        <v>133</v>
      </c>
      <c r="AK25" s="165">
        <v>4</v>
      </c>
      <c r="AL25" s="165" t="s">
        <v>134</v>
      </c>
      <c r="AM25" s="165" t="s">
        <v>137</v>
      </c>
      <c r="AN25" s="165">
        <v>0</v>
      </c>
      <c r="AO25" s="165" t="s">
        <v>166</v>
      </c>
    </row>
    <row r="26" spans="1:41" ht="15" customHeight="1" x14ac:dyDescent="0.25">
      <c r="A26" s="160" t="s">
        <v>98</v>
      </c>
      <c r="B26" s="168" t="s">
        <v>143</v>
      </c>
      <c r="C26" s="168" t="s">
        <v>127</v>
      </c>
      <c r="D26" s="160"/>
      <c r="E26" s="160"/>
      <c r="F26" s="169"/>
      <c r="G26" s="169"/>
      <c r="H26" s="169"/>
      <c r="I26" s="169"/>
      <c r="J26" s="169"/>
      <c r="K26" s="169"/>
      <c r="L26" s="169"/>
      <c r="M26" s="169">
        <v>-1021786.094531</v>
      </c>
      <c r="N26" s="169">
        <v>-347171.03584800003</v>
      </c>
      <c r="O26" s="169">
        <v>-364555.21957399999</v>
      </c>
      <c r="P26" s="169">
        <v>-436489.728038</v>
      </c>
      <c r="Q26" s="169">
        <v>-505984.36224699998</v>
      </c>
      <c r="R26" s="169">
        <v>-548192.74282499996</v>
      </c>
      <c r="S26" s="169">
        <v>-593259.86228600005</v>
      </c>
      <c r="T26" s="169"/>
      <c r="U26" s="169"/>
      <c r="V26" s="169"/>
      <c r="W26" s="169"/>
      <c r="X26" s="170"/>
      <c r="Y26" s="171">
        <v>-3817439.045349</v>
      </c>
      <c r="Z26" s="164" t="s">
        <v>165</v>
      </c>
      <c r="AA26" s="165">
        <v>5</v>
      </c>
      <c r="AB26" s="165" t="s">
        <v>155</v>
      </c>
      <c r="AC26" s="165" t="s">
        <v>137</v>
      </c>
      <c r="AD26" s="165">
        <v>1</v>
      </c>
      <c r="AE26" s="165" t="s">
        <v>144</v>
      </c>
      <c r="AF26" s="165">
        <v>6</v>
      </c>
      <c r="AG26" s="165" t="s">
        <v>145</v>
      </c>
      <c r="AH26" s="165" t="s">
        <v>130</v>
      </c>
      <c r="AI26" s="165">
        <v>11</v>
      </c>
      <c r="AJ26" s="165" t="s">
        <v>133</v>
      </c>
      <c r="AK26" s="165">
        <v>4</v>
      </c>
      <c r="AL26" s="165" t="s">
        <v>134</v>
      </c>
      <c r="AM26" s="165" t="s">
        <v>137</v>
      </c>
      <c r="AN26" s="165">
        <v>0</v>
      </c>
      <c r="AO26" s="165" t="s">
        <v>167</v>
      </c>
    </row>
    <row r="27" spans="1:41" ht="15" customHeight="1" x14ac:dyDescent="0.25">
      <c r="A27" s="168" t="s">
        <v>168</v>
      </c>
      <c r="B27" s="168" t="s">
        <v>126</v>
      </c>
      <c r="C27" s="168" t="s">
        <v>127</v>
      </c>
      <c r="D27" s="160"/>
      <c r="E27" s="160"/>
      <c r="F27" s="169"/>
      <c r="G27" s="169"/>
      <c r="H27" s="169"/>
      <c r="I27" s="169"/>
      <c r="J27" s="169"/>
      <c r="K27" s="169"/>
      <c r="L27" s="169">
        <v>15257499.362892</v>
      </c>
      <c r="M27" s="169">
        <v>20070303.329068001</v>
      </c>
      <c r="N27" s="169">
        <v>31137185.158647999</v>
      </c>
      <c r="O27" s="169">
        <v>17056762.968587998</v>
      </c>
      <c r="P27" s="169">
        <v>17663507.855032001</v>
      </c>
      <c r="Q27" s="169">
        <v>18864297.178382002</v>
      </c>
      <c r="R27" s="169">
        <v>20093377.629714001</v>
      </c>
      <c r="S27" s="169">
        <v>21272388.655026</v>
      </c>
      <c r="T27" s="169"/>
      <c r="U27" s="169"/>
      <c r="V27" s="169"/>
      <c r="W27" s="169"/>
      <c r="X27" s="170"/>
      <c r="Y27" s="171">
        <v>161415322.13734999</v>
      </c>
      <c r="Z27" s="164" t="s">
        <v>169</v>
      </c>
      <c r="AA27" s="165">
        <v>3</v>
      </c>
      <c r="AB27" s="165" t="s">
        <v>170</v>
      </c>
      <c r="AC27" s="165" t="s">
        <v>130</v>
      </c>
      <c r="AD27" s="165">
        <v>2</v>
      </c>
      <c r="AE27" s="165" t="s">
        <v>131</v>
      </c>
      <c r="AF27" s="165">
        <v>7</v>
      </c>
      <c r="AG27" s="165" t="s">
        <v>132</v>
      </c>
      <c r="AH27" s="165" t="s">
        <v>130</v>
      </c>
      <c r="AI27" s="165">
        <v>3</v>
      </c>
      <c r="AJ27" s="165" t="s">
        <v>133</v>
      </c>
      <c r="AK27" s="165">
        <v>4</v>
      </c>
      <c r="AL27" s="165" t="s">
        <v>134</v>
      </c>
      <c r="AM27" s="165" t="s">
        <v>137</v>
      </c>
      <c r="AN27" s="165">
        <v>0</v>
      </c>
      <c r="AO27" s="165" t="s">
        <v>171</v>
      </c>
    </row>
    <row r="28" spans="1:41" ht="15" customHeight="1" x14ac:dyDescent="0.25">
      <c r="A28" s="160" t="s">
        <v>98</v>
      </c>
      <c r="B28" s="160" t="s">
        <v>98</v>
      </c>
      <c r="C28" s="168" t="s">
        <v>136</v>
      </c>
      <c r="D28" s="160"/>
      <c r="E28" s="160"/>
      <c r="F28" s="169"/>
      <c r="G28" s="169"/>
      <c r="H28" s="169"/>
      <c r="I28" s="169"/>
      <c r="J28" s="169"/>
      <c r="K28" s="169"/>
      <c r="L28" s="169">
        <v>24217.58466</v>
      </c>
      <c r="M28" s="169">
        <v>12128.195152</v>
      </c>
      <c r="N28" s="169">
        <v>52564.156190000002</v>
      </c>
      <c r="O28" s="169">
        <v>81372.351970000003</v>
      </c>
      <c r="P28" s="169">
        <v>88079.540640000007</v>
      </c>
      <c r="Q28" s="169">
        <v>91952.392349999995</v>
      </c>
      <c r="R28" s="169">
        <v>148283.27423000001</v>
      </c>
      <c r="S28" s="169">
        <v>173530.11585</v>
      </c>
      <c r="T28" s="169"/>
      <c r="U28" s="169"/>
      <c r="V28" s="169"/>
      <c r="W28" s="169"/>
      <c r="X28" s="170"/>
      <c r="Y28" s="171">
        <v>672127.611042</v>
      </c>
      <c r="Z28" s="164" t="s">
        <v>169</v>
      </c>
      <c r="AA28" s="165">
        <v>3</v>
      </c>
      <c r="AB28" s="165" t="s">
        <v>170</v>
      </c>
      <c r="AC28" s="165" t="s">
        <v>137</v>
      </c>
      <c r="AD28" s="165">
        <v>2</v>
      </c>
      <c r="AE28" s="165" t="s">
        <v>131</v>
      </c>
      <c r="AF28" s="165">
        <v>7</v>
      </c>
      <c r="AG28" s="165" t="s">
        <v>132</v>
      </c>
      <c r="AH28" s="165" t="s">
        <v>137</v>
      </c>
      <c r="AI28" s="165">
        <v>3</v>
      </c>
      <c r="AJ28" s="165" t="s">
        <v>138</v>
      </c>
      <c r="AK28" s="165">
        <v>4</v>
      </c>
      <c r="AL28" s="165" t="s">
        <v>134</v>
      </c>
      <c r="AM28" s="165" t="s">
        <v>137</v>
      </c>
      <c r="AN28" s="165">
        <v>0</v>
      </c>
      <c r="AO28" s="165" t="s">
        <v>172</v>
      </c>
    </row>
    <row r="29" spans="1:41" ht="15" customHeight="1" x14ac:dyDescent="0.25">
      <c r="A29" s="160" t="s">
        <v>98</v>
      </c>
      <c r="B29" s="160" t="s">
        <v>98</v>
      </c>
      <c r="C29" s="168" t="s">
        <v>140</v>
      </c>
      <c r="D29" s="160"/>
      <c r="E29" s="160"/>
      <c r="F29" s="169"/>
      <c r="G29" s="169"/>
      <c r="H29" s="169"/>
      <c r="I29" s="169"/>
      <c r="J29" s="169"/>
      <c r="K29" s="169"/>
      <c r="L29" s="169">
        <v>2561909.2680489998</v>
      </c>
      <c r="M29" s="169">
        <v>1319651.149589</v>
      </c>
      <c r="N29" s="169">
        <v>955055.68012999999</v>
      </c>
      <c r="O29" s="169">
        <v>2362207.2398999999</v>
      </c>
      <c r="P29" s="169">
        <v>1391211.8182699999</v>
      </c>
      <c r="Q29" s="169">
        <v>1438372.0632199999</v>
      </c>
      <c r="R29" s="169">
        <v>1452239.2048800001</v>
      </c>
      <c r="S29" s="169">
        <v>1464529.1658900001</v>
      </c>
      <c r="T29" s="169"/>
      <c r="U29" s="169"/>
      <c r="V29" s="169"/>
      <c r="W29" s="169"/>
      <c r="X29" s="170"/>
      <c r="Y29" s="171">
        <v>12945175.589927999</v>
      </c>
      <c r="Z29" s="164" t="s">
        <v>169</v>
      </c>
      <c r="AA29" s="165">
        <v>3</v>
      </c>
      <c r="AB29" s="165" t="s">
        <v>170</v>
      </c>
      <c r="AC29" s="165" t="s">
        <v>137</v>
      </c>
      <c r="AD29" s="165">
        <v>2</v>
      </c>
      <c r="AE29" s="165" t="s">
        <v>131</v>
      </c>
      <c r="AF29" s="165">
        <v>7</v>
      </c>
      <c r="AG29" s="165" t="s">
        <v>132</v>
      </c>
      <c r="AH29" s="165" t="s">
        <v>137</v>
      </c>
      <c r="AI29" s="165">
        <v>3</v>
      </c>
      <c r="AJ29" s="165" t="s">
        <v>141</v>
      </c>
      <c r="AK29" s="165">
        <v>4</v>
      </c>
      <c r="AL29" s="165" t="s">
        <v>134</v>
      </c>
      <c r="AM29" s="165" t="s">
        <v>137</v>
      </c>
      <c r="AN29" s="165">
        <v>0</v>
      </c>
      <c r="AO29" s="165" t="s">
        <v>173</v>
      </c>
    </row>
    <row r="30" spans="1:41" ht="15" customHeight="1" x14ac:dyDescent="0.25">
      <c r="A30" s="160" t="s">
        <v>98</v>
      </c>
      <c r="B30" s="168" t="s">
        <v>143</v>
      </c>
      <c r="C30" s="168" t="s">
        <v>127</v>
      </c>
      <c r="D30" s="160"/>
      <c r="E30" s="160"/>
      <c r="F30" s="169"/>
      <c r="G30" s="169"/>
      <c r="H30" s="169"/>
      <c r="I30" s="169"/>
      <c r="J30" s="169"/>
      <c r="K30" s="169"/>
      <c r="L30" s="169">
        <v>-584510.11507399997</v>
      </c>
      <c r="M30" s="169">
        <v>-1900152.2921430001</v>
      </c>
      <c r="N30" s="169">
        <v>-3612920.2578440001</v>
      </c>
      <c r="O30" s="169">
        <v>-2623173.189888</v>
      </c>
      <c r="P30" s="169">
        <v>-2830681.6908860002</v>
      </c>
      <c r="Q30" s="169">
        <v>-3178857.682209</v>
      </c>
      <c r="R30" s="169">
        <v>-3358994.2590470002</v>
      </c>
      <c r="S30" s="169">
        <v>-3548163.5949340002</v>
      </c>
      <c r="T30" s="169"/>
      <c r="U30" s="169"/>
      <c r="V30" s="169"/>
      <c r="W30" s="169"/>
      <c r="X30" s="170"/>
      <c r="Y30" s="171">
        <v>-21637453.082024999</v>
      </c>
      <c r="Z30" s="164" t="s">
        <v>169</v>
      </c>
      <c r="AA30" s="165">
        <v>3</v>
      </c>
      <c r="AB30" s="165" t="s">
        <v>170</v>
      </c>
      <c r="AC30" s="165" t="s">
        <v>137</v>
      </c>
      <c r="AD30" s="165">
        <v>2</v>
      </c>
      <c r="AE30" s="165" t="s">
        <v>144</v>
      </c>
      <c r="AF30" s="165">
        <v>6</v>
      </c>
      <c r="AG30" s="165" t="s">
        <v>145</v>
      </c>
      <c r="AH30" s="165" t="s">
        <v>130</v>
      </c>
      <c r="AI30" s="165">
        <v>11</v>
      </c>
      <c r="AJ30" s="165" t="s">
        <v>133</v>
      </c>
      <c r="AK30" s="165">
        <v>4</v>
      </c>
      <c r="AL30" s="165" t="s">
        <v>134</v>
      </c>
      <c r="AM30" s="165" t="s">
        <v>137</v>
      </c>
      <c r="AN30" s="165">
        <v>0</v>
      </c>
      <c r="AO30" s="165" t="s">
        <v>174</v>
      </c>
    </row>
    <row r="31" spans="1:41" ht="15" customHeight="1" x14ac:dyDescent="0.25">
      <c r="A31" s="160" t="s">
        <v>98</v>
      </c>
      <c r="B31" s="160" t="s">
        <v>98</v>
      </c>
      <c r="C31" s="168" t="s">
        <v>136</v>
      </c>
      <c r="D31" s="160"/>
      <c r="E31" s="160"/>
      <c r="F31" s="169"/>
      <c r="G31" s="169"/>
      <c r="H31" s="169"/>
      <c r="I31" s="169"/>
      <c r="J31" s="169"/>
      <c r="K31" s="169"/>
      <c r="L31" s="169"/>
      <c r="M31" s="169"/>
      <c r="N31" s="169">
        <v>-1576.92535</v>
      </c>
      <c r="O31" s="169">
        <v>-2441.1705499999998</v>
      </c>
      <c r="P31" s="169">
        <v>-2642.3861099999999</v>
      </c>
      <c r="Q31" s="169">
        <v>-2758.5721800000001</v>
      </c>
      <c r="R31" s="169">
        <v>-4448.4976900000001</v>
      </c>
      <c r="S31" s="169">
        <v>-5205.9034300000003</v>
      </c>
      <c r="T31" s="169"/>
      <c r="U31" s="169"/>
      <c r="V31" s="169"/>
      <c r="W31" s="169"/>
      <c r="X31" s="170"/>
      <c r="Y31" s="171">
        <v>-19073.455310000001</v>
      </c>
      <c r="Z31" s="164" t="s">
        <v>169</v>
      </c>
      <c r="AA31" s="165">
        <v>3</v>
      </c>
      <c r="AB31" s="165" t="s">
        <v>170</v>
      </c>
      <c r="AC31" s="165" t="s">
        <v>137</v>
      </c>
      <c r="AD31" s="165">
        <v>2</v>
      </c>
      <c r="AE31" s="165" t="s">
        <v>144</v>
      </c>
      <c r="AF31" s="165">
        <v>6</v>
      </c>
      <c r="AG31" s="165" t="s">
        <v>145</v>
      </c>
      <c r="AH31" s="165" t="s">
        <v>137</v>
      </c>
      <c r="AI31" s="165">
        <v>11</v>
      </c>
      <c r="AJ31" s="165" t="s">
        <v>138</v>
      </c>
      <c r="AK31" s="165">
        <v>4</v>
      </c>
      <c r="AL31" s="165" t="s">
        <v>134</v>
      </c>
      <c r="AM31" s="165" t="s">
        <v>137</v>
      </c>
      <c r="AN31" s="165">
        <v>0</v>
      </c>
      <c r="AO31" s="165" t="s">
        <v>175</v>
      </c>
    </row>
    <row r="32" spans="1:41" ht="15" customHeight="1" x14ac:dyDescent="0.25">
      <c r="A32" s="160" t="s">
        <v>98</v>
      </c>
      <c r="B32" s="160" t="s">
        <v>98</v>
      </c>
      <c r="C32" s="168" t="s">
        <v>140</v>
      </c>
      <c r="D32" s="160"/>
      <c r="E32" s="160"/>
      <c r="F32" s="169"/>
      <c r="G32" s="169"/>
      <c r="H32" s="169"/>
      <c r="I32" s="169"/>
      <c r="J32" s="169"/>
      <c r="K32" s="169"/>
      <c r="L32" s="169">
        <v>-386369.46109699999</v>
      </c>
      <c r="M32" s="169">
        <v>-187017.06669899999</v>
      </c>
      <c r="N32" s="169">
        <v>-143258.55252</v>
      </c>
      <c r="O32" s="169">
        <v>-354330.53552999999</v>
      </c>
      <c r="P32" s="169">
        <v>-208682.37315</v>
      </c>
      <c r="Q32" s="169">
        <v>-215755.85921</v>
      </c>
      <c r="R32" s="169">
        <v>-217835.63055</v>
      </c>
      <c r="S32" s="169">
        <v>-219678.87411</v>
      </c>
      <c r="T32" s="169"/>
      <c r="U32" s="169"/>
      <c r="V32" s="169"/>
      <c r="W32" s="169"/>
      <c r="X32" s="170"/>
      <c r="Y32" s="171">
        <v>-1932928.352866</v>
      </c>
      <c r="Z32" s="164" t="s">
        <v>169</v>
      </c>
      <c r="AA32" s="165">
        <v>3</v>
      </c>
      <c r="AB32" s="165" t="s">
        <v>170</v>
      </c>
      <c r="AC32" s="165" t="s">
        <v>137</v>
      </c>
      <c r="AD32" s="165">
        <v>2</v>
      </c>
      <c r="AE32" s="165" t="s">
        <v>144</v>
      </c>
      <c r="AF32" s="165">
        <v>6</v>
      </c>
      <c r="AG32" s="165" t="s">
        <v>145</v>
      </c>
      <c r="AH32" s="165" t="s">
        <v>137</v>
      </c>
      <c r="AI32" s="165">
        <v>11</v>
      </c>
      <c r="AJ32" s="165" t="s">
        <v>141</v>
      </c>
      <c r="AK32" s="165">
        <v>4</v>
      </c>
      <c r="AL32" s="165" t="s">
        <v>134</v>
      </c>
      <c r="AM32" s="165" t="s">
        <v>137</v>
      </c>
      <c r="AN32" s="165">
        <v>0</v>
      </c>
      <c r="AO32" s="165" t="s">
        <v>176</v>
      </c>
    </row>
    <row r="33" spans="1:41" ht="15" customHeight="1" x14ac:dyDescent="0.25">
      <c r="A33" s="160" t="s">
        <v>98</v>
      </c>
      <c r="B33" s="168" t="s">
        <v>149</v>
      </c>
      <c r="C33" s="168" t="s">
        <v>127</v>
      </c>
      <c r="D33" s="160"/>
      <c r="E33" s="160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>
        <v>-946728.48551000003</v>
      </c>
      <c r="R33" s="169">
        <v>0</v>
      </c>
      <c r="S33" s="169">
        <v>-1081641.4467199999</v>
      </c>
      <c r="T33" s="169"/>
      <c r="U33" s="169"/>
      <c r="V33" s="169"/>
      <c r="W33" s="169"/>
      <c r="X33" s="170"/>
      <c r="Y33" s="171">
        <v>-2028369.9322299999</v>
      </c>
      <c r="Z33" s="164" t="s">
        <v>169</v>
      </c>
      <c r="AA33" s="165">
        <v>3</v>
      </c>
      <c r="AB33" s="165" t="s">
        <v>170</v>
      </c>
      <c r="AC33" s="165" t="s">
        <v>137</v>
      </c>
      <c r="AD33" s="165">
        <v>2</v>
      </c>
      <c r="AE33" s="165" t="s">
        <v>150</v>
      </c>
      <c r="AF33" s="165">
        <v>6</v>
      </c>
      <c r="AG33" s="165" t="s">
        <v>145</v>
      </c>
      <c r="AH33" s="165" t="s">
        <v>137</v>
      </c>
      <c r="AI33" s="165">
        <v>2</v>
      </c>
      <c r="AJ33" s="165" t="s">
        <v>133</v>
      </c>
      <c r="AK33" s="165">
        <v>4</v>
      </c>
      <c r="AL33" s="165" t="s">
        <v>134</v>
      </c>
      <c r="AM33" s="165" t="s">
        <v>137</v>
      </c>
      <c r="AN33" s="165">
        <v>0</v>
      </c>
      <c r="AO33" s="165" t="s">
        <v>177</v>
      </c>
    </row>
    <row r="34" spans="1:41" ht="15" customHeight="1" x14ac:dyDescent="0.25">
      <c r="A34" s="160" t="s">
        <v>98</v>
      </c>
      <c r="B34" s="160" t="s">
        <v>98</v>
      </c>
      <c r="C34" s="168" t="s">
        <v>136</v>
      </c>
      <c r="D34" s="160"/>
      <c r="E34" s="160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>
        <v>-6867.7345100000002</v>
      </c>
      <c r="R34" s="169">
        <v>0</v>
      </c>
      <c r="S34" s="169">
        <v>-18255.991389999999</v>
      </c>
      <c r="T34" s="169"/>
      <c r="U34" s="169"/>
      <c r="V34" s="169"/>
      <c r="W34" s="169"/>
      <c r="X34" s="169"/>
      <c r="Y34" s="171">
        <v>-25123.725900000001</v>
      </c>
      <c r="Z34" s="165" t="s">
        <v>169</v>
      </c>
      <c r="AA34" s="165">
        <v>3</v>
      </c>
      <c r="AB34" s="165" t="s">
        <v>170</v>
      </c>
      <c r="AC34" s="165" t="s">
        <v>137</v>
      </c>
      <c r="AD34" s="165">
        <v>2</v>
      </c>
      <c r="AE34" s="165" t="s">
        <v>150</v>
      </c>
      <c r="AF34" s="165">
        <v>6</v>
      </c>
      <c r="AG34" s="165" t="s">
        <v>145</v>
      </c>
      <c r="AH34" s="165" t="s">
        <v>137</v>
      </c>
      <c r="AI34" s="165">
        <v>2</v>
      </c>
      <c r="AJ34" s="165" t="s">
        <v>138</v>
      </c>
      <c r="AK34" s="165">
        <v>4</v>
      </c>
      <c r="AL34" s="165" t="s">
        <v>134</v>
      </c>
      <c r="AM34" s="165" t="s">
        <v>137</v>
      </c>
      <c r="AN34" s="165">
        <v>0</v>
      </c>
      <c r="AO34" s="165" t="s">
        <v>178</v>
      </c>
    </row>
    <row r="35" spans="1:41" hidden="1" x14ac:dyDescent="0.25">
      <c r="A35" s="165" t="s">
        <v>98</v>
      </c>
      <c r="B35" s="165" t="s">
        <v>98</v>
      </c>
      <c r="C35" s="165" t="s">
        <v>98</v>
      </c>
      <c r="D35" s="165"/>
      <c r="E35" s="165"/>
      <c r="F35" s="165" t="s">
        <v>179</v>
      </c>
      <c r="G35" s="165" t="s">
        <v>180</v>
      </c>
      <c r="H35" s="165" t="s">
        <v>181</v>
      </c>
      <c r="I35" s="165" t="s">
        <v>182</v>
      </c>
      <c r="J35" s="165" t="s">
        <v>183</v>
      </c>
      <c r="K35" s="165" t="s">
        <v>184</v>
      </c>
      <c r="L35" s="165" t="s">
        <v>185</v>
      </c>
      <c r="M35" s="165" t="s">
        <v>186</v>
      </c>
      <c r="N35" s="165" t="s">
        <v>187</v>
      </c>
      <c r="O35" s="165" t="s">
        <v>188</v>
      </c>
      <c r="P35" s="165" t="s">
        <v>189</v>
      </c>
      <c r="Q35" s="165" t="s">
        <v>190</v>
      </c>
      <c r="R35" s="165" t="s">
        <v>191</v>
      </c>
      <c r="S35" s="165" t="s">
        <v>192</v>
      </c>
      <c r="T35" s="165" t="s">
        <v>193</v>
      </c>
      <c r="U35" s="165" t="s">
        <v>194</v>
      </c>
      <c r="V35" s="165" t="s">
        <v>195</v>
      </c>
      <c r="W35" s="165" t="s">
        <v>196</v>
      </c>
      <c r="X35" s="165" t="s">
        <v>197</v>
      </c>
      <c r="Y35" s="165" t="s">
        <v>198</v>
      </c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</row>
    <row r="36" spans="1:41" hidden="1" x14ac:dyDescent="0.25">
      <c r="A36" s="165" t="s">
        <v>98</v>
      </c>
      <c r="B36" s="165" t="s">
        <v>98</v>
      </c>
      <c r="C36" s="165" t="s">
        <v>98</v>
      </c>
      <c r="D36" s="165"/>
      <c r="E36" s="165"/>
      <c r="F36" s="165">
        <v>3</v>
      </c>
      <c r="G36" s="165">
        <v>3</v>
      </c>
      <c r="H36" s="165">
        <v>3</v>
      </c>
      <c r="I36" s="165">
        <v>3</v>
      </c>
      <c r="J36" s="165">
        <v>3</v>
      </c>
      <c r="K36" s="165">
        <v>3</v>
      </c>
      <c r="L36" s="165">
        <v>3</v>
      </c>
      <c r="M36" s="165">
        <v>3</v>
      </c>
      <c r="N36" s="165">
        <v>3</v>
      </c>
      <c r="O36" s="165">
        <v>3</v>
      </c>
      <c r="P36" s="165">
        <v>3</v>
      </c>
      <c r="Q36" s="165">
        <v>3</v>
      </c>
      <c r="R36" s="165">
        <v>3</v>
      </c>
      <c r="S36" s="165">
        <v>3</v>
      </c>
      <c r="T36" s="165">
        <v>3</v>
      </c>
      <c r="U36" s="165">
        <v>3</v>
      </c>
      <c r="V36" s="165">
        <v>3</v>
      </c>
      <c r="W36" s="165">
        <v>3</v>
      </c>
      <c r="X36" s="165" t="s">
        <v>199</v>
      </c>
      <c r="Y36" s="165">
        <v>1</v>
      </c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</row>
    <row r="37" spans="1:41" hidden="1" x14ac:dyDescent="0.25">
      <c r="A37" s="165" t="s">
        <v>98</v>
      </c>
      <c r="B37" s="165" t="s">
        <v>98</v>
      </c>
      <c r="C37" s="165" t="s">
        <v>98</v>
      </c>
      <c r="D37" s="165"/>
      <c r="E37" s="165"/>
      <c r="F37" s="165" t="s">
        <v>200</v>
      </c>
      <c r="G37" s="165" t="s">
        <v>200</v>
      </c>
      <c r="H37" s="165" t="s">
        <v>201</v>
      </c>
      <c r="I37" s="165" t="s">
        <v>201</v>
      </c>
      <c r="J37" s="165" t="s">
        <v>201</v>
      </c>
      <c r="K37" s="165" t="s">
        <v>202</v>
      </c>
      <c r="L37" s="165" t="s">
        <v>202</v>
      </c>
      <c r="M37" s="165" t="s">
        <v>202</v>
      </c>
      <c r="N37" s="165" t="s">
        <v>203</v>
      </c>
      <c r="O37" s="165" t="s">
        <v>203</v>
      </c>
      <c r="P37" s="165" t="s">
        <v>203</v>
      </c>
      <c r="Q37" s="165" t="s">
        <v>204</v>
      </c>
      <c r="R37" s="165" t="s">
        <v>204</v>
      </c>
      <c r="S37" s="165" t="s">
        <v>204</v>
      </c>
      <c r="T37" s="165" t="s">
        <v>205</v>
      </c>
      <c r="U37" s="165" t="s">
        <v>205</v>
      </c>
      <c r="V37" s="165" t="s">
        <v>205</v>
      </c>
      <c r="W37" s="165" t="s">
        <v>206</v>
      </c>
      <c r="X37" s="165"/>
      <c r="Y37" s="165" t="s">
        <v>207</v>
      </c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</row>
    <row r="38" spans="1:41" hidden="1" x14ac:dyDescent="0.25">
      <c r="A38" s="165" t="s">
        <v>98</v>
      </c>
      <c r="B38" s="165" t="s">
        <v>98</v>
      </c>
      <c r="C38" s="165" t="s">
        <v>98</v>
      </c>
      <c r="D38" s="165"/>
      <c r="E38" s="165"/>
      <c r="F38" s="165" t="s">
        <v>130</v>
      </c>
      <c r="G38" s="165" t="s">
        <v>137</v>
      </c>
      <c r="H38" s="165" t="s">
        <v>130</v>
      </c>
      <c r="I38" s="165" t="s">
        <v>137</v>
      </c>
      <c r="J38" s="165" t="s">
        <v>137</v>
      </c>
      <c r="K38" s="165" t="s">
        <v>130</v>
      </c>
      <c r="L38" s="165" t="s">
        <v>137</v>
      </c>
      <c r="M38" s="165" t="s">
        <v>137</v>
      </c>
      <c r="N38" s="165" t="s">
        <v>130</v>
      </c>
      <c r="O38" s="165" t="s">
        <v>137</v>
      </c>
      <c r="P38" s="165" t="s">
        <v>137</v>
      </c>
      <c r="Q38" s="165" t="s">
        <v>130</v>
      </c>
      <c r="R38" s="165" t="s">
        <v>137</v>
      </c>
      <c r="S38" s="165" t="s">
        <v>137</v>
      </c>
      <c r="T38" s="165" t="s">
        <v>130</v>
      </c>
      <c r="U38" s="165" t="s">
        <v>137</v>
      </c>
      <c r="V38" s="165" t="s">
        <v>137</v>
      </c>
      <c r="W38" s="165" t="s">
        <v>130</v>
      </c>
      <c r="X38" s="165" t="s">
        <v>208</v>
      </c>
      <c r="Y38" s="165" t="s">
        <v>208</v>
      </c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</row>
    <row r="39" spans="1:41" hidden="1" x14ac:dyDescent="0.25">
      <c r="A39" s="165" t="s">
        <v>98</v>
      </c>
      <c r="B39" s="165" t="s">
        <v>98</v>
      </c>
      <c r="C39" s="165" t="s">
        <v>98</v>
      </c>
      <c r="D39" s="165"/>
      <c r="E39" s="165"/>
      <c r="F39" s="165">
        <v>0</v>
      </c>
      <c r="G39" s="165">
        <v>0</v>
      </c>
      <c r="H39" s="165">
        <v>0</v>
      </c>
      <c r="I39" s="165">
        <v>0</v>
      </c>
      <c r="J39" s="165">
        <v>0</v>
      </c>
      <c r="K39" s="165">
        <v>0</v>
      </c>
      <c r="L39" s="165">
        <v>0</v>
      </c>
      <c r="M39" s="165">
        <v>0</v>
      </c>
      <c r="N39" s="165">
        <v>0</v>
      </c>
      <c r="O39" s="165">
        <v>0</v>
      </c>
      <c r="P39" s="165">
        <v>0</v>
      </c>
      <c r="Q39" s="165">
        <v>0</v>
      </c>
      <c r="R39" s="165">
        <v>0</v>
      </c>
      <c r="S39" s="165">
        <v>0</v>
      </c>
      <c r="T39" s="165">
        <v>0</v>
      </c>
      <c r="U39" s="165">
        <v>0</v>
      </c>
      <c r="V39" s="165">
        <v>0</v>
      </c>
      <c r="W39" s="165">
        <v>0</v>
      </c>
      <c r="X39" s="165" t="s">
        <v>199</v>
      </c>
      <c r="Y39" s="165">
        <v>4</v>
      </c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</row>
    <row r="40" spans="1:41" hidden="1" x14ac:dyDescent="0.25">
      <c r="A40" s="165" t="s">
        <v>209</v>
      </c>
      <c r="B40" s="165"/>
      <c r="C40" s="165"/>
      <c r="D40" s="165"/>
      <c r="E40" s="165"/>
      <c r="F40" s="165" t="s">
        <v>210</v>
      </c>
      <c r="G40" s="165" t="s">
        <v>211</v>
      </c>
      <c r="H40" s="165" t="s">
        <v>212</v>
      </c>
      <c r="I40" s="165" t="s">
        <v>213</v>
      </c>
      <c r="J40" s="165" t="s">
        <v>214</v>
      </c>
      <c r="K40" s="165" t="s">
        <v>215</v>
      </c>
      <c r="L40" s="165" t="s">
        <v>216</v>
      </c>
      <c r="M40" s="165" t="s">
        <v>217</v>
      </c>
      <c r="N40" s="165" t="s">
        <v>218</v>
      </c>
      <c r="O40" s="165" t="s">
        <v>219</v>
      </c>
      <c r="P40" s="165" t="s">
        <v>220</v>
      </c>
      <c r="Q40" s="165" t="s">
        <v>221</v>
      </c>
      <c r="R40" s="165" t="s">
        <v>222</v>
      </c>
      <c r="S40" s="165" t="s">
        <v>223</v>
      </c>
      <c r="T40" s="165" t="s">
        <v>224</v>
      </c>
      <c r="U40" s="165" t="s">
        <v>225</v>
      </c>
      <c r="V40" s="165" t="s">
        <v>226</v>
      </c>
      <c r="W40" s="165" t="s">
        <v>227</v>
      </c>
      <c r="X40" s="165" t="s">
        <v>228</v>
      </c>
      <c r="Y40" s="165" t="s">
        <v>229</v>
      </c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</row>
    <row r="41" spans="1:41" hidden="1" x14ac:dyDescent="0.25">
      <c r="A41" s="165" t="s">
        <v>230</v>
      </c>
      <c r="B41" s="165" t="s">
        <v>231</v>
      </c>
      <c r="C41" s="165" t="s">
        <v>232</v>
      </c>
      <c r="D41" s="165"/>
      <c r="E41" s="165"/>
      <c r="F41" s="165" t="s">
        <v>233</v>
      </c>
      <c r="G41" s="165" t="s">
        <v>234</v>
      </c>
      <c r="H41" s="165" t="s">
        <v>235</v>
      </c>
      <c r="I41" s="165" t="s">
        <v>236</v>
      </c>
      <c r="J41" s="165" t="s">
        <v>237</v>
      </c>
      <c r="K41" s="165" t="s">
        <v>238</v>
      </c>
      <c r="L41" s="165" t="s">
        <v>239</v>
      </c>
      <c r="M41" s="165" t="s">
        <v>240</v>
      </c>
      <c r="N41" s="165" t="s">
        <v>241</v>
      </c>
      <c r="O41" s="165" t="s">
        <v>242</v>
      </c>
      <c r="P41" s="165" t="s">
        <v>243</v>
      </c>
      <c r="Q41" s="165" t="s">
        <v>244</v>
      </c>
      <c r="R41" s="165" t="s">
        <v>245</v>
      </c>
      <c r="S41" s="165" t="s">
        <v>246</v>
      </c>
      <c r="T41" s="165" t="s">
        <v>247</v>
      </c>
      <c r="U41" s="165" t="s">
        <v>248</v>
      </c>
      <c r="V41" s="165" t="s">
        <v>249</v>
      </c>
      <c r="W41" s="165" t="s">
        <v>250</v>
      </c>
      <c r="X41" s="165" t="s">
        <v>197</v>
      </c>
      <c r="Y41" s="165" t="s">
        <v>251</v>
      </c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</row>
  </sheetData>
  <mergeCells count="9">
    <mergeCell ref="A3:C3"/>
    <mergeCell ref="D3:P3"/>
    <mergeCell ref="Q3:Y3"/>
    <mergeCell ref="A1:C1"/>
    <mergeCell ref="D1:P1"/>
    <mergeCell ref="Q1:Y1"/>
    <mergeCell ref="A2:C2"/>
    <mergeCell ref="D2:P2"/>
    <mergeCell ref="Q2:Y2"/>
  </mergeCells>
  <pageMargins left="0.511811023622047" right="0.511811023622047" top="1.37795275590551" bottom="0.98425196850393704" header="0.39370078740157499" footer="0.39370078740157499"/>
  <pageSetup fitToHeight="3" pageOrder="overThenDown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Freight Out</vt:lpstr>
      <vt:lpstr>JULY Actuals</vt:lpstr>
      <vt:lpstr>July Contra Actuals</vt:lpstr>
      <vt:lpstr>APAC 28.6.2019</vt:lpstr>
      <vt:lpstr>June Actuals</vt:lpstr>
      <vt:lpstr>Korea Dom Contra</vt:lpstr>
      <vt:lpstr>7.9.2019</vt:lpstr>
      <vt:lpstr>'July Contra Actuals'!Account_Details</vt:lpstr>
      <vt:lpstr>'7.9.2019'!Print_Area</vt:lpstr>
      <vt:lpstr>'7.9.2019'!Print_Titles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Rajagopalan Thayalan</dc:creator>
  <cp:lastModifiedBy>Rajagopalan Thayalan</cp:lastModifiedBy>
  <dcterms:created xsi:type="dcterms:W3CDTF">2019-07-02T03:12:15Z</dcterms:created>
  <dcterms:modified xsi:type="dcterms:W3CDTF">2019-08-05T09:07:06Z</dcterms:modified>
</cp:coreProperties>
</file>