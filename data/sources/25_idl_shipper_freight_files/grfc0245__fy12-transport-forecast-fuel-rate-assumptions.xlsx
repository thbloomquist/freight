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5" windowWidth="15480" windowHeight="8205" activeTab="3"/>
  </bookViews>
  <sheets>
    <sheet name="Summary" sheetId="4" r:id="rId1"/>
    <sheet name="API" sheetId="1" r:id="rId2"/>
    <sheet name="CMDS" sheetId="2" r:id="rId3"/>
    <sheet name="Specialty" sheetId="3" r:id="rId4"/>
    <sheet name="Nuclear" sheetId="5" r:id="rId5"/>
    <sheet name="Transport Assumptions" sheetId="6" r:id="rId6"/>
    <sheet name="Mode Impacts" sheetId="7" r:id="rId7"/>
  </sheets>
  <externalReferences>
    <externalReference r:id="rId8"/>
  </externalReferences>
  <calcPr calcId="125725"/>
</workbook>
</file>

<file path=xl/calcChain.xml><?xml version="1.0" encoding="utf-8"?>
<calcChain xmlns="http://schemas.openxmlformats.org/spreadsheetml/2006/main">
  <c r="F24" i="3"/>
  <c r="H13"/>
  <c r="F21" i="4" l="1"/>
  <c r="J21" l="1"/>
  <c r="L36" i="1"/>
  <c r="L26"/>
  <c r="L44"/>
  <c r="Q13" i="5" l="1"/>
  <c r="O11"/>
  <c r="Q12"/>
  <c r="H2" s="1"/>
  <c r="H4" s="1"/>
  <c r="T11" l="1"/>
  <c r="K33" i="1"/>
  <c r="E27" i="4" l="1"/>
  <c r="E26"/>
  <c r="E20"/>
  <c r="F13"/>
  <c r="F14" s="1"/>
  <c r="J14" s="1"/>
  <c r="E13"/>
  <c r="E14" s="1"/>
  <c r="F6"/>
  <c r="J6" s="1"/>
  <c r="E6"/>
  <c r="E28" l="1"/>
  <c r="J49" i="1"/>
  <c r="F7" i="4"/>
  <c r="K44" i="1"/>
  <c r="L31"/>
  <c r="K31"/>
  <c r="L39"/>
  <c r="K26"/>
  <c r="I26"/>
  <c r="H26"/>
  <c r="F26"/>
  <c r="E26"/>
  <c r="I31"/>
  <c r="H31"/>
  <c r="H36" s="1"/>
  <c r="F31"/>
  <c r="E31"/>
  <c r="I44"/>
  <c r="E7" i="4" s="1"/>
  <c r="E9" s="1"/>
  <c r="E16" s="1"/>
  <c r="H44" i="1"/>
  <c r="H20"/>
  <c r="G28" i="2"/>
  <c r="E28"/>
  <c r="E24"/>
  <c r="I10"/>
  <c r="G10"/>
  <c r="E10"/>
  <c r="F9" i="4" l="1"/>
  <c r="F16" s="1"/>
  <c r="J7"/>
  <c r="J9" s="1"/>
  <c r="J16" s="1"/>
  <c r="I36" i="1"/>
  <c r="K36"/>
  <c r="H39"/>
  <c r="H47" s="1"/>
  <c r="K20"/>
  <c r="H6"/>
  <c r="E36"/>
  <c r="F36"/>
  <c r="I20"/>
  <c r="I39" s="1"/>
  <c r="I47" s="1"/>
  <c r="E20"/>
  <c r="F20"/>
  <c r="L20"/>
  <c r="G16" i="2"/>
  <c r="I16"/>
  <c r="F27" i="4" s="1"/>
  <c r="J27" s="1"/>
  <c r="I24" i="2"/>
  <c r="G24"/>
  <c r="H10" i="3"/>
  <c r="F20" i="4" s="1"/>
  <c r="J20" s="1"/>
  <c r="J22" s="1"/>
  <c r="I6" i="1"/>
  <c r="I49" s="1"/>
  <c r="E21" i="4" s="1"/>
  <c r="E22" s="1"/>
  <c r="K6" i="1"/>
  <c r="L6"/>
  <c r="F10" i="3"/>
  <c r="H27" i="4"/>
  <c r="H26"/>
  <c r="H25"/>
  <c r="H6"/>
  <c r="H14"/>
  <c r="H7"/>
  <c r="H31"/>
  <c r="H33" s="1"/>
  <c r="F31"/>
  <c r="E31"/>
  <c r="E33" s="1"/>
  <c r="E35" s="1"/>
  <c r="E37" s="1"/>
  <c r="J4" i="5"/>
  <c r="F4"/>
  <c r="D4"/>
  <c r="C4"/>
  <c r="D33" i="4"/>
  <c r="D7"/>
  <c r="D6"/>
  <c r="J10" i="3"/>
  <c r="H20" i="4" s="1"/>
  <c r="K27" i="2"/>
  <c r="K28" s="1"/>
  <c r="D10" i="3"/>
  <c r="D20" i="4" s="1"/>
  <c r="F33" l="1"/>
  <c r="J31"/>
  <c r="I28" i="2"/>
  <c r="F26" i="4"/>
  <c r="L47" i="1"/>
  <c r="K39"/>
  <c r="K47" s="1"/>
  <c r="K49" s="1"/>
  <c r="H49"/>
  <c r="H28" i="4"/>
  <c r="D9"/>
  <c r="D13" s="1"/>
  <c r="D14" s="1"/>
  <c r="D16" s="1"/>
  <c r="H9"/>
  <c r="H16" s="1"/>
  <c r="D26"/>
  <c r="C10" i="3"/>
  <c r="E16" i="2"/>
  <c r="D10"/>
  <c r="D28" s="1"/>
  <c r="N39" i="1"/>
  <c r="H21" i="4" s="1"/>
  <c r="H22" s="1"/>
  <c r="F44" i="1"/>
  <c r="E44"/>
  <c r="F39"/>
  <c r="D39"/>
  <c r="D47" s="1"/>
  <c r="D49" s="1"/>
  <c r="F6"/>
  <c r="D21" i="4" s="1"/>
  <c r="D22" s="1"/>
  <c r="J33" l="1"/>
  <c r="F28"/>
  <c r="J26"/>
  <c r="J28" s="1"/>
  <c r="J35" s="1"/>
  <c r="F22"/>
  <c r="L49" i="1"/>
  <c r="N47"/>
  <c r="N49" s="1"/>
  <c r="F47"/>
  <c r="H35" i="4"/>
  <c r="H37" s="1"/>
  <c r="F49" i="1"/>
  <c r="D27" i="4"/>
  <c r="D28" s="1"/>
  <c r="D35" s="1"/>
  <c r="D37" s="1"/>
  <c r="E6" i="1"/>
  <c r="C33" i="4"/>
  <c r="C28"/>
  <c r="C20"/>
  <c r="C21" s="1"/>
  <c r="C14"/>
  <c r="C9"/>
  <c r="F35" l="1"/>
  <c r="F37" s="1"/>
  <c r="J37" s="1"/>
  <c r="C16"/>
  <c r="E39" i="1"/>
  <c r="E47" s="1"/>
  <c r="C22" i="4"/>
  <c r="C35" s="1"/>
  <c r="C37" s="1"/>
  <c r="E49" i="1" l="1"/>
</calcChain>
</file>

<file path=xl/sharedStrings.xml><?xml version="1.0" encoding="utf-8"?>
<sst xmlns="http://schemas.openxmlformats.org/spreadsheetml/2006/main" count="314" uniqueCount="232">
  <si>
    <t>Narcotics</t>
  </si>
  <si>
    <t>US &amp; UK  3rd Party</t>
  </si>
  <si>
    <t>INTL-AIR</t>
  </si>
  <si>
    <t>SP-AIR(&lt;150lbs)</t>
  </si>
  <si>
    <t>TL</t>
  </si>
  <si>
    <t>Total Narcotics</t>
  </si>
  <si>
    <t>Non-Narcotics</t>
  </si>
  <si>
    <t xml:space="preserve">US 3rd Party </t>
  </si>
  <si>
    <t>AIR-HEAVY</t>
  </si>
  <si>
    <t>INTL-OCEAN</t>
  </si>
  <si>
    <t>LTL</t>
  </si>
  <si>
    <t>SP-GROUND</t>
  </si>
  <si>
    <t>Total USA 3rd Party</t>
  </si>
  <si>
    <t>UK 3rd party</t>
  </si>
  <si>
    <t xml:space="preserve"> Ship from USA</t>
  </si>
  <si>
    <t>Ship from UK Whse</t>
  </si>
  <si>
    <t>Total UK</t>
  </si>
  <si>
    <t xml:space="preserve">In Freight Costs </t>
  </si>
  <si>
    <t>Total In Freight</t>
  </si>
  <si>
    <t>Total API Transportation Costs and Volumes</t>
  </si>
  <si>
    <t>FY12 Jan Volume</t>
  </si>
  <si>
    <t>FY12 Jan Forecast</t>
  </si>
  <si>
    <t>Business</t>
  </si>
  <si>
    <t xml:space="preserve">In Freight </t>
  </si>
  <si>
    <t>Pharma</t>
  </si>
  <si>
    <t>Hobart</t>
  </si>
  <si>
    <t>UK Pharma</t>
  </si>
  <si>
    <t>Gateway</t>
  </si>
  <si>
    <t>Total Pharma In Freight</t>
  </si>
  <si>
    <t>Cincinnati</t>
  </si>
  <si>
    <t>Joliet</t>
  </si>
  <si>
    <t>Total Contrast In Freight</t>
  </si>
  <si>
    <t>Out Freight</t>
  </si>
  <si>
    <t xml:space="preserve">API </t>
  </si>
  <si>
    <t>Total Pharma Out Freight</t>
  </si>
  <si>
    <t>Dublin</t>
  </si>
  <si>
    <t>Total Contrast Out Freight</t>
  </si>
  <si>
    <t>Nuclear</t>
  </si>
  <si>
    <t>Maryland Heights</t>
  </si>
  <si>
    <t>Pharmacies</t>
  </si>
  <si>
    <t>Total Nuclear</t>
  </si>
  <si>
    <t>Total Out Freight</t>
  </si>
  <si>
    <t>Total Freight</t>
  </si>
  <si>
    <t>FY10 Actual</t>
  </si>
  <si>
    <t>FY11 Oct Forecast Dollars</t>
  </si>
  <si>
    <t>FY11 Jan Forecast Dollars</t>
  </si>
  <si>
    <t xml:space="preserve">    FY11 Planned (Finance) Dollars</t>
  </si>
  <si>
    <t>Total Non- Narcotics</t>
  </si>
  <si>
    <t>UK - Leigh Whse</t>
  </si>
  <si>
    <t>Total Non Narcotics Out Freight</t>
  </si>
  <si>
    <t>API Transportation Forecast</t>
  </si>
  <si>
    <t>COLLECT *</t>
  </si>
  <si>
    <t>* Collect Shipment volumes with no freight costs</t>
  </si>
  <si>
    <t xml:space="preserve">Business Assumptions:  </t>
  </si>
  <si>
    <t>Shipping modes for FY11 to remain the same as FY10</t>
  </si>
  <si>
    <t>Imaging Transportation Forecast</t>
  </si>
  <si>
    <t>CMDS</t>
  </si>
  <si>
    <t>Total CMDS</t>
  </si>
  <si>
    <t>SP - Air</t>
  </si>
  <si>
    <t>SP - Ground</t>
  </si>
  <si>
    <t>JOLIET</t>
  </si>
  <si>
    <t>In  Freight</t>
  </si>
  <si>
    <t>CINCINNATI</t>
  </si>
  <si>
    <t>Total Joliet</t>
  </si>
  <si>
    <t>Business Assumptions:</t>
  </si>
  <si>
    <t>Jan FY11 FCST Update</t>
  </si>
  <si>
    <t>No change in Volumes for FY11 (CM = 94% FY10 volumes and Devices Flat)</t>
  </si>
  <si>
    <t>Devices = 90% of FY11 Volumes</t>
  </si>
  <si>
    <t>CM = 85% of FY11 Volumes with minimum order QTY of 24 cases</t>
  </si>
  <si>
    <t>Specialty Pharma Transportation Forecast</t>
  </si>
  <si>
    <t xml:space="preserve">Hobart </t>
  </si>
  <si>
    <t>SP Air</t>
  </si>
  <si>
    <t>International</t>
  </si>
  <si>
    <t>SP Ground</t>
  </si>
  <si>
    <t>Special Services</t>
  </si>
  <si>
    <t>Total Specialty</t>
  </si>
  <si>
    <t>Business Assumptions</t>
  </si>
  <si>
    <t>FY11 Jan FCST Update</t>
  </si>
  <si>
    <t>Switch to Temp Control transportation for Out Freight Hobart June - Sept except Addiction Treatment</t>
  </si>
  <si>
    <t>Mode</t>
  </si>
  <si>
    <t>FY12 Fuel Base</t>
  </si>
  <si>
    <t>FY11 Rate Incr</t>
  </si>
  <si>
    <t>FY11 Fuel Base</t>
  </si>
  <si>
    <t>FY12 Rate Incr</t>
  </si>
  <si>
    <t>Truckload</t>
  </si>
  <si>
    <t>3.20/gal</t>
  </si>
  <si>
    <t>Less than TL</t>
  </si>
  <si>
    <t>Sm Pk GRN</t>
  </si>
  <si>
    <t>Sm Pk Air</t>
  </si>
  <si>
    <t>Ocean</t>
  </si>
  <si>
    <t>80 BAF</t>
  </si>
  <si>
    <t>Int'l Air</t>
  </si>
  <si>
    <t>.85/kg</t>
  </si>
  <si>
    <t>Heavy Air</t>
  </si>
  <si>
    <t>13% INCR</t>
  </si>
  <si>
    <t>9% INCR</t>
  </si>
  <si>
    <t>Dray</t>
  </si>
  <si>
    <t>TL Special</t>
  </si>
  <si>
    <t>.39/mile</t>
  </si>
  <si>
    <t xml:space="preserve">14% LH </t>
  </si>
  <si>
    <t>4.8% LH</t>
  </si>
  <si>
    <t>3% LH</t>
  </si>
  <si>
    <t>.90/kg</t>
  </si>
  <si>
    <t>Dec 2010 Fuel Charge</t>
  </si>
  <si>
    <t>21.5% LH</t>
  </si>
  <si>
    <t>No change in customers with all Out Freight base cost to remain same as Oct FY11 FCST</t>
  </si>
  <si>
    <t>FY12 Forecast</t>
  </si>
  <si>
    <t>Volumes based on last 6 months of FY10 with following modifications:</t>
  </si>
  <si>
    <t>Temperature Control for months of November - March only</t>
  </si>
  <si>
    <t>Devices / Urology Suites</t>
  </si>
  <si>
    <t>Total</t>
  </si>
  <si>
    <t>Nuclear Medicine Transportation Forecast</t>
  </si>
  <si>
    <t>FY10 Actual Dollars</t>
  </si>
  <si>
    <t>FY12 Jan Forecast Dollars</t>
  </si>
  <si>
    <t>Business  Assumptions:</t>
  </si>
  <si>
    <t>FY 11 increase due to delay in cost savings projects:</t>
  </si>
  <si>
    <t xml:space="preserve">         CLE-DTW ($700K)</t>
  </si>
  <si>
    <t xml:space="preserve">         CLE-DTW retainer fee of $10k per week</t>
  </si>
  <si>
    <t xml:space="preserve">         2X daily shipment termination ($1M)</t>
  </si>
  <si>
    <t xml:space="preserve"> Gov account migration delayed until Jan, 2011</t>
  </si>
  <si>
    <t>FY12 Forecast Increases</t>
  </si>
  <si>
    <t>4% rate increase for deliveries</t>
  </si>
  <si>
    <t>$1M Fuel sur charge</t>
  </si>
  <si>
    <t>FY11 Jan Forecast  Dollars</t>
  </si>
  <si>
    <t>FY12 Jan Forecast  Dollars</t>
  </si>
  <si>
    <t>FY11 May Plan Dollars</t>
  </si>
  <si>
    <t>Contrast Media / Disposables</t>
  </si>
  <si>
    <t>In Freight to Hobart includes :  Pennsaid, Exalgo, Fentanyl Patch, FTOC</t>
  </si>
  <si>
    <t>No change in distribution strategy</t>
  </si>
  <si>
    <t>FY10 Actual Infreight was miss coded to include WIP STL to Hobart.  Coding has been corrected for FY11</t>
  </si>
  <si>
    <t>Dublin*</t>
  </si>
  <si>
    <t>*Dublin freight = $4500 cross-charge?? Finance trying to determine reason</t>
  </si>
  <si>
    <t>INTL</t>
  </si>
  <si>
    <t>-</t>
  </si>
  <si>
    <t>US Originating Freight</t>
  </si>
  <si>
    <t>Total Whse</t>
  </si>
  <si>
    <t>Total Direct</t>
  </si>
  <si>
    <t>Aniline</t>
  </si>
  <si>
    <t>Chesterfield</t>
  </si>
  <si>
    <t>PAP</t>
  </si>
  <si>
    <t>UK Sales volumes from UK forecast tool supplied by Marketing</t>
  </si>
  <si>
    <t>Domestic volumes include Canada and Mexico</t>
  </si>
  <si>
    <t xml:space="preserve">Finance Volumes used for US and US-export </t>
  </si>
  <si>
    <t>Direct shipment to Turkey (Ekin) = 480KGS, GSK IE Direct (797KGS)</t>
  </si>
  <si>
    <t>PAP for Japan to be supplied by Chesterfield</t>
  </si>
  <si>
    <t xml:space="preserve">Volumes </t>
  </si>
  <si>
    <t>FY11 Plan</t>
  </si>
  <si>
    <t>FY11 Jan LE</t>
  </si>
  <si>
    <t>FY12</t>
  </si>
  <si>
    <t>No change in shipping modes or customer locations</t>
  </si>
  <si>
    <t>All applicable transportation assumptions applied</t>
  </si>
  <si>
    <t>FY11</t>
  </si>
  <si>
    <t>Comments</t>
  </si>
  <si>
    <t>Fuel Surcharge</t>
  </si>
  <si>
    <t>Leigh In</t>
  </si>
  <si>
    <t>FY11 already included in rate?</t>
  </si>
  <si>
    <t>Leigh Out</t>
  </si>
  <si>
    <t>FY11 already included in OCT LE? Assume rate of 9%.</t>
  </si>
  <si>
    <t>Drop Ship</t>
  </si>
  <si>
    <t>FY11 increase already included in OCT LE</t>
  </si>
  <si>
    <t>included in 10% projected rate rise?</t>
  </si>
  <si>
    <t>Freight rate increase</t>
  </si>
  <si>
    <t xml:space="preserve">no rate increases expected </t>
  </si>
  <si>
    <t>FY11 already included in OCT LE?</t>
  </si>
  <si>
    <t>Increase already included for FY11 - no increase projected for FY12</t>
  </si>
  <si>
    <t>6.6% for FY11 already included in OCT LE</t>
  </si>
  <si>
    <t>Rate contingency</t>
  </si>
  <si>
    <t>Drop ship listed valid lanes</t>
  </si>
  <si>
    <t>incidental charges such as demurrage, surcharges etc.</t>
  </si>
  <si>
    <t>UK Freight</t>
  </si>
  <si>
    <t>In Freight</t>
  </si>
  <si>
    <t>Number of Bottles</t>
  </si>
  <si>
    <t>FY11   Planned Volume</t>
  </si>
  <si>
    <t>FY11 Jan Revised Vol</t>
  </si>
  <si>
    <t>FY12 Jan   Forecast Dollars</t>
  </si>
  <si>
    <t>SP-AIR</t>
  </si>
  <si>
    <t>FY11 YTD Spend</t>
  </si>
  <si>
    <t>FSC FY11</t>
  </si>
  <si>
    <t>FY12 Spend w/ FSC</t>
  </si>
  <si>
    <t>FY 11 YTD avg</t>
  </si>
  <si>
    <t>$81 cpb</t>
  </si>
  <si>
    <t>FSC</t>
  </si>
  <si>
    <t>4.11/gal</t>
  </si>
  <si>
    <t>100 BAF</t>
  </si>
  <si>
    <t>1.05/kg</t>
  </si>
  <si>
    <t>FY12  Transportation Impacts:</t>
  </si>
  <si>
    <t>Fuel Cost Impact:</t>
  </si>
  <si>
    <t>Truckload:</t>
  </si>
  <si>
    <t>FY12 Plus 5%</t>
  </si>
  <si>
    <t>5% Rate increase on several major lates at end of FY10  Balance of FY11  remain stable until end of current contracts with expected 5% increase starting in September 2011</t>
  </si>
  <si>
    <t>Projecting average price of $3.50 per gallon of FSC of $.47  per loaded mile for FY12  which is a 14% in additional fuel cost over projected FY11 average of $.41/ mile</t>
  </si>
  <si>
    <t>Driver shortage due to increasing demand and fewer qualified drivers.  May have significan impact on security shipments requiring team drivers.</t>
  </si>
  <si>
    <t>CSA legislation will further educe eligilble drivers as records will now belong to hiring company</t>
  </si>
  <si>
    <t>HOS legislation to expected to be passed in FY11 and will reduce working hours</t>
  </si>
  <si>
    <t>Economic downturn 2008-2009 resulted in consolidation and fewer players left</t>
  </si>
  <si>
    <t>TL RFQ with mansfiled scheduled for late summer FY11</t>
  </si>
  <si>
    <t>Less than Truckload</t>
  </si>
  <si>
    <t>LTL:</t>
  </si>
  <si>
    <t xml:space="preserve">FY12 Plus 1.5% </t>
  </si>
  <si>
    <t>Incremental rate increase over 4% increase for FY11</t>
  </si>
  <si>
    <t>Projecting average price of $3.50 per gallon resulting in charge  of 17% of the LH rate or an additional cost of 3% over FY11</t>
  </si>
  <si>
    <t>This segment of the industry remains at over capacity but will also feel the effect of new legislation and HOS legislation</t>
  </si>
  <si>
    <t>Potential impact would be the fall or purchase of Yellow / Roadway by another carrier who might pull out capacity to drive up rates</t>
  </si>
  <si>
    <t>Fed Ex Freight/National my also become a larger player as they have won their suit with the union regarding their drivrs being designated as independent contractors.  This division has also restructured it's offerings.  Covidien does not have a contract with Fed Ex Freight/National</t>
  </si>
  <si>
    <t>May offset increase by move to Cincinnati</t>
  </si>
  <si>
    <t>Small PKG Ground and Air</t>
  </si>
  <si>
    <t>Flat FY12</t>
  </si>
  <si>
    <t>Expecting 5% rate increas across th board for Fed Ex within the nest month with no additional increase for FY12  No increase for over 3 years</t>
  </si>
  <si>
    <t>Ocean:</t>
  </si>
  <si>
    <t>FY11 impact has been approx 17.5% increase over early FY10 rates.  Rate increase were experience starting in August of FY10 with some lanes increasing as much as 30%.  Greates impact of increases  in lanes out of EMEA and out of the US into LATAM.</t>
  </si>
  <si>
    <t>Projecting average WTI at $80-$90/ barrel for BAF index of 80 which is the FY11 projection.  The BAF is added as a separate charged  per box depending on the lane and ranges from $180 to $670 per container</t>
  </si>
  <si>
    <t>FY12 should bring little rate increases as the SteamShip lines are expected to be receiving new vessels throughout FY11 and 12 resulting in a glut of available capacity.  Continues uneven growth in demand versusu capacity in Brazil,India and China</t>
  </si>
  <si>
    <t>Steam Ship Lines will protect their current rates thru the continuation of slow and very slow steaming which reduces fuel consumption.  Reduced fuel consumption over a years period has been shown to be more cost effective even if it results in adding an additional vessel to a loop</t>
  </si>
  <si>
    <t>International Air</t>
  </si>
  <si>
    <t>FY12 Plus 10%</t>
  </si>
  <si>
    <t>Up 6.6 % for Fy11</t>
  </si>
  <si>
    <t>Heavy demand and reduced capacity with no good outlook for additonal capcaity</t>
  </si>
  <si>
    <t>Capacity being further reduced on passenger planes .  Ab380's less cargo space and more long range 737's in use for better fuel economy replacing 747's</t>
  </si>
  <si>
    <t>So American capacity at critical shortage -only Centurian and LAN provide cargo.  Main issue with rates is the lack of North Bound Freight.  Other areas for capacity / demand issues are China and India</t>
  </si>
  <si>
    <t>Expected Fed Ex/Ceva increase</t>
  </si>
  <si>
    <t>Ocean container dray service</t>
  </si>
  <si>
    <t>No increase in this area for some time.  Expect that Old Dominion will increase rates sometime  in FY11 as their business increases for international service.  This only impacts freight out of Raleigh</t>
  </si>
  <si>
    <t>This category is for the special services supplied by CEVA and Unigroup for the transport of Urology Suites out of Cincinnati.  Contract to be renewed in FY11</t>
  </si>
  <si>
    <t>FY12 Update on Fuel - $105/ Gal</t>
  </si>
  <si>
    <t>FSC at $1.05 per KG</t>
  </si>
  <si>
    <t>Dray will be impacted by FSC of 24% on $4.12/gal diesel</t>
  </si>
  <si>
    <t>Projection of Diesel at $4.12 / gal resulting in TL FSC of $52.5 per mile</t>
  </si>
  <si>
    <t>Projection of Diesel at $4.12 / gal resulting in LTL FSC of 24% of the Line Haul</t>
  </si>
  <si>
    <t>FY12 FCST Increase with $105 WTI</t>
  </si>
  <si>
    <t>w/o Intl &amp; Inbound</t>
  </si>
  <si>
    <t>Revised Forecast</t>
  </si>
  <si>
    <t>Cost per Bottle</t>
  </si>
</sst>
</file>

<file path=xl/styles.xml><?xml version="1.0" encoding="utf-8"?>
<styleSheet xmlns="http://schemas.openxmlformats.org/spreadsheetml/2006/main">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quot;$&quot;#,##0"/>
    <numFmt numFmtId="167" formatCode="_(&quot;$&quot;* #,##0.0000_);_(&quot;$&quot;* \(#,##0.0000\);_(&quot;$&quot;* &quot;-&quot;_);_(@_)"/>
    <numFmt numFmtId="168" formatCode="_(* #,##0_);_(* \(#,##0\);_(* &quot;-&quot;????_);_(@_)"/>
  </numFmts>
  <fonts count="36">
    <font>
      <sz val="11"/>
      <color theme="1"/>
      <name val="Calibri"/>
      <family val="2"/>
      <scheme val="minor"/>
    </font>
    <font>
      <sz val="11"/>
      <color theme="1"/>
      <name val="Calibri"/>
      <family val="2"/>
      <scheme val="minor"/>
    </font>
    <font>
      <b/>
      <sz val="11"/>
      <color theme="1"/>
      <name val="Calibri"/>
      <family val="2"/>
      <scheme val="minor"/>
    </font>
    <font>
      <sz val="9"/>
      <color indexed="8"/>
      <name val="Arial"/>
      <family val="2"/>
    </font>
    <font>
      <b/>
      <sz val="9"/>
      <name val="Arial"/>
      <family val="2"/>
    </font>
    <font>
      <b/>
      <sz val="10"/>
      <name val="Arial"/>
      <family val="2"/>
    </font>
    <font>
      <sz val="9"/>
      <name val="Arial"/>
      <family val="2"/>
    </font>
    <font>
      <i/>
      <sz val="9"/>
      <name val="Arial"/>
      <family val="2"/>
    </font>
    <font>
      <sz val="9"/>
      <name val="Arial"/>
      <family val="2"/>
    </font>
    <font>
      <b/>
      <i/>
      <sz val="9"/>
      <name val="Arial"/>
      <family val="2"/>
    </font>
    <font>
      <b/>
      <sz val="11"/>
      <name val="Arial"/>
      <family val="2"/>
    </font>
    <font>
      <u/>
      <sz val="11"/>
      <color theme="1"/>
      <name val="Calibri"/>
      <family val="2"/>
      <scheme val="minor"/>
    </font>
    <font>
      <b/>
      <sz val="12"/>
      <color indexed="8"/>
      <name val="Arial"/>
      <family val="2"/>
    </font>
    <font>
      <sz val="10"/>
      <color theme="1"/>
      <name val="Calibri"/>
      <family val="2"/>
      <scheme val="minor"/>
    </font>
    <font>
      <i/>
      <sz val="10"/>
      <color theme="1"/>
      <name val="Calibri"/>
      <family val="2"/>
      <scheme val="minor"/>
    </font>
    <font>
      <i/>
      <sz val="11"/>
      <color theme="1"/>
      <name val="Calibri"/>
      <family val="2"/>
      <scheme val="minor"/>
    </font>
    <font>
      <b/>
      <sz val="12"/>
      <name val="Arial"/>
      <family val="2"/>
    </font>
    <font>
      <sz val="11"/>
      <name val="Arial"/>
      <family val="2"/>
    </font>
    <font>
      <sz val="10"/>
      <name val="Arial"/>
      <family val="2"/>
    </font>
    <font>
      <i/>
      <sz val="10"/>
      <name val="Arial"/>
      <family val="2"/>
    </font>
    <font>
      <b/>
      <u/>
      <sz val="9"/>
      <name val="Arial"/>
      <family val="2"/>
    </font>
    <font>
      <sz val="11"/>
      <color theme="1"/>
      <name val="Arial"/>
      <family val="2"/>
    </font>
    <font>
      <b/>
      <sz val="12"/>
      <color theme="1"/>
      <name val="Arial"/>
      <family val="2"/>
    </font>
    <font>
      <b/>
      <sz val="11"/>
      <color theme="1"/>
      <name val="Arial"/>
      <family val="2"/>
    </font>
    <font>
      <b/>
      <u/>
      <sz val="11"/>
      <color theme="1"/>
      <name val="Calibri"/>
      <family val="2"/>
      <scheme val="minor"/>
    </font>
    <font>
      <sz val="9"/>
      <color theme="1"/>
      <name val="Arial"/>
      <family val="2"/>
    </font>
    <font>
      <sz val="10"/>
      <color theme="1"/>
      <name val="Arial"/>
      <family val="2"/>
    </font>
    <font>
      <b/>
      <sz val="10"/>
      <color theme="1"/>
      <name val="Arial"/>
      <family val="2"/>
    </font>
    <font>
      <b/>
      <u/>
      <sz val="10"/>
      <color theme="1"/>
      <name val="Arial"/>
      <family val="2"/>
    </font>
    <font>
      <b/>
      <sz val="10"/>
      <color theme="8" tint="-0.249977111117893"/>
      <name val="Arial"/>
      <family val="2"/>
    </font>
    <font>
      <sz val="8"/>
      <name val="Arial"/>
      <family val="2"/>
    </font>
    <font>
      <sz val="11"/>
      <color theme="0"/>
      <name val="Calibri"/>
      <family val="2"/>
      <scheme val="minor"/>
    </font>
    <font>
      <sz val="10"/>
      <color theme="0"/>
      <name val="Arial"/>
      <family val="2"/>
    </font>
    <font>
      <sz val="11"/>
      <color rgb="FFFF0000"/>
      <name val="Calibri"/>
      <family val="2"/>
      <scheme val="minor"/>
    </font>
    <font>
      <sz val="10"/>
      <color rgb="FFFF0000"/>
      <name val="Arial"/>
      <family val="2"/>
    </font>
    <font>
      <b/>
      <sz val="9"/>
      <color theme="1"/>
      <name val="Arial"/>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top/>
      <bottom/>
      <diagonal/>
    </border>
    <border>
      <left style="thin">
        <color indexed="64"/>
      </left>
      <right/>
      <top style="thin">
        <color indexed="64"/>
      </top>
      <bottom/>
      <diagonal/>
    </border>
    <border>
      <left/>
      <right/>
      <top/>
      <bottom style="thin">
        <color indexed="64"/>
      </bottom>
      <diagonal/>
    </border>
    <border>
      <left/>
      <right/>
      <top style="thin">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06">
    <xf numFmtId="0" fontId="0" fillId="0" borderId="0" xfId="0"/>
    <xf numFmtId="0" fontId="4" fillId="0" borderId="0" xfId="0" applyFont="1" applyBorder="1"/>
    <xf numFmtId="0" fontId="3" fillId="0" borderId="0" xfId="0" applyFont="1" applyBorder="1"/>
    <xf numFmtId="0" fontId="6" fillId="0" borderId="0" xfId="0" applyFont="1" applyBorder="1"/>
    <xf numFmtId="0" fontId="7" fillId="0" borderId="0" xfId="0" applyFont="1" applyBorder="1"/>
    <xf numFmtId="0" fontId="6" fillId="0" borderId="1" xfId="0" applyFont="1" applyBorder="1"/>
    <xf numFmtId="0" fontId="0" fillId="0" borderId="0" xfId="0" applyBorder="1"/>
    <xf numFmtId="0" fontId="0" fillId="0" borderId="0" xfId="0" applyAlignment="1">
      <alignment wrapText="1"/>
    </xf>
    <xf numFmtId="0" fontId="5" fillId="0" borderId="0" xfId="0" applyFont="1"/>
    <xf numFmtId="1" fontId="9" fillId="0" borderId="0" xfId="0" applyNumberFormat="1" applyFont="1"/>
    <xf numFmtId="1" fontId="8" fillId="0" borderId="0" xfId="0" applyNumberFormat="1" applyFont="1"/>
    <xf numFmtId="1" fontId="5" fillId="0" borderId="0" xfId="0" applyNumberFormat="1" applyFont="1"/>
    <xf numFmtId="1" fontId="4" fillId="0" borderId="0" xfId="0" applyNumberFormat="1" applyFont="1"/>
    <xf numFmtId="0" fontId="4" fillId="0" borderId="0" xfId="0" applyFont="1"/>
    <xf numFmtId="37" fontId="8" fillId="0" borderId="0" xfId="0" applyNumberFormat="1" applyFont="1"/>
    <xf numFmtId="37" fontId="4" fillId="0" borderId="0" xfId="0" applyNumberFormat="1" applyFont="1"/>
    <xf numFmtId="41" fontId="4" fillId="0" borderId="0" xfId="1" applyNumberFormat="1" applyFont="1" applyBorder="1"/>
    <xf numFmtId="42" fontId="0" fillId="0" borderId="0" xfId="2" applyNumberFormat="1" applyFont="1"/>
    <xf numFmtId="42" fontId="2" fillId="0" borderId="0" xfId="2" applyNumberFormat="1" applyFont="1"/>
    <xf numFmtId="0" fontId="2" fillId="0" borderId="0" xfId="0" applyFont="1"/>
    <xf numFmtId="0" fontId="0" fillId="0" borderId="0" xfId="0" applyBorder="1" applyAlignment="1">
      <alignment horizontal="center" wrapText="1"/>
    </xf>
    <xf numFmtId="0" fontId="0" fillId="0" borderId="0" xfId="0" applyAlignment="1">
      <alignment horizontal="center" wrapText="1"/>
    </xf>
    <xf numFmtId="165" fontId="4" fillId="0" borderId="0" xfId="0" applyNumberFormat="1" applyFont="1" applyFill="1" applyBorder="1"/>
    <xf numFmtId="42" fontId="4" fillId="0" borderId="0" xfId="2" applyNumberFormat="1" applyFont="1" applyBorder="1"/>
    <xf numFmtId="0" fontId="4" fillId="0" borderId="4" xfId="0" applyFont="1" applyBorder="1"/>
    <xf numFmtId="0" fontId="10" fillId="0" borderId="1" xfId="0" applyFont="1" applyBorder="1"/>
    <xf numFmtId="0" fontId="5" fillId="0" borderId="0" xfId="0" applyFont="1" applyBorder="1"/>
    <xf numFmtId="0" fontId="11" fillId="0" borderId="0" xfId="0" applyFont="1"/>
    <xf numFmtId="0" fontId="6" fillId="0" borderId="0" xfId="0" applyFont="1" applyFill="1" applyBorder="1"/>
    <xf numFmtId="164" fontId="10" fillId="0" borderId="0" xfId="0" applyNumberFormat="1" applyFont="1" applyBorder="1"/>
    <xf numFmtId="0" fontId="13" fillId="0" borderId="0" xfId="0" applyFont="1"/>
    <xf numFmtId="0" fontId="0" fillId="0" borderId="0" xfId="0" applyFont="1"/>
    <xf numFmtId="42" fontId="13" fillId="0" borderId="0" xfId="2" applyNumberFormat="1" applyFont="1"/>
    <xf numFmtId="166" fontId="0" fillId="0" borderId="0" xfId="2" applyNumberFormat="1" applyFont="1"/>
    <xf numFmtId="42" fontId="1" fillId="0" borderId="0" xfId="2" applyNumberFormat="1" applyFont="1"/>
    <xf numFmtId="166" fontId="2" fillId="0" borderId="0" xfId="2" applyNumberFormat="1" applyFont="1"/>
    <xf numFmtId="0" fontId="12" fillId="0" borderId="1" xfId="0" applyFont="1" applyBorder="1" applyAlignment="1">
      <alignment wrapText="1"/>
    </xf>
    <xf numFmtId="166" fontId="0" fillId="0" borderId="0" xfId="0" applyNumberFormat="1"/>
    <xf numFmtId="0" fontId="0" fillId="0" borderId="0" xfId="0" applyFont="1" applyBorder="1"/>
    <xf numFmtId="166" fontId="0" fillId="0" borderId="0" xfId="0" applyNumberFormat="1" applyBorder="1"/>
    <xf numFmtId="166" fontId="0" fillId="0" borderId="0" xfId="0" applyNumberFormat="1" applyFont="1" applyBorder="1"/>
    <xf numFmtId="9" fontId="0" fillId="0" borderId="0" xfId="3" applyFont="1"/>
    <xf numFmtId="9" fontId="0" fillId="0" borderId="0" xfId="0" applyNumberFormat="1" applyAlignment="1">
      <alignment horizontal="center"/>
    </xf>
    <xf numFmtId="0" fontId="0" fillId="0" borderId="0" xfId="0" applyAlignment="1">
      <alignment horizontal="center"/>
    </xf>
    <xf numFmtId="10" fontId="0" fillId="0" borderId="0" xfId="0" applyNumberFormat="1" applyAlignment="1">
      <alignment horizontal="center"/>
    </xf>
    <xf numFmtId="0" fontId="2" fillId="0" borderId="0" xfId="0" applyFont="1" applyAlignment="1">
      <alignment horizontal="center" wrapText="1"/>
    </xf>
    <xf numFmtId="37" fontId="4" fillId="0" borderId="0" xfId="0" applyNumberFormat="1" applyFont="1" applyFill="1" applyBorder="1"/>
    <xf numFmtId="37" fontId="4" fillId="0" borderId="0" xfId="0" applyNumberFormat="1" applyFont="1" applyBorder="1"/>
    <xf numFmtId="41" fontId="0" fillId="0" borderId="0" xfId="1" applyNumberFormat="1" applyFont="1"/>
    <xf numFmtId="41" fontId="0" fillId="0" borderId="0" xfId="1" applyNumberFormat="1" applyFont="1" applyAlignment="1"/>
    <xf numFmtId="0" fontId="0" fillId="0" borderId="3" xfId="0" applyBorder="1" applyAlignment="1">
      <alignment horizontal="center" wrapText="1"/>
    </xf>
    <xf numFmtId="41" fontId="0" fillId="0" borderId="0" xfId="0" applyNumberFormat="1"/>
    <xf numFmtId="165" fontId="2" fillId="0" borderId="0" xfId="2" applyNumberFormat="1" applyFont="1"/>
    <xf numFmtId="165" fontId="8" fillId="0" borderId="0" xfId="2" applyNumberFormat="1" applyFont="1"/>
    <xf numFmtId="165" fontId="0" fillId="0" borderId="0" xfId="2" applyNumberFormat="1" applyFont="1"/>
    <xf numFmtId="165" fontId="4" fillId="0" borderId="0" xfId="2" applyNumberFormat="1" applyFont="1"/>
    <xf numFmtId="165" fontId="5" fillId="0" borderId="0" xfId="2" applyNumberFormat="1" applyFont="1"/>
    <xf numFmtId="165" fontId="5" fillId="0" borderId="0" xfId="2" applyNumberFormat="1" applyFont="1" applyFill="1" applyBorder="1"/>
    <xf numFmtId="0" fontId="4" fillId="0" borderId="0" xfId="0" applyFont="1" applyAlignment="1">
      <alignment horizontal="center" wrapText="1"/>
    </xf>
    <xf numFmtId="0" fontId="2" fillId="0" borderId="0" xfId="0" applyFont="1" applyFill="1"/>
    <xf numFmtId="42" fontId="1" fillId="0" borderId="0" xfId="2" applyNumberFormat="1" applyFont="1" applyFill="1"/>
    <xf numFmtId="42" fontId="0" fillId="0" borderId="0" xfId="2" applyNumberFormat="1" applyFont="1" applyFill="1"/>
    <xf numFmtId="0" fontId="14" fillId="0" borderId="0" xfId="0" applyFont="1" applyFill="1"/>
    <xf numFmtId="42" fontId="15" fillId="0" borderId="0" xfId="2" applyNumberFormat="1" applyFont="1" applyFill="1"/>
    <xf numFmtId="164" fontId="6" fillId="0" borderId="0" xfId="1" applyNumberFormat="1" applyFont="1" applyBorder="1"/>
    <xf numFmtId="165" fontId="6" fillId="0" borderId="0" xfId="2" applyNumberFormat="1" applyFont="1" applyBorder="1"/>
    <xf numFmtId="41" fontId="6" fillId="0" borderId="0" xfId="1" applyNumberFormat="1" applyFont="1" applyFill="1" applyBorder="1"/>
    <xf numFmtId="42" fontId="6" fillId="0" borderId="0" xfId="2" applyNumberFormat="1" applyFont="1" applyBorder="1"/>
    <xf numFmtId="41" fontId="6" fillId="0" borderId="0" xfId="1" applyNumberFormat="1" applyFont="1" applyBorder="1"/>
    <xf numFmtId="0" fontId="16" fillId="0" borderId="1" xfId="0" applyFont="1" applyBorder="1"/>
    <xf numFmtId="0" fontId="10" fillId="0" borderId="2" xfId="0" applyFont="1" applyBorder="1"/>
    <xf numFmtId="165" fontId="6" fillId="0" borderId="0" xfId="0" applyNumberFormat="1" applyFont="1" applyBorder="1"/>
    <xf numFmtId="164" fontId="6" fillId="0" borderId="0" xfId="0" applyNumberFormat="1" applyFont="1" applyBorder="1"/>
    <xf numFmtId="0" fontId="5" fillId="0" borderId="0" xfId="0" applyFont="1" applyFill="1" applyBorder="1"/>
    <xf numFmtId="0" fontId="4" fillId="0" borderId="0" xfId="0" applyFont="1" applyFill="1" applyBorder="1"/>
    <xf numFmtId="0" fontId="10" fillId="0" borderId="0" xfId="0" applyFont="1" applyBorder="1"/>
    <xf numFmtId="43" fontId="6" fillId="0" borderId="0" xfId="0" applyNumberFormat="1" applyFont="1" applyBorder="1"/>
    <xf numFmtId="0" fontId="6" fillId="0" borderId="0" xfId="0" applyFont="1" applyBorder="1" applyAlignment="1">
      <alignment horizontal="right"/>
    </xf>
    <xf numFmtId="41" fontId="6" fillId="0" borderId="0" xfId="0" applyNumberFormat="1" applyFont="1" applyBorder="1"/>
    <xf numFmtId="0" fontId="7" fillId="0" borderId="0" xfId="0" applyFont="1" applyBorder="1" applyAlignment="1">
      <alignment horizontal="right"/>
    </xf>
    <xf numFmtId="42" fontId="5" fillId="0" borderId="0" xfId="2" applyNumberFormat="1" applyFont="1" applyBorder="1"/>
    <xf numFmtId="41" fontId="5" fillId="0" borderId="0" xfId="1" applyNumberFormat="1" applyFont="1" applyBorder="1"/>
    <xf numFmtId="37" fontId="5" fillId="0" borderId="0" xfId="2" applyNumberFormat="1" applyFont="1" applyBorder="1"/>
    <xf numFmtId="164" fontId="5" fillId="0" borderId="0" xfId="0" applyNumberFormat="1" applyFont="1" applyBorder="1"/>
    <xf numFmtId="42" fontId="5" fillId="0" borderId="0" xfId="2" applyNumberFormat="1" applyFont="1"/>
    <xf numFmtId="42" fontId="10" fillId="0" borderId="0" xfId="2" applyNumberFormat="1" applyFont="1" applyBorder="1"/>
    <xf numFmtId="37" fontId="10" fillId="0" borderId="0" xfId="2" applyNumberFormat="1" applyFont="1" applyBorder="1"/>
    <xf numFmtId="0" fontId="17" fillId="0" borderId="0" xfId="0" applyFont="1" applyBorder="1"/>
    <xf numFmtId="42" fontId="10" fillId="0" borderId="0" xfId="2" applyNumberFormat="1" applyFont="1"/>
    <xf numFmtId="165" fontId="5" fillId="0" borderId="0" xfId="0" applyNumberFormat="1" applyFont="1" applyFill="1" applyBorder="1"/>
    <xf numFmtId="164" fontId="5" fillId="0" borderId="0" xfId="1" applyNumberFormat="1" applyFont="1" applyFill="1" applyBorder="1"/>
    <xf numFmtId="42" fontId="5" fillId="0" borderId="0" xfId="2" applyNumberFormat="1" applyFont="1" applyFill="1" applyBorder="1"/>
    <xf numFmtId="164" fontId="5" fillId="0" borderId="0" xfId="1" applyNumberFormat="1" applyFont="1" applyBorder="1"/>
    <xf numFmtId="165" fontId="5" fillId="0" borderId="0" xfId="2" applyNumberFormat="1" applyFont="1" applyBorder="1"/>
    <xf numFmtId="0" fontId="18" fillId="0" borderId="0" xfId="0" applyFont="1" applyBorder="1"/>
    <xf numFmtId="0" fontId="17" fillId="0" borderId="0" xfId="0" applyFont="1"/>
    <xf numFmtId="0" fontId="17" fillId="0" borderId="4" xfId="0" applyFont="1" applyBorder="1"/>
    <xf numFmtId="42" fontId="17" fillId="0" borderId="0" xfId="2" applyNumberFormat="1" applyFont="1" applyBorder="1"/>
    <xf numFmtId="164" fontId="17" fillId="0" borderId="0" xfId="1" applyNumberFormat="1" applyFont="1" applyBorder="1"/>
    <xf numFmtId="42" fontId="17" fillId="0" borderId="0" xfId="2" applyNumberFormat="1" applyFont="1"/>
    <xf numFmtId="167" fontId="17" fillId="0" borderId="0" xfId="2" applyNumberFormat="1" applyFont="1"/>
    <xf numFmtId="164" fontId="17" fillId="0" borderId="0" xfId="0" applyNumberFormat="1" applyFont="1" applyBorder="1"/>
    <xf numFmtId="164" fontId="17" fillId="0" borderId="0" xfId="1" applyNumberFormat="1" applyFont="1" applyFill="1" applyBorder="1"/>
    <xf numFmtId="0" fontId="17" fillId="0" borderId="0" xfId="0" applyFont="1" applyFill="1" applyBorder="1"/>
    <xf numFmtId="41" fontId="17" fillId="0" borderId="0" xfId="0" applyNumberFormat="1" applyFont="1" applyBorder="1"/>
    <xf numFmtId="42" fontId="10" fillId="0" borderId="0" xfId="0" applyNumberFormat="1" applyFont="1"/>
    <xf numFmtId="42" fontId="17" fillId="0" borderId="0" xfId="0" applyNumberFormat="1" applyFont="1"/>
    <xf numFmtId="0" fontId="10" fillId="0" borderId="0" xfId="0" applyFont="1"/>
    <xf numFmtId="0" fontId="19" fillId="0" borderId="0" xfId="0" applyFont="1" applyBorder="1"/>
    <xf numFmtId="165" fontId="5" fillId="0" borderId="0" xfId="0" applyNumberFormat="1" applyFont="1" applyBorder="1"/>
    <xf numFmtId="0" fontId="18" fillId="0" borderId="0" xfId="0" applyFont="1"/>
    <xf numFmtId="0" fontId="4" fillId="0" borderId="1" xfId="0" applyFont="1" applyBorder="1"/>
    <xf numFmtId="0" fontId="18" fillId="0" borderId="0" xfId="0" applyFont="1" applyFill="1" applyBorder="1"/>
    <xf numFmtId="165" fontId="6" fillId="0" borderId="0" xfId="2" applyNumberFormat="1" applyFont="1" applyFill="1" applyBorder="1"/>
    <xf numFmtId="164" fontId="6" fillId="0" borderId="0" xfId="1" applyNumberFormat="1" applyFont="1" applyFill="1" applyBorder="1"/>
    <xf numFmtId="164" fontId="6" fillId="0" borderId="0" xfId="2" applyNumberFormat="1" applyFont="1" applyBorder="1"/>
    <xf numFmtId="37" fontId="6" fillId="0" borderId="0" xfId="2" applyNumberFormat="1" applyFont="1" applyBorder="1"/>
    <xf numFmtId="1" fontId="5" fillId="0" borderId="0" xfId="0" applyNumberFormat="1" applyFont="1" applyBorder="1"/>
    <xf numFmtId="41" fontId="5" fillId="0" borderId="0" xfId="0" applyNumberFormat="1" applyFont="1" applyBorder="1"/>
    <xf numFmtId="42" fontId="5" fillId="0" borderId="0" xfId="0" applyNumberFormat="1" applyFont="1" applyBorder="1"/>
    <xf numFmtId="37" fontId="5" fillId="0" borderId="0" xfId="0" applyNumberFormat="1" applyFont="1" applyBorder="1"/>
    <xf numFmtId="0" fontId="4" fillId="0" borderId="0" xfId="0" applyFont="1" applyBorder="1" applyAlignment="1">
      <alignment horizontal="center" wrapText="1"/>
    </xf>
    <xf numFmtId="0" fontId="4" fillId="0" borderId="0" xfId="0" applyFont="1" applyAlignment="1">
      <alignment wrapText="1"/>
    </xf>
    <xf numFmtId="0" fontId="20" fillId="0" borderId="0" xfId="0" applyFont="1"/>
    <xf numFmtId="0" fontId="4" fillId="0" borderId="3" xfId="0" applyFont="1" applyBorder="1" applyAlignment="1">
      <alignment wrapText="1"/>
    </xf>
    <xf numFmtId="164" fontId="5" fillId="0" borderId="0" xfId="0" applyNumberFormat="1" applyFont="1" applyFill="1" applyBorder="1"/>
    <xf numFmtId="42" fontId="5" fillId="0" borderId="0" xfId="0" applyNumberFormat="1" applyFont="1" applyFill="1" applyBorder="1"/>
    <xf numFmtId="42" fontId="18" fillId="0" borderId="0" xfId="0" applyNumberFormat="1" applyFont="1" applyBorder="1"/>
    <xf numFmtId="43" fontId="5" fillId="0" borderId="0" xfId="0" applyNumberFormat="1" applyFont="1" applyBorder="1"/>
    <xf numFmtId="164" fontId="10" fillId="0" borderId="0" xfId="0" applyNumberFormat="1" applyFont="1"/>
    <xf numFmtId="165" fontId="10" fillId="0" borderId="0" xfId="2" applyNumberFormat="1" applyFont="1"/>
    <xf numFmtId="0" fontId="21" fillId="0" borderId="0" xfId="0" applyFont="1"/>
    <xf numFmtId="0" fontId="22" fillId="0" borderId="0" xfId="0" applyFont="1"/>
    <xf numFmtId="0" fontId="23" fillId="0" borderId="0" xfId="0" applyFont="1" applyFill="1" applyBorder="1"/>
    <xf numFmtId="42" fontId="23" fillId="0" borderId="0" xfId="2" applyNumberFormat="1" applyFont="1"/>
    <xf numFmtId="0" fontId="23" fillId="0" borderId="0" xfId="0" applyFont="1"/>
    <xf numFmtId="165" fontId="23" fillId="0" borderId="0" xfId="2" applyNumberFormat="1" applyFont="1" applyAlignment="1">
      <alignment horizontal="right"/>
    </xf>
    <xf numFmtId="165" fontId="23" fillId="0" borderId="0" xfId="2" applyNumberFormat="1" applyFont="1"/>
    <xf numFmtId="0" fontId="2" fillId="0" borderId="0" xfId="0" applyFont="1" applyBorder="1" applyAlignment="1">
      <alignment horizontal="center" wrapText="1"/>
    </xf>
    <xf numFmtId="0" fontId="2" fillId="0" borderId="0" xfId="0" applyFont="1" applyAlignment="1">
      <alignment wrapText="1"/>
    </xf>
    <xf numFmtId="0" fontId="24" fillId="0" borderId="0" xfId="0" applyFont="1"/>
    <xf numFmtId="0" fontId="2" fillId="0" borderId="0" xfId="0" applyFont="1" applyBorder="1" applyAlignment="1">
      <alignment wrapText="1"/>
    </xf>
    <xf numFmtId="9" fontId="13" fillId="0" borderId="0" xfId="0" applyNumberFormat="1" applyFont="1"/>
    <xf numFmtId="9" fontId="13" fillId="0" borderId="0" xfId="3" applyFont="1"/>
    <xf numFmtId="0" fontId="27" fillId="0" borderId="0" xfId="0" applyFont="1" applyBorder="1" applyAlignment="1">
      <alignment horizontal="center" wrapText="1"/>
    </xf>
    <xf numFmtId="0" fontId="27" fillId="0" borderId="0" xfId="0" applyFont="1" applyAlignment="1">
      <alignment horizontal="center" wrapText="1"/>
    </xf>
    <xf numFmtId="0" fontId="27" fillId="0" borderId="0" xfId="0" applyFont="1" applyAlignment="1">
      <alignment wrapText="1"/>
    </xf>
    <xf numFmtId="0" fontId="28" fillId="0" borderId="0" xfId="0" applyFont="1"/>
    <xf numFmtId="0" fontId="27" fillId="0" borderId="0" xfId="0" applyFont="1" applyBorder="1" applyAlignment="1">
      <alignment wrapText="1"/>
    </xf>
    <xf numFmtId="0" fontId="27" fillId="0" borderId="0" xfId="0" applyFont="1"/>
    <xf numFmtId="0" fontId="26" fillId="0" borderId="0" xfId="0" applyFont="1"/>
    <xf numFmtId="164" fontId="26" fillId="0" borderId="0" xfId="0" applyNumberFormat="1" applyFont="1"/>
    <xf numFmtId="165" fontId="26" fillId="0" borderId="0" xfId="2" applyNumberFormat="1" applyFont="1" applyAlignment="1">
      <alignment horizontal="center"/>
    </xf>
    <xf numFmtId="165" fontId="26" fillId="0" borderId="0" xfId="2" applyNumberFormat="1" applyFont="1"/>
    <xf numFmtId="42" fontId="26" fillId="0" borderId="0" xfId="2" applyNumberFormat="1" applyFont="1"/>
    <xf numFmtId="165" fontId="26" fillId="0" borderId="0" xfId="2" applyNumberFormat="1" applyFont="1" applyAlignment="1">
      <alignment horizontal="right"/>
    </xf>
    <xf numFmtId="44" fontId="26" fillId="0" borderId="0" xfId="0" applyNumberFormat="1" applyFont="1"/>
    <xf numFmtId="0" fontId="26" fillId="0" borderId="0" xfId="0" applyFont="1" applyBorder="1"/>
    <xf numFmtId="0" fontId="26" fillId="0" borderId="0" xfId="0" applyFont="1" applyFill="1" applyBorder="1"/>
    <xf numFmtId="165" fontId="26" fillId="0" borderId="0" xfId="0" applyNumberFormat="1" applyFont="1"/>
    <xf numFmtId="0" fontId="25" fillId="0" borderId="0" xfId="0" applyFont="1"/>
    <xf numFmtId="44" fontId="17" fillId="0" borderId="0" xfId="0" applyNumberFormat="1" applyFont="1" applyBorder="1"/>
    <xf numFmtId="165" fontId="29" fillId="0" borderId="0" xfId="2" applyNumberFormat="1" applyFont="1"/>
    <xf numFmtId="44" fontId="30" fillId="0" borderId="0" xfId="0" applyNumberFormat="1" applyFont="1" applyAlignment="1">
      <alignment vertical="top"/>
    </xf>
    <xf numFmtId="44" fontId="0" fillId="0" borderId="0" xfId="0" applyNumberFormat="1"/>
    <xf numFmtId="10" fontId="0" fillId="0" borderId="0" xfId="3" applyNumberFormat="1" applyFont="1"/>
    <xf numFmtId="168" fontId="0" fillId="0" borderId="0" xfId="0" applyNumberFormat="1"/>
    <xf numFmtId="0" fontId="32" fillId="0" borderId="0" xfId="0" applyFont="1"/>
    <xf numFmtId="44" fontId="32" fillId="0" borderId="0" xfId="0" applyNumberFormat="1" applyFont="1" applyAlignment="1">
      <alignment vertical="top"/>
    </xf>
    <xf numFmtId="165" fontId="32" fillId="0" borderId="0" xfId="2" applyNumberFormat="1" applyFont="1"/>
    <xf numFmtId="44" fontId="32" fillId="0" borderId="0" xfId="0" applyNumberFormat="1" applyFont="1"/>
    <xf numFmtId="10" fontId="32" fillId="0" borderId="0" xfId="3" applyNumberFormat="1" applyFont="1"/>
    <xf numFmtId="10" fontId="32" fillId="0" borderId="0" xfId="3" applyNumberFormat="1" applyFont="1" applyAlignment="1">
      <alignment vertical="top"/>
    </xf>
    <xf numFmtId="0" fontId="31" fillId="0" borderId="0" xfId="0" applyFont="1"/>
    <xf numFmtId="165" fontId="31" fillId="0" borderId="0" xfId="2" applyNumberFormat="1" applyFont="1"/>
    <xf numFmtId="44" fontId="31" fillId="0" borderId="0" xfId="0" applyNumberFormat="1" applyFont="1"/>
    <xf numFmtId="42" fontId="33" fillId="0" borderId="0" xfId="2" applyNumberFormat="1" applyFont="1"/>
    <xf numFmtId="165" fontId="34" fillId="0" borderId="0" xfId="2" applyNumberFormat="1" applyFont="1"/>
    <xf numFmtId="165" fontId="18" fillId="0" borderId="0" xfId="0" applyNumberFormat="1" applyFont="1"/>
    <xf numFmtId="165" fontId="17" fillId="0" borderId="0" xfId="0" applyNumberFormat="1" applyFont="1"/>
    <xf numFmtId="1" fontId="18" fillId="0" borderId="0" xfId="0" applyNumberFormat="1" applyFont="1"/>
    <xf numFmtId="164" fontId="17" fillId="0" borderId="0" xfId="0" applyNumberFormat="1" applyFont="1" applyFill="1" applyBorder="1"/>
    <xf numFmtId="165" fontId="10" fillId="0" borderId="0" xfId="0" applyNumberFormat="1" applyFont="1" applyFill="1" applyBorder="1"/>
    <xf numFmtId="42" fontId="6" fillId="0" borderId="0" xfId="2" applyNumberFormat="1" applyFont="1" applyFill="1" applyBorder="1"/>
    <xf numFmtId="41" fontId="5" fillId="0" borderId="0" xfId="1" applyNumberFormat="1" applyFont="1" applyFill="1" applyBorder="1"/>
    <xf numFmtId="1" fontId="17" fillId="0" borderId="0" xfId="0" applyNumberFormat="1" applyFont="1" applyFill="1" applyBorder="1"/>
    <xf numFmtId="164" fontId="18" fillId="0" borderId="0" xfId="0" applyNumberFormat="1" applyFont="1" applyBorder="1"/>
    <xf numFmtId="165" fontId="18" fillId="0" borderId="0" xfId="2" applyNumberFormat="1" applyFont="1" applyBorder="1"/>
    <xf numFmtId="164" fontId="18" fillId="0" borderId="0" xfId="1" applyNumberFormat="1" applyFont="1" applyBorder="1"/>
    <xf numFmtId="1" fontId="18" fillId="0" borderId="0" xfId="0" applyNumberFormat="1" applyFont="1" applyBorder="1"/>
    <xf numFmtId="9" fontId="0" fillId="0" borderId="0" xfId="0" applyNumberFormat="1" applyAlignment="1">
      <alignment wrapText="1"/>
    </xf>
    <xf numFmtId="165" fontId="0" fillId="0" borderId="0" xfId="0" applyNumberFormat="1"/>
    <xf numFmtId="165" fontId="10" fillId="0" borderId="0" xfId="0" applyNumberFormat="1" applyFont="1"/>
    <xf numFmtId="9" fontId="10" fillId="0" borderId="0" xfId="3" applyFont="1"/>
    <xf numFmtId="164" fontId="4" fillId="0" borderId="0" xfId="2" applyNumberFormat="1" applyFont="1" applyBorder="1"/>
    <xf numFmtId="165" fontId="4" fillId="0" borderId="0" xfId="2" applyNumberFormat="1" applyFont="1" applyBorder="1"/>
    <xf numFmtId="164" fontId="4" fillId="0" borderId="0" xfId="0" applyNumberFormat="1" applyFont="1" applyBorder="1"/>
    <xf numFmtId="164" fontId="4" fillId="0" borderId="0" xfId="1" applyNumberFormat="1" applyFont="1" applyBorder="1"/>
    <xf numFmtId="164" fontId="4" fillId="0" borderId="0" xfId="1" applyNumberFormat="1" applyFont="1" applyFill="1" applyBorder="1"/>
    <xf numFmtId="165" fontId="4" fillId="0" borderId="0" xfId="2" applyNumberFormat="1" applyFont="1" applyFill="1" applyBorder="1"/>
    <xf numFmtId="165" fontId="23" fillId="2" borderId="0" xfId="0" applyNumberFormat="1" applyFont="1" applyFill="1"/>
    <xf numFmtId="0" fontId="25" fillId="2" borderId="0" xfId="0" applyFont="1" applyFill="1"/>
    <xf numFmtId="0" fontId="35" fillId="2" borderId="0" xfId="0" applyFont="1" applyFill="1"/>
    <xf numFmtId="0" fontId="0" fillId="2" borderId="0" xfId="0" applyFill="1"/>
    <xf numFmtId="164" fontId="27" fillId="2" borderId="0" xfId="0" applyNumberFormat="1" applyFont="1" applyFill="1"/>
    <xf numFmtId="0" fontId="2" fillId="2" borderId="0" xfId="0" applyFont="1" applyFill="1"/>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colors>
    <mruColors>
      <color rgb="FFFFFF66"/>
    </mruColors>
  </colors>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erin.young/Desktop/FY12%20Transport%20Fcst%2003221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tl 2012"/>
      <sheetName val="Intl 2011 New"/>
      <sheetName val="Intl 2011"/>
      <sheetName val="API"/>
      <sheetName val="CMDS"/>
      <sheetName val="Specialty"/>
      <sheetName val="Nuclear"/>
      <sheetName val="Summary"/>
      <sheetName val="Transport Assumptions"/>
    </sheetNames>
    <sheetDataSet>
      <sheetData sheetId="0">
        <row r="29">
          <cell r="K29">
            <v>107380</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3:M39"/>
  <sheetViews>
    <sheetView workbookViewId="0">
      <selection activeCell="P27" sqref="P27"/>
    </sheetView>
  </sheetViews>
  <sheetFormatPr defaultRowHeight="15"/>
  <cols>
    <col min="1" max="1" width="23" bestFit="1" customWidth="1"/>
    <col min="2" max="2" width="2.28515625" customWidth="1"/>
    <col min="3" max="3" width="15" bestFit="1" customWidth="1"/>
    <col min="4" max="6" width="15.28515625" bestFit="1" customWidth="1"/>
    <col min="7" max="7" width="1.85546875" customWidth="1"/>
    <col min="8" max="8" width="15.28515625" bestFit="1" customWidth="1"/>
    <col min="9" max="9" width="2.140625" customWidth="1"/>
    <col min="10" max="10" width="12.5703125" bestFit="1" customWidth="1"/>
    <col min="11" max="11" width="2.140625" customWidth="1"/>
    <col min="12" max="12" width="10.42578125" bestFit="1" customWidth="1"/>
  </cols>
  <sheetData>
    <row r="3" spans="1:12" ht="60">
      <c r="A3" s="8" t="s">
        <v>22</v>
      </c>
      <c r="C3" s="58" t="s">
        <v>125</v>
      </c>
      <c r="D3" s="45" t="s">
        <v>44</v>
      </c>
      <c r="E3" s="45" t="s">
        <v>123</v>
      </c>
      <c r="F3" s="45" t="s">
        <v>124</v>
      </c>
      <c r="H3" s="45" t="s">
        <v>112</v>
      </c>
      <c r="J3" s="45" t="s">
        <v>228</v>
      </c>
    </row>
    <row r="4" spans="1:12">
      <c r="A4" s="8" t="s">
        <v>23</v>
      </c>
      <c r="C4" s="13"/>
    </row>
    <row r="5" spans="1:12">
      <c r="A5" s="9" t="s">
        <v>24</v>
      </c>
      <c r="C5" s="14"/>
    </row>
    <row r="6" spans="1:12">
      <c r="A6" s="10" t="s">
        <v>25</v>
      </c>
      <c r="C6" s="53">
        <v>233981</v>
      </c>
      <c r="D6" s="54">
        <f>Specialty!D4</f>
        <v>43295</v>
      </c>
      <c r="E6" s="54">
        <f>Specialty!F4</f>
        <v>43295</v>
      </c>
      <c r="F6" s="54">
        <f>Specialty!H4</f>
        <v>58784</v>
      </c>
      <c r="G6" s="54"/>
      <c r="H6" s="54">
        <f>Specialty!J4</f>
        <v>179973</v>
      </c>
      <c r="J6" s="191">
        <f>F6-55826</f>
        <v>2958</v>
      </c>
    </row>
    <row r="7" spans="1:12">
      <c r="A7" s="10" t="s">
        <v>26</v>
      </c>
      <c r="C7" s="53">
        <v>1493522</v>
      </c>
      <c r="D7" s="54">
        <f>API!F42</f>
        <v>1415752</v>
      </c>
      <c r="E7" s="54">
        <f>API!I44</f>
        <v>1403626</v>
      </c>
      <c r="F7" s="54">
        <f>API!L44</f>
        <v>1446026</v>
      </c>
      <c r="G7" s="54"/>
      <c r="H7" s="54">
        <f>API!N44</f>
        <v>1197113</v>
      </c>
      <c r="J7" s="191">
        <f>F7-1403626</f>
        <v>42400</v>
      </c>
    </row>
    <row r="8" spans="1:12">
      <c r="A8" s="10" t="s">
        <v>27</v>
      </c>
      <c r="C8" s="53">
        <v>0</v>
      </c>
      <c r="D8" s="54">
        <v>0</v>
      </c>
      <c r="E8" s="54"/>
      <c r="F8" s="54"/>
      <c r="G8" s="54"/>
      <c r="H8" s="54"/>
    </row>
    <row r="9" spans="1:12">
      <c r="A9" s="9" t="s">
        <v>28</v>
      </c>
      <c r="C9" s="55">
        <f t="shared" ref="C9" si="0">SUM(C6:C8)</f>
        <v>1727503</v>
      </c>
      <c r="D9" s="52">
        <f>SUM(D6:D8)</f>
        <v>1459047</v>
      </c>
      <c r="E9" s="52">
        <f>SUM(E6:E7)</f>
        <v>1446921</v>
      </c>
      <c r="F9" s="52">
        <f>SUM(F6:F7)</f>
        <v>1504810</v>
      </c>
      <c r="G9" s="54"/>
      <c r="H9" s="52">
        <f>SUM(H6:H8)</f>
        <v>1377086</v>
      </c>
      <c r="J9" s="191">
        <f>SUM(J6:J8)</f>
        <v>45358</v>
      </c>
      <c r="L9" s="165"/>
    </row>
    <row r="10" spans="1:12">
      <c r="A10" s="10"/>
      <c r="C10" s="53"/>
      <c r="D10" s="54"/>
      <c r="E10" s="54"/>
      <c r="F10" s="54"/>
      <c r="G10" s="54"/>
      <c r="H10" s="54"/>
    </row>
    <row r="11" spans="1:12">
      <c r="A11" s="9" t="s">
        <v>56</v>
      </c>
      <c r="C11" s="53"/>
      <c r="D11" s="54"/>
      <c r="E11" s="54"/>
      <c r="F11" s="54"/>
      <c r="G11" s="54"/>
      <c r="H11" s="54"/>
    </row>
    <row r="12" spans="1:12">
      <c r="A12" s="10" t="s">
        <v>29</v>
      </c>
      <c r="C12" s="53">
        <v>100</v>
      </c>
      <c r="D12" s="54"/>
      <c r="E12" s="54">
        <v>0</v>
      </c>
      <c r="F12" s="54">
        <v>0</v>
      </c>
      <c r="G12" s="54"/>
      <c r="H12" s="54"/>
    </row>
    <row r="13" spans="1:12">
      <c r="A13" s="10" t="s">
        <v>30</v>
      </c>
      <c r="C13" s="53">
        <v>1294357</v>
      </c>
      <c r="D13" s="54">
        <f>D12+D9</f>
        <v>1459047</v>
      </c>
      <c r="E13" s="54">
        <f>CMDS!G6</f>
        <v>1320179</v>
      </c>
      <c r="F13" s="54">
        <f>CMDS!I6</f>
        <v>1390148</v>
      </c>
      <c r="G13" s="54"/>
      <c r="H13" s="54">
        <v>0</v>
      </c>
    </row>
    <row r="14" spans="1:12">
      <c r="A14" s="9" t="s">
        <v>31</v>
      </c>
      <c r="C14" s="53">
        <f t="shared" ref="C14" si="1">SUM(C12:C13)</f>
        <v>1294457</v>
      </c>
      <c r="D14" s="54">
        <f>SUM(D13)</f>
        <v>1459047</v>
      </c>
      <c r="E14" s="54">
        <f>E13</f>
        <v>1320179</v>
      </c>
      <c r="F14" s="54">
        <f>F13</f>
        <v>1390148</v>
      </c>
      <c r="G14" s="54"/>
      <c r="H14" s="54">
        <f>CMDS!K6</f>
        <v>1206013</v>
      </c>
      <c r="J14" s="191">
        <f>F14-1245143</f>
        <v>145005</v>
      </c>
    </row>
    <row r="15" spans="1:12">
      <c r="A15" s="9"/>
      <c r="C15" s="53"/>
      <c r="D15" s="54"/>
      <c r="E15" s="54"/>
      <c r="F15" s="54"/>
      <c r="G15" s="54"/>
      <c r="H15" s="54"/>
      <c r="J15" s="191"/>
    </row>
    <row r="16" spans="1:12">
      <c r="A16" s="11" t="s">
        <v>18</v>
      </c>
      <c r="C16" s="56">
        <f t="shared" ref="C16" si="2">C14+C9</f>
        <v>3021960</v>
      </c>
      <c r="D16" s="56">
        <f>D14+D9</f>
        <v>2918094</v>
      </c>
      <c r="E16" s="56">
        <f t="shared" ref="E16:F16" si="3">E14+E9</f>
        <v>2767100</v>
      </c>
      <c r="F16" s="56">
        <f t="shared" si="3"/>
        <v>2894958</v>
      </c>
      <c r="G16" s="54"/>
      <c r="H16" s="52">
        <f>H14+H9</f>
        <v>2583099</v>
      </c>
      <c r="J16" s="191">
        <f>J14+J9</f>
        <v>190363</v>
      </c>
      <c r="L16" s="165"/>
    </row>
    <row r="17" spans="1:13">
      <c r="A17" s="10"/>
      <c r="C17" s="53"/>
      <c r="D17" s="54"/>
      <c r="E17" s="54"/>
      <c r="F17" s="54"/>
      <c r="G17" s="54"/>
      <c r="H17" s="54"/>
    </row>
    <row r="18" spans="1:13">
      <c r="A18" s="12" t="s">
        <v>32</v>
      </c>
      <c r="C18" s="53"/>
      <c r="D18" s="54"/>
      <c r="E18" s="54"/>
      <c r="F18" s="54"/>
      <c r="G18" s="54"/>
      <c r="H18" s="54"/>
    </row>
    <row r="19" spans="1:13">
      <c r="A19" s="9" t="s">
        <v>24</v>
      </c>
      <c r="C19" s="53"/>
      <c r="D19" s="54"/>
      <c r="E19" s="54"/>
      <c r="F19" s="54"/>
      <c r="G19" s="54"/>
      <c r="H19" s="54"/>
    </row>
    <row r="20" spans="1:13">
      <c r="A20" s="10" t="s">
        <v>25</v>
      </c>
      <c r="C20" s="53">
        <f>7457913+72000</f>
        <v>7529913</v>
      </c>
      <c r="D20" s="54">
        <f>Specialty!D10</f>
        <v>5717907.737682567</v>
      </c>
      <c r="E20" s="54">
        <f>Specialty!F10</f>
        <v>5889860.2701726146</v>
      </c>
      <c r="F20" s="54">
        <f>Specialty!H10</f>
        <v>6374941.0235207984</v>
      </c>
      <c r="G20" s="54"/>
      <c r="H20" s="54">
        <f>Specialty!J10</f>
        <v>5535218</v>
      </c>
      <c r="J20" s="191">
        <f>F20-6295260</f>
        <v>79681.023520798422</v>
      </c>
    </row>
    <row r="21" spans="1:13">
      <c r="A21" s="10" t="s">
        <v>33</v>
      </c>
      <c r="C21" s="53">
        <f>13133263-C20</f>
        <v>5603350</v>
      </c>
      <c r="D21" s="54">
        <f>SUM(API!F6+API!F39)</f>
        <v>5874237.8500572154</v>
      </c>
      <c r="E21" s="54">
        <f>API!I49</f>
        <v>5913612.7289687898</v>
      </c>
      <c r="F21" s="54">
        <f>API!L39+API!L6</f>
        <v>4999473.4518598318</v>
      </c>
      <c r="G21" s="54"/>
      <c r="H21" s="54">
        <f>API!N39+API!N6</f>
        <v>5097344</v>
      </c>
      <c r="J21" s="191">
        <f>F21-4831576</f>
        <v>167897.45185983181</v>
      </c>
      <c r="M21" s="41"/>
    </row>
    <row r="22" spans="1:13">
      <c r="A22" s="9" t="s">
        <v>34</v>
      </c>
      <c r="C22" s="55">
        <f t="shared" ref="C22" si="4">SUM(C20:C21)</f>
        <v>13133263</v>
      </c>
      <c r="D22" s="52">
        <f>SUM(D20:D21)</f>
        <v>11592145.587739782</v>
      </c>
      <c r="E22" s="52">
        <f t="shared" ref="E22:F22" si="5">SUM(E20:E21)</f>
        <v>11803472.999141404</v>
      </c>
      <c r="F22" s="52">
        <f t="shared" si="5"/>
        <v>11374414.475380629</v>
      </c>
      <c r="G22" s="54"/>
      <c r="H22" s="52">
        <f>SUM(H20:H21)</f>
        <v>10632562</v>
      </c>
      <c r="J22" s="191">
        <f>SUM(J20:J21)</f>
        <v>247578.47538063023</v>
      </c>
      <c r="L22" s="165"/>
    </row>
    <row r="23" spans="1:13">
      <c r="A23" s="10"/>
      <c r="C23" s="53"/>
      <c r="D23" s="54"/>
      <c r="E23" s="54"/>
      <c r="F23" s="54"/>
      <c r="G23" s="54"/>
      <c r="H23" s="54"/>
    </row>
    <row r="24" spans="1:13">
      <c r="A24" s="9" t="s">
        <v>56</v>
      </c>
      <c r="C24" s="53"/>
      <c r="D24" s="54"/>
      <c r="E24" s="54"/>
      <c r="F24" s="54"/>
      <c r="G24" s="54"/>
      <c r="H24" s="54"/>
    </row>
    <row r="25" spans="1:13">
      <c r="A25" s="10" t="s">
        <v>35</v>
      </c>
      <c r="C25" s="53">
        <v>0</v>
      </c>
      <c r="D25" s="54">
        <v>0</v>
      </c>
      <c r="E25" s="54"/>
      <c r="F25" s="54"/>
      <c r="G25" s="54"/>
      <c r="H25" s="54">
        <f>CMDS!K25</f>
        <v>70883</v>
      </c>
    </row>
    <row r="26" spans="1:13">
      <c r="A26" s="10" t="s">
        <v>29</v>
      </c>
      <c r="C26" s="53">
        <v>792959</v>
      </c>
      <c r="D26" s="54">
        <f>CMDS!E24</f>
        <v>694013</v>
      </c>
      <c r="E26" s="54">
        <f>CMDS!G24</f>
        <v>694013</v>
      </c>
      <c r="F26" s="54">
        <f>CMDS!I24</f>
        <v>651657</v>
      </c>
      <c r="G26" s="54"/>
      <c r="H26" s="54">
        <f>CMDS!K24</f>
        <v>662956</v>
      </c>
      <c r="J26" s="191">
        <f>F26-636892</f>
        <v>14765</v>
      </c>
    </row>
    <row r="27" spans="1:13">
      <c r="A27" s="10" t="s">
        <v>30</v>
      </c>
      <c r="C27" s="53">
        <v>3126903</v>
      </c>
      <c r="D27" s="54">
        <f>CMDS!E16</f>
        <v>2576083.9700000002</v>
      </c>
      <c r="E27" s="54">
        <f>CMDS!G16</f>
        <v>2576084</v>
      </c>
      <c r="F27" s="54">
        <f>CMDS!I16</f>
        <v>2034400</v>
      </c>
      <c r="G27" s="54"/>
      <c r="H27" s="54">
        <f>CMDS!K16</f>
        <v>2406001</v>
      </c>
      <c r="J27" s="191">
        <f>F27-1988802</f>
        <v>45598</v>
      </c>
    </row>
    <row r="28" spans="1:13">
      <c r="A28" s="9" t="s">
        <v>36</v>
      </c>
      <c r="C28" s="55">
        <f>SUM(C25:C27)</f>
        <v>3919862</v>
      </c>
      <c r="D28" s="52">
        <f>SUM(D25:D27)</f>
        <v>3270096.97</v>
      </c>
      <c r="E28" s="52">
        <f t="shared" ref="E28:F28" si="6">SUM(E25:E27)</f>
        <v>3270097</v>
      </c>
      <c r="F28" s="52">
        <f t="shared" si="6"/>
        <v>2686057</v>
      </c>
      <c r="G28" s="52"/>
      <c r="H28" s="52">
        <f>SUM(H25:H27)</f>
        <v>3139840</v>
      </c>
      <c r="J28" s="191">
        <f>SUM(J26:J27)</f>
        <v>60363</v>
      </c>
      <c r="L28" s="165"/>
    </row>
    <row r="29" spans="1:13">
      <c r="A29" s="10"/>
      <c r="C29" s="53"/>
      <c r="D29" s="54"/>
      <c r="E29" s="54"/>
      <c r="F29" s="54"/>
      <c r="G29" s="54"/>
      <c r="H29" s="54"/>
    </row>
    <row r="30" spans="1:13">
      <c r="A30" s="9" t="s">
        <v>37</v>
      </c>
      <c r="C30" s="53"/>
      <c r="D30" s="54"/>
      <c r="E30" s="54"/>
      <c r="F30" s="54"/>
      <c r="G30" s="54"/>
      <c r="H30" s="54"/>
    </row>
    <row r="31" spans="1:13">
      <c r="A31" s="10" t="s">
        <v>38</v>
      </c>
      <c r="C31" s="53">
        <v>18000000</v>
      </c>
      <c r="D31" s="53">
        <v>18000000</v>
      </c>
      <c r="E31" s="54">
        <f>Nuclear!F2</f>
        <v>19250000</v>
      </c>
      <c r="F31" s="54">
        <f>Nuclear!H2</f>
        <v>21619608.208000001</v>
      </c>
      <c r="G31" s="54"/>
      <c r="H31" s="54">
        <f>Nuclear!J2</f>
        <v>20172766</v>
      </c>
      <c r="J31" s="191">
        <f>F31-21200000</f>
        <v>419608.20800000057</v>
      </c>
    </row>
    <row r="32" spans="1:13">
      <c r="A32" s="10" t="s">
        <v>39</v>
      </c>
      <c r="C32" s="53">
        <v>0</v>
      </c>
      <c r="D32" s="54">
        <v>0</v>
      </c>
      <c r="E32" s="54">
        <v>0</v>
      </c>
      <c r="F32" s="54">
        <v>0</v>
      </c>
      <c r="G32" s="54"/>
      <c r="H32" s="54"/>
    </row>
    <row r="33" spans="1:12">
      <c r="A33" s="9" t="s">
        <v>40</v>
      </c>
      <c r="C33" s="55">
        <f t="shared" ref="C33:D33" si="7">SUM(C31:C32)</f>
        <v>18000000</v>
      </c>
      <c r="D33" s="55">
        <f t="shared" si="7"/>
        <v>18000000</v>
      </c>
      <c r="E33" s="52">
        <f>E31</f>
        <v>19250000</v>
      </c>
      <c r="F33" s="52">
        <f>F31</f>
        <v>21619608.208000001</v>
      </c>
      <c r="G33" s="52"/>
      <c r="H33" s="52">
        <f>H31</f>
        <v>20172766</v>
      </c>
      <c r="J33" s="191">
        <f>J31</f>
        <v>419608.20800000057</v>
      </c>
      <c r="L33" s="165"/>
    </row>
    <row r="34" spans="1:12">
      <c r="A34" s="12"/>
      <c r="C34" s="55"/>
      <c r="D34" s="54"/>
      <c r="E34" s="54"/>
      <c r="F34" s="54"/>
      <c r="G34" s="54"/>
      <c r="H34" s="54"/>
    </row>
    <row r="35" spans="1:12">
      <c r="A35" s="12" t="s">
        <v>41</v>
      </c>
      <c r="C35" s="55">
        <f t="shared" ref="C35" si="8">C33+C28+C22</f>
        <v>35053125</v>
      </c>
      <c r="D35" s="55">
        <f>D33+D28+D22</f>
        <v>32862242.557739779</v>
      </c>
      <c r="E35" s="55">
        <f t="shared" ref="E35:F35" si="9">E33+E28+E22</f>
        <v>34323569.999141403</v>
      </c>
      <c r="F35" s="55">
        <f t="shared" si="9"/>
        <v>35680079.683380634</v>
      </c>
      <c r="G35" s="54"/>
      <c r="H35" s="52">
        <f>H33+H28+H22</f>
        <v>33945168</v>
      </c>
      <c r="J35" s="191">
        <f>J31+J28+J22</f>
        <v>727549.6833806308</v>
      </c>
    </row>
    <row r="36" spans="1:12">
      <c r="C36" s="54"/>
      <c r="D36" s="54"/>
      <c r="E36" s="54"/>
      <c r="F36" s="54"/>
      <c r="G36" s="54"/>
      <c r="H36" s="54"/>
    </row>
    <row r="37" spans="1:12">
      <c r="A37" s="8" t="s">
        <v>42</v>
      </c>
      <c r="C37" s="57">
        <f t="shared" ref="C37" si="10">C35+C16</f>
        <v>38075085</v>
      </c>
      <c r="D37" s="52">
        <f>D35+D16</f>
        <v>35780336.557739779</v>
      </c>
      <c r="E37" s="52">
        <f t="shared" ref="E37:F37" si="11">E35+E16</f>
        <v>37090669.999141403</v>
      </c>
      <c r="F37" s="52">
        <f t="shared" si="11"/>
        <v>38575037.683380634</v>
      </c>
      <c r="G37" s="54"/>
      <c r="H37" s="52">
        <f>H35+H16</f>
        <v>36528267</v>
      </c>
      <c r="J37" s="191">
        <f>F37-37657125</f>
        <v>917912.68338063359</v>
      </c>
      <c r="L37" s="165"/>
    </row>
    <row r="39" spans="1:12">
      <c r="J39" s="191"/>
    </row>
  </sheetData>
  <printOptions gridLines="1"/>
  <pageMargins left="0.7" right="0.7" top="0.75" bottom="0.75" header="0.3" footer="0.3"/>
  <pageSetup scale="90" orientation="landscape" r:id="rId1"/>
  <headerFooter>
    <oddHeader>&amp;C&amp;"-,Bold"Transportation Forecasts March 2011</oddHeader>
    <oddFooter>&amp;R&amp;D</oddFooter>
  </headerFooter>
</worksheet>
</file>

<file path=xl/worksheets/sheet2.xml><?xml version="1.0" encoding="utf-8"?>
<worksheet xmlns="http://schemas.openxmlformats.org/spreadsheetml/2006/main" xmlns:r="http://schemas.openxmlformats.org/officeDocument/2006/relationships">
  <dimension ref="A1:R62"/>
  <sheetViews>
    <sheetView zoomScaleNormal="100" workbookViewId="0">
      <pane ySplit="1" topLeftCell="A2" activePane="bottomLeft" state="frozen"/>
      <selection pane="bottomLeft" activeCell="A23" sqref="A23:C45"/>
    </sheetView>
  </sheetViews>
  <sheetFormatPr defaultRowHeight="14.25"/>
  <cols>
    <col min="1" max="1" width="15.140625" style="95" customWidth="1"/>
    <col min="2" max="2" width="17.5703125" style="87" bestFit="1" customWidth="1"/>
    <col min="3" max="3" width="13.28515625" style="87" customWidth="1"/>
    <col min="4" max="4" width="12.140625" style="87" customWidth="1"/>
    <col min="5" max="5" width="14.28515625" style="87" customWidth="1"/>
    <col min="6" max="6" width="12.5703125" style="95" customWidth="1"/>
    <col min="7" max="7" width="0.7109375" style="95" customWidth="1"/>
    <col min="8" max="8" width="14" style="95" customWidth="1"/>
    <col min="9" max="9" width="13.85546875" style="95" customWidth="1"/>
    <col min="10" max="10" width="0.7109375" style="95" customWidth="1"/>
    <col min="11" max="11" width="12.7109375" style="95" bestFit="1" customWidth="1"/>
    <col min="12" max="12" width="15.85546875" style="95" bestFit="1" customWidth="1"/>
    <col min="13" max="13" width="0.7109375" style="95" customWidth="1"/>
    <col min="14" max="14" width="12.85546875" style="95" bestFit="1" customWidth="1"/>
    <col min="15" max="15" width="1.7109375" style="95" customWidth="1"/>
    <col min="16" max="16" width="12.7109375" style="95" bestFit="1" customWidth="1"/>
    <col min="17" max="17" width="9.140625" style="95"/>
    <col min="18" max="18" width="12.7109375" style="95" bestFit="1" customWidth="1"/>
    <col min="19" max="16384" width="9.140625" style="95"/>
  </cols>
  <sheetData>
    <row r="1" spans="1:18" ht="48.75">
      <c r="A1" s="69" t="s">
        <v>50</v>
      </c>
      <c r="B1" s="3"/>
      <c r="C1" s="3"/>
      <c r="D1" s="121" t="s">
        <v>46</v>
      </c>
      <c r="E1" s="121" t="s">
        <v>172</v>
      </c>
      <c r="F1" s="58" t="s">
        <v>44</v>
      </c>
      <c r="G1" s="122"/>
      <c r="H1" s="58" t="s">
        <v>173</v>
      </c>
      <c r="I1" s="122" t="s">
        <v>45</v>
      </c>
      <c r="J1" s="122"/>
      <c r="K1" s="58" t="s">
        <v>20</v>
      </c>
      <c r="L1" s="122" t="s">
        <v>174</v>
      </c>
      <c r="M1" s="123"/>
      <c r="N1" s="124" t="s">
        <v>43</v>
      </c>
    </row>
    <row r="2" spans="1:18" ht="15">
      <c r="A2" s="70" t="s">
        <v>0</v>
      </c>
      <c r="C2" s="24"/>
      <c r="D2" s="96"/>
      <c r="E2" s="96"/>
      <c r="F2" s="96"/>
      <c r="G2" s="96"/>
      <c r="H2" s="96"/>
      <c r="I2" s="96"/>
      <c r="J2" s="96"/>
      <c r="K2" s="96"/>
      <c r="L2" s="96"/>
      <c r="M2" s="96"/>
      <c r="N2" s="87"/>
      <c r="O2" s="87"/>
    </row>
    <row r="3" spans="1:18">
      <c r="A3" s="5"/>
      <c r="B3" s="1" t="s">
        <v>1</v>
      </c>
      <c r="C3" s="3" t="s">
        <v>2</v>
      </c>
      <c r="D3" s="71"/>
      <c r="E3" s="72">
        <v>9386</v>
      </c>
      <c r="F3" s="67">
        <v>54987.894076173499</v>
      </c>
      <c r="G3" s="67"/>
      <c r="H3" s="64">
        <v>10813</v>
      </c>
      <c r="I3" s="115">
        <v>66827.501901470008</v>
      </c>
      <c r="J3" s="3"/>
      <c r="K3" s="194">
        <v>10403</v>
      </c>
      <c r="L3" s="195">
        <v>74065</v>
      </c>
      <c r="M3" s="87"/>
      <c r="N3" s="87"/>
      <c r="O3" s="87"/>
      <c r="P3" s="179"/>
    </row>
    <row r="4" spans="1:18">
      <c r="A4" s="5"/>
      <c r="B4" s="3"/>
      <c r="C4" s="3" t="s">
        <v>175</v>
      </c>
      <c r="D4" s="71"/>
      <c r="E4" s="72">
        <v>27893.352907469256</v>
      </c>
      <c r="F4" s="67">
        <v>88456</v>
      </c>
      <c r="G4" s="67"/>
      <c r="H4" s="64">
        <v>25118</v>
      </c>
      <c r="I4" s="65">
        <v>74424.634000000005</v>
      </c>
      <c r="J4" s="3"/>
      <c r="K4" s="116">
        <v>20748</v>
      </c>
      <c r="L4" s="65">
        <v>64681.71</v>
      </c>
      <c r="M4" s="87"/>
      <c r="N4" s="87"/>
      <c r="O4" s="87"/>
      <c r="P4" s="179"/>
    </row>
    <row r="5" spans="1:18">
      <c r="A5" s="5"/>
      <c r="B5" s="3"/>
      <c r="C5" s="3" t="s">
        <v>4</v>
      </c>
      <c r="D5" s="71"/>
      <c r="E5" s="72">
        <v>26410.605223356004</v>
      </c>
      <c r="F5" s="67">
        <v>35390</v>
      </c>
      <c r="G5" s="67"/>
      <c r="H5" s="64">
        <v>24411</v>
      </c>
      <c r="I5" s="65">
        <v>30391.695000000003</v>
      </c>
      <c r="J5" s="3"/>
      <c r="K5" s="116">
        <v>20395</v>
      </c>
      <c r="L5" s="65">
        <v>28102.880000000001</v>
      </c>
      <c r="M5" s="87"/>
      <c r="N5" s="87"/>
      <c r="O5" s="87"/>
      <c r="P5" s="179"/>
    </row>
    <row r="6" spans="1:18" s="107" customFormat="1" ht="15">
      <c r="A6" s="111"/>
      <c r="B6" s="73" t="s">
        <v>5</v>
      </c>
      <c r="C6" s="74"/>
      <c r="D6" s="89">
        <v>152401</v>
      </c>
      <c r="E6" s="90">
        <f>SUM(E3:E5)</f>
        <v>63689.95813082526</v>
      </c>
      <c r="F6" s="91">
        <f>SUM(F3:F5)</f>
        <v>178833.89407617348</v>
      </c>
      <c r="G6" s="85"/>
      <c r="H6" s="92">
        <f>SUM(H3:H5)</f>
        <v>60342</v>
      </c>
      <c r="I6" s="93">
        <f>SUM(I3:I5)</f>
        <v>171643.83090147004</v>
      </c>
      <c r="J6" s="75"/>
      <c r="K6" s="82">
        <f>SUM(K3:K5)</f>
        <v>51546</v>
      </c>
      <c r="L6" s="93">
        <f>SUM(L3:L5)</f>
        <v>166849.59</v>
      </c>
      <c r="M6" s="26"/>
      <c r="N6" s="80">
        <v>289204</v>
      </c>
      <c r="O6" s="75"/>
      <c r="P6" s="93"/>
      <c r="Q6" s="193"/>
      <c r="R6" s="192"/>
    </row>
    <row r="7" spans="1:18" ht="15">
      <c r="A7" s="75" t="s">
        <v>6</v>
      </c>
      <c r="B7" s="1"/>
      <c r="C7" s="3"/>
      <c r="F7" s="87"/>
      <c r="G7" s="87"/>
      <c r="H7" s="87"/>
      <c r="I7" s="87"/>
      <c r="J7" s="87"/>
      <c r="K7" s="87"/>
      <c r="L7" s="87"/>
      <c r="M7" s="87"/>
      <c r="N7" s="97"/>
      <c r="O7" s="87"/>
    </row>
    <row r="8" spans="1:18">
      <c r="A8" s="26" t="s">
        <v>7</v>
      </c>
      <c r="B8" s="1"/>
      <c r="C8" s="1"/>
      <c r="F8" s="87"/>
      <c r="G8" s="87"/>
      <c r="H8" s="87"/>
      <c r="I8" s="87"/>
      <c r="J8" s="87"/>
      <c r="L8" s="161"/>
      <c r="M8" s="87"/>
      <c r="N8" s="99"/>
    </row>
    <row r="9" spans="1:18">
      <c r="A9" s="3"/>
      <c r="B9" s="3"/>
      <c r="C9" s="3" t="s">
        <v>8</v>
      </c>
      <c r="E9" s="72">
        <v>540.76732945448589</v>
      </c>
      <c r="F9" s="71">
        <v>9246.4261605690881</v>
      </c>
      <c r="G9" s="3"/>
      <c r="H9" s="64">
        <v>329</v>
      </c>
      <c r="I9" s="65">
        <v>5615</v>
      </c>
      <c r="J9" s="3"/>
      <c r="K9" s="3">
        <v>312</v>
      </c>
      <c r="L9" s="65">
        <v>5855</v>
      </c>
      <c r="M9" s="87"/>
      <c r="N9" s="100"/>
      <c r="P9" s="179"/>
    </row>
    <row r="10" spans="1:18">
      <c r="A10" s="3"/>
      <c r="B10" s="3"/>
      <c r="C10" s="3" t="s">
        <v>2</v>
      </c>
      <c r="E10" s="72">
        <v>195560.56488852744</v>
      </c>
      <c r="F10" s="71">
        <v>565914.36491832556</v>
      </c>
      <c r="G10" s="3"/>
      <c r="H10" s="64">
        <v>193075.83891879072</v>
      </c>
      <c r="I10" s="65">
        <v>562080.69792615122</v>
      </c>
      <c r="J10" s="3"/>
      <c r="K10" s="196">
        <v>202603.56250115953</v>
      </c>
      <c r="L10" s="195">
        <v>636511.42601060471</v>
      </c>
      <c r="M10" s="87"/>
      <c r="P10" s="179"/>
    </row>
    <row r="11" spans="1:18">
      <c r="A11" s="3"/>
      <c r="B11" s="76"/>
      <c r="C11" s="3" t="s">
        <v>9</v>
      </c>
      <c r="E11" s="72">
        <v>2713231.2729677688</v>
      </c>
      <c r="F11" s="71">
        <v>853217.51839758537</v>
      </c>
      <c r="G11" s="3"/>
      <c r="H11" s="64">
        <v>2217211.9764209534</v>
      </c>
      <c r="I11" s="65">
        <v>596249.00427289028</v>
      </c>
      <c r="J11" s="3"/>
      <c r="K11" s="196">
        <v>2217211.9764209534</v>
      </c>
      <c r="L11" s="195">
        <v>633684.81988215074</v>
      </c>
      <c r="M11" s="87"/>
      <c r="N11" s="100"/>
      <c r="P11" s="179"/>
    </row>
    <row r="12" spans="1:18">
      <c r="A12" s="3"/>
      <c r="B12" s="3"/>
      <c r="C12" s="3" t="s">
        <v>10</v>
      </c>
      <c r="E12" s="72">
        <v>2979852</v>
      </c>
      <c r="F12" s="71">
        <v>361158</v>
      </c>
      <c r="G12" s="3"/>
      <c r="H12" s="64">
        <v>1347956</v>
      </c>
      <c r="I12" s="65">
        <v>205654</v>
      </c>
      <c r="J12" s="3"/>
      <c r="K12" s="64">
        <v>1342458</v>
      </c>
      <c r="L12" s="113">
        <v>222503</v>
      </c>
      <c r="M12" s="87"/>
      <c r="N12" s="100"/>
      <c r="P12" s="179"/>
    </row>
    <row r="13" spans="1:18">
      <c r="A13" s="3"/>
      <c r="B13" s="77" t="s">
        <v>132</v>
      </c>
      <c r="C13" s="3" t="s">
        <v>175</v>
      </c>
      <c r="E13" s="72">
        <v>1080.5070614179356</v>
      </c>
      <c r="F13" s="71">
        <v>26729.682075371107</v>
      </c>
      <c r="G13" s="3"/>
      <c r="H13" s="64">
        <v>1915.1340778872259</v>
      </c>
      <c r="I13" s="65">
        <v>49410.901763671958</v>
      </c>
      <c r="J13" s="3"/>
      <c r="K13" s="197">
        <v>1915.1340778872259</v>
      </c>
      <c r="L13" s="195">
        <v>52395.615967076061</v>
      </c>
      <c r="M13" s="87"/>
      <c r="N13" s="100"/>
      <c r="P13" s="179"/>
    </row>
    <row r="14" spans="1:18">
      <c r="A14" s="3"/>
      <c r="B14" s="3"/>
      <c r="C14" s="3" t="s">
        <v>3</v>
      </c>
      <c r="E14" s="72">
        <v>545.9989449888933</v>
      </c>
      <c r="F14" s="71">
        <v>17117.342113709656</v>
      </c>
      <c r="G14" s="3"/>
      <c r="H14" s="64">
        <v>329</v>
      </c>
      <c r="I14" s="65">
        <v>10297</v>
      </c>
      <c r="J14" s="3"/>
      <c r="K14" s="72">
        <v>312</v>
      </c>
      <c r="L14" s="65">
        <v>9976</v>
      </c>
      <c r="M14" s="87"/>
      <c r="N14" s="100"/>
      <c r="P14" s="179"/>
    </row>
    <row r="15" spans="1:18">
      <c r="A15" s="3"/>
      <c r="B15" s="3"/>
      <c r="C15" s="3" t="s">
        <v>11</v>
      </c>
      <c r="E15" s="72">
        <v>23679.779560223717</v>
      </c>
      <c r="F15" s="71">
        <v>18165.010032249105</v>
      </c>
      <c r="G15" s="3"/>
      <c r="H15" s="64">
        <v>2070</v>
      </c>
      <c r="I15" s="65">
        <v>1588</v>
      </c>
      <c r="J15" s="3"/>
      <c r="K15" s="72">
        <v>1952</v>
      </c>
      <c r="L15" s="65">
        <v>1722</v>
      </c>
      <c r="M15" s="87"/>
      <c r="N15" s="100"/>
      <c r="P15" s="179"/>
    </row>
    <row r="16" spans="1:18">
      <c r="A16" s="3"/>
      <c r="B16" s="3"/>
      <c r="C16" s="3" t="s">
        <v>4</v>
      </c>
      <c r="E16" s="72">
        <v>10706390.817488404</v>
      </c>
      <c r="F16" s="71">
        <v>1220764.8580942855</v>
      </c>
      <c r="G16" s="3"/>
      <c r="H16" s="64">
        <v>6149311</v>
      </c>
      <c r="I16" s="65">
        <v>661980</v>
      </c>
      <c r="J16" s="3"/>
      <c r="K16" s="114">
        <v>6114334</v>
      </c>
      <c r="L16" s="113">
        <v>731263</v>
      </c>
      <c r="M16" s="87"/>
      <c r="N16" s="100"/>
      <c r="P16" s="179"/>
    </row>
    <row r="17" spans="1:18">
      <c r="A17" s="3"/>
      <c r="B17" s="3"/>
      <c r="C17" s="3" t="s">
        <v>137</v>
      </c>
      <c r="E17" s="72"/>
      <c r="F17" s="71">
        <v>0</v>
      </c>
      <c r="G17" s="3"/>
      <c r="H17" s="64"/>
      <c r="I17" s="65">
        <v>0</v>
      </c>
      <c r="J17" s="3"/>
      <c r="K17" s="114"/>
      <c r="L17" s="113">
        <v>0</v>
      </c>
      <c r="M17" s="87"/>
      <c r="N17" s="100"/>
    </row>
    <row r="18" spans="1:18">
      <c r="A18" s="3"/>
      <c r="B18" s="79" t="s">
        <v>132</v>
      </c>
      <c r="C18" s="4" t="s">
        <v>51</v>
      </c>
      <c r="E18" s="72"/>
      <c r="F18" s="71">
        <v>0</v>
      </c>
      <c r="G18" s="3"/>
      <c r="H18" s="64">
        <v>185507.33261446888</v>
      </c>
      <c r="I18" s="65">
        <v>0</v>
      </c>
      <c r="J18" s="3"/>
      <c r="K18" s="114">
        <v>150477.36879436905</v>
      </c>
      <c r="L18" s="113">
        <v>0</v>
      </c>
      <c r="M18" s="87"/>
      <c r="N18" s="99"/>
    </row>
    <row r="19" spans="1:18">
      <c r="A19" s="3"/>
      <c r="B19" s="4"/>
      <c r="C19" s="4" t="s">
        <v>51</v>
      </c>
      <c r="D19" s="46"/>
      <c r="E19" s="47"/>
      <c r="F19" s="22">
        <v>0</v>
      </c>
      <c r="G19" s="3"/>
      <c r="H19" s="64">
        <v>7046311</v>
      </c>
      <c r="I19" s="65">
        <v>0</v>
      </c>
      <c r="J19" s="3"/>
      <c r="K19" s="114">
        <v>7017888</v>
      </c>
      <c r="L19" s="65" t="s">
        <v>133</v>
      </c>
      <c r="M19" s="87"/>
      <c r="N19" s="99"/>
    </row>
    <row r="20" spans="1:18" s="110" customFormat="1" ht="12.75">
      <c r="A20" s="94"/>
      <c r="B20" s="26" t="s">
        <v>12</v>
      </c>
      <c r="C20" s="108"/>
      <c r="D20" s="89">
        <v>3506401</v>
      </c>
      <c r="E20" s="83">
        <f>SUM(E9:E19)</f>
        <v>16620881.708240785</v>
      </c>
      <c r="F20" s="80">
        <f>SUM(F9:F19)</f>
        <v>3072313.2017920949</v>
      </c>
      <c r="G20" s="80"/>
      <c r="H20" s="83">
        <f>SUM(H9:H19)</f>
        <v>17144016.282032102</v>
      </c>
      <c r="I20" s="80">
        <f>SUM(I9:I19)</f>
        <v>2092874.6039627134</v>
      </c>
      <c r="J20" s="94"/>
      <c r="K20" s="92">
        <f>SUM(K9:K19)</f>
        <v>17049464.041794367</v>
      </c>
      <c r="L20" s="109">
        <f>SUM(L9:L19)</f>
        <v>2293910.8618598315</v>
      </c>
      <c r="M20" s="94"/>
      <c r="N20" s="84">
        <v>2664906</v>
      </c>
      <c r="P20" s="178"/>
      <c r="R20" s="178"/>
    </row>
    <row r="21" spans="1:18">
      <c r="A21" s="3"/>
      <c r="F21" s="87"/>
      <c r="G21" s="87"/>
      <c r="H21" s="87"/>
      <c r="I21" s="87"/>
      <c r="J21" s="87"/>
      <c r="K21" s="87"/>
      <c r="L21" s="87"/>
      <c r="M21" s="87"/>
      <c r="N21" s="99"/>
    </row>
    <row r="22" spans="1:18">
      <c r="A22" s="3"/>
      <c r="B22" s="1"/>
      <c r="C22" s="3"/>
      <c r="F22" s="87"/>
      <c r="G22" s="87"/>
      <c r="H22" s="101"/>
      <c r="I22" s="87"/>
      <c r="J22" s="87"/>
      <c r="K22" s="101"/>
      <c r="L22" s="87"/>
      <c r="M22" s="87"/>
      <c r="N22" s="99"/>
    </row>
    <row r="23" spans="1:18">
      <c r="A23" s="74" t="s">
        <v>13</v>
      </c>
      <c r="B23" s="74" t="s">
        <v>14</v>
      </c>
      <c r="C23" s="28"/>
      <c r="D23" s="103"/>
      <c r="E23" s="103"/>
      <c r="F23" s="103"/>
      <c r="G23" s="103"/>
      <c r="H23" s="181"/>
      <c r="I23" s="181"/>
      <c r="J23" s="103"/>
      <c r="K23" s="181"/>
      <c r="L23" s="103"/>
      <c r="M23" s="87"/>
      <c r="N23" s="99"/>
    </row>
    <row r="24" spans="1:18">
      <c r="A24" s="28"/>
      <c r="B24" s="74"/>
      <c r="C24" s="28" t="s">
        <v>2</v>
      </c>
      <c r="D24" s="28"/>
      <c r="E24" s="114">
        <v>11701.930222253646</v>
      </c>
      <c r="F24" s="113">
        <v>40567.523271476835</v>
      </c>
      <c r="G24" s="28"/>
      <c r="H24" s="114">
        <v>20638.738187324197</v>
      </c>
      <c r="I24" s="113">
        <v>119498.29410460711</v>
      </c>
      <c r="J24" s="114"/>
      <c r="K24" s="198">
        <v>20638.738187324197</v>
      </c>
      <c r="L24" s="199">
        <v>141169</v>
      </c>
      <c r="M24" s="87"/>
      <c r="N24" s="99"/>
      <c r="P24" s="179"/>
    </row>
    <row r="25" spans="1:18">
      <c r="A25" s="28"/>
      <c r="B25" s="74"/>
      <c r="C25" s="28" t="s">
        <v>9</v>
      </c>
      <c r="D25" s="28"/>
      <c r="E25" s="114">
        <v>1357070.0819167469</v>
      </c>
      <c r="F25" s="113">
        <v>387304.23205614078</v>
      </c>
      <c r="G25" s="28"/>
      <c r="H25" s="114">
        <v>2388980</v>
      </c>
      <c r="I25" s="113">
        <v>591370</v>
      </c>
      <c r="J25" s="114"/>
      <c r="K25" s="198">
        <v>2388980.3586846469</v>
      </c>
      <c r="L25" s="199">
        <v>654104</v>
      </c>
      <c r="M25" s="87"/>
      <c r="N25" s="99"/>
      <c r="P25" s="179"/>
    </row>
    <row r="26" spans="1:18" ht="15">
      <c r="A26" s="28"/>
      <c r="B26" s="74"/>
      <c r="C26" s="74" t="s">
        <v>136</v>
      </c>
      <c r="D26" s="182"/>
      <c r="E26" s="125">
        <f>SUM(E24:E25)</f>
        <v>1368772.0121390005</v>
      </c>
      <c r="F26" s="57">
        <f>SUM(F24:F25)</f>
        <v>427871.75532761763</v>
      </c>
      <c r="G26" s="73"/>
      <c r="H26" s="90">
        <f>SUM(H24:H25)</f>
        <v>2409618.7381873243</v>
      </c>
      <c r="I26" s="57">
        <f>SUM(I24:I25)</f>
        <v>710868.29410460708</v>
      </c>
      <c r="J26" s="90"/>
      <c r="K26" s="90">
        <f>SUM(K24:K25)</f>
        <v>2409619.0968719712</v>
      </c>
      <c r="L26" s="57">
        <f>SUM(L24:L25)</f>
        <v>795273</v>
      </c>
      <c r="M26" s="87"/>
      <c r="N26" s="99"/>
      <c r="P26" s="179"/>
    </row>
    <row r="27" spans="1:18">
      <c r="A27" s="28"/>
      <c r="B27" s="74" t="s">
        <v>15</v>
      </c>
      <c r="C27" s="28"/>
      <c r="D27" s="103"/>
      <c r="E27" s="103"/>
      <c r="F27" s="103"/>
      <c r="G27" s="103"/>
      <c r="H27" s="103"/>
      <c r="I27" s="103"/>
      <c r="J27" s="103"/>
      <c r="K27" s="103"/>
      <c r="L27" s="103"/>
      <c r="M27" s="87"/>
      <c r="N27" s="99"/>
    </row>
    <row r="28" spans="1:18">
      <c r="A28" s="28"/>
      <c r="B28" s="28"/>
      <c r="C28" s="28" t="s">
        <v>4</v>
      </c>
      <c r="D28" s="103"/>
      <c r="E28" s="66">
        <v>7499190.2342035193</v>
      </c>
      <c r="F28" s="183">
        <v>1401591.2709583947</v>
      </c>
      <c r="G28" s="103"/>
      <c r="H28" s="28">
        <v>6280635</v>
      </c>
      <c r="I28" s="28">
        <v>1318933</v>
      </c>
      <c r="J28" s="28"/>
      <c r="K28" s="198">
        <v>6280634.570676391</v>
      </c>
      <c r="L28" s="199">
        <v>1522708</v>
      </c>
      <c r="M28" s="87"/>
      <c r="N28" s="99"/>
      <c r="P28" s="179"/>
    </row>
    <row r="29" spans="1:18">
      <c r="A29" s="28"/>
      <c r="B29" s="28"/>
      <c r="C29" s="28" t="s">
        <v>2</v>
      </c>
      <c r="D29" s="103"/>
      <c r="E29" s="66">
        <v>20540.121967362233</v>
      </c>
      <c r="F29" s="183">
        <v>57968.401089079067</v>
      </c>
      <c r="G29" s="103"/>
      <c r="H29" s="28">
        <v>19225</v>
      </c>
      <c r="I29" s="28">
        <v>44025</v>
      </c>
      <c r="J29" s="28"/>
      <c r="K29" s="198">
        <v>19224.838881188822</v>
      </c>
      <c r="L29" s="199">
        <v>51069</v>
      </c>
      <c r="M29" s="87"/>
      <c r="N29" s="99"/>
      <c r="P29" s="179"/>
    </row>
    <row r="30" spans="1:18">
      <c r="A30" s="28"/>
      <c r="B30" s="28"/>
      <c r="C30" s="28" t="s">
        <v>9</v>
      </c>
      <c r="D30" s="103"/>
      <c r="E30" s="66">
        <v>755679.34604150255</v>
      </c>
      <c r="F30" s="183">
        <v>307787.57148623792</v>
      </c>
      <c r="G30" s="103"/>
      <c r="H30" s="28">
        <v>651673</v>
      </c>
      <c r="I30" s="28">
        <v>122515</v>
      </c>
      <c r="J30" s="28"/>
      <c r="K30" s="198">
        <v>651673.14357044862</v>
      </c>
      <c r="L30" s="199">
        <v>143629</v>
      </c>
      <c r="M30" s="87"/>
      <c r="N30" s="99"/>
      <c r="P30" s="179"/>
    </row>
    <row r="31" spans="1:18">
      <c r="A31" s="28"/>
      <c r="B31" s="28"/>
      <c r="C31" s="73" t="s">
        <v>135</v>
      </c>
      <c r="D31" s="73"/>
      <c r="E31" s="184">
        <f>SUM(E28:E30)</f>
        <v>8275409.702212384</v>
      </c>
      <c r="F31" s="57">
        <f>SUM(F28:F30)</f>
        <v>1767347.2435337116</v>
      </c>
      <c r="G31" s="73"/>
      <c r="H31" s="90">
        <f>SUM(H28:H30)</f>
        <v>6951533</v>
      </c>
      <c r="I31" s="57">
        <f>SUM(I28:I30)</f>
        <v>1485473</v>
      </c>
      <c r="J31" s="90"/>
      <c r="K31" s="90">
        <f>SUM(K28:K30)</f>
        <v>6951532.5531280283</v>
      </c>
      <c r="L31" s="57">
        <f>SUM(L28:L30)</f>
        <v>1717406</v>
      </c>
      <c r="M31" s="87"/>
      <c r="N31" s="99"/>
      <c r="P31" s="179"/>
    </row>
    <row r="32" spans="1:18">
      <c r="A32" s="28"/>
      <c r="B32" s="28"/>
      <c r="C32" s="74"/>
      <c r="D32" s="103"/>
      <c r="E32" s="66"/>
      <c r="F32" s="66"/>
      <c r="G32" s="103"/>
      <c r="H32" s="103"/>
      <c r="I32" s="103"/>
      <c r="J32" s="103"/>
      <c r="K32" s="185"/>
      <c r="L32" s="185"/>
      <c r="M32" s="87"/>
      <c r="N32" s="99"/>
    </row>
    <row r="33" spans="1:18">
      <c r="A33" s="3"/>
      <c r="B33" s="1" t="s">
        <v>138</v>
      </c>
      <c r="C33" s="3" t="s">
        <v>139</v>
      </c>
      <c r="E33" s="103"/>
      <c r="F33" s="103"/>
      <c r="G33" s="87"/>
      <c r="H33" s="114">
        <v>448180</v>
      </c>
      <c r="I33" s="113">
        <v>49127</v>
      </c>
      <c r="J33" s="64"/>
      <c r="K33" s="198">
        <f>SUM('[1]Intl 2012'!$K$29)</f>
        <v>107380</v>
      </c>
      <c r="L33" s="199">
        <v>26034</v>
      </c>
      <c r="M33" s="87"/>
      <c r="N33" s="99"/>
      <c r="P33" s="179"/>
    </row>
    <row r="34" spans="1:18">
      <c r="A34" s="3"/>
      <c r="C34" s="3" t="s">
        <v>137</v>
      </c>
      <c r="E34" s="104"/>
      <c r="F34" s="68"/>
      <c r="G34" s="87"/>
      <c r="H34" s="64">
        <v>793560</v>
      </c>
      <c r="I34" s="114">
        <v>0</v>
      </c>
      <c r="J34" s="64"/>
      <c r="K34" s="64">
        <v>793560</v>
      </c>
      <c r="L34" s="114">
        <v>0</v>
      </c>
      <c r="M34" s="87"/>
      <c r="N34" s="99"/>
      <c r="P34" s="179"/>
    </row>
    <row r="35" spans="1:18">
      <c r="A35" s="3"/>
      <c r="C35" s="3"/>
      <c r="E35" s="104"/>
      <c r="F35" s="68"/>
      <c r="G35" s="87"/>
      <c r="H35" s="98"/>
      <c r="I35" s="102"/>
      <c r="J35" s="98"/>
      <c r="K35" s="98"/>
      <c r="L35" s="102"/>
      <c r="M35" s="87"/>
      <c r="N35" s="99"/>
    </row>
    <row r="36" spans="1:18">
      <c r="A36" s="3"/>
      <c r="B36" s="26" t="s">
        <v>16</v>
      </c>
      <c r="C36" s="4"/>
      <c r="D36" s="80">
        <v>1826221</v>
      </c>
      <c r="E36" s="81">
        <f>SUM(E24:E30)</f>
        <v>11012953.726490386</v>
      </c>
      <c r="F36" s="80">
        <f>SUM(F24:F30)</f>
        <v>2623090.7541889474</v>
      </c>
      <c r="G36" s="80"/>
      <c r="H36" s="82">
        <f>H34+H33+H31+H26</f>
        <v>10602891.738187324</v>
      </c>
      <c r="I36" s="93">
        <f>I34+I33+I31+I26</f>
        <v>2245468.2941046068</v>
      </c>
      <c r="J36" s="26"/>
      <c r="K36" s="83">
        <f>K34+K33+K31+K26</f>
        <v>10262091.649999999</v>
      </c>
      <c r="L36" s="93">
        <f>L34+L33+L31+L26</f>
        <v>2538713</v>
      </c>
      <c r="M36" s="26"/>
      <c r="N36" s="84">
        <v>2143234</v>
      </c>
      <c r="P36" s="179"/>
      <c r="R36" s="179"/>
    </row>
    <row r="37" spans="1:18" ht="15">
      <c r="A37" s="3"/>
      <c r="B37" s="1"/>
      <c r="C37" s="4"/>
      <c r="D37" s="23"/>
      <c r="E37" s="16"/>
      <c r="F37" s="85"/>
      <c r="G37" s="85"/>
      <c r="H37" s="86"/>
      <c r="I37" s="85"/>
      <c r="J37" s="87"/>
      <c r="K37" s="87"/>
      <c r="L37" s="87"/>
      <c r="M37" s="87"/>
      <c r="N37" s="88"/>
    </row>
    <row r="38" spans="1:18">
      <c r="A38" s="3"/>
      <c r="B38" s="3"/>
      <c r="C38" s="3"/>
      <c r="F38" s="87"/>
      <c r="G38" s="87"/>
      <c r="H38" s="87"/>
      <c r="I38" s="87"/>
      <c r="J38" s="87"/>
      <c r="K38" s="87"/>
      <c r="L38" s="87"/>
      <c r="M38" s="87"/>
      <c r="N38" s="99"/>
    </row>
    <row r="39" spans="1:18">
      <c r="A39" s="3"/>
      <c r="B39" s="26" t="s">
        <v>49</v>
      </c>
      <c r="C39" s="26"/>
      <c r="D39" s="93">
        <f>D36+D20</f>
        <v>5332622</v>
      </c>
      <c r="E39" s="118">
        <f>E36+E20</f>
        <v>27633835.434731171</v>
      </c>
      <c r="F39" s="119">
        <f>F36+F20</f>
        <v>5695403.9559810422</v>
      </c>
      <c r="G39" s="119"/>
      <c r="H39" s="120">
        <f>H36+H20</f>
        <v>27746908.020219427</v>
      </c>
      <c r="I39" s="119">
        <f>I36+I20</f>
        <v>4338342.8980673198</v>
      </c>
      <c r="J39" s="94"/>
      <c r="K39" s="83">
        <f>K36+K20</f>
        <v>27311555.691794366</v>
      </c>
      <c r="L39" s="83">
        <f>L36+L20</f>
        <v>4832623.861859832</v>
      </c>
      <c r="M39" s="94"/>
      <c r="N39" s="84">
        <f>N36+N20</f>
        <v>4808140</v>
      </c>
      <c r="P39" s="179"/>
    </row>
    <row r="40" spans="1:18">
      <c r="A40" s="3"/>
      <c r="B40" s="3"/>
      <c r="C40" s="3"/>
      <c r="F40" s="87"/>
      <c r="G40" s="87"/>
      <c r="H40" s="87"/>
      <c r="I40" s="87"/>
      <c r="J40" s="87"/>
      <c r="K40" s="87"/>
      <c r="L40" s="87"/>
      <c r="M40" s="87"/>
      <c r="N40" s="99"/>
    </row>
    <row r="41" spans="1:18">
      <c r="A41" s="1" t="s">
        <v>17</v>
      </c>
      <c r="B41" s="3"/>
      <c r="C41" s="3"/>
      <c r="F41" s="87"/>
      <c r="G41" s="87"/>
      <c r="H41" s="87"/>
      <c r="I41" s="87"/>
      <c r="J41" s="87"/>
      <c r="K41" s="87"/>
      <c r="L41" s="87"/>
      <c r="M41" s="87"/>
      <c r="N41" s="99"/>
    </row>
    <row r="42" spans="1:18">
      <c r="A42" s="3"/>
      <c r="C42" s="1" t="s">
        <v>48</v>
      </c>
      <c r="E42" s="186">
        <v>8170181</v>
      </c>
      <c r="F42" s="187">
        <v>1415752</v>
      </c>
      <c r="G42" s="94"/>
      <c r="H42" s="188">
        <v>7349235</v>
      </c>
      <c r="I42" s="112">
        <v>1403626</v>
      </c>
      <c r="J42" s="94"/>
      <c r="K42" s="94">
        <v>7349235</v>
      </c>
      <c r="L42" s="189">
        <v>1446026</v>
      </c>
      <c r="M42" s="87"/>
      <c r="N42" s="99"/>
    </row>
    <row r="43" spans="1:18">
      <c r="A43" s="3"/>
      <c r="C43" s="3"/>
      <c r="F43" s="78"/>
      <c r="G43" s="87"/>
      <c r="H43" s="98"/>
      <c r="I43" s="87"/>
      <c r="J43" s="87"/>
      <c r="K43" s="87"/>
      <c r="L43" s="87"/>
      <c r="M43" s="87"/>
      <c r="N43" s="99"/>
    </row>
    <row r="44" spans="1:18" s="110" customFormat="1" ht="12.75">
      <c r="A44" s="94"/>
      <c r="B44" s="26" t="s">
        <v>18</v>
      </c>
      <c r="C44" s="26"/>
      <c r="D44" s="92">
        <v>1421534</v>
      </c>
      <c r="E44" s="92">
        <f>SUM(E42:E43)</f>
        <v>8170181</v>
      </c>
      <c r="F44" s="80">
        <f>SUM(F42:F43)</f>
        <v>1415752</v>
      </c>
      <c r="G44" s="26"/>
      <c r="H44" s="92">
        <f>H42</f>
        <v>7349235</v>
      </c>
      <c r="I44" s="26">
        <f>I42</f>
        <v>1403626</v>
      </c>
      <c r="J44" s="26"/>
      <c r="K44" s="26">
        <f>K42</f>
        <v>7349235</v>
      </c>
      <c r="L44" s="117">
        <f>L42</f>
        <v>1446026</v>
      </c>
      <c r="M44" s="26"/>
      <c r="N44" s="84">
        <v>1197113</v>
      </c>
      <c r="P44" s="180"/>
    </row>
    <row r="45" spans="1:18">
      <c r="A45" s="3"/>
      <c r="B45" s="1"/>
      <c r="C45" s="1"/>
      <c r="E45" s="64"/>
      <c r="F45" s="87"/>
      <c r="G45" s="87"/>
      <c r="H45" s="87"/>
      <c r="I45" s="87"/>
      <c r="J45" s="87"/>
      <c r="K45" s="87"/>
      <c r="L45" s="87"/>
      <c r="M45" s="87"/>
      <c r="N45" s="99"/>
    </row>
    <row r="46" spans="1:18">
      <c r="A46" s="3"/>
      <c r="B46" s="1"/>
      <c r="C46" s="1"/>
      <c r="E46" s="64"/>
      <c r="F46" s="87"/>
      <c r="G46" s="87"/>
      <c r="H46" s="87"/>
      <c r="I46" s="87"/>
      <c r="J46" s="87"/>
      <c r="K46" s="87"/>
      <c r="L46" s="87"/>
      <c r="M46" s="87"/>
      <c r="N46" s="99"/>
    </row>
    <row r="47" spans="1:18" s="110" customFormat="1" ht="12.75">
      <c r="B47" s="73" t="s">
        <v>47</v>
      </c>
      <c r="C47" s="112"/>
      <c r="D47" s="125">
        <f>D44+D39</f>
        <v>6754156</v>
      </c>
      <c r="E47" s="125">
        <f>E44+E39</f>
        <v>35804016.434731171</v>
      </c>
      <c r="F47" s="126">
        <f>F44+F39</f>
        <v>7111155.9559810422</v>
      </c>
      <c r="G47" s="127"/>
      <c r="H47" s="120">
        <f>H44+H39</f>
        <v>35096143.02021943</v>
      </c>
      <c r="I47" s="119">
        <f>I44+I39</f>
        <v>5741968.8980673198</v>
      </c>
      <c r="J47" s="94"/>
      <c r="K47" s="83">
        <f>K44+K39</f>
        <v>34660790.691794366</v>
      </c>
      <c r="L47" s="128">
        <f>L44+L39</f>
        <v>6278649.861859832</v>
      </c>
      <c r="M47" s="94"/>
      <c r="N47" s="84">
        <f>N44+N39</f>
        <v>6005253</v>
      </c>
      <c r="P47" s="180"/>
    </row>
    <row r="48" spans="1:18" ht="15">
      <c r="A48" s="5"/>
      <c r="B48" s="3"/>
      <c r="C48" s="3"/>
      <c r="D48" s="29"/>
      <c r="E48" s="101"/>
      <c r="F48" s="105"/>
      <c r="G48" s="106"/>
      <c r="H48" s="106"/>
      <c r="N48" s="99"/>
    </row>
    <row r="49" spans="1:16" ht="15">
      <c r="A49" s="25" t="s">
        <v>19</v>
      </c>
      <c r="D49" s="29">
        <f>D47+D6</f>
        <v>6906557</v>
      </c>
      <c r="E49" s="29">
        <f>E44+E39+E6</f>
        <v>35867706.392861992</v>
      </c>
      <c r="F49" s="29">
        <f>F44+F39+F6</f>
        <v>7289989.8500572154</v>
      </c>
      <c r="H49" s="129">
        <f>H47+H6</f>
        <v>35156485.02021943</v>
      </c>
      <c r="I49" s="130">
        <f>I47+I6</f>
        <v>5913612.7289687898</v>
      </c>
      <c r="J49" s="129">
        <f t="shared" ref="J49:K49" si="0">J47+J6</f>
        <v>0</v>
      </c>
      <c r="K49" s="129">
        <f t="shared" si="0"/>
        <v>34712336.691794366</v>
      </c>
      <c r="L49" s="130">
        <f>L47+L6</f>
        <v>6445499.4518598318</v>
      </c>
      <c r="N49" s="88">
        <f>N47+N6</f>
        <v>6294457</v>
      </c>
      <c r="P49" s="106"/>
    </row>
    <row r="50" spans="1:16">
      <c r="A50" s="5"/>
      <c r="B50" s="3"/>
      <c r="C50" s="4"/>
      <c r="N50" s="99"/>
    </row>
    <row r="51" spans="1:16">
      <c r="A51" s="3"/>
      <c r="B51" s="3"/>
      <c r="C51" s="3"/>
      <c r="N51" s="99"/>
    </row>
    <row r="52" spans="1:16">
      <c r="A52" s="95" t="s">
        <v>52</v>
      </c>
    </row>
    <row r="54" spans="1:16" ht="15">
      <c r="A54" s="107" t="s">
        <v>53</v>
      </c>
    </row>
    <row r="55" spans="1:16">
      <c r="A55" s="95" t="s">
        <v>54</v>
      </c>
    </row>
    <row r="56" spans="1:16">
      <c r="A56" s="95" t="s">
        <v>142</v>
      </c>
    </row>
    <row r="57" spans="1:16">
      <c r="A57" s="95" t="s">
        <v>141</v>
      </c>
    </row>
    <row r="58" spans="1:16">
      <c r="A58" s="95" t="s">
        <v>140</v>
      </c>
    </row>
    <row r="59" spans="1:16">
      <c r="A59" s="95" t="s">
        <v>143</v>
      </c>
    </row>
    <row r="60" spans="1:16">
      <c r="A60" s="95" t="s">
        <v>144</v>
      </c>
    </row>
    <row r="62" spans="1:16">
      <c r="A62" s="95" t="s">
        <v>150</v>
      </c>
    </row>
  </sheetData>
  <printOptions gridLines="1"/>
  <pageMargins left="0.25" right="0.26" top="0.75" bottom="0.75" header="0.3" footer="0.3"/>
  <pageSetup scale="75" orientation="landscape" r:id="rId1"/>
  <headerFooter>
    <oddHeader>&amp;C&amp;"-,Bold"Transportation Forecasts March  2011</oddHeader>
    <oddFooter>&amp;R&amp;D</oddFooter>
  </headerFooter>
</worksheet>
</file>

<file path=xl/worksheets/sheet3.xml><?xml version="1.0" encoding="utf-8"?>
<worksheet xmlns="http://schemas.openxmlformats.org/spreadsheetml/2006/main" xmlns:r="http://schemas.openxmlformats.org/officeDocument/2006/relationships">
  <dimension ref="A1:L45"/>
  <sheetViews>
    <sheetView workbookViewId="0">
      <pane ySplit="1" topLeftCell="A2" activePane="bottomLeft" state="frozen"/>
      <selection pane="bottomLeft" activeCell="L9" sqref="L9"/>
    </sheetView>
  </sheetViews>
  <sheetFormatPr defaultRowHeight="15"/>
  <cols>
    <col min="1" max="1" width="29.28515625" customWidth="1"/>
    <col min="2" max="2" width="1.140625" customWidth="1"/>
    <col min="3" max="3" width="16" customWidth="1"/>
    <col min="4" max="4" width="14.28515625" bestFit="1" customWidth="1"/>
    <col min="5" max="5" width="12.7109375" bestFit="1" customWidth="1"/>
    <col min="6" max="6" width="2.28515625" customWidth="1"/>
    <col min="7" max="7" width="12.140625" bestFit="1" customWidth="1"/>
    <col min="8" max="8" width="2.42578125" customWidth="1"/>
    <col min="9" max="9" width="11.5703125" bestFit="1" customWidth="1"/>
    <col min="10" max="10" width="1.85546875" customWidth="1"/>
    <col min="11" max="11" width="11.5703125" bestFit="1" customWidth="1"/>
  </cols>
  <sheetData>
    <row r="1" spans="1:11" ht="60">
      <c r="A1" s="36" t="s">
        <v>55</v>
      </c>
      <c r="B1" s="2"/>
      <c r="C1" s="2"/>
      <c r="D1" s="138" t="s">
        <v>46</v>
      </c>
      <c r="E1" s="45" t="s">
        <v>44</v>
      </c>
      <c r="F1" s="139"/>
      <c r="G1" s="45" t="s">
        <v>45</v>
      </c>
      <c r="H1" s="45"/>
      <c r="I1" s="45" t="s">
        <v>21</v>
      </c>
      <c r="J1" s="140"/>
      <c r="K1" s="141" t="s">
        <v>43</v>
      </c>
    </row>
    <row r="2" spans="1:11">
      <c r="A2" s="19" t="s">
        <v>56</v>
      </c>
    </row>
    <row r="4" spans="1:11">
      <c r="A4" s="19" t="s">
        <v>61</v>
      </c>
    </row>
    <row r="5" spans="1:11">
      <c r="C5" s="19" t="s">
        <v>60</v>
      </c>
      <c r="D5" s="32"/>
      <c r="E5" s="17"/>
      <c r="F5" s="17"/>
      <c r="G5" s="17"/>
      <c r="H5" s="17"/>
      <c r="I5" s="17"/>
      <c r="J5" s="17"/>
      <c r="K5" s="17"/>
    </row>
    <row r="6" spans="1:11">
      <c r="C6" t="s">
        <v>4</v>
      </c>
      <c r="D6" s="32">
        <v>1100000</v>
      </c>
      <c r="E6" s="33">
        <v>1320179</v>
      </c>
      <c r="F6" s="17"/>
      <c r="G6" s="17">
        <v>1320179</v>
      </c>
      <c r="H6" s="17"/>
      <c r="I6" s="176">
        <v>1390148</v>
      </c>
      <c r="J6" s="17"/>
      <c r="K6" s="17">
        <v>1206013</v>
      </c>
    </row>
    <row r="7" spans="1:11">
      <c r="D7" s="32"/>
      <c r="E7" s="17"/>
      <c r="F7" s="17"/>
      <c r="G7" s="17"/>
      <c r="H7" s="17"/>
      <c r="I7" s="17"/>
      <c r="J7" s="17"/>
      <c r="K7" s="17"/>
    </row>
    <row r="8" spans="1:11">
      <c r="C8" s="30"/>
      <c r="D8" s="32"/>
      <c r="E8" s="17"/>
      <c r="F8" s="17"/>
      <c r="G8" s="17"/>
      <c r="H8" s="17"/>
      <c r="I8" s="17"/>
      <c r="J8" s="17"/>
      <c r="K8" s="17"/>
    </row>
    <row r="9" spans="1:11">
      <c r="C9" s="59" t="s">
        <v>62</v>
      </c>
      <c r="D9" s="60">
        <v>100</v>
      </c>
      <c r="E9" s="61">
        <v>0</v>
      </c>
      <c r="F9" s="61"/>
      <c r="G9" s="61"/>
      <c r="H9" s="61"/>
      <c r="I9" s="61"/>
      <c r="J9" s="61"/>
      <c r="K9" s="61"/>
    </row>
    <row r="10" spans="1:11">
      <c r="C10" s="62" t="s">
        <v>18</v>
      </c>
      <c r="D10" s="63">
        <f>SUM(D6:D9)</f>
        <v>1100100</v>
      </c>
      <c r="E10" s="63">
        <f>SUM(E6:E9)</f>
        <v>1320179</v>
      </c>
      <c r="F10" s="63"/>
      <c r="G10" s="63">
        <f>SUM(G6:G9)</f>
        <v>1320179</v>
      </c>
      <c r="H10" s="63"/>
      <c r="I10" s="63">
        <f>SUM(I6:I9)</f>
        <v>1390148</v>
      </c>
      <c r="J10" s="63"/>
      <c r="K10" s="63">
        <v>0</v>
      </c>
    </row>
    <row r="11" spans="1:11">
      <c r="C11" s="30"/>
      <c r="D11" s="34"/>
      <c r="E11" s="17"/>
      <c r="F11" s="17"/>
      <c r="G11" s="17"/>
      <c r="H11" s="17"/>
      <c r="I11" s="17"/>
      <c r="J11" s="17"/>
      <c r="K11" s="17"/>
    </row>
    <row r="12" spans="1:11">
      <c r="A12" s="19" t="s">
        <v>32</v>
      </c>
      <c r="C12" s="19" t="s">
        <v>60</v>
      </c>
      <c r="D12" s="34"/>
      <c r="E12" s="17"/>
      <c r="F12" s="17"/>
      <c r="G12" s="17"/>
      <c r="H12" s="17"/>
      <c r="I12" s="17"/>
      <c r="J12" s="17"/>
      <c r="K12" s="17"/>
    </row>
    <row r="13" spans="1:11">
      <c r="A13" t="s">
        <v>126</v>
      </c>
      <c r="C13" s="31" t="s">
        <v>10</v>
      </c>
      <c r="D13" s="34"/>
      <c r="E13" s="33">
        <v>2277987.79</v>
      </c>
      <c r="F13" s="17"/>
      <c r="G13" s="17">
        <v>2277988</v>
      </c>
      <c r="H13" s="17"/>
      <c r="I13" s="176">
        <v>1775917</v>
      </c>
      <c r="J13" s="17"/>
      <c r="K13" s="17"/>
    </row>
    <row r="14" spans="1:11">
      <c r="C14" s="31" t="s">
        <v>58</v>
      </c>
      <c r="D14" s="34"/>
      <c r="E14" s="33">
        <v>127937.18</v>
      </c>
      <c r="F14" s="17"/>
      <c r="G14" s="17">
        <v>127937</v>
      </c>
      <c r="H14" s="17"/>
      <c r="I14" s="176">
        <v>109769</v>
      </c>
      <c r="J14" s="17"/>
      <c r="K14" s="17"/>
    </row>
    <row r="15" spans="1:11">
      <c r="C15" s="31" t="s">
        <v>59</v>
      </c>
      <c r="D15" s="34"/>
      <c r="E15" s="33">
        <v>170159</v>
      </c>
      <c r="F15" s="17"/>
      <c r="G15" s="17">
        <v>170159</v>
      </c>
      <c r="H15" s="17"/>
      <c r="I15" s="176">
        <v>148714</v>
      </c>
      <c r="J15" s="17"/>
      <c r="K15" s="17"/>
    </row>
    <row r="16" spans="1:11">
      <c r="C16" s="31" t="s">
        <v>63</v>
      </c>
      <c r="D16" s="34">
        <v>3126903</v>
      </c>
      <c r="E16" s="33">
        <f>SUM(E13:E15)</f>
        <v>2576083.9700000002</v>
      </c>
      <c r="F16" s="17"/>
      <c r="G16" s="17">
        <f>SUM(G13:G15)</f>
        <v>2576084</v>
      </c>
      <c r="H16" s="17"/>
      <c r="I16" s="17">
        <f>SUM(I13:I15)</f>
        <v>2034400</v>
      </c>
      <c r="J16" s="17"/>
      <c r="K16" s="17">
        <v>2406001</v>
      </c>
    </row>
    <row r="17" spans="1:12">
      <c r="C17" s="31"/>
      <c r="D17" s="34"/>
      <c r="E17" s="33"/>
      <c r="F17" s="17"/>
      <c r="G17" s="17"/>
      <c r="H17" s="17"/>
      <c r="I17" s="17"/>
      <c r="J17" s="17"/>
      <c r="K17" s="17"/>
    </row>
    <row r="18" spans="1:12">
      <c r="C18" s="19" t="s">
        <v>62</v>
      </c>
      <c r="D18" s="34"/>
      <c r="E18" s="33"/>
      <c r="F18" s="17"/>
      <c r="G18" s="17"/>
      <c r="H18" s="17"/>
      <c r="I18" s="17"/>
      <c r="J18" s="17"/>
      <c r="K18" s="17"/>
    </row>
    <row r="19" spans="1:12">
      <c r="A19" t="s">
        <v>109</v>
      </c>
      <c r="C19" s="38" t="s">
        <v>74</v>
      </c>
      <c r="D19" s="34"/>
      <c r="E19" s="37">
        <v>173719</v>
      </c>
      <c r="F19" s="17"/>
      <c r="G19" s="17">
        <v>173719</v>
      </c>
      <c r="H19" s="17"/>
      <c r="I19" s="176">
        <v>168603</v>
      </c>
      <c r="J19" s="17"/>
      <c r="K19" s="17"/>
    </row>
    <row r="20" spans="1:12">
      <c r="C20" t="s">
        <v>10</v>
      </c>
      <c r="D20" s="34"/>
      <c r="E20" s="37">
        <v>30672</v>
      </c>
      <c r="F20" s="17"/>
      <c r="G20" s="17">
        <v>30672</v>
      </c>
      <c r="H20" s="17"/>
      <c r="I20" s="176">
        <v>28957</v>
      </c>
      <c r="J20" s="17"/>
      <c r="K20" s="17"/>
    </row>
    <row r="21" spans="1:12">
      <c r="C21" t="s">
        <v>71</v>
      </c>
      <c r="D21" s="34"/>
      <c r="E21" s="37">
        <v>270732</v>
      </c>
      <c r="F21" s="17"/>
      <c r="G21" s="17">
        <v>270732</v>
      </c>
      <c r="H21" s="17"/>
      <c r="I21" s="176">
        <v>245949</v>
      </c>
      <c r="J21" s="17"/>
      <c r="K21" s="17"/>
    </row>
    <row r="22" spans="1:12">
      <c r="C22" t="s">
        <v>73</v>
      </c>
      <c r="D22" s="34"/>
      <c r="E22" s="39">
        <v>128898</v>
      </c>
      <c r="F22" s="17"/>
      <c r="G22" s="17">
        <v>128898</v>
      </c>
      <c r="H22" s="17"/>
      <c r="I22" s="176">
        <v>119279</v>
      </c>
      <c r="J22" s="17"/>
      <c r="K22" s="17"/>
    </row>
    <row r="23" spans="1:12">
      <c r="C23" s="6" t="s">
        <v>93</v>
      </c>
      <c r="D23" s="34"/>
      <c r="E23" s="40">
        <v>89992</v>
      </c>
      <c r="F23" s="17"/>
      <c r="G23" s="17">
        <v>89992</v>
      </c>
      <c r="H23" s="17"/>
      <c r="I23" s="176">
        <v>88869</v>
      </c>
      <c r="J23" s="17"/>
      <c r="K23" s="17"/>
    </row>
    <row r="24" spans="1:12">
      <c r="C24" t="s">
        <v>110</v>
      </c>
      <c r="D24" s="34">
        <v>792959</v>
      </c>
      <c r="E24" s="33">
        <f>SUM(E19:E23)</f>
        <v>694013</v>
      </c>
      <c r="F24" s="17"/>
      <c r="G24" s="17">
        <f>SUM(G19:G23)</f>
        <v>694013</v>
      </c>
      <c r="H24" s="17"/>
      <c r="I24" s="17">
        <f>SUM(I19:I23)</f>
        <v>651657</v>
      </c>
      <c r="J24" s="17"/>
      <c r="K24" s="17">
        <v>662956</v>
      </c>
    </row>
    <row r="25" spans="1:12">
      <c r="C25" s="31"/>
      <c r="F25" s="17"/>
      <c r="G25" s="17"/>
      <c r="H25" s="17"/>
      <c r="I25" s="17"/>
      <c r="J25" s="17"/>
      <c r="K25" s="17">
        <v>70883</v>
      </c>
      <c r="L25" t="s">
        <v>130</v>
      </c>
    </row>
    <row r="26" spans="1:12">
      <c r="A26" s="19" t="s">
        <v>41</v>
      </c>
      <c r="C26" s="31"/>
      <c r="D26" s="17"/>
      <c r="E26" s="33"/>
      <c r="F26" s="17"/>
      <c r="G26" s="17"/>
      <c r="H26" s="17"/>
      <c r="I26" s="17"/>
      <c r="J26" s="17"/>
      <c r="K26" s="17"/>
    </row>
    <row r="27" spans="1:12">
      <c r="C27" s="31"/>
      <c r="D27" s="17"/>
      <c r="E27" s="33"/>
      <c r="F27" s="17"/>
      <c r="G27" s="17"/>
      <c r="H27" s="17"/>
      <c r="I27" s="17"/>
      <c r="J27" s="17"/>
      <c r="K27" s="17">
        <f>SUM(K24:K25)</f>
        <v>733839</v>
      </c>
    </row>
    <row r="28" spans="1:12">
      <c r="A28" s="19" t="s">
        <v>57</v>
      </c>
      <c r="B28" s="19"/>
      <c r="C28" s="19"/>
      <c r="D28" s="18">
        <f>D16+D10</f>
        <v>4227003</v>
      </c>
      <c r="E28" s="35">
        <f>E16+E6+E24</f>
        <v>4590275.9700000007</v>
      </c>
      <c r="F28" s="17"/>
      <c r="G28" s="35">
        <f>G16+G6+G24</f>
        <v>4590276</v>
      </c>
      <c r="H28" s="17"/>
      <c r="I28" s="35">
        <f>I16+I6+I24</f>
        <v>4076205</v>
      </c>
      <c r="J28" s="17"/>
      <c r="K28" s="18">
        <f>K27+K16+K6</f>
        <v>4345853</v>
      </c>
    </row>
    <row r="31" spans="1:12">
      <c r="A31" s="19" t="s">
        <v>64</v>
      </c>
    </row>
    <row r="32" spans="1:12">
      <c r="A32" s="19" t="s">
        <v>65</v>
      </c>
      <c r="B32" s="19"/>
      <c r="C32" s="19"/>
    </row>
    <row r="33" spans="1:3">
      <c r="A33" s="31" t="s">
        <v>128</v>
      </c>
      <c r="B33" s="19"/>
      <c r="C33" s="19"/>
    </row>
    <row r="34" spans="1:3">
      <c r="A34" t="s">
        <v>105</v>
      </c>
    </row>
    <row r="35" spans="1:3">
      <c r="A35" t="s">
        <v>66</v>
      </c>
    </row>
    <row r="36" spans="1:3">
      <c r="A36" t="s">
        <v>108</v>
      </c>
    </row>
    <row r="38" spans="1:3">
      <c r="A38" s="19" t="s">
        <v>106</v>
      </c>
    </row>
    <row r="39" spans="1:3">
      <c r="A39" t="s">
        <v>107</v>
      </c>
    </row>
    <row r="40" spans="1:3">
      <c r="A40" t="s">
        <v>68</v>
      </c>
    </row>
    <row r="41" spans="1:3">
      <c r="A41" t="s">
        <v>67</v>
      </c>
    </row>
    <row r="43" spans="1:3">
      <c r="A43" t="s">
        <v>131</v>
      </c>
    </row>
    <row r="45" spans="1:3">
      <c r="A45" s="95" t="s">
        <v>150</v>
      </c>
    </row>
  </sheetData>
  <printOptions gridLines="1"/>
  <pageMargins left="0.2" right="0.2" top="0.75" bottom="0.75" header="0.3" footer="0.3"/>
  <pageSetup scale="85" orientation="landscape" r:id="rId1"/>
  <headerFooter>
    <oddHeader>&amp;C&amp;"-,Bold"Transportation Forecasts March 2011</oddHeader>
    <oddFooter>&amp;R&amp;D</oddFooter>
  </headerFooter>
</worksheet>
</file>

<file path=xl/worksheets/sheet4.xml><?xml version="1.0" encoding="utf-8"?>
<worksheet xmlns="http://schemas.openxmlformats.org/spreadsheetml/2006/main" xmlns:r="http://schemas.openxmlformats.org/officeDocument/2006/relationships">
  <dimension ref="A1:J24"/>
  <sheetViews>
    <sheetView tabSelected="1" workbookViewId="0">
      <selection activeCell="H13" sqref="H13"/>
    </sheetView>
  </sheetViews>
  <sheetFormatPr defaultRowHeight="15"/>
  <cols>
    <col min="1" max="1" width="26.42578125" customWidth="1"/>
    <col min="2" max="2" width="1.5703125" customWidth="1"/>
    <col min="3" max="4" width="14.28515625" bestFit="1" customWidth="1"/>
    <col min="5" max="5" width="1.5703125" customWidth="1"/>
    <col min="6" max="6" width="14.28515625" bestFit="1" customWidth="1"/>
    <col min="7" max="7" width="1.85546875" customWidth="1"/>
    <col min="8" max="8" width="14.28515625" bestFit="1" customWidth="1"/>
    <col min="9" max="9" width="1.85546875" customWidth="1"/>
    <col min="10" max="10" width="14.28515625" bestFit="1" customWidth="1"/>
  </cols>
  <sheetData>
    <row r="1" spans="1:10" ht="51.75">
      <c r="A1" s="36" t="s">
        <v>69</v>
      </c>
      <c r="B1" s="2"/>
      <c r="C1" s="144" t="s">
        <v>46</v>
      </c>
      <c r="D1" s="145" t="s">
        <v>44</v>
      </c>
      <c r="E1" s="146"/>
      <c r="F1" s="145" t="s">
        <v>45</v>
      </c>
      <c r="G1" s="145"/>
      <c r="H1" s="146" t="s">
        <v>21</v>
      </c>
      <c r="I1" s="147"/>
      <c r="J1" s="148" t="s">
        <v>43</v>
      </c>
    </row>
    <row r="2" spans="1:10">
      <c r="A2" s="131"/>
      <c r="B2" s="131"/>
      <c r="C2" s="131"/>
      <c r="D2" s="131"/>
      <c r="E2" s="131"/>
      <c r="F2" s="131"/>
      <c r="G2" s="131"/>
      <c r="H2" s="131"/>
      <c r="I2" s="131"/>
      <c r="J2" s="131"/>
    </row>
    <row r="3" spans="1:10" ht="15.75">
      <c r="A3" s="132" t="s">
        <v>70</v>
      </c>
      <c r="B3" s="131"/>
      <c r="C3" s="131"/>
      <c r="D3" s="131"/>
      <c r="E3" s="131"/>
      <c r="F3" s="131"/>
      <c r="G3" s="131"/>
      <c r="H3" s="131"/>
      <c r="I3" s="131"/>
      <c r="J3" s="131"/>
    </row>
    <row r="4" spans="1:10">
      <c r="A4" s="149" t="s">
        <v>170</v>
      </c>
      <c r="B4" s="150"/>
      <c r="C4" s="152">
        <v>233981</v>
      </c>
      <c r="D4" s="152">
        <v>43295</v>
      </c>
      <c r="E4" s="153"/>
      <c r="F4" s="153">
        <v>43295</v>
      </c>
      <c r="G4" s="153"/>
      <c r="H4" s="177">
        <v>58784</v>
      </c>
      <c r="I4" s="153"/>
      <c r="J4" s="153">
        <v>179973</v>
      </c>
    </row>
    <row r="5" spans="1:10">
      <c r="A5" s="150"/>
      <c r="B5" s="150"/>
      <c r="C5" s="150"/>
      <c r="D5" s="150"/>
      <c r="E5" s="150"/>
      <c r="F5" s="150"/>
      <c r="G5" s="150"/>
      <c r="H5" s="153"/>
      <c r="I5" s="150"/>
      <c r="J5" s="150"/>
    </row>
    <row r="6" spans="1:10">
      <c r="A6" s="149" t="s">
        <v>32</v>
      </c>
      <c r="B6" s="150"/>
      <c r="C6" s="150"/>
      <c r="D6" s="150"/>
      <c r="E6" s="150"/>
      <c r="F6" s="150"/>
      <c r="G6" s="150"/>
      <c r="H6" s="153"/>
      <c r="I6" s="150"/>
      <c r="J6" s="150"/>
    </row>
    <row r="7" spans="1:10">
      <c r="A7" s="150" t="s">
        <v>4</v>
      </c>
      <c r="B7" s="150"/>
      <c r="C7" s="150"/>
      <c r="D7" s="154">
        <v>792433.95</v>
      </c>
      <c r="E7" s="150"/>
      <c r="F7" s="155">
        <v>816207</v>
      </c>
      <c r="G7" s="156"/>
      <c r="H7" s="177">
        <v>859898</v>
      </c>
      <c r="I7" s="150"/>
      <c r="J7" s="150"/>
    </row>
    <row r="8" spans="1:10">
      <c r="A8" s="157" t="s">
        <v>71</v>
      </c>
      <c r="B8" s="150"/>
      <c r="C8" s="150"/>
      <c r="D8" s="154">
        <v>4639121.1100000003</v>
      </c>
      <c r="E8" s="150"/>
      <c r="F8" s="155">
        <v>4778295</v>
      </c>
      <c r="G8" s="150"/>
      <c r="H8" s="177">
        <v>5121297</v>
      </c>
      <c r="I8" s="150"/>
      <c r="J8" s="150"/>
    </row>
    <row r="9" spans="1:10">
      <c r="A9" s="158" t="s">
        <v>72</v>
      </c>
      <c r="B9" s="150"/>
      <c r="C9" s="150"/>
      <c r="D9" s="159">
        <v>286352.67768256681</v>
      </c>
      <c r="E9" s="150"/>
      <c r="F9" s="155">
        <v>295358.2701726149</v>
      </c>
      <c r="G9" s="150"/>
      <c r="H9" s="162">
        <v>334962.02352079801</v>
      </c>
      <c r="I9" s="150"/>
      <c r="J9" s="150"/>
    </row>
    <row r="10" spans="1:10">
      <c r="A10" s="133" t="s">
        <v>75</v>
      </c>
      <c r="B10" s="131"/>
      <c r="C10" s="134">
        <f>7128591+72000</f>
        <v>7200591</v>
      </c>
      <c r="D10" s="134">
        <f>SUM(D7:D9)</f>
        <v>5717907.737682567</v>
      </c>
      <c r="E10" s="135"/>
      <c r="F10" s="136">
        <f>SUM(F7:F9)</f>
        <v>5889860.2701726146</v>
      </c>
      <c r="G10" s="135"/>
      <c r="H10" s="137">
        <f>SUM(H4:H9)</f>
        <v>6374941.0235207984</v>
      </c>
      <c r="I10" s="135"/>
      <c r="J10" s="134">
        <f>5467244+67974</f>
        <v>5535218</v>
      </c>
    </row>
    <row r="11" spans="1:10">
      <c r="A11" s="131"/>
      <c r="B11" s="131"/>
      <c r="C11" s="131"/>
      <c r="D11" s="131"/>
      <c r="E11" s="131"/>
      <c r="F11" s="131"/>
      <c r="G11" s="131"/>
      <c r="I11" s="131"/>
      <c r="J11" s="131"/>
    </row>
    <row r="12" spans="1:10">
      <c r="A12" s="149" t="s">
        <v>76</v>
      </c>
      <c r="B12" s="131"/>
      <c r="C12" s="131"/>
      <c r="D12" s="131"/>
      <c r="E12" s="131"/>
      <c r="F12" s="131"/>
      <c r="G12" s="131"/>
      <c r="H12" s="131"/>
      <c r="I12" s="131"/>
      <c r="J12" s="131"/>
    </row>
    <row r="13" spans="1:10">
      <c r="A13" s="160" t="s">
        <v>77</v>
      </c>
      <c r="B13" s="160"/>
      <c r="C13" s="160"/>
      <c r="D13" s="160"/>
      <c r="E13" s="160"/>
      <c r="F13" s="160"/>
      <c r="G13" s="160"/>
      <c r="H13" s="200">
        <f>H8+H7</f>
        <v>5981195</v>
      </c>
      <c r="I13" s="201"/>
      <c r="J13" s="202" t="s">
        <v>229</v>
      </c>
    </row>
    <row r="14" spans="1:10">
      <c r="A14" s="160" t="s">
        <v>78</v>
      </c>
      <c r="B14" s="160"/>
      <c r="C14" s="160"/>
      <c r="D14" s="160"/>
      <c r="E14" s="160"/>
      <c r="F14" s="160"/>
      <c r="G14" s="160"/>
      <c r="H14" s="160"/>
      <c r="I14" s="160"/>
      <c r="J14" s="160"/>
    </row>
    <row r="15" spans="1:10">
      <c r="A15" s="160" t="s">
        <v>127</v>
      </c>
      <c r="B15" s="160"/>
      <c r="C15" s="160"/>
      <c r="D15" s="160"/>
      <c r="E15" s="160"/>
      <c r="F15" s="160"/>
      <c r="G15" s="160"/>
      <c r="H15" s="160"/>
      <c r="I15" s="160"/>
      <c r="J15" s="160"/>
    </row>
    <row r="16" spans="1:10">
      <c r="A16" s="160" t="s">
        <v>149</v>
      </c>
      <c r="B16" s="160"/>
      <c r="C16" s="160"/>
      <c r="D16" s="160"/>
      <c r="E16" s="160"/>
      <c r="F16" s="160"/>
      <c r="G16" s="160"/>
      <c r="H16" s="160"/>
      <c r="I16" s="160"/>
      <c r="J16" s="160"/>
    </row>
    <row r="17" spans="1:10">
      <c r="A17" s="160" t="s">
        <v>129</v>
      </c>
      <c r="B17" s="160"/>
      <c r="C17" s="160"/>
      <c r="D17" s="160"/>
      <c r="E17" s="160"/>
      <c r="F17" s="160"/>
      <c r="G17" s="160"/>
      <c r="H17" s="160"/>
      <c r="I17" s="160"/>
      <c r="J17" s="160"/>
    </row>
    <row r="18" spans="1:10">
      <c r="A18" s="131"/>
      <c r="B18" s="131"/>
      <c r="C18" s="131"/>
      <c r="D18" s="131"/>
      <c r="E18" s="131"/>
      <c r="F18" s="131"/>
      <c r="G18" s="131"/>
      <c r="H18" s="131"/>
      <c r="I18" s="131"/>
      <c r="J18" s="131"/>
    </row>
    <row r="19" spans="1:10">
      <c r="A19" s="149" t="s">
        <v>145</v>
      </c>
      <c r="B19" s="149"/>
      <c r="C19" s="149" t="s">
        <v>146</v>
      </c>
      <c r="D19" s="149" t="s">
        <v>147</v>
      </c>
      <c r="E19" s="149"/>
      <c r="F19" s="149" t="s">
        <v>106</v>
      </c>
      <c r="G19" s="150"/>
      <c r="H19" s="131"/>
      <c r="I19" s="131"/>
      <c r="J19" s="131"/>
    </row>
    <row r="20" spans="1:10">
      <c r="A20" s="150" t="s">
        <v>171</v>
      </c>
      <c r="B20" s="150"/>
      <c r="C20" s="151">
        <v>46854709</v>
      </c>
      <c r="D20" s="151">
        <v>48328256.895648651</v>
      </c>
      <c r="E20" s="150"/>
      <c r="F20" s="151">
        <v>50640530.463800646</v>
      </c>
      <c r="G20" s="150"/>
      <c r="H20" s="131"/>
      <c r="I20" s="131"/>
      <c r="J20" s="131"/>
    </row>
    <row r="22" spans="1:10" ht="15.75" customHeight="1">
      <c r="F22" s="204">
        <v>55000000</v>
      </c>
      <c r="G22" s="205"/>
      <c r="H22" s="205" t="s">
        <v>230</v>
      </c>
      <c r="I22" s="205"/>
      <c r="J22" s="205"/>
    </row>
    <row r="23" spans="1:10">
      <c r="A23" s="95" t="s">
        <v>150</v>
      </c>
      <c r="B23" s="87"/>
      <c r="C23" s="87"/>
    </row>
    <row r="24" spans="1:10">
      <c r="F24" s="205">
        <f>H13/F22</f>
        <v>0.108749</v>
      </c>
      <c r="G24" s="203"/>
      <c r="H24" s="205" t="s">
        <v>231</v>
      </c>
    </row>
  </sheetData>
  <printOptions gridLines="1"/>
  <pageMargins left="0.7" right="0.7" top="0.75" bottom="0.75" header="0.3" footer="0.3"/>
  <pageSetup orientation="landscape" r:id="rId1"/>
  <headerFooter>
    <oddHeader>&amp;A</oddHeader>
    <oddFooter>&amp;R&amp;D &amp;T &amp;Z&amp;F</oddFooter>
  </headerFooter>
</worksheet>
</file>

<file path=xl/worksheets/sheet5.xml><?xml version="1.0" encoding="utf-8"?>
<worksheet xmlns="http://schemas.openxmlformats.org/spreadsheetml/2006/main" xmlns:r="http://schemas.openxmlformats.org/officeDocument/2006/relationships">
  <dimension ref="A1:T17"/>
  <sheetViews>
    <sheetView zoomScale="115" zoomScaleNormal="115" workbookViewId="0">
      <selection activeCell="J6" sqref="J6"/>
    </sheetView>
  </sheetViews>
  <sheetFormatPr defaultRowHeight="15"/>
  <cols>
    <col min="1" max="1" width="27.42578125" customWidth="1"/>
    <col min="2" max="2" width="2" customWidth="1"/>
    <col min="3" max="4" width="10.42578125" bestFit="1" customWidth="1"/>
    <col min="5" max="5" width="1.85546875" customWidth="1"/>
    <col min="6" max="6" width="14.28515625" bestFit="1" customWidth="1"/>
    <col min="7" max="7" width="1.7109375" customWidth="1"/>
    <col min="8" max="8" width="19.7109375" bestFit="1" customWidth="1"/>
    <col min="9" max="9" width="1.28515625" customWidth="1"/>
    <col min="10" max="10" width="14.28515625" bestFit="1" customWidth="1"/>
    <col min="11" max="11" width="15.140625" bestFit="1" customWidth="1"/>
    <col min="12" max="12" width="15.28515625" bestFit="1" customWidth="1"/>
  </cols>
  <sheetData>
    <row r="1" spans="1:20" ht="60">
      <c r="A1" s="36" t="s">
        <v>111</v>
      </c>
      <c r="B1" s="2"/>
      <c r="C1" s="20" t="s">
        <v>46</v>
      </c>
      <c r="D1" s="21" t="s">
        <v>44</v>
      </c>
      <c r="E1" s="7"/>
      <c r="F1" s="21" t="s">
        <v>45</v>
      </c>
      <c r="G1" s="21"/>
      <c r="H1" s="21" t="s">
        <v>113</v>
      </c>
      <c r="I1" s="7"/>
      <c r="J1" s="50" t="s">
        <v>112</v>
      </c>
      <c r="K1" s="27"/>
    </row>
    <row r="2" spans="1:20">
      <c r="A2" s="10" t="s">
        <v>38</v>
      </c>
      <c r="C2" s="14">
        <v>18000000</v>
      </c>
      <c r="D2" s="14">
        <v>18000000</v>
      </c>
      <c r="F2" s="48">
        <v>19250000</v>
      </c>
      <c r="H2" s="49">
        <f>SUM(Q12:Q13)</f>
        <v>21619608.208000001</v>
      </c>
      <c r="J2" s="48">
        <v>20172766</v>
      </c>
    </row>
    <row r="3" spans="1:20">
      <c r="A3" s="10" t="s">
        <v>39</v>
      </c>
      <c r="C3" s="14">
        <v>0</v>
      </c>
      <c r="D3" s="14">
        <v>0</v>
      </c>
    </row>
    <row r="4" spans="1:20">
      <c r="A4" s="9" t="s">
        <v>40</v>
      </c>
      <c r="C4" s="15">
        <f t="shared" ref="C4:D4" si="0">SUM(C2:C3)</f>
        <v>18000000</v>
      </c>
      <c r="D4" s="15">
        <f t="shared" si="0"/>
        <v>18000000</v>
      </c>
      <c r="F4" s="51">
        <f>F2</f>
        <v>19250000</v>
      </c>
      <c r="H4" s="51">
        <f>SUM(H2:H3)</f>
        <v>21619608.208000001</v>
      </c>
      <c r="J4" s="51">
        <f>J2</f>
        <v>20172766</v>
      </c>
    </row>
    <row r="5" spans="1:20">
      <c r="H5" s="166"/>
    </row>
    <row r="6" spans="1:20">
      <c r="H6" s="54">
        <v>1835768.2080000001</v>
      </c>
      <c r="J6" t="s">
        <v>181</v>
      </c>
    </row>
    <row r="8" spans="1:20">
      <c r="A8" t="s">
        <v>114</v>
      </c>
    </row>
    <row r="9" spans="1:20">
      <c r="A9" t="s">
        <v>115</v>
      </c>
      <c r="J9" s="163"/>
      <c r="K9" s="163"/>
      <c r="O9" s="167" t="s">
        <v>179</v>
      </c>
      <c r="P9" s="167"/>
      <c r="Q9" s="167" t="s">
        <v>178</v>
      </c>
      <c r="R9" s="167"/>
      <c r="S9" s="168" t="s">
        <v>177</v>
      </c>
      <c r="T9" s="168" t="s">
        <v>176</v>
      </c>
    </row>
    <row r="10" spans="1:20">
      <c r="A10" t="s">
        <v>116</v>
      </c>
      <c r="O10" s="167" t="s">
        <v>180</v>
      </c>
      <c r="P10" s="167"/>
      <c r="Q10" s="169">
        <v>21200000</v>
      </c>
      <c r="R10" s="167"/>
      <c r="S10" s="170">
        <v>586352.07999999984</v>
      </c>
      <c r="T10" s="170">
        <v>8775774.5300000049</v>
      </c>
    </row>
    <row r="11" spans="1:20">
      <c r="A11" t="s">
        <v>117</v>
      </c>
      <c r="O11" s="171">
        <f>(105-81)/81</f>
        <v>0.29629629629629628</v>
      </c>
      <c r="P11" s="167"/>
      <c r="Q11" s="169">
        <v>1416160</v>
      </c>
      <c r="R11" s="167"/>
      <c r="S11" s="167"/>
      <c r="T11" s="172">
        <f>S10/T10</f>
        <v>6.6814852409386088E-2</v>
      </c>
    </row>
    <row r="12" spans="1:20">
      <c r="A12" t="s">
        <v>118</v>
      </c>
      <c r="L12" s="163"/>
      <c r="O12" s="167"/>
      <c r="P12" s="167"/>
      <c r="Q12" s="169">
        <f>Q10-Q11</f>
        <v>19783840</v>
      </c>
      <c r="R12" s="167"/>
      <c r="S12" s="167"/>
      <c r="T12" s="168"/>
    </row>
    <row r="13" spans="1:20">
      <c r="A13" t="s">
        <v>119</v>
      </c>
      <c r="L13" s="163"/>
      <c r="O13" s="173"/>
      <c r="P13" s="173"/>
      <c r="Q13" s="174">
        <f>Q11*1.2963</f>
        <v>1835768.2080000001</v>
      </c>
      <c r="R13" s="173"/>
      <c r="S13" s="173"/>
      <c r="T13" s="175"/>
    </row>
    <row r="14" spans="1:20">
      <c r="L14" s="164"/>
      <c r="O14" s="173"/>
      <c r="P14" s="173"/>
      <c r="Q14" s="173"/>
      <c r="R14" s="173"/>
      <c r="S14" s="173"/>
      <c r="T14" s="173"/>
    </row>
    <row r="15" spans="1:20">
      <c r="A15" t="s">
        <v>120</v>
      </c>
      <c r="L15" s="165"/>
    </row>
    <row r="16" spans="1:20">
      <c r="A16" t="s">
        <v>121</v>
      </c>
    </row>
    <row r="17" spans="1:1">
      <c r="A17" t="s">
        <v>122</v>
      </c>
    </row>
  </sheetData>
  <printOptions gridLines="1"/>
  <pageMargins left="0.7" right="0.7" top="0.75" bottom="0.75" header="0.3" footer="0.3"/>
  <pageSetup orientation="landscape" r:id="rId1"/>
  <headerFooter>
    <oddHeader>&amp;CTransportation Forecasts
March 2011</oddHeader>
    <oddFooter>&amp;C&amp;D</oddFooter>
  </headerFooter>
</worksheet>
</file>

<file path=xl/worksheets/sheet6.xml><?xml version="1.0" encoding="utf-8"?>
<worksheet xmlns="http://schemas.openxmlformats.org/spreadsheetml/2006/main" xmlns:r="http://schemas.openxmlformats.org/officeDocument/2006/relationships">
  <dimension ref="A3:J28"/>
  <sheetViews>
    <sheetView workbookViewId="0">
      <selection activeCell="F10" sqref="F10"/>
    </sheetView>
  </sheetViews>
  <sheetFormatPr defaultRowHeight="15"/>
  <cols>
    <col min="1" max="1" width="20.7109375" bestFit="1" customWidth="1"/>
    <col min="2" max="2" width="11.28515625" customWidth="1"/>
    <col min="3" max="4" width="11.85546875" customWidth="1"/>
    <col min="5" max="5" width="11.42578125" customWidth="1"/>
    <col min="6" max="6" width="12.42578125" customWidth="1"/>
  </cols>
  <sheetData>
    <row r="3" spans="1:10">
      <c r="A3" s="19" t="s">
        <v>134</v>
      </c>
      <c r="B3" s="19"/>
    </row>
    <row r="4" spans="1:10" ht="30">
      <c r="A4" t="s">
        <v>79</v>
      </c>
      <c r="B4" s="7" t="s">
        <v>81</v>
      </c>
      <c r="C4" s="7" t="s">
        <v>82</v>
      </c>
      <c r="D4" s="7" t="s">
        <v>103</v>
      </c>
      <c r="E4" s="7" t="s">
        <v>83</v>
      </c>
      <c r="F4" s="7" t="s">
        <v>80</v>
      </c>
      <c r="G4" s="7"/>
    </row>
    <row r="5" spans="1:10">
      <c r="A5" t="s">
        <v>84</v>
      </c>
      <c r="B5" s="42">
        <v>0.05</v>
      </c>
      <c r="C5" s="43" t="s">
        <v>85</v>
      </c>
      <c r="D5" s="43" t="s">
        <v>98</v>
      </c>
      <c r="E5" s="42">
        <v>0.05</v>
      </c>
      <c r="F5" s="43" t="s">
        <v>182</v>
      </c>
    </row>
    <row r="6" spans="1:10">
      <c r="A6" t="s">
        <v>86</v>
      </c>
      <c r="B6" s="42">
        <v>0.04</v>
      </c>
      <c r="C6" s="43" t="s">
        <v>85</v>
      </c>
      <c r="D6" s="43" t="s">
        <v>99</v>
      </c>
      <c r="E6" s="44">
        <v>1.4999999999999999E-2</v>
      </c>
      <c r="F6" s="43" t="s">
        <v>182</v>
      </c>
    </row>
    <row r="7" spans="1:10">
      <c r="A7" t="s">
        <v>87</v>
      </c>
      <c r="B7" s="42">
        <v>0.05</v>
      </c>
      <c r="C7" s="43" t="s">
        <v>85</v>
      </c>
      <c r="D7" s="43" t="s">
        <v>100</v>
      </c>
      <c r="E7" s="42">
        <v>0</v>
      </c>
      <c r="F7" s="43" t="s">
        <v>182</v>
      </c>
    </row>
    <row r="8" spans="1:10">
      <c r="A8" t="s">
        <v>88</v>
      </c>
      <c r="B8" s="42">
        <v>0.05</v>
      </c>
      <c r="C8" s="43" t="s">
        <v>85</v>
      </c>
      <c r="D8" s="43" t="s">
        <v>101</v>
      </c>
      <c r="E8" s="42">
        <v>0</v>
      </c>
      <c r="F8" s="43" t="s">
        <v>182</v>
      </c>
    </row>
    <row r="9" spans="1:10">
      <c r="A9" t="s">
        <v>89</v>
      </c>
      <c r="B9" s="44">
        <v>0.17499999999999999</v>
      </c>
      <c r="C9" s="43" t="s">
        <v>90</v>
      </c>
      <c r="D9" s="43" t="s">
        <v>90</v>
      </c>
      <c r="E9" s="42">
        <v>0</v>
      </c>
      <c r="F9" s="43" t="s">
        <v>183</v>
      </c>
    </row>
    <row r="10" spans="1:10">
      <c r="A10" t="s">
        <v>91</v>
      </c>
      <c r="B10" s="44">
        <v>6.6000000000000003E-2</v>
      </c>
      <c r="C10" s="43" t="s">
        <v>92</v>
      </c>
      <c r="D10" s="43" t="s">
        <v>102</v>
      </c>
      <c r="E10" s="42">
        <v>0.1</v>
      </c>
      <c r="F10" s="43" t="s">
        <v>184</v>
      </c>
    </row>
    <row r="11" spans="1:10">
      <c r="A11" t="s">
        <v>93</v>
      </c>
      <c r="B11" s="44">
        <v>1.4999999999999999E-2</v>
      </c>
      <c r="C11" s="43" t="s">
        <v>94</v>
      </c>
      <c r="D11" s="44" t="s">
        <v>104</v>
      </c>
      <c r="E11" s="42">
        <v>0.05</v>
      </c>
      <c r="F11" s="43" t="s">
        <v>95</v>
      </c>
    </row>
    <row r="12" spans="1:10">
      <c r="A12" t="s">
        <v>96</v>
      </c>
      <c r="B12" s="44">
        <v>0</v>
      </c>
      <c r="C12" s="43" t="s">
        <v>85</v>
      </c>
      <c r="D12" s="43" t="s">
        <v>99</v>
      </c>
      <c r="E12" s="42">
        <v>0.1</v>
      </c>
      <c r="F12" s="43" t="s">
        <v>182</v>
      </c>
    </row>
    <row r="13" spans="1:10">
      <c r="A13" t="s">
        <v>97</v>
      </c>
      <c r="B13" s="44">
        <v>0</v>
      </c>
      <c r="C13" s="43" t="s">
        <v>85</v>
      </c>
      <c r="D13" s="43" t="s">
        <v>98</v>
      </c>
      <c r="E13" s="42">
        <v>0.05</v>
      </c>
      <c r="F13" s="43" t="s">
        <v>182</v>
      </c>
      <c r="I13" s="41"/>
      <c r="J13" s="41"/>
    </row>
    <row r="14" spans="1:10">
      <c r="B14" s="43"/>
      <c r="C14" s="43"/>
      <c r="D14" s="43"/>
      <c r="E14" s="43"/>
      <c r="F14" s="43"/>
    </row>
    <row r="17" spans="1:10">
      <c r="A17" s="19" t="s">
        <v>169</v>
      </c>
    </row>
    <row r="18" spans="1:10">
      <c r="C18" t="s">
        <v>151</v>
      </c>
      <c r="D18" t="s">
        <v>148</v>
      </c>
      <c r="E18" t="s">
        <v>152</v>
      </c>
    </row>
    <row r="19" spans="1:10">
      <c r="A19" s="30" t="s">
        <v>153</v>
      </c>
      <c r="B19" s="30" t="s">
        <v>154</v>
      </c>
      <c r="C19" s="30">
        <v>0</v>
      </c>
      <c r="D19" s="30">
        <v>0</v>
      </c>
      <c r="E19" s="30" t="s">
        <v>155</v>
      </c>
      <c r="F19" s="30"/>
      <c r="G19" s="30"/>
      <c r="H19" s="30"/>
      <c r="I19" s="30"/>
      <c r="J19" s="30"/>
    </row>
    <row r="20" spans="1:10">
      <c r="A20" s="30" t="s">
        <v>153</v>
      </c>
      <c r="B20" s="30" t="s">
        <v>156</v>
      </c>
      <c r="C20" s="30">
        <v>0</v>
      </c>
      <c r="D20" s="142">
        <v>0.09</v>
      </c>
      <c r="E20" s="30" t="s">
        <v>157</v>
      </c>
      <c r="F20" s="30"/>
      <c r="G20" s="30"/>
      <c r="H20" s="30"/>
      <c r="I20" s="30"/>
      <c r="J20" s="30"/>
    </row>
    <row r="21" spans="1:10">
      <c r="A21" s="30" t="s">
        <v>153</v>
      </c>
      <c r="B21" s="30" t="s">
        <v>158</v>
      </c>
      <c r="C21" s="30">
        <v>0</v>
      </c>
      <c r="D21" s="142">
        <v>0</v>
      </c>
      <c r="E21" s="30" t="s">
        <v>159</v>
      </c>
      <c r="F21" s="30"/>
      <c r="G21" s="30"/>
      <c r="H21" s="30"/>
      <c r="I21" s="30"/>
      <c r="J21" s="30"/>
    </row>
    <row r="22" spans="1:10">
      <c r="A22" s="30" t="s">
        <v>153</v>
      </c>
      <c r="B22" s="30" t="s">
        <v>0</v>
      </c>
      <c r="C22" s="30">
        <v>0</v>
      </c>
      <c r="D22" s="143">
        <v>0</v>
      </c>
      <c r="E22" s="30" t="s">
        <v>160</v>
      </c>
      <c r="F22" s="30"/>
      <c r="G22" s="30"/>
      <c r="H22" s="30"/>
      <c r="I22" s="30"/>
      <c r="J22" s="30"/>
    </row>
    <row r="23" spans="1:10">
      <c r="A23" s="30" t="s">
        <v>161</v>
      </c>
      <c r="B23" s="30" t="s">
        <v>154</v>
      </c>
      <c r="C23" s="30">
        <v>0</v>
      </c>
      <c r="D23" s="30">
        <v>0</v>
      </c>
      <c r="E23" s="30" t="s">
        <v>162</v>
      </c>
      <c r="F23" s="30"/>
      <c r="G23" s="30"/>
      <c r="H23" s="30"/>
      <c r="I23" s="30"/>
      <c r="J23" s="30"/>
    </row>
    <row r="24" spans="1:10">
      <c r="A24" s="30" t="s">
        <v>161</v>
      </c>
      <c r="B24" s="30" t="s">
        <v>156</v>
      </c>
      <c r="C24" s="30">
        <v>0</v>
      </c>
      <c r="D24" s="142">
        <v>0.05</v>
      </c>
      <c r="E24" s="30" t="s">
        <v>163</v>
      </c>
      <c r="F24" s="30"/>
      <c r="G24" s="30"/>
      <c r="H24" s="30"/>
      <c r="I24" s="30"/>
      <c r="J24" s="30"/>
    </row>
    <row r="25" spans="1:10">
      <c r="A25" s="30" t="s">
        <v>161</v>
      </c>
      <c r="B25" s="30" t="s">
        <v>158</v>
      </c>
      <c r="C25" s="30">
        <v>0</v>
      </c>
      <c r="D25" s="142">
        <v>0</v>
      </c>
      <c r="E25" s="30" t="s">
        <v>164</v>
      </c>
      <c r="F25" s="30"/>
      <c r="G25" s="30"/>
      <c r="H25" s="30"/>
      <c r="I25" s="30"/>
      <c r="J25" s="30"/>
    </row>
    <row r="26" spans="1:10">
      <c r="A26" s="30" t="s">
        <v>161</v>
      </c>
      <c r="B26" s="30" t="s">
        <v>0</v>
      </c>
      <c r="C26" s="30">
        <v>0</v>
      </c>
      <c r="D26" s="142">
        <v>0.1</v>
      </c>
      <c r="E26" s="30" t="s">
        <v>165</v>
      </c>
      <c r="F26" s="30"/>
      <c r="G26" s="30"/>
      <c r="H26" s="30"/>
      <c r="I26" s="30"/>
      <c r="J26" s="30"/>
    </row>
    <row r="27" spans="1:10">
      <c r="A27" s="30" t="s">
        <v>166</v>
      </c>
      <c r="B27" s="30" t="s">
        <v>167</v>
      </c>
      <c r="C27" s="142">
        <v>0.05</v>
      </c>
      <c r="D27" s="142">
        <v>0.05</v>
      </c>
      <c r="E27" s="30" t="s">
        <v>168</v>
      </c>
      <c r="F27" s="30"/>
      <c r="G27" s="30"/>
      <c r="H27" s="30"/>
      <c r="I27" s="30"/>
      <c r="J27" s="30"/>
    </row>
    <row r="28" spans="1:10">
      <c r="A28" s="30"/>
      <c r="B28" s="30"/>
      <c r="C28" s="30"/>
      <c r="D28" s="30"/>
      <c r="E28" s="30"/>
      <c r="F28" s="30"/>
      <c r="G28" s="30"/>
      <c r="H28" s="30"/>
      <c r="I28" s="30"/>
      <c r="J28" s="30"/>
    </row>
  </sheetData>
  <printOptions gridLines="1"/>
  <pageMargins left="0.7" right="0.7" top="0.75" bottom="0.75" header="0.3" footer="0.3"/>
  <pageSetup orientation="landscape" r:id="rId1"/>
  <headerFooter>
    <oddHeader>&amp;C&amp;"-,Bold"Transportation Forecasts March 2011</oddHeader>
    <oddFooter>&amp;R&amp;D</oddFooter>
  </headerFooter>
</worksheet>
</file>

<file path=xl/worksheets/sheet7.xml><?xml version="1.0" encoding="utf-8"?>
<worksheet xmlns="http://schemas.openxmlformats.org/spreadsheetml/2006/main" xmlns:r="http://schemas.openxmlformats.org/officeDocument/2006/relationships">
  <dimension ref="A1:D38"/>
  <sheetViews>
    <sheetView topLeftCell="A19" workbookViewId="0">
      <selection activeCell="D35" sqref="D35"/>
    </sheetView>
  </sheetViews>
  <sheetFormatPr defaultRowHeight="15"/>
  <cols>
    <col min="1" max="1" width="18.7109375" style="7" customWidth="1"/>
    <col min="2" max="2" width="75.140625" style="7" customWidth="1"/>
    <col min="3" max="3" width="35.7109375" style="7" customWidth="1"/>
    <col min="4" max="4" width="28.28515625" customWidth="1"/>
  </cols>
  <sheetData>
    <row r="1" spans="1:4">
      <c r="B1" s="139" t="s">
        <v>185</v>
      </c>
      <c r="C1" s="139" t="s">
        <v>186</v>
      </c>
    </row>
    <row r="3" spans="1:4">
      <c r="A3" s="139" t="s">
        <v>187</v>
      </c>
      <c r="C3" s="7" t="s">
        <v>187</v>
      </c>
      <c r="D3" s="19" t="s">
        <v>223</v>
      </c>
    </row>
    <row r="4" spans="1:4" ht="75">
      <c r="A4" s="190" t="s">
        <v>188</v>
      </c>
      <c r="B4" s="7" t="s">
        <v>189</v>
      </c>
      <c r="C4" s="7" t="s">
        <v>190</v>
      </c>
      <c r="D4" s="7" t="s">
        <v>226</v>
      </c>
    </row>
    <row r="5" spans="1:4" ht="30">
      <c r="B5" s="7" t="s">
        <v>191</v>
      </c>
    </row>
    <row r="6" spans="1:4" ht="30">
      <c r="B6" s="7" t="s">
        <v>192</v>
      </c>
    </row>
    <row r="7" spans="1:4">
      <c r="B7" s="7" t="s">
        <v>193</v>
      </c>
    </row>
    <row r="8" spans="1:4">
      <c r="B8" s="7" t="s">
        <v>194</v>
      </c>
    </row>
    <row r="9" spans="1:4">
      <c r="B9" s="7" t="s">
        <v>195</v>
      </c>
    </row>
    <row r="10" spans="1:4">
      <c r="A10" s="139" t="s">
        <v>196</v>
      </c>
      <c r="C10" s="7" t="s">
        <v>197</v>
      </c>
    </row>
    <row r="11" spans="1:4" ht="60">
      <c r="A11" s="7" t="s">
        <v>198</v>
      </c>
      <c r="B11" s="7" t="s">
        <v>199</v>
      </c>
      <c r="C11" s="7" t="s">
        <v>200</v>
      </c>
      <c r="D11" s="7" t="s">
        <v>227</v>
      </c>
    </row>
    <row r="12" spans="1:4" ht="30">
      <c r="B12" s="7" t="s">
        <v>201</v>
      </c>
    </row>
    <row r="13" spans="1:4" ht="30">
      <c r="B13" s="7" t="s">
        <v>202</v>
      </c>
    </row>
    <row r="14" spans="1:4" ht="60">
      <c r="B14" s="7" t="s">
        <v>203</v>
      </c>
    </row>
    <row r="15" spans="1:4">
      <c r="B15" s="7" t="s">
        <v>204</v>
      </c>
    </row>
    <row r="17" spans="1:4" ht="30">
      <c r="A17" s="139" t="s">
        <v>205</v>
      </c>
    </row>
    <row r="18" spans="1:4" ht="30">
      <c r="A18" s="7" t="s">
        <v>206</v>
      </c>
      <c r="B18" s="7" t="s">
        <v>207</v>
      </c>
    </row>
    <row r="20" spans="1:4">
      <c r="A20" s="139" t="s">
        <v>89</v>
      </c>
      <c r="C20" s="7" t="s">
        <v>208</v>
      </c>
    </row>
    <row r="21" spans="1:4" ht="90">
      <c r="A21" s="7" t="s">
        <v>206</v>
      </c>
      <c r="B21" s="7" t="s">
        <v>209</v>
      </c>
      <c r="C21" s="7" t="s">
        <v>210</v>
      </c>
    </row>
    <row r="22" spans="1:4" ht="60">
      <c r="B22" s="7" t="s">
        <v>211</v>
      </c>
    </row>
    <row r="23" spans="1:4" ht="60">
      <c r="B23" s="7" t="s">
        <v>212</v>
      </c>
    </row>
    <row r="25" spans="1:4">
      <c r="A25" s="139" t="s">
        <v>213</v>
      </c>
    </row>
    <row r="26" spans="1:4">
      <c r="A26" s="7" t="s">
        <v>214</v>
      </c>
      <c r="B26" s="7" t="s">
        <v>215</v>
      </c>
    </row>
    <row r="27" spans="1:4">
      <c r="B27" s="7" t="s">
        <v>216</v>
      </c>
      <c r="D27" t="s">
        <v>224</v>
      </c>
    </row>
    <row r="28" spans="1:4" ht="30">
      <c r="B28" s="7" t="s">
        <v>217</v>
      </c>
    </row>
    <row r="29" spans="1:4" ht="45">
      <c r="B29" s="7" t="s">
        <v>218</v>
      </c>
    </row>
    <row r="31" spans="1:4">
      <c r="A31" s="139" t="s">
        <v>93</v>
      </c>
    </row>
    <row r="32" spans="1:4">
      <c r="A32" s="7" t="s">
        <v>188</v>
      </c>
      <c r="B32" s="7" t="s">
        <v>219</v>
      </c>
    </row>
    <row r="34" spans="1:4" ht="30">
      <c r="A34" s="139" t="s">
        <v>220</v>
      </c>
    </row>
    <row r="35" spans="1:4" ht="45">
      <c r="A35" s="7" t="s">
        <v>214</v>
      </c>
      <c r="B35" s="7" t="s">
        <v>221</v>
      </c>
      <c r="D35" s="7" t="s">
        <v>225</v>
      </c>
    </row>
    <row r="37" spans="1:4">
      <c r="A37" s="139" t="s">
        <v>97</v>
      </c>
    </row>
    <row r="38" spans="1:4" ht="30">
      <c r="A38" s="7" t="s">
        <v>188</v>
      </c>
      <c r="B38" s="7" t="s">
        <v>222</v>
      </c>
    </row>
  </sheetData>
  <pageMargins left="0" right="0" top="0.75" bottom="0.75" header="0.3" footer="0.3"/>
  <pageSetup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API</vt:lpstr>
      <vt:lpstr>CMDS</vt:lpstr>
      <vt:lpstr>Specialty</vt:lpstr>
      <vt:lpstr>Nuclear</vt:lpstr>
      <vt:lpstr>Transport Assumptions</vt:lpstr>
      <vt:lpstr>Mode Impacts</vt:lpstr>
    </vt:vector>
  </TitlesOfParts>
  <Company>Covidien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Covidien</dc:creator>
  <cp:lastModifiedBy>marcia.schaper</cp:lastModifiedBy>
  <cp:lastPrinted>2011-03-30T19:57:19Z</cp:lastPrinted>
  <dcterms:created xsi:type="dcterms:W3CDTF">2010-12-20T21:19:02Z</dcterms:created>
  <dcterms:modified xsi:type="dcterms:W3CDTF">2011-03-30T19:57:35Z</dcterms:modified>
</cp:coreProperties>
</file>