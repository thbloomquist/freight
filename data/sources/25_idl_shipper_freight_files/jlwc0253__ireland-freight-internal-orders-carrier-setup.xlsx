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xl/queryTables/queryTable5.xml" ContentType="application/vnd.openxmlformats-officedocument.spreadsheetml.queryTable+xml"/>
  <Override PartName="/xl/queryTables/queryTable6.xml" ContentType="application/vnd.openxmlformats-officedocument.spreadsheetml.queryTable+xml"/>
  <Override PartName="/xl/queryTables/queryTable7.xml" ContentType="application/vnd.openxmlformats-officedocument.spreadsheetml.queryTable+xml"/>
  <Override PartName="/xl/queryTables/queryTable8.xml" ContentType="application/vnd.openxmlformats-officedocument.spreadsheetml.queryTable+xml"/>
  <Override PartName="/xl/queryTables/queryTable9.xml" ContentType="application/vnd.openxmlformats-officedocument.spreadsheetml.queryTable+xml"/>
  <Override PartName="/xl/queryTables/queryTable10.xml" ContentType="application/vnd.openxmlformats-officedocument.spreadsheetml.queryTable+xml"/>
  <Override PartName="/xl/queryTables/queryTable11.xml" ContentType="application/vnd.openxmlformats-officedocument.spreadsheetml.queryTable+xml"/>
  <Override PartName="/xl/queryTables/queryTable12.xml" ContentType="application/vnd.openxmlformats-officedocument.spreadsheetml.queryTable+xml"/>
  <Override PartName="/xl/queryTables/queryTable13.xml" ContentType="application/vnd.openxmlformats-officedocument.spreadsheetml.queryTable+xml"/>
  <Override PartName="/xl/queryTables/queryTable14.xml" ContentType="application/vnd.openxmlformats-officedocument.spreadsheetml.queryTable+xml"/>
  <Override PartName="/xl/queryTables/queryTable15.xml" ContentType="application/vnd.openxmlformats-officedocument.spreadsheetml.queryTable+xml"/>
  <Override PartName="/xl/queryTables/queryTable16.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defaultThemeVersion="124226"/>
  <bookViews>
    <workbookView xWindow="0" yWindow="0" windowWidth="20730" windowHeight="8910" tabRatio="907" firstSheet="4" activeTab="7"/>
  </bookViews>
  <sheets>
    <sheet name="Project Team" sheetId="15" r:id="rId1"/>
    <sheet name="Timeline" sheetId="31" r:id="rId2"/>
    <sheet name="LocationFile" sheetId="11" r:id="rId3"/>
    <sheet name="Carrier File" sheetId="1" r:id="rId4"/>
    <sheet name="Carrier AP#s" sheetId="52" r:id="rId5"/>
    <sheet name="Parcel file" sheetId="50" r:id="rId6"/>
    <sheet name="Account Codes" sheetId="51" r:id="rId7"/>
    <sheet name="freight Internal Orders" sheetId="56" r:id="rId8"/>
    <sheet name="Users Access" sheetId="45" r:id="rId9"/>
    <sheet name="Notes" sheetId="38" r:id="rId10"/>
    <sheet name="Rules " sheetId="42" r:id="rId11"/>
    <sheet name="Customer-Vendor File" sheetId="21" r:id="rId12"/>
    <sheet name="Reports &amp; Files" sheetId="48" r:id="rId13"/>
    <sheet name="Payment Instruction File" sheetId="46" r:id="rId14"/>
    <sheet name="Parcel Contracts" sheetId="27" r:id="rId15"/>
    <sheet name="Parcel Template" sheetId="28" r:id="rId16"/>
    <sheet name="History Load" sheetId="10" r:id="rId17"/>
    <sheet name="EDI Carriers" sheetId="12" r:id="rId18"/>
    <sheet name="GL required data" sheetId="53" r:id="rId19"/>
    <sheet name="Cost Center 7-18-2017" sheetId="54" r:id="rId20"/>
    <sheet name="Plant ID 7-18-2017" sheetId="55" r:id="rId21"/>
  </sheets>
  <definedNames>
    <definedName name="_xlnm._FilterDatabase" localSheetId="6" hidden="1">'Account Codes'!$A$1:$S$395</definedName>
    <definedName name="_xlnm._FilterDatabase" localSheetId="4" hidden="1">'Carrier AP#s'!$A$1:$D$24</definedName>
    <definedName name="_Toc125351112" localSheetId="16">'History Load'!#REF!</definedName>
    <definedName name="_Toc125956400" localSheetId="16">'History Load'!$A$11</definedName>
    <definedName name="_Toc125956401" localSheetId="16">'History Load'!$A$12</definedName>
    <definedName name="_xlnm.Database">#REF!</definedName>
    <definedName name="ParcelAccount" localSheetId="5">'Parcel file'!$A$1:$D$1</definedName>
    <definedName name="ParcelAccount_1" localSheetId="5">'Parcel file'!$A$1:$D$1</definedName>
    <definedName name="ParcelAccount_10" localSheetId="5">'Parcel file'!$A$1:$D$1</definedName>
    <definedName name="ParcelAccount_11" localSheetId="5">'Parcel file'!$A$1:$D$1</definedName>
    <definedName name="ParcelAccount_12" localSheetId="5">'Parcel file'!$A$1:$D$1</definedName>
    <definedName name="ParcelAccount_13" localSheetId="5">'Parcel file'!$A$1:$D$1</definedName>
    <definedName name="ParcelAccount_14" localSheetId="5">'Parcel file'!$A$1:$D$1</definedName>
    <definedName name="ParcelAccount_15" localSheetId="5">'Parcel file'!$A$1:$D$1</definedName>
    <definedName name="ParcelAccount_2" localSheetId="5">'Parcel file'!$A$1:$D$1</definedName>
    <definedName name="ParcelAccount_3" localSheetId="5">'Parcel file'!$A$1:$D$1</definedName>
    <definedName name="ParcelAccount_4" localSheetId="5">'Parcel file'!$A$1:$D$1</definedName>
    <definedName name="ParcelAccount_5" localSheetId="5">'Parcel file'!$A$1:$D$1</definedName>
    <definedName name="ParcelAccount_6" localSheetId="5">'Parcel file'!$A$1:$D$1</definedName>
    <definedName name="ParcelAccount_7" localSheetId="5">'Parcel file'!$A$1:$D$1</definedName>
    <definedName name="ParcelAccount_8" localSheetId="5">'Parcel file'!$A$1:$D$1</definedName>
    <definedName name="ParcelAccount_9" localSheetId="5">'Parcel file'!$A$1:$D$1</definedName>
    <definedName name="_xlnm.Print_Titles" localSheetId="13">'Payment Instruction File'!$2:$2</definedName>
  </definedNames>
  <calcPr calcId="145621"/>
</workbook>
</file>

<file path=xl/calcChain.xml><?xml version="1.0" encoding="utf-8"?>
<calcChain xmlns="http://schemas.openxmlformats.org/spreadsheetml/2006/main">
  <c r="R59" i="51" l="1"/>
  <c r="R58" i="51"/>
  <c r="R57" i="51"/>
  <c r="R56" i="51"/>
  <c r="R55" i="51"/>
  <c r="R53" i="51" l="1"/>
  <c r="R52" i="51" l="1"/>
  <c r="I67" i="1" l="1"/>
  <c r="I69" i="1" s="1"/>
  <c r="J67" i="1"/>
  <c r="G69" i="1"/>
  <c r="R51" i="51" l="1"/>
  <c r="R50" i="51"/>
  <c r="R49" i="51"/>
  <c r="R48" i="51"/>
  <c r="R47" i="51"/>
  <c r="R46" i="51"/>
  <c r="R45" i="51"/>
  <c r="R44" i="51"/>
  <c r="R43" i="51"/>
  <c r="R42" i="51"/>
  <c r="R41" i="51"/>
  <c r="R40" i="51"/>
  <c r="R39" i="51"/>
  <c r="R38" i="51"/>
  <c r="R37" i="51"/>
  <c r="R36" i="51"/>
  <c r="R35" i="51"/>
  <c r="R34" i="51"/>
  <c r="R33" i="51"/>
  <c r="R32" i="51"/>
  <c r="R31" i="51"/>
  <c r="R30" i="51"/>
  <c r="R29" i="51"/>
  <c r="R28" i="51"/>
  <c r="R27" i="51"/>
  <c r="R26" i="51"/>
  <c r="R25" i="51"/>
  <c r="R24" i="51"/>
  <c r="R23" i="51"/>
  <c r="R22" i="51"/>
  <c r="R21" i="51"/>
  <c r="R20" i="51"/>
  <c r="R19" i="51"/>
  <c r="R18" i="51"/>
  <c r="R17" i="51"/>
  <c r="R16" i="51"/>
  <c r="R15" i="51"/>
  <c r="R14" i="51"/>
  <c r="R13" i="51"/>
  <c r="R12" i="51"/>
  <c r="R11" i="51"/>
  <c r="R10" i="51"/>
  <c r="R9" i="51"/>
  <c r="R8" i="51"/>
  <c r="R7" i="51"/>
  <c r="R6" i="51"/>
  <c r="R5" i="51"/>
  <c r="R4" i="51"/>
  <c r="R3" i="51"/>
  <c r="R2" i="51"/>
</calcChain>
</file>

<file path=xl/connections.xml><?xml version="1.0" encoding="utf-8"?>
<connections xmlns="http://schemas.openxmlformats.org/spreadsheetml/2006/main">
  <connection id="1" name="ParcelAccount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2" name="ParcelAccount1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3" name="ParcelAccount11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4" name="ParcelAccount111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5" name="ParcelAccount1111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6" name="ParcelAccount1112"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7" name="ParcelAccount112"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8" name="ParcelAccount112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9" name="ParcelAccount113"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0" name="ParcelAccount12"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1" name="ParcelAccount12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2" name="ParcelAccount121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3" name="ParcelAccount122"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4" name="ParcelAccount13"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5" name="ParcelAccount131"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 id="16" name="ParcelAccount14" type="6" refreshedVersion="4" background="1" saveData="1">
    <textPr codePage="437" sourceFile="C:\Users\ccameron\Dropbox (A3 Freight Payment)\Mallinckrodt\Current Tables 11815\ParcelAccount.txt">
      <textFields count="4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<sst xmlns="http://schemas.openxmlformats.org/spreadsheetml/2006/main" count="10018" uniqueCount="2749">
  <si>
    <t>S</t>
  </si>
  <si>
    <t>IN</t>
  </si>
  <si>
    <t>EUR</t>
  </si>
  <si>
    <t>DE</t>
  </si>
  <si>
    <t>D</t>
  </si>
  <si>
    <t>PARCEL TEMPLATE</t>
  </si>
  <si>
    <t>F</t>
  </si>
  <si>
    <r>
      <t xml:space="preserve">Services Included </t>
    </r>
    <r>
      <rPr>
        <sz val="11"/>
        <color indexed="8"/>
        <rFont val="Calibri"/>
        <family val="2"/>
      </rPr>
      <t>(please answer yes or no)</t>
    </r>
  </si>
  <si>
    <t>Multi/        Hundred-Weight</t>
  </si>
  <si>
    <t>IL</t>
  </si>
  <si>
    <t>UT</t>
  </si>
  <si>
    <t>Carrier</t>
  </si>
  <si>
    <t>Contract Date</t>
  </si>
  <si>
    <t>Confirmed Effective Date</t>
  </si>
  <si>
    <t>Domestic</t>
  </si>
  <si>
    <t>Ground</t>
  </si>
  <si>
    <t>Air/ Express</t>
  </si>
  <si>
    <t>Std Ground</t>
  </si>
  <si>
    <t>Export</t>
  </si>
  <si>
    <t>Import</t>
  </si>
  <si>
    <t>Heavyweight</t>
  </si>
  <si>
    <t>Non-U.S.</t>
  </si>
  <si>
    <r>
      <t xml:space="preserve">Copy of current </t>
    </r>
    <r>
      <rPr>
        <b/>
        <sz val="11"/>
        <color indexed="8"/>
        <rFont val="Calibri"/>
        <family val="2"/>
      </rPr>
      <t>Net Rate Sheets</t>
    </r>
    <r>
      <rPr>
        <sz val="11"/>
        <color theme="1"/>
        <rFont val="Calibri"/>
        <family val="2"/>
        <scheme val="minor"/>
      </rPr>
      <t xml:space="preserve"> from carrier(s).</t>
    </r>
  </si>
  <si>
    <t>PARCEL CONTRACTS</t>
  </si>
  <si>
    <r>
      <t xml:space="preserve">Please submit all </t>
    </r>
    <r>
      <rPr>
        <b/>
        <sz val="11"/>
        <color indexed="8"/>
        <rFont val="Calibri"/>
        <family val="2"/>
      </rPr>
      <t>Master Service Agreements</t>
    </r>
    <r>
      <rPr>
        <sz val="11"/>
        <color indexed="8"/>
        <rFont val="Calibri"/>
        <family val="2"/>
      </rPr>
      <t xml:space="preserve"> you company holds with Parcel carriers.</t>
    </r>
  </si>
  <si>
    <r>
      <t xml:space="preserve">Include any and all current </t>
    </r>
    <r>
      <rPr>
        <b/>
        <sz val="11"/>
        <color indexed="8"/>
        <rFont val="Calibri"/>
        <family val="2"/>
      </rPr>
      <t>Addendums and Attachments</t>
    </r>
    <r>
      <rPr>
        <sz val="11"/>
        <color theme="1"/>
        <rFont val="Calibri"/>
        <family val="2"/>
        <scheme val="minor"/>
      </rPr>
      <t xml:space="preserve"> related to the contracts.</t>
    </r>
  </si>
  <si>
    <t>Division</t>
  </si>
  <si>
    <t>Location</t>
  </si>
  <si>
    <t>Shipper #</t>
  </si>
  <si>
    <t>Origin State</t>
  </si>
  <si>
    <t>Origin Zip</t>
  </si>
  <si>
    <t>Dest State</t>
  </si>
  <si>
    <t>Dest Zip</t>
  </si>
  <si>
    <t>CA</t>
  </si>
  <si>
    <t>Client Code</t>
  </si>
  <si>
    <t>Carrier Name</t>
  </si>
  <si>
    <t>Mode</t>
  </si>
  <si>
    <t>INSTRUCTIONS</t>
  </si>
  <si>
    <t xml:space="preserve"> Procedure Name: </t>
  </si>
  <si>
    <t>Procedure #:</t>
  </si>
  <si>
    <t>Post Audit of Client History Load</t>
  </si>
  <si>
    <t>IMP 001</t>
  </si>
  <si>
    <t>Process Owner:</t>
  </si>
  <si>
    <t>Last Modified Date:</t>
  </si>
  <si>
    <t>Creation Date:</t>
  </si>
  <si>
    <t>Person Responsible for Process:</t>
  </si>
  <si>
    <t>Implementation Manager</t>
  </si>
  <si>
    <t>Implementation Analyst</t>
  </si>
  <si>
    <t>To provide evaluation for client to evaluate current edits to previously paid data.</t>
  </si>
  <si>
    <t>Client provides file of paid bills.  This file is loaded to the Client’s history file in StarPay and the history is used to provide duplicate payment avoidance.  The fields required for this process are indicated with a (M)andatory, other fields are (O)ptional (though recommended for complete history).</t>
  </si>
  <si>
    <t>(M)</t>
  </si>
  <si>
    <t xml:space="preserve">SCAC </t>
  </si>
  <si>
    <t xml:space="preserve">(M) </t>
  </si>
  <si>
    <t>Carrier Name, Address, City, State and Zip (This allows matching for carriers with same name and proprietary SCAC)</t>
  </si>
  <si>
    <t>(O)</t>
  </si>
  <si>
    <t xml:space="preserve">Paid Date </t>
  </si>
  <si>
    <t xml:space="preserve">Ship Date </t>
  </si>
  <si>
    <t>Invoice Date</t>
  </si>
  <si>
    <t>Paid Amount</t>
  </si>
  <si>
    <t>Billed Amount</t>
  </si>
  <si>
    <t>Terms (Prepaid/Collect/Third Party)</t>
  </si>
  <si>
    <t>Origin Name</t>
  </si>
  <si>
    <t>Origin City</t>
  </si>
  <si>
    <t>Destination Name</t>
  </si>
  <si>
    <t>Destination City</t>
  </si>
  <si>
    <t>Invoice Number</t>
  </si>
  <si>
    <t>B/L Number</t>
  </si>
  <si>
    <t>Receiving Number</t>
  </si>
  <si>
    <t>Check Number</t>
  </si>
  <si>
    <t>Check Date</t>
  </si>
  <si>
    <t>Check Amount</t>
  </si>
  <si>
    <t>Cleared Date</t>
  </si>
  <si>
    <t>All other Client Specific Fields, such as: Account Number, PO Number, Class, Weight, etc…</t>
  </si>
  <si>
    <t>Once the File is Loaded, It will be validated for:</t>
  </si>
  <si>
    <r>
      <t>·</t>
    </r>
    <r>
      <rPr>
        <sz val="7"/>
        <color indexed="9"/>
        <rFont val="Times New Roman"/>
        <family val="1"/>
      </rPr>
      <t xml:space="preserve">          </t>
    </r>
    <r>
      <rPr>
        <sz val="9"/>
        <color indexed="9"/>
        <rFont val="Calibri"/>
        <family val="2"/>
      </rPr>
      <t>Valid SCAC and that the Carrier is an active carrier</t>
    </r>
  </si>
  <si>
    <r>
      <t>·</t>
    </r>
    <r>
      <rPr>
        <sz val="7"/>
        <color indexed="9"/>
        <rFont val="Times New Roman"/>
        <family val="1"/>
      </rPr>
      <t xml:space="preserve">          </t>
    </r>
    <r>
      <rPr>
        <sz val="9"/>
        <color indexed="9"/>
        <rFont val="Calibri"/>
        <family val="2"/>
      </rPr>
      <t>Template Error</t>
    </r>
  </si>
  <si>
    <r>
      <t>·</t>
    </r>
    <r>
      <rPr>
        <sz val="7"/>
        <color indexed="9"/>
        <rFont val="Times New Roman"/>
        <family val="1"/>
      </rPr>
      <t xml:space="preserve">          </t>
    </r>
    <r>
      <rPr>
        <sz val="9"/>
        <color indexed="9"/>
        <rFont val="Calibri"/>
        <family val="2"/>
      </rPr>
      <t>Duplicating Invoice Number Flag</t>
    </r>
  </si>
  <si>
    <r>
      <t>·</t>
    </r>
    <r>
      <rPr>
        <sz val="7"/>
        <color indexed="9"/>
        <rFont val="Times New Roman"/>
        <family val="1"/>
      </rPr>
      <t xml:space="preserve">          </t>
    </r>
    <r>
      <rPr>
        <sz val="9"/>
        <color indexed="9"/>
        <rFont val="Calibri"/>
        <family val="2"/>
      </rPr>
      <t>Duplicating Authorization Flag</t>
    </r>
  </si>
  <si>
    <r>
      <t>·</t>
    </r>
    <r>
      <rPr>
        <sz val="7"/>
        <color indexed="9"/>
        <rFont val="Times New Roman"/>
        <family val="1"/>
      </rPr>
      <t xml:space="preserve">          </t>
    </r>
    <r>
      <rPr>
        <sz val="9"/>
        <color indexed="9"/>
        <rFont val="Calibri"/>
        <family val="2"/>
      </rPr>
      <t>Mode Edits Flags</t>
    </r>
  </si>
  <si>
    <r>
      <t>·</t>
    </r>
    <r>
      <rPr>
        <sz val="7"/>
        <color indexed="9"/>
        <rFont val="Times New Roman"/>
        <family val="1"/>
      </rPr>
      <t xml:space="preserve">          </t>
    </r>
    <r>
      <rPr>
        <sz val="9"/>
        <color indexed="9"/>
        <rFont val="Calibri"/>
        <family val="2"/>
      </rPr>
      <t>(If Mode = SE (Sea or Air)or B (Barge) or SCAC = UPSN and Paid Amount &gt;250,000.00) Else if Paid Amount &gt;$20,000.00, Flag.</t>
    </r>
  </si>
  <si>
    <t>From this data a post audit report will be provided to the Client, in any case where the Carrier is not active or the Template is in error, these bills must be moved to Client Resolution for shipments dated before the Client’s start date.</t>
  </si>
  <si>
    <t>The remaining edit results will be supplied to the Client for their review.</t>
  </si>
  <si>
    <t>Corporate ID</t>
  </si>
  <si>
    <t>Company ID</t>
  </si>
  <si>
    <t>Division ID</t>
  </si>
  <si>
    <t>Contact Name</t>
  </si>
  <si>
    <t>Contact Phone</t>
  </si>
  <si>
    <t># of Bills per month</t>
  </si>
  <si>
    <t>Answer Yes or No</t>
  </si>
  <si>
    <t>US</t>
  </si>
  <si>
    <t>International</t>
  </si>
  <si>
    <t>Prepaid</t>
  </si>
  <si>
    <t>3rd Party</t>
  </si>
  <si>
    <t>Collect</t>
  </si>
  <si>
    <t>FWD</t>
  </si>
  <si>
    <t>Broker</t>
  </si>
  <si>
    <t>SteamShip</t>
  </si>
  <si>
    <t>Air</t>
  </si>
  <si>
    <t>User Name</t>
  </si>
  <si>
    <t>Establish Team:</t>
  </si>
  <si>
    <t>First Name</t>
  </si>
  <si>
    <t>Last Name</t>
  </si>
  <si>
    <t>Position</t>
  </si>
  <si>
    <t>Office Phone</t>
  </si>
  <si>
    <t>Mobile Phone</t>
  </si>
  <si>
    <t>e-mail</t>
  </si>
  <si>
    <t>Address</t>
  </si>
  <si>
    <t>City</t>
  </si>
  <si>
    <t>State</t>
  </si>
  <si>
    <t>Zip</t>
  </si>
  <si>
    <t>Project Lead:</t>
  </si>
  <si>
    <t>EDI</t>
  </si>
  <si>
    <t>IT</t>
  </si>
  <si>
    <t>Operations</t>
  </si>
  <si>
    <t>International:</t>
  </si>
  <si>
    <t>Name</t>
  </si>
  <si>
    <t>Finance/Accounting:</t>
  </si>
  <si>
    <t>Accounts Payable:</t>
  </si>
  <si>
    <t>Business Rules:</t>
  </si>
  <si>
    <t>Rates:</t>
  </si>
  <si>
    <t>Other:</t>
  </si>
  <si>
    <t>Transportation:</t>
  </si>
  <si>
    <t>Business Unit</t>
  </si>
  <si>
    <t xml:space="preserve">Confirmed: </t>
  </si>
  <si>
    <t xml:space="preserve">Modified: </t>
  </si>
  <si>
    <t>Please Answer Yes/No</t>
  </si>
  <si>
    <t>Make all modifications in red</t>
  </si>
  <si>
    <t>EDI CARRIERS</t>
  </si>
  <si>
    <t>XD = CrossDock</t>
  </si>
  <si>
    <t>PT = Plant</t>
  </si>
  <si>
    <t>DC = Distribution Center</t>
  </si>
  <si>
    <t>OH = Outside Warehouse</t>
  </si>
  <si>
    <t>CUSTOMER /VENDOR FILE</t>
  </si>
  <si>
    <t>Customer/ Vendor Number</t>
  </si>
  <si>
    <t>Customer/ Vendor  Name</t>
  </si>
  <si>
    <t>Customer/ Vendor  Country</t>
  </si>
  <si>
    <t>Declare: CS=Customer  VN=Vendor</t>
  </si>
  <si>
    <t>HISTORY LOAD</t>
  </si>
  <si>
    <t>SCAC</t>
  </si>
  <si>
    <t>Tariff</t>
  </si>
  <si>
    <t>Origin Postal Code</t>
  </si>
  <si>
    <t>Notes</t>
  </si>
  <si>
    <t>C</t>
  </si>
  <si>
    <t>Amount</t>
  </si>
  <si>
    <t>AccountCode</t>
  </si>
  <si>
    <t>Customer/
Vendor 
Zip Code</t>
  </si>
  <si>
    <t>TranzAct Technologies - Project Team</t>
  </si>
  <si>
    <t>Address1</t>
  </si>
  <si>
    <t>ALL</t>
  </si>
  <si>
    <t>Darrin</t>
  </si>
  <si>
    <t>360 W. Butterfield Rd Suite 400</t>
  </si>
  <si>
    <t>Elmhurst</t>
  </si>
  <si>
    <t>Finance / Accounting:</t>
  </si>
  <si>
    <t>Controller</t>
  </si>
  <si>
    <t>630-530-6707</t>
  </si>
  <si>
    <t xml:space="preserve">Pam </t>
  </si>
  <si>
    <t>Erzig</t>
  </si>
  <si>
    <t>Accounts Payable Clerk</t>
  </si>
  <si>
    <t>630-530-6862</t>
  </si>
  <si>
    <t>erzigpamela@tranzact.com</t>
  </si>
  <si>
    <t>Ken</t>
  </si>
  <si>
    <t>McCullough</t>
  </si>
  <si>
    <t>IT Manager</t>
  </si>
  <si>
    <t>630-530-6473</t>
  </si>
  <si>
    <t>McCulloughken@tranzact.com</t>
  </si>
  <si>
    <t>EDI Manager</t>
  </si>
  <si>
    <t>630-530-6475</t>
  </si>
  <si>
    <t>Audit</t>
  </si>
  <si>
    <t>Brian</t>
  </si>
  <si>
    <t>Bither</t>
  </si>
  <si>
    <t>Audit Manager</t>
  </si>
  <si>
    <t>630-833-0890 x138</t>
  </si>
  <si>
    <t>bitherbrian@tranzact.com</t>
  </si>
  <si>
    <t>Rates</t>
  </si>
  <si>
    <t xml:space="preserve">Sean </t>
  </si>
  <si>
    <t>Burke</t>
  </si>
  <si>
    <t>Dir of Tech Ops</t>
  </si>
  <si>
    <t>330-633-4697</t>
  </si>
  <si>
    <t>swb@tranzact.com</t>
  </si>
  <si>
    <t>85 Community Rd. Suite C</t>
  </si>
  <si>
    <t>Tallmadge</t>
  </si>
  <si>
    <t>OH</t>
  </si>
  <si>
    <t>Sr. Customer Service</t>
  </si>
  <si>
    <t>TBD</t>
  </si>
  <si>
    <t>Overall Account Relation</t>
  </si>
  <si>
    <t>360 W Butterfield Rd Suite 400</t>
  </si>
  <si>
    <t xml:space="preserve">IL </t>
  </si>
  <si>
    <t>Hammerton</t>
  </si>
  <si>
    <t>Manager of Operations</t>
  </si>
  <si>
    <t>630 530 6870</t>
  </si>
  <si>
    <t>hammertonbrian@tranzact.com</t>
  </si>
  <si>
    <t xml:space="preserve"> Implementation Timeline</t>
  </si>
  <si>
    <t>Client Name</t>
  </si>
  <si>
    <t>SOW Date</t>
  </si>
  <si>
    <t>Go Live Date</t>
  </si>
  <si>
    <t>Sales Person</t>
  </si>
  <si>
    <t>ARA</t>
  </si>
  <si>
    <t>Auditor</t>
  </si>
  <si>
    <t>Est Bill Count</t>
  </si>
  <si>
    <t># - Carrier Contracts</t>
  </si>
  <si>
    <t>ID</t>
  </si>
  <si>
    <t>Task Name</t>
  </si>
  <si>
    <t>Target Start</t>
  </si>
  <si>
    <t>Actual Start</t>
  </si>
  <si>
    <t>Target Finish</t>
  </si>
  <si>
    <t>Actual Finish</t>
  </si>
  <si>
    <t>Assigned To</t>
  </si>
  <si>
    <t>Status</t>
  </si>
  <si>
    <t>Establish Freight Payment Team</t>
  </si>
  <si>
    <t>Collect Required Information</t>
  </si>
  <si>
    <t>Finance Information - Check Creation</t>
  </si>
  <si>
    <t>Obtain and Load Plant and Warehouse Data into StarPay</t>
  </si>
  <si>
    <t>Obtain Carrier Rates</t>
  </si>
  <si>
    <t>Obtain Sample BOL's and Carrier Invoices</t>
  </si>
  <si>
    <t>Receive &amp; Load Carrier Rates</t>
  </si>
  <si>
    <t>General Ledger Information</t>
  </si>
  <si>
    <t>StarPay Setup</t>
  </si>
  <si>
    <t>Test Processes</t>
  </si>
  <si>
    <t>Auditing</t>
  </si>
  <si>
    <t>Shipping Matrix Validation</t>
  </si>
  <si>
    <t>Client Specific Rules</t>
  </si>
  <si>
    <t>General Ledger Generation</t>
  </si>
  <si>
    <t>Establish and Test Linkages with Client and Carriers</t>
  </si>
  <si>
    <t>Test File Transmissions to Client</t>
  </si>
  <si>
    <t>Test File Transmissions from Client</t>
  </si>
  <si>
    <t>Test File Loads within StarPay</t>
  </si>
  <si>
    <t>Identify EDI Carriers</t>
  </si>
  <si>
    <t>Configure Freight Payment Application</t>
  </si>
  <si>
    <t>Identify and set up Mytranzact.com Users</t>
  </si>
  <si>
    <t>Communicate Billing Doc. Requirements to Carriers</t>
  </si>
  <si>
    <t>Begin Sending Carrier Notification Letters</t>
  </si>
  <si>
    <t>Communicate  Conversion Date to Client Organization</t>
  </si>
  <si>
    <t>Define Reporting Needs and Validate Test Results</t>
  </si>
  <si>
    <t>Final Test StarPay Process</t>
  </si>
  <si>
    <t>Final Test File Transmissions to Client</t>
  </si>
  <si>
    <t>Final Test File Transmissions From Client</t>
  </si>
  <si>
    <t>Test Report Generation</t>
  </si>
  <si>
    <t>Finalize Client Profile</t>
  </si>
  <si>
    <t>Train Client Organization</t>
  </si>
  <si>
    <t>Conduct Internal Training</t>
  </si>
  <si>
    <t>Start Processing - Go Live</t>
  </si>
  <si>
    <t>Monitor Process and Confirm Results</t>
  </si>
  <si>
    <t>Ongoing</t>
  </si>
  <si>
    <t>All</t>
  </si>
  <si>
    <t>Outputs</t>
  </si>
  <si>
    <t>Funding Reports</t>
  </si>
  <si>
    <t>Mytranzact.com Access</t>
  </si>
  <si>
    <t>Monthly CD's</t>
  </si>
  <si>
    <t>TMS</t>
  </si>
  <si>
    <t>Contact name</t>
  </si>
  <si>
    <t>Contact phone</t>
  </si>
  <si>
    <t>Contact Email</t>
  </si>
  <si>
    <t>Pickup 
Delivery rules</t>
  </si>
  <si>
    <t>Task#</t>
  </si>
  <si>
    <t>Create Client Specific Validations / Business Rules</t>
  </si>
  <si>
    <t xml:space="preserve">Kick-Off Meeting </t>
  </si>
  <si>
    <t>Set up security for Sales person for access to client</t>
  </si>
  <si>
    <t>Louise</t>
  </si>
  <si>
    <t>Sr. Mgr of Transportation Systems</t>
  </si>
  <si>
    <t>630-530-6724</t>
  </si>
  <si>
    <t>louiseken@tranzact.com</t>
  </si>
  <si>
    <t>On EDI
Y/N</t>
  </si>
  <si>
    <t>Audit Review Tolerance Dollars</t>
  </si>
  <si>
    <t>Audit Review Tolerance Percent</t>
  </si>
  <si>
    <t xml:space="preserve">Volume Per Mo </t>
  </si>
  <si>
    <t xml:space="preserve">Received Contract
Y/N </t>
  </si>
  <si>
    <t xml:space="preserve">Received Rates
Y/N </t>
  </si>
  <si>
    <t>Fuel Program</t>
  </si>
  <si>
    <t>Client SCAC</t>
  </si>
  <si>
    <t>Client Mode</t>
  </si>
  <si>
    <r>
      <rPr>
        <b/>
        <u/>
        <sz val="8"/>
        <rFont val="Arial"/>
        <family val="2"/>
      </rPr>
      <t>TranzAct</t>
    </r>
    <r>
      <rPr>
        <b/>
        <sz val="8"/>
        <rFont val="Arial"/>
        <family val="2"/>
      </rPr>
      <t xml:space="preserve"> SCAC</t>
    </r>
  </si>
  <si>
    <r>
      <rPr>
        <b/>
        <u/>
        <sz val="8"/>
        <rFont val="Arial"/>
        <family val="2"/>
      </rPr>
      <t>TranzAct</t>
    </r>
    <r>
      <rPr>
        <b/>
        <sz val="8"/>
        <rFont val="Arial"/>
        <family val="2"/>
      </rPr>
      <t xml:space="preserve"> Mode</t>
    </r>
  </si>
  <si>
    <t>Contract Eff Date</t>
  </si>
  <si>
    <t>Contract Expir Date</t>
  </si>
  <si>
    <t>Mileage</t>
  </si>
  <si>
    <t>Date put in Task Vision</t>
  </si>
  <si>
    <t xml:space="preserve"> Date Task Completed &amp; Tested</t>
  </si>
  <si>
    <t>TranzAct Comments</t>
  </si>
  <si>
    <t>Client  Comments</t>
  </si>
  <si>
    <t>TOTAL</t>
  </si>
  <si>
    <t>* Repeated/combined counts.  Same carrier different SCAC</t>
  </si>
  <si>
    <t>Rates Vol Rec</t>
  </si>
  <si>
    <t>Period</t>
  </si>
  <si>
    <t>Month</t>
  </si>
  <si>
    <t>Week</t>
  </si>
  <si>
    <t>** Rates are for accrual use only</t>
  </si>
  <si>
    <t>Red Italic means the SCAC is not verified</t>
  </si>
  <si>
    <t>Client Mode Legend</t>
  </si>
  <si>
    <t>Motor Carrier</t>
  </si>
  <si>
    <t>W</t>
  </si>
  <si>
    <t>Contractor</t>
  </si>
  <si>
    <t>Warehouse</t>
  </si>
  <si>
    <t>Freight Forwader</t>
  </si>
  <si>
    <t>Ocean</t>
  </si>
  <si>
    <t>AP Number</t>
  </si>
  <si>
    <t>Operations - SME</t>
  </si>
  <si>
    <t>Operations - GR</t>
  </si>
  <si>
    <t>IT:</t>
  </si>
  <si>
    <t>Origin Country Subdivision (State, Province …)</t>
  </si>
  <si>
    <t>Destination Country Subdivision (State, Province …)</t>
  </si>
  <si>
    <t>Destination Postal Code</t>
  </si>
  <si>
    <t>Country</t>
  </si>
  <si>
    <t>NOTES</t>
  </si>
  <si>
    <t>Rule</t>
  </si>
  <si>
    <t>Recommendation</t>
  </si>
  <si>
    <t>CorpCode</t>
  </si>
  <si>
    <t>ClientCode</t>
  </si>
  <si>
    <t>LocationCode</t>
  </si>
  <si>
    <t>Blank</t>
  </si>
  <si>
    <t>ST</t>
  </si>
  <si>
    <t>Zip Code</t>
  </si>
  <si>
    <t>Salutation</t>
  </si>
  <si>
    <t>Contact First Name</t>
  </si>
  <si>
    <t>Synonym</t>
  </si>
  <si>
    <t>Contact phone ext</t>
  </si>
  <si>
    <t>Cell Phone</t>
  </si>
  <si>
    <t>Fax Number</t>
  </si>
  <si>
    <t>Web Addrress</t>
  </si>
  <si>
    <t>Synonym Type</t>
  </si>
  <si>
    <t>Customer Number</t>
  </si>
  <si>
    <t>Reports and Files</t>
  </si>
  <si>
    <t>Number</t>
  </si>
  <si>
    <t>Type</t>
  </si>
  <si>
    <t>Frequency</t>
  </si>
  <si>
    <t>Distribution</t>
  </si>
  <si>
    <t>New or Current</t>
  </si>
  <si>
    <t>Chris</t>
  </si>
  <si>
    <t>Labuda</t>
  </si>
  <si>
    <t>labudachris@tranzact.com</t>
  </si>
  <si>
    <t>Karen</t>
  </si>
  <si>
    <t>Lewaniak</t>
  </si>
  <si>
    <t>lewaniakkaren@tranzact.com</t>
  </si>
  <si>
    <t>Loadable format (do not change headers)</t>
  </si>
  <si>
    <t>MY TRANZACT USERS</t>
  </si>
  <si>
    <t>Location Number</t>
  </si>
  <si>
    <t>Location Name</t>
  </si>
  <si>
    <t>User Email Address</t>
  </si>
  <si>
    <t>User Phone Number</t>
  </si>
  <si>
    <t>Access (designate with X)</t>
  </si>
  <si>
    <t>Reporting</t>
  </si>
  <si>
    <t>Client Resolution</t>
  </si>
  <si>
    <t>Inquiry</t>
  </si>
  <si>
    <t>StarBrite</t>
  </si>
  <si>
    <t>x</t>
  </si>
  <si>
    <t>Dana Regan</t>
  </si>
  <si>
    <t>Beckefeld</t>
  </si>
  <si>
    <t>63-0530-6863</t>
  </si>
  <si>
    <t>beckefelddarrin@tranzact.com</t>
  </si>
  <si>
    <t>Rich</t>
  </si>
  <si>
    <t>Loeschner</t>
  </si>
  <si>
    <t>Freight Payment Manager</t>
  </si>
  <si>
    <t>314-654-5746</t>
  </si>
  <si>
    <t>314-824-8543</t>
  </si>
  <si>
    <t>rich.loeschner@mallinckrodt.com</t>
  </si>
  <si>
    <t>Hazelwood</t>
  </si>
  <si>
    <t>MO</t>
  </si>
  <si>
    <t>Cost Center</t>
  </si>
  <si>
    <t>GL</t>
  </si>
  <si>
    <t xml:space="preserve">Paul </t>
  </si>
  <si>
    <t>Nolan</t>
  </si>
  <si>
    <t xml:space="preserve">Finance Manager </t>
  </si>
  <si>
    <t>353-1-6960120</t>
  </si>
  <si>
    <t xml:space="preserve">paul.nolan@mallinckrodt.com </t>
  </si>
  <si>
    <t xml:space="preserve">Dublin </t>
  </si>
  <si>
    <t xml:space="preserve">Aoife </t>
  </si>
  <si>
    <t xml:space="preserve">Shelley </t>
  </si>
  <si>
    <t xml:space="preserve">Antoinette </t>
  </si>
  <si>
    <t>O'Dea</t>
  </si>
  <si>
    <t xml:space="preserve">Financial Accountant </t>
  </si>
  <si>
    <t>353-1-6960160</t>
  </si>
  <si>
    <t>353-1-6960117</t>
  </si>
  <si>
    <t>Antoinette.odea@mallinckrodt.com</t>
  </si>
  <si>
    <t>Aoife.shelley@mallinckrodt.com</t>
  </si>
  <si>
    <t xml:space="preserve">Mark </t>
  </si>
  <si>
    <t xml:space="preserve">Burns </t>
  </si>
  <si>
    <t xml:space="preserve">Assistant Financial Accountant </t>
  </si>
  <si>
    <t>mark.burns@mallinckrodt.com</t>
  </si>
  <si>
    <t xml:space="preserve">Ilona </t>
  </si>
  <si>
    <t>Borysewicz</t>
  </si>
  <si>
    <t>ilona.borysewicz@mallinckrodt.com</t>
  </si>
  <si>
    <t>353-1-6960164</t>
  </si>
  <si>
    <t>353-1-6960161</t>
  </si>
  <si>
    <t>Shipper</t>
  </si>
  <si>
    <t>Origin Address</t>
  </si>
  <si>
    <t>Ship From Country</t>
  </si>
  <si>
    <t>Consignee</t>
  </si>
  <si>
    <t>Dest address</t>
  </si>
  <si>
    <t>Dest City</t>
  </si>
  <si>
    <t>Ship To Country</t>
  </si>
  <si>
    <t>Abbvie</t>
  </si>
  <si>
    <t>100 Research Drive</t>
  </si>
  <si>
    <t>Worcester</t>
  </si>
  <si>
    <t>MA</t>
  </si>
  <si>
    <t>Patheon Italia S. p. A</t>
  </si>
  <si>
    <t>2 trav. SX Via Morolense, 5</t>
  </si>
  <si>
    <t>Ferentino</t>
  </si>
  <si>
    <t>Cook</t>
  </si>
  <si>
    <t>1300 S Patterson Dr</t>
  </si>
  <si>
    <t>Bloomington</t>
  </si>
  <si>
    <t>Stryker</t>
  </si>
  <si>
    <t>77 Great Valley Pkwy</t>
  </si>
  <si>
    <t>Malvern</t>
  </si>
  <si>
    <t>PA</t>
  </si>
  <si>
    <t>Fisher</t>
  </si>
  <si>
    <t>10 Forge Park</t>
  </si>
  <si>
    <t>Franklin</t>
  </si>
  <si>
    <t>Aptar</t>
  </si>
  <si>
    <t>250 North Route 303</t>
  </si>
  <si>
    <t>Congers</t>
  </si>
  <si>
    <t>NY</t>
  </si>
  <si>
    <t>Ora Tech</t>
  </si>
  <si>
    <t>505 W 10200 S</t>
  </si>
  <si>
    <t>South Jordan</t>
  </si>
  <si>
    <t>BD</t>
  </si>
  <si>
    <t>2200 W San Bernardino Ave</t>
  </si>
  <si>
    <t>Redlands</t>
  </si>
  <si>
    <t>Sharp</t>
  </si>
  <si>
    <t>7451 Keebler Way</t>
  </si>
  <si>
    <t>Allentown</t>
  </si>
  <si>
    <t>Bellegrove Med</t>
  </si>
  <si>
    <t>8349 - 154th Avenue NE</t>
  </si>
  <si>
    <t>Redmond</t>
  </si>
  <si>
    <t>WA</t>
  </si>
  <si>
    <t>CareFusion c/o Keuhne &amp; Nagel</t>
  </si>
  <si>
    <t>9425 Nevada St</t>
  </si>
  <si>
    <t>Irvine Pharm</t>
  </si>
  <si>
    <t>10 Vanderbilt</t>
  </si>
  <si>
    <t>Irvine</t>
  </si>
  <si>
    <t>DSM Pentapharm</t>
  </si>
  <si>
    <t>Engelgasse 109</t>
  </si>
  <si>
    <t>Basel</t>
  </si>
  <si>
    <t>CH</t>
  </si>
  <si>
    <t>100 Research Dr</t>
  </si>
  <si>
    <t>Charles River</t>
  </si>
  <si>
    <t>max-Planck-Strasse 15A</t>
  </si>
  <si>
    <t>Erkrath</t>
  </si>
  <si>
    <t>HPT GMBH &amp; CO. KG</t>
  </si>
  <si>
    <t>Waldweg 16</t>
  </si>
  <si>
    <t>Neuhaus/Rwg.</t>
  </si>
  <si>
    <t>D-98724</t>
  </si>
  <si>
    <t>OraTech</t>
  </si>
  <si>
    <t>505 W 10200 South</t>
  </si>
  <si>
    <t>NT Medical</t>
  </si>
  <si>
    <t>220 Ballardvale St #A</t>
  </si>
  <si>
    <t>Wilmington</t>
  </si>
  <si>
    <t>Steris</t>
  </si>
  <si>
    <t>9120 South 150 East</t>
  </si>
  <si>
    <t>Sandy</t>
  </si>
  <si>
    <t>Nelson Labs</t>
  </si>
  <si>
    <t>6280 Redwood Rd</t>
  </si>
  <si>
    <t>Salt Lake City</t>
  </si>
  <si>
    <t>7339 Industrial Blvd</t>
  </si>
  <si>
    <t>Prent</t>
  </si>
  <si>
    <t>2225 Kennedy Road</t>
  </si>
  <si>
    <t>Janesville</t>
  </si>
  <si>
    <t>WI</t>
  </si>
  <si>
    <t>Sentry</t>
  </si>
  <si>
    <t>4605 Decatur Blvd</t>
  </si>
  <si>
    <t>Indianapolis</t>
  </si>
  <si>
    <t>ICS</t>
  </si>
  <si>
    <t>1195 Trademark Suite 102</t>
  </si>
  <si>
    <t>Reno</t>
  </si>
  <si>
    <t>NV</t>
  </si>
  <si>
    <t>MDCO</t>
  </si>
  <si>
    <t>900 Saginaw Drive, Suite 200</t>
  </si>
  <si>
    <t>Redwood City</t>
  </si>
  <si>
    <t>VSO PTY LTD</t>
  </si>
  <si>
    <t>PO Box 547 (Stonewell Rd)</t>
  </si>
  <si>
    <t>Tanunda</t>
  </si>
  <si>
    <t>AU</t>
  </si>
  <si>
    <t>Mallinckrodt Pharmaceuticals Ireland</t>
  </si>
  <si>
    <t>MPIL</t>
  </si>
  <si>
    <t>MNKC</t>
  </si>
  <si>
    <t>MSPIL</t>
  </si>
  <si>
    <t>Div</t>
  </si>
  <si>
    <t>Payfile</t>
  </si>
  <si>
    <t>Carrier summary by split account code</t>
  </si>
  <si>
    <t>Currency Billed</t>
  </si>
  <si>
    <t>EUR, USD, GBP</t>
  </si>
  <si>
    <t>Or sooner</t>
  </si>
  <si>
    <t>Rich L.</t>
  </si>
  <si>
    <t>Complete</t>
  </si>
  <si>
    <t>VN</t>
  </si>
  <si>
    <t>CS</t>
  </si>
  <si>
    <t>Parcel Acct#</t>
  </si>
  <si>
    <t>Mallinckrodt Pharmaceutical Ireland - Payfile Mapping</t>
  </si>
  <si>
    <t>Same as MPH and ARD</t>
  </si>
  <si>
    <t>Field</t>
  </si>
  <si>
    <t>Character Limit</t>
  </si>
  <si>
    <t>Formatting Notes</t>
  </si>
  <si>
    <t>Header/Line Level</t>
  </si>
  <si>
    <t>PO Number</t>
  </si>
  <si>
    <t>10 Characters</t>
  </si>
  <si>
    <t> Blank</t>
  </si>
  <si>
    <t>Header</t>
  </si>
  <si>
    <t>Vendor #</t>
  </si>
  <si>
    <t> Hard code value from Denise</t>
  </si>
  <si>
    <t>Invoice #</t>
  </si>
  <si>
    <t>16 Characters</t>
  </si>
  <si>
    <r>
      <t> </t>
    </r>
    <r>
      <rPr>
        <i/>
        <sz val="11"/>
        <color rgb="FF000000"/>
        <rFont val="Calibri"/>
        <family val="2"/>
        <scheme val="minor"/>
      </rPr>
      <t>BatchFundingRequest</t>
    </r>
  </si>
  <si>
    <t> Call for funds date MM/dd/YYYY</t>
  </si>
  <si>
    <t>Currency</t>
  </si>
  <si>
    <t>5 Characters</t>
  </si>
  <si>
    <t> ex. USD</t>
  </si>
  <si>
    <t>Misc Freight</t>
  </si>
  <si>
    <t> All Freight Charges</t>
  </si>
  <si>
    <t>Sum of all Freight (Number with 2 decimal places)</t>
  </si>
  <si>
    <t>Tax Amount</t>
  </si>
  <si>
    <t> All Taxes.</t>
  </si>
  <si>
    <t xml:space="preserve">Sum of all Freight (Number with 2 decimal places) </t>
  </si>
  <si>
    <t>Credit</t>
  </si>
  <si>
    <t>1 Character</t>
  </si>
  <si>
    <t>Credit indicated with X otherwise empty</t>
  </si>
  <si>
    <t>Header/Line</t>
  </si>
  <si>
    <t xml:space="preserve">Number with 2 decimal places. This is the header amount- the sum of all of the lines, tax and misc/freight charges. This does not have to be filled in- it can be derived from line level amount. </t>
  </si>
  <si>
    <t>Custom Field VVALU2</t>
  </si>
  <si>
    <r>
      <t>25 Characters</t>
    </r>
    <r>
      <rPr>
        <sz val="8"/>
        <color rgb="FF000000"/>
        <rFont val="Calibri"/>
        <family val="2"/>
        <scheme val="minor"/>
      </rPr>
      <t> </t>
    </r>
  </si>
  <si>
    <t xml:space="preserve">Leave blank  </t>
  </si>
  <si>
    <t>Source</t>
  </si>
  <si>
    <t>2 Characters</t>
  </si>
  <si>
    <r>
      <t xml:space="preserve">Fixed Value of </t>
    </r>
    <r>
      <rPr>
        <sz val="11"/>
        <color rgb="FFFF0000"/>
        <rFont val="Calibri"/>
        <family val="2"/>
        <scheme val="minor"/>
      </rPr>
      <t>BK</t>
    </r>
    <r>
      <rPr>
        <sz val="8"/>
        <color rgb="FF000000"/>
        <rFont val="Calibri"/>
        <family val="2"/>
        <scheme val="minor"/>
      </rPr>
      <t> </t>
    </r>
  </si>
  <si>
    <t>PO Line Number</t>
  </si>
  <si>
    <t>5 Numeric Characters</t>
  </si>
  <si>
    <r>
      <t> </t>
    </r>
    <r>
      <rPr>
        <sz val="11"/>
        <color rgb="FFFF0000"/>
        <rFont val="Calibri"/>
        <family val="2"/>
        <scheme val="minor"/>
      </rPr>
      <t>Blank</t>
    </r>
  </si>
  <si>
    <t>Line</t>
  </si>
  <si>
    <t>Quantity</t>
  </si>
  <si>
    <r>
      <t xml:space="preserve">Number with 3 decimals places.  Hard code as </t>
    </r>
    <r>
      <rPr>
        <sz val="11"/>
        <color rgb="FFFF0000"/>
        <rFont val="Calibri"/>
        <family val="2"/>
        <scheme val="minor"/>
      </rPr>
      <t>1.000</t>
    </r>
  </si>
  <si>
    <r>
      <t>Number with2 decimal places.</t>
    </r>
    <r>
      <rPr>
        <sz val="8"/>
        <color rgb="FF000000"/>
        <rFont val="Calibri"/>
        <family val="2"/>
        <scheme val="minor"/>
      </rPr>
      <t> </t>
    </r>
    <r>
      <rPr>
        <sz val="11"/>
        <color rgb="FF000000"/>
        <rFont val="Calibri"/>
        <family val="2"/>
        <scheme val="minor"/>
      </rPr>
      <t xml:space="preserve"> This is the line level amount (qty * price)</t>
    </r>
  </si>
  <si>
    <t>GL Account</t>
  </si>
  <si>
    <t> Split Custom GLCODE</t>
  </si>
  <si>
    <t> Split Custom CSTCEN</t>
  </si>
  <si>
    <t>Tax Code</t>
  </si>
  <si>
    <r>
      <t> </t>
    </r>
    <r>
      <rPr>
        <sz val="11"/>
        <color rgb="FFFF0000"/>
        <rFont val="Calibri"/>
        <family val="2"/>
        <scheme val="minor"/>
      </rPr>
      <t>Need to know or we leave blank</t>
    </r>
  </si>
  <si>
    <t>Remarks</t>
  </si>
  <si>
    <t>25 Characters</t>
  </si>
  <si>
    <t>Patty</t>
  </si>
  <si>
    <t>Kramer</t>
  </si>
  <si>
    <t>Client Services Representative</t>
  </si>
  <si>
    <t>630-833-0890 x121</t>
  </si>
  <si>
    <t>kramerpatricia@tranzact.com</t>
  </si>
  <si>
    <t>Dana</t>
  </si>
  <si>
    <t>Regan</t>
  </si>
  <si>
    <t xml:space="preserve">Vice President, Business Development </t>
  </si>
  <si>
    <t>630-530-7474</t>
  </si>
  <si>
    <t>630-542-2850</t>
  </si>
  <si>
    <t>regandana@tranzact.com</t>
  </si>
  <si>
    <t>Mallinckrodt Pharmaceutical Ireland Ltd. (MPI) - Project Team</t>
  </si>
  <si>
    <t>Deferred Payment Days</t>
  </si>
  <si>
    <t>WH = Warehouse</t>
  </si>
  <si>
    <t>FDE</t>
  </si>
  <si>
    <t>40 - 50 EUR per year</t>
  </si>
  <si>
    <t>Mallinckrodt Pharmaceutical Ireland</t>
  </si>
  <si>
    <t>Mallinckrodt Specialty Pharma Ireland</t>
  </si>
  <si>
    <t>Speak with Supply Chain people to get Carrier, Customers shipped to for Synacthen</t>
  </si>
  <si>
    <t>FDCC</t>
  </si>
  <si>
    <t>Unitrans</t>
  </si>
  <si>
    <t>Kuehne &amp; NAGEL</t>
  </si>
  <si>
    <t>Fedex Custom Critical</t>
  </si>
  <si>
    <t>FedEx Parcel</t>
  </si>
  <si>
    <t>UPS Supply Chain</t>
  </si>
  <si>
    <t>UPSF</t>
  </si>
  <si>
    <t>KHNN</t>
  </si>
  <si>
    <t>UNIQ</t>
  </si>
  <si>
    <t>Expeditors International</t>
  </si>
  <si>
    <t>EXDO</t>
  </si>
  <si>
    <t>HAVE</t>
  </si>
  <si>
    <t>SPOT</t>
  </si>
  <si>
    <t>By Location</t>
  </si>
  <si>
    <t>N</t>
  </si>
  <si>
    <t>Y</t>
  </si>
  <si>
    <t>Y/N</t>
  </si>
  <si>
    <t>Fedex transitioning is on edi, new accounts are not</t>
  </si>
  <si>
    <t>World Courier</t>
  </si>
  <si>
    <t>Stored at 'Milmount</t>
  </si>
  <si>
    <t>Some stored at Expeditors</t>
  </si>
  <si>
    <t>Monthly storage by expeditors</t>
  </si>
  <si>
    <t>Millmount to Expeditors</t>
  </si>
  <si>
    <t>Sample Invoices</t>
  </si>
  <si>
    <t> </t>
  </si>
  <si>
    <t>634028765</t>
  </si>
  <si>
    <t>563201002</t>
  </si>
  <si>
    <t>845223106</t>
  </si>
  <si>
    <t>51340</t>
  </si>
  <si>
    <t>51338</t>
  </si>
  <si>
    <t>E75200112</t>
  </si>
  <si>
    <t>Order Num
ORDNUM</t>
  </si>
  <si>
    <t>Cost Center
CSTCEN</t>
  </si>
  <si>
    <t xml:space="preserve">GL code
GLCODE </t>
  </si>
  <si>
    <t>Account Code
ACCOUNTCODE</t>
  </si>
  <si>
    <t>Client code</t>
  </si>
  <si>
    <t>Donat.obrein@mallinckrodt.com</t>
  </si>
  <si>
    <t>louise.gilhooley@mallinckrodt.com</t>
  </si>
  <si>
    <t xml:space="preserve">Louise </t>
  </si>
  <si>
    <t xml:space="preserve">Gilhooley </t>
  </si>
  <si>
    <t xml:space="preserve">353-1-1 6960174 </t>
  </si>
  <si>
    <t xml:space="preserve">Paul Nolan </t>
  </si>
  <si>
    <t>Mark Burns</t>
  </si>
  <si>
    <t>Ilona Borysewicz</t>
  </si>
  <si>
    <t>Laura</t>
  </si>
  <si>
    <t xml:space="preserve"> Perez </t>
  </si>
  <si>
    <t>laura.perez@mallinckrodt.com</t>
  </si>
  <si>
    <t>353-1-1 6960192</t>
  </si>
  <si>
    <t>Antoinette O' Dea</t>
  </si>
  <si>
    <t xml:space="preserve">Aoife Shelley </t>
  </si>
  <si>
    <t xml:space="preserve">Louise Gilhooley </t>
  </si>
  <si>
    <t>Laura Perez</t>
  </si>
  <si>
    <t>MPLC</t>
  </si>
  <si>
    <t xml:space="preserve">Mallinckrodt Plc </t>
  </si>
  <si>
    <t xml:space="preserve">Donat O Brien </t>
  </si>
  <si>
    <t xml:space="preserve">laura.perez@mallinckrodt.com </t>
  </si>
  <si>
    <t>swift couriers</t>
  </si>
  <si>
    <t>Federal Express Europe In</t>
  </si>
  <si>
    <t>N/A</t>
  </si>
  <si>
    <t>E77400149</t>
  </si>
  <si>
    <t>E75207410</t>
  </si>
  <si>
    <t xml:space="preserve">Millmount </t>
  </si>
  <si>
    <t xml:space="preserve">Expeditors </t>
  </si>
  <si>
    <t>665600</t>
  </si>
  <si>
    <t>E70300102</t>
  </si>
  <si>
    <t>E77400115</t>
  </si>
  <si>
    <t>IE</t>
  </si>
  <si>
    <t>MR.</t>
  </si>
  <si>
    <t>PAUL</t>
  </si>
  <si>
    <t>NOLAN</t>
  </si>
  <si>
    <t>Paul.Nolan@mallinckrodt.com</t>
  </si>
  <si>
    <t>AD</t>
  </si>
  <si>
    <t>Blanchardstown</t>
  </si>
  <si>
    <t>IEBHT</t>
  </si>
  <si>
    <t>774</t>
  </si>
  <si>
    <t xml:space="preserve">Task# </t>
  </si>
  <si>
    <t>185164</t>
  </si>
  <si>
    <t>Swift</t>
  </si>
  <si>
    <t>Location to charge</t>
  </si>
  <si>
    <t>Replace CC on Bulk upload (payfile) for OrdNum</t>
  </si>
  <si>
    <t>College Business &amp; Technology Park</t>
  </si>
  <si>
    <t>752, 774 &amp; 703</t>
  </si>
  <si>
    <t>USD</t>
  </si>
  <si>
    <t>E75207410.665600</t>
  </si>
  <si>
    <t>E70300102.665600</t>
  </si>
  <si>
    <t>E77400149.665600</t>
  </si>
  <si>
    <t>Order #</t>
  </si>
  <si>
    <t>UINQ</t>
  </si>
  <si>
    <t>Spot Quote</t>
  </si>
  <si>
    <t>Paul/Darrin</t>
  </si>
  <si>
    <t>Paul</t>
  </si>
  <si>
    <t>Paul/Rich</t>
  </si>
  <si>
    <t>In Process</t>
  </si>
  <si>
    <t>WCID-02</t>
  </si>
  <si>
    <t>Swift Couriers</t>
  </si>
  <si>
    <t>1SFC-01</t>
  </si>
  <si>
    <t>Kuehne &amp; Nagel</t>
  </si>
  <si>
    <t>Paul N.</t>
  </si>
  <si>
    <t>few</t>
  </si>
  <si>
    <t>None</t>
  </si>
  <si>
    <t>NA</t>
  </si>
  <si>
    <t>Order Number</t>
  </si>
  <si>
    <t>Split Custom ORDNUM</t>
  </si>
  <si>
    <t>Newly added</t>
  </si>
  <si>
    <t>6 Numeric Characters (can be blank)</t>
  </si>
  <si>
    <t>Rich to check if the FDE accounts are on the Master MNKC agreement</t>
  </si>
  <si>
    <t>703, 752 &amp; 774</t>
  </si>
  <si>
    <t>Alan Cusack</t>
  </si>
  <si>
    <t>Alan.Cusack@mallinckrodt.com</t>
  </si>
  <si>
    <t>Darrin B.</t>
  </si>
  <si>
    <t>pay log</t>
  </si>
  <si>
    <t>In Process report</t>
  </si>
  <si>
    <t>MNKC-003 UnPaid - Process report</t>
  </si>
  <si>
    <t>MNKC-004 pay log Report</t>
  </si>
  <si>
    <t>Contacts for Set up and access and testing for Mallinckrodt Ireland Pay File</t>
  </si>
  <si>
    <t>Swords</t>
  </si>
  <si>
    <t>Unit 6, Horizon Logistics Park</t>
  </si>
  <si>
    <t>Set up as Non-Audit and Set up Client Approval</t>
  </si>
  <si>
    <t>Set up as Non-Audit and Set up RES113. Completed 6/5/17</t>
  </si>
  <si>
    <t>185836</t>
  </si>
  <si>
    <t>WCID</t>
  </si>
  <si>
    <t>1SFC</t>
  </si>
  <si>
    <t>FedEx International Revenue Dept</t>
  </si>
  <si>
    <t>800-622-1147</t>
  </si>
  <si>
    <t xml:space="preserve">Invoice date start </t>
  </si>
  <si>
    <t>Payments can be remitted to the U.S. Remit to</t>
  </si>
  <si>
    <t xml:space="preserve">Stamullen </t>
  </si>
  <si>
    <t>Block 7, City N. Business Campus</t>
  </si>
  <si>
    <t>FR</t>
  </si>
  <si>
    <t>ITFNI</t>
  </si>
  <si>
    <t>02038</t>
  </si>
  <si>
    <t>BS</t>
  </si>
  <si>
    <t>CHBSL</t>
  </si>
  <si>
    <t>01605</t>
  </si>
  <si>
    <t>NW</t>
  </si>
  <si>
    <t>DEERH</t>
  </si>
  <si>
    <t>SA</t>
  </si>
  <si>
    <t>Expeditors Ireland Limited</t>
  </si>
  <si>
    <t>C/O Brian Caffrey International, Coolfore Co. Meath</t>
  </si>
  <si>
    <t>Ashbourne</t>
  </si>
  <si>
    <t>IEASH</t>
  </si>
  <si>
    <t>Link Healthcare Pty Ltd.</t>
  </si>
  <si>
    <t xml:space="preserve">5 Apollo Street  </t>
  </si>
  <si>
    <t>Warriewood</t>
  </si>
  <si>
    <t>NSW</t>
  </si>
  <si>
    <t>2102</t>
  </si>
  <si>
    <t>Link Pharmaceuticals NZ</t>
  </si>
  <si>
    <t xml:space="preserve">C/O Schenker (NZ) Ltd, 33-39 Richard Pearse Drive, Airport Oaks </t>
  </si>
  <si>
    <t>Auckland</t>
  </si>
  <si>
    <t>2022</t>
  </si>
  <si>
    <t>NZ</t>
  </si>
  <si>
    <t>Global Service Pharmacuetical SAS</t>
  </si>
  <si>
    <t>DEPÓSITO PÚBLICO ROLDÁN Y CIA, CRA 100 No 25B 40 FONTI BON</t>
  </si>
  <si>
    <t>Bogota</t>
  </si>
  <si>
    <t>CO</t>
  </si>
  <si>
    <t>Dr. Jimmy Aragon</t>
  </si>
  <si>
    <t>C/O Sandoval Distribution Inc., AB Sandoval Bldg, Shaw Blvd. Corner Oranbo Drive</t>
  </si>
  <si>
    <t>Pasig City</t>
  </si>
  <si>
    <t>1603</t>
  </si>
  <si>
    <t>PH</t>
  </si>
  <si>
    <t xml:space="preserve">Link Healthcare Singapore Pte Ltd,
</t>
  </si>
  <si>
    <t>4 Loyang Way 1, Level 03-01</t>
  </si>
  <si>
    <t>Changi</t>
  </si>
  <si>
    <t>508708</t>
  </si>
  <si>
    <t>SG</t>
  </si>
  <si>
    <t>Valeo Pharma Inc</t>
  </si>
  <si>
    <t>16667 Hymus Boulevard, Kirkland</t>
  </si>
  <si>
    <t>Quebec</t>
  </si>
  <si>
    <t>H9H4R9</t>
  </si>
  <si>
    <t>VLD Danişmanlik ve Tibbi Ürünler va, Tanitim Hizmetleri Ltd. Şti,</t>
  </si>
  <si>
    <t>c/o Zet Farma Lojistik Hizmetleri, Akçaburgaz Mah. 101 Sk. No:18, Esenyurt</t>
  </si>
  <si>
    <t xml:space="preserve">Istanbul, </t>
  </si>
  <si>
    <t>TR</t>
  </si>
  <si>
    <t>Shafayab Gostar Co.</t>
  </si>
  <si>
    <t xml:space="preserve">No 5, 5th Bokharest St, Beheshti Ave  </t>
  </si>
  <si>
    <t>Tehran</t>
  </si>
  <si>
    <t>1513717414</t>
  </si>
  <si>
    <t>IR</t>
  </si>
  <si>
    <t>MEDIKA D.D.</t>
  </si>
  <si>
    <t>Capraska 1</t>
  </si>
  <si>
    <t>Zagreb</t>
  </si>
  <si>
    <t xml:space="preserve">10000 </t>
  </si>
  <si>
    <t>HR</t>
  </si>
  <si>
    <t>INO-PHARM d.o.o.</t>
  </si>
  <si>
    <t>Brace Kovac 2</t>
  </si>
  <si>
    <t>Belgrade</t>
  </si>
  <si>
    <t xml:space="preserve">11000 </t>
  </si>
  <si>
    <t>RS</t>
  </si>
  <si>
    <t>Mawdsleys U.K.</t>
  </si>
  <si>
    <t>International House, 4 Houston Park, Montford Street</t>
  </si>
  <si>
    <t>Salford</t>
  </si>
  <si>
    <t>M50 2RP</t>
  </si>
  <si>
    <t>England</t>
  </si>
  <si>
    <t xml:space="preserve">Peri Logistics Warehouse, </t>
  </si>
  <si>
    <t>Rodrigo de Araya  Nº 1151, Macul</t>
  </si>
  <si>
    <t>Santiago</t>
  </si>
  <si>
    <t>CL</t>
  </si>
  <si>
    <t xml:space="preserve">Alloga AG, </t>
  </si>
  <si>
    <t xml:space="preserve">Wareneingang Mallinckrodt/Questcor, Buchmattstrasse 10, CH  - 3401 </t>
  </si>
  <si>
    <t>Burgdorf</t>
  </si>
  <si>
    <t>Soficopharm</t>
  </si>
  <si>
    <t>12 Ismail El Kabani Street – Nasr City – P.O. Box 11371</t>
  </si>
  <si>
    <t>Cairo</t>
  </si>
  <si>
    <t>EG</t>
  </si>
  <si>
    <t xml:space="preserve">Ideal Prescription Pharmaceutical </t>
  </si>
  <si>
    <t>Warehouse number 148 , Al mansoriyah Street, Al masani area</t>
  </si>
  <si>
    <t>Riyadh</t>
  </si>
  <si>
    <t>Saudi Arabia</t>
  </si>
  <si>
    <t>Movianto UK Ltd</t>
  </si>
  <si>
    <t>1 Progress Park</t>
  </si>
  <si>
    <t>Bedford</t>
  </si>
  <si>
    <t>MK42 9XE</t>
  </si>
  <si>
    <t>GB</t>
  </si>
  <si>
    <t>Millmount Healthcare</t>
  </si>
  <si>
    <t>Block 7, City North Business Campus</t>
  </si>
  <si>
    <t>Stamullen</t>
  </si>
  <si>
    <t>Temple Street Childrens University Hospital</t>
  </si>
  <si>
    <t>Temple Street</t>
  </si>
  <si>
    <t>Dublin</t>
  </si>
  <si>
    <t>IEDUB</t>
  </si>
  <si>
    <t>Block 7, City North Business Campus, Co. Meath</t>
  </si>
  <si>
    <t>Expeditors Ireland Limited, C/O Brian Caffrey International, Coolfore,</t>
  </si>
  <si>
    <t>Beford</t>
  </si>
  <si>
    <t>Istanbul</t>
  </si>
  <si>
    <t>DENAR</t>
  </si>
  <si>
    <t>Neuhaus Am Rennweg</t>
  </si>
  <si>
    <t>EXDO-39</t>
  </si>
  <si>
    <t>UPSF-21</t>
  </si>
  <si>
    <t>Profit Center</t>
  </si>
  <si>
    <r>
      <rPr>
        <b/>
        <sz val="11"/>
        <color theme="1"/>
        <rFont val="Arial"/>
        <family val="2"/>
      </rPr>
      <t>774</t>
    </r>
    <r>
      <rPr>
        <sz val="11"/>
        <color theme="1"/>
        <rFont val="Arial"/>
        <family val="2"/>
      </rPr>
      <t xml:space="preserve"> - VAT is </t>
    </r>
    <r>
      <rPr>
        <b/>
        <sz val="11"/>
        <color theme="1"/>
        <rFont val="Arial"/>
        <family val="2"/>
      </rPr>
      <t>142000</t>
    </r>
  </si>
  <si>
    <r>
      <rPr>
        <b/>
        <sz val="11"/>
        <color theme="1"/>
        <rFont val="Arial"/>
        <family val="2"/>
      </rPr>
      <t>752</t>
    </r>
    <r>
      <rPr>
        <sz val="11"/>
        <color theme="1"/>
        <rFont val="Arial"/>
        <family val="2"/>
      </rPr>
      <t xml:space="preserve"> - VAT is </t>
    </r>
    <r>
      <rPr>
        <b/>
        <sz val="11"/>
        <color theme="1"/>
        <rFont val="Arial"/>
        <family val="2"/>
      </rPr>
      <t>142000</t>
    </r>
  </si>
  <si>
    <r>
      <rPr>
        <b/>
        <sz val="11"/>
        <color theme="1"/>
        <rFont val="Arial"/>
        <family val="2"/>
      </rPr>
      <t>773</t>
    </r>
    <r>
      <rPr>
        <sz val="11"/>
        <color theme="1"/>
        <rFont val="Arial"/>
        <family val="2"/>
      </rPr>
      <t xml:space="preserve"> - VAT is </t>
    </r>
    <r>
      <rPr>
        <b/>
        <sz val="11"/>
        <color theme="1"/>
        <rFont val="Arial"/>
        <family val="2"/>
      </rPr>
      <t>142000</t>
    </r>
  </si>
  <si>
    <r>
      <rPr>
        <b/>
        <sz val="11"/>
        <color theme="1"/>
        <rFont val="Calibri"/>
        <family val="2"/>
        <scheme val="minor"/>
      </rPr>
      <t>Client Code</t>
    </r>
    <r>
      <rPr>
        <sz val="11"/>
        <color theme="1"/>
        <rFont val="Calibri"/>
        <family val="2"/>
        <scheme val="minor"/>
      </rPr>
      <t xml:space="preserve"> and</t>
    </r>
    <r>
      <rPr>
        <b/>
        <sz val="11"/>
        <color theme="1"/>
        <rFont val="Calibri"/>
        <family val="2"/>
        <scheme val="minor"/>
      </rPr>
      <t xml:space="preserve"> GL Code</t>
    </r>
    <r>
      <rPr>
        <sz val="11"/>
        <color theme="1"/>
        <rFont val="Calibri"/>
        <family val="2"/>
        <scheme val="minor"/>
      </rPr>
      <t xml:space="preserve"> for VAT</t>
    </r>
  </si>
  <si>
    <t>VAT GL Code provide</t>
  </si>
  <si>
    <t xml:space="preserve">FedEx Parcel when added to Master, EDI will be sent </t>
  </si>
  <si>
    <t>Chris/Darrin</t>
  </si>
  <si>
    <t>Rich/Darrin</t>
  </si>
  <si>
    <t>Copying from MNK.  Other are spot or non-audit with approval</t>
  </si>
  <si>
    <t>1SFC &amp; WCID approval</t>
  </si>
  <si>
    <t>Payfile ready to test this week.</t>
  </si>
  <si>
    <t>716500</t>
  </si>
  <si>
    <t xml:space="preserve">Ann Duggan </t>
  </si>
  <si>
    <t xml:space="preserve">Lisa Lovett </t>
  </si>
  <si>
    <t>Karen O 'Higgins</t>
  </si>
  <si>
    <t>Ann.duggan@mallinckrodt.com</t>
  </si>
  <si>
    <t>lisa.lovett@mallinckrodt.com</t>
  </si>
  <si>
    <t>Karen.OHiggins@mallinckrodt.com</t>
  </si>
  <si>
    <t>Harmac Medical Products</t>
  </si>
  <si>
    <t xml:space="preserve">IDA Business Park  Castlerea </t>
  </si>
  <si>
    <t>Roscommon</t>
  </si>
  <si>
    <t>Sterigenics US Inc</t>
  </si>
  <si>
    <t>1500 W Thorndale Ave</t>
  </si>
  <si>
    <t>Itasca</t>
  </si>
  <si>
    <t>60143</t>
  </si>
  <si>
    <t>E75200210</t>
  </si>
  <si>
    <t>600079</t>
  </si>
  <si>
    <t>130 Four Oaks Pkwy</t>
  </si>
  <si>
    <t>Four Oaks</t>
  </si>
  <si>
    <t>NC</t>
  </si>
  <si>
    <t>27524</t>
  </si>
  <si>
    <t>18106</t>
  </si>
  <si>
    <t>600056</t>
  </si>
  <si>
    <t>CareFusion BD Four Oaks Inc</t>
  </si>
  <si>
    <t>Ikaria Australia</t>
  </si>
  <si>
    <t>TERL00</t>
  </si>
  <si>
    <t>133001</t>
  </si>
  <si>
    <t>17 Cotham Road</t>
  </si>
  <si>
    <t>Kew</t>
  </si>
  <si>
    <t>VIC</t>
  </si>
  <si>
    <t>3101</t>
  </si>
  <si>
    <t>Therakos Inc</t>
  </si>
  <si>
    <t>1840 Outer Loop Road</t>
  </si>
  <si>
    <t>Louisville</t>
  </si>
  <si>
    <t>KY</t>
  </si>
  <si>
    <t>40219</t>
  </si>
  <si>
    <t>Therakos C/O UPS SCS</t>
  </si>
  <si>
    <t>Marco Poloweg</t>
  </si>
  <si>
    <t>Venlo</t>
  </si>
  <si>
    <t>NL</t>
  </si>
  <si>
    <t>5928</t>
  </si>
  <si>
    <t>LE</t>
  </si>
  <si>
    <t>Mack Molding</t>
  </si>
  <si>
    <t>608 Warmbrook Road</t>
  </si>
  <si>
    <t>Arlington</t>
  </si>
  <si>
    <t>VT</t>
  </si>
  <si>
    <t>05250</t>
  </si>
  <si>
    <t>UPS SCS (Nederlands) B.V.</t>
  </si>
  <si>
    <t>2201 Bailey Ave</t>
  </si>
  <si>
    <t>Buffalo</t>
  </si>
  <si>
    <t>14211</t>
  </si>
  <si>
    <t>Mallinckrodt</t>
  </si>
  <si>
    <t>Mountain View</t>
  </si>
  <si>
    <t>94043</t>
  </si>
  <si>
    <t>Royal University Hospital</t>
  </si>
  <si>
    <t>103 Hospital Drive</t>
  </si>
  <si>
    <t xml:space="preserve">Saskatoon </t>
  </si>
  <si>
    <t>SK</t>
  </si>
  <si>
    <t>S7N0W8</t>
  </si>
  <si>
    <t>Canada</t>
  </si>
  <si>
    <t>131921284</t>
  </si>
  <si>
    <t xml:space="preserve">E75200210.665600 </t>
  </si>
  <si>
    <t>E20700210</t>
  </si>
  <si>
    <t>MPH</t>
  </si>
  <si>
    <t>E75200112- Recothrom</t>
  </si>
  <si>
    <t>E75200210- Therakos</t>
  </si>
  <si>
    <t>Cost Center or IO</t>
  </si>
  <si>
    <t>Company Code</t>
  </si>
  <si>
    <t>Plant</t>
  </si>
  <si>
    <t>Need Plant Codes for ICS warehouses</t>
  </si>
  <si>
    <t xml:space="preserve">Change all plants to match SAP plant ID's.  </t>
  </si>
  <si>
    <t>Person Responsible</t>
  </si>
  <si>
    <t>Department</t>
  </si>
  <si>
    <t>Cost Center Category</t>
  </si>
  <si>
    <t>Controlling Area</t>
  </si>
  <si>
    <t>Valid To</t>
  </si>
  <si>
    <t>Valid From</t>
  </si>
  <si>
    <t>Description</t>
  </si>
  <si>
    <t>Hierarchy Area</t>
  </si>
  <si>
    <t>Functional Area</t>
  </si>
  <si>
    <t>E00300000</t>
  </si>
  <si>
    <t>Warehousing Xartemis</t>
  </si>
  <si>
    <t>Morrison, George</t>
  </si>
  <si>
    <t/>
  </si>
  <si>
    <t>U</t>
  </si>
  <si>
    <t>1000</t>
  </si>
  <si>
    <t>E003</t>
  </si>
  <si>
    <t>XART00</t>
  </si>
  <si>
    <t>WAREHOUSE</t>
  </si>
  <si>
    <t>F3005</t>
  </si>
  <si>
    <t>E00300002</t>
  </si>
  <si>
    <t>Discontin Ops CMDS</t>
  </si>
  <si>
    <t>Belz, Derek</t>
  </si>
  <si>
    <t>X</t>
  </si>
  <si>
    <t>Discontinued Ops-CMDS</t>
  </si>
  <si>
    <t>DOCMDS</t>
  </si>
  <si>
    <t>CORPOTHER</t>
  </si>
  <si>
    <t>F5000</t>
  </si>
  <si>
    <t>E00300003</t>
  </si>
  <si>
    <t>Discontin Ops NucMed</t>
  </si>
  <si>
    <t>Discontinued Ops-Nuclear Med</t>
  </si>
  <si>
    <t>DONUCM</t>
  </si>
  <si>
    <t>E00300004</t>
  </si>
  <si>
    <t>Transport &amp; Distribu</t>
  </si>
  <si>
    <t>B</t>
  </si>
  <si>
    <t>Transportation and Distribution</t>
  </si>
  <si>
    <t>CSSC01</t>
  </si>
  <si>
    <t>DISTSUPPLY</t>
  </si>
  <si>
    <t>F9005</t>
  </si>
  <si>
    <t>E00300005</t>
  </si>
  <si>
    <t>Customer Service US</t>
  </si>
  <si>
    <t>Customer Service - US</t>
  </si>
  <si>
    <t>CUSTSERV</t>
  </si>
  <si>
    <t>F9000</t>
  </si>
  <si>
    <t>E00300007</t>
  </si>
  <si>
    <t>Developmental Ops</t>
  </si>
  <si>
    <t>Rodriguez, Domingo</t>
  </si>
  <si>
    <t>J</t>
  </si>
  <si>
    <t>Developmental Operations</t>
  </si>
  <si>
    <t>RDINTERNAL</t>
  </si>
  <si>
    <t>F9007</t>
  </si>
  <si>
    <t>E00300011</t>
  </si>
  <si>
    <t>Regulatory Affairs</t>
  </si>
  <si>
    <t>Shah, Imran</t>
  </si>
  <si>
    <t>I</t>
  </si>
  <si>
    <t>REGULATORY</t>
  </si>
  <si>
    <t>F9008</t>
  </si>
  <si>
    <t>E00300012</t>
  </si>
  <si>
    <t>Regulatory Ops</t>
  </si>
  <si>
    <t>Sauter, Michael</t>
  </si>
  <si>
    <t>Regulatory Operations</t>
  </si>
  <si>
    <t>E00300013</t>
  </si>
  <si>
    <t>Regulatory Alloc</t>
  </si>
  <si>
    <t>Regulatory Allocations</t>
  </si>
  <si>
    <t>E00300022</t>
  </si>
  <si>
    <t>Logistics Admin</t>
  </si>
  <si>
    <t>E00300026</t>
  </si>
  <si>
    <t>Program Management</t>
  </si>
  <si>
    <t>Trawick, Bobby</t>
  </si>
  <si>
    <t>E00300032</t>
  </si>
  <si>
    <t>Organic Chemistry</t>
  </si>
  <si>
    <t>E00300037</t>
  </si>
  <si>
    <t>Parenteral Formulate</t>
  </si>
  <si>
    <t>Parenteral Formulation</t>
  </si>
  <si>
    <t>E00300039</t>
  </si>
  <si>
    <t>Library Svc</t>
  </si>
  <si>
    <t>Lanham, Erin</t>
  </si>
  <si>
    <t>Library and Knowledge Services</t>
  </si>
  <si>
    <t>E00300051</t>
  </si>
  <si>
    <t>Phamacology</t>
  </si>
  <si>
    <t>Fitch, Rick</t>
  </si>
  <si>
    <t>E00300059</t>
  </si>
  <si>
    <t>GMA Operations (MA)</t>
  </si>
  <si>
    <t>EXTERNALSP</t>
  </si>
  <si>
    <t>F9004</t>
  </si>
  <si>
    <t>E00300060</t>
  </si>
  <si>
    <t>VP Manufacturing</t>
  </si>
  <si>
    <t>ADMIN</t>
  </si>
  <si>
    <t>E00300061</t>
  </si>
  <si>
    <t>Chemistry</t>
  </si>
  <si>
    <t>Osiek, Todd</t>
  </si>
  <si>
    <t>E00300066</t>
  </si>
  <si>
    <t>Operations Strategy</t>
  </si>
  <si>
    <t>E00300099</t>
  </si>
  <si>
    <t>Hazelwood RD Facilty</t>
  </si>
  <si>
    <t>Hazelwood R&amp;D Facilities</t>
  </si>
  <si>
    <t>E00300125</t>
  </si>
  <si>
    <t>Othr Comp Ben ChgOut</t>
  </si>
  <si>
    <t>Benefit and Compensation charge out</t>
  </si>
  <si>
    <t>CRPBENEFIT</t>
  </si>
  <si>
    <t>E00300127</t>
  </si>
  <si>
    <t>Corp Proj &amp; Integr</t>
  </si>
  <si>
    <t>Corporate Projects &amp; Integration</t>
  </si>
  <si>
    <t>CSSC00</t>
  </si>
  <si>
    <t>E00300175</t>
  </si>
  <si>
    <t>Corporate Compliance</t>
  </si>
  <si>
    <t>Sheely, Karen</t>
  </si>
  <si>
    <t>COMPLIANCE</t>
  </si>
  <si>
    <t>E00300182</t>
  </si>
  <si>
    <t>Stratgy Portfolo Mgt</t>
  </si>
  <si>
    <t>Das, Nipon</t>
  </si>
  <si>
    <t>Strategy &amp; Portfolio Managemnt</t>
  </si>
  <si>
    <t>STRATEGY</t>
  </si>
  <si>
    <t>E00300184</t>
  </si>
  <si>
    <t>Stratgy &amp; BD&amp;L</t>
  </si>
  <si>
    <t>Phillips, Gary</t>
  </si>
  <si>
    <t>Strategy &amp; BD&amp;L</t>
  </si>
  <si>
    <t>E00300190</t>
  </si>
  <si>
    <t>CEO</t>
  </si>
  <si>
    <t>EXECUTIVE</t>
  </si>
  <si>
    <t>E00300191</t>
  </si>
  <si>
    <t>General Counsel Comm</t>
  </si>
  <si>
    <t>Hicks, Michael-Bryan</t>
  </si>
  <si>
    <t>General Counsel - Commercial Support</t>
  </si>
  <si>
    <t>INTRNLEGAL</t>
  </si>
  <si>
    <t>E00300196</t>
  </si>
  <si>
    <t>CMO &amp; Med Directors</t>
  </si>
  <si>
    <t>CMO and Medical Directors</t>
  </si>
  <si>
    <t>CMOMEDDIR</t>
  </si>
  <si>
    <t>E00300199</t>
  </si>
  <si>
    <t>Chief Science Officr</t>
  </si>
  <si>
    <t>Romano, Steve</t>
  </si>
  <si>
    <t>Chief Science Officer</t>
  </si>
  <si>
    <t>E00300200</t>
  </si>
  <si>
    <t>CFO</t>
  </si>
  <si>
    <t>Harbaugh, Matthew</t>
  </si>
  <si>
    <t>CONTROLLER</t>
  </si>
  <si>
    <t>E00300209</t>
  </si>
  <si>
    <t>Corporate Controller</t>
  </si>
  <si>
    <t>Schaefer, Kathy</t>
  </si>
  <si>
    <t>E00300213</t>
  </si>
  <si>
    <t>Credit &amp; Collections</t>
  </si>
  <si>
    <t>Rees, Dale</t>
  </si>
  <si>
    <t>SSFINANCE</t>
  </si>
  <si>
    <t>E00300214</t>
  </si>
  <si>
    <t>Contract Payments</t>
  </si>
  <si>
    <t>E00300215</t>
  </si>
  <si>
    <t>General Accounting</t>
  </si>
  <si>
    <t>E00300221</t>
  </si>
  <si>
    <t>Mgmt Services</t>
  </si>
  <si>
    <t>Ramachandran, Shri</t>
  </si>
  <si>
    <t>ITBUSSUPRT</t>
  </si>
  <si>
    <t>E00300223</t>
  </si>
  <si>
    <t>Client Services</t>
  </si>
  <si>
    <t>E00300230</t>
  </si>
  <si>
    <t>Communications</t>
  </si>
  <si>
    <t>Stauder, Nancy</t>
  </si>
  <si>
    <t>COMMUNUICA</t>
  </si>
  <si>
    <t>E00300250</t>
  </si>
  <si>
    <t>Xartemis Marketing</t>
  </si>
  <si>
    <t>PRODMGMT</t>
  </si>
  <si>
    <t>F4002</t>
  </si>
  <si>
    <t>E00300266</t>
  </si>
  <si>
    <t>Bonus R&amp;D - Alloc</t>
  </si>
  <si>
    <t>Global Bonus R&amp;D - Alloc</t>
  </si>
  <si>
    <t>E00300272</t>
  </si>
  <si>
    <t>Insurance Cost</t>
  </si>
  <si>
    <t>Huddleston, Mark</t>
  </si>
  <si>
    <t>E00300275</t>
  </si>
  <si>
    <t>Hazelwood Facilities</t>
  </si>
  <si>
    <t>Hunter, Jeff</t>
  </si>
  <si>
    <t>FACILITIES</t>
  </si>
  <si>
    <t>E00300278</t>
  </si>
  <si>
    <t>Outside Legal - Corp</t>
  </si>
  <si>
    <t>Outside Legal - Corporate</t>
  </si>
  <si>
    <t>EXTRNLEGAL</t>
  </si>
  <si>
    <t>E00300284</t>
  </si>
  <si>
    <t>Hazelwood Cafeteria</t>
  </si>
  <si>
    <t>E00300312</t>
  </si>
  <si>
    <t>Corp FMV Adjs</t>
  </si>
  <si>
    <t>E00300317</t>
  </si>
  <si>
    <t>Procurement</t>
  </si>
  <si>
    <t>PROCUREMNT</t>
  </si>
  <si>
    <t>E00300330</t>
  </si>
  <si>
    <t>Data Integrity Group</t>
  </si>
  <si>
    <t>E00300335</t>
  </si>
  <si>
    <t>E00300338</t>
  </si>
  <si>
    <t>E00300362</t>
  </si>
  <si>
    <t>Pharmacovigilnc Brnd</t>
  </si>
  <si>
    <t>Pharmacovigilance - Brands</t>
  </si>
  <si>
    <t>PHARMACOVI</t>
  </si>
  <si>
    <t>E00300364</t>
  </si>
  <si>
    <t>Quality Pharma</t>
  </si>
  <si>
    <t>Ball, Brian</t>
  </si>
  <si>
    <t>Quality</t>
  </si>
  <si>
    <t>QUALITY</t>
  </si>
  <si>
    <t>E00300367</t>
  </si>
  <si>
    <t>QA Admin Externl Mfg</t>
  </si>
  <si>
    <t>QA Admin External Mfg</t>
  </si>
  <si>
    <t>GBLEXTSUPP</t>
  </si>
  <si>
    <t>E00300376</t>
  </si>
  <si>
    <t>Clinical Quality</t>
  </si>
  <si>
    <t>E00300377</t>
  </si>
  <si>
    <t>Global Trade Comply</t>
  </si>
  <si>
    <t>Global Trade Compliance</t>
  </si>
  <si>
    <t>E00300383</t>
  </si>
  <si>
    <t>FP&amp;A Finance</t>
  </si>
  <si>
    <t>Bodem, Barb</t>
  </si>
  <si>
    <t>FPA</t>
  </si>
  <si>
    <t>E00300384</t>
  </si>
  <si>
    <t>Operations Finance</t>
  </si>
  <si>
    <t>Operations Finance COGS</t>
  </si>
  <si>
    <t>MFGFINANCE</t>
  </si>
  <si>
    <t>E00300385</t>
  </si>
  <si>
    <t>HR BP Commercial</t>
  </si>
  <si>
    <t>Tomasello, John</t>
  </si>
  <si>
    <t>HR BP Commercial  Brands</t>
  </si>
  <si>
    <t>HRSUPPORT</t>
  </si>
  <si>
    <t>E00300444</t>
  </si>
  <si>
    <t>Footprint Corporate</t>
  </si>
  <si>
    <t>Footprint - Corporate</t>
  </si>
  <si>
    <t>E00300450</t>
  </si>
  <si>
    <t>E00300602</t>
  </si>
  <si>
    <t>Payroll</t>
  </si>
  <si>
    <t>E00300605</t>
  </si>
  <si>
    <t>Internal Audit-Spin</t>
  </si>
  <si>
    <t>Hardie, Kathy</t>
  </si>
  <si>
    <t>Internal Audit</t>
  </si>
  <si>
    <t>INTAUDIT</t>
  </si>
  <si>
    <t>E00300606</t>
  </si>
  <si>
    <t>Investor Relations</t>
  </si>
  <si>
    <t>Lannum, Cole</t>
  </si>
  <si>
    <t>INVESTRELA</t>
  </si>
  <si>
    <t>E00300607</t>
  </si>
  <si>
    <t>Tax</t>
  </si>
  <si>
    <t>Haselhorst, Marvin</t>
  </si>
  <si>
    <t>TAX</t>
  </si>
  <si>
    <t>E00300608</t>
  </si>
  <si>
    <t>Treasury</t>
  </si>
  <si>
    <t>Einwalter, John</t>
  </si>
  <si>
    <t>TREASURY</t>
  </si>
  <si>
    <t>E00300610</t>
  </si>
  <si>
    <t>HR Operations &amp; HRIS</t>
  </si>
  <si>
    <t>Clerke, Bob</t>
  </si>
  <si>
    <t>HR Operation &amp; HRIS</t>
  </si>
  <si>
    <t>HRSHARDSVC</t>
  </si>
  <si>
    <t>E00300611</t>
  </si>
  <si>
    <t>Accounts Payable</t>
  </si>
  <si>
    <t>E00300626</t>
  </si>
  <si>
    <t>Total Rewards &amp; Comp</t>
  </si>
  <si>
    <t>Lodin, Michele</t>
  </si>
  <si>
    <t>Total Rewards &amp; Compensation</t>
  </si>
  <si>
    <t>COMPBENEFT</t>
  </si>
  <si>
    <t>E00300627</t>
  </si>
  <si>
    <t>HR BP SS and Corp</t>
  </si>
  <si>
    <t>Tyson, Lisa</t>
  </si>
  <si>
    <t>HR BP Shared Services and Corp</t>
  </si>
  <si>
    <t>E00300676</t>
  </si>
  <si>
    <t>Govt Affairs &amp; Polcy</t>
  </si>
  <si>
    <t>Tyndall, Mark</t>
  </si>
  <si>
    <t>Government Affairs and Policy</t>
  </si>
  <si>
    <t>GOVAFFAIRS</t>
  </si>
  <si>
    <t>E00300678</t>
  </si>
  <si>
    <t>Corporate Legal</t>
  </si>
  <si>
    <t>E00300705</t>
  </si>
  <si>
    <t>Fcst &amp; Compete Intel</t>
  </si>
  <si>
    <t>Forecasting &amp; Competitive Intelligence</t>
  </si>
  <si>
    <t>E00300707</t>
  </si>
  <si>
    <t>E00300710</t>
  </si>
  <si>
    <t>Conventions</t>
  </si>
  <si>
    <t>Meeting and Conventions</t>
  </si>
  <si>
    <t>CRPANALYTC</t>
  </si>
  <si>
    <t>E00300917</t>
  </si>
  <si>
    <t>Hosp Therapies Exec</t>
  </si>
  <si>
    <t>Hosp Therapies Exec CC Tsfr</t>
  </si>
  <si>
    <t>CCNP00</t>
  </si>
  <si>
    <t>COMLEADERS</t>
  </si>
  <si>
    <t>F4000</t>
  </si>
  <si>
    <t>E00301010</t>
  </si>
  <si>
    <t>Fluorite Green RD</t>
  </si>
  <si>
    <t>R</t>
  </si>
  <si>
    <t>Fluorite Green RD Project</t>
  </si>
  <si>
    <t>RDPROJECT</t>
  </si>
  <si>
    <t>F7000</t>
  </si>
  <si>
    <t>E00301184</t>
  </si>
  <si>
    <t>Chief Stratgy Officr</t>
  </si>
  <si>
    <t>Chief Strategy Officr Expat cross charge</t>
  </si>
  <si>
    <t>E00301242</t>
  </si>
  <si>
    <t>O/S Mfg-DSM</t>
  </si>
  <si>
    <t>O</t>
  </si>
  <si>
    <t>F3008</t>
  </si>
  <si>
    <t>E00301264</t>
  </si>
  <si>
    <t>Corp Misc Taxes</t>
  </si>
  <si>
    <t>Corporate Misc Taxes</t>
  </si>
  <si>
    <t>E00301501</t>
  </si>
  <si>
    <t>MNK-155 RD</t>
  </si>
  <si>
    <t>ZIRC00</t>
  </si>
  <si>
    <t>E00301514</t>
  </si>
  <si>
    <t>Xartemis RD</t>
  </si>
  <si>
    <t>E00302210</t>
  </si>
  <si>
    <t>Pharmacovigil EMEA</t>
  </si>
  <si>
    <t>Pharmacovigilance-EMEA</t>
  </si>
  <si>
    <t>E00303266</t>
  </si>
  <si>
    <t>Bonus SG&amp;A - Alloc</t>
  </si>
  <si>
    <t>Global Bonus SG&amp;A - Alloc</t>
  </si>
  <si>
    <t>E00303500</t>
  </si>
  <si>
    <t>Environ Adj-Mall Del</t>
  </si>
  <si>
    <t>Environmental Adjustments-Mall LLC</t>
  </si>
  <si>
    <t>ENVIOBLIGA</t>
  </si>
  <si>
    <t>E00304266</t>
  </si>
  <si>
    <t>Bonus SG&amp;A - Corp</t>
  </si>
  <si>
    <t>Global Bonus SG&amp;A - Corporate</t>
  </si>
  <si>
    <t>E00304710</t>
  </si>
  <si>
    <t>Res &amp; Devel Project</t>
  </si>
  <si>
    <t>Research and Development Projects</t>
  </si>
  <si>
    <t>E00305196</t>
  </si>
  <si>
    <t>Medical Information</t>
  </si>
  <si>
    <t>SSCMEDAFFR</t>
  </si>
  <si>
    <t>E00306196</t>
  </si>
  <si>
    <t>Scientific Communica</t>
  </si>
  <si>
    <t>Scientific Communications</t>
  </si>
  <si>
    <t>E00306200</t>
  </si>
  <si>
    <t>Med Affairs Prgm Mgt</t>
  </si>
  <si>
    <t>Med Affairs Program Mgmt</t>
  </si>
  <si>
    <t>E00308194</t>
  </si>
  <si>
    <t>HEOR</t>
  </si>
  <si>
    <t>E00310021</t>
  </si>
  <si>
    <t>Clinical Development</t>
  </si>
  <si>
    <t>Walker, Sally</t>
  </si>
  <si>
    <t>E00310245</t>
  </si>
  <si>
    <t>HR SVP</t>
  </si>
  <si>
    <t>Watkins, Ian</t>
  </si>
  <si>
    <t>E00310252</t>
  </si>
  <si>
    <t>Corp Engineering</t>
  </si>
  <si>
    <t>MFGSCITECH</t>
  </si>
  <si>
    <t>E00310380</t>
  </si>
  <si>
    <t>Bonus OCOS - Alloc</t>
  </si>
  <si>
    <t>Global Bonus OCOS - Alloc</t>
  </si>
  <si>
    <t>E01000001</t>
  </si>
  <si>
    <t>Carnforth Insurance</t>
  </si>
  <si>
    <t>E010</t>
  </si>
  <si>
    <t>E01800575</t>
  </si>
  <si>
    <t>East Coast Office</t>
  </si>
  <si>
    <t>E018</t>
  </si>
  <si>
    <t>E14200005</t>
  </si>
  <si>
    <t>Mall Vet Admin</t>
  </si>
  <si>
    <t>E142</t>
  </si>
  <si>
    <t>E14200500</t>
  </si>
  <si>
    <t>Environ Adj-Mall Vet</t>
  </si>
  <si>
    <t>Environmental Adjustments-Mall Vet</t>
  </si>
  <si>
    <t>E14203278</t>
  </si>
  <si>
    <t>Outside Legal MVI</t>
  </si>
  <si>
    <t>E16300701</t>
  </si>
  <si>
    <t>Stratatech Marketing</t>
  </si>
  <si>
    <t>Burke, Joe</t>
  </si>
  <si>
    <t>E163</t>
  </si>
  <si>
    <t>WCNP00</t>
  </si>
  <si>
    <t>E16301278</t>
  </si>
  <si>
    <t>Outside Legal Strat</t>
  </si>
  <si>
    <t>Outside Legal - Stratatech</t>
  </si>
  <si>
    <t>E16304000</t>
  </si>
  <si>
    <t>R&amp;D Gov Grant Reimbr</t>
  </si>
  <si>
    <t>R&amp;D Gov-Grant Reimbursement</t>
  </si>
  <si>
    <t>E16306000</t>
  </si>
  <si>
    <t>Research &amp; Developmt</t>
  </si>
  <si>
    <t>Research &amp; Development</t>
  </si>
  <si>
    <t>E16308000</t>
  </si>
  <si>
    <t>General  Admin</t>
  </si>
  <si>
    <t>E17300023</t>
  </si>
  <si>
    <t>Hospital Progrm Mgmt</t>
  </si>
  <si>
    <t>Ziemba,Rob</t>
  </si>
  <si>
    <t>Hospital Program Mgmt</t>
  </si>
  <si>
    <t>E173</t>
  </si>
  <si>
    <t>HPNP00</t>
  </si>
  <si>
    <t>E17300025</t>
  </si>
  <si>
    <t>Supply Recothrom</t>
  </si>
  <si>
    <t>Supply Chain - Recothrom</t>
  </si>
  <si>
    <t>RECO00</t>
  </si>
  <si>
    <t>E17300030</t>
  </si>
  <si>
    <t>Regulatory Hosp Prod</t>
  </si>
  <si>
    <t>Anant, Madhu</t>
  </si>
  <si>
    <t>T</t>
  </si>
  <si>
    <t>Regulatory Hospital Products 1</t>
  </si>
  <si>
    <t>F3010</t>
  </si>
  <si>
    <t>E17300075</t>
  </si>
  <si>
    <t>Hospital Dev Ops</t>
  </si>
  <si>
    <t>Hilsinger, Karrie</t>
  </si>
  <si>
    <t>Hospital Developmental Ops</t>
  </si>
  <si>
    <t>E17300080</t>
  </si>
  <si>
    <t>Ofirmev Medical</t>
  </si>
  <si>
    <t>OFIR00</t>
  </si>
  <si>
    <t>E17300081</t>
  </si>
  <si>
    <t>Hospital Devices RD</t>
  </si>
  <si>
    <t>E17300109</t>
  </si>
  <si>
    <t>Raplixa (HEOR)</t>
  </si>
  <si>
    <t>Raplixa HEOR</t>
  </si>
  <si>
    <t>RPLX00</t>
  </si>
  <si>
    <t>E17300111</t>
  </si>
  <si>
    <t>Recothrom (HEOR)</t>
  </si>
  <si>
    <t>Recothrom HEOR</t>
  </si>
  <si>
    <t>ACNP00</t>
  </si>
  <si>
    <t>E17300194</t>
  </si>
  <si>
    <t>Hemostasis Medical</t>
  </si>
  <si>
    <t>E17300197</t>
  </si>
  <si>
    <t>Hosp Thrpy Exec Csts</t>
  </si>
  <si>
    <t>Hospital Therapies Executive Costs</t>
  </si>
  <si>
    <t>E17300200</t>
  </si>
  <si>
    <t>Crit Care Med Dir</t>
  </si>
  <si>
    <t>Hosp Crit Care Med Directors</t>
  </si>
  <si>
    <t>E17300229</t>
  </si>
  <si>
    <t>Acute Care Advocacy</t>
  </si>
  <si>
    <t>Webb, Kevin</t>
  </si>
  <si>
    <t>Hospital-Acute Care Advocacy</t>
  </si>
  <si>
    <t>E17300257</t>
  </si>
  <si>
    <t>Hosp Selling Ntheast</t>
  </si>
  <si>
    <t>Hospital Selling - Northeast</t>
  </si>
  <si>
    <t>FIELDSALES</t>
  </si>
  <si>
    <t>E17300258</t>
  </si>
  <si>
    <t>Hosp Selling - South</t>
  </si>
  <si>
    <t>Hospital Selling - South</t>
  </si>
  <si>
    <t>E17300275</t>
  </si>
  <si>
    <t>Hosp Selling - West</t>
  </si>
  <si>
    <t>Hospital Selling - West</t>
  </si>
  <si>
    <t>E17300370</t>
  </si>
  <si>
    <t>Ofirmev Insurance</t>
  </si>
  <si>
    <t>E17300513</t>
  </si>
  <si>
    <t>Distrib 3PL KN-Cadnc</t>
  </si>
  <si>
    <t>Distribution/3PL KN-Cadence</t>
  </si>
  <si>
    <t>E17300632</t>
  </si>
  <si>
    <t>Clinical Operations</t>
  </si>
  <si>
    <t>E17300700</t>
  </si>
  <si>
    <t>Hosp Comm Excell</t>
  </si>
  <si>
    <t>Hospital Commercial Excellence</t>
  </si>
  <si>
    <t>COMEXCELNC</t>
  </si>
  <si>
    <t>E17300701</t>
  </si>
  <si>
    <t>CE Mkt Rsh &amp; Analyt</t>
  </si>
  <si>
    <t>CE Market Research &amp; Analytics</t>
  </si>
  <si>
    <t>MKTACCESS</t>
  </si>
  <si>
    <t>E17300702</t>
  </si>
  <si>
    <t>Acute Care Acct Sol</t>
  </si>
  <si>
    <t>Acute Care Account Solutions</t>
  </si>
  <si>
    <t>CONTRACTIN</t>
  </si>
  <si>
    <t>E17300703</t>
  </si>
  <si>
    <t>CE Sales Ops</t>
  </si>
  <si>
    <t>E17300753</t>
  </si>
  <si>
    <t>E17300801</t>
  </si>
  <si>
    <t>CE Acute Mkt Rsh Ana</t>
  </si>
  <si>
    <t>CE Acute Care Mkt Rsh &amp; An</t>
  </si>
  <si>
    <t>E17300802</t>
  </si>
  <si>
    <t>CE Sls Trn Acute Car</t>
  </si>
  <si>
    <t>CE Sls Trn Acute Care</t>
  </si>
  <si>
    <t>E17300812</t>
  </si>
  <si>
    <t>Hospital Misc Tax</t>
  </si>
  <si>
    <t>E17300822</t>
  </si>
  <si>
    <t>Hospital Finance</t>
  </si>
  <si>
    <t>Hospital Finance Support</t>
  </si>
  <si>
    <t>E17300842</t>
  </si>
  <si>
    <t>Ofirmev IT</t>
  </si>
  <si>
    <t>E17300871</t>
  </si>
  <si>
    <t>Legal Operations AC</t>
  </si>
  <si>
    <t>Legal Operations Acute Care</t>
  </si>
  <si>
    <t>E17300917</t>
  </si>
  <si>
    <t>Hosp Therapies Exec AC Tsfr</t>
  </si>
  <si>
    <t>E17301000</t>
  </si>
  <si>
    <t>Bio Surg NSD</t>
  </si>
  <si>
    <t>E17301001</t>
  </si>
  <si>
    <t>Recothrom Selling</t>
  </si>
  <si>
    <t>E17301003</t>
  </si>
  <si>
    <t>Raplixa Selling</t>
  </si>
  <si>
    <t>E17301200</t>
  </si>
  <si>
    <t>Ofirmev HEOR</t>
  </si>
  <si>
    <t>E17301229</t>
  </si>
  <si>
    <t>Crit Care Advocacy</t>
  </si>
  <si>
    <t>Hosp-Critical Care Advocacy</t>
  </si>
  <si>
    <t>E17301250</t>
  </si>
  <si>
    <t>Acute Care R&amp;D</t>
  </si>
  <si>
    <t>Skelton, Terri</t>
  </si>
  <si>
    <t>E17301450</t>
  </si>
  <si>
    <t>Ofirmev - RD</t>
  </si>
  <si>
    <t>Ofirmev - RD Projects</t>
  </si>
  <si>
    <t>E17301901</t>
  </si>
  <si>
    <t>Do Not Use Terli</t>
  </si>
  <si>
    <t>Do Not Use Terli -close at go-live</t>
  </si>
  <si>
    <t>E17301903</t>
  </si>
  <si>
    <t>Do Not Use INOmax</t>
  </si>
  <si>
    <t>Do Not Use INOmax -close at go-live</t>
  </si>
  <si>
    <t>INMX00</t>
  </si>
  <si>
    <t>E17301904</t>
  </si>
  <si>
    <t>Do Not Use Therakos</t>
  </si>
  <si>
    <t>Do Not Use Therakos RD -close at go-live</t>
  </si>
  <si>
    <t>KITS00</t>
  </si>
  <si>
    <t>E17302000</t>
  </si>
  <si>
    <t>Bio Surg Sales NEast</t>
  </si>
  <si>
    <t>Bio Surg Sales - Northeast</t>
  </si>
  <si>
    <t>E17302005</t>
  </si>
  <si>
    <t>Hemostas RD</t>
  </si>
  <si>
    <t>Hemostasis - RD Projects</t>
  </si>
  <si>
    <t>E17302012</t>
  </si>
  <si>
    <t>Raplixa RD</t>
  </si>
  <si>
    <t>Raplixa - RD Projects</t>
  </si>
  <si>
    <t>E17302014</t>
  </si>
  <si>
    <t>PreveLeak RD</t>
  </si>
  <si>
    <t>PreveLeak - RD Projects</t>
  </si>
  <si>
    <t>PRVL00</t>
  </si>
  <si>
    <t>E17303000</t>
  </si>
  <si>
    <t>Bio Surg Sales West</t>
  </si>
  <si>
    <t>Bio Surg Sales - West</t>
  </si>
  <si>
    <t>E17303266</t>
  </si>
  <si>
    <t>Bonus - AC Admin</t>
  </si>
  <si>
    <t>Global Bonus - Acute Care SG&amp;A</t>
  </si>
  <si>
    <t>E17303278</t>
  </si>
  <si>
    <t>Outsde Legal AcuteCr</t>
  </si>
  <si>
    <t>Outside Legal - Acute Care</t>
  </si>
  <si>
    <t>E17304000</t>
  </si>
  <si>
    <t>Ofirmev Field Medic</t>
  </si>
  <si>
    <t>Ofirmev Field Medical</t>
  </si>
  <si>
    <t>FIELDMEDIC</t>
  </si>
  <si>
    <t>E17304066</t>
  </si>
  <si>
    <t>Bonus R&amp;D - Hosp</t>
  </si>
  <si>
    <t>Global Bonus R&amp;D - Hosp</t>
  </si>
  <si>
    <t>E17304166</t>
  </si>
  <si>
    <t>Bonus COGS - Hosp</t>
  </si>
  <si>
    <t>Global Bonus COGS - Hosp</t>
  </si>
  <si>
    <t>E17304266</t>
  </si>
  <si>
    <t>Bonus SG&amp;A - Hosp</t>
  </si>
  <si>
    <t>Global Bonus SG&amp;A - Hosp</t>
  </si>
  <si>
    <t>E17305278</t>
  </si>
  <si>
    <t>Outsde Legal CritCar</t>
  </si>
  <si>
    <t>Outside Legal - Critical Care</t>
  </si>
  <si>
    <t>E17310200</t>
  </si>
  <si>
    <t>Quality - Recothrom</t>
  </si>
  <si>
    <t>E17310256</t>
  </si>
  <si>
    <t>Hospital Selling VP</t>
  </si>
  <si>
    <t>Hospital Selling - VP</t>
  </si>
  <si>
    <t>E17311000</t>
  </si>
  <si>
    <t>Hemostasis Marketing</t>
  </si>
  <si>
    <t>E17311001</t>
  </si>
  <si>
    <t>Recothrom Marketing</t>
  </si>
  <si>
    <t>E17311002</t>
  </si>
  <si>
    <t>Preveleak Selling</t>
  </si>
  <si>
    <t>E17311003</t>
  </si>
  <si>
    <t>Raplixa Marketing</t>
  </si>
  <si>
    <t>E17314000</t>
  </si>
  <si>
    <t>Bio Surg Sales SCntr</t>
  </si>
  <si>
    <t>Bio Surg Sales - South Central</t>
  </si>
  <si>
    <t>E17320256</t>
  </si>
  <si>
    <t>Ofirmev Marketing</t>
  </si>
  <si>
    <t>E17321001</t>
  </si>
  <si>
    <t>Recothrom Distributn</t>
  </si>
  <si>
    <t>Recothrom Distribution</t>
  </si>
  <si>
    <t>E17321002</t>
  </si>
  <si>
    <t>Preveleak Marketing</t>
  </si>
  <si>
    <t>E17321003</t>
  </si>
  <si>
    <t>Raplixa Distribution</t>
  </si>
  <si>
    <t>E17331002</t>
  </si>
  <si>
    <t>Preveleak Distributn</t>
  </si>
  <si>
    <t>Preveleak Distribution</t>
  </si>
  <si>
    <t>E17400001</t>
  </si>
  <si>
    <t>ARD Finance</t>
  </si>
  <si>
    <t>ARD Finance Support</t>
  </si>
  <si>
    <t>E174</t>
  </si>
  <si>
    <t>ARNP00</t>
  </si>
  <si>
    <t>E17400010</t>
  </si>
  <si>
    <t>Legal Operations ARD</t>
  </si>
  <si>
    <t>E17400015</t>
  </si>
  <si>
    <t>BioVectra Mgmt</t>
  </si>
  <si>
    <t>Technow, Oliver</t>
  </si>
  <si>
    <t>CMBI00</t>
  </si>
  <si>
    <t>E17400020</t>
  </si>
  <si>
    <t>HR - ARD</t>
  </si>
  <si>
    <t>Human Resources - ARD</t>
  </si>
  <si>
    <t>E17400025</t>
  </si>
  <si>
    <t>ARD Program Mgmt</t>
  </si>
  <si>
    <t>E17400029</t>
  </si>
  <si>
    <t>Regulatory ARD</t>
  </si>
  <si>
    <t>Tavakkol, Roxanne</t>
  </si>
  <si>
    <t>ACTH00</t>
  </si>
  <si>
    <t>E17400072</t>
  </si>
  <si>
    <t>ARD Dev Ops</t>
  </si>
  <si>
    <t>Nazareno, Leonor</t>
  </si>
  <si>
    <t>ARD Developmental Operations</t>
  </si>
  <si>
    <t>E17400075</t>
  </si>
  <si>
    <t>ARD Executive (hist)</t>
  </si>
  <si>
    <t>ARD Executive (historical)</t>
  </si>
  <si>
    <t>E17400080</t>
  </si>
  <si>
    <t>Compliance ARD</t>
  </si>
  <si>
    <t>E17400090</t>
  </si>
  <si>
    <t>Acthar Genrl Medical</t>
  </si>
  <si>
    <t>Acthar General Medical</t>
  </si>
  <si>
    <t>E17400091</t>
  </si>
  <si>
    <t>Acth Pulmonology Med</t>
  </si>
  <si>
    <t>Acthar Pulmonology Medical</t>
  </si>
  <si>
    <t>E17400092</t>
  </si>
  <si>
    <t>Acth Ophthamolgy Med</t>
  </si>
  <si>
    <t>Acthar Ophthalmology Medical</t>
  </si>
  <si>
    <t>E17400093</t>
  </si>
  <si>
    <t>Acth Neurology Med</t>
  </si>
  <si>
    <t>Acthar Neurology Medical</t>
  </si>
  <si>
    <t>E17400094</t>
  </si>
  <si>
    <t>Acth Nephrology Med</t>
  </si>
  <si>
    <t>Acthar Nephrology Medical</t>
  </si>
  <si>
    <t>E17400095</t>
  </si>
  <si>
    <t>Acth Rheumatoloy Med</t>
  </si>
  <si>
    <t>Acthar Rheumatology Medical</t>
  </si>
  <si>
    <t>E17400100</t>
  </si>
  <si>
    <t>Comm Development</t>
  </si>
  <si>
    <t>O'Neill, Hugh</t>
  </si>
  <si>
    <t>Commercial Development</t>
  </si>
  <si>
    <t>E17400150</t>
  </si>
  <si>
    <t>Porfolio Strategy</t>
  </si>
  <si>
    <t>E17400200</t>
  </si>
  <si>
    <t>Acthar Field Medical</t>
  </si>
  <si>
    <t>E17400201</t>
  </si>
  <si>
    <t>Med Affair Trainers</t>
  </si>
  <si>
    <t>Med Affairs Trainers</t>
  </si>
  <si>
    <t>E17400301</t>
  </si>
  <si>
    <t>ARD Clinical Operatn</t>
  </si>
  <si>
    <t>Becker, Patrice</t>
  </si>
  <si>
    <t>ARD Clinical Operations</t>
  </si>
  <si>
    <t>E17400310</t>
  </si>
  <si>
    <t>ARD Manuf Tech Suprt</t>
  </si>
  <si>
    <t>Lollo, Charles</t>
  </si>
  <si>
    <t>ARD Manuf Tech Support</t>
  </si>
  <si>
    <t>E17400400</t>
  </si>
  <si>
    <t>Contracts &amp; Pricing</t>
  </si>
  <si>
    <t>Duda, Brian</t>
  </si>
  <si>
    <t>Strategic Contracts &amp; Pricing</t>
  </si>
  <si>
    <t>E17400410</t>
  </si>
  <si>
    <t>Market Access Progm</t>
  </si>
  <si>
    <t>Market Access Programs</t>
  </si>
  <si>
    <t>E17400415</t>
  </si>
  <si>
    <t>Corporat Account Dir</t>
  </si>
  <si>
    <t>Corporate Account Directors</t>
  </si>
  <si>
    <t>E17400420</t>
  </si>
  <si>
    <t>Patient Svcs &amp; Reimb</t>
  </si>
  <si>
    <t>Patient Services and Reimbursement</t>
  </si>
  <si>
    <t>E17400425</t>
  </si>
  <si>
    <t>REIMBURSEMENT</t>
  </si>
  <si>
    <t>E17400444</t>
  </si>
  <si>
    <t>Footprint - ARD</t>
  </si>
  <si>
    <t>E17400450</t>
  </si>
  <si>
    <t>Neurology Fld Sls</t>
  </si>
  <si>
    <t>Missey, Tim</t>
  </si>
  <si>
    <t>Neurology Field Sales</t>
  </si>
  <si>
    <t>E17400451</t>
  </si>
  <si>
    <t>Nephrology Fld Sls</t>
  </si>
  <si>
    <t>McCutcheon, Nate</t>
  </si>
  <si>
    <t>Nephrology Field Sales</t>
  </si>
  <si>
    <t>E17400452</t>
  </si>
  <si>
    <t>Rheumatology Fld Sls</t>
  </si>
  <si>
    <t>Rheumatology Field Sales</t>
  </si>
  <si>
    <t>E17400453</t>
  </si>
  <si>
    <t>Pulmonology Fld Sls</t>
  </si>
  <si>
    <t>Pulmonology Field Sales</t>
  </si>
  <si>
    <t>E17400454</t>
  </si>
  <si>
    <t>Ophthalmology Fld Sl</t>
  </si>
  <si>
    <t>Ophthalmology Field Sales</t>
  </si>
  <si>
    <t>E17400500</t>
  </si>
  <si>
    <t>ARD Comm Excell</t>
  </si>
  <si>
    <t>Felish, Cara</t>
  </si>
  <si>
    <t>ARD Commercial Excellence</t>
  </si>
  <si>
    <t>E17400525</t>
  </si>
  <si>
    <t>Manufacturing</t>
  </si>
  <si>
    <t>E17400526</t>
  </si>
  <si>
    <t>ARD Operation Ex Pat</t>
  </si>
  <si>
    <t>ARD Operations - Ex Pat</t>
  </si>
  <si>
    <t>E17400600</t>
  </si>
  <si>
    <t>Acthar Distribution</t>
  </si>
  <si>
    <t>Patterson, Mike</t>
  </si>
  <si>
    <t>E17400620</t>
  </si>
  <si>
    <t>HUB OCOS</t>
  </si>
  <si>
    <t>Breton, Kathleen</t>
  </si>
  <si>
    <t>P</t>
  </si>
  <si>
    <t>F3009</t>
  </si>
  <si>
    <t>E17400676</t>
  </si>
  <si>
    <t>ARD Advocacy</t>
  </si>
  <si>
    <t>Jackson, Catherine</t>
  </si>
  <si>
    <t>E17400702</t>
  </si>
  <si>
    <t>E17400800</t>
  </si>
  <si>
    <t>Union City Facility</t>
  </si>
  <si>
    <t>ARD Facilities</t>
  </si>
  <si>
    <t>E17400850</t>
  </si>
  <si>
    <t>ARD IT Support</t>
  </si>
  <si>
    <t>E17401264</t>
  </si>
  <si>
    <t>ARD Corp Other</t>
  </si>
  <si>
    <t>E17401266</t>
  </si>
  <si>
    <t>Bonus R&amp;D - ARD</t>
  </si>
  <si>
    <t>Global Bonus R&amp;D - ARD</t>
  </si>
  <si>
    <t>E17401290</t>
  </si>
  <si>
    <t>Acthar General HEOR</t>
  </si>
  <si>
    <t>E17401291</t>
  </si>
  <si>
    <t>Acthar Pulmnlgy HEOR</t>
  </si>
  <si>
    <t>Acthar Pulmonology HEOR</t>
  </si>
  <si>
    <t>E17401292</t>
  </si>
  <si>
    <t>Acthar Opthmlgy HEOR</t>
  </si>
  <si>
    <t>Acthar Opthamology HEOR</t>
  </si>
  <si>
    <t>E17401293</t>
  </si>
  <si>
    <t>Acthar Neurolgy HEOR</t>
  </si>
  <si>
    <t>Acthar Neurology HEOR</t>
  </si>
  <si>
    <t>E17401294</t>
  </si>
  <si>
    <t>Acthar Nephrlgy HEOR</t>
  </si>
  <si>
    <t>Acthar Nephrology HEOR</t>
  </si>
  <si>
    <t>E17401295</t>
  </si>
  <si>
    <t>Acthar Rheumtgy HEOR</t>
  </si>
  <si>
    <t>Acthar Rheumatology HEOR</t>
  </si>
  <si>
    <t>E17401400</t>
  </si>
  <si>
    <t>Acthar R&amp;D</t>
  </si>
  <si>
    <t>Acthar R&amp;D Projects</t>
  </si>
  <si>
    <t>E17401401</t>
  </si>
  <si>
    <t>Acthar R&amp;D (OCOS)</t>
  </si>
  <si>
    <t>Acthar Operations Support (RD)</t>
  </si>
  <si>
    <t>E17401411</t>
  </si>
  <si>
    <t>MNK 1411 R&amp;D</t>
  </si>
  <si>
    <t>SYNC00</t>
  </si>
  <si>
    <t>E17401450</t>
  </si>
  <si>
    <t>Neurology Marketing</t>
  </si>
  <si>
    <t>E17401451</t>
  </si>
  <si>
    <t>Nephrology Marketing</t>
  </si>
  <si>
    <t>E17401452</t>
  </si>
  <si>
    <t>Rheumatology Marktng</t>
  </si>
  <si>
    <t>Rheumatology Marketing</t>
  </si>
  <si>
    <t>E17401453</t>
  </si>
  <si>
    <t>Pulmonology Marketng</t>
  </si>
  <si>
    <t>Pulmonology Marketing</t>
  </si>
  <si>
    <t>E17401454</t>
  </si>
  <si>
    <t>Ophthalmology Mrktng</t>
  </si>
  <si>
    <t>Ophthalmology Marketing</t>
  </si>
  <si>
    <t>E17403266</t>
  </si>
  <si>
    <t>Bonus COGS - ARD</t>
  </si>
  <si>
    <t>Global Bonus COGS - ARD</t>
  </si>
  <si>
    <t>E17403278</t>
  </si>
  <si>
    <t>Outside Legal - ARD</t>
  </si>
  <si>
    <t>E17410025</t>
  </si>
  <si>
    <t>GES ARD Support</t>
  </si>
  <si>
    <t>E17413266</t>
  </si>
  <si>
    <t>Bonus SG&amp;A - ARD</t>
  </si>
  <si>
    <t>Global Bonus SG&amp;A - ARD</t>
  </si>
  <si>
    <t>E17500001</t>
  </si>
  <si>
    <t>G&amp;A Expense</t>
  </si>
  <si>
    <t>E175</t>
  </si>
  <si>
    <t>E20700001</t>
  </si>
  <si>
    <t>Richards, Steve</t>
  </si>
  <si>
    <t>E207</t>
  </si>
  <si>
    <t>E20700010</t>
  </si>
  <si>
    <t>Royalties</t>
  </si>
  <si>
    <t>Harrison, Christine</t>
  </si>
  <si>
    <t>E20700100</t>
  </si>
  <si>
    <t>Sales</t>
  </si>
  <si>
    <t>Coiante, Paul</t>
  </si>
  <si>
    <t>E20700102</t>
  </si>
  <si>
    <t>Selling Region West</t>
  </si>
  <si>
    <t>Selling Region-West</t>
  </si>
  <si>
    <t>E20700110</t>
  </si>
  <si>
    <t>Customer Experience</t>
  </si>
  <si>
    <t>James Wheeler</t>
  </si>
  <si>
    <t>E20700120</t>
  </si>
  <si>
    <t>Product Marketing</t>
  </si>
  <si>
    <t>Newman, David</t>
  </si>
  <si>
    <t>E20700130</t>
  </si>
  <si>
    <t>Hlth Economics/Reimb</t>
  </si>
  <si>
    <t>Wan, George</t>
  </si>
  <si>
    <t>Health Economics &amp; Reimbursement</t>
  </si>
  <si>
    <t>E20700200</t>
  </si>
  <si>
    <t>TKS Clinical Ed Svcs</t>
  </si>
  <si>
    <t>Lacker, Cynthia</t>
  </si>
  <si>
    <t>TKS US Clinical Ed Services</t>
  </si>
  <si>
    <t>Technical Services</t>
  </si>
  <si>
    <t>Wheeler, James</t>
  </si>
  <si>
    <t>E20700220</t>
  </si>
  <si>
    <t>TKS R&amp;D Studies</t>
  </si>
  <si>
    <t>Graziano, Angel</t>
  </si>
  <si>
    <t>E20700230</t>
  </si>
  <si>
    <t>TKS Chronic Study</t>
  </si>
  <si>
    <t>S&amp;T</t>
  </si>
  <si>
    <t>E20700320</t>
  </si>
  <si>
    <t>HR BP Commercial-CC</t>
  </si>
  <si>
    <t>HR BP Com CC</t>
  </si>
  <si>
    <t>HR BP Commercial Critical Care</t>
  </si>
  <si>
    <t>E20700420</t>
  </si>
  <si>
    <t>TKS US Medical</t>
  </si>
  <si>
    <t>Mitri, Ghaith</t>
  </si>
  <si>
    <t>E20700430</t>
  </si>
  <si>
    <t>Medical Liaison</t>
  </si>
  <si>
    <t>Cortes, Robert</t>
  </si>
  <si>
    <t>E20700440</t>
  </si>
  <si>
    <t>Med Affairs Advocacy</t>
  </si>
  <si>
    <t>Sharma, Vanita</t>
  </si>
  <si>
    <t>Medical Affairs Advocacy</t>
  </si>
  <si>
    <t>E20700500</t>
  </si>
  <si>
    <t>Viscido, Michael</t>
  </si>
  <si>
    <t>E20700510</t>
  </si>
  <si>
    <t>Regulatory</t>
  </si>
  <si>
    <t>Mitchell, Christina</t>
  </si>
  <si>
    <t>E20700520</t>
  </si>
  <si>
    <t>Compliance CC</t>
  </si>
  <si>
    <t>Complianc CC</t>
  </si>
  <si>
    <t>Compliance Critcal Care</t>
  </si>
  <si>
    <t>E20700720</t>
  </si>
  <si>
    <t>West Chester Facilty</t>
  </si>
  <si>
    <t>W Chestr Fac</t>
  </si>
  <si>
    <t>West Chester - Facilities</t>
  </si>
  <si>
    <t>E20700830</t>
  </si>
  <si>
    <t>Info Tech - CC</t>
  </si>
  <si>
    <t>Info Tech CC</t>
  </si>
  <si>
    <t>Information Technology - Critical Care</t>
  </si>
  <si>
    <t>E20700860</t>
  </si>
  <si>
    <t>Genl Counsel Comm CC</t>
  </si>
  <si>
    <t>GenCnsl Comm</t>
  </si>
  <si>
    <t>E20706213</t>
  </si>
  <si>
    <t>Bonus COGS</t>
  </si>
  <si>
    <t>Wagner, Clay</t>
  </si>
  <si>
    <t>E20706914</t>
  </si>
  <si>
    <t>Restructuring</t>
  </si>
  <si>
    <t>Restructurng</t>
  </si>
  <si>
    <t>E20710001</t>
  </si>
  <si>
    <t>CC Finance</t>
  </si>
  <si>
    <t>Critical Care Finance Support</t>
  </si>
  <si>
    <t>E20710010</t>
  </si>
  <si>
    <t>Distribution -Old CC</t>
  </si>
  <si>
    <t>Rowland, Theresa</t>
  </si>
  <si>
    <t>Distribution - Old Cost Center</t>
  </si>
  <si>
    <t>E20710020</t>
  </si>
  <si>
    <t>E20716213</t>
  </si>
  <si>
    <t>Bonus - CC R&amp;D</t>
  </si>
  <si>
    <t>Bonus CC R&amp;D</t>
  </si>
  <si>
    <t>Global Bonus - CC R&amp;D</t>
  </si>
  <si>
    <t>E20720001</t>
  </si>
  <si>
    <t>Executive</t>
  </si>
  <si>
    <t>Englese, Tom</t>
  </si>
  <si>
    <t>E20726213</t>
  </si>
  <si>
    <t>Bonus - CC SG&amp;A</t>
  </si>
  <si>
    <t>Bonus CC SGA</t>
  </si>
  <si>
    <t>Global Bonus - CC SG&amp;A</t>
  </si>
  <si>
    <t>E20730001</t>
  </si>
  <si>
    <t>Selling Region East</t>
  </si>
  <si>
    <t>Selling Region-East</t>
  </si>
  <si>
    <t>E20740001</t>
  </si>
  <si>
    <t>Japan Market Dev</t>
  </si>
  <si>
    <t>Market Development-Japan</t>
  </si>
  <si>
    <t>E20750001</t>
  </si>
  <si>
    <t>Other Supply Chain</t>
  </si>
  <si>
    <t>E20750120</t>
  </si>
  <si>
    <t>Strategic Marketing</t>
  </si>
  <si>
    <t>David Newman</t>
  </si>
  <si>
    <t>E20760001</t>
  </si>
  <si>
    <t>Sustaining &amp; R&amp;D</t>
  </si>
  <si>
    <t>E21903278</t>
  </si>
  <si>
    <t>Critical Care Outside Legal</t>
  </si>
  <si>
    <t>E219</t>
  </si>
  <si>
    <t>E23100000</t>
  </si>
  <si>
    <t>Asbestos</t>
  </si>
  <si>
    <t>E231</t>
  </si>
  <si>
    <t>E24600002</t>
  </si>
  <si>
    <t>Australia S&amp;M</t>
  </si>
  <si>
    <t>Australia Sales &amp; Marketing</t>
  </si>
  <si>
    <t>E246</t>
  </si>
  <si>
    <t>E24600003</t>
  </si>
  <si>
    <t>Stratgy BD&amp;L</t>
  </si>
  <si>
    <t>E24600005</t>
  </si>
  <si>
    <t>INOmax R&amp;D Studies</t>
  </si>
  <si>
    <t>Ridley, Sarah</t>
  </si>
  <si>
    <t>E24600010</t>
  </si>
  <si>
    <t>INOmax Medical</t>
  </si>
  <si>
    <t>Potenziano, Jim</t>
  </si>
  <si>
    <t>E24600012</t>
  </si>
  <si>
    <t>INOmax Reg Affairs</t>
  </si>
  <si>
    <t>INOmax Regulatory Affairs</t>
  </si>
  <si>
    <t>E24600013</t>
  </si>
  <si>
    <t>INOmax Device</t>
  </si>
  <si>
    <t>Vandlik, Mark</t>
  </si>
  <si>
    <t>E24600015</t>
  </si>
  <si>
    <t>Franchisee/Francisor</t>
  </si>
  <si>
    <t>Fagan, Mike</t>
  </si>
  <si>
    <t>Franchisee/Franchisor</t>
  </si>
  <si>
    <t>OTHERFDA</t>
  </si>
  <si>
    <t>E24600016</t>
  </si>
  <si>
    <t>Technical Operations</t>
  </si>
  <si>
    <t>Sheu, LL</t>
  </si>
  <si>
    <t>E24600018</t>
  </si>
  <si>
    <t>E24600020</t>
  </si>
  <si>
    <t>Sales Force Central</t>
  </si>
  <si>
    <t>E24600021</t>
  </si>
  <si>
    <t>Customer Care</t>
  </si>
  <si>
    <t>McDermott, Catherine</t>
  </si>
  <si>
    <t>CUSTCARE</t>
  </si>
  <si>
    <t>E24600022</t>
  </si>
  <si>
    <t>Biometrics</t>
  </si>
  <si>
    <t>Young, Joe</t>
  </si>
  <si>
    <t>E24600023</t>
  </si>
  <si>
    <t>R&amp;D Administration</t>
  </si>
  <si>
    <t>E24600024</t>
  </si>
  <si>
    <t>Pharmacovigilance</t>
  </si>
  <si>
    <t>Justice, Nilima</t>
  </si>
  <si>
    <t>E24600025</t>
  </si>
  <si>
    <t>Sales Force East</t>
  </si>
  <si>
    <t>E24600027</t>
  </si>
  <si>
    <t>HR BP Comm</t>
  </si>
  <si>
    <t>E24600028</t>
  </si>
  <si>
    <t>R&amp;D Device Devlpmnt</t>
  </si>
  <si>
    <t>R&amp;D Dev Dvlp</t>
  </si>
  <si>
    <t>R&amp;D Device Development</t>
  </si>
  <si>
    <t>E24600030</t>
  </si>
  <si>
    <t>Gen Consl CC</t>
  </si>
  <si>
    <t>E24600031</t>
  </si>
  <si>
    <t>SLS Force Mid-Atlntc</t>
  </si>
  <si>
    <t>Sales Force Mid-Atlantic</t>
  </si>
  <si>
    <t>E24600032</t>
  </si>
  <si>
    <t>Critical Care Field</t>
  </si>
  <si>
    <t>E24600033</t>
  </si>
  <si>
    <t>Ikaria Sales Force</t>
  </si>
  <si>
    <t>E24600034</t>
  </si>
  <si>
    <t>INO Marketing</t>
  </si>
  <si>
    <t>E24600036</t>
  </si>
  <si>
    <t>Systems Qual COGS</t>
  </si>
  <si>
    <t>Systems Quality COGS</t>
  </si>
  <si>
    <t>E24600037</t>
  </si>
  <si>
    <t>Quality Admin - CC</t>
  </si>
  <si>
    <t>Ball, Bryan</t>
  </si>
  <si>
    <t>Quality Adm</t>
  </si>
  <si>
    <t>Quality Administration Critcal Care</t>
  </si>
  <si>
    <t>E24600040</t>
  </si>
  <si>
    <t>Commercial Ops Admin</t>
  </si>
  <si>
    <t>Commercial Operations Admin</t>
  </si>
  <si>
    <t>E24600041</t>
  </si>
  <si>
    <t>E24600042</t>
  </si>
  <si>
    <t>Sales Force South</t>
  </si>
  <si>
    <t>E24600045</t>
  </si>
  <si>
    <t>Heric, Paul</t>
  </si>
  <si>
    <t>E24600046</t>
  </si>
  <si>
    <t>Sales Force West</t>
  </si>
  <si>
    <t>E24600050</t>
  </si>
  <si>
    <t>National Acct Mgmt</t>
  </si>
  <si>
    <t>Farrell, Kyle</t>
  </si>
  <si>
    <t>National Acct Management</t>
  </si>
  <si>
    <t>E24600054</t>
  </si>
  <si>
    <t>Hampton Facilities</t>
  </si>
  <si>
    <t>Hampton Facl</t>
  </si>
  <si>
    <t>E24600062</t>
  </si>
  <si>
    <t>Puerto Rico</t>
  </si>
  <si>
    <t>Petty, Michael</t>
  </si>
  <si>
    <t>E24600063</t>
  </si>
  <si>
    <t>Compliance Qual COGS</t>
  </si>
  <si>
    <t>Compliance Quality COGS</t>
  </si>
  <si>
    <t>E24600065</t>
  </si>
  <si>
    <t>Atlanta RSC</t>
  </si>
  <si>
    <t>E24600066</t>
  </si>
  <si>
    <t>Chicago RSC</t>
  </si>
  <si>
    <t>Muscanero, Anthony</t>
  </si>
  <si>
    <t>E24600067</t>
  </si>
  <si>
    <t>Dallas RSC</t>
  </si>
  <si>
    <t>Smith, Robert</t>
  </si>
  <si>
    <t>E24600068</t>
  </si>
  <si>
    <t>Los Angles RSC</t>
  </si>
  <si>
    <t>Ramirez, Melissa</t>
  </si>
  <si>
    <t>E24600070</t>
  </si>
  <si>
    <t>New Jersey RSC</t>
  </si>
  <si>
    <t>Anderson, Glenn</t>
  </si>
  <si>
    <t>E24600071</t>
  </si>
  <si>
    <t>Port Allen  RSC</t>
  </si>
  <si>
    <t>E24600072</t>
  </si>
  <si>
    <t>Commercial Ops</t>
  </si>
  <si>
    <t>Commercial Operations</t>
  </si>
  <si>
    <t>E24600073</t>
  </si>
  <si>
    <t>San Francisco RSC</t>
  </si>
  <si>
    <t>E24600077</t>
  </si>
  <si>
    <t>Canada COGS</t>
  </si>
  <si>
    <t>Hunter, Robin</t>
  </si>
  <si>
    <t>E24600078</t>
  </si>
  <si>
    <t>Canada Field Medical</t>
  </si>
  <si>
    <t>E24600079</t>
  </si>
  <si>
    <t>Canada S&amp;M</t>
  </si>
  <si>
    <t>Canada Sales &amp; Marketing</t>
  </si>
  <si>
    <t>E24600080</t>
  </si>
  <si>
    <t>INOmax Jpn CV study</t>
  </si>
  <si>
    <t>Hartz, Chris</t>
  </si>
  <si>
    <t>E24600081</t>
  </si>
  <si>
    <t>Japan COGS</t>
  </si>
  <si>
    <t>E24600082</t>
  </si>
  <si>
    <t>Japan R&amp;D</t>
  </si>
  <si>
    <t>E24600083</t>
  </si>
  <si>
    <t>Japan S&amp;M</t>
  </si>
  <si>
    <t>Japan Sales &amp; Marketing</t>
  </si>
  <si>
    <t>E24600085</t>
  </si>
  <si>
    <t>Mexico COGS</t>
  </si>
  <si>
    <t>Ross, Steve</t>
  </si>
  <si>
    <t>E24600086</t>
  </si>
  <si>
    <t>Mexico S&amp;M</t>
  </si>
  <si>
    <t>Mexico Sales &amp; Marketing</t>
  </si>
  <si>
    <t>E24600090</t>
  </si>
  <si>
    <t>Korea R&amp;D</t>
  </si>
  <si>
    <t>E24600093</t>
  </si>
  <si>
    <t>Rest of World</t>
  </si>
  <si>
    <t>E24600094</t>
  </si>
  <si>
    <t>Lucassin Aus COGS</t>
  </si>
  <si>
    <t>Kopicko, Karen</t>
  </si>
  <si>
    <t>E24600097</t>
  </si>
  <si>
    <t>Terlipressin R&amp;D</t>
  </si>
  <si>
    <t>Goglia, Rich</t>
  </si>
  <si>
    <t>E24600098</t>
  </si>
  <si>
    <t>Terlipressin Mktg</t>
  </si>
  <si>
    <t>Love-Weitz, Kathy</t>
  </si>
  <si>
    <t>Terlipressin Marketing</t>
  </si>
  <si>
    <t>E24600100</t>
  </si>
  <si>
    <t>INOmax HEOR</t>
  </si>
  <si>
    <t>E24600107</t>
  </si>
  <si>
    <t>Quality R&amp;D</t>
  </si>
  <si>
    <t>Vichkulwrapa, Nattin</t>
  </si>
  <si>
    <t>E24600127</t>
  </si>
  <si>
    <t>Integration Cost</t>
  </si>
  <si>
    <t>Integrat Cst</t>
  </si>
  <si>
    <t>Integration Cost - Rebranding</t>
  </si>
  <si>
    <t>E24601101</t>
  </si>
  <si>
    <t>Administratn Inomax</t>
  </si>
  <si>
    <t>Admin Inomax</t>
  </si>
  <si>
    <t>Administration - Inomax</t>
  </si>
  <si>
    <t>E24601111</t>
  </si>
  <si>
    <t>Australia COGS</t>
  </si>
  <si>
    <t>Gattino, Mario</t>
  </si>
  <si>
    <t>E24601501</t>
  </si>
  <si>
    <t>Korea COGS</t>
  </si>
  <si>
    <t>E24601502</t>
  </si>
  <si>
    <t>Linde Devices</t>
  </si>
  <si>
    <t>Shank, Dave</t>
  </si>
  <si>
    <t>LNDE00</t>
  </si>
  <si>
    <t>E24601504</t>
  </si>
  <si>
    <t>E24606025</t>
  </si>
  <si>
    <t>Bonus CC Canada SGA</t>
  </si>
  <si>
    <t>Bonus CanSGA</t>
  </si>
  <si>
    <t>Global Bonus - CC SG&amp;A Cad</t>
  </si>
  <si>
    <t>E24606213</t>
  </si>
  <si>
    <t>E24610018</t>
  </si>
  <si>
    <t>Ikaria Sales Trng</t>
  </si>
  <si>
    <t>Ikaria Sales Training</t>
  </si>
  <si>
    <t>E24611000</t>
  </si>
  <si>
    <t>Madison QualCntrl</t>
  </si>
  <si>
    <t>Madison Qual</t>
  </si>
  <si>
    <t>Madison Quality Control - CC</t>
  </si>
  <si>
    <t>E24611101</t>
  </si>
  <si>
    <t>SG&amp;A - CC</t>
  </si>
  <si>
    <t>Discrete Items SG&amp;A - CC</t>
  </si>
  <si>
    <t>E24611503</t>
  </si>
  <si>
    <t>Linde</t>
  </si>
  <si>
    <t>E24616213</t>
  </si>
  <si>
    <t>E24620018</t>
  </si>
  <si>
    <t>Logistics</t>
  </si>
  <si>
    <t>E24620072</t>
  </si>
  <si>
    <t>E24626213</t>
  </si>
  <si>
    <t>E24670072</t>
  </si>
  <si>
    <t>Port Allen R&amp;D</t>
  </si>
  <si>
    <t>Goodman, Tim</t>
  </si>
  <si>
    <t>E24700007</t>
  </si>
  <si>
    <t>INOcal Manufacturing</t>
  </si>
  <si>
    <t>Gendron, Scott</t>
  </si>
  <si>
    <t>E247</t>
  </si>
  <si>
    <t>PORTALLEN</t>
  </si>
  <si>
    <t>E24700008</t>
  </si>
  <si>
    <t>Goodman, Eric</t>
  </si>
  <si>
    <t>E24700015</t>
  </si>
  <si>
    <t>Franchise</t>
  </si>
  <si>
    <t>1101</t>
  </si>
  <si>
    <t>E24700029</t>
  </si>
  <si>
    <t>Info Tech Port Allen</t>
  </si>
  <si>
    <t>E24700049</t>
  </si>
  <si>
    <t>Madison Qual COGS</t>
  </si>
  <si>
    <t>Soderberg, Mark</t>
  </si>
  <si>
    <t>Madison Quality COGS</t>
  </si>
  <si>
    <t>MADISON</t>
  </si>
  <si>
    <t>E24700052</t>
  </si>
  <si>
    <t>Port Allen Admin</t>
  </si>
  <si>
    <t>Port Allen Administration</t>
  </si>
  <si>
    <t>E24700053</t>
  </si>
  <si>
    <t>Port Allen Distr</t>
  </si>
  <si>
    <t>LaBossiere, Cecile</t>
  </si>
  <si>
    <t>Port Allen Distribution</t>
  </si>
  <si>
    <t>E24700060</t>
  </si>
  <si>
    <t>Drug Qual COGS</t>
  </si>
  <si>
    <t>Satterfield, Bob</t>
  </si>
  <si>
    <t>Drug Quality COGS</t>
  </si>
  <si>
    <t>E24700069</t>
  </si>
  <si>
    <t>Port Allen Bkup Mfg</t>
  </si>
  <si>
    <t>Port Allen Backup Manufacturing</t>
  </si>
  <si>
    <t>E24700100</t>
  </si>
  <si>
    <t>INOvents</t>
  </si>
  <si>
    <t>E24700115</t>
  </si>
  <si>
    <t>E24700150</t>
  </si>
  <si>
    <t>Warehousing Mtn View</t>
  </si>
  <si>
    <t>E24700200</t>
  </si>
  <si>
    <t>Mtn View Quality</t>
  </si>
  <si>
    <t>Mtn View - Quality</t>
  </si>
  <si>
    <t>MTNVIEW</t>
  </si>
  <si>
    <t>E24700300</t>
  </si>
  <si>
    <t>R&amp;D Preveleak</t>
  </si>
  <si>
    <t>E24710072</t>
  </si>
  <si>
    <t>Device Manufacturing</t>
  </si>
  <si>
    <t>E24710100</t>
  </si>
  <si>
    <t>Mtn View Admin</t>
  </si>
  <si>
    <t>Mtn View-Admin</t>
  </si>
  <si>
    <t>E24710150</t>
  </si>
  <si>
    <t>Mtn View Prod</t>
  </si>
  <si>
    <t>Mtn View-Production</t>
  </si>
  <si>
    <t>E24720100</t>
  </si>
  <si>
    <t>Preveleak Product Manager</t>
  </si>
  <si>
    <t>E24730072</t>
  </si>
  <si>
    <t>Lab Qual COGS</t>
  </si>
  <si>
    <t>Lab Quality COGS</t>
  </si>
  <si>
    <t>E24740072</t>
  </si>
  <si>
    <t>E24750072</t>
  </si>
  <si>
    <t>Maintenance</t>
  </si>
  <si>
    <t>Starns, Kenny</t>
  </si>
  <si>
    <t>E24760072</t>
  </si>
  <si>
    <t>Port Allen Prod</t>
  </si>
  <si>
    <t>Port Allen Production</t>
  </si>
  <si>
    <t>E30900001</t>
  </si>
  <si>
    <t>Ofirmev Purch Acctg</t>
  </si>
  <si>
    <t>E309</t>
  </si>
  <si>
    <t>F3007</t>
  </si>
  <si>
    <t>E31000001</t>
  </si>
  <si>
    <t>Acthar Purch Acctg</t>
  </si>
  <si>
    <t>E310</t>
  </si>
  <si>
    <t>E31100044</t>
  </si>
  <si>
    <t>Information Technlgy</t>
  </si>
  <si>
    <t>Information Technology</t>
  </si>
  <si>
    <t>E311</t>
  </si>
  <si>
    <t>E31100054</t>
  </si>
  <si>
    <t>Ikaria Purch Acctg</t>
  </si>
  <si>
    <t>E31100056</t>
  </si>
  <si>
    <t>Port Allan Prch Acct</t>
  </si>
  <si>
    <t>Port Allan Purch Acctg</t>
  </si>
  <si>
    <t>E31100066</t>
  </si>
  <si>
    <t>Chicago RSC PrchAcct</t>
  </si>
  <si>
    <t>Wagner, Clayton</t>
  </si>
  <si>
    <t>Chicago RSC Purch Acctg</t>
  </si>
  <si>
    <t>E31200001</t>
  </si>
  <si>
    <t>Therakos Purch Acctg</t>
  </si>
  <si>
    <t>E312</t>
  </si>
  <si>
    <t>E31400107</t>
  </si>
  <si>
    <t>Stratatch in Proc RD</t>
  </si>
  <si>
    <t>Stratatech In Process R&amp;D</t>
  </si>
  <si>
    <t>E314</t>
  </si>
  <si>
    <t>STRG00</t>
  </si>
  <si>
    <t>E55600102</t>
  </si>
  <si>
    <t>Corp Finance</t>
  </si>
  <si>
    <t>Fenlon, Alasdair</t>
  </si>
  <si>
    <t>Corp Finance - Mall Chem Hlding UK</t>
  </si>
  <si>
    <t>E556</t>
  </si>
  <si>
    <t>IRELANDCRP</t>
  </si>
  <si>
    <t>E59200100</t>
  </si>
  <si>
    <t>CAD</t>
  </si>
  <si>
    <t>E592</t>
  </si>
  <si>
    <t>E59200101</t>
  </si>
  <si>
    <t>E59200320</t>
  </si>
  <si>
    <t>Human Resources</t>
  </si>
  <si>
    <t>Paz,Martin</t>
  </si>
  <si>
    <t>E59200800</t>
  </si>
  <si>
    <t>Finance</t>
  </si>
  <si>
    <t>E59300104</t>
  </si>
  <si>
    <t>Canada R&amp;D</t>
  </si>
  <si>
    <t>E593</t>
  </si>
  <si>
    <t>E59300105</t>
  </si>
  <si>
    <t>E59400100</t>
  </si>
  <si>
    <t>BioVectra Admin</t>
  </si>
  <si>
    <t>E594</t>
  </si>
  <si>
    <t>BIOVECTRA</t>
  </si>
  <si>
    <t>E59400101</t>
  </si>
  <si>
    <t>E59400102</t>
  </si>
  <si>
    <t>HR BP Management</t>
  </si>
  <si>
    <t>E59400103</t>
  </si>
  <si>
    <t>Management</t>
  </si>
  <si>
    <t>E59400400</t>
  </si>
  <si>
    <t>Operations Hillstrom</t>
  </si>
  <si>
    <t>Operations - Hillstrom</t>
  </si>
  <si>
    <t>E59400429</t>
  </si>
  <si>
    <t>Operatons McCarville</t>
  </si>
  <si>
    <t>Operations - McCarville</t>
  </si>
  <si>
    <t>E59400440</t>
  </si>
  <si>
    <t>Operations JT Ferric</t>
  </si>
  <si>
    <t>Operations - JT Ferric</t>
  </si>
  <si>
    <t>E59400450</t>
  </si>
  <si>
    <t>Operations Aviation</t>
  </si>
  <si>
    <t>Operations - Aviation</t>
  </si>
  <si>
    <t>E59400460</t>
  </si>
  <si>
    <t>Operations - Windsor</t>
  </si>
  <si>
    <t>E59400475</t>
  </si>
  <si>
    <t>Operations - Support</t>
  </si>
  <si>
    <t>E59400480</t>
  </si>
  <si>
    <t>Operations - Mfg Ops</t>
  </si>
  <si>
    <t>Operations - Manufacturing Ops</t>
  </si>
  <si>
    <t>E59400600</t>
  </si>
  <si>
    <t>Sales and Marketing</t>
  </si>
  <si>
    <t>E59400700</t>
  </si>
  <si>
    <t>Research and Development</t>
  </si>
  <si>
    <t>E59400900</t>
  </si>
  <si>
    <t>Operatns Fermentaton</t>
  </si>
  <si>
    <t>Operations - Fermentation</t>
  </si>
  <si>
    <t>E60601002</t>
  </si>
  <si>
    <t>Raplixa Quality</t>
  </si>
  <si>
    <t>McCaulay, Graham</t>
  </si>
  <si>
    <t>E606</t>
  </si>
  <si>
    <t>E60601003</t>
  </si>
  <si>
    <t>Raplixa Supply Chain</t>
  </si>
  <si>
    <t>E60601007</t>
  </si>
  <si>
    <t>Raplixa Manufacturng</t>
  </si>
  <si>
    <t>Raplixa Manufacturing</t>
  </si>
  <si>
    <t>E60603047</t>
  </si>
  <si>
    <t>Raplixa Res &amp; Devel</t>
  </si>
  <si>
    <t>Raplixa Research &amp; Development</t>
  </si>
  <si>
    <t>E60603124</t>
  </si>
  <si>
    <t>Raplixa Prduct Regis</t>
  </si>
  <si>
    <t>Astic, Marianne</t>
  </si>
  <si>
    <t>Raplixa Product Registration</t>
  </si>
  <si>
    <t>E60605095</t>
  </si>
  <si>
    <t>Outsd Legal AcuteCar</t>
  </si>
  <si>
    <t>Keogh Aaron</t>
  </si>
  <si>
    <t>E60605114</t>
  </si>
  <si>
    <t>Raplixa Administratn</t>
  </si>
  <si>
    <t>Raplixa Administration</t>
  </si>
  <si>
    <t>E61100100</t>
  </si>
  <si>
    <t>Hirt, Christopher</t>
  </si>
  <si>
    <t>E611</t>
  </si>
  <si>
    <t>E61100120</t>
  </si>
  <si>
    <t>Pastorelli, Alex</t>
  </si>
  <si>
    <t>E61100220</t>
  </si>
  <si>
    <t>Clinical Services</t>
  </si>
  <si>
    <t>Minguzzi, Monica</t>
  </si>
  <si>
    <t>E61100320</t>
  </si>
  <si>
    <t>HR BP Comm CC</t>
  </si>
  <si>
    <t>E61100420</t>
  </si>
  <si>
    <t>TKS IT Medical</t>
  </si>
  <si>
    <t>Rotherburger, Markus</t>
  </si>
  <si>
    <t>OUSMEDICAL</t>
  </si>
  <si>
    <t>E61100800</t>
  </si>
  <si>
    <t>CC Finance EMEA</t>
  </si>
  <si>
    <t>CC Fnce EMEA</t>
  </si>
  <si>
    <t>Critical Care Finance Support EMEA</t>
  </si>
  <si>
    <t>E61100910</t>
  </si>
  <si>
    <t>CC EMEA Executive</t>
  </si>
  <si>
    <t>CC EMEA Exec</t>
  </si>
  <si>
    <t>Critical Care EMEA Executive</t>
  </si>
  <si>
    <t>E61106313</t>
  </si>
  <si>
    <t>Shakil Ahmed</t>
  </si>
  <si>
    <t>COMBUSDEVL</t>
  </si>
  <si>
    <t>E61107084</t>
  </si>
  <si>
    <t>Carnero, Raquel</t>
  </si>
  <si>
    <t>E61131000</t>
  </si>
  <si>
    <t>TKS GE Clin Ed Svcs</t>
  </si>
  <si>
    <t>TKS GE Clinical Ed Services</t>
  </si>
  <si>
    <t>E61200100</t>
  </si>
  <si>
    <t>Christopher Hirt</t>
  </si>
  <si>
    <t>E612</t>
  </si>
  <si>
    <t>E61200200</t>
  </si>
  <si>
    <t>TKS BE Clin Ed Svcs</t>
  </si>
  <si>
    <t>TKS BE Clinical Ed Services</t>
  </si>
  <si>
    <t>E61200210</t>
  </si>
  <si>
    <t>Ragazzoli, Eric</t>
  </si>
  <si>
    <t>E61200220</t>
  </si>
  <si>
    <t>E61200490</t>
  </si>
  <si>
    <t>Market Development</t>
  </si>
  <si>
    <t>E61200800</t>
  </si>
  <si>
    <t>E61200910</t>
  </si>
  <si>
    <t>E61300100</t>
  </si>
  <si>
    <t>E613</t>
  </si>
  <si>
    <t>E61300120</t>
  </si>
  <si>
    <t>Alex Pastorelli</t>
  </si>
  <si>
    <t>E61300130</t>
  </si>
  <si>
    <t>Mesa, Oscar</t>
  </si>
  <si>
    <t>E61300210</t>
  </si>
  <si>
    <t>E61300220</t>
  </si>
  <si>
    <t>E61300320</t>
  </si>
  <si>
    <t>HR BP Commercial CC</t>
  </si>
  <si>
    <t>E61300420</t>
  </si>
  <si>
    <t>TKS GE Medicl Affair</t>
  </si>
  <si>
    <t>TKS GE Medical Affairs</t>
  </si>
  <si>
    <t>E61300440</t>
  </si>
  <si>
    <t>E61300490</t>
  </si>
  <si>
    <t>E61300800</t>
  </si>
  <si>
    <t>E61300860</t>
  </si>
  <si>
    <t>Legal</t>
  </si>
  <si>
    <t>Florian Hugentobler</t>
  </si>
  <si>
    <t>E61300910</t>
  </si>
  <si>
    <t>E61307084</t>
  </si>
  <si>
    <t>E61331000</t>
  </si>
  <si>
    <t>E61351000</t>
  </si>
  <si>
    <t>E61400001</t>
  </si>
  <si>
    <t>GBP</t>
  </si>
  <si>
    <t>E614</t>
  </si>
  <si>
    <t>E61400110</t>
  </si>
  <si>
    <t>E61400130</t>
  </si>
  <si>
    <t>TKS UK HEOR</t>
  </si>
  <si>
    <t>E61400210</t>
  </si>
  <si>
    <t>E61400220</t>
  </si>
  <si>
    <t>E61400300</t>
  </si>
  <si>
    <t>E61400320</t>
  </si>
  <si>
    <t>E61400420</t>
  </si>
  <si>
    <t>TKS UK Medicl Affair</t>
  </si>
  <si>
    <t>TKS UK Medical Affairs</t>
  </si>
  <si>
    <t>E61400490</t>
  </si>
  <si>
    <t>E61400500</t>
  </si>
  <si>
    <t>Ahmed, Shaqil</t>
  </si>
  <si>
    <t>E61400510</t>
  </si>
  <si>
    <t>E61400520</t>
  </si>
  <si>
    <t>E61400720</t>
  </si>
  <si>
    <t>Facilities</t>
  </si>
  <si>
    <t>E61400730</t>
  </si>
  <si>
    <t>Distribution- Old CC</t>
  </si>
  <si>
    <t>Hugentobler, Florian</t>
  </si>
  <si>
    <t>Distribution - Do Not Use</t>
  </si>
  <si>
    <t>E61400740</t>
  </si>
  <si>
    <t>E61400752</t>
  </si>
  <si>
    <t>E61400800</t>
  </si>
  <si>
    <t>E61400830</t>
  </si>
  <si>
    <t>E61400860</t>
  </si>
  <si>
    <t>E61403266</t>
  </si>
  <si>
    <t>E61407084</t>
  </si>
  <si>
    <t>E61407214</t>
  </si>
  <si>
    <t>TKS UK Clin Ed Svcs</t>
  </si>
  <si>
    <t>TKS UK Clinical Ed Services</t>
  </si>
  <si>
    <t>E61410001</t>
  </si>
  <si>
    <t>E61410800</t>
  </si>
  <si>
    <t>E61413266</t>
  </si>
  <si>
    <t>E61420001</t>
  </si>
  <si>
    <t>E61423266</t>
  </si>
  <si>
    <t>E61430001</t>
  </si>
  <si>
    <t>E61431000</t>
  </si>
  <si>
    <t>Preveleak</t>
  </si>
  <si>
    <t>James McCutcheon</t>
  </si>
  <si>
    <t>E61500100</t>
  </si>
  <si>
    <t>E615</t>
  </si>
  <si>
    <t>E61500120</t>
  </si>
  <si>
    <t>E61500320</t>
  </si>
  <si>
    <t>E61500440</t>
  </si>
  <si>
    <t>E61500510</t>
  </si>
  <si>
    <t>E61500720</t>
  </si>
  <si>
    <t>E61500800</t>
  </si>
  <si>
    <t>E61506313</t>
  </si>
  <si>
    <t>TKS ES ClinEd Svcx</t>
  </si>
  <si>
    <t>TKS ES Clinical Ed Services</t>
  </si>
  <si>
    <t>E61507084</t>
  </si>
  <si>
    <t>E61517084</t>
  </si>
  <si>
    <t>E61551000</t>
  </si>
  <si>
    <t>E61600100</t>
  </si>
  <si>
    <t>SEK</t>
  </si>
  <si>
    <t>E616</t>
  </si>
  <si>
    <t>E61600320</t>
  </si>
  <si>
    <t>E61600800</t>
  </si>
  <si>
    <t>E61607084</t>
  </si>
  <si>
    <t>E61700100</t>
  </si>
  <si>
    <t>E617</t>
  </si>
  <si>
    <t>E61700130</t>
  </si>
  <si>
    <t>TKS AN HEOR</t>
  </si>
  <si>
    <t>E61700420</t>
  </si>
  <si>
    <t>TKS AN Medicl Affair</t>
  </si>
  <si>
    <t>TKS AN Medical Affairs</t>
  </si>
  <si>
    <t>E61700800</t>
  </si>
  <si>
    <t>E61800100</t>
  </si>
  <si>
    <t>E618</t>
  </si>
  <si>
    <t>E61800210</t>
  </si>
  <si>
    <t>E61800220</t>
  </si>
  <si>
    <t>E61800320</t>
  </si>
  <si>
    <t>E61800420</t>
  </si>
  <si>
    <t>TKS FR Medicl Affair</t>
  </si>
  <si>
    <t>TKS FR Medical Affairs</t>
  </si>
  <si>
    <t>E61800440</t>
  </si>
  <si>
    <t>E61800490</t>
  </si>
  <si>
    <t>E61800800</t>
  </si>
  <si>
    <t>E61800860</t>
  </si>
  <si>
    <t>E61801001</t>
  </si>
  <si>
    <t>E61831000</t>
  </si>
  <si>
    <t>TKS FR Clin Ed Svcs</t>
  </si>
  <si>
    <t>TKS FR Clinical Ed Services</t>
  </si>
  <si>
    <t>E61851000</t>
  </si>
  <si>
    <t>E70300002</t>
  </si>
  <si>
    <t>Discontinued Operatons Nuclear Medicine</t>
  </si>
  <si>
    <t>E703</t>
  </si>
  <si>
    <t>E70300100</t>
  </si>
  <si>
    <t>Executive-PLC</t>
  </si>
  <si>
    <t>Wagner, Kenneth</t>
  </si>
  <si>
    <t>E70300101</t>
  </si>
  <si>
    <t>Government Affairs</t>
  </si>
  <si>
    <t>Corporate</t>
  </si>
  <si>
    <t>E70300103</t>
  </si>
  <si>
    <t>PLC - Corp Secretary</t>
  </si>
  <si>
    <t>Miller, Stephanie D.</t>
  </si>
  <si>
    <t>E70300105</t>
  </si>
  <si>
    <t>PLC - Tax</t>
  </si>
  <si>
    <t>E70300130</t>
  </si>
  <si>
    <t>PLC Controllership</t>
  </si>
  <si>
    <t>INTLCNTRLR</t>
  </si>
  <si>
    <t>E70300200</t>
  </si>
  <si>
    <t>Stock Comp SG&amp;A-Corp</t>
  </si>
  <si>
    <t>Stock Comp SG&amp;A-Corporate</t>
  </si>
  <si>
    <t>STOCKCOMP</t>
  </si>
  <si>
    <t>E70300201</t>
  </si>
  <si>
    <t>Stock Comp OCOS-Corp</t>
  </si>
  <si>
    <t>Stock Compensation OCOS - Corporate</t>
  </si>
  <si>
    <t>E70300202</t>
  </si>
  <si>
    <t>Stock Comp R&amp;D-Corp</t>
  </si>
  <si>
    <t>Stock Compensation R&amp;D-Corporate</t>
  </si>
  <si>
    <t>E70300203</t>
  </si>
  <si>
    <t>Stock Comp SG&amp;A-ARD</t>
  </si>
  <si>
    <t>Stock Compensation SG&amp;A-ARD</t>
  </si>
  <si>
    <t>E70300204</t>
  </si>
  <si>
    <t>Stock Comp OCOS-ARD</t>
  </si>
  <si>
    <t>Stock Compensation OCOS-ARD</t>
  </si>
  <si>
    <t>E70300205</t>
  </si>
  <si>
    <t>Stock Comp R&amp;D-ARD</t>
  </si>
  <si>
    <t>Stock Compensation R&amp;D-ARD</t>
  </si>
  <si>
    <t>E70300206</t>
  </si>
  <si>
    <t>Stock Comp SG&amp;A-Hosp</t>
  </si>
  <si>
    <t>Stock Compensation SG&amp;A-Hospital</t>
  </si>
  <si>
    <t>E70300207</t>
  </si>
  <si>
    <t>Stock Comp OCOS-Hosp</t>
  </si>
  <si>
    <t>Stock Compensation OCOS-Hospital</t>
  </si>
  <si>
    <t>E70300208</t>
  </si>
  <si>
    <t>Stock Comp R&amp;D-Hosp</t>
  </si>
  <si>
    <t>Stock Compensation R&amp;D-Hospital</t>
  </si>
  <si>
    <t>E70300209</t>
  </si>
  <si>
    <t>Stock Comp SG&amp;A - GX</t>
  </si>
  <si>
    <t>Stock Compensation SG&amp;A-Spec GX</t>
  </si>
  <si>
    <t>GXNP00</t>
  </si>
  <si>
    <t>E70300210</t>
  </si>
  <si>
    <t>Stock Comp OCOS - GX</t>
  </si>
  <si>
    <t>Stock Compensation OCOS-Spec GX</t>
  </si>
  <si>
    <t>E70300211</t>
  </si>
  <si>
    <t>Stock Comp R&amp;D - GX</t>
  </si>
  <si>
    <t>Stock Compensation R&amp;D-Spec GX</t>
  </si>
  <si>
    <t>E70300212</t>
  </si>
  <si>
    <t>Stock Comp SGA-Alloc</t>
  </si>
  <si>
    <t>Stock Compensation SG&amp;A-Alloc</t>
  </si>
  <si>
    <t>E70300213</t>
  </si>
  <si>
    <t>Stock Comp COS-Alloc</t>
  </si>
  <si>
    <t>Stock Compensation OCOS-Alloc</t>
  </si>
  <si>
    <t>E70300214</t>
  </si>
  <si>
    <t>Stock Comp R&amp;D-Alloc</t>
  </si>
  <si>
    <t>Stock Compensation R&amp;D-Alloc</t>
  </si>
  <si>
    <t>E70300215</t>
  </si>
  <si>
    <t>Stock Comp SG&amp;A-Nuc</t>
  </si>
  <si>
    <t>Stock Compensation Disc Ops Nuc</t>
  </si>
  <si>
    <t>E70400002</t>
  </si>
  <si>
    <t>Disc Ops CMDS</t>
  </si>
  <si>
    <t>E704</t>
  </si>
  <si>
    <t>E70400130</t>
  </si>
  <si>
    <t>MIFSA G&amp;A Expense</t>
  </si>
  <si>
    <t>Alan Catterson</t>
  </si>
  <si>
    <t>FINCO</t>
  </si>
  <si>
    <t>E70600130</t>
  </si>
  <si>
    <t>SARL G&amp;A Finance</t>
  </si>
  <si>
    <t>Catterson, Alan</t>
  </si>
  <si>
    <t>E706</t>
  </si>
  <si>
    <t>E70700130</t>
  </si>
  <si>
    <t>Sarl Br G&amp;A Expense</t>
  </si>
  <si>
    <t>E707</t>
  </si>
  <si>
    <t>E70700132</t>
  </si>
  <si>
    <t>Sarl Br G&amp;A Treasury</t>
  </si>
  <si>
    <t>E70800130</t>
  </si>
  <si>
    <t>Holdings GmbH G&amp;A Ex</t>
  </si>
  <si>
    <t>Holdings GmbH G&amp;A Expense</t>
  </si>
  <si>
    <t>E708</t>
  </si>
  <si>
    <t>E70900130</t>
  </si>
  <si>
    <t>Finance GmbH G&amp;A Exp</t>
  </si>
  <si>
    <t>Finance GmbH G&amp;A Expense</t>
  </si>
  <si>
    <t>E709</t>
  </si>
  <si>
    <t>E71100135</t>
  </si>
  <si>
    <t>DC Corp Admin</t>
  </si>
  <si>
    <t>DC Corporate Administration</t>
  </si>
  <si>
    <t>E711</t>
  </si>
  <si>
    <t>E71700102</t>
  </si>
  <si>
    <t>Corporate G&amp;A</t>
  </si>
  <si>
    <t>E717</t>
  </si>
  <si>
    <t>E71700103</t>
  </si>
  <si>
    <t>E71900135</t>
  </si>
  <si>
    <t>MNK Radio Other G&amp;A</t>
  </si>
  <si>
    <t>E719</t>
  </si>
  <si>
    <t>E72000001</t>
  </si>
  <si>
    <t>Misc Corporate Admin</t>
  </si>
  <si>
    <t>Misc Corporate Admin MNK Canada Coop</t>
  </si>
  <si>
    <t>E720</t>
  </si>
  <si>
    <t>E72100130</t>
  </si>
  <si>
    <t>M SEC G&amp;A Finance</t>
  </si>
  <si>
    <t>E721</t>
  </si>
  <si>
    <t>E72600130</t>
  </si>
  <si>
    <t>Lux IP G&amp;A Finance</t>
  </si>
  <si>
    <t>E726</t>
  </si>
  <si>
    <t>E72700130</t>
  </si>
  <si>
    <t>Quincy G&amp;A Finance</t>
  </si>
  <si>
    <t>E727</t>
  </si>
  <si>
    <t>E73200130</t>
  </si>
  <si>
    <t>Pet Hld G&amp;A Expense</t>
  </si>
  <si>
    <t>E732</t>
  </si>
  <si>
    <t>E73700130</t>
  </si>
  <si>
    <t>Windsor G&amp;A Finance</t>
  </si>
  <si>
    <t>E737</t>
  </si>
  <si>
    <t>E74900102</t>
  </si>
  <si>
    <t>E749</t>
  </si>
  <si>
    <t>E75200102</t>
  </si>
  <si>
    <t>Internationl Payroll</t>
  </si>
  <si>
    <t>Kilbride, Paul</t>
  </si>
  <si>
    <t>International Payroll</t>
  </si>
  <si>
    <t>E752</t>
  </si>
  <si>
    <t>E75200110</t>
  </si>
  <si>
    <t>Recothrom Nelson Lab</t>
  </si>
  <si>
    <t>Green , Christopher</t>
  </si>
  <si>
    <t>Recothrom - Nelson Labs</t>
  </si>
  <si>
    <t>Recothrom  Ext Mfg</t>
  </si>
  <si>
    <t>Recothrom External Mfg</t>
  </si>
  <si>
    <t>E75200208</t>
  </si>
  <si>
    <t>Therakos Ext Mfg</t>
  </si>
  <si>
    <t>Sunday, Dan</t>
  </si>
  <si>
    <t>Therakos External Mfg</t>
  </si>
  <si>
    <t>Therakos Stergenics</t>
  </si>
  <si>
    <t>E75200211</t>
  </si>
  <si>
    <t>Raplixia Ext Mfg</t>
  </si>
  <si>
    <t>Raplixia External Mfg</t>
  </si>
  <si>
    <t>E75200250</t>
  </si>
  <si>
    <t>E75201254</t>
  </si>
  <si>
    <t>College Park Mfg Ops</t>
  </si>
  <si>
    <t>Tracey, Graham</t>
  </si>
  <si>
    <t>College Park Mfg Operations</t>
  </si>
  <si>
    <t>E75201255</t>
  </si>
  <si>
    <t>College Park Mfg Qty</t>
  </si>
  <si>
    <t>College Park Mfg Quality</t>
  </si>
  <si>
    <t>E75201257</t>
  </si>
  <si>
    <t>College PK Process D</t>
  </si>
  <si>
    <t>College PK Process Development</t>
  </si>
  <si>
    <t>E75207000</t>
  </si>
  <si>
    <t>College Park MIS</t>
  </si>
  <si>
    <t>Obeara, Eoin</t>
  </si>
  <si>
    <t>E75207300</t>
  </si>
  <si>
    <t>E75207302</t>
  </si>
  <si>
    <t>Spec Pharm PV Int RD</t>
  </si>
  <si>
    <t>Pantke, Morten</t>
  </si>
  <si>
    <t>Spec Pharma PV Int RD</t>
  </si>
  <si>
    <t>E75207350</t>
  </si>
  <si>
    <t>GES - Supply Chain</t>
  </si>
  <si>
    <t>Cullen, Andrew</t>
  </si>
  <si>
    <t>E75207390</t>
  </si>
  <si>
    <t>Hospital Ops</t>
  </si>
  <si>
    <t>Keenan, David</t>
  </si>
  <si>
    <t>Hospital Operations</t>
  </si>
  <si>
    <t>E75207400</t>
  </si>
  <si>
    <t>GES - General</t>
  </si>
  <si>
    <t>GES - Administration</t>
  </si>
  <si>
    <t>E75207420</t>
  </si>
  <si>
    <t>GES - Quality</t>
  </si>
  <si>
    <t>Collins Elizabeth</t>
  </si>
  <si>
    <t>E75207430</t>
  </si>
  <si>
    <t>GES Cap Proj Exp-Ind</t>
  </si>
  <si>
    <t>GES - Cap Proj Exp-Indirect</t>
  </si>
  <si>
    <t>E75207433</t>
  </si>
  <si>
    <t>Quality systems</t>
  </si>
  <si>
    <t>Quality Systems</t>
  </si>
  <si>
    <t>E75207434</t>
  </si>
  <si>
    <t>Quality Integrations</t>
  </si>
  <si>
    <t>Quality - Integrations</t>
  </si>
  <si>
    <t>E75207436</t>
  </si>
  <si>
    <t>Quality Devices</t>
  </si>
  <si>
    <t>E75207440</t>
  </si>
  <si>
    <t>GES - Finance</t>
  </si>
  <si>
    <t>E75207445</t>
  </si>
  <si>
    <t>GES - Procurement</t>
  </si>
  <si>
    <t>Devlin, David</t>
  </si>
  <si>
    <t>E75207450</t>
  </si>
  <si>
    <t>R&amp;D - ARD</t>
  </si>
  <si>
    <t>E75207451</t>
  </si>
  <si>
    <t>Ofirmev - Non CMO</t>
  </si>
  <si>
    <t>E75207452</t>
  </si>
  <si>
    <t>Ofirmev R&amp;D Projects</t>
  </si>
  <si>
    <t>E75207456</t>
  </si>
  <si>
    <t>GES - ARD</t>
  </si>
  <si>
    <t>Cotter, Gerard</t>
  </si>
  <si>
    <t>E75207457</t>
  </si>
  <si>
    <t>GES-ARD Quality</t>
  </si>
  <si>
    <t>E75207480</t>
  </si>
  <si>
    <t>MIT RD</t>
  </si>
  <si>
    <t>MITH00</t>
  </si>
  <si>
    <t>E75207482</t>
  </si>
  <si>
    <t>Generics R&amp;D Projcts</t>
  </si>
  <si>
    <t>Generics R&amp;D Projects</t>
  </si>
  <si>
    <t>E75207483</t>
  </si>
  <si>
    <t>CriticalCare RD Proj</t>
  </si>
  <si>
    <t>Critical Care R&amp;D Projects</t>
  </si>
  <si>
    <t>E75207484</t>
  </si>
  <si>
    <t>Cellex Dev Eng Proj</t>
  </si>
  <si>
    <t>Cellex Device Engineering Projects</t>
  </si>
  <si>
    <t>INST00</t>
  </si>
  <si>
    <t>E75207490</t>
  </si>
  <si>
    <t>Crit Care Dev RD Ikr</t>
  </si>
  <si>
    <t>Critical Care Device R&amp;D - Ikaria</t>
  </si>
  <si>
    <t>E75207491</t>
  </si>
  <si>
    <t>Crit Care Dev RD Thr</t>
  </si>
  <si>
    <t>Critical Care Device R&amp;D - Therakos</t>
  </si>
  <si>
    <t>E75207492</t>
  </si>
  <si>
    <t>R&amp;D - Raplixa</t>
  </si>
  <si>
    <t>E75208455</t>
  </si>
  <si>
    <t>GES - ARD R&amp;D</t>
  </si>
  <si>
    <t>E75208820</t>
  </si>
  <si>
    <t>MPIL GES RD Ikaria</t>
  </si>
  <si>
    <t>MPIL- GES - R&amp;D - Ikaria</t>
  </si>
  <si>
    <t>E75208840</t>
  </si>
  <si>
    <t>Terlipressin RD Proj</t>
  </si>
  <si>
    <t>Terlipressin R&amp;D Projects</t>
  </si>
  <si>
    <t>E75210100</t>
  </si>
  <si>
    <t>MPIL-GES Recothrom</t>
  </si>
  <si>
    <t>E75210207</t>
  </si>
  <si>
    <t>GES Therakos US Mfg</t>
  </si>
  <si>
    <t>Sunday. Dan</t>
  </si>
  <si>
    <t>GES - Therakos US Mfg OH</t>
  </si>
  <si>
    <t>E75211251</t>
  </si>
  <si>
    <t>MIPL-GES-ARD Quality</t>
  </si>
  <si>
    <t>E75220100</t>
  </si>
  <si>
    <t>MPIL Recothrom Qual</t>
  </si>
  <si>
    <t>MPIL- Recothrom Quality</t>
  </si>
  <si>
    <t>E75220207</t>
  </si>
  <si>
    <t>GES Therakos US Qual</t>
  </si>
  <si>
    <t>GES - Therakos US Quality</t>
  </si>
  <si>
    <t>E75507400</t>
  </si>
  <si>
    <t>E755</t>
  </si>
  <si>
    <t>E75600102</t>
  </si>
  <si>
    <t>Buckingham G&amp;A Exp</t>
  </si>
  <si>
    <t>Buckingham G&amp;A Expense</t>
  </si>
  <si>
    <t>E756</t>
  </si>
  <si>
    <t>E75700102</t>
  </si>
  <si>
    <t>Windsor Ire G&amp;A Exp</t>
  </si>
  <si>
    <t>Windsor Ire G&amp;A Expense</t>
  </si>
  <si>
    <t>E757</t>
  </si>
  <si>
    <t>E75800102</t>
  </si>
  <si>
    <t>IP Trading G&amp;A Exp</t>
  </si>
  <si>
    <t>IP Trading G&amp;A Expense</t>
  </si>
  <si>
    <t>E758</t>
  </si>
  <si>
    <t>E75800107</t>
  </si>
  <si>
    <t>Recothrom Purch Acct</t>
  </si>
  <si>
    <t>Recothrom Purch Acctg</t>
  </si>
  <si>
    <t>E75800108</t>
  </si>
  <si>
    <t>Raplixa Purch Acctg</t>
  </si>
  <si>
    <t>E75800109</t>
  </si>
  <si>
    <t>PreveLeak Purch Acct</t>
  </si>
  <si>
    <t>PreveLeak Purch Acctg</t>
  </si>
  <si>
    <t>E75800130</t>
  </si>
  <si>
    <t>Controllership</t>
  </si>
  <si>
    <t>Schaefer, Kathy A</t>
  </si>
  <si>
    <t>Contollership</t>
  </si>
  <si>
    <t>E75900102</t>
  </si>
  <si>
    <t>ARD IP G&amp;A Expense</t>
  </si>
  <si>
    <t>E759</t>
  </si>
  <si>
    <t>E75900104</t>
  </si>
  <si>
    <t>E76000102</t>
  </si>
  <si>
    <t>Hospital Prod IP G&amp;A</t>
  </si>
  <si>
    <t>Hospital Products IP G&amp;A Expense</t>
  </si>
  <si>
    <t>E760</t>
  </si>
  <si>
    <t>E76000105</t>
  </si>
  <si>
    <t>INOmax Purch Acctg</t>
  </si>
  <si>
    <t>E76000106</t>
  </si>
  <si>
    <t>E76000107</t>
  </si>
  <si>
    <t>Terlip in Process RD</t>
  </si>
  <si>
    <t>Terlipressin in Process R&amp;D</t>
  </si>
  <si>
    <t>E76300102</t>
  </si>
  <si>
    <t>Fin Mgmt Ire G&amp;A Exp</t>
  </si>
  <si>
    <t>Finance Mgmt Ireland G&amp;A Expense</t>
  </si>
  <si>
    <t>E763</t>
  </si>
  <si>
    <t>E76300130</t>
  </si>
  <si>
    <t>E76600107</t>
  </si>
  <si>
    <t>Synactn in Procss RD</t>
  </si>
  <si>
    <t>Synacthen In Process R&amp;D</t>
  </si>
  <si>
    <t>E766</t>
  </si>
  <si>
    <t>E76600130</t>
  </si>
  <si>
    <t>MIH G&amp;A Finance</t>
  </si>
  <si>
    <t>E76900015</t>
  </si>
  <si>
    <t>SVP-Global Operation</t>
  </si>
  <si>
    <t>Scholz, Frank</t>
  </si>
  <si>
    <t>SVP-Global Operations</t>
  </si>
  <si>
    <t>E769</t>
  </si>
  <si>
    <t>E76900102</t>
  </si>
  <si>
    <t>MPL G&amp;A Expense</t>
  </si>
  <si>
    <t>E76900175</t>
  </si>
  <si>
    <t>Compliance</t>
  </si>
  <si>
    <t>E76900184</t>
  </si>
  <si>
    <t>Chief Strategy Offic</t>
  </si>
  <si>
    <t>Chief Strategy Officer</t>
  </si>
  <si>
    <t>E76900190</t>
  </si>
  <si>
    <t>CEO-MPL expense</t>
  </si>
  <si>
    <t>E76900275</t>
  </si>
  <si>
    <t>Corp HQ - UK Office</t>
  </si>
  <si>
    <t>Corporate HQ - UK Office</t>
  </si>
  <si>
    <t>E76900320</t>
  </si>
  <si>
    <t>Human Resources- MPL</t>
  </si>
  <si>
    <t>E76907431</t>
  </si>
  <si>
    <t>GES Continuous Imprv</t>
  </si>
  <si>
    <t>GES Continuous Improvement</t>
  </si>
  <si>
    <t>E77100102</t>
  </si>
  <si>
    <t>Acthar IP G&amp;A Exp</t>
  </si>
  <si>
    <t>Acthar IP G&amp;A Expense</t>
  </si>
  <si>
    <t>E771</t>
  </si>
  <si>
    <t>E77100138</t>
  </si>
  <si>
    <t>Legal - Outside Legal</t>
  </si>
  <si>
    <t>E77400001</t>
  </si>
  <si>
    <t>Project Related Exp</t>
  </si>
  <si>
    <t>E774</t>
  </si>
  <si>
    <t>Supply Chain</t>
  </si>
  <si>
    <t>E77400120</t>
  </si>
  <si>
    <t>General Manager</t>
  </si>
  <si>
    <t>MSPIL Facilities</t>
  </si>
  <si>
    <t>E77400205</t>
  </si>
  <si>
    <t>Warehousing</t>
  </si>
  <si>
    <t>E77401201</t>
  </si>
  <si>
    <t>Quality Assurance</t>
  </si>
  <si>
    <t>E77401320</t>
  </si>
  <si>
    <t>Spec Pharma Marketng</t>
  </si>
  <si>
    <t>Farrell, Mike</t>
  </si>
  <si>
    <t>Spec Pharma Marketing</t>
  </si>
  <si>
    <t>E77401400</t>
  </si>
  <si>
    <t>E77410001</t>
  </si>
  <si>
    <t>Synacthen Operations</t>
  </si>
  <si>
    <t>E77420001</t>
  </si>
  <si>
    <t>Synacthen Selling</t>
  </si>
  <si>
    <t>Synacthen Selling Exp</t>
  </si>
  <si>
    <t>E77600102</t>
  </si>
  <si>
    <t>E776</t>
  </si>
  <si>
    <t>E77700130</t>
  </si>
  <si>
    <t>M Fin LLP G&amp;A Exp</t>
  </si>
  <si>
    <t>M Fin LLP G&amp;A Expense</t>
  </si>
  <si>
    <t>E777</t>
  </si>
  <si>
    <t>E77800102</t>
  </si>
  <si>
    <t>E778</t>
  </si>
  <si>
    <t>E78600130</t>
  </si>
  <si>
    <t>ARD Holding G&amp;A Exp</t>
  </si>
  <si>
    <t>ARD Holding G&amp;A Expense</t>
  </si>
  <si>
    <t>E786</t>
  </si>
  <si>
    <t>E78700130</t>
  </si>
  <si>
    <t>MUSHI UK G&amp;A Expense</t>
  </si>
  <si>
    <t>E787</t>
  </si>
  <si>
    <t>E78800130</t>
  </si>
  <si>
    <t>Mall Ent UK G&amp;A Exp</t>
  </si>
  <si>
    <t>Mall Ent UK G&amp;A Expense</t>
  </si>
  <si>
    <t>E788</t>
  </si>
  <si>
    <t>E79200102</t>
  </si>
  <si>
    <t>Mall UK Ltd G&amp;A Exp</t>
  </si>
  <si>
    <t>Mall UK Ltd G&amp;A Expense</t>
  </si>
  <si>
    <t>E792</t>
  </si>
  <si>
    <t>E79300102</t>
  </si>
  <si>
    <t>E793</t>
  </si>
  <si>
    <t>E79600275</t>
  </si>
  <si>
    <t>Bonn Facility</t>
  </si>
  <si>
    <t>E796</t>
  </si>
  <si>
    <t>E79600575</t>
  </si>
  <si>
    <t>MNK Chem UK Selling</t>
  </si>
  <si>
    <t>MNK Chem LTD UK Charges</t>
  </si>
  <si>
    <t>E79604201</t>
  </si>
  <si>
    <t>OCOS-Quality</t>
  </si>
  <si>
    <t>E79604211</t>
  </si>
  <si>
    <t>Pharmacovigilnc INTL</t>
  </si>
  <si>
    <t>PV International</t>
  </si>
  <si>
    <t>E81200100</t>
  </si>
  <si>
    <t>Lucassin AUS COGS</t>
  </si>
  <si>
    <t>Karen Kopicko</t>
  </si>
  <si>
    <t>Luc Aus COGS</t>
  </si>
  <si>
    <t>AUD</t>
  </si>
  <si>
    <t>E812</t>
  </si>
  <si>
    <t>E81200102</t>
  </si>
  <si>
    <t>Australia R&amp;D</t>
  </si>
  <si>
    <t>Aus R&amp;D</t>
  </si>
  <si>
    <t>E81200103</t>
  </si>
  <si>
    <t>Mario Gattino</t>
  </si>
  <si>
    <t>Aus S&amp;M</t>
  </si>
  <si>
    <t>E81205201</t>
  </si>
  <si>
    <t>Aus COGS</t>
  </si>
  <si>
    <t>E81300106</t>
  </si>
  <si>
    <t>JPY</t>
  </si>
  <si>
    <t>E813</t>
  </si>
  <si>
    <t>E81500106</t>
  </si>
  <si>
    <t>Japan Selling and Marketing</t>
  </si>
  <si>
    <t>E815</t>
  </si>
  <si>
    <t>E81501031</t>
  </si>
  <si>
    <t>General Administratv</t>
  </si>
  <si>
    <t>General Administrative</t>
  </si>
  <si>
    <t>AUIN</t>
  </si>
  <si>
    <t>Melbourne</t>
  </si>
  <si>
    <t>Mallinckrodt LLC</t>
  </si>
  <si>
    <t>AUKE</t>
  </si>
  <si>
    <t>Ikaria Australia Pty Ltd</t>
  </si>
  <si>
    <t>BEFD</t>
  </si>
  <si>
    <t>TK Belgium Field</t>
  </si>
  <si>
    <t>CA3P</t>
  </si>
  <si>
    <t>Burlington</t>
  </si>
  <si>
    <t>CAIK</t>
  </si>
  <si>
    <t>Mississaug</t>
  </si>
  <si>
    <t>CHE1</t>
  </si>
  <si>
    <t>Cham</t>
  </si>
  <si>
    <t>Mallinckrodt Holdings GmbH</t>
  </si>
  <si>
    <t>CHE2</t>
  </si>
  <si>
    <t>Schaffhausen</t>
  </si>
  <si>
    <t>Mallinckrodt Group Sarl</t>
  </si>
  <si>
    <t>CP15</t>
  </si>
  <si>
    <t>Mallinckrodt Pharmaceuticals Ireland Ltd</t>
  </si>
  <si>
    <t>EU3P</t>
  </si>
  <si>
    <t>EUCM</t>
  </si>
  <si>
    <t>Staines Upon Thems, Surrey,</t>
  </si>
  <si>
    <t>Mallinckrodt Pharmaceuticals</t>
  </si>
  <si>
    <t>EUUK</t>
  </si>
  <si>
    <t>FRPR</t>
  </si>
  <si>
    <t>TK Paris Field</t>
  </si>
  <si>
    <t>FSEU</t>
  </si>
  <si>
    <t>FSUS</t>
  </si>
  <si>
    <t>West Chester</t>
  </si>
  <si>
    <t>GBST</t>
  </si>
  <si>
    <t>Staines-Upon-Thames</t>
  </si>
  <si>
    <t>Lotus Park UK</t>
  </si>
  <si>
    <t>GEFD</t>
  </si>
  <si>
    <t>TK Germany Field</t>
  </si>
  <si>
    <t>GES1</t>
  </si>
  <si>
    <t>GES2</t>
  </si>
  <si>
    <t>IREE</t>
  </si>
  <si>
    <t>IREU</t>
  </si>
  <si>
    <t>ITFD</t>
  </si>
  <si>
    <t>TK Italy Field</t>
  </si>
  <si>
    <t>JAAR</t>
  </si>
  <si>
    <t>Kobe</t>
  </si>
  <si>
    <t>JATO</t>
  </si>
  <si>
    <t>Tokyo</t>
  </si>
  <si>
    <t>Ikaria Japan K.K.</t>
  </si>
  <si>
    <t>KOSY</t>
  </si>
  <si>
    <t>Seoul</t>
  </si>
  <si>
    <t>LAAR</t>
  </si>
  <si>
    <t>LACH</t>
  </si>
  <si>
    <t>LACO</t>
  </si>
  <si>
    <t>LAUR</t>
  </si>
  <si>
    <t>LUXM</t>
  </si>
  <si>
    <t>Luxembourg</t>
  </si>
  <si>
    <t>Mallinckrodt Group Sarl, Luxembourg Neuh</t>
  </si>
  <si>
    <t>MXVA</t>
  </si>
  <si>
    <t>NLFD</t>
  </si>
  <si>
    <t>TK Netherlands Field</t>
  </si>
  <si>
    <t>SPFD</t>
  </si>
  <si>
    <t>TK Spain Field</t>
  </si>
  <si>
    <t>SWFD</t>
  </si>
  <si>
    <t>TK Sweden Field</t>
  </si>
  <si>
    <t>US3P</t>
  </si>
  <si>
    <t>USAT</t>
  </si>
  <si>
    <t>Suwanee</t>
  </si>
  <si>
    <t>USBC</t>
  </si>
  <si>
    <t>Rochester</t>
  </si>
  <si>
    <t>USBE</t>
  </si>
  <si>
    <t>Bedminster</t>
  </si>
  <si>
    <t>Mallinckrodt Enterprises</t>
  </si>
  <si>
    <t>USBR</t>
  </si>
  <si>
    <t>Port Allen</t>
  </si>
  <si>
    <t>USCH</t>
  </si>
  <si>
    <t>Bolingbrook</t>
  </si>
  <si>
    <t>USCM</t>
  </si>
  <si>
    <t>USCO</t>
  </si>
  <si>
    <t>Hampton</t>
  </si>
  <si>
    <t>USDA</t>
  </si>
  <si>
    <t>COPPELL</t>
  </si>
  <si>
    <t>USHA</t>
  </si>
  <si>
    <t>USHO</t>
  </si>
  <si>
    <t>McPherson</t>
  </si>
  <si>
    <t>USHZ</t>
  </si>
  <si>
    <t>MKG-Hazelwood, MO (675)</t>
  </si>
  <si>
    <t>USLA</t>
  </si>
  <si>
    <t>Santa Fe Springs</t>
  </si>
  <si>
    <t>USM2</t>
  </si>
  <si>
    <t>Madison</t>
  </si>
  <si>
    <t>USMA</t>
  </si>
  <si>
    <t>USME</t>
  </si>
  <si>
    <t>Wahiawa</t>
  </si>
  <si>
    <t>USMV</t>
  </si>
  <si>
    <t>Mallinckrodt Manufacturing LLC</t>
  </si>
  <si>
    <t>USNB</t>
  </si>
  <si>
    <t>Monmouth Junction</t>
  </si>
  <si>
    <t>USPA</t>
  </si>
  <si>
    <t>USPR</t>
  </si>
  <si>
    <t>CATANO</t>
  </si>
  <si>
    <t>USSD</t>
  </si>
  <si>
    <t>San Diego</t>
  </si>
  <si>
    <t>Mallinckrodt Hospital Products Inc.</t>
  </si>
  <si>
    <t>USSF</t>
  </si>
  <si>
    <t>Sacramento</t>
  </si>
  <si>
    <t>USSO</t>
  </si>
  <si>
    <t>Somerset</t>
  </si>
  <si>
    <t>USTC</t>
  </si>
  <si>
    <t>US Therakos Chicago</t>
  </si>
  <si>
    <t>USWC</t>
  </si>
  <si>
    <t>Therakos, Inc.</t>
  </si>
  <si>
    <t>Raw and WIP to manufacturing</t>
  </si>
  <si>
    <t>Freight into distribution center</t>
  </si>
  <si>
    <t>Postage/parcel</t>
  </si>
  <si>
    <t>Out freight to customer</t>
  </si>
  <si>
    <t>CareFusio</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</si>
</sst>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6" formatCode="&quot;$&quot;#,##0_);[Red]\(&quot;$&quot;#,##0\)"/>
    <numFmt numFmtId="44" formatCode="_(&quot;$&quot;* #,##0.00_);_(&quot;$&quot;* \(#,##0.00\);_(&quot;$&quot;* &quot;-&quot;??_);_(@_)"/>
    <numFmt numFmtId="164" formatCode="&quot;$&quot;#,##0.00"/>
    <numFmt numFmtId="165" formatCode="mm/dd/yy;@"/>
    <numFmt numFmtId="166" formatCode="mm/dd/yy"/>
    <numFmt numFmtId="167" formatCode="m/d/yy;@"/>
  </numFmts>
  <fonts count="106" x14ac:knownFonts="1">
    <font>
      <sz val="11"/>
      <color theme="1"/>
      <name val="Calibri"/>
      <family val="2"/>
      <scheme val="minor"/>
    </font>
    <font>
      <sz val="11"/>
      <color indexed="8"/>
      <name val="Calibri"/>
      <family val="2"/>
    </font>
    <font>
      <sz val="11"/>
      <color indexed="8"/>
      <name val="Calibri"/>
      <family val="2"/>
    </font>
    <font>
      <sz val="10"/>
      <name val="Arial"/>
      <family val="2"/>
    </font>
    <font>
      <b/>
      <sz val="10"/>
      <name val="Calibri"/>
      <family val="2"/>
    </font>
    <font>
      <sz val="11"/>
      <color indexed="8"/>
      <name val="Calibri"/>
      <family val="2"/>
    </font>
    <font>
      <sz val="10"/>
      <color indexed="8"/>
      <name val="Calibri"/>
      <family val="2"/>
    </font>
    <font>
      <sz val="10"/>
      <color indexed="8"/>
      <name val="Arial"/>
      <family val="2"/>
    </font>
    <font>
      <i/>
      <sz val="10"/>
      <color indexed="8"/>
      <name val="Calibri"/>
      <family val="2"/>
    </font>
    <font>
      <sz val="11"/>
      <color indexed="55"/>
      <name val="Calibri"/>
      <family val="2"/>
    </font>
    <font>
      <sz val="11"/>
      <color indexed="10"/>
      <name val="Calibri"/>
      <family val="2"/>
    </font>
    <font>
      <sz val="10"/>
      <color indexed="8"/>
      <name val="Times New Roman"/>
      <family val="1"/>
    </font>
    <font>
      <b/>
      <sz val="10"/>
      <color indexed="8"/>
      <name val="Calibri"/>
      <family val="2"/>
    </font>
    <font>
      <b/>
      <sz val="10"/>
      <color indexed="9"/>
      <name val="Calibri"/>
      <family val="2"/>
    </font>
    <font>
      <sz val="12"/>
      <color indexed="8"/>
      <name val="Calibri"/>
      <family val="2"/>
    </font>
    <font>
      <b/>
      <sz val="9"/>
      <color indexed="9"/>
      <name val="Calibri"/>
      <family val="2"/>
    </font>
    <font>
      <sz val="9"/>
      <color indexed="8"/>
      <name val="Calibri"/>
      <family val="2"/>
    </font>
    <font>
      <sz val="9"/>
      <color indexed="9"/>
      <name val="Symbol"/>
      <family val="1"/>
      <charset val="2"/>
    </font>
    <font>
      <sz val="7"/>
      <color indexed="9"/>
      <name val="Times New Roman"/>
      <family val="1"/>
    </font>
    <font>
      <sz val="9"/>
      <color indexed="9"/>
      <name val="Calibri"/>
      <family val="2"/>
    </font>
    <font>
      <u/>
      <sz val="10"/>
      <color indexed="12"/>
      <name val="Arial"/>
      <family val="2"/>
    </font>
    <font>
      <b/>
      <sz val="11"/>
      <color indexed="9"/>
      <name val="Calibri"/>
      <family val="2"/>
    </font>
    <font>
      <b/>
      <sz val="11"/>
      <color indexed="8"/>
      <name val="Calibri"/>
      <family val="2"/>
    </font>
    <font>
      <sz val="8"/>
      <name val="Calibri"/>
      <family val="2"/>
    </font>
    <font>
      <sz val="11"/>
      <color indexed="63"/>
      <name val="Calibri"/>
      <family val="2"/>
    </font>
    <font>
      <sz val="18"/>
      <color indexed="8"/>
      <name val="Calibri"/>
      <family val="2"/>
    </font>
    <font>
      <sz val="10"/>
      <name val="Arial"/>
      <family val="2"/>
    </font>
    <font>
      <i/>
      <sz val="11"/>
      <color indexed="8"/>
      <name val="Calibri"/>
      <family val="2"/>
    </font>
    <font>
      <b/>
      <sz val="10"/>
      <name val="Arial"/>
      <family val="2"/>
    </font>
    <font>
      <b/>
      <sz val="8"/>
      <name val="Arial"/>
      <family val="2"/>
    </font>
    <font>
      <b/>
      <sz val="14"/>
      <color theme="1"/>
      <name val="Calibri"/>
      <family val="2"/>
      <scheme val="minor"/>
    </font>
    <font>
      <b/>
      <sz val="9"/>
      <name val="Arial"/>
      <family val="2"/>
    </font>
    <font>
      <sz val="10"/>
      <color indexed="52"/>
      <name val="Arial"/>
      <family val="2"/>
    </font>
    <font>
      <b/>
      <sz val="14"/>
      <name val="Arial"/>
      <family val="2"/>
    </font>
    <font>
      <b/>
      <sz val="11"/>
      <name val="Arial"/>
      <family val="2"/>
    </font>
    <font>
      <sz val="8"/>
      <name val="Arial"/>
      <family val="2"/>
    </font>
    <font>
      <b/>
      <u/>
      <sz val="8"/>
      <name val="Arial"/>
      <family val="2"/>
    </font>
    <font>
      <b/>
      <sz val="8"/>
      <color indexed="8"/>
      <name val="Arial"/>
      <family val="2"/>
    </font>
    <font>
      <sz val="8"/>
      <color indexed="8"/>
      <name val="Arial"/>
      <family val="2"/>
    </font>
    <font>
      <sz val="8"/>
      <color indexed="10"/>
      <name val="Arial"/>
      <family val="2"/>
    </font>
    <font>
      <sz val="8"/>
      <color rgb="FFFF0000"/>
      <name val="Arial"/>
      <family val="2"/>
    </font>
    <font>
      <i/>
      <sz val="8"/>
      <color indexed="10"/>
      <name val="Arial"/>
      <family val="2"/>
    </font>
    <font>
      <b/>
      <sz val="11"/>
      <color theme="1"/>
      <name val="Calibri"/>
      <family val="2"/>
      <scheme val="minor"/>
    </font>
    <font>
      <b/>
      <i/>
      <sz val="14"/>
      <color theme="1"/>
      <name val="Calibri"/>
      <family val="2"/>
      <scheme val="minor"/>
    </font>
    <font>
      <sz val="11"/>
      <name val="Calibri"/>
      <family val="2"/>
    </font>
    <font>
      <b/>
      <sz val="18"/>
      <color theme="1"/>
      <name val="Calibri"/>
      <family val="2"/>
      <scheme val="minor"/>
    </font>
    <font>
      <sz val="11"/>
      <name val="Arial"/>
      <family val="2"/>
    </font>
    <font>
      <strike/>
      <sz val="11"/>
      <color theme="1"/>
      <name val="Calibri"/>
      <family val="2"/>
      <scheme val="minor"/>
    </font>
    <font>
      <b/>
      <i/>
      <sz val="10"/>
      <color indexed="8"/>
      <name val="Calibri"/>
      <family val="2"/>
      <scheme val="minor"/>
    </font>
    <font>
      <b/>
      <sz val="10"/>
      <name val="Calibri"/>
      <family val="2"/>
      <scheme val="minor"/>
    </font>
    <font>
      <sz val="10"/>
      <color theme="1"/>
      <name val="Calibri"/>
      <family val="2"/>
      <scheme val="minor"/>
    </font>
    <font>
      <b/>
      <sz val="14"/>
      <color indexed="8"/>
      <name val="Calibri"/>
      <family val="2"/>
    </font>
    <font>
      <sz val="10"/>
      <color theme="1"/>
      <name val="Arial"/>
      <family val="2"/>
    </font>
    <font>
      <sz val="11"/>
      <color rgb="FF000000"/>
      <name val="Calibri"/>
      <family val="2"/>
      <scheme val="minor"/>
    </font>
    <font>
      <sz val="9"/>
      <color indexed="8"/>
      <name val="Century Gothic"/>
      <family val="2"/>
    </font>
    <font>
      <sz val="9"/>
      <color theme="1"/>
      <name val="Century Gothic"/>
      <family val="2"/>
    </font>
    <font>
      <b/>
      <sz val="18"/>
      <color indexed="8"/>
      <name val="Century Gothic"/>
      <family val="2"/>
    </font>
    <font>
      <sz val="18"/>
      <color indexed="8"/>
      <name val="Century Gothic"/>
      <family val="2"/>
    </font>
    <font>
      <b/>
      <i/>
      <sz val="12"/>
      <color indexed="9"/>
      <name val="Century Gothic"/>
      <family val="2"/>
    </font>
    <font>
      <i/>
      <sz val="10"/>
      <color indexed="8"/>
      <name val="Century Gothic"/>
      <family val="2"/>
    </font>
    <font>
      <i/>
      <sz val="10"/>
      <name val="Century Gothic"/>
      <family val="2"/>
    </font>
    <font>
      <sz val="11"/>
      <color indexed="8"/>
      <name val="Century Gothic"/>
      <family val="2"/>
    </font>
    <font>
      <b/>
      <sz val="10"/>
      <name val="Century Gothic"/>
      <family val="2"/>
    </font>
    <font>
      <u/>
      <sz val="10"/>
      <color indexed="12"/>
      <name val="Century Gothic"/>
      <family val="2"/>
    </font>
    <font>
      <sz val="11"/>
      <color theme="1"/>
      <name val="Century Gothic"/>
      <family val="2"/>
    </font>
    <font>
      <b/>
      <sz val="9"/>
      <color rgb="FF1F497D"/>
      <name val="Century Gothic"/>
      <family val="2"/>
    </font>
    <font>
      <b/>
      <sz val="9"/>
      <color rgb="FFC00000"/>
      <name val="Century Gothic"/>
      <family val="2"/>
    </font>
    <font>
      <sz val="8"/>
      <color rgb="FF1F497D"/>
      <name val="Century Gothic"/>
      <family val="2"/>
    </font>
    <font>
      <b/>
      <sz val="8"/>
      <color rgb="FF7F7F7F"/>
      <name val="Century Gothic"/>
      <family val="2"/>
    </font>
    <font>
      <b/>
      <sz val="9"/>
      <name val="Century Gothic"/>
      <family val="2"/>
    </font>
    <font>
      <sz val="9"/>
      <name val="Century Gothic"/>
      <family val="2"/>
    </font>
    <font>
      <u/>
      <sz val="9"/>
      <color indexed="12"/>
      <name val="Century Gothic"/>
      <family val="2"/>
    </font>
    <font>
      <i/>
      <sz val="10"/>
      <color indexed="63"/>
      <name val="Century Gothic"/>
      <family val="2"/>
    </font>
    <font>
      <u/>
      <sz val="11"/>
      <color theme="10"/>
      <name val="Calibri"/>
      <family val="2"/>
      <scheme val="minor"/>
    </font>
    <font>
      <sz val="11"/>
      <color rgb="FFFF0000"/>
      <name val="Calibri"/>
      <family val="2"/>
      <scheme val="minor"/>
    </font>
    <font>
      <sz val="10"/>
      <name val="Calibri"/>
      <family val="2"/>
      <scheme val="minor"/>
    </font>
    <font>
      <sz val="10"/>
      <color indexed="8"/>
      <name val="Calibri"/>
      <family val="2"/>
      <scheme val="minor"/>
    </font>
    <font>
      <b/>
      <sz val="8"/>
      <name val="Calibri"/>
      <family val="2"/>
      <scheme val="minor"/>
    </font>
    <font>
      <b/>
      <i/>
      <sz val="10"/>
      <name val="Century Gothic"/>
      <family val="2"/>
    </font>
    <font>
      <b/>
      <sz val="11"/>
      <color indexed="8"/>
      <name val="Century Gothic"/>
      <family val="2"/>
    </font>
    <font>
      <sz val="10"/>
      <color rgb="FF000000"/>
      <name val="Arial"/>
      <family val="2"/>
    </font>
    <font>
      <sz val="8"/>
      <color theme="1"/>
      <name val="Calibri"/>
      <family val="2"/>
      <scheme val="minor"/>
    </font>
    <font>
      <u/>
      <sz val="8"/>
      <color theme="10"/>
      <name val="Calibri"/>
      <family val="2"/>
      <scheme val="minor"/>
    </font>
    <font>
      <b/>
      <sz val="20"/>
      <name val="Arial"/>
      <family val="2"/>
    </font>
    <font>
      <b/>
      <sz val="8"/>
      <name val="Times New Roman"/>
      <family val="1"/>
    </font>
    <font>
      <b/>
      <sz val="12"/>
      <color theme="1"/>
      <name val="Calibri"/>
      <family val="2"/>
      <scheme val="minor"/>
    </font>
    <font>
      <sz val="11"/>
      <color theme="1"/>
      <name val="Arial"/>
      <family val="2"/>
    </font>
    <font>
      <sz val="18"/>
      <name val="Arial"/>
      <family val="2"/>
    </font>
    <font>
      <i/>
      <sz val="11"/>
      <name val="Arial"/>
      <family val="2"/>
    </font>
    <font>
      <sz val="8"/>
      <color rgb="FF000000"/>
      <name val="Calibri"/>
      <family val="2"/>
      <scheme val="minor"/>
    </font>
    <font>
      <b/>
      <sz val="11"/>
      <color rgb="FF000000"/>
      <name val="Calibri"/>
      <family val="2"/>
      <scheme val="minor"/>
    </font>
    <font>
      <i/>
      <sz val="11"/>
      <color rgb="FF000000"/>
      <name val="Calibri"/>
      <family val="2"/>
      <scheme val="minor"/>
    </font>
    <font>
      <b/>
      <sz val="12"/>
      <name val="Arial"/>
      <family val="2"/>
    </font>
    <font>
      <b/>
      <sz val="8"/>
      <name val="Century Gothic"/>
      <family val="2"/>
    </font>
    <font>
      <b/>
      <sz val="10"/>
      <color theme="1"/>
      <name val="Arial"/>
      <family val="2"/>
    </font>
    <font>
      <sz val="11"/>
      <color rgb="FF000000"/>
      <name val="Symbol"/>
      <family val="1"/>
      <charset val="2"/>
    </font>
    <font>
      <sz val="11"/>
      <color rgb="FF1F497D"/>
      <name val="Calibri"/>
      <family val="2"/>
      <scheme val="minor"/>
    </font>
    <font>
      <u/>
      <sz val="9"/>
      <color indexed="12"/>
      <name val="Arial"/>
      <family val="2"/>
    </font>
    <font>
      <sz val="10"/>
      <name val="Calibri"/>
      <family val="2"/>
    </font>
    <font>
      <sz val="12"/>
      <color theme="1"/>
      <name val="Calibri"/>
      <family val="2"/>
      <scheme val="minor"/>
    </font>
    <font>
      <sz val="12"/>
      <name val="Calibri"/>
      <family val="2"/>
      <scheme val="minor"/>
    </font>
    <font>
      <sz val="12"/>
      <color indexed="8"/>
      <name val="Calibri"/>
      <family val="2"/>
      <scheme val="minor"/>
    </font>
    <font>
      <sz val="10"/>
      <color rgb="FFFF0000"/>
      <name val="Arial"/>
      <family val="2"/>
    </font>
    <font>
      <b/>
      <sz val="9"/>
      <color theme="1"/>
      <name val="Century Gothic"/>
      <family val="2"/>
    </font>
    <font>
      <b/>
      <sz val="11"/>
      <color rgb="FFFF0000"/>
      <name val="Calibri"/>
      <family val="2"/>
      <scheme val="minor"/>
    </font>
    <font>
      <b/>
      <sz val="11"/>
      <color theme="1"/>
      <name val="Arial"/>
      <family val="2"/>
    </font>
  </fonts>
  <fills count="21">
    <fill>
      <patternFill patternType="none"/>
    </fill>
    <fill>
      <patternFill patternType="gray125"/>
    </fill>
    <fill>
      <patternFill patternType="solid">
        <fgColor indexed="48"/>
        <bgColor indexed="64"/>
      </patternFill>
    </fill>
    <fill>
      <patternFill patternType="solid">
        <fgColor indexed="55"/>
        <bgColor indexed="64"/>
      </patternFill>
    </fill>
    <fill>
      <patternFill patternType="solid">
        <fgColor indexed="41"/>
        <bgColor indexed="64"/>
      </patternFill>
    </fill>
    <fill>
      <patternFill patternType="solid">
        <fgColor indexed="22"/>
        <bgColor indexed="64"/>
      </patternFill>
    </fill>
    <fill>
      <patternFill patternType="solid">
        <fgColor indexed="13"/>
        <bgColor indexed="64"/>
      </patternFill>
    </fill>
    <fill>
      <patternFill patternType="solid">
        <fgColor indexed="30"/>
        <bgColor indexed="64"/>
      </patternFill>
    </fill>
    <fill>
      <patternFill patternType="solid">
        <fgColor indexed="63"/>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2"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indexed="64"/>
      </patternFill>
    </fill>
    <fill>
      <patternFill patternType="solid">
        <fgColor theme="6" tint="0.79998168889431442"/>
        <bgColor indexed="64"/>
      </patternFill>
    </fill>
    <fill>
      <patternFill patternType="solid">
        <fgColor theme="8" tint="0.59999389629810485"/>
        <bgColor indexed="64"/>
      </patternFill>
    </fill>
    <fill>
      <patternFill patternType="solid">
        <fgColor rgb="FFFFC000"/>
        <bgColor indexed="64"/>
      </patternFill>
    </fill>
    <fill>
      <patternFill patternType="solid">
        <fgColor theme="3" tint="0.59999389629810485"/>
        <bgColor indexed="64"/>
      </patternFill>
    </fill>
    <fill>
      <patternFill patternType="solid">
        <fgColor theme="9" tint="0.39997558519241921"/>
        <bgColor indexed="64"/>
      </patternFill>
    </fill>
  </fills>
  <borders count="75">
    <border>
      <left/>
      <right/>
      <top/>
      <bottom/>
      <diagonal/>
    </border>
    <border>
      <left style="thin">
        <color indexed="22"/>
      </left>
      <right style="thin">
        <color indexed="22"/>
      </right>
      <top style="thin">
        <color indexed="22"/>
      </top>
      <bottom style="thin">
        <color indexed="22"/>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thick">
        <color indexed="12"/>
      </right>
      <top style="thick">
        <color indexed="12"/>
      </top>
      <bottom style="thick">
        <color indexed="12"/>
      </bottom>
      <diagonal/>
    </border>
    <border>
      <left/>
      <right style="thick">
        <color indexed="12"/>
      </right>
      <top/>
      <bottom style="thick">
        <color indexed="12"/>
      </bottom>
      <diagonal/>
    </border>
    <border>
      <left style="thick">
        <color indexed="12"/>
      </left>
      <right style="thick">
        <color indexed="12"/>
      </right>
      <top/>
      <bottom style="thick">
        <color indexed="12"/>
      </bottom>
      <diagonal/>
    </border>
    <border>
      <left style="thin">
        <color indexed="55"/>
      </left>
      <right style="thin">
        <color indexed="55"/>
      </right>
      <top style="thin">
        <color indexed="55"/>
      </top>
      <bottom style="thin">
        <color indexed="55"/>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55"/>
      </left>
      <right style="thin">
        <color indexed="55"/>
      </right>
      <top/>
      <bottom style="thin">
        <color indexed="55"/>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style="thin">
        <color indexed="22"/>
      </left>
      <right style="thin">
        <color indexed="22"/>
      </right>
      <top/>
      <bottom style="thin">
        <color indexed="22"/>
      </bottom>
      <diagonal/>
    </border>
    <border>
      <left style="medium">
        <color indexed="64"/>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right/>
      <top style="thick">
        <color indexed="12"/>
      </top>
      <bottom/>
      <diagonal/>
    </border>
    <border>
      <left style="thick">
        <color indexed="12"/>
      </left>
      <right style="thick">
        <color indexed="12"/>
      </right>
      <top style="thick">
        <color indexed="12"/>
      </top>
      <bottom/>
      <diagonal/>
    </border>
    <border>
      <left style="thick">
        <color indexed="12"/>
      </left>
      <right/>
      <top style="thick">
        <color indexed="12"/>
      </top>
      <bottom style="thick">
        <color indexed="12"/>
      </bottom>
      <diagonal/>
    </border>
    <border>
      <left/>
      <right/>
      <top style="thick">
        <color indexed="12"/>
      </top>
      <bottom style="thick">
        <color indexed="12"/>
      </bottom>
      <diagonal/>
    </border>
    <border>
      <left/>
      <right style="thin">
        <color indexed="55"/>
      </right>
      <top style="thin">
        <color indexed="55"/>
      </top>
      <bottom style="thin">
        <color indexed="55"/>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top/>
      <bottom style="thin">
        <color auto="1"/>
      </bottom>
      <diagonal/>
    </border>
    <border>
      <left/>
      <right/>
      <top/>
      <bottom style="thin">
        <color auto="1"/>
      </bottom>
      <diagonal/>
    </border>
    <border>
      <left style="thin">
        <color indexed="64"/>
      </left>
      <right style="thin">
        <color indexed="64"/>
      </right>
      <top style="thin">
        <color indexed="64"/>
      </top>
      <bottom style="thin">
        <color indexed="64"/>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style="thin">
        <color indexed="55"/>
      </right>
      <top style="thin">
        <color indexed="55"/>
      </top>
      <bottom/>
      <diagonal/>
    </border>
    <border>
      <left style="thin">
        <color indexed="55"/>
      </left>
      <right style="thin">
        <color indexed="55"/>
      </right>
      <top/>
      <bottom style="thin">
        <color theme="0" tint="-0.249977111117893"/>
      </bottom>
      <diagonal/>
    </border>
    <border>
      <left style="thin">
        <color indexed="55"/>
      </left>
      <right/>
      <top/>
      <bottom style="thin">
        <color theme="0" tint="-0.249977111117893"/>
      </bottom>
      <diagonal/>
    </border>
    <border>
      <left/>
      <right style="thin">
        <color theme="0" tint="-0.249977111117893"/>
      </right>
      <top/>
      <bottom style="thin">
        <color theme="0" tint="-0.249977111117893"/>
      </bottom>
      <diagonal/>
    </border>
    <border>
      <left style="thin">
        <color indexed="64"/>
      </left>
      <right style="thin">
        <color indexed="64"/>
      </right>
      <top/>
      <bottom style="thin">
        <color indexed="64"/>
      </bottom>
      <diagonal/>
    </border>
    <border>
      <left style="thick">
        <color auto="1"/>
      </left>
      <right style="thin">
        <color auto="1"/>
      </right>
      <top style="thick">
        <color auto="1"/>
      </top>
      <bottom/>
      <diagonal/>
    </border>
    <border>
      <left style="thin">
        <color auto="1"/>
      </left>
      <right style="thin">
        <color auto="1"/>
      </right>
      <top style="thick">
        <color auto="1"/>
      </top>
      <bottom/>
      <diagonal/>
    </border>
    <border>
      <left style="thin">
        <color auto="1"/>
      </left>
      <right style="thick">
        <color auto="1"/>
      </right>
      <top style="thick">
        <color auto="1"/>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theme="0" tint="-0.249977111117893"/>
      </left>
      <right/>
      <top/>
      <bottom style="thin">
        <color theme="0" tint="-0.249977111117893"/>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8">
    <xf numFmtId="0" fontId="0" fillId="0" borderId="0"/>
    <xf numFmtId="0" fontId="26" fillId="0" borderId="0"/>
    <xf numFmtId="44" fontId="3" fillId="0" borderId="0" applyFont="0" applyFill="0" applyBorder="0" applyAlignment="0" applyProtection="0"/>
    <xf numFmtId="0" fontId="20" fillId="0" borderId="0" applyNumberFormat="0" applyFill="0" applyBorder="0" applyAlignment="0" applyProtection="0">
      <alignment vertical="top"/>
      <protection locked="0"/>
    </xf>
    <xf numFmtId="0" fontId="3" fillId="0" borderId="0"/>
    <xf numFmtId="0" fontId="26" fillId="0" borderId="0"/>
    <xf numFmtId="0" fontId="26" fillId="0" borderId="0"/>
    <xf numFmtId="0" fontId="26" fillId="0" borderId="0"/>
    <xf numFmtId="0" fontId="26" fillId="0" borderId="0"/>
    <xf numFmtId="0" fontId="3" fillId="0" borderId="0"/>
    <xf numFmtId="0" fontId="3" fillId="0" borderId="0"/>
    <xf numFmtId="0" fontId="73" fillId="0" borderId="0" applyNumberFormat="0" applyFill="0" applyBorder="0" applyAlignment="0" applyProtection="0"/>
    <xf numFmtId="0" fontId="3" fillId="0" borderId="0"/>
    <xf numFmtId="44" fontId="1" fillId="0" borderId="0" applyFont="0" applyFill="0" applyBorder="0" applyAlignment="0" applyProtection="0"/>
    <xf numFmtId="0" fontId="3" fillId="0" borderId="0"/>
    <xf numFmtId="0" fontId="3" fillId="0" borderId="0"/>
    <xf numFmtId="0" fontId="3" fillId="0" borderId="0"/>
    <xf numFmtId="0" fontId="3" fillId="0" borderId="0"/>
    <xf numFmtId="44" fontId="1" fillId="0" borderId="0" applyFont="0" applyFill="0" applyBorder="0" applyAlignment="0" applyProtection="0"/>
    <xf numFmtId="0" fontId="3" fillId="0" borderId="0"/>
    <xf numFmtId="0" fontId="3" fillId="0" borderId="0"/>
    <xf numFmtId="0" fontId="3" fillId="0" borderId="0"/>
    <xf numFmtId="0" fontId="3" fillId="0" borderId="0"/>
    <xf numFmtId="44" fontId="1" fillId="0" borderId="0" applyFont="0" applyFill="0" applyBorder="0" applyAlignment="0" applyProtection="0"/>
    <xf numFmtId="0" fontId="3" fillId="0" borderId="0"/>
    <xf numFmtId="0" fontId="3" fillId="0" borderId="0"/>
    <xf numFmtId="0" fontId="3" fillId="0" borderId="0"/>
    <xf numFmtId="0" fontId="53" fillId="0" borderId="0"/>
  </cellStyleXfs>
  <cellXfs count="576">
    <xf numFmtId="0" fontId="0" fillId="0" borderId="0" xfId="0"/>
    <xf numFmtId="0" fontId="0" fillId="0" borderId="0" xfId="0" applyAlignment="1">
      <alignment wrapText="1"/>
    </xf>
    <xf numFmtId="0" fontId="12" fillId="0" borderId="7" xfId="0" applyFont="1" applyBorder="1" applyAlignment="1">
      <alignment horizontal="center"/>
    </xf>
    <xf numFmtId="0" fontId="6" fillId="0" borderId="8" xfId="0" applyFont="1" applyBorder="1" applyAlignment="1">
      <alignment horizontal="center"/>
    </xf>
    <xf numFmtId="0" fontId="13" fillId="2" borderId="9" xfId="0" applyFont="1" applyFill="1" applyBorder="1" applyAlignment="1">
      <alignment horizontal="center"/>
    </xf>
    <xf numFmtId="0" fontId="13" fillId="2" borderId="8" xfId="0" applyFont="1" applyFill="1" applyBorder="1" applyAlignment="1">
      <alignment horizontal="center" wrapText="1"/>
    </xf>
    <xf numFmtId="0" fontId="13" fillId="2" borderId="8" xfId="0" applyFont="1" applyFill="1" applyBorder="1" applyAlignment="1">
      <alignment horizontal="center"/>
    </xf>
    <xf numFmtId="0" fontId="6" fillId="0" borderId="9" xfId="0" applyFont="1" applyBorder="1" applyAlignment="1">
      <alignment horizontal="center"/>
    </xf>
    <xf numFmtId="14" fontId="6" fillId="0" borderId="8" xfId="0" applyNumberFormat="1" applyFont="1" applyBorder="1" applyAlignment="1">
      <alignment horizontal="center"/>
    </xf>
    <xf numFmtId="0" fontId="16" fillId="0" borderId="0" xfId="0" applyFont="1" applyAlignment="1">
      <alignment horizontal="center"/>
    </xf>
    <xf numFmtId="0" fontId="16" fillId="0" borderId="0" xfId="0" applyFont="1"/>
    <xf numFmtId="0" fontId="6" fillId="0" borderId="0" xfId="0" applyFont="1"/>
    <xf numFmtId="0" fontId="0" fillId="0" borderId="0" xfId="0" applyBorder="1"/>
    <xf numFmtId="0" fontId="5" fillId="0" borderId="0" xfId="0" applyFont="1" applyAlignment="1">
      <alignment vertical="center"/>
    </xf>
    <xf numFmtId="0" fontId="5" fillId="4" borderId="17" xfId="0" applyFont="1" applyFill="1" applyBorder="1"/>
    <xf numFmtId="0" fontId="9" fillId="4" borderId="5" xfId="0" applyFont="1" applyFill="1" applyBorder="1"/>
    <xf numFmtId="0" fontId="5" fillId="4" borderId="18" xfId="0" applyFont="1" applyFill="1" applyBorder="1"/>
    <xf numFmtId="0" fontId="9" fillId="4" borderId="0" xfId="0" applyFont="1" applyFill="1" applyBorder="1"/>
    <xf numFmtId="0" fontId="0" fillId="0" borderId="0" xfId="0" applyAlignment="1">
      <alignment horizontal="center"/>
    </xf>
    <xf numFmtId="0" fontId="0" fillId="0" borderId="0" xfId="0" applyFill="1"/>
    <xf numFmtId="0" fontId="27" fillId="5" borderId="15" xfId="0" applyFont="1" applyFill="1" applyBorder="1" applyAlignment="1">
      <alignment horizontal="center" vertical="center" wrapText="1"/>
    </xf>
    <xf numFmtId="0" fontId="2" fillId="0" borderId="0" xfId="0" applyFont="1" applyAlignment="1">
      <alignment horizontal="left"/>
    </xf>
    <xf numFmtId="0" fontId="0" fillId="0" borderId="0" xfId="0" applyAlignment="1">
      <alignment horizontal="left"/>
    </xf>
    <xf numFmtId="0" fontId="0" fillId="0" borderId="0" xfId="0" applyBorder="1" applyAlignment="1">
      <alignment horizontal="center"/>
    </xf>
    <xf numFmtId="0" fontId="8" fillId="5" borderId="15" xfId="0" applyFont="1" applyFill="1" applyBorder="1" applyAlignment="1">
      <alignment horizontal="center" vertical="center" wrapText="1"/>
    </xf>
    <xf numFmtId="0" fontId="0" fillId="0" borderId="1" xfId="0" applyBorder="1"/>
    <xf numFmtId="0" fontId="0" fillId="0" borderId="30" xfId="0" applyBorder="1"/>
    <xf numFmtId="0" fontId="0" fillId="8" borderId="28" xfId="0" applyFill="1" applyBorder="1" applyAlignment="1">
      <alignment horizontal="center"/>
    </xf>
    <xf numFmtId="0" fontId="0" fillId="8" borderId="29" xfId="0" applyFill="1" applyBorder="1" applyAlignment="1">
      <alignment horizontal="center"/>
    </xf>
    <xf numFmtId="0" fontId="0" fillId="8" borderId="27" xfId="0" applyFill="1" applyBorder="1" applyAlignment="1">
      <alignment horizontal="center"/>
    </xf>
    <xf numFmtId="0" fontId="0" fillId="8" borderId="0" xfId="0" applyFill="1" applyBorder="1" applyAlignment="1">
      <alignment horizontal="center"/>
    </xf>
    <xf numFmtId="0" fontId="0" fillId="0" borderId="0" xfId="0" applyAlignment="1">
      <alignment vertical="center"/>
    </xf>
    <xf numFmtId="0" fontId="0" fillId="0" borderId="0" xfId="0" applyAlignment="1">
      <alignment vertical="center" wrapText="1"/>
    </xf>
    <xf numFmtId="0" fontId="5" fillId="0" borderId="0" xfId="0" applyFont="1" applyBorder="1" applyAlignment="1">
      <alignment vertical="center" wrapText="1"/>
    </xf>
    <xf numFmtId="0" fontId="5" fillId="0" borderId="0" xfId="0" applyFont="1" applyBorder="1" applyAlignment="1">
      <alignment horizontal="center" vertical="center" wrapText="1"/>
    </xf>
    <xf numFmtId="0" fontId="5" fillId="0" borderId="13" xfId="0" applyFont="1" applyBorder="1" applyAlignment="1">
      <alignment vertical="center" wrapText="1"/>
    </xf>
    <xf numFmtId="0" fontId="5" fillId="0" borderId="10" xfId="0" applyFont="1" applyBorder="1" applyAlignment="1">
      <alignment vertical="center" wrapText="1"/>
    </xf>
    <xf numFmtId="0" fontId="5" fillId="0" borderId="43" xfId="0" applyFont="1" applyBorder="1" applyAlignment="1">
      <alignment vertical="center"/>
    </xf>
    <xf numFmtId="0" fontId="24" fillId="0" borderId="0" xfId="0" applyFont="1" applyFill="1" applyBorder="1" applyAlignment="1">
      <alignment horizontal="left" vertical="center"/>
    </xf>
    <xf numFmtId="0" fontId="1" fillId="0" borderId="0" xfId="0" applyFont="1" applyAlignment="1">
      <alignment vertical="center"/>
    </xf>
    <xf numFmtId="0" fontId="28" fillId="0" borderId="47" xfId="9" applyFont="1" applyBorder="1" applyAlignment="1">
      <alignment horizontal="center" vertical="center"/>
    </xf>
    <xf numFmtId="0" fontId="28" fillId="0" borderId="47" xfId="9" applyFont="1" applyBorder="1" applyAlignment="1">
      <alignment horizontal="center" vertical="center" wrapText="1"/>
    </xf>
    <xf numFmtId="14" fontId="28" fillId="0" borderId="47" xfId="9" applyNumberFormat="1" applyFont="1" applyBorder="1" applyAlignment="1">
      <alignment horizontal="center" vertical="center"/>
    </xf>
    <xf numFmtId="0" fontId="28" fillId="0" borderId="47" xfId="9" applyFont="1" applyFill="1" applyBorder="1" applyAlignment="1">
      <alignment horizontal="center" vertical="center"/>
    </xf>
    <xf numFmtId="0" fontId="31" fillId="0" borderId="45" xfId="9" applyFont="1" applyFill="1" applyBorder="1" applyAlignment="1">
      <alignment vertical="center"/>
    </xf>
    <xf numFmtId="166" fontId="3" fillId="0" borderId="45" xfId="9" applyNumberFormat="1" applyFont="1" applyBorder="1" applyAlignment="1">
      <alignment horizontal="center" vertical="center"/>
    </xf>
    <xf numFmtId="166" fontId="3" fillId="0" borderId="45" xfId="9" applyNumberFormat="1" applyFont="1" applyFill="1" applyBorder="1" applyAlignment="1">
      <alignment horizontal="center" vertical="center" wrapText="1"/>
    </xf>
    <xf numFmtId="0" fontId="3" fillId="0" borderId="46" xfId="9" applyFont="1" applyBorder="1" applyAlignment="1">
      <alignment vertical="center" wrapText="1"/>
    </xf>
    <xf numFmtId="0" fontId="3" fillId="0" borderId="15" xfId="9" applyFont="1" applyFill="1" applyBorder="1" applyAlignment="1">
      <alignment vertical="center"/>
    </xf>
    <xf numFmtId="166" fontId="3" fillId="0" borderId="15" xfId="9" applyNumberFormat="1" applyFont="1" applyFill="1" applyBorder="1" applyAlignment="1">
      <alignment horizontal="center" vertical="center"/>
    </xf>
    <xf numFmtId="166" fontId="3" fillId="0" borderId="15" xfId="9" applyNumberFormat="1" applyFont="1" applyFill="1" applyBorder="1" applyAlignment="1">
      <alignment horizontal="center" vertical="center" wrapText="1"/>
    </xf>
    <xf numFmtId="0" fontId="3" fillId="0" borderId="15" xfId="9" applyFont="1" applyFill="1" applyBorder="1" applyAlignment="1">
      <alignment horizontal="center" vertical="center"/>
    </xf>
    <xf numFmtId="0" fontId="3" fillId="0" borderId="16" xfId="9" applyFont="1" applyFill="1" applyBorder="1" applyAlignment="1">
      <alignment vertical="center" wrapText="1"/>
    </xf>
    <xf numFmtId="0" fontId="28" fillId="0" borderId="15" xfId="9" applyFont="1" applyFill="1" applyBorder="1" applyAlignment="1">
      <alignment vertical="center"/>
    </xf>
    <xf numFmtId="0" fontId="3" fillId="0" borderId="15" xfId="9" applyFont="1" applyFill="1" applyBorder="1" applyAlignment="1">
      <alignment vertical="center" wrapText="1"/>
    </xf>
    <xf numFmtId="0" fontId="0" fillId="0" borderId="16" xfId="0" applyFill="1" applyBorder="1" applyAlignment="1">
      <alignment vertical="center" wrapText="1"/>
    </xf>
    <xf numFmtId="0" fontId="28" fillId="0" borderId="15" xfId="9" applyFont="1" applyFill="1" applyBorder="1" applyAlignment="1">
      <alignment vertical="center" wrapText="1"/>
    </xf>
    <xf numFmtId="0" fontId="3" fillId="0" borderId="16" xfId="9" applyFill="1" applyBorder="1" applyAlignment="1">
      <alignment vertical="center" wrapText="1"/>
    </xf>
    <xf numFmtId="0" fontId="3" fillId="0" borderId="26" xfId="9" applyFont="1" applyBorder="1" applyAlignment="1">
      <alignment horizontal="center" vertical="center"/>
    </xf>
    <xf numFmtId="166" fontId="3" fillId="0" borderId="19" xfId="9" applyNumberFormat="1" applyFont="1" applyFill="1" applyBorder="1" applyAlignment="1">
      <alignment horizontal="center" vertical="center" wrapText="1"/>
    </xf>
    <xf numFmtId="166" fontId="3" fillId="0" borderId="15" xfId="9" applyNumberFormat="1" applyFont="1" applyBorder="1" applyAlignment="1">
      <alignment horizontal="center" vertical="center"/>
    </xf>
    <xf numFmtId="0" fontId="3" fillId="0" borderId="16" xfId="9" applyFont="1" applyBorder="1" applyAlignment="1">
      <alignment vertical="center" wrapText="1"/>
    </xf>
    <xf numFmtId="0" fontId="28" fillId="0" borderId="19" xfId="9" applyFont="1" applyFill="1" applyBorder="1" applyAlignment="1">
      <alignment vertical="center" wrapText="1"/>
    </xf>
    <xf numFmtId="166" fontId="3" fillId="0" borderId="19" xfId="9" applyNumberFormat="1" applyFont="1" applyBorder="1" applyAlignment="1">
      <alignment horizontal="center" vertical="center"/>
    </xf>
    <xf numFmtId="0" fontId="3" fillId="0" borderId="21" xfId="9" applyFont="1" applyBorder="1" applyAlignment="1">
      <alignment vertical="center" wrapText="1"/>
    </xf>
    <xf numFmtId="0" fontId="28" fillId="0" borderId="15" xfId="0" applyFont="1" applyFill="1" applyBorder="1" applyAlignment="1">
      <alignment vertical="center"/>
    </xf>
    <xf numFmtId="0" fontId="0" fillId="0" borderId="15" xfId="0" applyFill="1" applyBorder="1" applyAlignment="1">
      <alignment vertical="center"/>
    </xf>
    <xf numFmtId="0" fontId="0" fillId="0" borderId="0" xfId="0" applyFill="1" applyAlignment="1">
      <alignment vertical="center"/>
    </xf>
    <xf numFmtId="0" fontId="28" fillId="0" borderId="33" xfId="9" applyFont="1" applyFill="1" applyBorder="1" applyAlignment="1">
      <alignment horizontal="center" vertical="center"/>
    </xf>
    <xf numFmtId="166" fontId="28" fillId="0" borderId="47" xfId="9" applyNumberFormat="1" applyFont="1" applyBorder="1" applyAlignment="1">
      <alignment horizontal="center" vertical="center"/>
    </xf>
    <xf numFmtId="166" fontId="28" fillId="0" borderId="33" xfId="9" applyNumberFormat="1" applyFont="1" applyBorder="1" applyAlignment="1">
      <alignment horizontal="center" vertical="center"/>
    </xf>
    <xf numFmtId="166" fontId="28" fillId="0" borderId="33" xfId="9" applyNumberFormat="1" applyFont="1" applyBorder="1" applyAlignment="1">
      <alignment horizontal="center" vertical="center" wrapText="1"/>
    </xf>
    <xf numFmtId="166" fontId="28" fillId="0" borderId="47" xfId="9" applyNumberFormat="1" applyFont="1" applyFill="1" applyBorder="1" applyAlignment="1">
      <alignment horizontal="center" vertical="center" wrapText="1"/>
    </xf>
    <xf numFmtId="166" fontId="3" fillId="11" borderId="15" xfId="9" applyNumberFormat="1" applyFont="1" applyFill="1" applyBorder="1" applyAlignment="1">
      <alignment horizontal="center" vertical="center"/>
    </xf>
    <xf numFmtId="166" fontId="3" fillId="11" borderId="15" xfId="9" applyNumberFormat="1" applyFont="1" applyFill="1" applyBorder="1" applyAlignment="1">
      <alignment horizontal="center" vertical="center" wrapText="1"/>
    </xf>
    <xf numFmtId="0" fontId="3" fillId="11" borderId="16" xfId="9" applyFont="1" applyFill="1" applyBorder="1" applyAlignment="1">
      <alignment vertical="center" wrapText="1"/>
    </xf>
    <xf numFmtId="0" fontId="32" fillId="11" borderId="16" xfId="9" applyFont="1" applyFill="1" applyBorder="1" applyAlignment="1">
      <alignment vertical="center" wrapText="1"/>
    </xf>
    <xf numFmtId="166" fontId="3" fillId="11" borderId="45" xfId="9" applyNumberFormat="1" applyFont="1" applyFill="1" applyBorder="1" applyAlignment="1">
      <alignment horizontal="center" vertical="center"/>
    </xf>
    <xf numFmtId="166" fontId="3" fillId="11" borderId="45" xfId="9" applyNumberFormat="1" applyFont="1" applyFill="1" applyBorder="1" applyAlignment="1">
      <alignment horizontal="center" vertical="center" wrapText="1"/>
    </xf>
    <xf numFmtId="0" fontId="3" fillId="11" borderId="46" xfId="9" applyFont="1" applyFill="1" applyBorder="1" applyAlignment="1">
      <alignment vertical="center" wrapText="1"/>
    </xf>
    <xf numFmtId="14" fontId="0" fillId="11" borderId="0" xfId="0" applyNumberFormat="1" applyFill="1" applyBorder="1" applyAlignment="1">
      <alignment horizontal="center" vertical="center"/>
    </xf>
    <xf numFmtId="0" fontId="33" fillId="0" borderId="15" xfId="9" applyFont="1" applyBorder="1" applyAlignment="1">
      <alignment horizontal="center" vertical="center"/>
    </xf>
    <xf numFmtId="0" fontId="3" fillId="0" borderId="15" xfId="9" applyFont="1" applyBorder="1" applyAlignment="1">
      <alignment horizontal="center" vertical="center"/>
    </xf>
    <xf numFmtId="0" fontId="34" fillId="0" borderId="11" xfId="9" applyFont="1" applyBorder="1" applyAlignment="1">
      <alignment horizontal="center" vertical="center"/>
    </xf>
    <xf numFmtId="0" fontId="38" fillId="0" borderId="0" xfId="0" applyFont="1" applyAlignment="1">
      <alignment vertical="center" wrapText="1"/>
    </xf>
    <xf numFmtId="0" fontId="35" fillId="0" borderId="15" xfId="0" applyFont="1" applyBorder="1" applyAlignment="1">
      <alignment vertical="center"/>
    </xf>
    <xf numFmtId="0" fontId="35" fillId="0" borderId="15" xfId="0" applyFont="1" applyBorder="1" applyAlignment="1">
      <alignment horizontal="center" vertical="center"/>
    </xf>
    <xf numFmtId="0" fontId="35" fillId="0" borderId="15" xfId="0" applyFont="1" applyFill="1" applyBorder="1" applyAlignment="1">
      <alignment horizontal="left" vertical="center" wrapText="1"/>
    </xf>
    <xf numFmtId="0" fontId="35" fillId="0" borderId="0" xfId="0" applyFont="1" applyFill="1" applyAlignment="1">
      <alignment vertical="center" wrapText="1"/>
    </xf>
    <xf numFmtId="0" fontId="35" fillId="0" borderId="15" xfId="0" applyFont="1" applyFill="1" applyBorder="1" applyAlignment="1">
      <alignment horizontal="center" vertical="center" wrapText="1"/>
    </xf>
    <xf numFmtId="0" fontId="35" fillId="0" borderId="15" xfId="0" applyFont="1" applyFill="1" applyBorder="1" applyAlignment="1">
      <alignment horizontal="center" vertical="center"/>
    </xf>
    <xf numFmtId="167" fontId="35" fillId="0" borderId="15" xfId="0" applyNumberFormat="1" applyFont="1" applyFill="1" applyBorder="1" applyAlignment="1">
      <alignment horizontal="center" vertical="center" wrapText="1"/>
    </xf>
    <xf numFmtId="1" fontId="35" fillId="0" borderId="15" xfId="0" applyNumberFormat="1" applyFont="1" applyFill="1" applyBorder="1" applyAlignment="1">
      <alignment horizontal="center" vertical="center" wrapText="1"/>
    </xf>
    <xf numFmtId="0" fontId="35" fillId="0" borderId="15" xfId="0" applyFont="1" applyFill="1" applyBorder="1" applyAlignment="1">
      <alignment vertical="center" wrapText="1"/>
    </xf>
    <xf numFmtId="1" fontId="35" fillId="0" borderId="15" xfId="0" applyNumberFormat="1" applyFont="1" applyFill="1" applyBorder="1" applyAlignment="1">
      <alignment vertical="center" wrapText="1"/>
    </xf>
    <xf numFmtId="167" fontId="35" fillId="0" borderId="15" xfId="0" applyNumberFormat="1" applyFont="1" applyFill="1" applyBorder="1" applyAlignment="1">
      <alignment vertical="center" wrapText="1"/>
    </xf>
    <xf numFmtId="0" fontId="35" fillId="0" borderId="15" xfId="0" applyFont="1" applyFill="1" applyBorder="1" applyAlignment="1">
      <alignment vertical="center"/>
    </xf>
    <xf numFmtId="165" fontId="35" fillId="0" borderId="15" xfId="0" applyNumberFormat="1" applyFont="1" applyFill="1" applyBorder="1" applyAlignment="1">
      <alignment horizontal="center" vertical="center" wrapText="1"/>
    </xf>
    <xf numFmtId="167" fontId="29" fillId="0" borderId="15" xfId="0" applyNumberFormat="1" applyFont="1" applyFill="1" applyBorder="1" applyAlignment="1">
      <alignment horizontal="center" vertical="center" wrapText="1"/>
    </xf>
    <xf numFmtId="0" fontId="38" fillId="0" borderId="15" xfId="0" applyFont="1" applyBorder="1" applyAlignment="1">
      <alignment vertical="center"/>
    </xf>
    <xf numFmtId="0" fontId="38" fillId="0" borderId="15" xfId="0" applyFont="1" applyBorder="1" applyAlignment="1">
      <alignment horizontal="center" vertical="center"/>
    </xf>
    <xf numFmtId="6" fontId="38" fillId="0" borderId="15" xfId="0" applyNumberFormat="1" applyFont="1" applyBorder="1" applyAlignment="1">
      <alignment horizontal="center" vertical="center"/>
    </xf>
    <xf numFmtId="9" fontId="38" fillId="0" borderId="15" xfId="0" applyNumberFormat="1" applyFont="1" applyBorder="1" applyAlignment="1">
      <alignment horizontal="center" vertical="center"/>
    </xf>
    <xf numFmtId="0" fontId="38" fillId="0" borderId="15" xfId="0" applyFont="1" applyFill="1" applyBorder="1" applyAlignment="1">
      <alignment vertical="center"/>
    </xf>
    <xf numFmtId="0" fontId="38" fillId="0" borderId="15" xfId="0" applyFont="1" applyFill="1" applyBorder="1" applyAlignment="1">
      <alignment horizontal="center" vertical="center"/>
    </xf>
    <xf numFmtId="0" fontId="39" fillId="0" borderId="15" xfId="0" applyFont="1" applyBorder="1" applyAlignment="1">
      <alignment horizontal="center" vertical="center"/>
    </xf>
    <xf numFmtId="0" fontId="40" fillId="0" borderId="15" xfId="0" applyFont="1" applyFill="1" applyBorder="1" applyAlignment="1">
      <alignment horizontal="center" vertical="center" wrapText="1"/>
    </xf>
    <xf numFmtId="0" fontId="38" fillId="0" borderId="15" xfId="0" quotePrefix="1" applyFont="1" applyBorder="1" applyAlignment="1">
      <alignment horizontal="center" vertical="center"/>
    </xf>
    <xf numFmtId="6" fontId="38" fillId="0" borderId="15" xfId="0" applyNumberFormat="1" applyFont="1" applyFill="1" applyBorder="1" applyAlignment="1">
      <alignment horizontal="center" vertical="center"/>
    </xf>
    <xf numFmtId="9" fontId="38" fillId="0" borderId="15" xfId="0" applyNumberFormat="1" applyFont="1" applyFill="1" applyBorder="1" applyAlignment="1">
      <alignment horizontal="center" vertical="center"/>
    </xf>
    <xf numFmtId="0" fontId="38" fillId="0" borderId="15" xfId="0" quotePrefix="1" applyFont="1" applyFill="1" applyBorder="1" applyAlignment="1">
      <alignment horizontal="center" vertical="center"/>
    </xf>
    <xf numFmtId="0" fontId="40" fillId="0" borderId="15" xfId="0" applyFont="1" applyFill="1" applyBorder="1" applyAlignment="1">
      <alignment horizontal="center" vertical="center"/>
    </xf>
    <xf numFmtId="165" fontId="38" fillId="0" borderId="15" xfId="0" applyNumberFormat="1" applyFont="1" applyFill="1" applyBorder="1" applyAlignment="1">
      <alignment vertical="center"/>
    </xf>
    <xf numFmtId="165" fontId="38" fillId="0" borderId="15" xfId="0" applyNumberFormat="1" applyFont="1" applyBorder="1" applyAlignment="1">
      <alignment vertical="center"/>
    </xf>
    <xf numFmtId="0" fontId="38" fillId="0" borderId="0" xfId="0" applyFont="1" applyAlignment="1">
      <alignment vertical="center"/>
    </xf>
    <xf numFmtId="165" fontId="38" fillId="0" borderId="15" xfId="0" applyNumberFormat="1" applyFont="1" applyBorder="1" applyAlignment="1">
      <alignment horizontal="center" vertical="center"/>
    </xf>
    <xf numFmtId="6" fontId="40" fillId="0" borderId="15" xfId="0" applyNumberFormat="1" applyFont="1" applyBorder="1" applyAlignment="1">
      <alignment horizontal="center" vertical="center"/>
    </xf>
    <xf numFmtId="0" fontId="40" fillId="0" borderId="15" xfId="0" applyFont="1" applyBorder="1" applyAlignment="1">
      <alignment horizontal="center" vertical="center"/>
    </xf>
    <xf numFmtId="0" fontId="39" fillId="0" borderId="15" xfId="0" applyFont="1" applyFill="1" applyBorder="1" applyAlignment="1">
      <alignment horizontal="center" vertical="center" wrapText="1"/>
    </xf>
    <xf numFmtId="0" fontId="40" fillId="0" borderId="0" xfId="0" applyFont="1" applyFill="1" applyAlignment="1">
      <alignment horizontal="center" vertical="center"/>
    </xf>
    <xf numFmtId="0" fontId="38" fillId="0" borderId="23" xfId="0" applyFont="1" applyFill="1" applyBorder="1" applyAlignment="1">
      <alignment horizontal="center" vertical="center"/>
    </xf>
    <xf numFmtId="0" fontId="35" fillId="0" borderId="0" xfId="0" applyFont="1" applyFill="1" applyAlignment="1">
      <alignment horizontal="left" vertical="center" wrapText="1"/>
    </xf>
    <xf numFmtId="0" fontId="35" fillId="0" borderId="15" xfId="0" quotePrefix="1" applyFont="1" applyFill="1" applyBorder="1" applyAlignment="1">
      <alignment horizontal="center" vertical="center"/>
    </xf>
    <xf numFmtId="0" fontId="38" fillId="0" borderId="23" xfId="0" applyFont="1" applyFill="1" applyBorder="1" applyAlignment="1">
      <alignment vertical="center"/>
    </xf>
    <xf numFmtId="6" fontId="38" fillId="0" borderId="23" xfId="0" applyNumberFormat="1" applyFont="1" applyFill="1" applyBorder="1" applyAlignment="1">
      <alignment horizontal="center" vertical="center"/>
    </xf>
    <xf numFmtId="9" fontId="38" fillId="0" borderId="23" xfId="0" applyNumberFormat="1" applyFont="1" applyFill="1" applyBorder="1" applyAlignment="1">
      <alignment horizontal="center" vertical="center"/>
    </xf>
    <xf numFmtId="165" fontId="35" fillId="0" borderId="23" xfId="0" applyNumberFormat="1" applyFont="1" applyFill="1" applyBorder="1" applyAlignment="1">
      <alignment horizontal="center" vertical="center" wrapText="1"/>
    </xf>
    <xf numFmtId="0" fontId="38" fillId="0" borderId="23" xfId="0" applyFont="1" applyBorder="1" applyAlignment="1">
      <alignment vertical="center"/>
    </xf>
    <xf numFmtId="0" fontId="38" fillId="0" borderId="24" xfId="0" applyFont="1" applyFill="1" applyBorder="1" applyAlignment="1">
      <alignment vertical="center"/>
    </xf>
    <xf numFmtId="0" fontId="35" fillId="0" borderId="24" xfId="0" applyFont="1" applyFill="1" applyBorder="1" applyAlignment="1">
      <alignment horizontal="left" vertical="center"/>
    </xf>
    <xf numFmtId="0" fontId="35" fillId="0" borderId="14" xfId="0" applyFont="1" applyFill="1" applyBorder="1" applyAlignment="1">
      <alignment horizontal="left" vertical="center"/>
    </xf>
    <xf numFmtId="0" fontId="35" fillId="0" borderId="23" xfId="0" applyFont="1" applyFill="1" applyBorder="1" applyAlignment="1">
      <alignment horizontal="center" vertical="center"/>
    </xf>
    <xf numFmtId="0" fontId="38" fillId="0" borderId="0" xfId="0" applyFont="1" applyAlignment="1">
      <alignment horizontal="center" vertical="center"/>
    </xf>
    <xf numFmtId="0" fontId="37" fillId="0" borderId="44" xfId="0" applyFont="1" applyBorder="1" applyAlignment="1">
      <alignment horizontal="center" vertical="center"/>
    </xf>
    <xf numFmtId="0" fontId="37" fillId="0" borderId="48" xfId="0" applyFont="1" applyFill="1" applyBorder="1" applyAlignment="1">
      <alignment horizontal="center" vertical="center"/>
    </xf>
    <xf numFmtId="3" fontId="37" fillId="0" borderId="45" xfId="0" applyNumberFormat="1" applyFont="1" applyFill="1" applyBorder="1" applyAlignment="1">
      <alignment horizontal="center" vertical="center"/>
    </xf>
    <xf numFmtId="3" fontId="37" fillId="0" borderId="46" xfId="0" applyNumberFormat="1" applyFont="1" applyFill="1" applyBorder="1" applyAlignment="1">
      <alignment horizontal="center" vertical="center"/>
    </xf>
    <xf numFmtId="165" fontId="38" fillId="0" borderId="0" xfId="0" applyNumberFormat="1" applyFont="1" applyAlignment="1">
      <alignment vertical="center"/>
    </xf>
    <xf numFmtId="0" fontId="37" fillId="0" borderId="26" xfId="0" applyFont="1" applyBorder="1" applyAlignment="1">
      <alignment horizontal="center" vertical="center"/>
    </xf>
    <xf numFmtId="0" fontId="37" fillId="0" borderId="20" xfId="0" applyFont="1" applyFill="1" applyBorder="1" applyAlignment="1">
      <alignment horizontal="center" vertical="center"/>
    </xf>
    <xf numFmtId="0" fontId="37" fillId="0" borderId="19" xfId="0" applyFont="1" applyFill="1" applyBorder="1" applyAlignment="1">
      <alignment horizontal="center" vertical="center"/>
    </xf>
    <xf numFmtId="0" fontId="37" fillId="0" borderId="21" xfId="0" applyFont="1" applyFill="1" applyBorder="1" applyAlignment="1">
      <alignment horizontal="center" vertical="center"/>
    </xf>
    <xf numFmtId="9" fontId="37" fillId="0" borderId="32" xfId="0" applyNumberFormat="1" applyFont="1" applyBorder="1" applyAlignment="1">
      <alignment horizontal="center" vertical="center"/>
    </xf>
    <xf numFmtId="10" fontId="37" fillId="0" borderId="34" xfId="0" applyNumberFormat="1" applyFont="1" applyBorder="1" applyAlignment="1">
      <alignment horizontal="center" vertical="center"/>
    </xf>
    <xf numFmtId="0" fontId="41" fillId="0" borderId="0" xfId="0" applyFont="1" applyAlignment="1">
      <alignment vertical="center"/>
    </xf>
    <xf numFmtId="0" fontId="43" fillId="0" borderId="0" xfId="0" applyFont="1"/>
    <xf numFmtId="0" fontId="50" fillId="0" borderId="0" xfId="0" applyFont="1" applyAlignment="1">
      <alignment vertical="center"/>
    </xf>
    <xf numFmtId="0" fontId="50" fillId="0" borderId="0" xfId="0" applyFont="1" applyFill="1" applyAlignment="1">
      <alignment vertical="center"/>
    </xf>
    <xf numFmtId="0" fontId="0" fillId="0" borderId="0" xfId="0" applyFont="1" applyAlignment="1">
      <alignment wrapText="1"/>
    </xf>
    <xf numFmtId="0" fontId="0" fillId="0" borderId="0" xfId="0" applyFont="1"/>
    <xf numFmtId="0" fontId="52" fillId="0" borderId="0" xfId="0" applyFont="1" applyFill="1" applyAlignment="1">
      <alignment vertical="center"/>
    </xf>
    <xf numFmtId="0" fontId="44" fillId="0" borderId="0" xfId="0" applyFont="1" applyFill="1" applyBorder="1"/>
    <xf numFmtId="0" fontId="42" fillId="0" borderId="0" xfId="0" applyFont="1" applyAlignment="1">
      <alignment vertical="center"/>
    </xf>
    <xf numFmtId="0" fontId="0" fillId="0" borderId="51" xfId="0" applyBorder="1" applyAlignment="1">
      <alignment vertical="center" wrapText="1"/>
    </xf>
    <xf numFmtId="0" fontId="20" fillId="0" borderId="51" xfId="3" applyBorder="1" applyAlignment="1" applyProtection="1">
      <alignment vertical="center" wrapText="1"/>
    </xf>
    <xf numFmtId="0" fontId="0" fillId="0" borderId="51" xfId="0" applyBorder="1" applyAlignment="1">
      <alignment horizontal="center" vertical="center" wrapText="1"/>
    </xf>
    <xf numFmtId="49" fontId="42" fillId="0" borderId="51" xfId="0" applyNumberFormat="1" applyFont="1" applyBorder="1" applyAlignment="1">
      <alignment vertical="center" wrapText="1"/>
    </xf>
    <xf numFmtId="0" fontId="0" fillId="0" borderId="14" xfId="0" applyBorder="1" applyAlignment="1">
      <alignment vertical="center" wrapText="1"/>
    </xf>
    <xf numFmtId="49" fontId="42" fillId="0" borderId="22" xfId="0" applyNumberFormat="1" applyFont="1" applyBorder="1" applyAlignment="1">
      <alignment vertical="center" wrapText="1"/>
    </xf>
    <xf numFmtId="49" fontId="53" fillId="0" borderId="51" xfId="0" applyNumberFormat="1" applyFont="1" applyBorder="1" applyAlignment="1">
      <alignment vertical="center" wrapText="1"/>
    </xf>
    <xf numFmtId="49" fontId="42" fillId="0" borderId="51" xfId="0" applyNumberFormat="1" applyFont="1" applyBorder="1" applyAlignment="1">
      <alignment vertical="center"/>
    </xf>
    <xf numFmtId="0" fontId="0" fillId="0" borderId="51" xfId="0" applyBorder="1" applyAlignment="1">
      <alignment vertical="center"/>
    </xf>
    <xf numFmtId="49" fontId="0" fillId="0" borderId="0" xfId="0" applyNumberFormat="1" applyAlignment="1">
      <alignment vertical="center"/>
    </xf>
    <xf numFmtId="0" fontId="54" fillId="0" borderId="51" xfId="0" applyFont="1" applyFill="1" applyBorder="1" applyAlignment="1" applyProtection="1">
      <alignment vertical="center" wrapText="1"/>
      <protection locked="0"/>
    </xf>
    <xf numFmtId="0" fontId="54" fillId="0" borderId="51" xfId="0" applyFont="1" applyFill="1" applyBorder="1" applyAlignment="1" applyProtection="1">
      <alignment wrapText="1"/>
      <protection locked="0"/>
    </xf>
    <xf numFmtId="0" fontId="55" fillId="0" borderId="51" xfId="0" applyFont="1" applyBorder="1" applyAlignment="1">
      <alignment vertical="center" wrapText="1"/>
    </xf>
    <xf numFmtId="0" fontId="57" fillId="0" borderId="0" xfId="0" applyFont="1" applyAlignment="1">
      <alignment vertical="center"/>
    </xf>
    <xf numFmtId="0" fontId="58" fillId="7" borderId="22" xfId="0" applyFont="1" applyFill="1" applyBorder="1" applyAlignment="1">
      <alignment horizontal="left" vertical="center" wrapText="1"/>
    </xf>
    <xf numFmtId="0" fontId="59" fillId="5" borderId="22" xfId="0" applyFont="1" applyFill="1" applyBorder="1" applyAlignment="1">
      <alignment horizontal="center" vertical="center" wrapText="1"/>
    </xf>
    <xf numFmtId="0" fontId="60" fillId="5" borderId="22" xfId="0" applyFont="1" applyFill="1" applyBorder="1" applyAlignment="1">
      <alignment horizontal="center" vertical="center" wrapText="1"/>
    </xf>
    <xf numFmtId="0" fontId="61" fillId="0" borderId="0" xfId="0" applyFont="1" applyBorder="1" applyAlignment="1">
      <alignment horizontal="center" vertical="center"/>
    </xf>
    <xf numFmtId="0" fontId="61" fillId="0" borderId="0" xfId="0" applyFont="1" applyAlignment="1">
      <alignment vertical="center"/>
    </xf>
    <xf numFmtId="0" fontId="58" fillId="7" borderId="44" xfId="0" applyFont="1" applyFill="1" applyBorder="1" applyAlignment="1">
      <alignment horizontal="left" vertical="center" wrapText="1"/>
    </xf>
    <xf numFmtId="0" fontId="59" fillId="5" borderId="45" xfId="0" applyFont="1" applyFill="1" applyBorder="1" applyAlignment="1">
      <alignment horizontal="center" vertical="center" wrapText="1"/>
    </xf>
    <xf numFmtId="0" fontId="60" fillId="5" borderId="45" xfId="0" applyFont="1" applyFill="1" applyBorder="1" applyAlignment="1">
      <alignment horizontal="center" vertical="center" wrapText="1"/>
    </xf>
    <xf numFmtId="0" fontId="60" fillId="5" borderId="46" xfId="0" applyFont="1" applyFill="1" applyBorder="1" applyAlignment="1">
      <alignment horizontal="center" vertical="center" wrapText="1"/>
    </xf>
    <xf numFmtId="0" fontId="63" fillId="0" borderId="0" xfId="3" applyFont="1" applyAlignment="1" applyProtection="1"/>
    <xf numFmtId="0" fontId="65" fillId="0" borderId="0" xfId="0" applyFont="1"/>
    <xf numFmtId="0" fontId="64" fillId="0" borderId="0" xfId="0" applyFont="1"/>
    <xf numFmtId="0" fontId="66" fillId="0" borderId="0" xfId="0" applyFont="1"/>
    <xf numFmtId="0" fontId="67" fillId="0" borderId="0" xfId="0" applyFont="1"/>
    <xf numFmtId="0" fontId="68" fillId="0" borderId="0" xfId="0" applyFont="1"/>
    <xf numFmtId="0" fontId="69" fillId="0" borderId="25" xfId="0" applyFont="1" applyBorder="1" applyAlignment="1">
      <alignment horizontal="left" vertical="center" wrapText="1"/>
    </xf>
    <xf numFmtId="0" fontId="69" fillId="0" borderId="15" xfId="0" applyFont="1" applyFill="1" applyBorder="1" applyAlignment="1">
      <alignment horizontal="left" vertical="center" wrapText="1"/>
    </xf>
    <xf numFmtId="0" fontId="69" fillId="0" borderId="15" xfId="0" applyFont="1" applyFill="1" applyBorder="1" applyAlignment="1" applyProtection="1">
      <alignment horizontal="left" vertical="center" wrapText="1"/>
      <protection locked="0"/>
    </xf>
    <xf numFmtId="0" fontId="70" fillId="0" borderId="15" xfId="0" applyFont="1" applyFill="1" applyBorder="1" applyAlignment="1">
      <alignment horizontal="left" vertical="center" wrapText="1"/>
    </xf>
    <xf numFmtId="0" fontId="54" fillId="0" borderId="15" xfId="0" applyFont="1" applyFill="1" applyBorder="1" applyAlignment="1" applyProtection="1">
      <alignment vertical="center" wrapText="1"/>
      <protection locked="0"/>
    </xf>
    <xf numFmtId="0" fontId="71" fillId="0" borderId="15" xfId="3" applyFont="1" applyFill="1" applyBorder="1" applyAlignment="1" applyProtection="1">
      <alignment vertical="center" wrapText="1"/>
      <protection locked="0"/>
    </xf>
    <xf numFmtId="0" fontId="54" fillId="0" borderId="15" xfId="0" applyFont="1" applyFill="1" applyBorder="1" applyAlignment="1" applyProtection="1">
      <alignment horizontal="left" vertical="center" wrapText="1"/>
      <protection locked="0"/>
    </xf>
    <xf numFmtId="0" fontId="54" fillId="0" borderId="15" xfId="0" applyFont="1" applyFill="1" applyBorder="1" applyAlignment="1" applyProtection="1">
      <alignment horizontal="center" vertical="center" wrapText="1"/>
      <protection locked="0"/>
    </xf>
    <xf numFmtId="0" fontId="54" fillId="0" borderId="16" xfId="0" applyFont="1" applyFill="1" applyBorder="1" applyAlignment="1" applyProtection="1">
      <alignment horizontal="center" vertical="center" wrapText="1"/>
      <protection locked="0"/>
    </xf>
    <xf numFmtId="0" fontId="55" fillId="0" borderId="15" xfId="0" applyFont="1" applyBorder="1" applyAlignment="1">
      <alignment vertical="center" wrapText="1"/>
    </xf>
    <xf numFmtId="0" fontId="69" fillId="0" borderId="25" xfId="0" applyFont="1" applyFill="1" applyBorder="1" applyAlignment="1">
      <alignment horizontal="left" vertical="center" wrapText="1"/>
    </xf>
    <xf numFmtId="0" fontId="71" fillId="0" borderId="15" xfId="3" applyFont="1" applyBorder="1" applyAlignment="1" applyProtection="1">
      <alignment vertical="center" wrapText="1"/>
    </xf>
    <xf numFmtId="0" fontId="55" fillId="0" borderId="15" xfId="0" applyFont="1" applyBorder="1" applyAlignment="1">
      <alignment horizontal="center" vertical="center" wrapText="1"/>
    </xf>
    <xf numFmtId="0" fontId="55" fillId="0" borderId="16" xfId="0" applyFont="1" applyBorder="1" applyAlignment="1">
      <alignment horizontal="center" vertical="center" wrapText="1"/>
    </xf>
    <xf numFmtId="0" fontId="54" fillId="0" borderId="15" xfId="0" applyFont="1" applyBorder="1" applyAlignment="1">
      <alignment vertical="center"/>
    </xf>
    <xf numFmtId="0" fontId="69" fillId="0" borderId="26" xfId="0" applyFont="1" applyFill="1" applyBorder="1" applyAlignment="1">
      <alignment horizontal="left" vertical="center" wrapText="1"/>
    </xf>
    <xf numFmtId="0" fontId="55" fillId="0" borderId="19" xfId="0" applyFont="1" applyBorder="1" applyAlignment="1">
      <alignment vertical="center" wrapText="1"/>
    </xf>
    <xf numFmtId="0" fontId="54" fillId="0" borderId="19" xfId="0" applyFont="1" applyFill="1" applyBorder="1" applyAlignment="1" applyProtection="1">
      <alignment vertical="center" wrapText="1"/>
      <protection locked="0"/>
    </xf>
    <xf numFmtId="0" fontId="54" fillId="0" borderId="19" xfId="0" applyFont="1" applyBorder="1" applyAlignment="1">
      <alignment vertical="center"/>
    </xf>
    <xf numFmtId="0" fontId="71" fillId="0" borderId="19" xfId="3" applyFont="1" applyFill="1" applyBorder="1" applyAlignment="1" applyProtection="1">
      <alignment vertical="center" wrapText="1"/>
      <protection locked="0"/>
    </xf>
    <xf numFmtId="0" fontId="54" fillId="0" borderId="19" xfId="0" applyFont="1" applyFill="1" applyBorder="1" applyAlignment="1" applyProtection="1">
      <alignment horizontal="left" vertical="center" wrapText="1"/>
      <protection locked="0"/>
    </xf>
    <xf numFmtId="0" fontId="54" fillId="0" borderId="19" xfId="0" applyFont="1" applyFill="1" applyBorder="1" applyAlignment="1" applyProtection="1">
      <alignment horizontal="center" vertical="center" wrapText="1"/>
      <protection locked="0"/>
    </xf>
    <xf numFmtId="0" fontId="54" fillId="0" borderId="21" xfId="0" applyFont="1" applyFill="1" applyBorder="1" applyAlignment="1" applyProtection="1">
      <alignment horizontal="center" vertical="center" wrapText="1"/>
      <protection locked="0"/>
    </xf>
    <xf numFmtId="0" fontId="49" fillId="14" borderId="51" xfId="0" applyFont="1" applyFill="1" applyBorder="1" applyAlignment="1" applyProtection="1">
      <alignment horizontal="center" vertical="center" wrapText="1"/>
      <protection locked="0"/>
    </xf>
    <xf numFmtId="0" fontId="49" fillId="14" borderId="51" xfId="0" applyFont="1" applyFill="1" applyBorder="1" applyAlignment="1" applyProtection="1">
      <alignment horizontal="left" vertical="center" wrapText="1"/>
      <protection locked="0"/>
    </xf>
    <xf numFmtId="0" fontId="42" fillId="14" borderId="51" xfId="0" applyFont="1" applyFill="1" applyBorder="1" applyAlignment="1">
      <alignment vertical="center" wrapText="1"/>
    </xf>
    <xf numFmtId="0" fontId="42" fillId="14" borderId="51" xfId="0" applyFont="1" applyFill="1" applyBorder="1" applyAlignment="1">
      <alignment horizontal="left" vertical="center" wrapText="1"/>
    </xf>
    <xf numFmtId="49" fontId="4" fillId="14" borderId="51" xfId="9" applyNumberFormat="1" applyFont="1" applyFill="1" applyBorder="1" applyAlignment="1">
      <alignment horizontal="center" vertical="center" wrapText="1"/>
    </xf>
    <xf numFmtId="0" fontId="49" fillId="0" borderId="0" xfId="0" applyFont="1" applyFill="1" applyBorder="1" applyAlignment="1" applyProtection="1">
      <alignment horizontal="center" vertical="center" wrapText="1"/>
      <protection locked="0"/>
    </xf>
    <xf numFmtId="0" fontId="49" fillId="0" borderId="0" xfId="0" applyFont="1" applyFill="1" applyBorder="1" applyAlignment="1" applyProtection="1">
      <alignment horizontal="left" vertical="center" wrapText="1"/>
      <protection locked="0"/>
    </xf>
    <xf numFmtId="0" fontId="42" fillId="0" borderId="0" xfId="0" applyFont="1" applyFill="1" applyBorder="1" applyAlignment="1">
      <alignment vertical="center" wrapText="1"/>
    </xf>
    <xf numFmtId="0" fontId="42" fillId="0" borderId="0" xfId="0" applyFont="1" applyFill="1" applyBorder="1" applyAlignment="1">
      <alignment horizontal="left" vertical="center" wrapText="1"/>
    </xf>
    <xf numFmtId="49" fontId="4" fillId="0" borderId="0" xfId="9" applyNumberFormat="1" applyFont="1" applyFill="1" applyBorder="1" applyAlignment="1">
      <alignment horizontal="center" vertical="center" wrapText="1"/>
    </xf>
    <xf numFmtId="0" fontId="48" fillId="0" borderId="52" xfId="0" applyFont="1" applyFill="1" applyBorder="1" applyAlignment="1">
      <alignment horizontal="center" vertical="center" wrapText="1"/>
    </xf>
    <xf numFmtId="0" fontId="49" fillId="0" borderId="52" xfId="0" applyFont="1" applyFill="1" applyBorder="1" applyAlignment="1" applyProtection="1">
      <alignment horizontal="center" vertical="center" wrapText="1"/>
      <protection locked="0"/>
    </xf>
    <xf numFmtId="0" fontId="49" fillId="0" borderId="53" xfId="0" applyFont="1" applyFill="1" applyBorder="1" applyAlignment="1" applyProtection="1">
      <alignment horizontal="center" vertical="center" wrapText="1"/>
      <protection locked="0"/>
    </xf>
    <xf numFmtId="0" fontId="49" fillId="0" borderId="52" xfId="0" applyFont="1" applyFill="1" applyBorder="1" applyAlignment="1" applyProtection="1">
      <alignment horizontal="left" vertical="center" wrapText="1"/>
      <protection locked="0"/>
    </xf>
    <xf numFmtId="0" fontId="49" fillId="0" borderId="55" xfId="0" applyFont="1" applyFill="1" applyBorder="1" applyAlignment="1" applyProtection="1">
      <alignment horizontal="center" vertical="center" wrapText="1"/>
      <protection locked="0"/>
    </xf>
    <xf numFmtId="0" fontId="48" fillId="0" borderId="53" xfId="0" applyFont="1" applyFill="1" applyBorder="1" applyAlignment="1">
      <alignment horizontal="center" vertical="center" wrapText="1"/>
    </xf>
    <xf numFmtId="0" fontId="42" fillId="0" borderId="52" xfId="0" applyFont="1" applyFill="1" applyBorder="1" applyAlignment="1">
      <alignment vertical="center" wrapText="1"/>
    </xf>
    <xf numFmtId="0" fontId="5" fillId="0" borderId="52" xfId="0" applyFont="1" applyBorder="1" applyAlignment="1">
      <alignment vertical="center"/>
    </xf>
    <xf numFmtId="0" fontId="5" fillId="0" borderId="56" xfId="0" applyFont="1" applyBorder="1" applyAlignment="1">
      <alignment vertical="center"/>
    </xf>
    <xf numFmtId="0" fontId="5" fillId="0" borderId="57" xfId="0" applyFont="1" applyBorder="1" applyAlignment="1">
      <alignment vertical="center"/>
    </xf>
    <xf numFmtId="0" fontId="42" fillId="12" borderId="52" xfId="0" applyFont="1" applyFill="1" applyBorder="1"/>
    <xf numFmtId="0" fontId="5" fillId="0" borderId="53" xfId="0" applyFont="1" applyBorder="1" applyAlignment="1">
      <alignment vertical="center"/>
    </xf>
    <xf numFmtId="0" fontId="5" fillId="0" borderId="54" xfId="0" applyFont="1" applyBorder="1" applyAlignment="1">
      <alignment vertical="center"/>
    </xf>
    <xf numFmtId="0" fontId="5" fillId="0" borderId="58" xfId="0" applyFont="1" applyBorder="1" applyAlignment="1">
      <alignment vertical="center"/>
    </xf>
    <xf numFmtId="0" fontId="5" fillId="0" borderId="59" xfId="0" applyFont="1" applyBorder="1" applyAlignment="1">
      <alignment vertical="center"/>
    </xf>
    <xf numFmtId="0" fontId="5" fillId="0" borderId="60" xfId="0" applyFont="1" applyBorder="1" applyAlignment="1">
      <alignment vertical="center"/>
    </xf>
    <xf numFmtId="0" fontId="5" fillId="0" borderId="55" xfId="0" applyFont="1" applyBorder="1" applyAlignment="1">
      <alignment vertical="center"/>
    </xf>
    <xf numFmtId="0" fontId="5" fillId="0" borderId="61" xfId="0" applyFont="1" applyBorder="1" applyAlignment="1">
      <alignment vertical="center"/>
    </xf>
    <xf numFmtId="0" fontId="5" fillId="0" borderId="62" xfId="0" applyFont="1" applyBorder="1" applyAlignment="1">
      <alignment vertical="center"/>
    </xf>
    <xf numFmtId="0" fontId="38" fillId="0" borderId="63" xfId="0" applyFont="1" applyBorder="1" applyAlignment="1">
      <alignment vertical="center"/>
    </xf>
    <xf numFmtId="0" fontId="38" fillId="0" borderId="63" xfId="0" applyFont="1" applyBorder="1" applyAlignment="1">
      <alignment horizontal="center" vertical="center"/>
    </xf>
    <xf numFmtId="0" fontId="38" fillId="0" borderId="51" xfId="0" applyFont="1" applyBorder="1" applyAlignment="1">
      <alignment vertical="center"/>
    </xf>
    <xf numFmtId="0" fontId="38" fillId="0" borderId="51" xfId="0" applyFont="1" applyBorder="1" applyAlignment="1">
      <alignment horizontal="center" vertical="center"/>
    </xf>
    <xf numFmtId="6" fontId="38" fillId="0" borderId="51" xfId="0" applyNumberFormat="1" applyFont="1" applyBorder="1" applyAlignment="1">
      <alignment horizontal="center" vertical="center"/>
    </xf>
    <xf numFmtId="9" fontId="38" fillId="0" borderId="51" xfId="0" applyNumberFormat="1" applyFont="1" applyBorder="1" applyAlignment="1">
      <alignment horizontal="center" vertical="center"/>
    </xf>
    <xf numFmtId="165" fontId="35" fillId="0" borderId="51" xfId="0" applyNumberFormat="1" applyFont="1" applyFill="1" applyBorder="1" applyAlignment="1">
      <alignment horizontal="center" vertical="center" wrapText="1"/>
    </xf>
    <xf numFmtId="0" fontId="35" fillId="0" borderId="51" xfId="0" applyFont="1" applyFill="1" applyBorder="1" applyAlignment="1">
      <alignment horizontal="center" vertical="center" wrapText="1"/>
    </xf>
    <xf numFmtId="167" fontId="35" fillId="0" borderId="51" xfId="0" applyNumberFormat="1" applyFont="1" applyFill="1" applyBorder="1" applyAlignment="1">
      <alignment horizontal="center" vertical="center" wrapText="1"/>
    </xf>
    <xf numFmtId="0" fontId="35" fillId="0" borderId="51" xfId="0" applyFont="1" applyFill="1" applyBorder="1" applyAlignment="1">
      <alignment vertical="center" wrapText="1"/>
    </xf>
    <xf numFmtId="1" fontId="35" fillId="0" borderId="51" xfId="0" applyNumberFormat="1" applyFont="1" applyFill="1" applyBorder="1" applyAlignment="1">
      <alignment vertical="center" wrapText="1"/>
    </xf>
    <xf numFmtId="167" fontId="35" fillId="0" borderId="51" xfId="0" applyNumberFormat="1" applyFont="1" applyFill="1" applyBorder="1" applyAlignment="1">
      <alignment vertical="center" wrapText="1"/>
    </xf>
    <xf numFmtId="0" fontId="35" fillId="0" borderId="51" xfId="0" applyFont="1" applyFill="1" applyBorder="1" applyAlignment="1">
      <alignment horizontal="left" vertical="center" wrapText="1"/>
    </xf>
    <xf numFmtId="0" fontId="29" fillId="14" borderId="51" xfId="0" applyFont="1" applyFill="1" applyBorder="1" applyAlignment="1">
      <alignment horizontal="center" vertical="center" wrapText="1"/>
    </xf>
    <xf numFmtId="1" fontId="29" fillId="14" borderId="51" xfId="0" applyNumberFormat="1" applyFont="1" applyFill="1" applyBorder="1" applyAlignment="1">
      <alignment horizontal="center" vertical="center" wrapText="1"/>
    </xf>
    <xf numFmtId="164" fontId="29" fillId="14" borderId="51" xfId="0" applyNumberFormat="1" applyFont="1" applyFill="1" applyBorder="1" applyAlignment="1">
      <alignment horizontal="center" vertical="center" wrapText="1"/>
    </xf>
    <xf numFmtId="9" fontId="29" fillId="14" borderId="51" xfId="0" applyNumberFormat="1" applyFont="1" applyFill="1" applyBorder="1" applyAlignment="1">
      <alignment horizontal="center" vertical="center" wrapText="1"/>
    </xf>
    <xf numFmtId="3" fontId="29" fillId="14" borderId="51" xfId="0" applyNumberFormat="1" applyFont="1" applyFill="1" applyBorder="1" applyAlignment="1">
      <alignment horizontal="center" vertical="center" wrapText="1"/>
    </xf>
    <xf numFmtId="167" fontId="29" fillId="14" borderId="51" xfId="0" applyNumberFormat="1" applyFont="1" applyFill="1" applyBorder="1" applyAlignment="1">
      <alignment horizontal="center" vertical="center" wrapText="1"/>
    </xf>
    <xf numFmtId="165" fontId="37" fillId="14" borderId="51" xfId="0" applyNumberFormat="1" applyFont="1" applyFill="1" applyBorder="1" applyAlignment="1">
      <alignment horizontal="center" vertical="center" wrapText="1"/>
    </xf>
    <xf numFmtId="0" fontId="29" fillId="14" borderId="51" xfId="0" applyNumberFormat="1" applyFont="1" applyFill="1" applyBorder="1" applyAlignment="1">
      <alignment horizontal="left" vertical="center" wrapText="1"/>
    </xf>
    <xf numFmtId="49" fontId="42" fillId="14" borderId="51" xfId="0" applyNumberFormat="1" applyFont="1" applyFill="1" applyBorder="1" applyAlignment="1">
      <alignment vertical="center"/>
    </xf>
    <xf numFmtId="0" fontId="42" fillId="14" borderId="51" xfId="0" applyFont="1" applyFill="1" applyBorder="1" applyAlignment="1">
      <alignment vertical="center"/>
    </xf>
    <xf numFmtId="0" fontId="42" fillId="14" borderId="51" xfId="0" applyFont="1" applyFill="1" applyBorder="1" applyAlignment="1">
      <alignment horizontal="center" vertical="center" wrapText="1"/>
    </xf>
    <xf numFmtId="0" fontId="55" fillId="0" borderId="51" xfId="0" applyFont="1" applyFill="1" applyBorder="1"/>
    <xf numFmtId="0" fontId="55" fillId="0" borderId="51" xfId="0" applyFont="1" applyBorder="1"/>
    <xf numFmtId="0" fontId="0" fillId="0" borderId="51" xfId="0" applyFill="1" applyBorder="1"/>
    <xf numFmtId="0" fontId="55" fillId="0" borderId="63" xfId="0" applyFont="1" applyBorder="1"/>
    <xf numFmtId="0" fontId="0" fillId="0" borderId="63" xfId="0" applyFill="1" applyBorder="1"/>
    <xf numFmtId="0" fontId="0" fillId="0" borderId="0" xfId="0" applyFill="1" applyBorder="1" applyAlignment="1">
      <alignment wrapText="1"/>
    </xf>
    <xf numFmtId="0" fontId="0" fillId="0" borderId="0" xfId="0" applyFill="1" applyAlignment="1">
      <alignment wrapText="1"/>
    </xf>
    <xf numFmtId="0" fontId="47" fillId="0" borderId="0" xfId="0" applyFont="1" applyFill="1" applyAlignment="1">
      <alignment wrapText="1"/>
    </xf>
    <xf numFmtId="0" fontId="0" fillId="0" borderId="0" xfId="0" applyFont="1" applyFill="1" applyAlignment="1">
      <alignment wrapText="1"/>
    </xf>
    <xf numFmtId="0" fontId="0" fillId="0" borderId="0" xfId="0" applyFont="1" applyFill="1"/>
    <xf numFmtId="0" fontId="43" fillId="9" borderId="64" xfId="0" applyFont="1" applyFill="1" applyBorder="1" applyAlignment="1">
      <alignment wrapText="1"/>
    </xf>
    <xf numFmtId="0" fontId="43" fillId="9" borderId="65" xfId="0" applyFont="1" applyFill="1" applyBorder="1" applyAlignment="1">
      <alignment wrapText="1"/>
    </xf>
    <xf numFmtId="0" fontId="43" fillId="13" borderId="66" xfId="0" applyFont="1" applyFill="1" applyBorder="1" applyAlignment="1">
      <alignment wrapText="1"/>
    </xf>
    <xf numFmtId="0" fontId="0" fillId="0" borderId="44" xfId="0" applyFill="1" applyBorder="1" applyAlignment="1">
      <alignment wrapText="1"/>
    </xf>
    <xf numFmtId="0" fontId="0" fillId="0" borderId="45" xfId="0" applyFill="1" applyBorder="1" applyAlignment="1">
      <alignment wrapText="1"/>
    </xf>
    <xf numFmtId="0" fontId="0" fillId="0" borderId="46" xfId="0" applyFill="1" applyBorder="1" applyAlignment="1">
      <alignment wrapText="1"/>
    </xf>
    <xf numFmtId="0" fontId="0" fillId="0" borderId="25" xfId="0" applyFill="1" applyBorder="1" applyAlignment="1">
      <alignment wrapText="1"/>
    </xf>
    <xf numFmtId="0" fontId="0" fillId="0" borderId="51" xfId="0" applyFill="1" applyBorder="1" applyAlignment="1">
      <alignment wrapText="1"/>
    </xf>
    <xf numFmtId="0" fontId="0" fillId="0" borderId="16" xfId="0" applyFill="1" applyBorder="1" applyAlignment="1">
      <alignment wrapText="1"/>
    </xf>
    <xf numFmtId="0" fontId="46" fillId="0" borderId="51" xfId="0" applyFont="1" applyFill="1" applyBorder="1" applyAlignment="1">
      <alignment horizontal="left" vertical="center" wrapText="1"/>
    </xf>
    <xf numFmtId="0" fontId="3" fillId="0" borderId="25" xfId="0" applyFont="1" applyFill="1" applyBorder="1" applyAlignment="1">
      <alignment vertical="center"/>
    </xf>
    <xf numFmtId="0" fontId="3" fillId="0" borderId="25" xfId="0" applyFont="1" applyFill="1" applyBorder="1" applyAlignment="1">
      <alignment vertical="center" wrapText="1"/>
    </xf>
    <xf numFmtId="0" fontId="3" fillId="0" borderId="51" xfId="0" applyFont="1" applyFill="1" applyBorder="1" applyAlignment="1">
      <alignment vertical="center" wrapText="1"/>
    </xf>
    <xf numFmtId="0" fontId="3" fillId="0" borderId="25" xfId="0" applyFont="1" applyFill="1" applyBorder="1" applyAlignment="1">
      <alignment horizontal="left" vertical="center" wrapText="1"/>
    </xf>
    <xf numFmtId="0" fontId="0" fillId="0" borderId="26" xfId="0" applyFill="1" applyBorder="1" applyAlignment="1">
      <alignment wrapText="1"/>
    </xf>
    <xf numFmtId="0" fontId="0" fillId="0" borderId="19" xfId="0" applyFill="1" applyBorder="1" applyAlignment="1">
      <alignment wrapText="1"/>
    </xf>
    <xf numFmtId="0" fontId="0" fillId="0" borderId="21" xfId="0" applyFill="1" applyBorder="1" applyAlignment="1">
      <alignment wrapText="1"/>
    </xf>
    <xf numFmtId="0" fontId="0" fillId="0" borderId="51" xfId="0" applyBorder="1" applyAlignment="1">
      <alignment horizontal="center"/>
    </xf>
    <xf numFmtId="49" fontId="0" fillId="0" borderId="0" xfId="0" applyNumberFormat="1"/>
    <xf numFmtId="49" fontId="0" fillId="0" borderId="0" xfId="0" applyNumberFormat="1" applyAlignment="1">
      <alignment horizontal="center"/>
    </xf>
    <xf numFmtId="0" fontId="42" fillId="0" borderId="0" xfId="0" applyFont="1" applyFill="1" applyBorder="1" applyAlignment="1">
      <alignment horizontal="center" vertical="center" wrapText="1"/>
    </xf>
    <xf numFmtId="0" fontId="5" fillId="0" borderId="52" xfId="0" applyFont="1" applyBorder="1" applyAlignment="1">
      <alignment horizontal="center" vertical="center"/>
    </xf>
    <xf numFmtId="0" fontId="5" fillId="0" borderId="0" xfId="0" applyFont="1" applyAlignment="1">
      <alignment horizontal="center" vertical="center"/>
    </xf>
    <xf numFmtId="166" fontId="3" fillId="0" borderId="45" xfId="9" applyNumberFormat="1" applyFont="1" applyFill="1" applyBorder="1" applyAlignment="1">
      <alignment horizontal="center" vertical="center"/>
    </xf>
    <xf numFmtId="49" fontId="42" fillId="11" borderId="67" xfId="0" applyNumberFormat="1" applyFont="1" applyFill="1" applyBorder="1"/>
    <xf numFmtId="49" fontId="42" fillId="11" borderId="67" xfId="0" applyNumberFormat="1" applyFont="1" applyFill="1" applyBorder="1" applyAlignment="1">
      <alignment horizontal="center"/>
    </xf>
    <xf numFmtId="49" fontId="42" fillId="11" borderId="67" xfId="0" applyNumberFormat="1" applyFont="1" applyFill="1" applyBorder="1" applyAlignment="1">
      <alignment horizontal="left"/>
    </xf>
    <xf numFmtId="0" fontId="48" fillId="14" borderId="51" xfId="0" applyFont="1" applyFill="1" applyBorder="1" applyAlignment="1">
      <alignment horizontal="center" vertical="center" wrapText="1"/>
    </xf>
    <xf numFmtId="0" fontId="49" fillId="0" borderId="51" xfId="0" applyFont="1" applyFill="1" applyBorder="1" applyAlignment="1" applyProtection="1">
      <alignment horizontal="center" vertical="center" wrapText="1"/>
      <protection locked="0"/>
    </xf>
    <xf numFmtId="0" fontId="42" fillId="0" borderId="51" xfId="0" applyFont="1" applyFill="1" applyBorder="1" applyAlignment="1">
      <alignment vertical="center" wrapText="1"/>
    </xf>
    <xf numFmtId="0" fontId="20" fillId="0" borderId="51" xfId="3" applyFill="1" applyBorder="1" applyAlignment="1" applyProtection="1">
      <alignment vertical="center" wrapText="1"/>
    </xf>
    <xf numFmtId="0" fontId="42" fillId="0" borderId="51" xfId="0" applyFont="1" applyFill="1" applyBorder="1" applyAlignment="1">
      <alignment horizontal="left" vertical="center" wrapText="1"/>
    </xf>
    <xf numFmtId="49" fontId="4" fillId="0" borderId="51" xfId="9" applyNumberFormat="1" applyFont="1" applyFill="1" applyBorder="1" applyAlignment="1">
      <alignment horizontal="center" vertical="center" wrapText="1"/>
    </xf>
    <xf numFmtId="0" fontId="0" fillId="0" borderId="51" xfId="0" applyFill="1" applyBorder="1" applyAlignment="1">
      <alignment horizontal="left"/>
    </xf>
    <xf numFmtId="0" fontId="0" fillId="0" borderId="51" xfId="0" applyFill="1" applyBorder="1" applyAlignment="1">
      <alignment horizontal="center"/>
    </xf>
    <xf numFmtId="0" fontId="74" fillId="0" borderId="51" xfId="0" applyFont="1" applyFill="1" applyBorder="1" applyAlignment="1">
      <alignment horizontal="left"/>
    </xf>
    <xf numFmtId="0" fontId="0" fillId="0" borderId="51" xfId="0" applyFill="1" applyBorder="1" applyAlignment="1">
      <alignment horizontal="right"/>
    </xf>
    <xf numFmtId="0" fontId="75" fillId="0" borderId="51" xfId="0" applyFont="1" applyFill="1" applyBorder="1" applyAlignment="1" applyProtection="1">
      <alignment horizontal="center" vertical="center" wrapText="1"/>
      <protection locked="0"/>
    </xf>
    <xf numFmtId="0" fontId="76" fillId="0" borderId="51" xfId="0" applyFont="1" applyFill="1" applyBorder="1" applyAlignment="1">
      <alignment horizontal="center" vertical="center" wrapText="1"/>
    </xf>
    <xf numFmtId="0" fontId="20" fillId="0" borderId="15" xfId="3" applyFill="1" applyBorder="1" applyAlignment="1" applyProtection="1">
      <alignment vertical="center" wrapText="1"/>
      <protection locked="0"/>
    </xf>
    <xf numFmtId="0" fontId="78" fillId="5" borderId="51" xfId="0" applyFont="1" applyFill="1" applyBorder="1" applyAlignment="1">
      <alignment horizontal="left" vertical="center" wrapText="1"/>
    </xf>
    <xf numFmtId="0" fontId="60" fillId="5" borderId="51" xfId="0" applyFont="1" applyFill="1" applyBorder="1" applyAlignment="1">
      <alignment horizontal="left" vertical="center" wrapText="1"/>
    </xf>
    <xf numFmtId="0" fontId="38" fillId="0" borderId="51" xfId="0" applyFont="1" applyBorder="1" applyAlignment="1">
      <alignment vertical="center" wrapText="1"/>
    </xf>
    <xf numFmtId="0" fontId="38" fillId="0" borderId="51" xfId="0" applyFont="1" applyBorder="1" applyAlignment="1">
      <alignment horizontal="center" vertical="center" wrapText="1"/>
    </xf>
    <xf numFmtId="49" fontId="42" fillId="11" borderId="68" xfId="0" applyNumberFormat="1" applyFont="1" applyFill="1" applyBorder="1" applyAlignment="1">
      <alignment horizontal="center"/>
    </xf>
    <xf numFmtId="0" fontId="5" fillId="0" borderId="54" xfId="0" applyFont="1" applyBorder="1" applyAlignment="1">
      <alignment horizontal="center" vertical="center"/>
    </xf>
    <xf numFmtId="0" fontId="49" fillId="0" borderId="54" xfId="0" applyFont="1" applyFill="1" applyBorder="1" applyAlignment="1" applyProtection="1">
      <alignment horizontal="center" vertical="center" wrapText="1"/>
      <protection locked="0"/>
    </xf>
    <xf numFmtId="0" fontId="49" fillId="0" borderId="69" xfId="0" applyFont="1" applyFill="1" applyBorder="1" applyAlignment="1" applyProtection="1">
      <alignment horizontal="center" vertical="center" wrapText="1"/>
      <protection locked="0"/>
    </xf>
    <xf numFmtId="0" fontId="42" fillId="0" borderId="54" xfId="0" applyFont="1" applyFill="1" applyBorder="1" applyAlignment="1">
      <alignment vertical="center" wrapText="1"/>
    </xf>
    <xf numFmtId="0" fontId="3" fillId="0" borderId="51" xfId="9" quotePrefix="1" applyFont="1" applyFill="1" applyBorder="1" applyAlignment="1">
      <alignment horizontal="center"/>
    </xf>
    <xf numFmtId="0" fontId="3" fillId="0" borderId="51" xfId="9" applyFill="1" applyBorder="1" applyAlignment="1">
      <alignment horizontal="center"/>
    </xf>
    <xf numFmtId="0" fontId="39" fillId="0" borderId="15" xfId="0" applyFont="1" applyFill="1" applyBorder="1" applyAlignment="1">
      <alignment horizontal="center" vertical="center"/>
    </xf>
    <xf numFmtId="0" fontId="81" fillId="0" borderId="51" xfId="0" applyFont="1" applyFill="1" applyBorder="1" applyAlignment="1">
      <alignment wrapText="1"/>
    </xf>
    <xf numFmtId="0" fontId="82" fillId="0" borderId="51" xfId="11" applyFont="1" applyFill="1" applyBorder="1" applyAlignment="1">
      <alignment wrapText="1"/>
    </xf>
    <xf numFmtId="0" fontId="82" fillId="0" borderId="51" xfId="11" applyFont="1" applyFill="1" applyBorder="1" applyAlignment="1">
      <alignment vertical="center"/>
    </xf>
    <xf numFmtId="0" fontId="82" fillId="0" borderId="51" xfId="11" applyFont="1" applyFill="1" applyBorder="1"/>
    <xf numFmtId="0" fontId="3" fillId="0" borderId="51" xfId="9" quotePrefix="1" applyFill="1" applyBorder="1" applyAlignment="1">
      <alignment horizontal="left"/>
    </xf>
    <xf numFmtId="0" fontId="3" fillId="0" borderId="51" xfId="9" quotePrefix="1" applyFill="1" applyBorder="1" applyAlignment="1">
      <alignment horizontal="center"/>
    </xf>
    <xf numFmtId="0" fontId="77" fillId="0" borderId="51" xfId="0" applyFont="1" applyFill="1" applyBorder="1" applyAlignment="1" applyProtection="1">
      <alignment horizontal="center" vertical="center" wrapText="1"/>
      <protection locked="0"/>
    </xf>
    <xf numFmtId="49" fontId="0" fillId="0" borderId="51" xfId="0" applyNumberFormat="1" applyFill="1" applyBorder="1" applyAlignment="1">
      <alignment horizontal="center"/>
    </xf>
    <xf numFmtId="0" fontId="80" fillId="0" borderId="51" xfId="0" applyFont="1" applyFill="1" applyBorder="1" applyAlignment="1">
      <alignment vertical="center"/>
    </xf>
    <xf numFmtId="0" fontId="80" fillId="0" borderId="51" xfId="0" applyFont="1" applyFill="1" applyBorder="1"/>
    <xf numFmtId="0" fontId="3" fillId="0" borderId="51" xfId="0" applyFont="1" applyFill="1" applyBorder="1" applyAlignment="1">
      <alignment vertical="center"/>
    </xf>
    <xf numFmtId="0" fontId="44" fillId="0" borderId="51" xfId="0" applyFont="1" applyFill="1" applyBorder="1"/>
    <xf numFmtId="0" fontId="50" fillId="0" borderId="51" xfId="0" applyFont="1" applyFill="1" applyBorder="1" applyAlignment="1">
      <alignment horizontal="center" vertical="center"/>
    </xf>
    <xf numFmtId="0" fontId="5" fillId="0" borderId="0" xfId="0" applyFont="1" applyFill="1" applyAlignment="1">
      <alignment vertical="center"/>
    </xf>
    <xf numFmtId="0" fontId="38" fillId="0" borderId="51" xfId="0" applyFont="1" applyFill="1" applyBorder="1" applyAlignment="1">
      <alignment vertical="center"/>
    </xf>
    <xf numFmtId="0" fontId="35" fillId="0" borderId="51" xfId="0" applyFont="1" applyBorder="1" applyAlignment="1">
      <alignment vertical="center"/>
    </xf>
    <xf numFmtId="0" fontId="35" fillId="0" borderId="51" xfId="0" applyFont="1" applyFill="1" applyBorder="1" applyAlignment="1">
      <alignment vertical="center"/>
    </xf>
    <xf numFmtId="0" fontId="38" fillId="0" borderId="68" xfId="0" applyFont="1" applyFill="1" applyBorder="1" applyAlignment="1">
      <alignment vertical="center"/>
    </xf>
    <xf numFmtId="0" fontId="28" fillId="0" borderId="47" xfId="9" applyFont="1" applyFill="1" applyBorder="1" applyAlignment="1">
      <alignment horizontal="center" vertical="center" wrapText="1"/>
    </xf>
    <xf numFmtId="0" fontId="3" fillId="16" borderId="51" xfId="0" applyFont="1" applyFill="1" applyBorder="1" applyAlignment="1">
      <alignment vertical="center"/>
    </xf>
    <xf numFmtId="0" fontId="28" fillId="16" borderId="51" xfId="0" applyFont="1" applyFill="1" applyBorder="1" applyAlignment="1">
      <alignment vertical="center"/>
    </xf>
    <xf numFmtId="0" fontId="46" fillId="0" borderId="0" xfId="0" applyFont="1"/>
    <xf numFmtId="0" fontId="88" fillId="5" borderId="68" xfId="0" applyFont="1" applyFill="1" applyBorder="1" applyAlignment="1">
      <alignment horizontal="center" vertical="center" wrapText="1"/>
    </xf>
    <xf numFmtId="0" fontId="88" fillId="5" borderId="51" xfId="0" applyFont="1" applyFill="1" applyBorder="1" applyAlignment="1">
      <alignment horizontal="center" vertical="center" wrapText="1"/>
    </xf>
    <xf numFmtId="0" fontId="46" fillId="0" borderId="0" xfId="0" applyFont="1" applyAlignment="1">
      <alignment vertical="center"/>
    </xf>
    <xf numFmtId="0" fontId="46" fillId="16" borderId="51" xfId="0" applyFont="1" applyFill="1" applyBorder="1"/>
    <xf numFmtId="0" fontId="35" fillId="16" borderId="51" xfId="0" applyFont="1" applyFill="1" applyBorder="1" applyAlignment="1">
      <alignment vertical="center"/>
    </xf>
    <xf numFmtId="0" fontId="46" fillId="0" borderId="51" xfId="0" applyFont="1" applyFill="1" applyBorder="1"/>
    <xf numFmtId="0" fontId="34" fillId="16" borderId="51" xfId="0" applyFont="1" applyFill="1" applyBorder="1"/>
    <xf numFmtId="0" fontId="35" fillId="16" borderId="51" xfId="0" applyFont="1" applyFill="1" applyBorder="1" applyAlignment="1">
      <alignment vertical="center" wrapText="1"/>
    </xf>
    <xf numFmtId="0" fontId="46" fillId="16" borderId="68" xfId="0" applyFont="1" applyFill="1" applyBorder="1"/>
    <xf numFmtId="0" fontId="35" fillId="16" borderId="68" xfId="0" applyFont="1" applyFill="1" applyBorder="1" applyAlignment="1">
      <alignment vertical="center"/>
    </xf>
    <xf numFmtId="0" fontId="35" fillId="16" borderId="68" xfId="0" applyFont="1" applyFill="1" applyBorder="1" applyAlignment="1">
      <alignment vertical="center" wrapText="1"/>
    </xf>
    <xf numFmtId="0" fontId="46" fillId="9" borderId="51" xfId="0" applyFont="1" applyFill="1" applyBorder="1"/>
    <xf numFmtId="0" fontId="35" fillId="9" borderId="51" xfId="0" applyFont="1" applyFill="1" applyBorder="1" applyAlignment="1">
      <alignment vertical="center"/>
    </xf>
    <xf numFmtId="0" fontId="35" fillId="9" borderId="51" xfId="0" applyFont="1" applyFill="1" applyBorder="1" applyAlignment="1">
      <alignment vertical="center" wrapText="1"/>
    </xf>
    <xf numFmtId="0" fontId="88" fillId="5" borderId="68" xfId="0" applyFont="1" applyFill="1" applyBorder="1" applyAlignment="1">
      <alignment horizontal="right" vertical="center" wrapText="1"/>
    </xf>
    <xf numFmtId="0" fontId="35" fillId="16" borderId="51" xfId="0" applyFont="1" applyFill="1" applyBorder="1" applyAlignment="1">
      <alignment horizontal="right" vertical="center"/>
    </xf>
    <xf numFmtId="0" fontId="35" fillId="16" borderId="51" xfId="0" applyFont="1" applyFill="1" applyBorder="1" applyAlignment="1">
      <alignment horizontal="right" vertical="center" wrapText="1"/>
    </xf>
    <xf numFmtId="0" fontId="35" fillId="16" borderId="68" xfId="0" applyFont="1" applyFill="1" applyBorder="1" applyAlignment="1">
      <alignment horizontal="right" vertical="center"/>
    </xf>
    <xf numFmtId="0" fontId="35" fillId="9" borderId="51" xfId="0" applyFont="1" applyFill="1" applyBorder="1" applyAlignment="1">
      <alignment horizontal="right" vertical="center"/>
    </xf>
    <xf numFmtId="0" fontId="35" fillId="9" borderId="51" xfId="0" applyFont="1" applyFill="1" applyBorder="1" applyAlignment="1">
      <alignment horizontal="right" vertical="center" wrapText="1"/>
    </xf>
    <xf numFmtId="0" fontId="46" fillId="0" borderId="0" xfId="0" applyFont="1" applyAlignment="1">
      <alignment horizontal="right"/>
    </xf>
    <xf numFmtId="0" fontId="35" fillId="16" borderId="51" xfId="0" applyFont="1" applyFill="1" applyBorder="1" applyAlignment="1">
      <alignment horizontal="center" vertical="center"/>
    </xf>
    <xf numFmtId="0" fontId="35" fillId="16" borderId="68" xfId="0" applyFont="1" applyFill="1" applyBorder="1" applyAlignment="1">
      <alignment horizontal="center" vertical="center"/>
    </xf>
    <xf numFmtId="0" fontId="35" fillId="9" borderId="51" xfId="0" applyFont="1" applyFill="1" applyBorder="1" applyAlignment="1">
      <alignment horizontal="center" vertical="center"/>
    </xf>
    <xf numFmtId="0" fontId="46" fillId="0" borderId="0" xfId="0" applyFont="1" applyAlignment="1">
      <alignment horizontal="center"/>
    </xf>
    <xf numFmtId="49" fontId="42" fillId="11" borderId="68" xfId="0" applyNumberFormat="1" applyFont="1" applyFill="1" applyBorder="1"/>
    <xf numFmtId="49" fontId="0" fillId="0" borderId="0" xfId="0" applyNumberFormat="1" applyFill="1"/>
    <xf numFmtId="49" fontId="84" fillId="10" borderId="51" xfId="0" applyNumberFormat="1" applyFont="1" applyFill="1" applyBorder="1" applyAlignment="1">
      <alignment vertical="center" wrapText="1"/>
    </xf>
    <xf numFmtId="49" fontId="0" fillId="0" borderId="51" xfId="0" applyNumberFormat="1" applyFill="1" applyBorder="1"/>
    <xf numFmtId="49" fontId="0" fillId="0" borderId="51" xfId="0" applyNumberFormat="1" applyFont="1" applyFill="1" applyBorder="1" applyAlignment="1">
      <alignment horizontal="left" vertical="center"/>
    </xf>
    <xf numFmtId="0" fontId="29" fillId="0" borderId="0" xfId="4" applyFont="1" applyAlignment="1">
      <alignment vertical="center"/>
    </xf>
    <xf numFmtId="0" fontId="83" fillId="0" borderId="0" xfId="4" applyFont="1" applyAlignment="1">
      <alignment vertical="center"/>
    </xf>
    <xf numFmtId="0" fontId="3" fillId="0" borderId="0" xfId="4" applyAlignment="1">
      <alignment vertical="center"/>
    </xf>
    <xf numFmtId="0" fontId="28" fillId="0" borderId="0" xfId="4" applyFont="1" applyAlignment="1">
      <alignment vertical="center"/>
    </xf>
    <xf numFmtId="0" fontId="0" fillId="0" borderId="0" xfId="0" applyBorder="1"/>
    <xf numFmtId="0" fontId="0" fillId="0" borderId="0" xfId="0" applyAlignment="1">
      <alignment vertical="center"/>
    </xf>
    <xf numFmtId="0" fontId="20" fillId="0" borderId="0" xfId="3" applyBorder="1" applyAlignment="1" applyProtection="1"/>
    <xf numFmtId="0" fontId="20" fillId="0" borderId="51" xfId="3" applyFill="1" applyBorder="1" applyAlignment="1" applyProtection="1">
      <alignment vertical="center" wrapText="1"/>
      <protection locked="0"/>
    </xf>
    <xf numFmtId="0" fontId="62" fillId="0" borderId="51" xfId="0" applyFont="1" applyFill="1" applyBorder="1" applyAlignment="1">
      <alignment horizontal="left" vertical="center" wrapText="1"/>
    </xf>
    <xf numFmtId="0" fontId="79" fillId="0" borderId="51" xfId="0" applyFont="1" applyFill="1" applyBorder="1" applyAlignment="1" applyProtection="1">
      <alignment vertical="center" wrapText="1"/>
      <protection locked="0"/>
    </xf>
    <xf numFmtId="0" fontId="79" fillId="0" borderId="51" xfId="0" applyFont="1" applyFill="1" applyBorder="1" applyAlignment="1" applyProtection="1">
      <alignment horizontal="left" vertical="center" wrapText="1"/>
      <protection locked="0"/>
    </xf>
    <xf numFmtId="0" fontId="79" fillId="0" borderId="51" xfId="0" applyFont="1" applyFill="1" applyBorder="1" applyAlignment="1" applyProtection="1">
      <alignment horizontal="center" vertical="center" wrapText="1"/>
      <protection locked="0"/>
    </xf>
    <xf numFmtId="0" fontId="61" fillId="0" borderId="51" xfId="0" applyFont="1" applyFill="1" applyBorder="1" applyAlignment="1" applyProtection="1">
      <alignment vertical="center" wrapText="1"/>
      <protection locked="0"/>
    </xf>
    <xf numFmtId="0" fontId="61" fillId="0" borderId="51" xfId="0" applyFont="1" applyFill="1" applyBorder="1" applyAlignment="1" applyProtection="1">
      <alignment horizontal="left" vertical="center" wrapText="1"/>
      <protection locked="0"/>
    </xf>
    <xf numFmtId="0" fontId="61" fillId="0" borderId="51" xfId="0" applyFont="1" applyFill="1" applyBorder="1" applyAlignment="1" applyProtection="1">
      <alignment horizontal="center" vertical="center" wrapText="1"/>
      <protection locked="0"/>
    </xf>
    <xf numFmtId="49" fontId="61" fillId="0" borderId="51" xfId="0" applyNumberFormat="1" applyFont="1" applyFill="1" applyBorder="1" applyAlignment="1" applyProtection="1">
      <alignment horizontal="center" vertical="center" wrapText="1"/>
      <protection locked="0"/>
    </xf>
    <xf numFmtId="0" fontId="63" fillId="0" borderId="51" xfId="3" applyFont="1" applyFill="1" applyBorder="1" applyAlignment="1" applyProtection="1">
      <alignment vertical="center" wrapText="1"/>
      <protection locked="0"/>
    </xf>
    <xf numFmtId="0" fontId="53" fillId="0" borderId="12" xfId="0" applyFont="1" applyBorder="1" applyAlignment="1">
      <alignment vertical="center" wrapText="1"/>
    </xf>
    <xf numFmtId="0" fontId="53" fillId="0" borderId="6" xfId="0" applyFont="1" applyBorder="1" applyAlignment="1">
      <alignment vertical="center" wrapText="1"/>
    </xf>
    <xf numFmtId="0" fontId="74" fillId="0" borderId="6" xfId="0" applyFont="1" applyBorder="1" applyAlignment="1">
      <alignment vertical="center" wrapText="1"/>
    </xf>
    <xf numFmtId="0" fontId="90" fillId="10" borderId="47" xfId="0" applyFont="1" applyFill="1" applyBorder="1" applyAlignment="1">
      <alignment vertical="center"/>
    </xf>
    <xf numFmtId="0" fontId="90" fillId="10" borderId="34" xfId="0" applyFont="1" applyFill="1" applyBorder="1" applyAlignment="1">
      <alignment vertical="center"/>
    </xf>
    <xf numFmtId="0" fontId="90" fillId="10" borderId="34" xfId="0" applyFont="1" applyFill="1" applyBorder="1" applyAlignment="1">
      <alignment vertical="center" wrapText="1"/>
    </xf>
    <xf numFmtId="0" fontId="3" fillId="0" borderId="0" xfId="4" applyAlignment="1">
      <alignment horizontal="center" vertical="center"/>
    </xf>
    <xf numFmtId="0" fontId="3" fillId="0" borderId="0" xfId="4" applyFont="1" applyAlignment="1">
      <alignment vertical="center" wrapText="1"/>
    </xf>
    <xf numFmtId="0" fontId="20" fillId="0" borderId="15" xfId="3" applyBorder="1" applyAlignment="1" applyProtection="1">
      <alignment vertical="center" wrapText="1"/>
    </xf>
    <xf numFmtId="0" fontId="93" fillId="0" borderId="25" xfId="0" applyFont="1" applyFill="1" applyBorder="1" applyAlignment="1">
      <alignment horizontal="left" vertical="center" wrapText="1"/>
    </xf>
    <xf numFmtId="0" fontId="59" fillId="5" borderId="51" xfId="0" applyFont="1" applyFill="1" applyBorder="1" applyAlignment="1">
      <alignment horizontal="center" vertical="center"/>
    </xf>
    <xf numFmtId="0" fontId="59" fillId="5" borderId="51" xfId="0" applyFont="1" applyFill="1" applyBorder="1" applyAlignment="1">
      <alignment horizontal="center" vertical="center" wrapText="1"/>
    </xf>
    <xf numFmtId="0" fontId="45" fillId="0" borderId="0" xfId="0" applyFont="1" applyBorder="1" applyAlignment="1">
      <alignment horizontal="center"/>
    </xf>
    <xf numFmtId="0" fontId="0" fillId="0" borderId="0" xfId="0" applyBorder="1" applyAlignment="1">
      <alignment vertical="center" wrapText="1"/>
    </xf>
    <xf numFmtId="0" fontId="7" fillId="0" borderId="51" xfId="0" applyFont="1" applyFill="1" applyBorder="1" applyAlignment="1">
      <alignment horizontal="center" vertical="center" wrapText="1"/>
    </xf>
    <xf numFmtId="0" fontId="3" fillId="0" borderId="51" xfId="0" applyFont="1" applyFill="1" applyBorder="1" applyAlignment="1" applyProtection="1">
      <alignment horizontal="center" vertical="center" wrapText="1"/>
      <protection locked="0"/>
    </xf>
    <xf numFmtId="0" fontId="28" fillId="0" borderId="51" xfId="0" applyFont="1" applyFill="1" applyBorder="1" applyAlignment="1" applyProtection="1">
      <alignment horizontal="center" vertical="center" wrapText="1"/>
      <protection locked="0"/>
    </xf>
    <xf numFmtId="0" fontId="3" fillId="0" borderId="51" xfId="9" quotePrefix="1" applyFont="1" applyFill="1" applyBorder="1" applyAlignment="1">
      <alignment horizontal="left"/>
    </xf>
    <xf numFmtId="0" fontId="94" fillId="0" borderId="51" xfId="0" applyFont="1" applyFill="1" applyBorder="1" applyAlignment="1">
      <alignment vertical="center" wrapText="1"/>
    </xf>
    <xf numFmtId="0" fontId="52" fillId="0" borderId="51" xfId="0" applyFont="1" applyFill="1" applyBorder="1" applyAlignment="1">
      <alignment horizontal="right"/>
    </xf>
    <xf numFmtId="0" fontId="94" fillId="0" borderId="51" xfId="0" applyFont="1" applyFill="1" applyBorder="1" applyAlignment="1">
      <alignment horizontal="left" vertical="center" wrapText="1"/>
    </xf>
    <xf numFmtId="0" fontId="1" fillId="0" borderId="52" xfId="0" applyFont="1" applyBorder="1" applyAlignment="1">
      <alignment vertical="center"/>
    </xf>
    <xf numFmtId="1" fontId="38" fillId="0" borderId="51" xfId="0" applyNumberFormat="1" applyFont="1" applyBorder="1" applyAlignment="1">
      <alignment horizontal="center" vertical="center"/>
    </xf>
    <xf numFmtId="0" fontId="40" fillId="0" borderId="15" xfId="0" applyFont="1" applyBorder="1" applyAlignment="1">
      <alignment vertical="center"/>
    </xf>
    <xf numFmtId="0" fontId="28" fillId="0" borderId="51" xfId="9" quotePrefix="1" applyFont="1" applyFill="1" applyBorder="1" applyAlignment="1">
      <alignment horizontal="left"/>
    </xf>
    <xf numFmtId="0" fontId="42" fillId="0" borderId="51" xfId="0" applyFont="1" applyFill="1" applyBorder="1" applyAlignment="1">
      <alignment horizontal="left"/>
    </xf>
    <xf numFmtId="0" fontId="90" fillId="0" borderId="0" xfId="0" applyFont="1" applyAlignment="1">
      <alignment wrapText="1"/>
    </xf>
    <xf numFmtId="0" fontId="53" fillId="0" borderId="0" xfId="0" applyFont="1" applyAlignment="1">
      <alignment wrapText="1"/>
    </xf>
    <xf numFmtId="0" fontId="95" fillId="0" borderId="0" xfId="0" applyFont="1" applyAlignment="1">
      <alignment wrapText="1"/>
    </xf>
    <xf numFmtId="49" fontId="0" fillId="0" borderId="51" xfId="0" applyNumberFormat="1" applyFill="1" applyBorder="1" applyAlignment="1">
      <alignment horizontal="left"/>
    </xf>
    <xf numFmtId="0" fontId="42" fillId="0" borderId="0" xfId="0" applyFont="1"/>
    <xf numFmtId="0" fontId="20" fillId="0" borderId="51" xfId="3" applyFill="1" applyBorder="1" applyAlignment="1" applyProtection="1"/>
    <xf numFmtId="0" fontId="96" fillId="0" borderId="0" xfId="0" applyFont="1" applyAlignment="1">
      <alignment vertical="center"/>
    </xf>
    <xf numFmtId="0" fontId="52" fillId="0" borderId="51" xfId="0" applyFont="1" applyFill="1" applyBorder="1" applyAlignment="1">
      <alignment vertical="center" wrapText="1"/>
    </xf>
    <xf numFmtId="0" fontId="0" fillId="0" borderId="51" xfId="0" applyFont="1" applyFill="1" applyBorder="1" applyAlignment="1">
      <alignment vertical="center" wrapText="1"/>
    </xf>
    <xf numFmtId="0" fontId="97" fillId="0" borderId="51" xfId="3" applyFont="1" applyFill="1" applyBorder="1" applyAlignment="1" applyProtection="1">
      <alignment vertical="center" wrapText="1"/>
    </xf>
    <xf numFmtId="49" fontId="3" fillId="0" borderId="51" xfId="9" applyNumberFormat="1" applyFont="1" applyFill="1" applyBorder="1" applyAlignment="1">
      <alignment horizontal="center" vertical="center" wrapText="1"/>
    </xf>
    <xf numFmtId="49" fontId="98" fillId="0" borderId="51" xfId="9" applyNumberFormat="1" applyFont="1" applyFill="1" applyBorder="1" applyAlignment="1">
      <alignment horizontal="center" vertical="center" wrapText="1"/>
    </xf>
    <xf numFmtId="0" fontId="85" fillId="10" borderId="51" xfId="0" applyFont="1" applyFill="1" applyBorder="1"/>
    <xf numFmtId="0" fontId="99" fillId="0" borderId="51" xfId="0" applyFont="1" applyBorder="1"/>
    <xf numFmtId="0" fontId="100" fillId="0" borderId="51" xfId="0" applyFont="1" applyFill="1" applyBorder="1" applyAlignment="1" applyProtection="1">
      <alignment horizontal="right" vertical="center" wrapText="1"/>
      <protection locked="0"/>
    </xf>
    <xf numFmtId="0" fontId="101" fillId="0" borderId="51" xfId="0" applyFont="1" applyBorder="1" applyAlignment="1">
      <alignment vertical="center" wrapText="1"/>
    </xf>
    <xf numFmtId="0" fontId="100" fillId="0" borderId="51" xfId="0" applyFont="1" applyFill="1" applyBorder="1" applyAlignment="1" applyProtection="1">
      <alignment vertical="center" wrapText="1"/>
      <protection locked="0"/>
    </xf>
    <xf numFmtId="0" fontId="100" fillId="0" borderId="51" xfId="0" applyFont="1" applyBorder="1" applyAlignment="1">
      <alignment vertical="center"/>
    </xf>
    <xf numFmtId="0" fontId="100" fillId="0" borderId="51" xfId="0" applyFont="1" applyBorder="1" applyAlignment="1">
      <alignment horizontal="right" vertical="center"/>
    </xf>
    <xf numFmtId="0" fontId="100" fillId="0" borderId="51" xfId="0" applyFont="1" applyBorder="1"/>
    <xf numFmtId="0" fontId="100" fillId="0" borderId="51" xfId="0" applyFont="1" applyBorder="1" applyAlignment="1">
      <alignment horizontal="right"/>
    </xf>
    <xf numFmtId="0" fontId="3" fillId="0" borderId="51" xfId="0" applyFont="1" applyFill="1" applyBorder="1" applyAlignment="1" applyProtection="1">
      <alignment horizontal="left" vertical="center" wrapText="1"/>
      <protection locked="0"/>
    </xf>
    <xf numFmtId="0" fontId="76" fillId="0" borderId="51" xfId="0" applyFont="1" applyFill="1" applyBorder="1" applyAlignment="1">
      <alignment horizontal="left" vertical="center" wrapText="1"/>
    </xf>
    <xf numFmtId="49" fontId="42" fillId="11" borderId="51" xfId="0" applyNumberFormat="1" applyFont="1" applyFill="1" applyBorder="1"/>
    <xf numFmtId="49" fontId="84" fillId="15" borderId="51" xfId="0" applyNumberFormat="1" applyFont="1" applyFill="1" applyBorder="1" applyAlignment="1">
      <alignment vertical="center" wrapText="1"/>
    </xf>
    <xf numFmtId="49" fontId="84" fillId="15" borderId="51" xfId="0" applyNumberFormat="1" applyFont="1" applyFill="1" applyBorder="1" applyAlignment="1">
      <alignment horizontal="center" vertical="center" wrapText="1"/>
    </xf>
    <xf numFmtId="49" fontId="84" fillId="17" borderId="51" xfId="0" applyNumberFormat="1" applyFont="1" applyFill="1" applyBorder="1" applyAlignment="1">
      <alignment vertical="center" wrapText="1"/>
    </xf>
    <xf numFmtId="49" fontId="35" fillId="0" borderId="51" xfId="0" applyNumberFormat="1" applyFont="1" applyFill="1" applyBorder="1" applyAlignment="1">
      <alignment vertical="center"/>
    </xf>
    <xf numFmtId="49" fontId="35" fillId="0" borderId="51" xfId="0" applyNumberFormat="1" applyFont="1" applyFill="1" applyBorder="1" applyAlignment="1">
      <alignment horizontal="center" vertical="center"/>
    </xf>
    <xf numFmtId="49" fontId="35" fillId="0" borderId="51" xfId="0" quotePrefix="1" applyNumberFormat="1" applyFont="1" applyFill="1" applyBorder="1" applyAlignment="1">
      <alignment vertical="center"/>
    </xf>
    <xf numFmtId="49" fontId="86" fillId="0" borderId="0" xfId="0" applyNumberFormat="1" applyFont="1"/>
    <xf numFmtId="49" fontId="35" fillId="0" borderId="51" xfId="0" applyNumberFormat="1" applyFont="1" applyFill="1" applyBorder="1" applyAlignment="1">
      <alignment vertical="center" wrapText="1"/>
    </xf>
    <xf numFmtId="0" fontId="35" fillId="0" borderId="51" xfId="9" quotePrefix="1" applyFont="1" applyFill="1" applyBorder="1" applyAlignment="1">
      <alignment horizontal="left"/>
    </xf>
    <xf numFmtId="1" fontId="0" fillId="0" borderId="51" xfId="0" applyNumberFormat="1" applyFill="1" applyBorder="1" applyAlignment="1">
      <alignment horizontal="center"/>
    </xf>
    <xf numFmtId="49" fontId="42" fillId="10" borderId="68" xfId="0" applyNumberFormat="1" applyFont="1" applyFill="1" applyBorder="1" applyAlignment="1">
      <alignment horizontal="center"/>
    </xf>
    <xf numFmtId="49" fontId="0" fillId="10" borderId="51" xfId="0" applyNumberFormat="1" applyFill="1" applyBorder="1" applyAlignment="1">
      <alignment horizontal="center"/>
    </xf>
    <xf numFmtId="0" fontId="59" fillId="10" borderId="51" xfId="0" applyFont="1" applyFill="1" applyBorder="1" applyAlignment="1">
      <alignment horizontal="center" vertical="center" wrapText="1"/>
    </xf>
    <xf numFmtId="0" fontId="0" fillId="10" borderId="51" xfId="0" applyFill="1" applyBorder="1" applyAlignment="1">
      <alignment horizontal="center"/>
    </xf>
    <xf numFmtId="14" fontId="28" fillId="10" borderId="47" xfId="9" applyNumberFormat="1" applyFont="1" applyFill="1" applyBorder="1" applyAlignment="1">
      <alignment horizontal="center" vertical="center"/>
    </xf>
    <xf numFmtId="14" fontId="28" fillId="10" borderId="47" xfId="9" applyNumberFormat="1" applyFont="1" applyFill="1" applyBorder="1" applyAlignment="1">
      <alignment horizontal="left" vertical="center" wrapText="1"/>
    </xf>
    <xf numFmtId="0" fontId="38" fillId="10" borderId="51" xfId="0" applyFont="1" applyFill="1" applyBorder="1" applyAlignment="1">
      <alignment horizontal="center" vertical="center"/>
    </xf>
    <xf numFmtId="0" fontId="28" fillId="18" borderId="0" xfId="4" applyFont="1" applyFill="1" applyAlignment="1">
      <alignment horizontal="left" vertical="center"/>
    </xf>
    <xf numFmtId="0" fontId="53" fillId="19" borderId="12" xfId="0" applyFont="1" applyFill="1" applyBorder="1" applyAlignment="1">
      <alignment vertical="center" wrapText="1"/>
    </xf>
    <xf numFmtId="0" fontId="53" fillId="19" borderId="6" xfId="0" applyFont="1" applyFill="1" applyBorder="1" applyAlignment="1">
      <alignment vertical="center" wrapText="1"/>
    </xf>
    <xf numFmtId="0" fontId="3" fillId="19" borderId="0" xfId="4" applyFill="1" applyAlignment="1">
      <alignment vertical="center"/>
    </xf>
    <xf numFmtId="0" fontId="102" fillId="0" borderId="0" xfId="4" applyFont="1" applyAlignment="1">
      <alignment vertical="center"/>
    </xf>
    <xf numFmtId="0" fontId="31" fillId="0" borderId="47" xfId="9" applyFont="1" applyFill="1" applyBorder="1" applyAlignment="1">
      <alignment horizontal="center" vertical="center" wrapText="1"/>
    </xf>
    <xf numFmtId="0" fontId="103" fillId="0" borderId="51" xfId="0" applyFont="1" applyBorder="1" applyAlignment="1">
      <alignment horizontal="center"/>
    </xf>
    <xf numFmtId="49" fontId="104" fillId="0" borderId="0" xfId="0" applyNumberFormat="1" applyFont="1"/>
    <xf numFmtId="0" fontId="55" fillId="0" borderId="24" xfId="0" applyFont="1" applyFill="1" applyBorder="1"/>
    <xf numFmtId="0" fontId="55" fillId="0" borderId="14" xfId="0" applyFont="1" applyFill="1" applyBorder="1"/>
    <xf numFmtId="0" fontId="0" fillId="19" borderId="70" xfId="0" applyFill="1" applyBorder="1" applyAlignment="1">
      <alignment vertical="center" wrapText="1"/>
    </xf>
    <xf numFmtId="0" fontId="0" fillId="19" borderId="71" xfId="0" applyFill="1" applyBorder="1" applyAlignment="1">
      <alignment vertical="center" wrapText="1"/>
    </xf>
    <xf numFmtId="49" fontId="46" fillId="0" borderId="51" xfId="0" applyNumberFormat="1" applyFont="1" applyFill="1" applyBorder="1" applyAlignment="1">
      <alignment vertical="center"/>
    </xf>
    <xf numFmtId="49" fontId="46" fillId="0" borderId="51" xfId="0" applyNumberFormat="1" applyFont="1" applyFill="1" applyBorder="1" applyAlignment="1">
      <alignment vertical="center" wrapText="1"/>
    </xf>
    <xf numFmtId="49" fontId="46" fillId="0" borderId="51" xfId="0" applyNumberFormat="1" applyFont="1" applyFill="1" applyBorder="1" applyAlignment="1">
      <alignment horizontal="center" vertical="center"/>
    </xf>
    <xf numFmtId="0" fontId="3" fillId="0" borderId="15" xfId="0" applyFont="1" applyFill="1" applyBorder="1" applyAlignment="1">
      <alignment horizontal="left" vertical="center" wrapText="1"/>
    </xf>
    <xf numFmtId="49" fontId="0" fillId="0" borderId="34" xfId="0" applyNumberFormat="1" applyBorder="1" applyAlignment="1">
      <alignment horizontal="center"/>
    </xf>
    <xf numFmtId="49" fontId="50" fillId="0" borderId="0" xfId="0" applyNumberFormat="1" applyFont="1" applyAlignment="1">
      <alignment horizontal="left"/>
    </xf>
    <xf numFmtId="49" fontId="35" fillId="0" borderId="51" xfId="0" applyNumberFormat="1" applyFont="1" applyFill="1" applyBorder="1" applyAlignment="1">
      <alignment horizontal="right" vertical="center"/>
    </xf>
    <xf numFmtId="49" fontId="35" fillId="0" borderId="51" xfId="0" applyNumberFormat="1" applyFont="1" applyFill="1" applyBorder="1" applyAlignment="1">
      <alignment horizontal="right" vertical="center" wrapText="1"/>
    </xf>
    <xf numFmtId="49" fontId="0" fillId="20" borderId="0" xfId="0" applyNumberFormat="1" applyFill="1" applyAlignment="1">
      <alignment vertical="center"/>
    </xf>
    <xf numFmtId="0" fontId="35" fillId="0" borderId="16" xfId="9" applyFont="1" applyFill="1" applyBorder="1" applyAlignment="1">
      <alignment vertical="center" wrapText="1"/>
    </xf>
    <xf numFmtId="0" fontId="38" fillId="10" borderId="51" xfId="0" applyFont="1" applyFill="1" applyBorder="1" applyAlignment="1">
      <alignment vertical="center" wrapText="1"/>
    </xf>
    <xf numFmtId="0" fontId="38" fillId="0" borderId="51" xfId="0" applyFont="1" applyFill="1" applyBorder="1" applyAlignment="1">
      <alignment horizontal="center" vertical="center"/>
    </xf>
    <xf numFmtId="0" fontId="55" fillId="0" borderId="72" xfId="0" applyFont="1" applyBorder="1"/>
    <xf numFmtId="0" fontId="0" fillId="0" borderId="0" xfId="0" applyFill="1" applyBorder="1"/>
    <xf numFmtId="0" fontId="55" fillId="0" borderId="73" xfId="0" applyFont="1" applyBorder="1"/>
    <xf numFmtId="49" fontId="35" fillId="10" borderId="51" xfId="0" applyNumberFormat="1" applyFont="1" applyFill="1" applyBorder="1" applyAlignment="1">
      <alignment vertical="center" wrapText="1"/>
    </xf>
    <xf numFmtId="1" fontId="0" fillId="0" borderId="51" xfId="0" applyNumberFormat="1" applyFill="1" applyBorder="1" applyAlignment="1">
      <alignment horizontal="left"/>
    </xf>
    <xf numFmtId="49" fontId="35" fillId="0" borderId="51" xfId="0" applyNumberFormat="1" applyFont="1" applyFill="1" applyBorder="1" applyAlignment="1">
      <alignment horizontal="center" vertical="center" wrapText="1"/>
    </xf>
    <xf numFmtId="49" fontId="0" fillId="0" borderId="0" xfId="0" applyNumberFormat="1" applyAlignment="1">
      <alignment wrapText="1"/>
    </xf>
    <xf numFmtId="49" fontId="0" fillId="0" borderId="0" xfId="0" applyNumberFormat="1" applyAlignment="1">
      <alignment horizontal="center" wrapText="1"/>
    </xf>
    <xf numFmtId="49" fontId="0" fillId="0" borderId="0" xfId="0" applyNumberFormat="1" applyAlignment="1">
      <alignment horizontal="right" wrapText="1"/>
    </xf>
    <xf numFmtId="0" fontId="0" fillId="16" borderId="51" xfId="0" applyFill="1" applyBorder="1" applyAlignment="1">
      <alignment wrapText="1"/>
    </xf>
    <xf numFmtId="0" fontId="0" fillId="0" borderId="51" xfId="0" applyBorder="1"/>
    <xf numFmtId="0" fontId="0" fillId="5" borderId="51" xfId="0" applyFill="1" applyBorder="1" applyAlignment="1">
      <alignment vertical="top"/>
    </xf>
    <xf numFmtId="0" fontId="0" fillId="5" borderId="51" xfId="0" applyFill="1" applyBorder="1" applyAlignment="1">
      <alignment vertical="top" wrapText="1"/>
    </xf>
    <xf numFmtId="0" fontId="0" fillId="0" borderId="0" xfId="0" applyAlignment="1">
      <alignment vertical="top"/>
    </xf>
    <xf numFmtId="14" fontId="0" fillId="0" borderId="0" xfId="0" applyNumberFormat="1" applyAlignment="1">
      <alignment horizontal="right" vertical="top"/>
    </xf>
    <xf numFmtId="0" fontId="42" fillId="0" borderId="0" xfId="0" applyFont="1" applyAlignment="1">
      <alignment horizontal="left"/>
    </xf>
    <xf numFmtId="0" fontId="0" fillId="0" borderId="74" xfId="0" applyFill="1" applyBorder="1" applyAlignment="1">
      <alignment horizontal="left"/>
    </xf>
    <xf numFmtId="0" fontId="56" fillId="0" borderId="32" xfId="0" applyFont="1" applyBorder="1" applyAlignment="1">
      <alignment horizontal="center" vertical="center"/>
    </xf>
    <xf numFmtId="0" fontId="56" fillId="0" borderId="33" xfId="0" applyFont="1" applyBorder="1" applyAlignment="1">
      <alignment horizontal="center" vertical="center"/>
    </xf>
    <xf numFmtId="0" fontId="56" fillId="0" borderId="34" xfId="0" applyFont="1" applyBorder="1" applyAlignment="1">
      <alignment horizontal="center" vertical="center"/>
    </xf>
    <xf numFmtId="0" fontId="56" fillId="0" borderId="31" xfId="0" applyFont="1" applyBorder="1" applyAlignment="1">
      <alignment horizontal="center" vertical="center"/>
    </xf>
    <xf numFmtId="0" fontId="56" fillId="0" borderId="0" xfId="0" applyFont="1" applyBorder="1" applyAlignment="1">
      <alignment horizontal="center" vertical="center"/>
    </xf>
    <xf numFmtId="0" fontId="56" fillId="0" borderId="4" xfId="0" applyFont="1" applyBorder="1" applyAlignment="1">
      <alignment horizontal="center" vertical="center"/>
    </xf>
    <xf numFmtId="0" fontId="33" fillId="0" borderId="15" xfId="9" applyFont="1" applyBorder="1" applyAlignment="1">
      <alignment horizontal="center" vertical="center"/>
    </xf>
    <xf numFmtId="0" fontId="28" fillId="0" borderId="32" xfId="9" applyFont="1" applyBorder="1" applyAlignment="1">
      <alignment horizontal="center" vertical="center"/>
    </xf>
    <xf numFmtId="0" fontId="28" fillId="0" borderId="33" xfId="9" applyFont="1" applyBorder="1" applyAlignment="1">
      <alignment horizontal="center" vertical="center"/>
    </xf>
    <xf numFmtId="0" fontId="28" fillId="0" borderId="34" xfId="9" applyFont="1" applyBorder="1" applyAlignment="1">
      <alignment horizontal="center" vertical="center"/>
    </xf>
    <xf numFmtId="0" fontId="51" fillId="14" borderId="49" xfId="0" applyFont="1" applyFill="1" applyBorder="1" applyAlignment="1">
      <alignment horizontal="center" vertical="center"/>
    </xf>
    <xf numFmtId="0" fontId="51" fillId="14" borderId="50" xfId="0" applyFont="1" applyFill="1" applyBorder="1" applyAlignment="1">
      <alignment horizontal="center" vertical="center"/>
    </xf>
    <xf numFmtId="0" fontId="38" fillId="0" borderId="0" xfId="0" applyFont="1" applyAlignment="1">
      <alignment horizontal="left" vertical="center"/>
    </xf>
    <xf numFmtId="0" fontId="38" fillId="6" borderId="15" xfId="0" applyFont="1" applyFill="1" applyBorder="1" applyAlignment="1">
      <alignment horizontal="center" vertical="center"/>
    </xf>
    <xf numFmtId="0" fontId="38" fillId="6" borderId="51" xfId="0" applyFont="1" applyFill="1" applyBorder="1" applyAlignment="1">
      <alignment horizontal="center" vertical="center"/>
    </xf>
    <xf numFmtId="49" fontId="0" fillId="0" borderId="32" xfId="0" applyNumberFormat="1" applyBorder="1" applyAlignment="1">
      <alignment horizontal="right"/>
    </xf>
    <xf numFmtId="49" fontId="0" fillId="0" borderId="33" xfId="0" applyNumberFormat="1" applyBorder="1" applyAlignment="1">
      <alignment horizontal="right"/>
    </xf>
    <xf numFmtId="49" fontId="74" fillId="0" borderId="32" xfId="0" applyNumberFormat="1" applyFont="1" applyBorder="1" applyAlignment="1">
      <alignment horizontal="left"/>
    </xf>
    <xf numFmtId="49" fontId="74" fillId="0" borderId="33" xfId="0" applyNumberFormat="1" applyFont="1" applyBorder="1" applyAlignment="1">
      <alignment horizontal="left"/>
    </xf>
    <xf numFmtId="49" fontId="74" fillId="0" borderId="34" xfId="0" applyNumberFormat="1" applyFont="1" applyBorder="1" applyAlignment="1">
      <alignment horizontal="left"/>
    </xf>
    <xf numFmtId="49" fontId="0" fillId="0" borderId="32" xfId="0" applyNumberFormat="1" applyBorder="1" applyAlignment="1">
      <alignment horizontal="left"/>
    </xf>
    <xf numFmtId="49" fontId="0" fillId="0" borderId="34" xfId="0" applyNumberFormat="1" applyBorder="1" applyAlignment="1">
      <alignment horizontal="left"/>
    </xf>
    <xf numFmtId="0" fontId="56" fillId="0" borderId="32" xfId="0" applyFont="1" applyBorder="1" applyAlignment="1">
      <alignment horizontal="center"/>
    </xf>
    <xf numFmtId="0" fontId="56" fillId="0" borderId="33" xfId="0" applyFont="1" applyBorder="1" applyAlignment="1">
      <alignment horizontal="center"/>
    </xf>
    <xf numFmtId="0" fontId="56" fillId="0" borderId="34" xfId="0" applyFont="1" applyBorder="1" applyAlignment="1">
      <alignment horizontal="center"/>
    </xf>
    <xf numFmtId="0" fontId="72" fillId="5" borderId="63" xfId="0" applyFont="1" applyFill="1" applyBorder="1" applyAlignment="1">
      <alignment horizontal="center" vertical="center" wrapText="1"/>
    </xf>
    <xf numFmtId="0" fontId="72" fillId="5" borderId="51" xfId="0" applyFont="1" applyFill="1" applyBorder="1" applyAlignment="1">
      <alignment horizontal="center" vertical="center" wrapText="1"/>
    </xf>
    <xf numFmtId="0" fontId="59" fillId="5" borderId="63" xfId="0" applyFont="1" applyFill="1" applyBorder="1" applyAlignment="1">
      <alignment horizontal="center" vertical="center" wrapText="1"/>
    </xf>
    <xf numFmtId="0" fontId="59" fillId="5" borderId="51" xfId="0" applyFont="1" applyFill="1" applyBorder="1" applyAlignment="1">
      <alignment horizontal="center" vertical="center" wrapText="1"/>
    </xf>
    <xf numFmtId="0" fontId="59" fillId="5" borderId="63" xfId="0" applyFont="1" applyFill="1" applyBorder="1" applyAlignment="1">
      <alignment horizontal="center"/>
    </xf>
    <xf numFmtId="0" fontId="45" fillId="0" borderId="51" xfId="0" applyFont="1" applyBorder="1" applyAlignment="1">
      <alignment horizontal="center"/>
    </xf>
    <xf numFmtId="0" fontId="0" fillId="0" borderId="51" xfId="0" applyBorder="1" applyAlignment="1">
      <alignment horizontal="left" vertical="center" wrapText="1"/>
    </xf>
    <xf numFmtId="0" fontId="30" fillId="0" borderId="25" xfId="0" applyFont="1" applyFill="1" applyBorder="1" applyAlignment="1">
      <alignment horizontal="center" wrapText="1"/>
    </xf>
    <xf numFmtId="0" fontId="30" fillId="0" borderId="51" xfId="0" applyFont="1" applyFill="1" applyBorder="1" applyAlignment="1">
      <alignment horizontal="center" wrapText="1"/>
    </xf>
    <xf numFmtId="0" fontId="87" fillId="0" borderId="31" xfId="0" applyFont="1" applyBorder="1" applyAlignment="1">
      <alignment horizontal="center"/>
    </xf>
    <xf numFmtId="0" fontId="87" fillId="0" borderId="2" xfId="0" applyFont="1" applyBorder="1" applyAlignment="1">
      <alignment horizontal="center"/>
    </xf>
    <xf numFmtId="0" fontId="87" fillId="0" borderId="3" xfId="0" applyFont="1" applyBorder="1" applyAlignment="1">
      <alignment horizontal="center"/>
    </xf>
    <xf numFmtId="0" fontId="30" fillId="14" borderId="50" xfId="0" applyFont="1" applyFill="1" applyBorder="1" applyAlignment="1">
      <alignment horizontal="center" vertical="center"/>
    </xf>
    <xf numFmtId="0" fontId="92" fillId="0" borderId="0" xfId="4" applyFont="1" applyAlignment="1">
      <alignment horizontal="center" vertical="center"/>
    </xf>
    <xf numFmtId="0" fontId="28" fillId="0" borderId="0" xfId="4" applyFont="1" applyAlignment="1">
      <alignment horizontal="center" vertical="center"/>
    </xf>
    <xf numFmtId="0" fontId="25" fillId="0" borderId="32" xfId="0" applyFont="1" applyBorder="1" applyAlignment="1">
      <alignment horizontal="center"/>
    </xf>
    <xf numFmtId="0" fontId="25" fillId="0" borderId="34" xfId="0" applyFont="1" applyBorder="1" applyAlignment="1">
      <alignment horizontal="center"/>
    </xf>
    <xf numFmtId="0" fontId="22" fillId="0" borderId="29" xfId="0" applyFont="1" applyBorder="1" applyAlignment="1">
      <alignment horizontal="center"/>
    </xf>
    <xf numFmtId="0" fontId="22" fillId="0" borderId="38" xfId="0" applyFont="1" applyBorder="1" applyAlignment="1">
      <alignment horizontal="center"/>
    </xf>
    <xf numFmtId="0" fontId="0" fillId="0" borderId="23" xfId="0" applyBorder="1" applyAlignment="1">
      <alignment horizontal="center"/>
    </xf>
    <xf numFmtId="0" fontId="25" fillId="0" borderId="3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33" xfId="0" applyFont="1" applyBorder="1" applyAlignment="1">
      <alignment horizontal="center"/>
    </xf>
    <xf numFmtId="0" fontId="15" fillId="2" borderId="0" xfId="0" applyFont="1" applyFill="1" applyAlignment="1">
      <alignment horizontal="left"/>
    </xf>
    <xf numFmtId="0" fontId="15" fillId="2" borderId="0" xfId="0" applyFont="1" applyFill="1" applyAlignment="1">
      <alignment horizontal="left" wrapText="1"/>
    </xf>
    <xf numFmtId="0" fontId="11" fillId="0" borderId="40" xfId="0" applyFont="1" applyBorder="1"/>
    <xf numFmtId="0" fontId="11" fillId="0" borderId="9" xfId="0" applyFont="1" applyBorder="1"/>
    <xf numFmtId="0" fontId="12" fillId="0" borderId="41" xfId="0" applyFont="1" applyBorder="1" applyAlignment="1">
      <alignment horizontal="center"/>
    </xf>
    <xf numFmtId="0" fontId="12" fillId="0" borderId="42" xfId="0" applyFont="1" applyBorder="1" applyAlignment="1">
      <alignment horizontal="center"/>
    </xf>
    <xf numFmtId="0" fontId="12" fillId="0" borderId="7" xfId="0" applyFont="1" applyBorder="1" applyAlignment="1">
      <alignment horizontal="center"/>
    </xf>
    <xf numFmtId="0" fontId="6" fillId="0" borderId="41" xfId="0" applyFont="1" applyBorder="1" applyAlignment="1">
      <alignment horizontal="center"/>
    </xf>
    <xf numFmtId="0" fontId="6" fillId="0" borderId="42" xfId="0" applyFont="1" applyBorder="1" applyAlignment="1">
      <alignment horizontal="center"/>
    </xf>
    <xf numFmtId="0" fontId="6" fillId="0" borderId="7" xfId="0" applyFont="1" applyBorder="1" applyAlignment="1">
      <alignment horizontal="center"/>
    </xf>
    <xf numFmtId="0" fontId="13" fillId="2" borderId="41" xfId="0" applyFont="1" applyFill="1" applyBorder="1" applyAlignment="1">
      <alignment horizontal="center"/>
    </xf>
    <xf numFmtId="0" fontId="13" fillId="2" borderId="7" xfId="0" applyFont="1" applyFill="1" applyBorder="1" applyAlignment="1">
      <alignment horizontal="center"/>
    </xf>
    <xf numFmtId="0" fontId="14" fillId="0" borderId="41" xfId="0" applyFont="1" applyBorder="1" applyAlignment="1">
      <alignment horizontal="center"/>
    </xf>
    <xf numFmtId="0" fontId="14" fillId="0" borderId="7" xfId="0" applyFont="1" applyBorder="1" applyAlignment="1">
      <alignment horizontal="center"/>
    </xf>
    <xf numFmtId="0" fontId="21" fillId="3" borderId="31" xfId="0" applyFont="1" applyFill="1" applyBorder="1" applyAlignment="1">
      <alignment horizontal="center"/>
    </xf>
    <xf numFmtId="0" fontId="21" fillId="3" borderId="2" xfId="0" applyFont="1" applyFill="1" applyBorder="1" applyAlignment="1">
      <alignment horizontal="center"/>
    </xf>
    <xf numFmtId="0" fontId="21" fillId="3" borderId="3" xfId="0" applyFont="1" applyFill="1" applyBorder="1" applyAlignment="1">
      <alignment horizontal="center"/>
    </xf>
    <xf numFmtId="0" fontId="10" fillId="4" borderId="5" xfId="0" applyFont="1" applyFill="1" applyBorder="1" applyAlignment="1">
      <alignment horizontal="left"/>
    </xf>
    <xf numFmtId="0" fontId="10" fillId="4" borderId="6" xfId="0" applyFont="1" applyFill="1" applyBorder="1" applyAlignment="1">
      <alignment horizontal="left"/>
    </xf>
    <xf numFmtId="0" fontId="5" fillId="4" borderId="0" xfId="0" applyFont="1" applyFill="1" applyBorder="1" applyAlignment="1">
      <alignment horizontal="center"/>
    </xf>
    <xf numFmtId="0" fontId="5" fillId="4" borderId="4" xfId="0" applyFont="1" applyFill="1" applyBorder="1" applyAlignment="1">
      <alignment horizontal="center"/>
    </xf>
    <xf numFmtId="0" fontId="12" fillId="0" borderId="39" xfId="0" applyFont="1" applyBorder="1" applyAlignment="1">
      <alignment horizontal="left"/>
    </xf>
    <xf numFmtId="0" fontId="17" fillId="2" borderId="0" xfId="0" applyFont="1" applyFill="1" applyAlignment="1">
      <alignment horizontal="left"/>
    </xf>
    <xf numFmtId="0" fontId="6" fillId="0" borderId="0" xfId="0" applyFont="1" applyAlignment="1">
      <alignment horizontal="left" wrapText="1"/>
    </xf>
    <xf numFmtId="0" fontId="27" fillId="5" borderId="22" xfId="0" applyFont="1" applyFill="1" applyBorder="1" applyAlignment="1">
      <alignment horizontal="center" vertical="center" wrapText="1"/>
    </xf>
    <xf numFmtId="0" fontId="27" fillId="5" borderId="15" xfId="0" applyFont="1" applyFill="1" applyBorder="1" applyAlignment="1">
      <alignment horizontal="center" vertical="center" wrapText="1"/>
    </xf>
    <xf numFmtId="0" fontId="25" fillId="0" borderId="35" xfId="0" applyFont="1" applyBorder="1" applyAlignment="1">
      <alignment horizontal="center" vertical="center" wrapText="1"/>
    </xf>
    <xf numFmtId="0" fontId="25" fillId="0" borderId="36" xfId="0" applyFont="1" applyBorder="1" applyAlignment="1">
      <alignment horizontal="center" vertical="center" wrapText="1"/>
    </xf>
    <xf numFmtId="0" fontId="25" fillId="0" borderId="37" xfId="0" applyFont="1" applyBorder="1" applyAlignment="1">
      <alignment horizontal="center" vertical="center" wrapText="1"/>
    </xf>
    <xf numFmtId="0" fontId="42" fillId="0" borderId="72" xfId="0" applyFont="1" applyBorder="1"/>
  </cellXfs>
  <cellStyles count="28">
    <cellStyle name="_x0004_" xfId="1"/>
    <cellStyle name="_x0004_ 2" xfId="22"/>
    <cellStyle name="_x0004_ 3" xfId="17"/>
    <cellStyle name="_x0004_ 4" xfId="12"/>
    <cellStyle name="Currency 2" xfId="2"/>
    <cellStyle name="Currency 3" xfId="23"/>
    <cellStyle name="Currency 4" xfId="18"/>
    <cellStyle name="Currency 5" xfId="13"/>
    <cellStyle name="Hyperlink" xfId="3" builtinId="8"/>
    <cellStyle name="Hyperlink 2" xfId="11"/>
    <cellStyle name="Normal" xfId="0" builtinId="0"/>
    <cellStyle name="Normal 2" xfId="4"/>
    <cellStyle name="Normal 2 3" xfId="27"/>
    <cellStyle name="Normal 2_LTL DISCOUNT" xfId="5"/>
    <cellStyle name="Normal 3" xfId="6"/>
    <cellStyle name="Normal 3 2" xfId="24"/>
    <cellStyle name="Normal 3 3" xfId="19"/>
    <cellStyle name="Normal 3 4" xfId="14"/>
    <cellStyle name="Normal 6" xfId="7"/>
    <cellStyle name="Normal 6 2" xfId="25"/>
    <cellStyle name="Normal 6 3" xfId="20"/>
    <cellStyle name="Normal 6 4" xfId="15"/>
    <cellStyle name="Normal 7" xfId="10"/>
    <cellStyle name="Normal_Sheet1" xfId="9"/>
    <cellStyle name="Style 1" xfId="8"/>
    <cellStyle name="Style 1 2" xfId="26"/>
    <cellStyle name="Style 1 3" xfId="21"/>
    <cellStyle name="Style 1 4" xfId="1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onnections" Target="connection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2</xdr:col>
      <xdr:colOff>3454739</xdr:colOff>
      <xdr:row>40</xdr:row>
      <xdr:rowOff>77823</xdr:rowOff>
    </xdr:to>
    <xdr:pic>
      <xdr:nvPicPr>
        <xdr:cNvPr id="3" name="Picture 2">
          <a:extLst>
            <a:ext uri="{FF2B5EF4-FFF2-40B4-BE49-F238E27FC236}">
              <a16:creationId xmlns="" xmlns:a16="http://schemas.microsoft.com/office/drawing/2014/main" id="{DE6CFC79-550C-458C-890B-57EA21BF0A99}"/>
            </a:ext>
          </a:extLst>
        </xdr:cNvPr>
        <xdr:cNvPicPr>
          <a:picLocks noChangeAspect="1"/>
        </xdr:cNvPicPr>
      </xdr:nvPicPr>
      <xdr:blipFill>
        <a:blip xmlns:r="http://schemas.openxmlformats.org/officeDocument/2006/relationships" r:embed="rId1"/>
        <a:stretch>
          <a:fillRect/>
        </a:stretch>
      </xdr:blipFill>
      <xdr:spPr>
        <a:xfrm>
          <a:off x="0" y="5745480"/>
          <a:ext cx="7447619" cy="2257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304800</xdr:colOff>
      <xdr:row>6</xdr:row>
      <xdr:rowOff>47625</xdr:rowOff>
    </xdr:from>
    <xdr:to>
      <xdr:col>0</xdr:col>
      <xdr:colOff>1343025</xdr:colOff>
      <xdr:row>7</xdr:row>
      <xdr:rowOff>161925</xdr:rowOff>
    </xdr:to>
    <xdr:pic>
      <xdr:nvPicPr>
        <xdr:cNvPr id="11265" name="Picture 10" descr="Logo">
          <a:extLst>
            <a:ext uri="{FF2B5EF4-FFF2-40B4-BE49-F238E27FC236}">
              <a16:creationId xmlns="" xmlns:a16="http://schemas.microsoft.com/office/drawing/2014/main" id="{00000000-0008-0000-1500-0000012C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4800" y="1333500"/>
          <a:ext cx="1038225" cy="323850"/>
        </a:xfrm>
        <a:prstGeom prst="rect">
          <a:avLst/>
        </a:prstGeom>
        <a:noFill/>
        <a:ln w="9525">
          <a:noFill/>
          <a:miter lim="800000"/>
          <a:headEnd/>
          <a:tailEnd/>
        </a:ln>
      </xdr:spPr>
    </xdr:pic>
    <xdr:clientData/>
  </xdr:twoCellAnchor>
  <xdr:twoCellAnchor>
    <xdr:from>
      <xdr:col>0</xdr:col>
      <xdr:colOff>0</xdr:colOff>
      <xdr:row>49</xdr:row>
      <xdr:rowOff>0</xdr:rowOff>
    </xdr:from>
    <xdr:to>
      <xdr:col>6</xdr:col>
      <xdr:colOff>0</xdr:colOff>
      <xdr:row>49</xdr:row>
      <xdr:rowOff>0</xdr:rowOff>
    </xdr:to>
    <xdr:sp macro="" textlink="">
      <xdr:nvSpPr>
        <xdr:cNvPr id="11266" name="Line 11">
          <a:extLst>
            <a:ext uri="{FF2B5EF4-FFF2-40B4-BE49-F238E27FC236}">
              <a16:creationId xmlns="" xmlns:a16="http://schemas.microsoft.com/office/drawing/2014/main" id="{00000000-0008-0000-1500-0000022C0000}"/>
            </a:ext>
          </a:extLst>
        </xdr:cNvPr>
        <xdr:cNvSpPr>
          <a:spLocks noChangeShapeType="1"/>
        </xdr:cNvSpPr>
      </xdr:nvSpPr>
      <xdr:spPr bwMode="auto">
        <a:xfrm>
          <a:off x="0" y="10144125"/>
          <a:ext cx="8134350" cy="0"/>
        </a:xfrm>
        <a:prstGeom prst="line">
          <a:avLst/>
        </a:prstGeom>
        <a:noFill/>
        <a:ln w="9525">
          <a:solidFill>
            <a:srgbClr val="C0C0C0"/>
          </a:solidFill>
          <a:round/>
          <a:headEnd/>
          <a:tailEnd/>
        </a:ln>
      </xdr:spPr>
    </xdr:sp>
    <xdr:clientData/>
  </xdr:twoCellAnchor>
</xdr:wsDr>
</file>

<file path=xl/queryTables/queryTable1.xml><?xml version="1.0" encoding="utf-8"?>
<queryTable xmlns="http://schemas.openxmlformats.org/spreadsheetml/2006/main" name="ParcelAccount"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ParcelAccount_8" connectionId="16"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ParcelAccount_15" connectionId="1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ParcelAccount_11" connectionId="15" autoFormatId="16" applyNumberFormats="0" applyBorderFormats="0" applyFontFormats="1" applyPatternFormats="1" applyAlignmentFormats="0" applyWidthHeightFormats="0"/>
</file>

<file path=xl/queryTables/queryTable5.xml><?xml version="1.0" encoding="utf-8"?>
<queryTable xmlns="http://schemas.openxmlformats.org/spreadsheetml/2006/main" name="ParcelAccount_6" connectionId="7" autoFormatId="16" applyNumberFormats="0" applyBorderFormats="0" applyFontFormats="1" applyPatternFormats="1" applyAlignmentFormats="0" applyWidthHeightFormats="0"/>
</file>

<file path=xl/queryTables/queryTable6.xml><?xml version="1.0" encoding="utf-8"?>
<queryTable xmlns="http://schemas.openxmlformats.org/spreadsheetml/2006/main" name="ParcelAccount_9" connectionId="8" autoFormatId="16" applyNumberFormats="0" applyBorderFormats="0" applyFontFormats="1" applyPatternFormats="1" applyAlignmentFormats="0" applyWidthHeightFormats="0"/>
</file>

<file path=xl/queryTables/queryTable7.xml><?xml version="1.0" encoding="utf-8"?>
<queryTable xmlns="http://schemas.openxmlformats.org/spreadsheetml/2006/main" name="ParcelAccount_4" connectionId="4" autoFormatId="16" applyNumberFormats="0" applyBorderFormats="0" applyFontFormats="1" applyPatternFormats="1" applyAlignmentFormats="0" applyWidthHeightFormats="0"/>
</file>

<file path=xl/queryTables/queryTable8.xml><?xml version="1.0" encoding="utf-8"?>
<queryTable xmlns="http://schemas.openxmlformats.org/spreadsheetml/2006/main" name="ParcelAccount_10" connectionId="13" autoFormatId="16" applyNumberFormats="0" applyBorderFormats="0" applyFontFormats="1" applyPatternFormats="1" applyAlignmentFormats="0" applyWidthHeightFormats="0"/>
</file>

<file path=xl/queryTables/queryTable9.xml><?xml version="1.0" encoding="utf-8"?>
<queryTable xmlns="http://schemas.openxmlformats.org/spreadsheetml/2006/main" name="ParcelAccount_3" connectionId="10" autoFormatId="16" applyNumberFormats="0" applyBorderFormats="0" applyFontFormats="1" applyPatternFormats="1" applyAlignmentFormats="0" applyWidthHeightFormats="0"/>
</file>

<file path=xl/queryTables/queryTable10.xml><?xml version="1.0" encoding="utf-8"?>
<queryTable xmlns="http://schemas.openxmlformats.org/spreadsheetml/2006/main" name="ParcelAccount_1" connectionId="2" autoFormatId="16" applyNumberFormats="0" applyBorderFormats="0" applyFontFormats="1" applyPatternFormats="1" applyAlignmentFormats="0" applyWidthHeightFormats="0"/>
</file>

<file path=xl/queryTables/queryTable11.xml><?xml version="1.0" encoding="utf-8"?>
<queryTable xmlns="http://schemas.openxmlformats.org/spreadsheetml/2006/main" name="ParcelAccount_7" connectionId="11" autoFormatId="16" applyNumberFormats="0" applyBorderFormats="0" applyFontFormats="1" applyPatternFormats="1" applyAlignmentFormats="0" applyWidthHeightFormats="0"/>
</file>

<file path=xl/queryTables/queryTable12.xml><?xml version="1.0" encoding="utf-8"?>
<queryTable xmlns="http://schemas.openxmlformats.org/spreadsheetml/2006/main" name="ParcelAccount_5" connectionId="14" autoFormatId="16" applyNumberFormats="0" applyBorderFormats="0" applyFontFormats="1" applyPatternFormats="1" applyAlignmentFormats="0" applyWidthHeightFormats="0"/>
</file>

<file path=xl/queryTables/queryTable13.xml><?xml version="1.0" encoding="utf-8"?>
<queryTable xmlns="http://schemas.openxmlformats.org/spreadsheetml/2006/main" name="ParcelAccount_2" connectionId="3" autoFormatId="16" applyNumberFormats="0" applyBorderFormats="0" applyFontFormats="1" applyPatternFormats="1" applyAlignmentFormats="0" applyWidthHeightFormats="0"/>
</file>

<file path=xl/queryTables/queryTable14.xml><?xml version="1.0" encoding="utf-8"?>
<queryTable xmlns="http://schemas.openxmlformats.org/spreadsheetml/2006/main" name="ParcelAccount_14" connectionId="9" autoFormatId="16" applyNumberFormats="0" applyBorderFormats="0" applyFontFormats="1" applyPatternFormats="1" applyAlignmentFormats="0" applyWidthHeightFormats="0"/>
</file>

<file path=xl/queryTables/queryTable15.xml><?xml version="1.0" encoding="utf-8"?>
<queryTable xmlns="http://schemas.openxmlformats.org/spreadsheetml/2006/main" name="ParcelAccount_12" connectionId="6" autoFormatId="16" applyNumberFormats="0" applyBorderFormats="0" applyFontFormats="1" applyPatternFormats="1" applyAlignmentFormats="0" applyWidthHeightFormats="0"/>
</file>

<file path=xl/queryTables/queryTable16.xml><?xml version="1.0" encoding="utf-8"?>
<queryTable xmlns="http://schemas.openxmlformats.org/spreadsheetml/2006/main" name="ParcelAccount_13" connectionId="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louiseken@tranzact.com" TargetMode="External"/><Relationship Id="rId13" Type="http://schemas.openxmlformats.org/officeDocument/2006/relationships/hyperlink" Target="mailto:Aoife.shelley@mallinckrodt.com" TargetMode="External"/><Relationship Id="rId18" Type="http://schemas.openxmlformats.org/officeDocument/2006/relationships/hyperlink" Target="mailto:louise.gilhooley@mallinckrodt.com" TargetMode="External"/><Relationship Id="rId3" Type="http://schemas.openxmlformats.org/officeDocument/2006/relationships/hyperlink" Target="mailto:McCulloughken@tranzact.com" TargetMode="External"/><Relationship Id="rId7" Type="http://schemas.openxmlformats.org/officeDocument/2006/relationships/hyperlink" Target="mailto:hammertonbrian@tranzact.com" TargetMode="External"/><Relationship Id="rId12" Type="http://schemas.openxmlformats.org/officeDocument/2006/relationships/hyperlink" Target="mailto:Antoinette.odea@mallinckrodt.com" TargetMode="External"/><Relationship Id="rId17" Type="http://schemas.openxmlformats.org/officeDocument/2006/relationships/hyperlink" Target="mailto:regandana@tranzact.com" TargetMode="External"/><Relationship Id="rId2" Type="http://schemas.openxmlformats.org/officeDocument/2006/relationships/hyperlink" Target="mailto:erzigpamela@tranzact.com" TargetMode="External"/><Relationship Id="rId16" Type="http://schemas.openxmlformats.org/officeDocument/2006/relationships/hyperlink" Target="mailto:kramerpatricia@tranzact.com" TargetMode="External"/><Relationship Id="rId20" Type="http://schemas.openxmlformats.org/officeDocument/2006/relationships/printerSettings" Target="../printerSettings/printerSettings1.bin"/><Relationship Id="rId1" Type="http://schemas.openxmlformats.org/officeDocument/2006/relationships/hyperlink" Target="mailto:lewaniakkaren@tranzact.com" TargetMode="External"/><Relationship Id="rId6" Type="http://schemas.openxmlformats.org/officeDocument/2006/relationships/hyperlink" Target="mailto:swb@tranzact.com" TargetMode="External"/><Relationship Id="rId11" Type="http://schemas.openxmlformats.org/officeDocument/2006/relationships/hyperlink" Target="mailto:paul.nolan@mallinckrodt.com" TargetMode="External"/><Relationship Id="rId5" Type="http://schemas.openxmlformats.org/officeDocument/2006/relationships/hyperlink" Target="mailto:bitherbrian@tranzact.com" TargetMode="External"/><Relationship Id="rId15" Type="http://schemas.openxmlformats.org/officeDocument/2006/relationships/hyperlink" Target="mailto:ilona.borysewicz@mallinckrodt.com" TargetMode="External"/><Relationship Id="rId10" Type="http://schemas.openxmlformats.org/officeDocument/2006/relationships/hyperlink" Target="mailto:rich.loeschner@mallinckrodt.com" TargetMode="External"/><Relationship Id="rId19" Type="http://schemas.openxmlformats.org/officeDocument/2006/relationships/hyperlink" Target="mailto:laura.perez@mallinckrodt.com" TargetMode="External"/><Relationship Id="rId4" Type="http://schemas.openxmlformats.org/officeDocument/2006/relationships/hyperlink" Target="mailto:labudachris@tranzact.com" TargetMode="External"/><Relationship Id="rId9" Type="http://schemas.openxmlformats.org/officeDocument/2006/relationships/hyperlink" Target="mailto:beckefelddarrin@tranzact.com" TargetMode="External"/><Relationship Id="rId14" Type="http://schemas.openxmlformats.org/officeDocument/2006/relationships/hyperlink" Target="mailto:mark.burns@mallinckrodt.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Paul.Nolan@mallinckrodt.com" TargetMode="External"/><Relationship Id="rId1" Type="http://schemas.openxmlformats.org/officeDocument/2006/relationships/hyperlink" Target="mailto:Paul.Nolan@mallinckrodt.co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8" Type="http://schemas.openxmlformats.org/officeDocument/2006/relationships/queryTable" Target="../queryTables/queryTable7.xml"/><Relationship Id="rId13" Type="http://schemas.openxmlformats.org/officeDocument/2006/relationships/queryTable" Target="../queryTables/queryTable12.xml"/><Relationship Id="rId3" Type="http://schemas.openxmlformats.org/officeDocument/2006/relationships/queryTable" Target="../queryTables/queryTable2.xml"/><Relationship Id="rId7" Type="http://schemas.openxmlformats.org/officeDocument/2006/relationships/queryTable" Target="../queryTables/queryTable6.xml"/><Relationship Id="rId12" Type="http://schemas.openxmlformats.org/officeDocument/2006/relationships/queryTable" Target="../queryTables/queryTable11.xml"/><Relationship Id="rId17" Type="http://schemas.openxmlformats.org/officeDocument/2006/relationships/queryTable" Target="../queryTables/queryTable16.xml"/><Relationship Id="rId2" Type="http://schemas.openxmlformats.org/officeDocument/2006/relationships/queryTable" Target="../queryTables/queryTable1.xml"/><Relationship Id="rId16" Type="http://schemas.openxmlformats.org/officeDocument/2006/relationships/queryTable" Target="../queryTables/queryTable15.xml"/><Relationship Id="rId1" Type="http://schemas.openxmlformats.org/officeDocument/2006/relationships/printerSettings" Target="../printerSettings/printerSettings6.bin"/><Relationship Id="rId6" Type="http://schemas.openxmlformats.org/officeDocument/2006/relationships/queryTable" Target="../queryTables/queryTable5.xml"/><Relationship Id="rId11" Type="http://schemas.openxmlformats.org/officeDocument/2006/relationships/queryTable" Target="../queryTables/queryTable10.xml"/><Relationship Id="rId5" Type="http://schemas.openxmlformats.org/officeDocument/2006/relationships/queryTable" Target="../queryTables/queryTable4.xml"/><Relationship Id="rId15" Type="http://schemas.openxmlformats.org/officeDocument/2006/relationships/queryTable" Target="../queryTables/queryTable14.xml"/><Relationship Id="rId10" Type="http://schemas.openxmlformats.org/officeDocument/2006/relationships/queryTable" Target="../queryTables/queryTable9.xml"/><Relationship Id="rId4" Type="http://schemas.openxmlformats.org/officeDocument/2006/relationships/queryTable" Target="../queryTables/queryTable3.xml"/><Relationship Id="rId9" Type="http://schemas.openxmlformats.org/officeDocument/2006/relationships/queryTable" Target="../queryTables/queryTable8.xml"/><Relationship Id="rId14" Type="http://schemas.openxmlformats.org/officeDocument/2006/relationships/queryTable" Target="../queryTables/queryTable1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mailto:paul.nolan@mallinckrodt.com" TargetMode="External"/><Relationship Id="rId13" Type="http://schemas.openxmlformats.org/officeDocument/2006/relationships/hyperlink" Target="mailto:Donat.obrein@mallinckrodt.com" TargetMode="External"/><Relationship Id="rId18" Type="http://schemas.openxmlformats.org/officeDocument/2006/relationships/hyperlink" Target="mailto:Alan.Cusack@mallinckrodt.com" TargetMode="External"/><Relationship Id="rId3" Type="http://schemas.openxmlformats.org/officeDocument/2006/relationships/hyperlink" Target="mailto:Aoife.shelley@mallinckrodt.com" TargetMode="External"/><Relationship Id="rId21" Type="http://schemas.openxmlformats.org/officeDocument/2006/relationships/hyperlink" Target="mailto:Ann.duggan@mallinckrodt.com" TargetMode="External"/><Relationship Id="rId7" Type="http://schemas.openxmlformats.org/officeDocument/2006/relationships/hyperlink" Target="mailto:louise.gilhooley@mallinckrodt.com" TargetMode="External"/><Relationship Id="rId12" Type="http://schemas.openxmlformats.org/officeDocument/2006/relationships/hyperlink" Target="mailto:ilona.borysewicz@mallinckrodt.com" TargetMode="External"/><Relationship Id="rId17" Type="http://schemas.openxmlformats.org/officeDocument/2006/relationships/hyperlink" Target="mailto:Alan.Cusack@mallinckrodt.com" TargetMode="External"/><Relationship Id="rId2" Type="http://schemas.openxmlformats.org/officeDocument/2006/relationships/hyperlink" Target="mailto:Antoinette.odea@mallinckrodt.com" TargetMode="External"/><Relationship Id="rId16" Type="http://schemas.openxmlformats.org/officeDocument/2006/relationships/hyperlink" Target="mailto:laura.perez@mallinckrodt.com" TargetMode="External"/><Relationship Id="rId20" Type="http://schemas.openxmlformats.org/officeDocument/2006/relationships/hyperlink" Target="mailto:lisa.lovett@mallinckrodt.com" TargetMode="External"/><Relationship Id="rId1" Type="http://schemas.openxmlformats.org/officeDocument/2006/relationships/hyperlink" Target="mailto:paul.nolan@mallinckrodt.com" TargetMode="External"/><Relationship Id="rId6" Type="http://schemas.openxmlformats.org/officeDocument/2006/relationships/hyperlink" Target="mailto:Donat.obrein@mallinckrodt.com" TargetMode="External"/><Relationship Id="rId11" Type="http://schemas.openxmlformats.org/officeDocument/2006/relationships/hyperlink" Target="mailto:mark.burns@mallinckrodt.com" TargetMode="External"/><Relationship Id="rId5" Type="http://schemas.openxmlformats.org/officeDocument/2006/relationships/hyperlink" Target="mailto:ilona.borysewicz@mallinckrodt.com" TargetMode="External"/><Relationship Id="rId15" Type="http://schemas.openxmlformats.org/officeDocument/2006/relationships/hyperlink" Target="mailto:laura.perez@mallinckrodt.com" TargetMode="External"/><Relationship Id="rId23" Type="http://schemas.openxmlformats.org/officeDocument/2006/relationships/printerSettings" Target="../printerSettings/printerSettings9.bin"/><Relationship Id="rId10" Type="http://schemas.openxmlformats.org/officeDocument/2006/relationships/hyperlink" Target="mailto:Aoife.shelley@mallinckrodt.com" TargetMode="External"/><Relationship Id="rId19" Type="http://schemas.openxmlformats.org/officeDocument/2006/relationships/hyperlink" Target="mailto:Ann.duggan@mallinckrodt.com" TargetMode="External"/><Relationship Id="rId4" Type="http://schemas.openxmlformats.org/officeDocument/2006/relationships/hyperlink" Target="mailto:mark.burns@mallinckrodt.com" TargetMode="External"/><Relationship Id="rId9" Type="http://schemas.openxmlformats.org/officeDocument/2006/relationships/hyperlink" Target="mailto:Antoinette.odea@mallinckrodt.com" TargetMode="External"/><Relationship Id="rId14" Type="http://schemas.openxmlformats.org/officeDocument/2006/relationships/hyperlink" Target="mailto:louise.gilhooley@mallinckrodt.com" TargetMode="External"/><Relationship Id="rId22" Type="http://schemas.openxmlformats.org/officeDocument/2006/relationships/hyperlink" Target="mailto:lisa.lovett@mallinckrodt.com"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rgb="FF00B050"/>
  </sheetPr>
  <dimension ref="A1:L38"/>
  <sheetViews>
    <sheetView zoomScale="90" zoomScaleNormal="90" workbookViewId="0">
      <pane ySplit="2" topLeftCell="A3" activePane="bottomLeft" state="frozen"/>
      <selection pane="bottomLeft" activeCell="C10" sqref="C10:F10"/>
    </sheetView>
  </sheetViews>
  <sheetFormatPr defaultColWidth="111.7109375" defaultRowHeight="16.5" x14ac:dyDescent="0.25"/>
  <cols>
    <col min="1" max="1" width="20.7109375" style="171" bestFit="1" customWidth="1"/>
    <col min="2" max="2" width="8.5703125" style="171" bestFit="1" customWidth="1"/>
    <col min="3" max="3" width="12" style="171" bestFit="1" customWidth="1"/>
    <col min="4" max="4" width="12.5703125" style="171" bestFit="1" customWidth="1"/>
    <col min="5" max="5" width="35.28515625" style="171" bestFit="1" customWidth="1"/>
    <col min="6" max="7" width="16.5703125" style="171" bestFit="1" customWidth="1"/>
    <col min="8" max="8" width="31.5703125" style="171" bestFit="1" customWidth="1"/>
    <col min="9" max="9" width="32.140625" style="171" customWidth="1"/>
    <col min="10" max="10" width="16.28515625" style="171" customWidth="1"/>
    <col min="11" max="11" width="5.140625" style="171" bestFit="1" customWidth="1"/>
    <col min="12" max="12" width="9.28515625" style="171" customWidth="1"/>
    <col min="13" max="16384" width="111.7109375" style="171"/>
  </cols>
  <sheetData>
    <row r="1" spans="1:12" s="166" customFormat="1" ht="24.75" thickBot="1" x14ac:dyDescent="0.3">
      <c r="A1" s="497" t="s">
        <v>546</v>
      </c>
      <c r="B1" s="498"/>
      <c r="C1" s="498"/>
      <c r="D1" s="498"/>
      <c r="E1" s="498"/>
      <c r="F1" s="498"/>
      <c r="G1" s="498"/>
      <c r="H1" s="498"/>
      <c r="I1" s="498"/>
      <c r="J1" s="498"/>
      <c r="K1" s="498"/>
      <c r="L1" s="499"/>
    </row>
    <row r="2" spans="1:12" s="170" customFormat="1" ht="25.5" x14ac:dyDescent="0.25">
      <c r="A2" s="167" t="s">
        <v>99</v>
      </c>
      <c r="B2" s="168" t="s">
        <v>122</v>
      </c>
      <c r="C2" s="169" t="s">
        <v>100</v>
      </c>
      <c r="D2" s="169" t="s">
        <v>101</v>
      </c>
      <c r="E2" s="169" t="s">
        <v>102</v>
      </c>
      <c r="F2" s="169" t="s">
        <v>103</v>
      </c>
      <c r="G2" s="169" t="s">
        <v>104</v>
      </c>
      <c r="H2" s="169" t="s">
        <v>105</v>
      </c>
      <c r="I2" s="169" t="s">
        <v>106</v>
      </c>
      <c r="J2" s="169" t="s">
        <v>107</v>
      </c>
      <c r="K2" s="169" t="s">
        <v>108</v>
      </c>
      <c r="L2" s="169" t="s">
        <v>109</v>
      </c>
    </row>
    <row r="3" spans="1:12" x14ac:dyDescent="0.25">
      <c r="A3" s="308" t="s">
        <v>110</v>
      </c>
      <c r="B3" s="380"/>
      <c r="C3" s="381" t="s">
        <v>348</v>
      </c>
      <c r="D3" s="381" t="s">
        <v>349</v>
      </c>
      <c r="E3" s="381" t="s">
        <v>350</v>
      </c>
      <c r="F3" s="381" t="s">
        <v>351</v>
      </c>
      <c r="G3" s="381" t="s">
        <v>352</v>
      </c>
      <c r="H3" s="379" t="s">
        <v>353</v>
      </c>
      <c r="I3" s="382"/>
      <c r="J3" s="383" t="s">
        <v>354</v>
      </c>
      <c r="K3" s="383" t="s">
        <v>355</v>
      </c>
      <c r="L3" s="383">
        <v>63042</v>
      </c>
    </row>
    <row r="4" spans="1:12" ht="15" customHeight="1" x14ac:dyDescent="0.25">
      <c r="A4" s="309" t="s">
        <v>116</v>
      </c>
      <c r="B4" s="380"/>
      <c r="C4" s="384" t="s">
        <v>358</v>
      </c>
      <c r="D4" s="384" t="s">
        <v>359</v>
      </c>
      <c r="E4" s="384" t="s">
        <v>360</v>
      </c>
      <c r="F4" s="384" t="s">
        <v>361</v>
      </c>
      <c r="G4" s="384"/>
      <c r="H4" s="379" t="s">
        <v>362</v>
      </c>
      <c r="I4" s="385"/>
      <c r="J4" s="386" t="s">
        <v>363</v>
      </c>
      <c r="K4" s="386"/>
      <c r="L4" s="387"/>
    </row>
    <row r="5" spans="1:12" ht="15" customHeight="1" x14ac:dyDescent="0.25">
      <c r="A5" s="309" t="s">
        <v>116</v>
      </c>
      <c r="B5" s="380"/>
      <c r="C5" s="384" t="s">
        <v>366</v>
      </c>
      <c r="D5" s="384" t="s">
        <v>367</v>
      </c>
      <c r="E5" s="384" t="s">
        <v>368</v>
      </c>
      <c r="F5" s="384" t="s">
        <v>370</v>
      </c>
      <c r="G5" s="384"/>
      <c r="H5" s="379" t="s">
        <v>371</v>
      </c>
      <c r="I5" s="385"/>
      <c r="J5" s="386" t="s">
        <v>363</v>
      </c>
      <c r="K5" s="386"/>
      <c r="L5" s="387"/>
    </row>
    <row r="6" spans="1:12" ht="15" customHeight="1" x14ac:dyDescent="0.25">
      <c r="A6" s="309" t="s">
        <v>116</v>
      </c>
      <c r="B6" s="380"/>
      <c r="C6" s="384" t="s">
        <v>373</v>
      </c>
      <c r="D6" s="384" t="s">
        <v>374</v>
      </c>
      <c r="E6" s="384" t="s">
        <v>375</v>
      </c>
      <c r="F6" s="384" t="s">
        <v>381</v>
      </c>
      <c r="G6" s="384"/>
      <c r="H6" s="379" t="s">
        <v>376</v>
      </c>
      <c r="I6" s="385"/>
      <c r="J6" s="386" t="s">
        <v>363</v>
      </c>
      <c r="K6" s="386"/>
      <c r="L6" s="387"/>
    </row>
    <row r="7" spans="1:12" ht="15" customHeight="1" x14ac:dyDescent="0.25">
      <c r="A7" s="309" t="s">
        <v>117</v>
      </c>
      <c r="B7" s="380"/>
      <c r="C7" s="384" t="s">
        <v>364</v>
      </c>
      <c r="D7" s="384" t="s">
        <v>365</v>
      </c>
      <c r="E7" s="384" t="s">
        <v>157</v>
      </c>
      <c r="F7" s="384" t="s">
        <v>369</v>
      </c>
      <c r="G7" s="384"/>
      <c r="H7" s="379" t="s">
        <v>372</v>
      </c>
      <c r="I7" s="385"/>
      <c r="J7" s="386" t="s">
        <v>363</v>
      </c>
      <c r="K7" s="386"/>
      <c r="L7" s="387"/>
    </row>
    <row r="8" spans="1:12" ht="30" customHeight="1" x14ac:dyDescent="0.25">
      <c r="A8" s="309" t="s">
        <v>117</v>
      </c>
      <c r="B8" s="380"/>
      <c r="C8" s="384" t="s">
        <v>377</v>
      </c>
      <c r="D8" s="384" t="s">
        <v>378</v>
      </c>
      <c r="E8" s="384" t="s">
        <v>157</v>
      </c>
      <c r="F8" s="384" t="s">
        <v>380</v>
      </c>
      <c r="G8" s="384"/>
      <c r="H8" s="379" t="s">
        <v>379</v>
      </c>
      <c r="I8" s="385"/>
      <c r="J8" s="386" t="s">
        <v>363</v>
      </c>
      <c r="K8" s="386"/>
      <c r="L8" s="387"/>
    </row>
    <row r="9" spans="1:12" ht="15" customHeight="1" x14ac:dyDescent="0.25">
      <c r="A9" s="309" t="s">
        <v>118</v>
      </c>
      <c r="B9" s="380"/>
      <c r="C9" s="384" t="s">
        <v>592</v>
      </c>
      <c r="D9" s="384" t="s">
        <v>593</v>
      </c>
      <c r="E9" s="384" t="s">
        <v>368</v>
      </c>
      <c r="F9" s="384" t="s">
        <v>594</v>
      </c>
      <c r="G9" s="384"/>
      <c r="H9" s="379" t="s">
        <v>591</v>
      </c>
      <c r="I9" s="385"/>
      <c r="J9" s="386" t="s">
        <v>363</v>
      </c>
      <c r="K9" s="386"/>
      <c r="L9" s="386"/>
    </row>
    <row r="10" spans="1:12" ht="15" customHeight="1" x14ac:dyDescent="0.25">
      <c r="A10" s="309" t="s">
        <v>297</v>
      </c>
      <c r="B10" s="380"/>
      <c r="C10" s="384" t="s">
        <v>598</v>
      </c>
      <c r="D10" s="384" t="s">
        <v>599</v>
      </c>
      <c r="E10" s="384" t="s">
        <v>157</v>
      </c>
      <c r="F10" s="384" t="s">
        <v>601</v>
      </c>
      <c r="G10" s="384"/>
      <c r="H10" s="379" t="s">
        <v>600</v>
      </c>
      <c r="I10" s="385"/>
      <c r="J10" s="386" t="s">
        <v>363</v>
      </c>
      <c r="K10" s="386"/>
      <c r="L10" s="387"/>
    </row>
    <row r="11" spans="1:12" ht="15" customHeight="1" x14ac:dyDescent="0.25">
      <c r="A11" s="309" t="s">
        <v>111</v>
      </c>
      <c r="B11" s="380"/>
      <c r="C11" s="384"/>
      <c r="D11" s="384"/>
      <c r="E11" s="384"/>
      <c r="F11" s="384"/>
      <c r="G11" s="384"/>
      <c r="H11" s="388"/>
      <c r="I11" s="385"/>
      <c r="J11" s="386"/>
      <c r="K11" s="386"/>
      <c r="L11" s="386"/>
    </row>
    <row r="12" spans="1:12" ht="15" customHeight="1" x14ac:dyDescent="0.25">
      <c r="A12" s="309" t="s">
        <v>121</v>
      </c>
      <c r="B12" s="380"/>
      <c r="C12" s="384"/>
      <c r="D12" s="384"/>
      <c r="E12" s="384"/>
      <c r="F12" s="384"/>
      <c r="G12" s="384"/>
      <c r="H12" s="379"/>
      <c r="I12" s="385"/>
      <c r="J12" s="386"/>
      <c r="K12" s="386"/>
      <c r="L12" s="387"/>
    </row>
    <row r="13" spans="1:12" ht="15" customHeight="1" x14ac:dyDescent="0.25">
      <c r="A13" s="309" t="s">
        <v>119</v>
      </c>
      <c r="B13" s="380"/>
      <c r="C13" s="384"/>
      <c r="D13" s="384"/>
      <c r="E13" s="384"/>
      <c r="F13" s="384"/>
      <c r="G13" s="384"/>
      <c r="H13" s="379"/>
      <c r="I13" s="385"/>
      <c r="J13" s="386"/>
      <c r="K13" s="386"/>
      <c r="L13" s="387"/>
    </row>
    <row r="14" spans="1:12" ht="15" customHeight="1" x14ac:dyDescent="0.25">
      <c r="A14" s="309" t="s">
        <v>114</v>
      </c>
      <c r="B14" s="380"/>
      <c r="C14" s="384"/>
      <c r="D14" s="384"/>
      <c r="E14" s="384"/>
      <c r="F14" s="384"/>
      <c r="G14" s="384"/>
      <c r="H14" s="388"/>
      <c r="I14" s="385"/>
      <c r="J14" s="386"/>
      <c r="K14" s="386"/>
      <c r="L14" s="386"/>
    </row>
    <row r="15" spans="1:12" ht="15" customHeight="1" x14ac:dyDescent="0.25">
      <c r="A15" s="309" t="s">
        <v>295</v>
      </c>
      <c r="B15" s="380"/>
      <c r="C15" s="384"/>
      <c r="D15" s="384"/>
      <c r="E15" s="384"/>
      <c r="F15" s="384"/>
      <c r="G15" s="384"/>
      <c r="H15" s="379"/>
      <c r="I15" s="385"/>
      <c r="J15" s="386"/>
      <c r="K15" s="386"/>
      <c r="L15" s="387"/>
    </row>
    <row r="16" spans="1:12" ht="15" customHeight="1" x14ac:dyDescent="0.25">
      <c r="A16" s="309" t="s">
        <v>296</v>
      </c>
      <c r="B16" s="380"/>
      <c r="C16" s="384"/>
      <c r="D16" s="384"/>
      <c r="E16" s="384"/>
      <c r="F16" s="384"/>
      <c r="G16" s="384"/>
      <c r="H16" s="379"/>
      <c r="I16" s="385"/>
      <c r="J16" s="386"/>
      <c r="K16" s="386"/>
      <c r="L16" s="386"/>
    </row>
    <row r="17" spans="1:12" ht="15" customHeight="1" thickBot="1" x14ac:dyDescent="0.3">
      <c r="A17" s="309" t="s">
        <v>120</v>
      </c>
      <c r="B17" s="380"/>
      <c r="C17" s="384"/>
      <c r="D17" s="384"/>
      <c r="E17" s="384"/>
      <c r="F17" s="384"/>
      <c r="G17" s="384"/>
      <c r="H17" s="379"/>
      <c r="I17" s="385"/>
      <c r="J17" s="386"/>
      <c r="K17" s="386"/>
      <c r="L17" s="387"/>
    </row>
    <row r="18" spans="1:12" ht="23.25" thickBot="1" x14ac:dyDescent="0.3">
      <c r="A18" s="500" t="s">
        <v>146</v>
      </c>
      <c r="B18" s="501"/>
      <c r="C18" s="501"/>
      <c r="D18" s="501"/>
      <c r="E18" s="501"/>
      <c r="F18" s="501"/>
      <c r="G18" s="501"/>
      <c r="H18" s="501"/>
      <c r="I18" s="501"/>
      <c r="J18" s="501"/>
      <c r="K18" s="501"/>
      <c r="L18" s="502"/>
    </row>
    <row r="19" spans="1:12" ht="25.5" x14ac:dyDescent="0.25">
      <c r="A19" s="172" t="s">
        <v>99</v>
      </c>
      <c r="B19" s="173" t="s">
        <v>122</v>
      </c>
      <c r="C19" s="174" t="s">
        <v>100</v>
      </c>
      <c r="D19" s="174" t="s">
        <v>101</v>
      </c>
      <c r="E19" s="174" t="s">
        <v>102</v>
      </c>
      <c r="F19" s="174" t="s">
        <v>103</v>
      </c>
      <c r="G19" s="174" t="s">
        <v>104</v>
      </c>
      <c r="H19" s="174" t="s">
        <v>105</v>
      </c>
      <c r="I19" s="174" t="s">
        <v>106</v>
      </c>
      <c r="J19" s="174" t="s">
        <v>107</v>
      </c>
      <c r="K19" s="174" t="s">
        <v>108</v>
      </c>
      <c r="L19" s="175" t="s">
        <v>109</v>
      </c>
    </row>
    <row r="20" spans="1:12" x14ac:dyDescent="0.25">
      <c r="A20" s="182" t="s">
        <v>110</v>
      </c>
      <c r="B20" s="183" t="s">
        <v>148</v>
      </c>
      <c r="C20" s="184" t="s">
        <v>149</v>
      </c>
      <c r="D20" s="184" t="s">
        <v>345</v>
      </c>
      <c r="E20" s="185" t="s">
        <v>46</v>
      </c>
      <c r="F20" s="186" t="s">
        <v>346</v>
      </c>
      <c r="G20" s="163"/>
      <c r="H20" s="307" t="s">
        <v>347</v>
      </c>
      <c r="I20" s="188" t="s">
        <v>150</v>
      </c>
      <c r="J20" s="189" t="s">
        <v>151</v>
      </c>
      <c r="K20" s="189" t="s">
        <v>9</v>
      </c>
      <c r="L20" s="190">
        <v>60126</v>
      </c>
    </row>
    <row r="21" spans="1:12" x14ac:dyDescent="0.3">
      <c r="A21" s="182" t="s">
        <v>152</v>
      </c>
      <c r="B21" s="183" t="s">
        <v>148</v>
      </c>
      <c r="C21" s="186" t="s">
        <v>329</v>
      </c>
      <c r="D21" s="186" t="s">
        <v>330</v>
      </c>
      <c r="E21" s="185" t="s">
        <v>153</v>
      </c>
      <c r="F21" s="186"/>
      <c r="G21" s="164" t="s">
        <v>154</v>
      </c>
      <c r="H21" s="187" t="s">
        <v>331</v>
      </c>
      <c r="I21" s="188" t="s">
        <v>150</v>
      </c>
      <c r="J21" s="189" t="s">
        <v>151</v>
      </c>
      <c r="K21" s="189" t="s">
        <v>9</v>
      </c>
      <c r="L21" s="190">
        <v>60126</v>
      </c>
    </row>
    <row r="22" spans="1:12" x14ac:dyDescent="0.25">
      <c r="A22" s="182" t="s">
        <v>117</v>
      </c>
      <c r="B22" s="183" t="s">
        <v>148</v>
      </c>
      <c r="C22" s="186" t="s">
        <v>155</v>
      </c>
      <c r="D22" s="186" t="s">
        <v>156</v>
      </c>
      <c r="E22" s="185" t="s">
        <v>157</v>
      </c>
      <c r="F22" s="186" t="s">
        <v>158</v>
      </c>
      <c r="G22" s="163" t="s">
        <v>158</v>
      </c>
      <c r="H22" s="187" t="s">
        <v>159</v>
      </c>
      <c r="I22" s="188" t="s">
        <v>150</v>
      </c>
      <c r="J22" s="189" t="s">
        <v>151</v>
      </c>
      <c r="K22" s="189" t="s">
        <v>9</v>
      </c>
      <c r="L22" s="190">
        <v>60126</v>
      </c>
    </row>
    <row r="23" spans="1:12" x14ac:dyDescent="0.25">
      <c r="A23" s="182" t="s">
        <v>118</v>
      </c>
      <c r="B23" s="183" t="s">
        <v>148</v>
      </c>
      <c r="C23" s="191" t="s">
        <v>183</v>
      </c>
      <c r="D23" s="191" t="s">
        <v>183</v>
      </c>
      <c r="E23" s="185"/>
      <c r="F23" s="186"/>
      <c r="G23" s="163"/>
      <c r="H23" s="187"/>
      <c r="I23" s="188" t="s">
        <v>150</v>
      </c>
      <c r="J23" s="189" t="s">
        <v>151</v>
      </c>
      <c r="K23" s="189" t="s">
        <v>9</v>
      </c>
      <c r="L23" s="190">
        <v>60126</v>
      </c>
    </row>
    <row r="24" spans="1:12" x14ac:dyDescent="0.25">
      <c r="A24" s="182" t="s">
        <v>112</v>
      </c>
      <c r="B24" s="183" t="s">
        <v>148</v>
      </c>
      <c r="C24" s="186" t="s">
        <v>160</v>
      </c>
      <c r="D24" s="186" t="s">
        <v>161</v>
      </c>
      <c r="E24" s="185" t="s">
        <v>162</v>
      </c>
      <c r="F24" s="186" t="s">
        <v>163</v>
      </c>
      <c r="G24" s="163" t="s">
        <v>163</v>
      </c>
      <c r="H24" s="187" t="s">
        <v>164</v>
      </c>
      <c r="I24" s="188" t="s">
        <v>150</v>
      </c>
      <c r="J24" s="189" t="s">
        <v>151</v>
      </c>
      <c r="K24" s="189" t="s">
        <v>9</v>
      </c>
      <c r="L24" s="190">
        <v>60126</v>
      </c>
    </row>
    <row r="25" spans="1:12" x14ac:dyDescent="0.25">
      <c r="A25" s="182" t="s">
        <v>111</v>
      </c>
      <c r="B25" s="183" t="s">
        <v>148</v>
      </c>
      <c r="C25" s="186" t="s">
        <v>326</v>
      </c>
      <c r="D25" s="186" t="s">
        <v>327</v>
      </c>
      <c r="E25" s="185" t="s">
        <v>165</v>
      </c>
      <c r="F25" s="186"/>
      <c r="G25" s="163" t="s">
        <v>166</v>
      </c>
      <c r="H25" s="187" t="s">
        <v>328</v>
      </c>
      <c r="I25" s="188" t="s">
        <v>150</v>
      </c>
      <c r="J25" s="189" t="s">
        <v>151</v>
      </c>
      <c r="K25" s="189" t="s">
        <v>9</v>
      </c>
      <c r="L25" s="190">
        <v>60126</v>
      </c>
    </row>
    <row r="26" spans="1:12" x14ac:dyDescent="0.25">
      <c r="A26" s="182" t="s">
        <v>167</v>
      </c>
      <c r="B26" s="183" t="s">
        <v>148</v>
      </c>
      <c r="C26" s="186" t="s">
        <v>168</v>
      </c>
      <c r="D26" s="186" t="s">
        <v>169</v>
      </c>
      <c r="E26" s="185" t="s">
        <v>170</v>
      </c>
      <c r="F26" s="186" t="s">
        <v>171</v>
      </c>
      <c r="G26" s="163" t="s">
        <v>171</v>
      </c>
      <c r="H26" s="187" t="s">
        <v>172</v>
      </c>
      <c r="I26" s="188" t="s">
        <v>150</v>
      </c>
      <c r="J26" s="189" t="s">
        <v>151</v>
      </c>
      <c r="K26" s="189" t="s">
        <v>9</v>
      </c>
      <c r="L26" s="190">
        <v>60126</v>
      </c>
    </row>
    <row r="27" spans="1:12" x14ac:dyDescent="0.25">
      <c r="A27" s="192" t="s">
        <v>173</v>
      </c>
      <c r="B27" s="191" t="s">
        <v>148</v>
      </c>
      <c r="C27" s="191" t="s">
        <v>174</v>
      </c>
      <c r="D27" s="191" t="s">
        <v>175</v>
      </c>
      <c r="E27" s="191" t="s">
        <v>176</v>
      </c>
      <c r="F27" s="191" t="s">
        <v>177</v>
      </c>
      <c r="G27" s="165" t="s">
        <v>177</v>
      </c>
      <c r="H27" s="193" t="s">
        <v>178</v>
      </c>
      <c r="I27" s="191" t="s">
        <v>179</v>
      </c>
      <c r="J27" s="194" t="s">
        <v>180</v>
      </c>
      <c r="K27" s="194" t="s">
        <v>181</v>
      </c>
      <c r="L27" s="195">
        <v>44278</v>
      </c>
    </row>
    <row r="28" spans="1:12" x14ac:dyDescent="0.25">
      <c r="A28" s="192" t="s">
        <v>248</v>
      </c>
      <c r="B28" s="191" t="s">
        <v>148</v>
      </c>
      <c r="C28" s="191" t="s">
        <v>160</v>
      </c>
      <c r="D28" s="191" t="s">
        <v>257</v>
      </c>
      <c r="E28" s="191" t="s">
        <v>258</v>
      </c>
      <c r="F28" s="191" t="s">
        <v>259</v>
      </c>
      <c r="G28" s="165" t="s">
        <v>259</v>
      </c>
      <c r="H28" s="193" t="s">
        <v>260</v>
      </c>
      <c r="I28" s="188" t="s">
        <v>150</v>
      </c>
      <c r="J28" s="189" t="s">
        <v>151</v>
      </c>
      <c r="K28" s="189" t="s">
        <v>9</v>
      </c>
      <c r="L28" s="190">
        <v>60126</v>
      </c>
    </row>
    <row r="29" spans="1:12" x14ac:dyDescent="0.25">
      <c r="A29" s="192" t="s">
        <v>182</v>
      </c>
      <c r="B29" s="191" t="s">
        <v>148</v>
      </c>
      <c r="C29" s="191" t="s">
        <v>535</v>
      </c>
      <c r="D29" s="191" t="s">
        <v>536</v>
      </c>
      <c r="E29" s="191" t="s">
        <v>537</v>
      </c>
      <c r="F29" s="191" t="s">
        <v>538</v>
      </c>
      <c r="G29" s="186"/>
      <c r="H29" s="397" t="s">
        <v>539</v>
      </c>
      <c r="I29" s="188" t="s">
        <v>150</v>
      </c>
      <c r="J29" s="189" t="s">
        <v>151</v>
      </c>
      <c r="K29" s="189" t="s">
        <v>9</v>
      </c>
      <c r="L29" s="190">
        <v>60126</v>
      </c>
    </row>
    <row r="30" spans="1:12" x14ac:dyDescent="0.25">
      <c r="A30" s="398" t="s">
        <v>184</v>
      </c>
      <c r="B30" s="191" t="s">
        <v>148</v>
      </c>
      <c r="C30" s="191" t="s">
        <v>540</v>
      </c>
      <c r="D30" s="191" t="s">
        <v>541</v>
      </c>
      <c r="E30" s="186" t="s">
        <v>542</v>
      </c>
      <c r="F30" s="186" t="s">
        <v>543</v>
      </c>
      <c r="G30" s="196" t="s">
        <v>544</v>
      </c>
      <c r="H30" s="307" t="s">
        <v>545</v>
      </c>
      <c r="I30" s="188" t="s">
        <v>185</v>
      </c>
      <c r="J30" s="189" t="s">
        <v>151</v>
      </c>
      <c r="K30" s="189" t="s">
        <v>186</v>
      </c>
      <c r="L30" s="190">
        <v>60126</v>
      </c>
    </row>
    <row r="31" spans="1:12" ht="17.25" thickBot="1" x14ac:dyDescent="0.3">
      <c r="A31" s="197" t="s">
        <v>113</v>
      </c>
      <c r="B31" s="198" t="s">
        <v>148</v>
      </c>
      <c r="C31" s="199" t="s">
        <v>168</v>
      </c>
      <c r="D31" s="199" t="s">
        <v>187</v>
      </c>
      <c r="E31" s="199" t="s">
        <v>188</v>
      </c>
      <c r="F31" s="199" t="s">
        <v>189</v>
      </c>
      <c r="G31" s="200"/>
      <c r="H31" s="201" t="s">
        <v>190</v>
      </c>
      <c r="I31" s="202" t="s">
        <v>185</v>
      </c>
      <c r="J31" s="203" t="s">
        <v>151</v>
      </c>
      <c r="K31" s="203" t="s">
        <v>186</v>
      </c>
      <c r="L31" s="204">
        <v>60126</v>
      </c>
    </row>
    <row r="34" spans="1:4" x14ac:dyDescent="0.25">
      <c r="D34" s="176"/>
    </row>
    <row r="35" spans="1:4" x14ac:dyDescent="0.3">
      <c r="A35" s="177"/>
      <c r="D35" s="178"/>
    </row>
    <row r="36" spans="1:4" x14ac:dyDescent="0.25">
      <c r="A36" s="179"/>
      <c r="D36" s="176"/>
    </row>
    <row r="37" spans="1:4" x14ac:dyDescent="0.3">
      <c r="A37" s="180"/>
      <c r="D37" s="176"/>
    </row>
    <row r="38" spans="1:4" x14ac:dyDescent="0.25">
      <c r="A38" s="181"/>
      <c r="D38" s="176"/>
    </row>
  </sheetData>
  <mergeCells count="2">
    <mergeCell ref="A1:L1"/>
    <mergeCell ref="A18:L18"/>
  </mergeCells>
  <phoneticPr fontId="23" type="noConversion"/>
  <hyperlinks>
    <hyperlink ref="H21" r:id="rId1"/>
    <hyperlink ref="H22" r:id="rId2"/>
    <hyperlink ref="H24" r:id="rId3"/>
    <hyperlink ref="H25" r:id="rId4"/>
    <hyperlink ref="H26" r:id="rId5"/>
    <hyperlink ref="H27" r:id="rId6"/>
    <hyperlink ref="H31" r:id="rId7"/>
    <hyperlink ref="H28" r:id="rId8"/>
    <hyperlink ref="H20" r:id="rId9"/>
    <hyperlink ref="H3" r:id="rId10"/>
    <hyperlink ref="H4" r:id="rId11"/>
    <hyperlink ref="H5" r:id="rId12"/>
    <hyperlink ref="H7" r:id="rId13"/>
    <hyperlink ref="H6" r:id="rId14"/>
    <hyperlink ref="H8" r:id="rId15"/>
    <hyperlink ref="H29" r:id="rId16"/>
    <hyperlink ref="H30" r:id="rId17"/>
    <hyperlink ref="H9" r:id="rId18"/>
    <hyperlink ref="H10" r:id="rId19"/>
  </hyperlinks>
  <pageMargins left="0.25" right="0.25" top="0.75" bottom="0.75" header="0.3" footer="0.3"/>
  <pageSetup scale="92" fitToHeight="5" orientation="landscape" verticalDpi="1200" r:id="rId20"/>
  <headerFooter>
    <oddFooter>&amp;L&amp;F: &amp;A&amp;R&amp;P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0"/>
  <sheetViews>
    <sheetView zoomScale="130" zoomScaleNormal="130" workbookViewId="0">
      <pane xSplit="1" ySplit="5" topLeftCell="B21" activePane="bottomRight" state="frozen"/>
      <selection pane="topRight" activeCell="B1" sqref="B1"/>
      <selection pane="bottomLeft" activeCell="A6" sqref="A6"/>
      <selection pane="bottomRight" activeCell="H30" sqref="H30"/>
    </sheetView>
  </sheetViews>
  <sheetFormatPr defaultColWidth="9.140625" defaultRowHeight="15" x14ac:dyDescent="0.25"/>
  <cols>
    <col min="1" max="1" width="13.140625" style="31" bestFit="1" customWidth="1"/>
    <col min="2" max="2" width="50.28515625" style="67" bestFit="1" customWidth="1"/>
    <col min="3" max="3" width="11.7109375" style="31" bestFit="1" customWidth="1"/>
    <col min="4" max="4" width="11.5703125" style="31" bestFit="1" customWidth="1"/>
    <col min="5" max="5" width="12.85546875" style="31" bestFit="1" customWidth="1"/>
    <col min="6" max="6" width="12.7109375" style="31" bestFit="1" customWidth="1"/>
    <col min="7" max="7" width="12.7109375" style="32" bestFit="1" customWidth="1"/>
    <col min="8" max="8" width="9.42578125" style="31" customWidth="1"/>
    <col min="9" max="9" width="19.28515625" style="32" customWidth="1"/>
    <col min="10" max="16384" width="9.140625" style="31"/>
  </cols>
  <sheetData>
    <row r="1" spans="1:9" ht="15.75" thickBot="1" x14ac:dyDescent="0.3">
      <c r="A1" s="504" t="s">
        <v>191</v>
      </c>
      <c r="B1" s="505"/>
      <c r="C1" s="505"/>
      <c r="D1" s="505"/>
      <c r="E1" s="505"/>
      <c r="F1" s="505"/>
      <c r="G1" s="505"/>
      <c r="H1" s="505"/>
      <c r="I1" s="506"/>
    </row>
    <row r="2" spans="1:9" ht="24.75" thickBot="1" x14ac:dyDescent="0.3">
      <c r="A2" s="40" t="s">
        <v>192</v>
      </c>
      <c r="B2" s="338" t="s">
        <v>470</v>
      </c>
      <c r="C2" s="40" t="s">
        <v>34</v>
      </c>
      <c r="D2" s="461" t="s">
        <v>660</v>
      </c>
      <c r="E2" s="40" t="s">
        <v>193</v>
      </c>
      <c r="F2" s="42"/>
      <c r="G2" s="41" t="s">
        <v>194</v>
      </c>
      <c r="H2" s="453">
        <v>43040</v>
      </c>
      <c r="I2" s="454" t="s">
        <v>479</v>
      </c>
    </row>
    <row r="3" spans="1:9" ht="15.75" thickBot="1" x14ac:dyDescent="0.3">
      <c r="A3" s="40" t="s">
        <v>195</v>
      </c>
      <c r="B3" s="43" t="s">
        <v>344</v>
      </c>
      <c r="C3" s="40" t="s">
        <v>196</v>
      </c>
      <c r="D3" s="40"/>
      <c r="E3" s="40" t="s">
        <v>197</v>
      </c>
      <c r="F3" s="40"/>
      <c r="G3" s="41"/>
      <c r="H3" s="40"/>
      <c r="I3" s="41"/>
    </row>
    <row r="4" spans="1:9" ht="26.25" thickBot="1" x14ac:dyDescent="0.3">
      <c r="A4" s="40" t="s">
        <v>198</v>
      </c>
      <c r="B4" s="43"/>
      <c r="C4" s="41" t="s">
        <v>199</v>
      </c>
      <c r="D4" s="40"/>
      <c r="E4" s="40"/>
      <c r="F4" s="40"/>
      <c r="G4" s="41"/>
      <c r="H4" s="40"/>
      <c r="I4" s="41"/>
    </row>
    <row r="5" spans="1:9" ht="15.75" thickBot="1" x14ac:dyDescent="0.3">
      <c r="A5" s="83" t="s">
        <v>200</v>
      </c>
      <c r="B5" s="68" t="s">
        <v>201</v>
      </c>
      <c r="C5" s="69" t="s">
        <v>202</v>
      </c>
      <c r="D5" s="69" t="s">
        <v>203</v>
      </c>
      <c r="E5" s="70" t="s">
        <v>204</v>
      </c>
      <c r="F5" s="69" t="s">
        <v>205</v>
      </c>
      <c r="G5" s="71" t="s">
        <v>206</v>
      </c>
      <c r="H5" s="69" t="s">
        <v>207</v>
      </c>
      <c r="I5" s="72" t="s">
        <v>141</v>
      </c>
    </row>
    <row r="6" spans="1:9" ht="15" customHeight="1" x14ac:dyDescent="0.25">
      <c r="A6" s="503">
        <v>1</v>
      </c>
      <c r="B6" s="44" t="s">
        <v>208</v>
      </c>
      <c r="C6" s="291"/>
      <c r="D6" s="291"/>
      <c r="E6" s="291"/>
      <c r="F6" s="291"/>
      <c r="G6" s="46"/>
      <c r="H6" s="45"/>
      <c r="I6" s="47"/>
    </row>
    <row r="7" spans="1:9" ht="15" customHeight="1" x14ac:dyDescent="0.25">
      <c r="A7" s="503"/>
      <c r="B7" s="48" t="s">
        <v>255</v>
      </c>
      <c r="C7" s="49">
        <v>42845</v>
      </c>
      <c r="D7" s="49">
        <v>42845</v>
      </c>
      <c r="E7" s="49">
        <v>42845</v>
      </c>
      <c r="F7" s="49">
        <v>42845</v>
      </c>
      <c r="G7" s="50" t="s">
        <v>480</v>
      </c>
      <c r="H7" s="51" t="s">
        <v>481</v>
      </c>
      <c r="I7" s="52"/>
    </row>
    <row r="8" spans="1:9" ht="18" customHeight="1" x14ac:dyDescent="0.25">
      <c r="A8" s="503"/>
      <c r="B8" s="48" t="s">
        <v>256</v>
      </c>
      <c r="C8" s="49"/>
      <c r="D8" s="49"/>
      <c r="E8" s="49"/>
      <c r="F8" s="49"/>
      <c r="G8" s="50"/>
      <c r="H8" s="51"/>
      <c r="I8" s="52"/>
    </row>
    <row r="9" spans="1:9" x14ac:dyDescent="0.25">
      <c r="A9" s="503">
        <v>2</v>
      </c>
      <c r="B9" s="53" t="s">
        <v>209</v>
      </c>
      <c r="C9" s="73"/>
      <c r="D9" s="73"/>
      <c r="E9" s="73"/>
      <c r="F9" s="73"/>
      <c r="G9" s="74"/>
      <c r="H9" s="73"/>
      <c r="I9" s="75"/>
    </row>
    <row r="10" spans="1:9" x14ac:dyDescent="0.25">
      <c r="A10" s="503"/>
      <c r="B10" s="54" t="s">
        <v>210</v>
      </c>
      <c r="C10" s="49">
        <v>42845</v>
      </c>
      <c r="D10" s="49">
        <v>42845</v>
      </c>
      <c r="E10" s="49"/>
      <c r="F10" s="49"/>
      <c r="G10" s="50" t="s">
        <v>651</v>
      </c>
      <c r="H10" s="49" t="s">
        <v>646</v>
      </c>
      <c r="I10" s="52" t="s">
        <v>478</v>
      </c>
    </row>
    <row r="11" spans="1:9" x14ac:dyDescent="0.25">
      <c r="A11" s="503"/>
      <c r="B11" s="54" t="s">
        <v>211</v>
      </c>
      <c r="C11" s="49">
        <v>42845</v>
      </c>
      <c r="D11" s="49">
        <v>42845</v>
      </c>
      <c r="E11" s="49"/>
      <c r="F11" s="49"/>
      <c r="G11" s="50" t="s">
        <v>643</v>
      </c>
      <c r="H11" s="49"/>
      <c r="I11" s="55"/>
    </row>
    <row r="12" spans="1:9" ht="33.75" x14ac:dyDescent="0.25">
      <c r="A12" s="503"/>
      <c r="B12" s="48" t="s">
        <v>212</v>
      </c>
      <c r="C12" s="49">
        <v>42845</v>
      </c>
      <c r="D12" s="49">
        <v>42845</v>
      </c>
      <c r="E12" s="49">
        <v>42887</v>
      </c>
      <c r="F12" s="49"/>
      <c r="G12" s="50" t="s">
        <v>790</v>
      </c>
      <c r="H12" s="49" t="s">
        <v>646</v>
      </c>
      <c r="I12" s="477" t="s">
        <v>791</v>
      </c>
    </row>
    <row r="13" spans="1:9" x14ac:dyDescent="0.25">
      <c r="A13" s="503"/>
      <c r="B13" s="54" t="s">
        <v>213</v>
      </c>
      <c r="C13" s="49">
        <v>42845</v>
      </c>
      <c r="D13" s="49">
        <v>42845</v>
      </c>
      <c r="E13" s="49">
        <v>42887</v>
      </c>
      <c r="F13" s="49">
        <v>42886</v>
      </c>
      <c r="G13" s="50" t="s">
        <v>644</v>
      </c>
      <c r="H13" s="49" t="s">
        <v>481</v>
      </c>
      <c r="I13" s="52"/>
    </row>
    <row r="14" spans="1:9" ht="33.75" x14ac:dyDescent="0.25">
      <c r="A14" s="503"/>
      <c r="B14" s="48" t="s">
        <v>214</v>
      </c>
      <c r="C14" s="49">
        <v>42845</v>
      </c>
      <c r="D14" s="49">
        <v>42845</v>
      </c>
      <c r="E14" s="49">
        <v>42917</v>
      </c>
      <c r="F14" s="49"/>
      <c r="G14" s="50" t="s">
        <v>645</v>
      </c>
      <c r="H14" s="49" t="s">
        <v>646</v>
      </c>
      <c r="I14" s="477" t="s">
        <v>791</v>
      </c>
    </row>
    <row r="15" spans="1:9" x14ac:dyDescent="0.25">
      <c r="A15" s="503"/>
      <c r="B15" s="48" t="s">
        <v>215</v>
      </c>
      <c r="C15" s="49">
        <v>42845</v>
      </c>
      <c r="D15" s="49">
        <v>42845</v>
      </c>
      <c r="E15" s="49">
        <v>42875</v>
      </c>
      <c r="F15" s="49"/>
      <c r="G15" s="50" t="s">
        <v>644</v>
      </c>
      <c r="H15" s="49" t="s">
        <v>646</v>
      </c>
      <c r="I15" s="52"/>
    </row>
    <row r="16" spans="1:9" x14ac:dyDescent="0.25">
      <c r="A16" s="503"/>
      <c r="B16" s="54" t="s">
        <v>254</v>
      </c>
      <c r="C16" s="49">
        <v>42845</v>
      </c>
      <c r="D16" s="49">
        <v>42845</v>
      </c>
      <c r="E16" s="49">
        <v>42887</v>
      </c>
      <c r="F16" s="49"/>
      <c r="G16" s="50" t="s">
        <v>645</v>
      </c>
      <c r="H16" s="49" t="s">
        <v>646</v>
      </c>
      <c r="I16" s="477" t="s">
        <v>792</v>
      </c>
    </row>
    <row r="17" spans="1:9" x14ac:dyDescent="0.25">
      <c r="A17" s="503"/>
      <c r="B17" s="54" t="s">
        <v>216</v>
      </c>
      <c r="C17" s="49">
        <v>42845</v>
      </c>
      <c r="D17" s="49">
        <v>42845</v>
      </c>
      <c r="E17" s="49"/>
      <c r="F17" s="49"/>
      <c r="G17" s="50" t="s">
        <v>149</v>
      </c>
      <c r="H17" s="49" t="s">
        <v>646</v>
      </c>
      <c r="I17" s="52"/>
    </row>
    <row r="18" spans="1:9" x14ac:dyDescent="0.25">
      <c r="A18" s="503">
        <v>3</v>
      </c>
      <c r="B18" s="56" t="s">
        <v>217</v>
      </c>
      <c r="C18" s="73"/>
      <c r="D18" s="73"/>
      <c r="E18" s="73"/>
      <c r="F18" s="73"/>
      <c r="G18" s="74"/>
      <c r="H18" s="73"/>
      <c r="I18" s="76"/>
    </row>
    <row r="19" spans="1:9" x14ac:dyDescent="0.25">
      <c r="A19" s="503"/>
      <c r="B19" s="48" t="s">
        <v>218</v>
      </c>
      <c r="C19" s="49">
        <v>42907</v>
      </c>
      <c r="D19" s="49"/>
      <c r="E19" s="49">
        <v>42916</v>
      </c>
      <c r="F19" s="49"/>
      <c r="G19" s="50"/>
      <c r="H19" s="49"/>
      <c r="I19" s="57"/>
    </row>
    <row r="20" spans="1:9" x14ac:dyDescent="0.25">
      <c r="A20" s="503"/>
      <c r="B20" s="48" t="s">
        <v>219</v>
      </c>
      <c r="C20" s="49">
        <v>42907</v>
      </c>
      <c r="D20" s="49"/>
      <c r="E20" s="49">
        <v>42916</v>
      </c>
      <c r="F20" s="49"/>
      <c r="G20" s="50"/>
      <c r="H20" s="49"/>
      <c r="I20" s="52"/>
    </row>
    <row r="21" spans="1:9" x14ac:dyDescent="0.25">
      <c r="A21" s="503"/>
      <c r="B21" s="48" t="s">
        <v>220</v>
      </c>
      <c r="C21" s="49">
        <v>42907</v>
      </c>
      <c r="D21" s="49"/>
      <c r="E21" s="49">
        <v>42916</v>
      </c>
      <c r="F21" s="49"/>
      <c r="G21" s="50"/>
      <c r="H21" s="49"/>
      <c r="I21" s="52"/>
    </row>
    <row r="22" spans="1:9" ht="15.75" thickBot="1" x14ac:dyDescent="0.3">
      <c r="A22" s="503"/>
      <c r="B22" s="48" t="s">
        <v>221</v>
      </c>
      <c r="C22" s="49">
        <v>42874</v>
      </c>
      <c r="D22" s="49">
        <v>42874</v>
      </c>
      <c r="E22" s="49">
        <v>42916</v>
      </c>
      <c r="F22" s="49"/>
      <c r="G22" s="50" t="s">
        <v>644</v>
      </c>
      <c r="H22" s="49" t="s">
        <v>646</v>
      </c>
      <c r="I22" s="52" t="s">
        <v>787</v>
      </c>
    </row>
    <row r="23" spans="1:9" x14ac:dyDescent="0.25">
      <c r="A23" s="503">
        <v>4</v>
      </c>
      <c r="B23" s="56" t="s">
        <v>222</v>
      </c>
      <c r="C23" s="77"/>
      <c r="D23" s="77"/>
      <c r="E23" s="77"/>
      <c r="F23" s="77"/>
      <c r="G23" s="78"/>
      <c r="H23" s="77"/>
      <c r="I23" s="79"/>
    </row>
    <row r="24" spans="1:9" ht="22.5" x14ac:dyDescent="0.25">
      <c r="A24" s="503"/>
      <c r="B24" s="48" t="s">
        <v>223</v>
      </c>
      <c r="C24" s="49">
        <v>42887</v>
      </c>
      <c r="D24" s="49">
        <v>42887</v>
      </c>
      <c r="E24" s="49">
        <v>42914</v>
      </c>
      <c r="F24" s="49"/>
      <c r="G24" s="49" t="s">
        <v>149</v>
      </c>
      <c r="H24" s="49"/>
      <c r="I24" s="477" t="s">
        <v>793</v>
      </c>
    </row>
    <row r="25" spans="1:9" x14ac:dyDescent="0.25">
      <c r="A25" s="503"/>
      <c r="B25" s="48" t="s">
        <v>224</v>
      </c>
      <c r="C25" s="49" t="s">
        <v>654</v>
      </c>
      <c r="D25" s="49" t="s">
        <v>654</v>
      </c>
      <c r="E25" s="49" t="s">
        <v>654</v>
      </c>
      <c r="F25" s="49" t="s">
        <v>654</v>
      </c>
      <c r="G25" s="49" t="s">
        <v>654</v>
      </c>
      <c r="H25" s="49" t="s">
        <v>654</v>
      </c>
      <c r="I25" s="52"/>
    </row>
    <row r="26" spans="1:9" x14ac:dyDescent="0.25">
      <c r="A26" s="503"/>
      <c r="B26" s="48" t="s">
        <v>225</v>
      </c>
      <c r="C26" s="49" t="s">
        <v>654</v>
      </c>
      <c r="D26" s="49" t="s">
        <v>654</v>
      </c>
      <c r="E26" s="49" t="s">
        <v>654</v>
      </c>
      <c r="F26" s="49" t="s">
        <v>654</v>
      </c>
      <c r="G26" s="49" t="s">
        <v>654</v>
      </c>
      <c r="H26" s="49" t="s">
        <v>654</v>
      </c>
      <c r="I26" s="52"/>
    </row>
    <row r="27" spans="1:9" ht="33.75" x14ac:dyDescent="0.25">
      <c r="A27" s="503"/>
      <c r="B27" s="48" t="s">
        <v>226</v>
      </c>
      <c r="C27" s="49">
        <v>42887</v>
      </c>
      <c r="D27" s="49">
        <v>42888</v>
      </c>
      <c r="E27" s="49">
        <v>42917</v>
      </c>
      <c r="F27" s="49"/>
      <c r="G27" s="49" t="s">
        <v>789</v>
      </c>
      <c r="H27" s="49" t="s">
        <v>646</v>
      </c>
      <c r="I27" s="477" t="s">
        <v>788</v>
      </c>
    </row>
    <row r="28" spans="1:9" x14ac:dyDescent="0.25">
      <c r="A28" s="503">
        <v>5</v>
      </c>
      <c r="B28" s="56" t="s">
        <v>227</v>
      </c>
      <c r="C28" s="73"/>
      <c r="D28" s="73"/>
      <c r="E28" s="73"/>
      <c r="F28" s="73"/>
      <c r="G28" s="74"/>
      <c r="H28" s="73"/>
      <c r="I28" s="75"/>
    </row>
    <row r="29" spans="1:9" x14ac:dyDescent="0.25">
      <c r="A29" s="503"/>
      <c r="B29" s="54" t="s">
        <v>228</v>
      </c>
      <c r="C29" s="49">
        <v>42877</v>
      </c>
      <c r="D29" s="49">
        <v>42880</v>
      </c>
      <c r="E29" s="49">
        <v>42887</v>
      </c>
      <c r="F29" s="49">
        <v>42892</v>
      </c>
      <c r="G29" s="50" t="s">
        <v>663</v>
      </c>
      <c r="H29" s="49" t="s">
        <v>481</v>
      </c>
      <c r="I29" s="52"/>
    </row>
    <row r="30" spans="1:9" x14ac:dyDescent="0.25">
      <c r="A30" s="503">
        <v>6</v>
      </c>
      <c r="B30" s="56" t="s">
        <v>229</v>
      </c>
      <c r="C30" s="73"/>
      <c r="D30" s="73"/>
      <c r="E30" s="73"/>
      <c r="F30" s="73"/>
      <c r="G30" s="74"/>
      <c r="H30" s="73"/>
      <c r="I30" s="75"/>
    </row>
    <row r="31" spans="1:9" x14ac:dyDescent="0.25">
      <c r="A31" s="503"/>
      <c r="B31" s="54" t="s">
        <v>230</v>
      </c>
      <c r="C31" s="49"/>
      <c r="D31" s="49"/>
      <c r="E31" s="49"/>
      <c r="F31" s="49"/>
      <c r="G31" s="50"/>
      <c r="H31" s="49"/>
      <c r="I31" s="52"/>
    </row>
    <row r="32" spans="1:9" ht="25.5" x14ac:dyDescent="0.25">
      <c r="A32" s="503">
        <v>7</v>
      </c>
      <c r="B32" s="56" t="s">
        <v>231</v>
      </c>
      <c r="C32" s="73"/>
      <c r="D32" s="73"/>
      <c r="E32" s="73"/>
      <c r="F32" s="73"/>
      <c r="G32" s="74"/>
      <c r="H32" s="73"/>
      <c r="I32" s="75"/>
    </row>
    <row r="33" spans="1:9" x14ac:dyDescent="0.25">
      <c r="A33" s="503"/>
      <c r="B33" s="48"/>
      <c r="C33" s="49"/>
      <c r="D33" s="49"/>
      <c r="E33" s="49"/>
      <c r="F33" s="49"/>
      <c r="G33" s="50"/>
      <c r="H33" s="49"/>
      <c r="I33" s="52"/>
    </row>
    <row r="34" spans="1:9" x14ac:dyDescent="0.25">
      <c r="A34" s="503">
        <v>8</v>
      </c>
      <c r="B34" s="56" t="s">
        <v>232</v>
      </c>
      <c r="C34" s="80"/>
      <c r="D34" s="73"/>
      <c r="E34" s="73"/>
      <c r="F34" s="73"/>
      <c r="G34" s="74"/>
      <c r="H34" s="73"/>
      <c r="I34" s="75"/>
    </row>
    <row r="35" spans="1:9" x14ac:dyDescent="0.25">
      <c r="A35" s="503"/>
      <c r="B35" s="48" t="s">
        <v>233</v>
      </c>
      <c r="C35" s="49"/>
      <c r="D35" s="49"/>
      <c r="E35" s="49"/>
      <c r="F35" s="49"/>
      <c r="G35" s="49"/>
      <c r="H35" s="49"/>
      <c r="I35" s="52"/>
    </row>
    <row r="36" spans="1:9" x14ac:dyDescent="0.25">
      <c r="A36" s="503"/>
      <c r="B36" s="54" t="s">
        <v>234</v>
      </c>
      <c r="C36" s="49"/>
      <c r="D36" s="49"/>
      <c r="E36" s="49"/>
      <c r="F36" s="49"/>
      <c r="G36" s="49"/>
      <c r="H36" s="49"/>
      <c r="I36" s="52"/>
    </row>
    <row r="37" spans="1:9" x14ac:dyDescent="0.25">
      <c r="A37" s="503"/>
      <c r="B37" s="54" t="s">
        <v>235</v>
      </c>
      <c r="C37" s="49" t="s">
        <v>654</v>
      </c>
      <c r="D37" s="49" t="s">
        <v>654</v>
      </c>
      <c r="E37" s="49" t="s">
        <v>654</v>
      </c>
      <c r="F37" s="49" t="s">
        <v>654</v>
      </c>
      <c r="G37" s="49" t="s">
        <v>654</v>
      </c>
      <c r="H37" s="49" t="s">
        <v>654</v>
      </c>
      <c r="I37" s="52"/>
    </row>
    <row r="38" spans="1:9" x14ac:dyDescent="0.25">
      <c r="A38" s="503"/>
      <c r="B38" s="48" t="s">
        <v>236</v>
      </c>
      <c r="C38" s="49"/>
      <c r="D38" s="49"/>
      <c r="E38" s="49"/>
      <c r="F38" s="49"/>
      <c r="G38" s="50"/>
      <c r="H38" s="49"/>
      <c r="I38" s="52"/>
    </row>
    <row r="39" spans="1:9" x14ac:dyDescent="0.25">
      <c r="A39" s="503"/>
      <c r="B39" s="48" t="s">
        <v>237</v>
      </c>
      <c r="C39" s="49"/>
      <c r="D39" s="49"/>
      <c r="E39" s="49"/>
      <c r="F39" s="49"/>
      <c r="G39" s="50"/>
      <c r="H39" s="49"/>
      <c r="I39" s="52"/>
    </row>
    <row r="40" spans="1:9" x14ac:dyDescent="0.25">
      <c r="A40" s="503">
        <v>9</v>
      </c>
      <c r="B40" s="53" t="s">
        <v>238</v>
      </c>
      <c r="C40" s="73"/>
      <c r="D40" s="73"/>
      <c r="E40" s="73"/>
      <c r="F40" s="73"/>
      <c r="G40" s="74"/>
      <c r="H40" s="73"/>
      <c r="I40" s="75"/>
    </row>
    <row r="41" spans="1:9" x14ac:dyDescent="0.25">
      <c r="A41" s="503"/>
      <c r="B41" s="48" t="s">
        <v>239</v>
      </c>
      <c r="C41" s="49"/>
      <c r="D41" s="49"/>
      <c r="E41" s="49"/>
      <c r="F41" s="49"/>
      <c r="G41" s="50"/>
      <c r="H41" s="49"/>
      <c r="I41" s="52"/>
    </row>
    <row r="42" spans="1:9" x14ac:dyDescent="0.25">
      <c r="A42" s="503">
        <v>10</v>
      </c>
      <c r="B42" s="53" t="s">
        <v>240</v>
      </c>
      <c r="C42" s="73"/>
      <c r="D42" s="73"/>
      <c r="E42" s="73"/>
      <c r="F42" s="73"/>
      <c r="G42" s="73"/>
      <c r="H42" s="73"/>
      <c r="I42" s="75"/>
    </row>
    <row r="43" spans="1:9" x14ac:dyDescent="0.25">
      <c r="A43" s="503"/>
      <c r="B43" s="48"/>
      <c r="C43" s="49"/>
      <c r="D43" s="49"/>
      <c r="E43" s="49"/>
      <c r="F43" s="49"/>
      <c r="G43" s="50"/>
      <c r="H43" s="49"/>
      <c r="I43" s="52"/>
    </row>
    <row r="44" spans="1:9" ht="18" x14ac:dyDescent="0.25">
      <c r="A44" s="81">
        <v>11</v>
      </c>
      <c r="B44" s="56" t="s">
        <v>241</v>
      </c>
      <c r="C44" s="60" t="s">
        <v>242</v>
      </c>
      <c r="D44" s="60"/>
      <c r="E44" s="60"/>
      <c r="F44" s="60"/>
      <c r="G44" s="50" t="s">
        <v>243</v>
      </c>
      <c r="H44" s="60"/>
      <c r="I44" s="61"/>
    </row>
    <row r="45" spans="1:9" x14ac:dyDescent="0.25">
      <c r="A45" s="503">
        <v>12</v>
      </c>
      <c r="B45" s="65" t="s">
        <v>244</v>
      </c>
      <c r="C45" s="73"/>
      <c r="D45" s="73"/>
      <c r="E45" s="73"/>
      <c r="F45" s="73"/>
      <c r="G45" s="74"/>
      <c r="H45" s="73"/>
      <c r="I45" s="75"/>
    </row>
    <row r="46" spans="1:9" x14ac:dyDescent="0.25">
      <c r="A46" s="503"/>
      <c r="B46" s="66" t="s">
        <v>245</v>
      </c>
      <c r="C46" s="60" t="s">
        <v>242</v>
      </c>
      <c r="D46" s="60" t="s">
        <v>242</v>
      </c>
      <c r="E46" s="60" t="s">
        <v>242</v>
      </c>
      <c r="F46" s="60" t="s">
        <v>242</v>
      </c>
      <c r="G46" s="50" t="s">
        <v>149</v>
      </c>
      <c r="H46" s="60"/>
      <c r="I46" s="61"/>
    </row>
    <row r="47" spans="1:9" x14ac:dyDescent="0.25">
      <c r="A47" s="503"/>
      <c r="B47" s="66" t="s">
        <v>246</v>
      </c>
      <c r="C47" s="60" t="s">
        <v>242</v>
      </c>
      <c r="D47" s="60" t="s">
        <v>242</v>
      </c>
      <c r="E47" s="60" t="s">
        <v>242</v>
      </c>
      <c r="F47" s="60" t="s">
        <v>242</v>
      </c>
      <c r="G47" s="50" t="s">
        <v>149</v>
      </c>
      <c r="H47" s="60"/>
      <c r="I47" s="61"/>
    </row>
    <row r="48" spans="1:9" x14ac:dyDescent="0.25">
      <c r="A48" s="503"/>
      <c r="B48" s="66" t="s">
        <v>247</v>
      </c>
      <c r="C48" s="60" t="s">
        <v>242</v>
      </c>
      <c r="D48" s="60" t="s">
        <v>242</v>
      </c>
      <c r="E48" s="60" t="s">
        <v>242</v>
      </c>
      <c r="F48" s="60" t="s">
        <v>242</v>
      </c>
      <c r="G48" s="50" t="s">
        <v>149</v>
      </c>
      <c r="H48" s="60"/>
      <c r="I48" s="61"/>
    </row>
    <row r="49" spans="1:9" x14ac:dyDescent="0.25">
      <c r="A49" s="82"/>
      <c r="B49" s="56"/>
      <c r="C49" s="60"/>
      <c r="D49" s="60"/>
      <c r="E49" s="60"/>
      <c r="F49" s="60"/>
      <c r="G49" s="50"/>
      <c r="H49" s="60"/>
      <c r="I49" s="61"/>
    </row>
    <row r="50" spans="1:9" ht="15.75" thickBot="1" x14ac:dyDescent="0.3">
      <c r="A50" s="58"/>
      <c r="B50" s="62"/>
      <c r="C50" s="63"/>
      <c r="D50" s="63"/>
      <c r="E50" s="63"/>
      <c r="F50" s="63"/>
      <c r="G50" s="59"/>
      <c r="H50" s="63"/>
      <c r="I50" s="64"/>
    </row>
  </sheetData>
  <mergeCells count="12">
    <mergeCell ref="A45:A48"/>
    <mergeCell ref="A1:I1"/>
    <mergeCell ref="A9:A17"/>
    <mergeCell ref="A18:A22"/>
    <mergeCell ref="A23:A27"/>
    <mergeCell ref="A28:A29"/>
    <mergeCell ref="A30:A31"/>
    <mergeCell ref="A32:A33"/>
    <mergeCell ref="A34:A39"/>
    <mergeCell ref="A40:A41"/>
    <mergeCell ref="A42:A43"/>
    <mergeCell ref="A6:A8"/>
  </mergeCells>
  <pageMargins left="0.25" right="0.25" top="0.75" bottom="0.75" header="0.3" footer="0.3"/>
  <pageSetup scale="96"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B050"/>
  </sheetPr>
  <dimension ref="A1:W99"/>
  <sheetViews>
    <sheetView zoomScale="130" zoomScaleNormal="130" workbookViewId="0">
      <pane ySplit="2" topLeftCell="A3" activePane="bottomLeft" state="frozen"/>
      <selection pane="bottomLeft" activeCell="A2" sqref="A2:K14"/>
    </sheetView>
  </sheetViews>
  <sheetFormatPr defaultColWidth="11.85546875" defaultRowHeight="15" x14ac:dyDescent="0.25"/>
  <cols>
    <col min="1" max="1" width="9" style="13" customWidth="1"/>
    <col min="2" max="2" width="9.85546875" style="13" bestFit="1" customWidth="1"/>
    <col min="3" max="3" width="7.7109375" style="13" customWidth="1"/>
    <col min="4" max="4" width="11.5703125" style="13" bestFit="1" customWidth="1"/>
    <col min="5" max="5" width="5.140625" style="13" bestFit="1" customWidth="1"/>
    <col min="6" max="6" width="33" style="13" bestFit="1" customWidth="1"/>
    <col min="7" max="7" width="24.85546875" style="13" customWidth="1"/>
    <col min="8" max="8" width="13.85546875" style="13" bestFit="1" customWidth="1"/>
    <col min="9" max="9" width="3.7109375" style="13" bestFit="1" customWidth="1"/>
    <col min="10" max="10" width="7.7109375" style="13" bestFit="1" customWidth="1"/>
    <col min="11" max="11" width="7.28515625" style="290" bestFit="1" customWidth="1"/>
    <col min="12" max="12" width="8.85546875" style="13" bestFit="1" customWidth="1"/>
    <col min="13" max="13" width="18" style="13" bestFit="1" customWidth="1"/>
    <col min="14" max="14" width="12" style="13" bestFit="1" customWidth="1"/>
    <col min="15" max="15" width="9.140625" style="13" bestFit="1" customWidth="1"/>
    <col min="16" max="16" width="24.7109375" style="13" customWidth="1"/>
    <col min="17" max="17" width="18.5703125" style="290" bestFit="1" customWidth="1"/>
    <col min="18" max="18" width="10" style="13" bestFit="1" customWidth="1"/>
    <col min="19" max="19" width="10.5703125" style="13" bestFit="1" customWidth="1"/>
    <col min="20" max="20" width="11.7109375" style="13" bestFit="1" customWidth="1"/>
    <col min="21" max="21" width="13.7109375" style="13" bestFit="1" customWidth="1"/>
    <col min="22" max="22" width="8.140625" style="13" bestFit="1" customWidth="1"/>
    <col min="23" max="23" width="9.5703125" style="13" bestFit="1" customWidth="1"/>
    <col min="24" max="16384" width="11.85546875" style="13"/>
  </cols>
  <sheetData>
    <row r="1" spans="1:23" s="39" customFormat="1" ht="18.75" x14ac:dyDescent="0.25">
      <c r="A1" s="507" t="s">
        <v>332</v>
      </c>
      <c r="B1" s="508"/>
      <c r="C1" s="508"/>
      <c r="D1" s="508"/>
      <c r="E1" s="508"/>
      <c r="F1" s="508"/>
      <c r="G1" s="508"/>
      <c r="H1" s="508"/>
      <c r="I1" s="508"/>
      <c r="J1" s="508"/>
      <c r="K1" s="508"/>
      <c r="L1" s="508"/>
      <c r="M1" s="508"/>
      <c r="N1" s="508"/>
      <c r="O1" s="508"/>
      <c r="P1" s="508"/>
      <c r="Q1" s="508"/>
      <c r="R1" s="508"/>
      <c r="S1" s="508"/>
      <c r="T1" s="508"/>
      <c r="U1" s="508"/>
      <c r="V1" s="508"/>
      <c r="W1" s="508"/>
    </row>
    <row r="2" spans="1:23" s="146" customFormat="1" ht="30" x14ac:dyDescent="0.25">
      <c r="A2" s="295" t="s">
        <v>305</v>
      </c>
      <c r="B2" s="295" t="s">
        <v>306</v>
      </c>
      <c r="C2" s="205" t="s">
        <v>474</v>
      </c>
      <c r="D2" s="205" t="s">
        <v>307</v>
      </c>
      <c r="E2" s="205" t="s">
        <v>308</v>
      </c>
      <c r="F2" s="206" t="s">
        <v>115</v>
      </c>
      <c r="G2" s="206" t="s">
        <v>147</v>
      </c>
      <c r="H2" s="206" t="s">
        <v>107</v>
      </c>
      <c r="I2" s="205" t="s">
        <v>309</v>
      </c>
      <c r="J2" s="205" t="s">
        <v>310</v>
      </c>
      <c r="K2" s="205" t="s">
        <v>301</v>
      </c>
      <c r="L2" s="205" t="s">
        <v>311</v>
      </c>
      <c r="M2" s="207" t="s">
        <v>312</v>
      </c>
      <c r="N2" s="207" t="s">
        <v>101</v>
      </c>
      <c r="O2" s="207" t="s">
        <v>313</v>
      </c>
      <c r="P2" s="207" t="s">
        <v>251</v>
      </c>
      <c r="Q2" s="257" t="s">
        <v>250</v>
      </c>
      <c r="R2" s="207" t="s">
        <v>314</v>
      </c>
      <c r="S2" s="207" t="s">
        <v>315</v>
      </c>
      <c r="T2" s="207" t="s">
        <v>316</v>
      </c>
      <c r="U2" s="208" t="s">
        <v>317</v>
      </c>
      <c r="V2" s="209" t="s">
        <v>318</v>
      </c>
      <c r="W2" s="207" t="s">
        <v>319</v>
      </c>
    </row>
    <row r="3" spans="1:23" s="150" customFormat="1" ht="24" x14ac:dyDescent="0.2">
      <c r="A3" s="403" t="s">
        <v>472</v>
      </c>
      <c r="B3" s="404">
        <v>752</v>
      </c>
      <c r="C3" s="404">
        <v>752</v>
      </c>
      <c r="D3" s="317" t="s">
        <v>471</v>
      </c>
      <c r="E3" s="405"/>
      <c r="F3" s="406" t="s">
        <v>551</v>
      </c>
      <c r="G3" s="447" t="s">
        <v>634</v>
      </c>
      <c r="H3" s="406" t="s">
        <v>626</v>
      </c>
      <c r="I3" s="317">
        <v>15</v>
      </c>
      <c r="J3" s="317" t="s">
        <v>627</v>
      </c>
      <c r="K3" s="317" t="s">
        <v>620</v>
      </c>
      <c r="L3" s="404" t="s">
        <v>621</v>
      </c>
      <c r="M3" s="406" t="s">
        <v>622</v>
      </c>
      <c r="N3" s="422" t="s">
        <v>623</v>
      </c>
      <c r="O3" s="317" t="s">
        <v>471</v>
      </c>
      <c r="P3" s="424" t="s">
        <v>624</v>
      </c>
      <c r="Q3" s="408"/>
      <c r="R3" s="407"/>
      <c r="S3" s="407"/>
      <c r="T3" s="407"/>
      <c r="U3" s="409"/>
      <c r="V3" s="425" t="s">
        <v>625</v>
      </c>
      <c r="W3" s="407"/>
    </row>
    <row r="4" spans="1:23" s="150" customFormat="1" ht="24" x14ac:dyDescent="0.2">
      <c r="A4" s="403" t="s">
        <v>472</v>
      </c>
      <c r="B4" s="404">
        <v>774</v>
      </c>
      <c r="C4" s="404">
        <v>774</v>
      </c>
      <c r="D4" s="317" t="s">
        <v>473</v>
      </c>
      <c r="E4" s="405"/>
      <c r="F4" s="406" t="s">
        <v>552</v>
      </c>
      <c r="G4" s="447" t="s">
        <v>634</v>
      </c>
      <c r="H4" s="406" t="s">
        <v>626</v>
      </c>
      <c r="I4" s="317">
        <v>15</v>
      </c>
      <c r="J4" s="317" t="s">
        <v>627</v>
      </c>
      <c r="K4" s="317" t="s">
        <v>620</v>
      </c>
      <c r="L4" s="404" t="s">
        <v>621</v>
      </c>
      <c r="M4" s="406" t="s">
        <v>622</v>
      </c>
      <c r="N4" s="422" t="s">
        <v>623</v>
      </c>
      <c r="O4" s="317" t="s">
        <v>473</v>
      </c>
      <c r="P4" s="424" t="s">
        <v>624</v>
      </c>
      <c r="Q4" s="408"/>
      <c r="R4" s="407"/>
      <c r="S4" s="407"/>
      <c r="T4" s="407"/>
      <c r="U4" s="409"/>
      <c r="V4" s="425" t="s">
        <v>625</v>
      </c>
      <c r="W4" s="407"/>
    </row>
    <row r="5" spans="1:23" s="147" customFormat="1" ht="24" x14ac:dyDescent="0.25">
      <c r="A5" s="403" t="s">
        <v>472</v>
      </c>
      <c r="B5" s="306">
        <v>703</v>
      </c>
      <c r="C5" s="305">
        <v>703</v>
      </c>
      <c r="D5" s="302" t="s">
        <v>606</v>
      </c>
      <c r="E5" s="296"/>
      <c r="F5" s="301" t="s">
        <v>607</v>
      </c>
      <c r="G5" s="447" t="s">
        <v>634</v>
      </c>
      <c r="H5" s="406" t="s">
        <v>626</v>
      </c>
      <c r="I5" s="317">
        <v>15</v>
      </c>
      <c r="J5" s="317" t="s">
        <v>627</v>
      </c>
      <c r="K5" s="302" t="s">
        <v>620</v>
      </c>
      <c r="L5" s="305" t="s">
        <v>621</v>
      </c>
      <c r="M5" s="406" t="s">
        <v>622</v>
      </c>
      <c r="N5" s="423" t="s">
        <v>623</v>
      </c>
      <c r="O5" s="302" t="s">
        <v>606</v>
      </c>
      <c r="P5" s="424" t="s">
        <v>624</v>
      </c>
      <c r="Q5" s="304"/>
      <c r="R5" s="297"/>
      <c r="S5" s="297"/>
      <c r="T5" s="297"/>
      <c r="U5" s="299"/>
      <c r="V5" s="426" t="s">
        <v>625</v>
      </c>
      <c r="W5" s="297"/>
    </row>
    <row r="6" spans="1:23" s="147" customFormat="1" x14ac:dyDescent="0.25">
      <c r="A6" s="403"/>
      <c r="B6" s="306"/>
      <c r="C6" s="305"/>
      <c r="D6" s="302"/>
      <c r="E6" s="296"/>
      <c r="F6" s="468" t="s">
        <v>615</v>
      </c>
      <c r="G6" s="446" t="s">
        <v>681</v>
      </c>
      <c r="H6" s="469" t="s">
        <v>680</v>
      </c>
      <c r="I6" s="470"/>
      <c r="J6" s="468"/>
      <c r="K6" s="470" t="s">
        <v>620</v>
      </c>
      <c r="L6" s="305"/>
      <c r="M6" s="406"/>
      <c r="N6" s="423"/>
      <c r="O6" s="302"/>
      <c r="P6" s="424"/>
      <c r="Q6" s="304"/>
      <c r="R6" s="297"/>
      <c r="S6" s="297"/>
      <c r="T6" s="297"/>
      <c r="U6" s="299"/>
      <c r="V6" s="426"/>
      <c r="W6" s="297"/>
    </row>
    <row r="7" spans="1:23" s="147" customFormat="1" x14ac:dyDescent="0.25">
      <c r="A7" s="403"/>
      <c r="B7" s="306"/>
      <c r="C7" s="305"/>
      <c r="D7" s="302"/>
      <c r="E7" s="296"/>
      <c r="F7" s="468" t="s">
        <v>616</v>
      </c>
      <c r="G7" s="446" t="s">
        <v>670</v>
      </c>
      <c r="H7" s="469" t="s">
        <v>669</v>
      </c>
      <c r="I7" s="470"/>
      <c r="J7" s="468"/>
      <c r="K7" s="470" t="s">
        <v>620</v>
      </c>
      <c r="L7" s="305"/>
      <c r="M7" s="406"/>
      <c r="N7" s="423"/>
      <c r="O7" s="302"/>
      <c r="P7" s="424"/>
      <c r="Q7" s="304"/>
      <c r="R7" s="297"/>
      <c r="S7" s="297"/>
      <c r="T7" s="297"/>
      <c r="U7" s="299"/>
      <c r="V7" s="426"/>
      <c r="W7" s="297"/>
    </row>
    <row r="8" spans="1:23" s="147" customFormat="1" x14ac:dyDescent="0.25">
      <c r="A8" s="403"/>
      <c r="B8" s="306"/>
      <c r="C8" s="305"/>
      <c r="D8" s="302"/>
      <c r="E8" s="296"/>
      <c r="F8" s="301"/>
      <c r="G8" s="301"/>
      <c r="H8" s="301"/>
      <c r="I8" s="302"/>
      <c r="J8" s="302"/>
      <c r="K8" s="302"/>
      <c r="L8" s="305"/>
      <c r="M8" s="303"/>
      <c r="N8" s="297"/>
      <c r="O8" s="297"/>
      <c r="P8" s="298"/>
      <c r="Q8" s="304"/>
      <c r="R8" s="297"/>
      <c r="S8" s="297"/>
      <c r="T8" s="297"/>
      <c r="U8" s="299"/>
      <c r="V8" s="300"/>
      <c r="W8" s="297"/>
    </row>
    <row r="9" spans="1:23" s="147" customFormat="1" x14ac:dyDescent="0.25">
      <c r="A9" s="306"/>
      <c r="B9" s="306"/>
      <c r="C9" s="305"/>
      <c r="D9" s="317"/>
      <c r="E9" s="296"/>
      <c r="F9" s="301" t="s">
        <v>553</v>
      </c>
      <c r="G9" s="301"/>
      <c r="H9" s="301"/>
      <c r="I9" s="302"/>
      <c r="J9" s="302"/>
      <c r="K9" s="302"/>
      <c r="L9" s="305"/>
      <c r="M9" s="301"/>
      <c r="N9" s="297"/>
      <c r="O9" s="297"/>
      <c r="P9" s="298"/>
      <c r="Q9" s="304"/>
      <c r="R9" s="297"/>
      <c r="S9" s="297"/>
      <c r="T9" s="297"/>
      <c r="U9" s="299"/>
      <c r="V9" s="300"/>
      <c r="W9" s="297"/>
    </row>
    <row r="10" spans="1:23" s="147" customFormat="1" x14ac:dyDescent="0.25">
      <c r="A10" s="306"/>
      <c r="B10" s="306"/>
      <c r="C10" s="305"/>
      <c r="D10" s="317"/>
      <c r="E10" s="296"/>
      <c r="F10" s="413" t="s">
        <v>573</v>
      </c>
      <c r="G10" s="324"/>
      <c r="H10" s="324"/>
      <c r="I10" s="325"/>
      <c r="J10" s="325"/>
      <c r="K10" s="325"/>
      <c r="L10" s="305"/>
      <c r="M10" s="324"/>
      <c r="N10" s="297"/>
      <c r="O10" s="297"/>
      <c r="P10" s="298"/>
      <c r="Q10" s="304"/>
      <c r="R10" s="297"/>
      <c r="S10" s="297"/>
      <c r="T10" s="297"/>
      <c r="U10" s="299"/>
      <c r="V10" s="300"/>
      <c r="W10" s="297"/>
    </row>
    <row r="11" spans="1:23" s="147" customFormat="1" x14ac:dyDescent="0.25">
      <c r="A11" s="306"/>
      <c r="B11" s="306"/>
      <c r="C11" s="305"/>
      <c r="D11" s="317"/>
      <c r="E11" s="296"/>
      <c r="F11" s="413" t="s">
        <v>574</v>
      </c>
      <c r="G11" s="324"/>
      <c r="H11" s="324"/>
      <c r="I11" s="325"/>
      <c r="J11" s="325"/>
      <c r="K11" s="325"/>
      <c r="L11" s="305"/>
      <c r="M11" s="324"/>
      <c r="N11" s="297"/>
      <c r="O11" s="297"/>
      <c r="P11" s="298"/>
      <c r="Q11" s="304"/>
      <c r="R11" s="297"/>
      <c r="S11" s="297"/>
      <c r="T11" s="297"/>
      <c r="U11" s="299"/>
      <c r="V11" s="300"/>
      <c r="W11" s="297"/>
    </row>
    <row r="12" spans="1:23" s="147" customFormat="1" x14ac:dyDescent="0.25">
      <c r="A12" s="306"/>
      <c r="B12" s="306"/>
      <c r="C12" s="305"/>
      <c r="D12" s="317"/>
      <c r="E12" s="296"/>
      <c r="F12" s="413" t="s">
        <v>575</v>
      </c>
      <c r="G12" s="324"/>
      <c r="H12" s="324"/>
      <c r="I12" s="325"/>
      <c r="J12" s="325"/>
      <c r="K12" s="325"/>
      <c r="L12" s="305"/>
      <c r="M12" s="324"/>
      <c r="N12" s="297"/>
      <c r="O12" s="297"/>
      <c r="P12" s="298"/>
      <c r="Q12" s="304"/>
      <c r="R12" s="297"/>
      <c r="S12" s="297"/>
      <c r="T12" s="297"/>
      <c r="U12" s="299"/>
      <c r="V12" s="300"/>
      <c r="W12" s="297"/>
    </row>
    <row r="13" spans="1:23" s="147" customFormat="1" x14ac:dyDescent="0.25">
      <c r="A13" s="306"/>
      <c r="B13" s="306"/>
      <c r="C13" s="305"/>
      <c r="D13" s="326"/>
      <c r="E13" s="296"/>
      <c r="F13" s="414" t="s">
        <v>576</v>
      </c>
      <c r="G13" s="260"/>
      <c r="H13" s="260"/>
      <c r="I13" s="302"/>
      <c r="J13" s="327"/>
      <c r="K13" s="302"/>
      <c r="L13" s="305"/>
      <c r="M13" s="301"/>
      <c r="N13" s="297"/>
      <c r="O13" s="297"/>
      <c r="P13" s="298"/>
      <c r="Q13" s="304"/>
      <c r="R13" s="297"/>
      <c r="S13" s="297"/>
      <c r="T13" s="297"/>
      <c r="U13" s="299"/>
      <c r="V13" s="300"/>
      <c r="W13" s="297"/>
    </row>
    <row r="14" spans="1:23" s="147" customFormat="1" x14ac:dyDescent="0.25">
      <c r="A14" s="306"/>
      <c r="B14" s="306"/>
      <c r="C14" s="305"/>
      <c r="D14" s="317"/>
      <c r="E14" s="296"/>
      <c r="F14" s="414" t="s">
        <v>577</v>
      </c>
      <c r="G14" s="260"/>
      <c r="H14" s="260"/>
      <c r="I14" s="302"/>
      <c r="J14" s="327"/>
      <c r="K14" s="302"/>
      <c r="L14" s="305"/>
      <c r="M14" s="301"/>
      <c r="N14" s="297"/>
      <c r="O14" s="297"/>
      <c r="P14" s="298"/>
      <c r="Q14" s="304"/>
      <c r="R14" s="297"/>
      <c r="S14" s="297"/>
      <c r="T14" s="297"/>
      <c r="U14" s="299"/>
      <c r="V14" s="300"/>
      <c r="W14" s="297"/>
    </row>
    <row r="15" spans="1:23" s="147" customFormat="1" x14ac:dyDescent="0.25">
      <c r="A15" s="306"/>
      <c r="B15" s="306"/>
      <c r="C15" s="305"/>
      <c r="D15" s="317"/>
      <c r="E15" s="296"/>
      <c r="F15" s="328"/>
      <c r="G15" s="328"/>
      <c r="H15" s="329"/>
      <c r="I15" s="302"/>
      <c r="J15" s="328"/>
      <c r="K15" s="318"/>
      <c r="L15" s="305"/>
      <c r="M15" s="301"/>
      <c r="N15" s="297"/>
      <c r="O15" s="297"/>
      <c r="P15" s="298"/>
      <c r="Q15" s="304"/>
      <c r="R15" s="297"/>
      <c r="S15" s="297"/>
      <c r="T15" s="297"/>
      <c r="U15" s="299"/>
      <c r="V15" s="300"/>
      <c r="W15" s="297"/>
    </row>
    <row r="16" spans="1:23" s="147" customFormat="1" x14ac:dyDescent="0.25">
      <c r="A16" s="306"/>
      <c r="B16" s="306"/>
      <c r="C16" s="305"/>
      <c r="D16" s="296"/>
      <c r="E16" s="296"/>
      <c r="F16" s="330"/>
      <c r="G16" s="330"/>
      <c r="H16" s="330"/>
      <c r="I16" s="331"/>
      <c r="J16" s="330"/>
      <c r="K16" s="332"/>
      <c r="L16" s="296"/>
      <c r="M16" s="260"/>
      <c r="N16" s="297"/>
      <c r="O16" s="297"/>
      <c r="P16" s="297"/>
      <c r="Q16" s="302"/>
      <c r="R16" s="297"/>
      <c r="S16" s="297"/>
      <c r="T16" s="297"/>
      <c r="U16" s="299"/>
      <c r="V16" s="300"/>
      <c r="W16" s="297"/>
    </row>
    <row r="17" spans="1:23" s="147" customFormat="1" x14ac:dyDescent="0.25">
      <c r="A17" s="306"/>
      <c r="B17" s="306"/>
      <c r="C17" s="305"/>
      <c r="D17" s="296"/>
      <c r="E17" s="296"/>
      <c r="F17" s="330"/>
      <c r="G17" s="330"/>
      <c r="H17" s="330"/>
      <c r="I17" s="331"/>
      <c r="J17" s="330"/>
      <c r="K17" s="332"/>
      <c r="L17" s="296"/>
      <c r="M17" s="260"/>
      <c r="N17" s="297"/>
      <c r="O17" s="297"/>
      <c r="P17" s="297"/>
      <c r="Q17" s="302"/>
      <c r="R17" s="297"/>
      <c r="S17" s="297"/>
      <c r="T17" s="297"/>
      <c r="U17" s="299"/>
      <c r="V17" s="300"/>
      <c r="W17" s="297"/>
    </row>
    <row r="18" spans="1:23" s="147" customFormat="1" x14ac:dyDescent="0.25">
      <c r="A18" s="306"/>
      <c r="B18" s="306"/>
      <c r="C18" s="305"/>
      <c r="D18" s="296"/>
      <c r="E18" s="296"/>
      <c r="F18" s="330"/>
      <c r="G18" s="330"/>
      <c r="H18" s="330"/>
      <c r="I18" s="331"/>
      <c r="J18" s="330"/>
      <c r="K18" s="332"/>
      <c r="L18" s="296"/>
      <c r="M18" s="260"/>
      <c r="N18" s="297"/>
      <c r="O18" s="297"/>
      <c r="P18" s="297"/>
      <c r="Q18" s="302"/>
      <c r="R18" s="297"/>
      <c r="S18" s="297"/>
      <c r="T18" s="297"/>
      <c r="U18" s="299"/>
      <c r="V18" s="300"/>
      <c r="W18" s="297"/>
    </row>
    <row r="19" spans="1:23" s="146" customFormat="1" x14ac:dyDescent="0.25">
      <c r="A19" s="220"/>
      <c r="B19" s="220"/>
      <c r="C19" s="217"/>
      <c r="D19" s="314"/>
      <c r="E19" s="315"/>
      <c r="F19" s="22"/>
      <c r="G19"/>
      <c r="H19"/>
      <c r="I19" s="18"/>
      <c r="J19" s="287"/>
      <c r="K19" s="18"/>
      <c r="L19" s="210"/>
      <c r="M19"/>
      <c r="N19" s="212"/>
      <c r="O19" s="212"/>
      <c r="P19" s="212"/>
      <c r="Q19" s="18"/>
      <c r="R19" s="212"/>
      <c r="S19" s="212"/>
      <c r="T19" s="212"/>
      <c r="U19" s="213"/>
      <c r="V19" s="214"/>
      <c r="W19" s="316"/>
    </row>
    <row r="20" spans="1:23" s="146" customFormat="1" x14ac:dyDescent="0.25">
      <c r="A20" s="220"/>
      <c r="B20" s="220"/>
      <c r="C20" s="217"/>
      <c r="D20" s="216"/>
      <c r="E20" s="219"/>
      <c r="F20" s="22"/>
      <c r="G20"/>
      <c r="H20"/>
      <c r="I20" s="18"/>
      <c r="J20" s="287"/>
      <c r="K20" s="18"/>
      <c r="L20" s="210"/>
      <c r="M20"/>
      <c r="N20" s="212"/>
      <c r="O20" s="212"/>
      <c r="P20" s="212"/>
      <c r="Q20" s="18"/>
      <c r="R20" s="212"/>
      <c r="S20" s="212"/>
      <c r="T20" s="212"/>
      <c r="U20" s="213"/>
      <c r="V20" s="214"/>
      <c r="W20" s="221"/>
    </row>
    <row r="21" spans="1:23" s="146" customFormat="1" x14ac:dyDescent="0.25">
      <c r="A21" s="220"/>
      <c r="B21" s="220"/>
      <c r="C21" s="217"/>
      <c r="D21" s="216"/>
      <c r="E21" s="219"/>
      <c r="F21" s="22"/>
      <c r="G21"/>
      <c r="H21"/>
      <c r="I21" s="18"/>
      <c r="J21" s="287"/>
      <c r="K21" s="18"/>
      <c r="L21" s="210"/>
      <c r="M21"/>
      <c r="N21" s="212"/>
      <c r="O21" s="212"/>
      <c r="P21" s="212"/>
      <c r="Q21" s="18"/>
      <c r="R21" s="212"/>
      <c r="S21" s="212"/>
      <c r="T21" s="212"/>
      <c r="U21" s="213"/>
      <c r="V21" s="214"/>
      <c r="W21" s="221"/>
    </row>
    <row r="22" spans="1:23" s="146" customFormat="1" x14ac:dyDescent="0.25">
      <c r="A22" s="215"/>
      <c r="B22" s="215"/>
      <c r="C22" s="216"/>
      <c r="D22" s="216"/>
      <c r="E22" s="219"/>
      <c r="F22" s="218"/>
      <c r="G22" s="218"/>
      <c r="H22" s="211"/>
      <c r="I22" s="210"/>
      <c r="J22" s="210"/>
      <c r="K22" s="210"/>
      <c r="L22" s="210"/>
      <c r="M22" s="212"/>
      <c r="N22" s="212"/>
      <c r="O22" s="212"/>
      <c r="P22" s="212"/>
      <c r="Q22" s="288"/>
      <c r="R22" s="212"/>
      <c r="S22" s="212"/>
      <c r="T22" s="212"/>
      <c r="U22" s="213"/>
      <c r="V22" s="214"/>
      <c r="W22" s="221"/>
    </row>
    <row r="23" spans="1:23" s="146" customFormat="1" x14ac:dyDescent="0.25">
      <c r="A23" s="215"/>
      <c r="B23" s="215"/>
      <c r="C23" s="216"/>
      <c r="D23" s="216"/>
      <c r="E23" s="219"/>
      <c r="F23" s="218"/>
      <c r="G23" s="218"/>
      <c r="H23" s="211"/>
      <c r="I23" s="210"/>
      <c r="J23" s="210"/>
      <c r="K23" s="210"/>
      <c r="L23" s="210"/>
      <c r="M23" s="212"/>
      <c r="N23" s="212"/>
      <c r="O23" s="212"/>
      <c r="P23" s="212"/>
      <c r="Q23" s="288"/>
      <c r="R23" s="212"/>
      <c r="S23" s="212"/>
      <c r="T23" s="212"/>
      <c r="U23" s="213"/>
      <c r="V23" s="214"/>
      <c r="W23" s="221"/>
    </row>
    <row r="24" spans="1:23" s="146" customFormat="1" x14ac:dyDescent="0.25">
      <c r="A24" s="215"/>
      <c r="B24" s="215"/>
      <c r="C24" s="216"/>
      <c r="D24" s="216"/>
      <c r="E24" s="219"/>
      <c r="F24" s="218"/>
      <c r="G24" s="218"/>
      <c r="H24" s="211"/>
      <c r="I24" s="210"/>
      <c r="J24" s="210"/>
      <c r="K24" s="210"/>
      <c r="L24" s="210"/>
      <c r="M24" s="212"/>
      <c r="N24" s="212"/>
      <c r="O24" s="212"/>
      <c r="P24" s="212"/>
      <c r="Q24" s="288"/>
      <c r="R24" s="212"/>
      <c r="S24" s="212"/>
      <c r="T24" s="212"/>
      <c r="U24" s="213"/>
      <c r="V24" s="214"/>
      <c r="W24" s="221"/>
    </row>
    <row r="25" spans="1:23" s="150" customFormat="1" x14ac:dyDescent="0.25">
      <c r="A25" s="38" t="s">
        <v>131</v>
      </c>
      <c r="B25" s="37"/>
      <c r="C25" s="228"/>
      <c r="D25" s="222"/>
      <c r="E25" s="222"/>
      <c r="F25" s="231"/>
      <c r="G25" s="222"/>
      <c r="H25" s="222"/>
      <c r="I25" s="222"/>
      <c r="J25" s="222"/>
      <c r="K25" s="289"/>
      <c r="L25" s="222"/>
      <c r="M25" s="222"/>
      <c r="N25" s="222"/>
      <c r="O25" s="222"/>
      <c r="P25" s="222"/>
      <c r="Q25" s="289"/>
      <c r="R25" s="222"/>
      <c r="S25" s="222"/>
      <c r="T25" s="222"/>
      <c r="U25" s="222"/>
      <c r="V25" s="222"/>
      <c r="W25" s="222"/>
    </row>
    <row r="26" spans="1:23" s="150" customFormat="1" x14ac:dyDescent="0.25">
      <c r="A26" s="38" t="s">
        <v>128</v>
      </c>
      <c r="B26" s="37"/>
      <c r="C26" s="228"/>
      <c r="D26" s="222"/>
      <c r="E26" s="222"/>
      <c r="F26" s="231"/>
      <c r="G26" s="222"/>
      <c r="H26" s="222"/>
      <c r="I26" s="222"/>
      <c r="J26" s="222"/>
      <c r="K26" s="289"/>
      <c r="L26" s="222"/>
      <c r="M26" s="222"/>
      <c r="N26" s="222"/>
      <c r="O26" s="222"/>
      <c r="P26" s="222"/>
      <c r="Q26" s="289"/>
      <c r="R26" s="222"/>
      <c r="S26" s="222"/>
      <c r="T26" s="222"/>
      <c r="U26" s="222"/>
      <c r="V26" s="222"/>
      <c r="W26" s="222"/>
    </row>
    <row r="27" spans="1:23" s="150" customFormat="1" x14ac:dyDescent="0.25">
      <c r="A27" s="38" t="s">
        <v>129</v>
      </c>
      <c r="B27" s="37"/>
      <c r="C27" s="228"/>
      <c r="D27" s="222"/>
      <c r="E27" s="222"/>
      <c r="F27" s="231"/>
      <c r="G27" s="222"/>
      <c r="H27" s="222"/>
      <c r="I27" s="222"/>
      <c r="J27" s="222"/>
      <c r="K27" s="289"/>
      <c r="L27" s="222"/>
      <c r="M27" s="222"/>
      <c r="N27" s="222"/>
      <c r="O27" s="222"/>
      <c r="P27" s="222"/>
      <c r="Q27" s="289"/>
      <c r="R27" s="222"/>
      <c r="S27" s="222"/>
      <c r="T27" s="222"/>
      <c r="U27" s="222"/>
      <c r="V27" s="222"/>
      <c r="W27" s="222"/>
    </row>
    <row r="28" spans="1:23" s="150" customFormat="1" x14ac:dyDescent="0.25">
      <c r="A28" s="38" t="s">
        <v>130</v>
      </c>
      <c r="B28" s="229"/>
      <c r="C28" s="224"/>
      <c r="D28" s="230"/>
      <c r="E28" s="230"/>
      <c r="F28" s="232"/>
      <c r="G28" s="222"/>
      <c r="H28" s="222"/>
      <c r="I28" s="222"/>
      <c r="J28" s="222"/>
      <c r="K28" s="289"/>
      <c r="L28" s="222"/>
      <c r="M28" s="222"/>
      <c r="N28" s="222"/>
      <c r="O28" s="222"/>
      <c r="P28" s="222"/>
      <c r="Q28" s="289"/>
      <c r="R28" s="222"/>
      <c r="S28" s="222"/>
      <c r="T28" s="222"/>
      <c r="U28" s="222"/>
      <c r="V28" s="222"/>
      <c r="W28" s="222"/>
    </row>
    <row r="29" spans="1:23" s="150" customFormat="1" x14ac:dyDescent="0.25">
      <c r="A29" s="410" t="s">
        <v>548</v>
      </c>
      <c r="B29" s="222"/>
      <c r="C29" s="222"/>
      <c r="D29" s="222"/>
      <c r="E29" s="222"/>
      <c r="F29" s="231"/>
      <c r="G29" s="222"/>
      <c r="H29" s="227"/>
      <c r="I29" s="227"/>
      <c r="J29" s="227"/>
      <c r="K29" s="313"/>
      <c r="L29" s="227"/>
      <c r="M29" s="227"/>
      <c r="N29" s="227"/>
      <c r="O29" s="233"/>
      <c r="P29" s="13"/>
      <c r="Q29" s="290"/>
      <c r="R29" s="13"/>
      <c r="S29" s="13"/>
      <c r="T29" s="13"/>
      <c r="U29" s="13"/>
      <c r="V29" s="13"/>
      <c r="W29" s="227"/>
    </row>
    <row r="30" spans="1:23" s="150" customFormat="1" x14ac:dyDescent="0.25">
      <c r="A30" s="222"/>
      <c r="B30" s="222"/>
      <c r="C30" s="222"/>
      <c r="D30" s="222"/>
      <c r="E30" s="222"/>
      <c r="F30" s="231"/>
      <c r="G30" s="222"/>
      <c r="H30" s="222"/>
      <c r="I30" s="222"/>
      <c r="J30" s="222"/>
      <c r="K30" s="289"/>
      <c r="L30" s="222"/>
      <c r="M30" s="222"/>
      <c r="N30" s="222"/>
      <c r="O30" s="13"/>
      <c r="P30" s="13"/>
      <c r="Q30" s="290"/>
      <c r="R30" s="13"/>
      <c r="S30" s="13"/>
      <c r="T30" s="13"/>
      <c r="U30" s="13"/>
      <c r="V30" s="13"/>
      <c r="W30" s="222"/>
    </row>
    <row r="31" spans="1:23" s="150" customFormat="1" x14ac:dyDescent="0.25">
      <c r="A31" s="13"/>
      <c r="B31" s="13"/>
      <c r="C31" s="13"/>
      <c r="D31" s="13"/>
      <c r="E31" s="13"/>
      <c r="F31" s="13"/>
      <c r="G31" s="222"/>
      <c r="H31" s="222"/>
      <c r="I31" s="222"/>
      <c r="J31" s="222"/>
      <c r="K31" s="289"/>
      <c r="L31" s="222"/>
      <c r="M31" s="222"/>
      <c r="N31" s="222"/>
      <c r="O31" s="13"/>
      <c r="P31" s="13"/>
      <c r="Q31" s="290"/>
      <c r="R31" s="13"/>
      <c r="S31" s="13"/>
      <c r="T31" s="13"/>
      <c r="U31" s="13"/>
      <c r="V31" s="13"/>
      <c r="W31" s="226"/>
    </row>
    <row r="32" spans="1:23" s="150" customFormat="1" x14ac:dyDescent="0.25">
      <c r="A32" s="225"/>
      <c r="B32" s="225"/>
      <c r="C32" s="225"/>
      <c r="D32" s="222"/>
      <c r="E32" s="222"/>
      <c r="F32" s="231"/>
      <c r="G32" s="222"/>
      <c r="H32" s="222"/>
      <c r="I32" s="222"/>
      <c r="J32" s="222"/>
      <c r="K32" s="289"/>
      <c r="L32" s="222"/>
      <c r="M32" s="222"/>
      <c r="N32" s="222"/>
      <c r="O32" s="223"/>
      <c r="P32" s="222"/>
      <c r="Q32" s="289"/>
      <c r="R32" s="222"/>
      <c r="S32" s="222"/>
      <c r="T32" s="222"/>
      <c r="U32" s="222"/>
      <c r="V32" s="222"/>
      <c r="W32" s="222"/>
    </row>
    <row r="33" spans="1:23" s="150" customFormat="1" x14ac:dyDescent="0.25">
      <c r="A33" s="19"/>
      <c r="B33" s="19"/>
      <c r="C33" s="19"/>
      <c r="D33" s="13"/>
      <c r="E33" s="13"/>
      <c r="F33" s="13"/>
      <c r="G33" s="13"/>
      <c r="H33" s="13"/>
      <c r="I33" s="13"/>
      <c r="J33" s="13"/>
      <c r="K33" s="290"/>
      <c r="L33" s="13"/>
      <c r="M33" s="13"/>
      <c r="N33" s="13"/>
      <c r="O33" s="13"/>
      <c r="P33" s="13"/>
      <c r="Q33" s="290"/>
      <c r="R33" s="13"/>
      <c r="S33" s="13"/>
      <c r="T33" s="13"/>
      <c r="U33" s="13"/>
      <c r="V33" s="13"/>
      <c r="W33" s="227"/>
    </row>
    <row r="34" spans="1:23" s="150" customFormat="1" x14ac:dyDescent="0.25">
      <c r="A34" s="19"/>
      <c r="B34" s="19"/>
      <c r="C34" s="19"/>
      <c r="D34" s="13"/>
      <c r="E34" s="13"/>
      <c r="F34" s="13"/>
      <c r="G34" s="13"/>
      <c r="H34" s="13"/>
      <c r="I34" s="13"/>
      <c r="J34" s="13"/>
      <c r="K34" s="290"/>
      <c r="L34" s="13"/>
      <c r="M34" s="13"/>
      <c r="N34" s="13"/>
      <c r="O34" s="13"/>
      <c r="P34" s="13"/>
      <c r="Q34" s="290"/>
      <c r="R34" s="13"/>
      <c r="S34" s="13"/>
      <c r="T34" s="13"/>
      <c r="U34" s="13"/>
      <c r="V34" s="13"/>
      <c r="W34" s="222"/>
    </row>
    <row r="35" spans="1:23" s="150" customFormat="1" x14ac:dyDescent="0.25">
      <c r="A35" s="19"/>
      <c r="B35" s="19"/>
      <c r="C35" s="19"/>
      <c r="D35" s="13"/>
      <c r="E35" s="13"/>
      <c r="F35" s="13"/>
      <c r="G35" s="13"/>
      <c r="H35" s="13"/>
      <c r="I35" s="13"/>
      <c r="J35" s="13"/>
      <c r="K35" s="290"/>
      <c r="L35" s="13"/>
      <c r="M35" s="13"/>
      <c r="N35" s="13"/>
      <c r="O35" s="13"/>
      <c r="P35" s="13"/>
      <c r="Q35" s="290"/>
      <c r="R35" s="13"/>
      <c r="S35" s="13"/>
      <c r="T35" s="13"/>
      <c r="U35" s="13"/>
      <c r="V35" s="13"/>
      <c r="W35" s="222"/>
    </row>
    <row r="36" spans="1:23" s="150" customFormat="1" x14ac:dyDescent="0.25">
      <c r="A36" s="19"/>
      <c r="B36" s="19"/>
      <c r="C36" s="19"/>
      <c r="D36" s="13"/>
      <c r="E36" s="13"/>
      <c r="F36" s="13"/>
      <c r="G36" s="13"/>
      <c r="H36" s="13"/>
      <c r="I36" s="13"/>
      <c r="J36" s="13"/>
      <c r="K36" s="290"/>
      <c r="L36" s="13"/>
      <c r="M36" s="13"/>
      <c r="N36" s="13"/>
      <c r="O36" s="13"/>
      <c r="P36" s="13"/>
      <c r="Q36" s="290"/>
      <c r="R36" s="13"/>
      <c r="S36" s="13"/>
      <c r="T36" s="13"/>
      <c r="U36" s="13"/>
      <c r="V36" s="13"/>
      <c r="W36" s="222"/>
    </row>
    <row r="37" spans="1:23" s="150" customFormat="1" x14ac:dyDescent="0.25">
      <c r="A37" s="19"/>
      <c r="B37" s="19"/>
      <c r="C37" s="19"/>
      <c r="D37" s="13"/>
      <c r="E37" s="13"/>
      <c r="F37" s="13"/>
      <c r="G37" s="13"/>
      <c r="H37" s="13"/>
      <c r="I37" s="13"/>
      <c r="J37" s="13"/>
      <c r="K37" s="290"/>
      <c r="L37" s="13"/>
      <c r="M37" s="13"/>
      <c r="N37" s="13"/>
      <c r="O37" s="13"/>
      <c r="P37" s="13"/>
      <c r="Q37" s="290"/>
      <c r="R37" s="13"/>
      <c r="S37" s="13"/>
      <c r="T37" s="13"/>
      <c r="U37" s="13"/>
      <c r="V37" s="13"/>
      <c r="W37" s="222"/>
    </row>
    <row r="38" spans="1:23" s="150" customFormat="1" x14ac:dyDescent="0.25">
      <c r="A38" s="19"/>
      <c r="B38" s="19"/>
      <c r="C38" s="19"/>
      <c r="D38" s="13"/>
      <c r="E38" s="13"/>
      <c r="F38" s="13"/>
      <c r="G38" s="13"/>
      <c r="H38" s="13"/>
      <c r="I38" s="13"/>
      <c r="J38" s="13"/>
      <c r="K38" s="290"/>
      <c r="L38" s="13"/>
      <c r="M38" s="13"/>
      <c r="N38" s="13"/>
      <c r="O38" s="13"/>
      <c r="P38" s="13"/>
      <c r="Q38" s="290"/>
      <c r="R38" s="13"/>
      <c r="S38" s="13"/>
      <c r="T38" s="13"/>
      <c r="U38" s="13"/>
      <c r="V38" s="13"/>
      <c r="W38" s="222"/>
    </row>
    <row r="39" spans="1:23" s="150" customFormat="1" x14ac:dyDescent="0.25">
      <c r="A39" s="19"/>
      <c r="B39" s="19"/>
      <c r="C39" s="19"/>
      <c r="D39" s="13"/>
      <c r="E39" s="13"/>
      <c r="F39" s="13"/>
      <c r="G39" s="13"/>
      <c r="H39" s="13"/>
      <c r="I39" s="13"/>
      <c r="J39" s="13"/>
      <c r="K39" s="290"/>
      <c r="L39" s="13"/>
      <c r="M39" s="13"/>
      <c r="N39" s="13"/>
      <c r="O39" s="13"/>
      <c r="P39" s="13"/>
      <c r="Q39" s="290"/>
      <c r="R39" s="13"/>
      <c r="S39" s="13"/>
      <c r="T39" s="13"/>
      <c r="U39" s="13"/>
      <c r="V39" s="13"/>
      <c r="W39" s="222"/>
    </row>
    <row r="40" spans="1:23" s="150" customFormat="1" x14ac:dyDescent="0.25">
      <c r="A40" s="19"/>
      <c r="B40" s="19"/>
      <c r="C40" s="19"/>
      <c r="D40" s="13"/>
      <c r="E40" s="13"/>
      <c r="F40" s="13"/>
      <c r="G40" s="13"/>
      <c r="H40" s="13"/>
      <c r="I40" s="13"/>
      <c r="J40" s="13"/>
      <c r="K40" s="290"/>
      <c r="L40" s="13"/>
      <c r="M40" s="13"/>
      <c r="N40" s="13"/>
      <c r="O40" s="13"/>
      <c r="P40" s="13"/>
      <c r="Q40" s="290"/>
      <c r="R40" s="13"/>
      <c r="S40" s="13"/>
      <c r="T40" s="13"/>
      <c r="U40" s="13"/>
      <c r="V40" s="13"/>
      <c r="W40" s="222"/>
    </row>
    <row r="41" spans="1:23" s="150" customFormat="1" x14ac:dyDescent="0.25">
      <c r="A41" s="19"/>
      <c r="B41" s="19"/>
      <c r="C41" s="19"/>
      <c r="D41" s="13"/>
      <c r="E41" s="13"/>
      <c r="F41" s="13"/>
      <c r="G41" s="13"/>
      <c r="H41" s="13"/>
      <c r="I41" s="13"/>
      <c r="J41" s="13"/>
      <c r="K41" s="290"/>
      <c r="L41" s="13"/>
      <c r="M41" s="13"/>
      <c r="N41" s="13"/>
      <c r="O41" s="13"/>
      <c r="P41" s="13"/>
      <c r="Q41" s="290"/>
      <c r="R41" s="13"/>
      <c r="S41" s="13"/>
      <c r="T41" s="13"/>
      <c r="U41" s="13"/>
      <c r="V41" s="13"/>
      <c r="W41" s="222"/>
    </row>
    <row r="42" spans="1:23" s="150" customFormat="1" x14ac:dyDescent="0.25">
      <c r="A42" s="19"/>
      <c r="B42" s="19"/>
      <c r="C42" s="19"/>
      <c r="D42" s="13"/>
      <c r="E42" s="13"/>
      <c r="F42" s="13"/>
      <c r="G42" s="13"/>
      <c r="H42" s="13"/>
      <c r="I42" s="13"/>
      <c r="J42" s="13"/>
      <c r="K42" s="290"/>
      <c r="L42" s="13"/>
      <c r="M42" s="13"/>
      <c r="N42" s="13"/>
      <c r="O42" s="13"/>
      <c r="P42" s="13"/>
      <c r="Q42" s="290"/>
      <c r="R42" s="13"/>
      <c r="S42" s="13"/>
      <c r="T42" s="13"/>
      <c r="U42" s="13"/>
      <c r="V42" s="13"/>
      <c r="W42" s="222"/>
    </row>
    <row r="43" spans="1:23" s="150" customFormat="1" x14ac:dyDescent="0.25">
      <c r="A43" s="19"/>
      <c r="B43" s="19"/>
      <c r="C43" s="19"/>
      <c r="D43" s="13"/>
      <c r="E43" s="13"/>
      <c r="F43" s="13"/>
      <c r="G43" s="13"/>
      <c r="H43" s="13"/>
      <c r="I43" s="13"/>
      <c r="J43" s="13"/>
      <c r="K43" s="290"/>
      <c r="L43" s="13"/>
      <c r="M43" s="13"/>
      <c r="N43" s="13"/>
      <c r="O43" s="13"/>
      <c r="P43" s="13"/>
      <c r="Q43" s="290"/>
      <c r="R43" s="222"/>
      <c r="S43" s="222"/>
      <c r="T43" s="222"/>
      <c r="U43" s="222"/>
      <c r="V43" s="222"/>
      <c r="W43" s="223"/>
    </row>
    <row r="44" spans="1:23" s="150" customFormat="1" x14ac:dyDescent="0.25">
      <c r="A44" s="19"/>
      <c r="B44" s="19"/>
      <c r="C44" s="19"/>
      <c r="D44" s="13"/>
      <c r="E44" s="13"/>
      <c r="F44" s="13"/>
      <c r="G44" s="13"/>
      <c r="H44" s="13"/>
      <c r="I44" s="13"/>
      <c r="J44" s="13"/>
      <c r="K44" s="290"/>
      <c r="L44" s="13"/>
      <c r="M44" s="13"/>
      <c r="N44" s="13"/>
      <c r="O44" s="13"/>
      <c r="P44" s="13"/>
      <c r="Q44" s="290"/>
      <c r="R44" s="222"/>
      <c r="S44" s="222"/>
      <c r="T44" s="222"/>
      <c r="U44" s="222"/>
      <c r="V44" s="222"/>
      <c r="W44" s="223"/>
    </row>
    <row r="45" spans="1:23" s="150" customFormat="1" x14ac:dyDescent="0.25">
      <c r="A45" s="19"/>
      <c r="B45" s="19"/>
      <c r="C45" s="19"/>
      <c r="D45" s="13"/>
      <c r="E45" s="13"/>
      <c r="F45" s="13"/>
      <c r="G45" s="13"/>
      <c r="H45" s="13"/>
      <c r="I45" s="13"/>
      <c r="J45" s="13"/>
      <c r="K45" s="290"/>
      <c r="L45" s="13"/>
      <c r="M45" s="13"/>
      <c r="N45" s="13"/>
      <c r="O45" s="13"/>
      <c r="P45" s="13"/>
      <c r="Q45" s="290"/>
      <c r="R45" s="222"/>
      <c r="S45" s="222"/>
      <c r="T45" s="222"/>
      <c r="U45" s="222"/>
      <c r="V45" s="222"/>
      <c r="W45" s="223"/>
    </row>
    <row r="46" spans="1:23" s="150" customFormat="1" x14ac:dyDescent="0.25">
      <c r="A46" s="19"/>
      <c r="B46" s="19"/>
      <c r="C46" s="19"/>
      <c r="D46" s="13"/>
      <c r="E46" s="13"/>
      <c r="F46" s="13"/>
      <c r="G46" s="13"/>
      <c r="H46" s="13"/>
      <c r="I46" s="13"/>
      <c r="J46" s="13"/>
      <c r="K46" s="290"/>
      <c r="L46" s="13"/>
      <c r="M46" s="13"/>
      <c r="N46" s="13"/>
      <c r="O46" s="13"/>
      <c r="P46" s="13"/>
      <c r="Q46" s="290"/>
      <c r="R46" s="222"/>
      <c r="S46" s="222"/>
      <c r="T46" s="222"/>
      <c r="U46" s="222"/>
      <c r="V46" s="222"/>
      <c r="W46" s="223"/>
    </row>
    <row r="47" spans="1:23" s="150" customFormat="1" x14ac:dyDescent="0.25">
      <c r="A47" s="19"/>
      <c r="B47" s="19"/>
      <c r="C47" s="19"/>
      <c r="D47" s="13"/>
      <c r="E47" s="13"/>
      <c r="F47" s="13"/>
      <c r="G47" s="13"/>
      <c r="H47" s="13"/>
      <c r="I47" s="13"/>
      <c r="J47" s="13"/>
      <c r="K47" s="290"/>
      <c r="L47" s="13"/>
      <c r="M47" s="13"/>
      <c r="N47" s="13"/>
      <c r="O47" s="13"/>
      <c r="P47" s="13"/>
      <c r="Q47" s="290"/>
      <c r="R47" s="222"/>
      <c r="S47" s="222"/>
      <c r="T47" s="222"/>
      <c r="U47" s="222"/>
      <c r="V47" s="222"/>
      <c r="W47" s="223"/>
    </row>
    <row r="48" spans="1:23" s="150" customFormat="1" x14ac:dyDescent="0.25">
      <c r="A48" s="19"/>
      <c r="B48" s="19"/>
      <c r="C48" s="19"/>
      <c r="D48" s="13"/>
      <c r="E48" s="13"/>
      <c r="F48" s="13"/>
      <c r="G48" s="13"/>
      <c r="H48" s="13"/>
      <c r="I48" s="13"/>
      <c r="J48" s="13"/>
      <c r="K48" s="290"/>
      <c r="L48" s="13"/>
      <c r="M48" s="13"/>
      <c r="N48" s="13"/>
      <c r="O48" s="13"/>
      <c r="P48" s="13"/>
      <c r="Q48" s="290"/>
      <c r="R48" s="222"/>
      <c r="S48" s="222"/>
      <c r="T48" s="222"/>
      <c r="U48" s="222"/>
      <c r="V48" s="222"/>
      <c r="W48" s="223"/>
    </row>
    <row r="49" spans="1:23" s="150" customFormat="1" x14ac:dyDescent="0.25">
      <c r="A49" s="19"/>
      <c r="B49" s="19"/>
      <c r="C49" s="19"/>
      <c r="D49" s="13"/>
      <c r="E49" s="13"/>
      <c r="F49" s="13"/>
      <c r="G49" s="13"/>
      <c r="H49" s="13"/>
      <c r="I49" s="13"/>
      <c r="J49" s="13"/>
      <c r="K49" s="290"/>
      <c r="L49" s="13"/>
      <c r="M49" s="13"/>
      <c r="N49" s="13"/>
      <c r="O49" s="13"/>
      <c r="P49" s="13"/>
      <c r="Q49" s="290"/>
      <c r="R49" s="222"/>
      <c r="S49" s="222"/>
      <c r="T49" s="222"/>
      <c r="U49" s="222"/>
      <c r="V49" s="222"/>
      <c r="W49" s="223"/>
    </row>
    <row r="50" spans="1:23" s="150" customFormat="1" x14ac:dyDescent="0.25">
      <c r="A50" s="19"/>
      <c r="B50" s="19"/>
      <c r="C50" s="19"/>
      <c r="D50" s="13"/>
      <c r="E50" s="13"/>
      <c r="F50" s="13"/>
      <c r="G50" s="13"/>
      <c r="H50" s="13"/>
      <c r="I50" s="13"/>
      <c r="J50" s="13"/>
      <c r="K50" s="290"/>
      <c r="L50" s="13"/>
      <c r="M50" s="13"/>
      <c r="N50" s="13"/>
      <c r="O50" s="13"/>
      <c r="P50" s="13"/>
      <c r="Q50" s="290"/>
      <c r="R50" s="222"/>
      <c r="S50" s="222"/>
      <c r="T50" s="222"/>
      <c r="U50" s="222"/>
      <c r="V50" s="222"/>
      <c r="W50" s="223"/>
    </row>
    <row r="51" spans="1:23" s="150" customFormat="1" x14ac:dyDescent="0.25">
      <c r="A51" s="19"/>
      <c r="B51" s="19"/>
      <c r="C51" s="19"/>
      <c r="D51" s="13"/>
      <c r="E51" s="13"/>
      <c r="F51" s="13"/>
      <c r="G51" s="13"/>
      <c r="H51" s="13"/>
      <c r="I51" s="13"/>
      <c r="J51" s="13"/>
      <c r="K51" s="290"/>
      <c r="L51" s="13"/>
      <c r="M51" s="13"/>
      <c r="N51" s="13"/>
      <c r="O51" s="13"/>
      <c r="P51" s="13"/>
      <c r="Q51" s="290"/>
      <c r="R51" s="222"/>
      <c r="S51" s="222"/>
      <c r="T51" s="222"/>
      <c r="U51" s="222"/>
      <c r="V51" s="222"/>
      <c r="W51" s="223"/>
    </row>
    <row r="52" spans="1:23" s="150" customFormat="1" x14ac:dyDescent="0.25">
      <c r="A52" s="19"/>
      <c r="B52" s="19"/>
      <c r="C52" s="19"/>
      <c r="D52" s="13"/>
      <c r="E52" s="13"/>
      <c r="F52" s="13"/>
      <c r="G52" s="13"/>
      <c r="H52" s="13"/>
      <c r="I52" s="13"/>
      <c r="J52" s="13"/>
      <c r="K52" s="290"/>
      <c r="L52" s="13"/>
      <c r="M52" s="13"/>
      <c r="N52" s="13"/>
      <c r="O52" s="13"/>
      <c r="P52" s="13"/>
      <c r="Q52" s="290"/>
      <c r="R52" s="222"/>
      <c r="S52" s="222"/>
      <c r="T52" s="222"/>
      <c r="U52" s="222"/>
      <c r="V52" s="222"/>
      <c r="W52" s="223"/>
    </row>
    <row r="53" spans="1:23" s="150" customFormat="1" x14ac:dyDescent="0.25">
      <c r="A53" s="19"/>
      <c r="B53" s="19"/>
      <c r="C53" s="19"/>
      <c r="D53" s="13"/>
      <c r="E53" s="13"/>
      <c r="F53" s="13"/>
      <c r="G53" s="13"/>
      <c r="H53" s="13"/>
      <c r="I53" s="13"/>
      <c r="J53" s="13"/>
      <c r="K53" s="290"/>
      <c r="L53" s="13"/>
      <c r="M53" s="13"/>
      <c r="N53" s="13"/>
      <c r="O53" s="13"/>
      <c r="P53" s="13"/>
      <c r="Q53" s="290"/>
      <c r="R53" s="222"/>
      <c r="S53" s="222"/>
      <c r="T53" s="222"/>
      <c r="U53" s="222"/>
      <c r="V53" s="222"/>
      <c r="W53" s="223"/>
    </row>
    <row r="54" spans="1:23" s="150" customFormat="1" x14ac:dyDescent="0.25">
      <c r="A54" s="19"/>
      <c r="B54" s="19"/>
      <c r="C54" s="19"/>
      <c r="D54" s="13"/>
      <c r="E54" s="13"/>
      <c r="F54" s="13"/>
      <c r="G54" s="13"/>
      <c r="H54" s="13"/>
      <c r="I54" s="13"/>
      <c r="J54" s="13"/>
      <c r="K54" s="290"/>
      <c r="L54" s="13"/>
      <c r="M54" s="13"/>
      <c r="N54" s="13"/>
      <c r="O54" s="13"/>
      <c r="P54" s="13"/>
      <c r="Q54" s="290"/>
      <c r="R54" s="222"/>
      <c r="S54" s="222"/>
      <c r="T54" s="222"/>
      <c r="U54" s="222"/>
      <c r="V54" s="222"/>
      <c r="W54" s="223"/>
    </row>
    <row r="55" spans="1:23" s="150" customFormat="1" x14ac:dyDescent="0.25">
      <c r="A55" s="19"/>
      <c r="B55" s="19"/>
      <c r="C55" s="19"/>
      <c r="D55" s="13"/>
      <c r="E55" s="13"/>
      <c r="F55" s="13"/>
      <c r="G55" s="13"/>
      <c r="H55" s="13"/>
      <c r="I55" s="13"/>
      <c r="J55" s="13"/>
      <c r="K55" s="290"/>
      <c r="L55" s="13"/>
      <c r="M55" s="13"/>
      <c r="N55" s="13"/>
      <c r="O55" s="13"/>
      <c r="P55" s="13"/>
      <c r="Q55" s="290"/>
      <c r="R55" s="222"/>
      <c r="S55" s="222"/>
      <c r="T55" s="222"/>
      <c r="U55" s="222"/>
      <c r="V55" s="222"/>
      <c r="W55" s="223"/>
    </row>
    <row r="56" spans="1:23" s="150" customFormat="1" x14ac:dyDescent="0.25">
      <c r="A56" s="19"/>
      <c r="B56" s="19"/>
      <c r="C56" s="19"/>
      <c r="D56" s="13"/>
      <c r="E56" s="13"/>
      <c r="F56" s="13"/>
      <c r="G56" s="13"/>
      <c r="H56" s="13"/>
      <c r="I56" s="13"/>
      <c r="J56" s="13"/>
      <c r="K56" s="290"/>
      <c r="L56" s="13"/>
      <c r="M56" s="13"/>
      <c r="N56" s="13"/>
      <c r="O56" s="13"/>
      <c r="P56" s="13"/>
      <c r="Q56" s="290"/>
      <c r="R56" s="222"/>
      <c r="S56" s="222"/>
      <c r="T56" s="222"/>
      <c r="U56" s="222"/>
      <c r="V56" s="222"/>
      <c r="W56" s="223"/>
    </row>
    <row r="57" spans="1:23" s="150" customFormat="1" x14ac:dyDescent="0.25">
      <c r="A57" s="19"/>
      <c r="B57" s="19"/>
      <c r="C57" s="19"/>
      <c r="D57" s="13"/>
      <c r="E57" s="13"/>
      <c r="F57" s="13"/>
      <c r="G57" s="13"/>
      <c r="H57" s="13"/>
      <c r="I57" s="13"/>
      <c r="J57" s="13"/>
      <c r="K57" s="290"/>
      <c r="L57" s="13"/>
      <c r="M57" s="13"/>
      <c r="N57" s="13"/>
      <c r="O57" s="13"/>
      <c r="P57" s="13"/>
      <c r="Q57" s="290"/>
      <c r="R57" s="222"/>
      <c r="S57" s="222"/>
      <c r="T57" s="222"/>
      <c r="U57" s="222"/>
      <c r="V57" s="222"/>
      <c r="W57" s="223"/>
    </row>
    <row r="58" spans="1:23" s="150" customFormat="1" x14ac:dyDescent="0.25">
      <c r="A58" s="19"/>
      <c r="B58" s="19"/>
      <c r="C58" s="19"/>
      <c r="D58" s="13"/>
      <c r="E58" s="13"/>
      <c r="F58" s="13"/>
      <c r="G58" s="13"/>
      <c r="H58" s="13"/>
      <c r="I58" s="13"/>
      <c r="J58" s="13"/>
      <c r="K58" s="290"/>
      <c r="L58" s="13"/>
      <c r="M58" s="13"/>
      <c r="N58" s="13"/>
      <c r="O58" s="13"/>
      <c r="P58" s="13"/>
      <c r="Q58" s="290"/>
      <c r="R58" s="222"/>
      <c r="S58" s="222"/>
      <c r="T58" s="222"/>
      <c r="U58" s="222"/>
      <c r="V58" s="222"/>
      <c r="W58" s="223"/>
    </row>
    <row r="59" spans="1:23" s="150" customFormat="1" x14ac:dyDescent="0.25">
      <c r="A59" s="19"/>
      <c r="B59" s="19"/>
      <c r="C59" s="19"/>
      <c r="D59" s="13"/>
      <c r="E59" s="13"/>
      <c r="F59" s="13"/>
      <c r="G59" s="13"/>
      <c r="H59" s="13"/>
      <c r="I59" s="13"/>
      <c r="J59" s="13"/>
      <c r="K59" s="290"/>
      <c r="L59" s="13"/>
      <c r="M59" s="13"/>
      <c r="N59" s="13"/>
      <c r="O59" s="13"/>
      <c r="P59" s="13"/>
      <c r="Q59" s="290"/>
      <c r="R59" s="222"/>
      <c r="S59" s="222"/>
      <c r="T59" s="222"/>
      <c r="U59" s="222"/>
      <c r="V59" s="222"/>
      <c r="W59" s="223"/>
    </row>
    <row r="60" spans="1:23" s="150" customFormat="1" x14ac:dyDescent="0.25">
      <c r="A60" s="19"/>
      <c r="B60" s="19"/>
      <c r="C60" s="19"/>
      <c r="D60" s="13"/>
      <c r="E60" s="13"/>
      <c r="F60" s="13"/>
      <c r="G60" s="13"/>
      <c r="H60" s="13"/>
      <c r="I60" s="13"/>
      <c r="J60" s="13"/>
      <c r="K60" s="290"/>
      <c r="L60" s="13"/>
      <c r="M60" s="13"/>
      <c r="N60" s="13"/>
      <c r="O60" s="13"/>
      <c r="P60" s="13"/>
      <c r="Q60" s="290"/>
      <c r="R60" s="222"/>
      <c r="S60" s="222"/>
      <c r="T60" s="222"/>
      <c r="U60" s="222"/>
      <c r="V60" s="222"/>
      <c r="W60" s="223"/>
    </row>
    <row r="61" spans="1:23" s="150" customFormat="1" x14ac:dyDescent="0.25">
      <c r="A61" s="19"/>
      <c r="B61" s="19"/>
      <c r="C61" s="19"/>
      <c r="D61" s="13"/>
      <c r="E61" s="13"/>
      <c r="F61" s="13"/>
      <c r="G61" s="13"/>
      <c r="H61" s="13"/>
      <c r="I61" s="13"/>
      <c r="J61" s="13"/>
      <c r="K61" s="290"/>
      <c r="L61" s="13"/>
      <c r="M61" s="13"/>
      <c r="N61" s="13"/>
      <c r="O61" s="13"/>
      <c r="P61" s="13"/>
      <c r="Q61" s="290"/>
      <c r="R61" s="222"/>
      <c r="S61" s="222"/>
      <c r="T61" s="222"/>
      <c r="U61" s="222"/>
      <c r="V61" s="222"/>
      <c r="W61" s="223"/>
    </row>
    <row r="62" spans="1:23" s="150" customFormat="1" x14ac:dyDescent="0.25">
      <c r="A62" s="19"/>
      <c r="B62" s="19"/>
      <c r="C62" s="19"/>
      <c r="D62" s="13"/>
      <c r="E62" s="13"/>
      <c r="F62" s="13"/>
      <c r="G62" s="13"/>
      <c r="H62" s="13"/>
      <c r="I62" s="13"/>
      <c r="J62" s="13"/>
      <c r="K62" s="290"/>
      <c r="L62" s="13"/>
      <c r="M62" s="13"/>
      <c r="N62" s="13"/>
      <c r="O62" s="13"/>
      <c r="P62" s="13"/>
      <c r="Q62" s="290"/>
      <c r="R62" s="222"/>
      <c r="S62" s="222"/>
      <c r="T62" s="222"/>
      <c r="U62" s="222"/>
      <c r="V62" s="222"/>
      <c r="W62" s="13"/>
    </row>
    <row r="63" spans="1:23" s="150" customFormat="1" x14ac:dyDescent="0.25">
      <c r="A63" s="19"/>
      <c r="B63" s="19"/>
      <c r="C63" s="19"/>
      <c r="D63" s="13"/>
      <c r="E63" s="13"/>
      <c r="F63" s="13"/>
      <c r="G63" s="13"/>
      <c r="H63" s="13"/>
      <c r="I63" s="13"/>
      <c r="J63" s="13"/>
      <c r="K63" s="290"/>
      <c r="L63" s="13"/>
      <c r="M63" s="13"/>
      <c r="N63" s="13"/>
      <c r="O63" s="13"/>
      <c r="P63" s="13"/>
      <c r="Q63" s="290"/>
      <c r="R63" s="13"/>
      <c r="S63" s="13"/>
      <c r="T63" s="13"/>
      <c r="U63" s="13"/>
      <c r="V63" s="13"/>
      <c r="W63" s="13"/>
    </row>
    <row r="64" spans="1:23" s="150" customFormat="1" x14ac:dyDescent="0.25">
      <c r="A64" s="19"/>
      <c r="B64" s="19"/>
      <c r="C64" s="19"/>
      <c r="D64" s="13"/>
      <c r="E64" s="13"/>
      <c r="F64" s="13"/>
      <c r="G64" s="13"/>
      <c r="H64" s="13"/>
      <c r="I64" s="13"/>
      <c r="J64" s="13"/>
      <c r="K64" s="290"/>
      <c r="L64" s="13"/>
      <c r="M64" s="13"/>
      <c r="N64" s="13"/>
      <c r="O64" s="13"/>
      <c r="P64" s="13"/>
      <c r="Q64" s="290"/>
      <c r="R64" s="13"/>
      <c r="S64" s="13"/>
      <c r="T64" s="13"/>
      <c r="U64" s="13"/>
      <c r="V64" s="13"/>
      <c r="W64" s="13"/>
    </row>
    <row r="65" spans="1:23" s="150" customFormat="1" x14ac:dyDescent="0.25">
      <c r="A65" s="19"/>
      <c r="B65" s="19"/>
      <c r="C65" s="19"/>
      <c r="D65" s="13"/>
      <c r="E65" s="13"/>
      <c r="F65" s="13"/>
      <c r="G65" s="13"/>
      <c r="H65" s="13"/>
      <c r="I65" s="13"/>
      <c r="J65" s="13"/>
      <c r="K65" s="290"/>
      <c r="L65" s="13"/>
      <c r="M65" s="13"/>
      <c r="N65" s="13"/>
      <c r="O65" s="13"/>
      <c r="P65" s="13"/>
      <c r="Q65" s="290"/>
      <c r="R65" s="13"/>
      <c r="S65" s="13"/>
      <c r="T65" s="13"/>
      <c r="U65" s="13"/>
      <c r="V65" s="13"/>
      <c r="W65" s="13"/>
    </row>
    <row r="66" spans="1:23" s="150" customFormat="1" x14ac:dyDescent="0.25">
      <c r="A66" s="19"/>
      <c r="B66" s="19"/>
      <c r="C66" s="19"/>
      <c r="D66" s="13"/>
      <c r="E66" s="13"/>
      <c r="F66" s="13"/>
      <c r="G66" s="13"/>
      <c r="H66" s="13"/>
      <c r="I66" s="13"/>
      <c r="J66" s="13"/>
      <c r="K66" s="290"/>
      <c r="L66" s="13"/>
      <c r="M66" s="13"/>
      <c r="N66" s="13"/>
      <c r="O66" s="13"/>
      <c r="P66" s="13"/>
      <c r="Q66" s="290"/>
      <c r="R66" s="13"/>
      <c r="S66" s="13"/>
      <c r="T66" s="13"/>
      <c r="U66" s="13"/>
      <c r="V66" s="13"/>
      <c r="W66" s="13"/>
    </row>
    <row r="67" spans="1:23" s="150" customFormat="1" x14ac:dyDescent="0.25">
      <c r="A67" s="19"/>
      <c r="B67" s="19"/>
      <c r="C67" s="19"/>
      <c r="D67" s="13"/>
      <c r="E67" s="13"/>
      <c r="F67" s="13"/>
      <c r="G67" s="13"/>
      <c r="H67" s="13"/>
      <c r="I67" s="13"/>
      <c r="J67" s="13"/>
      <c r="K67" s="290"/>
      <c r="L67" s="13"/>
      <c r="M67" s="13"/>
      <c r="N67" s="13"/>
      <c r="O67" s="13"/>
      <c r="P67" s="13"/>
      <c r="Q67" s="290"/>
      <c r="R67" s="13"/>
      <c r="S67" s="13"/>
      <c r="T67" s="13"/>
      <c r="U67" s="13"/>
      <c r="V67" s="13"/>
      <c r="W67" s="13"/>
    </row>
    <row r="68" spans="1:23" s="150" customFormat="1" x14ac:dyDescent="0.25">
      <c r="A68" s="19"/>
      <c r="B68" s="19"/>
      <c r="C68" s="19"/>
      <c r="D68" s="13"/>
      <c r="E68" s="13"/>
      <c r="F68" s="13"/>
      <c r="G68" s="13"/>
      <c r="H68" s="13"/>
      <c r="I68" s="13"/>
      <c r="J68" s="13"/>
      <c r="K68" s="290"/>
      <c r="L68" s="13"/>
      <c r="M68" s="13"/>
      <c r="N68" s="13"/>
      <c r="O68" s="13"/>
      <c r="P68" s="13"/>
      <c r="Q68" s="290"/>
      <c r="R68" s="13"/>
      <c r="S68" s="13"/>
      <c r="T68" s="13"/>
      <c r="U68" s="13"/>
      <c r="V68" s="13"/>
      <c r="W68" s="13"/>
    </row>
    <row r="69" spans="1:23" s="150" customFormat="1" x14ac:dyDescent="0.25">
      <c r="A69" s="19"/>
      <c r="B69" s="19"/>
      <c r="C69" s="19"/>
      <c r="D69" s="13"/>
      <c r="E69" s="13"/>
      <c r="F69" s="13"/>
      <c r="G69" s="13"/>
      <c r="H69" s="13"/>
      <c r="I69" s="13"/>
      <c r="J69" s="13"/>
      <c r="K69" s="290"/>
      <c r="L69" s="13"/>
      <c r="M69" s="13"/>
      <c r="N69" s="13"/>
      <c r="O69" s="13"/>
      <c r="P69" s="13"/>
      <c r="Q69" s="290"/>
      <c r="R69" s="13"/>
      <c r="S69" s="13"/>
      <c r="T69" s="13"/>
      <c r="U69" s="13"/>
      <c r="V69" s="13"/>
      <c r="W69" s="13"/>
    </row>
    <row r="70" spans="1:23" s="150" customFormat="1" x14ac:dyDescent="0.25">
      <c r="A70" s="333"/>
      <c r="B70" s="333"/>
      <c r="C70" s="333"/>
      <c r="D70" s="13"/>
      <c r="E70" s="13"/>
      <c r="F70" s="13"/>
      <c r="G70" s="13"/>
      <c r="H70" s="13"/>
      <c r="I70" s="13"/>
      <c r="J70" s="13"/>
      <c r="K70" s="290"/>
      <c r="L70" s="13"/>
      <c r="M70" s="13"/>
      <c r="N70" s="13"/>
      <c r="O70" s="13"/>
      <c r="P70" s="13"/>
      <c r="Q70" s="290"/>
      <c r="R70" s="13"/>
      <c r="S70" s="13"/>
      <c r="T70" s="13"/>
      <c r="U70" s="13"/>
      <c r="V70" s="13"/>
      <c r="W70" s="13"/>
    </row>
    <row r="71" spans="1:23" s="150" customFormat="1" x14ac:dyDescent="0.25">
      <c r="A71" s="333"/>
      <c r="B71" s="333"/>
      <c r="C71" s="333"/>
      <c r="D71" s="13"/>
      <c r="E71" s="13"/>
      <c r="F71" s="13"/>
      <c r="G71" s="13"/>
      <c r="H71" s="13"/>
      <c r="I71" s="13"/>
      <c r="J71" s="13"/>
      <c r="K71" s="290"/>
      <c r="L71" s="13"/>
      <c r="M71" s="13"/>
      <c r="N71" s="13"/>
      <c r="O71" s="13"/>
      <c r="P71" s="13"/>
      <c r="Q71" s="290"/>
      <c r="R71" s="13"/>
      <c r="S71" s="13"/>
      <c r="T71" s="13"/>
      <c r="U71" s="13"/>
      <c r="V71" s="13"/>
      <c r="W71" s="13"/>
    </row>
    <row r="72" spans="1:23" s="150" customFormat="1" x14ac:dyDescent="0.25">
      <c r="A72" s="333"/>
      <c r="B72" s="333"/>
      <c r="C72" s="333"/>
      <c r="D72" s="13"/>
      <c r="E72" s="13"/>
      <c r="F72" s="13"/>
      <c r="G72" s="13"/>
      <c r="H72" s="13"/>
      <c r="I72" s="13"/>
      <c r="J72" s="13"/>
      <c r="K72" s="290"/>
      <c r="L72" s="13"/>
      <c r="M72" s="13"/>
      <c r="N72" s="13"/>
      <c r="O72" s="13"/>
      <c r="P72" s="13"/>
      <c r="Q72" s="290"/>
      <c r="R72" s="13"/>
      <c r="S72" s="13"/>
      <c r="T72" s="13"/>
      <c r="U72" s="13"/>
      <c r="V72" s="13"/>
      <c r="W72" s="13"/>
    </row>
    <row r="73" spans="1:23" s="150" customFormat="1" x14ac:dyDescent="0.25">
      <c r="A73" s="333"/>
      <c r="B73" s="333"/>
      <c r="C73" s="333"/>
      <c r="D73" s="13"/>
      <c r="E73" s="13"/>
      <c r="F73" s="13"/>
      <c r="G73" s="13"/>
      <c r="H73" s="13"/>
      <c r="I73" s="13"/>
      <c r="J73" s="13"/>
      <c r="K73" s="290"/>
      <c r="L73" s="13"/>
      <c r="M73" s="13"/>
      <c r="N73" s="13"/>
      <c r="O73" s="13"/>
      <c r="P73" s="13"/>
      <c r="Q73" s="290"/>
      <c r="R73" s="13"/>
      <c r="S73" s="13"/>
      <c r="T73" s="13"/>
      <c r="U73" s="13"/>
      <c r="V73" s="13"/>
      <c r="W73" s="13"/>
    </row>
    <row r="74" spans="1:23" s="150" customFormat="1" x14ac:dyDescent="0.25">
      <c r="A74" s="333"/>
      <c r="B74" s="333"/>
      <c r="C74" s="333"/>
      <c r="D74" s="13"/>
      <c r="E74" s="13"/>
      <c r="F74" s="13"/>
      <c r="G74" s="13"/>
      <c r="H74" s="13"/>
      <c r="I74" s="13"/>
      <c r="J74" s="13"/>
      <c r="K74" s="290"/>
      <c r="L74" s="13"/>
      <c r="M74" s="13"/>
      <c r="N74" s="13"/>
      <c r="O74" s="13"/>
      <c r="P74" s="13"/>
      <c r="Q74" s="290"/>
      <c r="R74" s="13"/>
      <c r="S74" s="13"/>
      <c r="T74" s="13"/>
      <c r="U74" s="13"/>
      <c r="V74" s="13"/>
      <c r="W74" s="13"/>
    </row>
    <row r="75" spans="1:23" s="150" customFormat="1" x14ac:dyDescent="0.25">
      <c r="A75" s="333"/>
      <c r="B75" s="333"/>
      <c r="C75" s="333"/>
      <c r="D75" s="13"/>
      <c r="E75" s="13"/>
      <c r="F75" s="13"/>
      <c r="G75" s="13"/>
      <c r="H75" s="13"/>
      <c r="I75" s="13"/>
      <c r="J75" s="13"/>
      <c r="K75" s="290"/>
      <c r="L75" s="13"/>
      <c r="M75" s="13"/>
      <c r="N75" s="13"/>
      <c r="O75" s="13"/>
      <c r="P75" s="13"/>
      <c r="Q75" s="290"/>
      <c r="R75" s="13"/>
      <c r="S75" s="13"/>
      <c r="T75" s="13"/>
      <c r="U75" s="13"/>
      <c r="V75" s="13"/>
      <c r="W75" s="13"/>
    </row>
    <row r="76" spans="1:23" s="150" customFormat="1" x14ac:dyDescent="0.25">
      <c r="A76" s="333"/>
      <c r="B76" s="333"/>
      <c r="C76" s="333"/>
      <c r="D76" s="13"/>
      <c r="E76" s="13"/>
      <c r="F76" s="13"/>
      <c r="G76" s="13"/>
      <c r="H76" s="13"/>
      <c r="I76" s="13"/>
      <c r="J76" s="13"/>
      <c r="K76" s="290"/>
      <c r="L76" s="13"/>
      <c r="M76" s="13"/>
      <c r="N76" s="13"/>
      <c r="O76" s="13"/>
      <c r="P76" s="13"/>
      <c r="Q76" s="290"/>
      <c r="R76" s="13"/>
      <c r="S76" s="13"/>
      <c r="T76" s="13"/>
      <c r="U76" s="13"/>
      <c r="V76" s="13"/>
      <c r="W76" s="13"/>
    </row>
    <row r="77" spans="1:23" s="150" customFormat="1" x14ac:dyDescent="0.25">
      <c r="A77" s="333"/>
      <c r="B77" s="333"/>
      <c r="C77" s="333"/>
      <c r="D77" s="13"/>
      <c r="E77" s="13"/>
      <c r="F77" s="13"/>
      <c r="G77" s="13"/>
      <c r="H77" s="13"/>
      <c r="I77" s="13"/>
      <c r="J77" s="13"/>
      <c r="K77" s="290"/>
      <c r="L77" s="13"/>
      <c r="M77" s="13"/>
      <c r="N77" s="13"/>
      <c r="O77" s="13"/>
      <c r="P77" s="13"/>
      <c r="Q77" s="290"/>
      <c r="R77" s="13"/>
      <c r="S77" s="13"/>
      <c r="T77" s="13"/>
      <c r="U77" s="13"/>
      <c r="V77" s="13"/>
      <c r="W77" s="13"/>
    </row>
    <row r="78" spans="1:23" s="150" customFormat="1" x14ac:dyDescent="0.25">
      <c r="A78" s="333"/>
      <c r="B78" s="333"/>
      <c r="C78" s="333"/>
      <c r="D78" s="13"/>
      <c r="E78" s="13"/>
      <c r="F78" s="13"/>
      <c r="G78" s="13"/>
      <c r="H78" s="13"/>
      <c r="I78" s="13"/>
      <c r="J78" s="13"/>
      <c r="K78" s="290"/>
      <c r="L78" s="13"/>
      <c r="M78" s="13"/>
      <c r="N78" s="13"/>
      <c r="O78" s="13"/>
      <c r="P78" s="13"/>
      <c r="Q78" s="290"/>
      <c r="R78" s="13"/>
      <c r="S78" s="13"/>
      <c r="T78" s="13"/>
      <c r="U78" s="13"/>
      <c r="V78" s="13"/>
      <c r="W78" s="13"/>
    </row>
    <row r="79" spans="1:23" s="150" customFormat="1" x14ac:dyDescent="0.25">
      <c r="A79" s="333"/>
      <c r="B79" s="333"/>
      <c r="C79" s="333"/>
      <c r="D79" s="13"/>
      <c r="E79" s="13"/>
      <c r="F79" s="13"/>
      <c r="G79" s="13"/>
      <c r="H79" s="13"/>
      <c r="I79" s="13"/>
      <c r="J79" s="13"/>
      <c r="K79" s="290"/>
      <c r="L79" s="13"/>
      <c r="M79" s="13"/>
      <c r="N79" s="13"/>
      <c r="O79" s="13"/>
      <c r="P79" s="13"/>
      <c r="Q79" s="290"/>
      <c r="R79" s="13"/>
      <c r="S79" s="13"/>
      <c r="T79" s="13"/>
      <c r="U79" s="13"/>
      <c r="V79" s="13"/>
      <c r="W79" s="13"/>
    </row>
    <row r="80" spans="1:23" s="150" customFormat="1" x14ac:dyDescent="0.25">
      <c r="A80" s="333"/>
      <c r="B80" s="333"/>
      <c r="C80" s="333"/>
      <c r="D80" s="13"/>
      <c r="E80" s="13"/>
      <c r="F80" s="13"/>
      <c r="G80" s="13"/>
      <c r="H80" s="13"/>
      <c r="I80" s="13"/>
      <c r="J80" s="13"/>
      <c r="K80" s="290"/>
      <c r="L80" s="13"/>
      <c r="M80" s="13"/>
      <c r="N80" s="13"/>
      <c r="O80" s="13"/>
      <c r="P80" s="13"/>
      <c r="Q80" s="290"/>
      <c r="R80" s="13"/>
      <c r="S80" s="13"/>
      <c r="T80" s="13"/>
      <c r="U80" s="13"/>
      <c r="V80" s="13"/>
      <c r="W80" s="13"/>
    </row>
    <row r="81" spans="1:23" s="150" customFormat="1" x14ac:dyDescent="0.25">
      <c r="A81" s="333"/>
      <c r="B81" s="333"/>
      <c r="C81" s="333"/>
      <c r="D81" s="13"/>
      <c r="E81" s="13"/>
      <c r="F81" s="13"/>
      <c r="G81" s="13"/>
      <c r="H81" s="13"/>
      <c r="I81" s="13"/>
      <c r="J81" s="13"/>
      <c r="K81" s="290"/>
      <c r="L81" s="13"/>
      <c r="M81" s="13"/>
      <c r="N81" s="13"/>
      <c r="O81" s="13"/>
      <c r="P81" s="13"/>
      <c r="Q81" s="290"/>
      <c r="R81" s="13"/>
      <c r="S81" s="13"/>
      <c r="T81" s="13"/>
      <c r="U81" s="13"/>
      <c r="V81" s="13"/>
      <c r="W81" s="13"/>
    </row>
    <row r="82" spans="1:23" s="147" customFormat="1" x14ac:dyDescent="0.25">
      <c r="A82" s="333"/>
      <c r="B82" s="333"/>
      <c r="C82" s="333"/>
      <c r="D82" s="13"/>
      <c r="E82" s="13"/>
      <c r="F82" s="13"/>
      <c r="G82" s="13"/>
      <c r="H82" s="13"/>
      <c r="I82" s="13"/>
      <c r="J82" s="13"/>
      <c r="K82" s="290"/>
      <c r="L82" s="13"/>
      <c r="M82" s="13"/>
      <c r="N82" s="13"/>
      <c r="O82" s="13"/>
      <c r="P82" s="13"/>
      <c r="Q82" s="290"/>
      <c r="R82" s="13"/>
      <c r="S82" s="13"/>
      <c r="T82" s="13"/>
      <c r="U82" s="13"/>
      <c r="V82" s="13"/>
      <c r="W82" s="13"/>
    </row>
    <row r="83" spans="1:23" s="146" customFormat="1" x14ac:dyDescent="0.25">
      <c r="A83" s="333"/>
      <c r="B83" s="333"/>
      <c r="C83" s="333"/>
      <c r="D83" s="13"/>
      <c r="E83" s="13"/>
      <c r="F83" s="13"/>
      <c r="G83" s="13"/>
      <c r="H83" s="13"/>
      <c r="I83" s="13"/>
      <c r="J83" s="13"/>
      <c r="K83" s="290"/>
      <c r="L83" s="13"/>
      <c r="M83" s="13"/>
      <c r="N83" s="13"/>
      <c r="O83" s="13"/>
      <c r="P83" s="13"/>
      <c r="Q83" s="290"/>
      <c r="R83" s="13"/>
      <c r="S83" s="13"/>
      <c r="T83" s="13"/>
      <c r="U83" s="13"/>
      <c r="V83" s="13"/>
      <c r="W83" s="13"/>
    </row>
    <row r="84" spans="1:23" s="147" customFormat="1" x14ac:dyDescent="0.25">
      <c r="A84" s="333"/>
      <c r="B84" s="333"/>
      <c r="C84" s="333"/>
      <c r="D84" s="13"/>
      <c r="E84" s="13"/>
      <c r="F84" s="13"/>
      <c r="G84" s="13"/>
      <c r="H84" s="13"/>
      <c r="I84" s="13"/>
      <c r="J84" s="13"/>
      <c r="K84" s="290"/>
      <c r="L84" s="13"/>
      <c r="M84" s="13"/>
      <c r="N84" s="13"/>
      <c r="O84" s="13"/>
      <c r="P84" s="13"/>
      <c r="Q84" s="290"/>
      <c r="R84" s="13"/>
      <c r="S84" s="13"/>
      <c r="T84" s="13"/>
      <c r="U84" s="13"/>
      <c r="V84" s="13"/>
      <c r="W84" s="13"/>
    </row>
    <row r="85" spans="1:23" s="147" customFormat="1" x14ac:dyDescent="0.25">
      <c r="A85" s="333"/>
      <c r="B85" s="333"/>
      <c r="C85" s="333"/>
      <c r="D85" s="13"/>
      <c r="E85" s="13"/>
      <c r="F85" s="13"/>
      <c r="G85" s="13"/>
      <c r="H85" s="13"/>
      <c r="I85" s="13"/>
      <c r="J85" s="13"/>
      <c r="K85" s="290"/>
      <c r="L85" s="13"/>
      <c r="M85" s="13"/>
      <c r="N85" s="13"/>
      <c r="O85" s="13"/>
      <c r="P85" s="13"/>
      <c r="Q85" s="290"/>
      <c r="R85" s="13"/>
      <c r="S85" s="13"/>
      <c r="T85" s="13"/>
      <c r="U85" s="13"/>
      <c r="V85" s="13"/>
      <c r="W85" s="13"/>
    </row>
    <row r="86" spans="1:23" s="147" customFormat="1" x14ac:dyDescent="0.25">
      <c r="A86" s="333"/>
      <c r="B86" s="333"/>
      <c r="C86" s="333"/>
      <c r="D86" s="13"/>
      <c r="E86" s="13"/>
      <c r="F86" s="13"/>
      <c r="G86" s="13"/>
      <c r="H86" s="13"/>
      <c r="I86" s="13"/>
      <c r="J86" s="13"/>
      <c r="K86" s="290"/>
      <c r="L86" s="13"/>
      <c r="M86" s="13"/>
      <c r="N86" s="13"/>
      <c r="O86" s="13"/>
      <c r="P86" s="13"/>
      <c r="Q86" s="290"/>
      <c r="R86" s="13"/>
      <c r="S86" s="13"/>
      <c r="T86" s="13"/>
      <c r="U86" s="13"/>
      <c r="V86" s="13"/>
      <c r="W86" s="13"/>
    </row>
    <row r="87" spans="1:23" s="147" customFormat="1" x14ac:dyDescent="0.25">
      <c r="A87" s="333"/>
      <c r="B87" s="333"/>
      <c r="C87" s="333"/>
      <c r="D87" s="13"/>
      <c r="E87" s="13"/>
      <c r="F87" s="13"/>
      <c r="G87" s="13"/>
      <c r="H87" s="13"/>
      <c r="I87" s="13"/>
      <c r="J87" s="13"/>
      <c r="K87" s="290"/>
      <c r="L87" s="13"/>
      <c r="M87" s="13"/>
      <c r="N87" s="13"/>
      <c r="O87" s="13"/>
      <c r="P87" s="13"/>
      <c r="Q87" s="290"/>
      <c r="R87" s="13"/>
      <c r="S87" s="13"/>
      <c r="T87" s="13"/>
      <c r="U87" s="13"/>
      <c r="V87" s="13"/>
      <c r="W87" s="13"/>
    </row>
    <row r="88" spans="1:23" s="147" customFormat="1" x14ac:dyDescent="0.25">
      <c r="A88" s="333"/>
      <c r="B88" s="333"/>
      <c r="C88" s="333"/>
      <c r="D88" s="13"/>
      <c r="E88" s="13"/>
      <c r="F88" s="13"/>
      <c r="G88" s="13"/>
      <c r="H88" s="13"/>
      <c r="I88" s="13"/>
      <c r="J88" s="13"/>
      <c r="K88" s="290"/>
      <c r="L88" s="13"/>
      <c r="M88" s="13"/>
      <c r="N88" s="13"/>
      <c r="O88" s="13"/>
      <c r="P88" s="13"/>
      <c r="Q88" s="290"/>
      <c r="R88" s="13"/>
      <c r="S88" s="13"/>
      <c r="T88" s="13"/>
      <c r="U88" s="13"/>
      <c r="V88" s="13"/>
      <c r="W88" s="13"/>
    </row>
    <row r="89" spans="1:23" s="147" customFormat="1" x14ac:dyDescent="0.25">
      <c r="A89" s="333"/>
      <c r="B89" s="333"/>
      <c r="C89" s="333"/>
      <c r="D89" s="13"/>
      <c r="E89" s="13"/>
      <c r="F89" s="13"/>
      <c r="G89" s="13"/>
      <c r="H89" s="13"/>
      <c r="I89" s="13"/>
      <c r="J89" s="13"/>
      <c r="K89" s="290"/>
      <c r="L89" s="13"/>
      <c r="M89" s="13"/>
      <c r="N89" s="13"/>
      <c r="O89" s="13"/>
      <c r="P89" s="13"/>
      <c r="Q89" s="290"/>
      <c r="R89" s="13"/>
      <c r="S89" s="13"/>
      <c r="T89" s="13"/>
      <c r="U89" s="13"/>
      <c r="V89" s="13"/>
      <c r="W89" s="13"/>
    </row>
    <row r="90" spans="1:23" s="147" customFormat="1" x14ac:dyDescent="0.25">
      <c r="A90" s="333"/>
      <c r="B90" s="333"/>
      <c r="C90" s="333"/>
      <c r="D90" s="13"/>
      <c r="E90" s="13"/>
      <c r="F90" s="13"/>
      <c r="G90" s="13"/>
      <c r="H90" s="13"/>
      <c r="I90" s="13"/>
      <c r="J90" s="13"/>
      <c r="K90" s="290"/>
      <c r="L90" s="13"/>
      <c r="M90" s="13"/>
      <c r="N90" s="13"/>
      <c r="O90" s="13"/>
      <c r="P90" s="13"/>
      <c r="Q90" s="290"/>
      <c r="R90" s="13"/>
      <c r="S90" s="13"/>
      <c r="T90" s="13"/>
      <c r="U90" s="13"/>
      <c r="V90" s="13"/>
      <c r="W90" s="13"/>
    </row>
    <row r="91" spans="1:23" s="147" customFormat="1" x14ac:dyDescent="0.25">
      <c r="A91" s="333"/>
      <c r="B91" s="333"/>
      <c r="C91" s="333"/>
      <c r="D91" s="13"/>
      <c r="E91" s="13"/>
      <c r="F91" s="13"/>
      <c r="G91" s="13"/>
      <c r="H91" s="13"/>
      <c r="I91" s="13"/>
      <c r="J91" s="13"/>
      <c r="K91" s="290"/>
      <c r="L91" s="13"/>
      <c r="M91" s="13"/>
      <c r="N91" s="13"/>
      <c r="O91" s="13"/>
      <c r="P91" s="13"/>
      <c r="Q91" s="290"/>
      <c r="R91" s="13"/>
      <c r="S91" s="13"/>
      <c r="T91" s="13"/>
      <c r="U91" s="13"/>
      <c r="V91" s="13"/>
      <c r="W91" s="13"/>
    </row>
    <row r="92" spans="1:23" s="147" customFormat="1" x14ac:dyDescent="0.25">
      <c r="A92" s="333"/>
      <c r="B92" s="333"/>
      <c r="C92" s="333"/>
      <c r="D92" s="13"/>
      <c r="E92" s="13"/>
      <c r="F92" s="13"/>
      <c r="G92" s="13"/>
      <c r="H92" s="13"/>
      <c r="I92" s="13"/>
      <c r="J92" s="13"/>
      <c r="K92" s="290"/>
      <c r="L92" s="13"/>
      <c r="M92" s="13"/>
      <c r="N92" s="13"/>
      <c r="O92" s="13"/>
      <c r="P92" s="13"/>
      <c r="Q92" s="290"/>
      <c r="R92" s="13"/>
      <c r="S92" s="13"/>
      <c r="T92" s="13"/>
      <c r="U92" s="13"/>
      <c r="V92" s="13"/>
      <c r="W92" s="13"/>
    </row>
    <row r="93" spans="1:23" s="147" customFormat="1" x14ac:dyDescent="0.25">
      <c r="A93" s="333"/>
      <c r="B93" s="333"/>
      <c r="C93" s="333"/>
      <c r="D93" s="13"/>
      <c r="E93" s="13"/>
      <c r="F93" s="13"/>
      <c r="G93" s="13"/>
      <c r="H93" s="13"/>
      <c r="I93" s="13"/>
      <c r="J93" s="13"/>
      <c r="K93" s="290"/>
      <c r="L93" s="13"/>
      <c r="M93" s="13"/>
      <c r="N93" s="13"/>
      <c r="O93" s="13"/>
      <c r="P93" s="13"/>
      <c r="Q93" s="290"/>
      <c r="R93" s="13"/>
      <c r="S93" s="13"/>
      <c r="T93" s="13"/>
      <c r="U93" s="13"/>
      <c r="V93" s="13"/>
      <c r="W93" s="13"/>
    </row>
    <row r="94" spans="1:23" s="147" customFormat="1" x14ac:dyDescent="0.25">
      <c r="A94" s="333"/>
      <c r="B94" s="333"/>
      <c r="C94" s="333"/>
      <c r="D94" s="13"/>
      <c r="E94" s="13"/>
      <c r="F94" s="13"/>
      <c r="G94" s="13"/>
      <c r="H94" s="13"/>
      <c r="I94" s="13"/>
      <c r="J94" s="13"/>
      <c r="K94" s="290"/>
      <c r="L94" s="13"/>
      <c r="M94" s="13"/>
      <c r="N94" s="13"/>
      <c r="O94" s="13"/>
      <c r="P94" s="13"/>
      <c r="Q94" s="290"/>
      <c r="R94" s="13"/>
      <c r="S94" s="13"/>
      <c r="T94" s="13"/>
      <c r="U94" s="13"/>
      <c r="V94" s="13"/>
      <c r="W94" s="13"/>
    </row>
    <row r="95" spans="1:23" s="147" customFormat="1" x14ac:dyDescent="0.25">
      <c r="A95" s="333"/>
      <c r="B95" s="333"/>
      <c r="C95" s="333"/>
      <c r="D95" s="13"/>
      <c r="E95" s="13"/>
      <c r="F95" s="13"/>
      <c r="G95" s="13"/>
      <c r="H95" s="13"/>
      <c r="I95" s="13"/>
      <c r="J95" s="13"/>
      <c r="K95" s="290"/>
      <c r="L95" s="13"/>
      <c r="M95" s="13"/>
      <c r="N95" s="13"/>
      <c r="O95" s="13"/>
      <c r="P95" s="13"/>
      <c r="Q95" s="290"/>
      <c r="R95" s="13"/>
      <c r="S95" s="13"/>
      <c r="T95" s="13"/>
      <c r="U95" s="13"/>
      <c r="V95" s="13"/>
      <c r="W95" s="13"/>
    </row>
    <row r="96" spans="1:23" s="147" customFormat="1" x14ac:dyDescent="0.25">
      <c r="A96" s="333"/>
      <c r="B96" s="333"/>
      <c r="C96" s="333"/>
      <c r="D96" s="13"/>
      <c r="E96" s="13"/>
      <c r="F96" s="13"/>
      <c r="G96" s="13"/>
      <c r="H96" s="13"/>
      <c r="I96" s="13"/>
      <c r="J96" s="13"/>
      <c r="K96" s="290"/>
      <c r="L96" s="13"/>
      <c r="M96" s="13"/>
      <c r="N96" s="13"/>
      <c r="O96" s="13"/>
      <c r="P96" s="13"/>
      <c r="Q96" s="290"/>
      <c r="R96" s="13"/>
      <c r="S96" s="13"/>
      <c r="T96" s="13"/>
      <c r="U96" s="13"/>
      <c r="V96" s="13"/>
      <c r="W96" s="13"/>
    </row>
    <row r="97" spans="1:23" s="147" customFormat="1" x14ac:dyDescent="0.25">
      <c r="A97" s="333"/>
      <c r="B97" s="333"/>
      <c r="C97" s="333"/>
      <c r="D97" s="13"/>
      <c r="E97" s="13"/>
      <c r="F97" s="13"/>
      <c r="G97" s="13"/>
      <c r="H97" s="13"/>
      <c r="I97" s="13"/>
      <c r="J97" s="13"/>
      <c r="K97" s="290"/>
      <c r="L97" s="13"/>
      <c r="M97" s="13"/>
      <c r="N97" s="13"/>
      <c r="O97" s="13"/>
      <c r="P97" s="13"/>
      <c r="Q97" s="290"/>
      <c r="R97" s="13"/>
      <c r="S97" s="13"/>
      <c r="T97" s="13"/>
      <c r="U97" s="13"/>
      <c r="V97" s="13"/>
      <c r="W97" s="13"/>
    </row>
    <row r="98" spans="1:23" s="147" customFormat="1" x14ac:dyDescent="0.25">
      <c r="A98" s="13"/>
      <c r="B98" s="13"/>
      <c r="C98" s="13"/>
      <c r="D98" s="13"/>
      <c r="E98" s="13"/>
      <c r="F98" s="13"/>
      <c r="G98" s="13"/>
      <c r="H98" s="13"/>
      <c r="I98" s="13"/>
      <c r="J98" s="13"/>
      <c r="K98" s="290"/>
      <c r="L98" s="13"/>
      <c r="M98" s="13"/>
      <c r="N98" s="13"/>
      <c r="O98" s="13"/>
      <c r="P98" s="13"/>
      <c r="Q98" s="290"/>
      <c r="R98" s="13"/>
      <c r="S98" s="13"/>
      <c r="T98" s="13"/>
      <c r="U98" s="13"/>
      <c r="V98" s="13"/>
      <c r="W98" s="13"/>
    </row>
    <row r="99" spans="1:23" s="147" customFormat="1" x14ac:dyDescent="0.25">
      <c r="A99" s="13"/>
      <c r="B99" s="13"/>
      <c r="C99" s="13"/>
      <c r="D99" s="13"/>
      <c r="E99" s="13"/>
      <c r="F99" s="13"/>
      <c r="G99" s="13"/>
      <c r="H99" s="13"/>
      <c r="I99" s="13"/>
      <c r="J99" s="13"/>
      <c r="K99" s="290"/>
      <c r="L99" s="13"/>
      <c r="M99" s="13"/>
      <c r="N99" s="13"/>
      <c r="O99" s="13"/>
      <c r="P99" s="13"/>
      <c r="Q99" s="290"/>
      <c r="R99" s="13"/>
      <c r="S99" s="13"/>
      <c r="T99" s="13"/>
      <c r="U99" s="13"/>
      <c r="V99" s="13"/>
      <c r="W99" s="13"/>
    </row>
  </sheetData>
  <sortState ref="A3:X51">
    <sortCondition ref="G3:G51"/>
  </sortState>
  <mergeCells count="1">
    <mergeCell ref="A1:W1"/>
  </mergeCells>
  <phoneticPr fontId="23" type="noConversion"/>
  <hyperlinks>
    <hyperlink ref="P3" r:id="rId1"/>
    <hyperlink ref="P4:P5" r:id="rId2" display="Paul.Nolan@mallinckrodt.com"/>
  </hyperlinks>
  <pageMargins left="0.25" right="0.25" top="0.75" bottom="0.75" header="0.3" footer="0.3"/>
  <pageSetup scale="96" fitToHeight="6" orientation="landscape" r:id="rId3"/>
  <headerFooter>
    <oddFooter>&amp;L&amp;F: &amp;A&amp;R&amp;P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B050"/>
    <pageSetUpPr fitToPage="1"/>
  </sheetPr>
  <dimension ref="A1:X77"/>
  <sheetViews>
    <sheetView zoomScale="140" zoomScaleNormal="140" workbookViewId="0">
      <pane ySplit="1" topLeftCell="A2" activePane="bottomLeft" state="frozen"/>
      <selection pane="bottomLeft" activeCell="A4" sqref="A4:XFD4"/>
    </sheetView>
  </sheetViews>
  <sheetFormatPr defaultColWidth="9.140625" defaultRowHeight="11.25" x14ac:dyDescent="0.25"/>
  <cols>
    <col min="1" max="1" width="32.42578125" style="114" bestFit="1" customWidth="1"/>
    <col min="2" max="2" width="8.28515625" style="114" bestFit="1" customWidth="1"/>
    <col min="3" max="3" width="9.85546875" style="114" customWidth="1"/>
    <col min="4" max="4" width="5.85546875" style="132" bestFit="1" customWidth="1"/>
    <col min="5" max="5" width="11.42578125" style="114" customWidth="1"/>
    <col min="6" max="7" width="11.28515625" style="132" customWidth="1"/>
    <col min="8" max="8" width="7.140625" style="132" customWidth="1"/>
    <col min="9" max="10" width="8.140625" style="132" customWidth="1"/>
    <col min="11" max="12" width="7.85546875" style="132" customWidth="1"/>
    <col min="13" max="13" width="8.140625" style="132" customWidth="1"/>
    <col min="14" max="15" width="8" style="132" bestFit="1" customWidth="1"/>
    <col min="16" max="16" width="7.7109375" style="114" customWidth="1"/>
    <col min="17" max="17" width="8.7109375" style="114" customWidth="1"/>
    <col min="18" max="18" width="5.140625" style="114" customWidth="1"/>
    <col min="19" max="19" width="7.140625" style="114" customWidth="1"/>
    <col min="20" max="20" width="7.42578125" style="137" customWidth="1"/>
    <col min="21" max="21" width="10.28515625" style="114" bestFit="1" customWidth="1"/>
    <col min="22" max="22" width="9.5703125" style="114" customWidth="1"/>
    <col min="23" max="23" width="34.140625" style="114" customWidth="1"/>
    <col min="24" max="24" width="23.85546875" style="114" customWidth="1"/>
    <col min="25" max="16384" width="9.140625" style="114"/>
  </cols>
  <sheetData>
    <row r="1" spans="1:24" s="84" customFormat="1" ht="33.75" x14ac:dyDescent="0.25">
      <c r="A1" s="247" t="s">
        <v>35</v>
      </c>
      <c r="B1" s="247" t="s">
        <v>477</v>
      </c>
      <c r="C1" s="247" t="s">
        <v>294</v>
      </c>
      <c r="D1" s="247" t="s">
        <v>261</v>
      </c>
      <c r="E1" s="248" t="s">
        <v>547</v>
      </c>
      <c r="F1" s="249" t="s">
        <v>262</v>
      </c>
      <c r="G1" s="250" t="s">
        <v>263</v>
      </c>
      <c r="H1" s="251" t="s">
        <v>264</v>
      </c>
      <c r="I1" s="247" t="s">
        <v>265</v>
      </c>
      <c r="J1" s="247" t="s">
        <v>266</v>
      </c>
      <c r="K1" s="247" t="s">
        <v>267</v>
      </c>
      <c r="L1" s="247" t="s">
        <v>268</v>
      </c>
      <c r="M1" s="247" t="s">
        <v>269</v>
      </c>
      <c r="N1" s="247" t="s">
        <v>270</v>
      </c>
      <c r="O1" s="247" t="s">
        <v>271</v>
      </c>
      <c r="P1" s="252" t="s">
        <v>272</v>
      </c>
      <c r="Q1" s="252" t="s">
        <v>273</v>
      </c>
      <c r="R1" s="252" t="s">
        <v>139</v>
      </c>
      <c r="S1" s="247" t="s">
        <v>274</v>
      </c>
      <c r="T1" s="253" t="s">
        <v>275</v>
      </c>
      <c r="U1" s="248" t="s">
        <v>253</v>
      </c>
      <c r="V1" s="252" t="s">
        <v>276</v>
      </c>
      <c r="W1" s="247" t="s">
        <v>277</v>
      </c>
      <c r="X1" s="254" t="s">
        <v>278</v>
      </c>
    </row>
    <row r="2" spans="1:24" s="84" customFormat="1" x14ac:dyDescent="0.25">
      <c r="A2" s="478" t="s">
        <v>557</v>
      </c>
      <c r="B2" s="236" t="s">
        <v>636</v>
      </c>
      <c r="C2" s="236" t="s">
        <v>567</v>
      </c>
      <c r="D2" s="237" t="s">
        <v>569</v>
      </c>
      <c r="E2" s="237">
        <v>23</v>
      </c>
      <c r="F2" s="238">
        <v>2</v>
      </c>
      <c r="G2" s="239">
        <v>0.02</v>
      </c>
      <c r="H2" s="479"/>
      <c r="I2" s="455" t="s">
        <v>565</v>
      </c>
      <c r="J2" s="455" t="s">
        <v>565</v>
      </c>
      <c r="K2" s="455" t="s">
        <v>565</v>
      </c>
      <c r="L2" s="237"/>
      <c r="M2" s="237"/>
      <c r="N2" s="311" t="s">
        <v>554</v>
      </c>
      <c r="O2" s="237"/>
      <c r="P2" s="236"/>
      <c r="Q2" s="236"/>
      <c r="R2" s="236"/>
      <c r="S2" s="236"/>
      <c r="T2" s="240"/>
      <c r="U2" s="236"/>
      <c r="V2" s="236"/>
      <c r="W2" s="236"/>
      <c r="X2" s="236"/>
    </row>
    <row r="3" spans="1:24" s="88" customFormat="1" x14ac:dyDescent="0.25">
      <c r="A3" s="478" t="s">
        <v>558</v>
      </c>
      <c r="B3" s="310" t="s">
        <v>636</v>
      </c>
      <c r="C3" s="236" t="s">
        <v>567</v>
      </c>
      <c r="D3" s="237" t="s">
        <v>570</v>
      </c>
      <c r="E3" s="235">
        <v>23</v>
      </c>
      <c r="F3" s="411">
        <v>2</v>
      </c>
      <c r="G3" s="411">
        <v>0.02</v>
      </c>
      <c r="H3" s="479"/>
      <c r="I3" s="455" t="s">
        <v>565</v>
      </c>
      <c r="J3" s="455" t="s">
        <v>565</v>
      </c>
      <c r="K3" s="455" t="s">
        <v>565</v>
      </c>
      <c r="L3" s="237"/>
      <c r="M3" s="237"/>
      <c r="N3" s="311" t="s">
        <v>549</v>
      </c>
      <c r="O3" s="241"/>
      <c r="P3" s="242"/>
      <c r="Q3" s="242"/>
      <c r="R3" s="242"/>
      <c r="S3" s="243"/>
      <c r="T3" s="240"/>
      <c r="U3" s="244"/>
      <c r="V3" s="245"/>
      <c r="W3" s="246"/>
      <c r="X3" s="243"/>
    </row>
    <row r="4" spans="1:24" s="88" customFormat="1" x14ac:dyDescent="0.25">
      <c r="A4" s="310" t="s">
        <v>555</v>
      </c>
      <c r="B4" s="236" t="s">
        <v>636</v>
      </c>
      <c r="C4" s="236" t="s">
        <v>567</v>
      </c>
      <c r="D4" s="237" t="s">
        <v>568</v>
      </c>
      <c r="E4" s="235">
        <v>38</v>
      </c>
      <c r="F4" s="238">
        <v>2</v>
      </c>
      <c r="G4" s="239">
        <v>0.02</v>
      </c>
      <c r="H4" s="479"/>
      <c r="I4" s="237" t="s">
        <v>566</v>
      </c>
      <c r="J4" s="237" t="s">
        <v>566</v>
      </c>
      <c r="K4" s="237" t="s">
        <v>566</v>
      </c>
      <c r="L4" s="237"/>
      <c r="M4" s="237"/>
      <c r="N4" s="241" t="s">
        <v>562</v>
      </c>
      <c r="O4" s="241"/>
      <c r="P4" s="242"/>
      <c r="Q4" s="242"/>
      <c r="R4" s="242"/>
      <c r="S4" s="243"/>
      <c r="T4" s="240"/>
      <c r="U4" s="244"/>
      <c r="V4" s="245"/>
      <c r="W4" s="243"/>
      <c r="X4" s="243"/>
    </row>
    <row r="5" spans="1:24" s="88" customFormat="1" x14ac:dyDescent="0.25">
      <c r="A5" s="478" t="s">
        <v>650</v>
      </c>
      <c r="B5" s="234" t="s">
        <v>636</v>
      </c>
      <c r="C5" s="236" t="s">
        <v>567</v>
      </c>
      <c r="D5" s="235" t="s">
        <v>569</v>
      </c>
      <c r="E5" s="235">
        <v>23</v>
      </c>
      <c r="F5" s="238">
        <v>2</v>
      </c>
      <c r="G5" s="239">
        <v>0.02</v>
      </c>
      <c r="H5" s="479"/>
      <c r="I5" s="455" t="s">
        <v>565</v>
      </c>
      <c r="J5" s="455" t="s">
        <v>565</v>
      </c>
      <c r="K5" s="455" t="s">
        <v>565</v>
      </c>
      <c r="L5" s="237"/>
      <c r="M5" s="237"/>
      <c r="N5" s="241" t="s">
        <v>561</v>
      </c>
      <c r="O5" s="241"/>
      <c r="P5" s="242"/>
      <c r="Q5" s="242"/>
      <c r="R5" s="242"/>
      <c r="S5" s="243"/>
      <c r="T5" s="240"/>
      <c r="U5" s="244"/>
      <c r="V5" s="245"/>
      <c r="W5" s="246"/>
      <c r="X5" s="243"/>
    </row>
    <row r="6" spans="1:24" s="88" customFormat="1" x14ac:dyDescent="0.25">
      <c r="A6" s="478" t="s">
        <v>559</v>
      </c>
      <c r="B6" s="236" t="s">
        <v>2</v>
      </c>
      <c r="C6" s="236" t="s">
        <v>567</v>
      </c>
      <c r="D6" s="100" t="s">
        <v>568</v>
      </c>
      <c r="E6" s="235">
        <v>7</v>
      </c>
      <c r="F6" s="238">
        <v>2</v>
      </c>
      <c r="G6" s="239">
        <v>0.02</v>
      </c>
      <c r="H6" s="479"/>
      <c r="I6" s="455" t="s">
        <v>565</v>
      </c>
      <c r="J6" s="455" t="s">
        <v>565</v>
      </c>
      <c r="K6" s="455" t="s">
        <v>565</v>
      </c>
      <c r="L6" s="237"/>
      <c r="M6" s="237"/>
      <c r="N6" s="241" t="s">
        <v>781</v>
      </c>
      <c r="O6" s="241"/>
      <c r="P6" s="242"/>
      <c r="Q6" s="242"/>
      <c r="R6" s="242"/>
      <c r="S6" s="243"/>
      <c r="T6" s="240"/>
      <c r="U6" s="244"/>
      <c r="V6" s="245"/>
      <c r="W6" s="243"/>
      <c r="X6" s="243"/>
    </row>
    <row r="7" spans="1:24" s="88" customFormat="1" x14ac:dyDescent="0.25">
      <c r="A7" s="310" t="s">
        <v>563</v>
      </c>
      <c r="B7" s="334" t="s">
        <v>2</v>
      </c>
      <c r="C7" s="236" t="s">
        <v>567</v>
      </c>
      <c r="D7" s="104" t="s">
        <v>568</v>
      </c>
      <c r="E7" s="235">
        <v>0</v>
      </c>
      <c r="F7" s="238">
        <v>2</v>
      </c>
      <c r="G7" s="239">
        <v>0.02</v>
      </c>
      <c r="H7" s="104"/>
      <c r="I7" s="104" t="s">
        <v>566</v>
      </c>
      <c r="J7" s="104" t="s">
        <v>566</v>
      </c>
      <c r="K7" s="104" t="s">
        <v>566</v>
      </c>
      <c r="L7" s="104"/>
      <c r="M7" s="104"/>
      <c r="N7" s="89" t="s">
        <v>780</v>
      </c>
      <c r="O7" s="89"/>
      <c r="P7" s="91"/>
      <c r="Q7" s="91"/>
      <c r="R7" s="91"/>
      <c r="S7" s="93"/>
      <c r="T7" s="97"/>
      <c r="U7" s="94"/>
      <c r="V7" s="95"/>
      <c r="W7" s="93"/>
      <c r="X7" s="93"/>
    </row>
    <row r="8" spans="1:24" s="88" customFormat="1" ht="22.5" x14ac:dyDescent="0.25">
      <c r="A8" s="310" t="s">
        <v>572</v>
      </c>
      <c r="B8" s="334" t="s">
        <v>2</v>
      </c>
      <c r="C8" s="236" t="s">
        <v>567</v>
      </c>
      <c r="D8" s="104" t="s">
        <v>568</v>
      </c>
      <c r="E8" s="237">
        <v>23</v>
      </c>
      <c r="F8" s="238">
        <v>2</v>
      </c>
      <c r="G8" s="239">
        <v>0.02</v>
      </c>
      <c r="H8" s="104" t="s">
        <v>652</v>
      </c>
      <c r="I8" s="104" t="s">
        <v>612</v>
      </c>
      <c r="J8" s="104" t="s">
        <v>612</v>
      </c>
      <c r="K8" s="104" t="s">
        <v>612</v>
      </c>
      <c r="L8" s="104"/>
      <c r="M8" s="104"/>
      <c r="N8" s="89" t="s">
        <v>647</v>
      </c>
      <c r="O8" s="89"/>
      <c r="P8" s="91" t="s">
        <v>654</v>
      </c>
      <c r="Q8" s="91" t="s">
        <v>654</v>
      </c>
      <c r="R8" s="91" t="s">
        <v>654</v>
      </c>
      <c r="S8" s="91" t="s">
        <v>654</v>
      </c>
      <c r="T8" s="91" t="s">
        <v>654</v>
      </c>
      <c r="U8" s="91" t="s">
        <v>654</v>
      </c>
      <c r="V8" s="91" t="s">
        <v>654</v>
      </c>
      <c r="W8" s="87" t="s">
        <v>672</v>
      </c>
      <c r="X8" s="87" t="s">
        <v>671</v>
      </c>
    </row>
    <row r="9" spans="1:24" s="88" customFormat="1" ht="22.5" x14ac:dyDescent="0.25">
      <c r="A9" s="99" t="s">
        <v>648</v>
      </c>
      <c r="B9" s="236" t="s">
        <v>2</v>
      </c>
      <c r="C9" s="236" t="s">
        <v>567</v>
      </c>
      <c r="D9" s="100" t="s">
        <v>568</v>
      </c>
      <c r="E9" s="237">
        <v>23</v>
      </c>
      <c r="F9" s="238">
        <v>2</v>
      </c>
      <c r="G9" s="239">
        <v>0.02</v>
      </c>
      <c r="H9" s="104" t="s">
        <v>652</v>
      </c>
      <c r="I9" s="104" t="s">
        <v>612</v>
      </c>
      <c r="J9" s="104" t="s">
        <v>612</v>
      </c>
      <c r="K9" s="104" t="s">
        <v>612</v>
      </c>
      <c r="L9" s="100"/>
      <c r="M9" s="100"/>
      <c r="N9" s="89" t="s">
        <v>649</v>
      </c>
      <c r="O9" s="89"/>
      <c r="P9" s="91" t="s">
        <v>654</v>
      </c>
      <c r="Q9" s="91" t="s">
        <v>654</v>
      </c>
      <c r="R9" s="91" t="s">
        <v>654</v>
      </c>
      <c r="S9" s="91" t="s">
        <v>654</v>
      </c>
      <c r="T9" s="91" t="s">
        <v>654</v>
      </c>
      <c r="U9" s="91" t="s">
        <v>654</v>
      </c>
      <c r="V9" s="91" t="s">
        <v>654</v>
      </c>
      <c r="W9" s="87" t="s">
        <v>672</v>
      </c>
      <c r="X9" s="87" t="s">
        <v>671</v>
      </c>
    </row>
    <row r="10" spans="1:24" s="88" customFormat="1" x14ac:dyDescent="0.25">
      <c r="A10" s="412" t="s">
        <v>571</v>
      </c>
      <c r="B10" s="236"/>
      <c r="C10" s="99"/>
      <c r="D10" s="100"/>
      <c r="E10" s="235"/>
      <c r="F10" s="101"/>
      <c r="G10" s="102"/>
      <c r="H10" s="100"/>
      <c r="I10" s="100"/>
      <c r="J10" s="100"/>
      <c r="K10" s="100"/>
      <c r="L10" s="100"/>
      <c r="M10" s="100"/>
      <c r="N10" s="89"/>
      <c r="O10" s="89"/>
      <c r="P10" s="91"/>
      <c r="Q10" s="91"/>
      <c r="R10" s="91"/>
      <c r="S10" s="93"/>
      <c r="T10" s="97"/>
      <c r="U10" s="94"/>
      <c r="V10" s="95"/>
      <c r="W10" s="93"/>
      <c r="X10" s="93"/>
    </row>
    <row r="11" spans="1:24" s="88" customFormat="1" x14ac:dyDescent="0.25">
      <c r="A11" s="99"/>
      <c r="B11" s="236"/>
      <c r="C11" s="99"/>
      <c r="D11" s="100"/>
      <c r="E11" s="235"/>
      <c r="F11" s="101"/>
      <c r="G11" s="102"/>
      <c r="H11" s="100"/>
      <c r="I11" s="100"/>
      <c r="J11" s="100"/>
      <c r="K11" s="100"/>
      <c r="L11" s="100"/>
      <c r="M11" s="100"/>
      <c r="N11" s="89"/>
      <c r="O11" s="89"/>
      <c r="P11" s="91"/>
      <c r="Q11" s="91"/>
      <c r="R11" s="91"/>
      <c r="S11" s="93"/>
      <c r="T11" s="97"/>
      <c r="U11" s="94"/>
      <c r="V11" s="95"/>
      <c r="W11" s="87"/>
      <c r="X11" s="93"/>
    </row>
    <row r="12" spans="1:24" s="88" customFormat="1" x14ac:dyDescent="0.25">
      <c r="A12" s="99"/>
      <c r="B12" s="236"/>
      <c r="C12" s="99"/>
      <c r="D12" s="100"/>
      <c r="E12" s="235"/>
      <c r="F12" s="101"/>
      <c r="G12" s="102"/>
      <c r="H12" s="100"/>
      <c r="I12" s="100"/>
      <c r="J12" s="100"/>
      <c r="K12" s="100"/>
      <c r="L12" s="100"/>
      <c r="M12" s="100"/>
      <c r="N12" s="89"/>
      <c r="O12" s="89"/>
      <c r="P12" s="91"/>
      <c r="Q12" s="91"/>
      <c r="R12" s="91"/>
      <c r="S12" s="93"/>
      <c r="T12" s="97"/>
      <c r="U12" s="94"/>
      <c r="V12" s="95"/>
      <c r="W12" s="87"/>
      <c r="X12" s="93"/>
    </row>
    <row r="13" spans="1:24" s="88" customFormat="1" x14ac:dyDescent="0.25">
      <c r="A13" s="99"/>
      <c r="B13" s="236"/>
      <c r="C13" s="99"/>
      <c r="D13" s="100"/>
      <c r="E13" s="100"/>
      <c r="F13" s="100"/>
      <c r="G13" s="100"/>
      <c r="H13" s="100"/>
      <c r="I13" s="100"/>
      <c r="J13" s="100"/>
      <c r="K13" s="89"/>
      <c r="L13" s="100"/>
      <c r="M13" s="100"/>
      <c r="N13" s="86"/>
      <c r="O13" s="89"/>
      <c r="P13" s="91"/>
      <c r="Q13" s="91"/>
      <c r="R13" s="91"/>
      <c r="S13" s="93"/>
      <c r="T13" s="97"/>
      <c r="U13" s="94"/>
      <c r="V13" s="95"/>
      <c r="W13" s="87"/>
      <c r="X13" s="93"/>
    </row>
    <row r="14" spans="1:24" s="88" customFormat="1" x14ac:dyDescent="0.25">
      <c r="A14" s="103"/>
      <c r="B14" s="334"/>
      <c r="C14" s="103"/>
      <c r="D14" s="104"/>
      <c r="E14" s="104"/>
      <c r="F14" s="108"/>
      <c r="G14" s="109"/>
      <c r="H14" s="104"/>
      <c r="I14" s="110"/>
      <c r="J14" s="104"/>
      <c r="K14" s="104"/>
      <c r="L14" s="104"/>
      <c r="M14" s="104"/>
      <c r="N14" s="89"/>
      <c r="O14" s="89"/>
      <c r="P14" s="91"/>
      <c r="Q14" s="91"/>
      <c r="R14" s="91"/>
      <c r="S14" s="93"/>
      <c r="T14" s="97"/>
      <c r="U14" s="94"/>
      <c r="V14" s="95"/>
      <c r="W14" s="87"/>
      <c r="X14" s="93"/>
    </row>
    <row r="15" spans="1:24" s="88" customFormat="1" x14ac:dyDescent="0.25">
      <c r="A15" s="103"/>
      <c r="B15" s="334"/>
      <c r="C15" s="103"/>
      <c r="D15" s="104"/>
      <c r="E15" s="104"/>
      <c r="F15" s="108"/>
      <c r="G15" s="109"/>
      <c r="H15" s="104"/>
      <c r="I15" s="110"/>
      <c r="J15" s="104"/>
      <c r="K15" s="104"/>
      <c r="L15" s="104"/>
      <c r="M15" s="104"/>
      <c r="N15" s="104"/>
      <c r="O15" s="89"/>
      <c r="P15" s="91"/>
      <c r="Q15" s="91"/>
      <c r="R15" s="91"/>
      <c r="S15" s="93"/>
      <c r="T15" s="97"/>
      <c r="U15" s="94"/>
      <c r="V15" s="95"/>
      <c r="W15" s="87"/>
      <c r="X15" s="93"/>
    </row>
    <row r="16" spans="1:24" s="88" customFormat="1" x14ac:dyDescent="0.25">
      <c r="A16" s="99"/>
      <c r="B16" s="236"/>
      <c r="C16" s="99"/>
      <c r="D16" s="100"/>
      <c r="E16" s="100"/>
      <c r="F16" s="101"/>
      <c r="G16" s="102"/>
      <c r="H16" s="100"/>
      <c r="I16" s="100"/>
      <c r="J16" s="100"/>
      <c r="K16" s="100"/>
      <c r="L16" s="100"/>
      <c r="M16" s="100"/>
      <c r="N16" s="86"/>
      <c r="O16" s="86"/>
      <c r="P16" s="99"/>
      <c r="Q16" s="99"/>
      <c r="R16" s="99"/>
      <c r="S16" s="99"/>
      <c r="T16" s="97"/>
      <c r="U16" s="99"/>
      <c r="V16" s="99"/>
      <c r="W16" s="87"/>
      <c r="X16" s="99"/>
    </row>
    <row r="17" spans="1:24" s="88" customFormat="1" x14ac:dyDescent="0.2">
      <c r="A17" s="320"/>
      <c r="B17" s="320"/>
      <c r="C17" s="320"/>
      <c r="D17" s="320"/>
      <c r="E17" s="320"/>
      <c r="F17" s="320"/>
      <c r="G17" s="109"/>
      <c r="H17" s="104"/>
      <c r="I17" s="104"/>
      <c r="J17" s="104"/>
      <c r="K17" s="104"/>
      <c r="L17" s="104"/>
      <c r="M17" s="104"/>
      <c r="N17" s="90"/>
      <c r="O17" s="90"/>
      <c r="P17" s="103"/>
      <c r="Q17" s="103"/>
      <c r="R17" s="103"/>
      <c r="S17" s="103"/>
      <c r="T17" s="97"/>
      <c r="U17" s="103"/>
      <c r="V17" s="103"/>
      <c r="W17" s="87"/>
      <c r="X17" s="103"/>
    </row>
    <row r="18" spans="1:24" s="88" customFormat="1" x14ac:dyDescent="0.2">
      <c r="A18" s="320"/>
      <c r="B18" s="320"/>
      <c r="C18" s="320"/>
      <c r="D18" s="320"/>
      <c r="E18" s="320"/>
      <c r="F18" s="320"/>
      <c r="G18" s="109"/>
      <c r="H18" s="104"/>
      <c r="I18" s="104"/>
      <c r="J18" s="104"/>
      <c r="K18" s="104"/>
      <c r="L18" s="104"/>
      <c r="M18" s="104"/>
      <c r="N18" s="104"/>
      <c r="O18" s="104"/>
      <c r="P18" s="103"/>
      <c r="Q18" s="103"/>
      <c r="R18" s="103"/>
      <c r="S18" s="103"/>
      <c r="T18" s="97"/>
      <c r="U18" s="103"/>
      <c r="V18" s="103"/>
      <c r="W18" s="103"/>
      <c r="X18" s="103"/>
    </row>
    <row r="19" spans="1:24" s="88" customFormat="1" x14ac:dyDescent="0.2">
      <c r="A19" s="320"/>
      <c r="B19" s="320"/>
      <c r="C19" s="320"/>
      <c r="D19" s="321"/>
      <c r="E19" s="320"/>
      <c r="F19" s="320"/>
      <c r="G19" s="319"/>
      <c r="H19" s="104"/>
      <c r="I19" s="104"/>
      <c r="J19" s="104"/>
      <c r="K19" s="104"/>
      <c r="L19" s="104"/>
      <c r="M19" s="104"/>
      <c r="N19" s="111"/>
      <c r="O19" s="90"/>
      <c r="P19" s="103"/>
      <c r="Q19" s="103"/>
      <c r="R19" s="103"/>
      <c r="S19" s="103"/>
      <c r="T19" s="112"/>
      <c r="U19" s="103"/>
      <c r="V19" s="103"/>
      <c r="W19" s="93"/>
      <c r="X19" s="103"/>
    </row>
    <row r="20" spans="1:24" s="88" customFormat="1" x14ac:dyDescent="0.2">
      <c r="A20" s="320"/>
      <c r="B20" s="320"/>
      <c r="C20" s="320"/>
      <c r="D20" s="322"/>
      <c r="E20" s="320"/>
      <c r="F20" s="320"/>
      <c r="G20" s="109"/>
      <c r="H20" s="104"/>
      <c r="I20" s="104"/>
      <c r="J20" s="104"/>
      <c r="K20" s="104"/>
      <c r="L20" s="104"/>
      <c r="M20" s="104"/>
      <c r="N20" s="90"/>
      <c r="O20" s="90"/>
      <c r="P20" s="103"/>
      <c r="Q20" s="103"/>
      <c r="R20" s="103"/>
      <c r="S20" s="103"/>
      <c r="T20" s="97"/>
      <c r="U20" s="103"/>
      <c r="V20" s="103"/>
      <c r="W20" s="87"/>
      <c r="X20" s="103"/>
    </row>
    <row r="21" spans="1:24" s="88" customFormat="1" x14ac:dyDescent="0.2">
      <c r="A21" s="320"/>
      <c r="B21" s="320"/>
      <c r="C21" s="320"/>
      <c r="D21" s="322"/>
      <c r="E21" s="320"/>
      <c r="F21" s="320"/>
      <c r="G21" s="109"/>
      <c r="H21" s="104"/>
      <c r="I21" s="104"/>
      <c r="J21" s="104"/>
      <c r="K21" s="104"/>
      <c r="L21" s="104"/>
      <c r="M21" s="104"/>
      <c r="N21" s="104"/>
      <c r="O21" s="104"/>
      <c r="P21" s="103"/>
      <c r="Q21" s="103"/>
      <c r="R21" s="103"/>
      <c r="S21" s="103"/>
      <c r="T21" s="112"/>
      <c r="U21" s="103"/>
      <c r="V21" s="103"/>
      <c r="W21" s="93"/>
      <c r="X21" s="103"/>
    </row>
    <row r="22" spans="1:24" s="88" customFormat="1" x14ac:dyDescent="0.2">
      <c r="A22" s="320"/>
      <c r="B22" s="320"/>
      <c r="C22" s="320"/>
      <c r="D22" s="323"/>
      <c r="E22" s="320"/>
      <c r="F22" s="320"/>
      <c r="G22" s="109"/>
      <c r="H22" s="104"/>
      <c r="I22" s="110"/>
      <c r="J22" s="104"/>
      <c r="K22" s="104"/>
      <c r="L22" s="104"/>
      <c r="M22" s="104"/>
      <c r="N22" s="104"/>
      <c r="O22" s="104"/>
      <c r="P22" s="103"/>
      <c r="Q22" s="103"/>
      <c r="R22" s="103"/>
      <c r="S22" s="103"/>
      <c r="T22" s="97"/>
      <c r="U22" s="103"/>
      <c r="V22" s="103"/>
      <c r="W22" s="103"/>
      <c r="X22" s="103"/>
    </row>
    <row r="23" spans="1:24" s="88" customFormat="1" x14ac:dyDescent="0.2">
      <c r="A23" s="320"/>
      <c r="B23" s="320"/>
      <c r="C23" s="320"/>
      <c r="D23" s="323"/>
      <c r="E23" s="320"/>
      <c r="F23" s="320"/>
      <c r="G23" s="109"/>
      <c r="H23" s="104"/>
      <c r="I23" s="104"/>
      <c r="J23" s="104"/>
      <c r="K23" s="104"/>
      <c r="L23" s="104"/>
      <c r="M23" s="104"/>
      <c r="N23" s="104"/>
      <c r="O23" s="104"/>
      <c r="P23" s="103"/>
      <c r="Q23" s="103"/>
      <c r="R23" s="103"/>
      <c r="S23" s="103"/>
      <c r="T23" s="97"/>
      <c r="U23" s="103"/>
      <c r="V23" s="103"/>
      <c r="W23" s="87"/>
      <c r="X23" s="103"/>
    </row>
    <row r="24" spans="1:24" s="88" customFormat="1" x14ac:dyDescent="0.2">
      <c r="A24" s="320"/>
      <c r="B24" s="320"/>
      <c r="C24" s="320"/>
      <c r="D24" s="322"/>
      <c r="E24" s="320"/>
      <c r="F24" s="320"/>
      <c r="G24" s="109"/>
      <c r="H24" s="104"/>
      <c r="I24" s="104"/>
      <c r="J24" s="104"/>
      <c r="K24" s="104"/>
      <c r="L24" s="104"/>
      <c r="M24" s="104"/>
      <c r="N24" s="90"/>
      <c r="O24" s="90"/>
      <c r="P24" s="103"/>
      <c r="Q24" s="103"/>
      <c r="R24" s="103"/>
      <c r="S24" s="103"/>
      <c r="T24" s="97"/>
      <c r="U24" s="103"/>
      <c r="V24" s="103"/>
      <c r="W24" s="93"/>
      <c r="X24" s="103"/>
    </row>
    <row r="25" spans="1:24" s="88" customFormat="1" x14ac:dyDescent="0.2">
      <c r="A25" s="320"/>
      <c r="B25" s="320"/>
      <c r="C25" s="320"/>
      <c r="D25" s="322"/>
      <c r="E25" s="320"/>
      <c r="F25" s="320"/>
      <c r="G25" s="109"/>
      <c r="H25" s="104"/>
      <c r="I25" s="104"/>
      <c r="J25" s="104"/>
      <c r="K25" s="104"/>
      <c r="L25" s="104"/>
      <c r="M25" s="104"/>
      <c r="N25" s="90"/>
      <c r="O25" s="90"/>
      <c r="P25" s="103"/>
      <c r="Q25" s="103"/>
      <c r="R25" s="103"/>
      <c r="S25" s="103"/>
      <c r="T25" s="97"/>
      <c r="U25" s="103"/>
      <c r="V25" s="103"/>
      <c r="W25" s="93"/>
      <c r="X25" s="103"/>
    </row>
    <row r="26" spans="1:24" s="88" customFormat="1" x14ac:dyDescent="0.2">
      <c r="A26" s="320"/>
      <c r="B26" s="320"/>
      <c r="C26" s="320"/>
      <c r="D26" s="320"/>
      <c r="E26" s="320"/>
      <c r="F26" s="320"/>
      <c r="G26" s="109"/>
      <c r="H26" s="104"/>
      <c r="I26" s="104"/>
      <c r="J26" s="104"/>
      <c r="K26" s="104"/>
      <c r="L26" s="104"/>
      <c r="M26" s="104"/>
      <c r="N26" s="104"/>
      <c r="O26" s="104"/>
      <c r="P26" s="103"/>
      <c r="Q26" s="103"/>
      <c r="R26" s="103"/>
      <c r="S26" s="103"/>
      <c r="T26" s="112"/>
      <c r="U26" s="103"/>
      <c r="V26" s="103"/>
      <c r="W26" s="93"/>
      <c r="X26" s="103"/>
    </row>
    <row r="27" spans="1:24" s="88" customFormat="1" x14ac:dyDescent="0.2">
      <c r="A27" s="320"/>
      <c r="B27" s="320"/>
      <c r="C27" s="320"/>
      <c r="D27" s="320"/>
      <c r="E27" s="320"/>
      <c r="F27" s="320"/>
      <c r="G27" s="109"/>
      <c r="H27" s="104"/>
      <c r="I27" s="104"/>
      <c r="J27" s="104"/>
      <c r="K27" s="104"/>
      <c r="L27" s="90"/>
      <c r="M27" s="104"/>
      <c r="N27" s="90"/>
      <c r="O27" s="90"/>
      <c r="P27" s="103"/>
      <c r="Q27" s="103"/>
      <c r="R27" s="103"/>
      <c r="S27" s="103"/>
      <c r="T27" s="112"/>
      <c r="U27" s="103"/>
      <c r="V27" s="103"/>
      <c r="W27" s="87"/>
      <c r="X27" s="103"/>
    </row>
    <row r="28" spans="1:24" s="88" customFormat="1" x14ac:dyDescent="0.25">
      <c r="A28" s="236"/>
      <c r="B28" s="236"/>
      <c r="C28" s="236"/>
      <c r="D28" s="237"/>
      <c r="E28" s="237"/>
      <c r="F28" s="238"/>
      <c r="G28" s="102"/>
      <c r="H28" s="100"/>
      <c r="I28" s="100"/>
      <c r="J28" s="100"/>
      <c r="K28" s="100"/>
      <c r="L28" s="100"/>
      <c r="M28" s="100"/>
      <c r="N28" s="100"/>
      <c r="O28" s="100"/>
      <c r="P28" s="99"/>
      <c r="Q28" s="99"/>
      <c r="R28" s="99"/>
      <c r="S28" s="99"/>
      <c r="T28" s="97"/>
      <c r="U28" s="99"/>
      <c r="V28" s="99"/>
      <c r="W28" s="93"/>
      <c r="X28" s="99"/>
    </row>
    <row r="29" spans="1:24" s="88" customFormat="1" x14ac:dyDescent="0.25">
      <c r="A29" s="103"/>
      <c r="B29" s="334"/>
      <c r="C29" s="103"/>
      <c r="D29" s="104"/>
      <c r="E29" s="104"/>
      <c r="F29" s="104"/>
      <c r="G29" s="104"/>
      <c r="H29" s="104"/>
      <c r="I29" s="104"/>
      <c r="J29" s="104"/>
      <c r="K29" s="104"/>
      <c r="L29" s="104"/>
      <c r="M29" s="104"/>
      <c r="N29" s="104"/>
      <c r="O29" s="104"/>
      <c r="P29" s="99"/>
      <c r="Q29" s="99"/>
      <c r="R29" s="99"/>
      <c r="S29" s="99"/>
      <c r="T29" s="115"/>
      <c r="U29" s="99"/>
      <c r="V29" s="99"/>
      <c r="W29" s="87"/>
      <c r="X29" s="99"/>
    </row>
    <row r="30" spans="1:24" s="88" customFormat="1" x14ac:dyDescent="0.25">
      <c r="A30" s="99"/>
      <c r="B30" s="236"/>
      <c r="C30" s="99"/>
      <c r="D30" s="100"/>
      <c r="E30" s="100"/>
      <c r="F30" s="101"/>
      <c r="G30" s="102"/>
      <c r="H30" s="100"/>
      <c r="I30" s="100"/>
      <c r="J30" s="100"/>
      <c r="K30" s="100"/>
      <c r="L30" s="100"/>
      <c r="M30" s="100"/>
      <c r="N30" s="86"/>
      <c r="O30" s="86"/>
      <c r="P30" s="99"/>
      <c r="Q30" s="99"/>
      <c r="R30" s="99"/>
      <c r="S30" s="99"/>
      <c r="T30" s="97"/>
      <c r="U30" s="99"/>
      <c r="V30" s="99"/>
      <c r="W30" s="93"/>
      <c r="X30" s="99"/>
    </row>
    <row r="31" spans="1:24" s="88" customFormat="1" x14ac:dyDescent="0.25">
      <c r="A31" s="85"/>
      <c r="B31" s="335"/>
      <c r="C31" s="85"/>
      <c r="D31" s="86"/>
      <c r="E31" s="100"/>
      <c r="F31" s="101"/>
      <c r="G31" s="102"/>
      <c r="H31" s="86"/>
      <c r="I31" s="86"/>
      <c r="J31" s="100"/>
      <c r="K31" s="100"/>
      <c r="L31" s="86"/>
      <c r="M31" s="86"/>
      <c r="N31" s="86"/>
      <c r="O31" s="86"/>
      <c r="P31" s="99"/>
      <c r="Q31" s="99"/>
      <c r="R31" s="99"/>
      <c r="S31" s="99"/>
      <c r="T31" s="113"/>
      <c r="U31" s="99"/>
      <c r="V31" s="99"/>
      <c r="W31" s="87"/>
      <c r="X31" s="99"/>
    </row>
    <row r="32" spans="1:24" s="88" customFormat="1" x14ac:dyDescent="0.25">
      <c r="A32" s="99"/>
      <c r="B32" s="236"/>
      <c r="C32" s="99"/>
      <c r="D32" s="100"/>
      <c r="E32" s="100"/>
      <c r="F32" s="101"/>
      <c r="G32" s="102"/>
      <c r="H32" s="100"/>
      <c r="I32" s="100"/>
      <c r="J32" s="100"/>
      <c r="K32" s="100"/>
      <c r="L32" s="100"/>
      <c r="M32" s="100"/>
      <c r="N32" s="100"/>
      <c r="O32" s="100"/>
      <c r="P32" s="99"/>
      <c r="Q32" s="99"/>
      <c r="R32" s="99"/>
      <c r="S32" s="99"/>
      <c r="T32" s="97"/>
      <c r="U32" s="99"/>
      <c r="V32" s="99"/>
      <c r="W32" s="87"/>
      <c r="X32" s="99"/>
    </row>
    <row r="33" spans="1:24" s="88" customFormat="1" x14ac:dyDescent="0.25">
      <c r="A33" s="85"/>
      <c r="B33" s="335"/>
      <c r="C33" s="85"/>
      <c r="D33" s="86"/>
      <c r="E33" s="100"/>
      <c r="F33" s="101"/>
      <c r="G33" s="102"/>
      <c r="H33" s="86"/>
      <c r="I33" s="86"/>
      <c r="J33" s="100"/>
      <c r="K33" s="100"/>
      <c r="L33" s="86"/>
      <c r="M33" s="86"/>
      <c r="N33" s="86"/>
      <c r="O33" s="86"/>
      <c r="P33" s="99"/>
      <c r="Q33" s="99"/>
      <c r="R33" s="99"/>
      <c r="S33" s="99"/>
      <c r="T33" s="97"/>
      <c r="U33" s="99"/>
      <c r="V33" s="99"/>
      <c r="W33" s="87"/>
      <c r="X33" s="99"/>
    </row>
    <row r="34" spans="1:24" s="88" customFormat="1" x14ac:dyDescent="0.25">
      <c r="A34" s="99"/>
      <c r="B34" s="236"/>
      <c r="C34" s="99"/>
      <c r="D34" s="100"/>
      <c r="E34" s="100"/>
      <c r="F34" s="116"/>
      <c r="G34" s="116"/>
      <c r="H34" s="100"/>
      <c r="I34" s="100"/>
      <c r="J34" s="100"/>
      <c r="K34" s="100"/>
      <c r="L34" s="100"/>
      <c r="M34" s="100"/>
      <c r="N34" s="100"/>
      <c r="O34" s="100"/>
      <c r="P34" s="99"/>
      <c r="Q34" s="99"/>
      <c r="R34" s="99"/>
      <c r="S34" s="99"/>
      <c r="T34" s="115"/>
      <c r="U34" s="99"/>
      <c r="V34" s="99"/>
      <c r="W34" s="87"/>
      <c r="X34" s="99"/>
    </row>
    <row r="35" spans="1:24" s="88" customFormat="1" x14ac:dyDescent="0.25">
      <c r="A35" s="99"/>
      <c r="B35" s="236"/>
      <c r="C35" s="99"/>
      <c r="D35" s="100"/>
      <c r="E35" s="100"/>
      <c r="F35" s="101"/>
      <c r="G35" s="102"/>
      <c r="H35" s="100"/>
      <c r="I35" s="100"/>
      <c r="J35" s="100"/>
      <c r="K35" s="100"/>
      <c r="L35" s="100"/>
      <c r="M35" s="100"/>
      <c r="N35" s="100"/>
      <c r="O35" s="100"/>
      <c r="P35" s="99"/>
      <c r="Q35" s="99"/>
      <c r="R35" s="99"/>
      <c r="S35" s="99"/>
      <c r="T35" s="97"/>
      <c r="U35" s="99"/>
      <c r="V35" s="99"/>
      <c r="W35" s="87"/>
      <c r="X35" s="99"/>
    </row>
    <row r="36" spans="1:24" x14ac:dyDescent="0.25">
      <c r="A36" s="99"/>
      <c r="B36" s="236"/>
      <c r="C36" s="99"/>
      <c r="D36" s="100"/>
      <c r="E36" s="100"/>
      <c r="F36" s="105"/>
      <c r="G36" s="105"/>
      <c r="H36" s="100"/>
      <c r="I36" s="100"/>
      <c r="J36" s="100"/>
      <c r="K36" s="89"/>
      <c r="L36" s="104"/>
      <c r="M36" s="100"/>
      <c r="N36" s="106"/>
      <c r="O36" s="89"/>
      <c r="P36" s="91"/>
      <c r="Q36" s="91"/>
      <c r="R36" s="91"/>
      <c r="S36" s="93"/>
      <c r="T36" s="97"/>
      <c r="U36" s="94"/>
      <c r="V36" s="95"/>
      <c r="W36" s="93"/>
      <c r="X36" s="93"/>
    </row>
    <row r="37" spans="1:24" x14ac:dyDescent="0.25">
      <c r="A37" s="99"/>
      <c r="B37" s="236"/>
      <c r="C37" s="99"/>
      <c r="D37" s="100"/>
      <c r="E37" s="100"/>
      <c r="F37" s="105"/>
      <c r="G37" s="105"/>
      <c r="H37" s="100"/>
      <c r="I37" s="100"/>
      <c r="J37" s="100"/>
      <c r="K37" s="89"/>
      <c r="L37" s="104"/>
      <c r="M37" s="100"/>
      <c r="N37" s="106"/>
      <c r="O37" s="89"/>
      <c r="P37" s="91"/>
      <c r="Q37" s="91"/>
      <c r="R37" s="91"/>
      <c r="S37" s="93"/>
      <c r="T37" s="97"/>
      <c r="U37" s="94"/>
      <c r="V37" s="95"/>
      <c r="W37" s="93"/>
      <c r="X37" s="93"/>
    </row>
    <row r="38" spans="1:24" x14ac:dyDescent="0.25">
      <c r="A38" s="99"/>
      <c r="B38" s="236"/>
      <c r="C38" s="99"/>
      <c r="D38" s="100"/>
      <c r="E38" s="100"/>
      <c r="F38" s="105"/>
      <c r="G38" s="105"/>
      <c r="H38" s="100"/>
      <c r="I38" s="100"/>
      <c r="J38" s="100"/>
      <c r="K38" s="89"/>
      <c r="L38" s="104"/>
      <c r="M38" s="100"/>
      <c r="N38" s="106"/>
      <c r="O38" s="89"/>
      <c r="P38" s="91"/>
      <c r="Q38" s="91"/>
      <c r="R38" s="91"/>
      <c r="S38" s="93"/>
      <c r="T38" s="97"/>
      <c r="U38" s="94"/>
      <c r="V38" s="95"/>
      <c r="W38" s="87"/>
      <c r="X38" s="93"/>
    </row>
    <row r="39" spans="1:24" x14ac:dyDescent="0.25">
      <c r="A39" s="99"/>
      <c r="B39" s="236"/>
      <c r="C39" s="99"/>
      <c r="D39" s="100"/>
      <c r="E39" s="100"/>
      <c r="F39" s="105"/>
      <c r="G39" s="105"/>
      <c r="H39" s="100"/>
      <c r="I39" s="100"/>
      <c r="J39" s="100"/>
      <c r="K39" s="89"/>
      <c r="L39" s="104"/>
      <c r="M39" s="100"/>
      <c r="N39" s="106"/>
      <c r="O39" s="89"/>
      <c r="P39" s="91"/>
      <c r="Q39" s="91"/>
      <c r="R39" s="91"/>
      <c r="S39" s="93"/>
      <c r="T39" s="97"/>
      <c r="U39" s="94"/>
      <c r="V39" s="95"/>
      <c r="W39" s="93"/>
      <c r="X39" s="93"/>
    </row>
    <row r="40" spans="1:24" x14ac:dyDescent="0.25">
      <c r="A40" s="99"/>
      <c r="B40" s="236"/>
      <c r="C40" s="99"/>
      <c r="D40" s="100"/>
      <c r="E40" s="100"/>
      <c r="F40" s="105"/>
      <c r="G40" s="105"/>
      <c r="H40" s="100"/>
      <c r="I40" s="100"/>
      <c r="J40" s="100"/>
      <c r="K40" s="89"/>
      <c r="L40" s="104"/>
      <c r="M40" s="100"/>
      <c r="N40" s="106"/>
      <c r="O40" s="89"/>
      <c r="P40" s="91"/>
      <c r="Q40" s="91"/>
      <c r="R40" s="91"/>
      <c r="S40" s="93"/>
      <c r="T40" s="97"/>
      <c r="U40" s="94"/>
      <c r="V40" s="95"/>
      <c r="W40" s="87"/>
      <c r="X40" s="93"/>
    </row>
    <row r="41" spans="1:24" x14ac:dyDescent="0.25">
      <c r="A41" s="99"/>
      <c r="B41" s="236"/>
      <c r="C41" s="99"/>
      <c r="D41" s="100"/>
      <c r="E41" s="100"/>
      <c r="F41" s="105"/>
      <c r="G41" s="105"/>
      <c r="H41" s="100"/>
      <c r="I41" s="100"/>
      <c r="J41" s="100"/>
      <c r="K41" s="89"/>
      <c r="L41" s="104"/>
      <c r="M41" s="100"/>
      <c r="N41" s="106"/>
      <c r="O41" s="89"/>
      <c r="P41" s="91"/>
      <c r="Q41" s="91"/>
      <c r="R41" s="91"/>
      <c r="S41" s="93"/>
      <c r="T41" s="97"/>
      <c r="U41" s="94"/>
      <c r="V41" s="95"/>
      <c r="W41" s="93"/>
      <c r="X41" s="93"/>
    </row>
    <row r="42" spans="1:24" x14ac:dyDescent="0.25">
      <c r="A42" s="99"/>
      <c r="B42" s="236"/>
      <c r="C42" s="99"/>
      <c r="D42" s="100"/>
      <c r="E42" s="100"/>
      <c r="F42" s="105"/>
      <c r="G42" s="105"/>
      <c r="H42" s="100"/>
      <c r="I42" s="100"/>
      <c r="J42" s="100"/>
      <c r="K42" s="100"/>
      <c r="L42" s="104"/>
      <c r="M42" s="100"/>
      <c r="N42" s="117"/>
      <c r="O42" s="100"/>
      <c r="P42" s="99"/>
      <c r="Q42" s="99"/>
      <c r="R42" s="99"/>
      <c r="S42" s="99"/>
      <c r="T42" s="113"/>
      <c r="U42" s="99"/>
      <c r="V42" s="99"/>
      <c r="W42" s="93"/>
      <c r="X42" s="99"/>
    </row>
    <row r="43" spans="1:24" x14ac:dyDescent="0.25">
      <c r="A43" s="99"/>
      <c r="B43" s="236"/>
      <c r="C43" s="99"/>
      <c r="D43" s="100"/>
      <c r="E43" s="100"/>
      <c r="F43" s="105"/>
      <c r="G43" s="105"/>
      <c r="H43" s="100"/>
      <c r="I43" s="100"/>
      <c r="J43" s="100"/>
      <c r="K43" s="100"/>
      <c r="L43" s="104"/>
      <c r="M43" s="100"/>
      <c r="N43" s="117"/>
      <c r="O43" s="86"/>
      <c r="P43" s="99"/>
      <c r="Q43" s="99"/>
      <c r="R43" s="99"/>
      <c r="S43" s="99"/>
      <c r="T43" s="113"/>
      <c r="U43" s="99"/>
      <c r="V43" s="99"/>
      <c r="W43" s="93"/>
      <c r="X43" s="99"/>
    </row>
    <row r="44" spans="1:24" x14ac:dyDescent="0.25">
      <c r="A44" s="99"/>
      <c r="B44" s="236"/>
      <c r="C44" s="99"/>
      <c r="D44" s="100"/>
      <c r="E44" s="100"/>
      <c r="F44" s="105"/>
      <c r="G44" s="105"/>
      <c r="H44" s="100"/>
      <c r="I44" s="100"/>
      <c r="J44" s="100"/>
      <c r="K44" s="100"/>
      <c r="L44" s="104"/>
      <c r="M44" s="100"/>
      <c r="N44" s="117"/>
      <c r="O44" s="86"/>
      <c r="P44" s="99"/>
      <c r="Q44" s="99"/>
      <c r="R44" s="99"/>
      <c r="S44" s="99"/>
      <c r="T44" s="113"/>
      <c r="U44" s="99"/>
      <c r="V44" s="99"/>
      <c r="W44" s="93"/>
      <c r="X44" s="99"/>
    </row>
    <row r="45" spans="1:24" x14ac:dyDescent="0.25">
      <c r="A45" s="99"/>
      <c r="B45" s="236"/>
      <c r="C45" s="99"/>
      <c r="D45" s="100"/>
      <c r="E45" s="100"/>
      <c r="F45" s="105"/>
      <c r="G45" s="105"/>
      <c r="H45" s="100"/>
      <c r="I45" s="100"/>
      <c r="J45" s="100"/>
      <c r="K45" s="100"/>
      <c r="L45" s="104"/>
      <c r="M45" s="100"/>
      <c r="N45" s="117"/>
      <c r="O45" s="100"/>
      <c r="P45" s="99"/>
      <c r="Q45" s="99"/>
      <c r="R45" s="99"/>
      <c r="S45" s="99"/>
      <c r="T45" s="113"/>
      <c r="U45" s="99"/>
      <c r="V45" s="99"/>
      <c r="W45" s="93"/>
      <c r="X45" s="99"/>
    </row>
    <row r="46" spans="1:24" x14ac:dyDescent="0.25">
      <c r="A46" s="99"/>
      <c r="B46" s="236"/>
      <c r="C46" s="99"/>
      <c r="D46" s="100"/>
      <c r="E46" s="100"/>
      <c r="F46" s="105"/>
      <c r="G46" s="105"/>
      <c r="H46" s="100"/>
      <c r="I46" s="100"/>
      <c r="J46" s="100"/>
      <c r="K46" s="89"/>
      <c r="L46" s="107"/>
      <c r="M46" s="100"/>
      <c r="N46" s="106"/>
      <c r="O46" s="89"/>
      <c r="P46" s="91"/>
      <c r="Q46" s="91"/>
      <c r="R46" s="91"/>
      <c r="S46" s="87"/>
      <c r="T46" s="97"/>
      <c r="U46" s="92"/>
      <c r="V46" s="98"/>
      <c r="W46" s="93"/>
      <c r="X46" s="87"/>
    </row>
    <row r="47" spans="1:24" x14ac:dyDescent="0.25">
      <c r="A47" s="103"/>
      <c r="B47" s="334"/>
      <c r="C47" s="103"/>
      <c r="D47" s="104"/>
      <c r="E47" s="104"/>
      <c r="F47" s="105"/>
      <c r="G47" s="105"/>
      <c r="H47" s="104"/>
      <c r="I47" s="104"/>
      <c r="J47" s="104"/>
      <c r="K47" s="104"/>
      <c r="L47" s="110"/>
      <c r="M47" s="104"/>
      <c r="N47" s="111"/>
      <c r="O47" s="89"/>
      <c r="P47" s="91"/>
      <c r="Q47" s="91"/>
      <c r="R47" s="91"/>
      <c r="S47" s="93"/>
      <c r="T47" s="97"/>
      <c r="U47" s="94"/>
      <c r="V47" s="95"/>
      <c r="W47" s="93"/>
      <c r="X47" s="93"/>
    </row>
    <row r="48" spans="1:24" x14ac:dyDescent="0.25">
      <c r="A48" s="103"/>
      <c r="B48" s="334"/>
      <c r="C48" s="103"/>
      <c r="D48" s="104"/>
      <c r="E48" s="104"/>
      <c r="F48" s="105"/>
      <c r="G48" s="105"/>
      <c r="H48" s="104"/>
      <c r="I48" s="104"/>
      <c r="J48" s="104"/>
      <c r="K48" s="89"/>
      <c r="L48" s="110"/>
      <c r="M48" s="104"/>
      <c r="N48" s="106"/>
      <c r="O48" s="118"/>
      <c r="P48" s="91"/>
      <c r="Q48" s="91"/>
      <c r="R48" s="91"/>
      <c r="S48" s="93"/>
      <c r="T48" s="97"/>
      <c r="U48" s="94"/>
      <c r="V48" s="95"/>
      <c r="W48" s="93"/>
      <c r="X48" s="93"/>
    </row>
    <row r="49" spans="1:24" x14ac:dyDescent="0.25">
      <c r="A49" s="99"/>
      <c r="B49" s="236"/>
      <c r="C49" s="99"/>
      <c r="D49" s="100"/>
      <c r="E49" s="100"/>
      <c r="F49" s="105"/>
      <c r="G49" s="105"/>
      <c r="H49" s="100"/>
      <c r="I49" s="100"/>
      <c r="J49" s="100"/>
      <c r="K49" s="89"/>
      <c r="L49" s="107"/>
      <c r="M49" s="100"/>
      <c r="N49" s="106"/>
      <c r="O49" s="89"/>
      <c r="P49" s="91"/>
      <c r="Q49" s="91"/>
      <c r="R49" s="91"/>
      <c r="S49" s="93"/>
      <c r="T49" s="97"/>
      <c r="U49" s="94"/>
      <c r="V49" s="95"/>
      <c r="W49" s="93"/>
      <c r="X49" s="93"/>
    </row>
    <row r="50" spans="1:24" x14ac:dyDescent="0.25">
      <c r="A50" s="99"/>
      <c r="B50" s="236"/>
      <c r="C50" s="99"/>
      <c r="D50" s="100"/>
      <c r="E50" s="100"/>
      <c r="F50" s="105"/>
      <c r="G50" s="105"/>
      <c r="H50" s="100"/>
      <c r="I50" s="100"/>
      <c r="J50" s="100"/>
      <c r="K50" s="89"/>
      <c r="L50" s="107"/>
      <c r="M50" s="100"/>
      <c r="N50" s="106"/>
      <c r="O50" s="89"/>
      <c r="P50" s="91"/>
      <c r="Q50" s="91"/>
      <c r="R50" s="91"/>
      <c r="S50" s="93"/>
      <c r="T50" s="97"/>
      <c r="U50" s="94"/>
      <c r="V50" s="95"/>
      <c r="W50" s="93"/>
      <c r="X50" s="93"/>
    </row>
    <row r="51" spans="1:24" x14ac:dyDescent="0.25">
      <c r="A51" s="103"/>
      <c r="B51" s="334"/>
      <c r="C51" s="103"/>
      <c r="D51" s="104"/>
      <c r="E51" s="104"/>
      <c r="F51" s="105"/>
      <c r="G51" s="105"/>
      <c r="H51" s="104"/>
      <c r="I51" s="110"/>
      <c r="J51" s="104"/>
      <c r="K51" s="89"/>
      <c r="L51" s="110"/>
      <c r="M51" s="104"/>
      <c r="N51" s="119"/>
      <c r="O51" s="89"/>
      <c r="P51" s="91"/>
      <c r="Q51" s="91"/>
      <c r="R51" s="91"/>
      <c r="S51" s="93"/>
      <c r="T51" s="97"/>
      <c r="U51" s="94"/>
      <c r="V51" s="95"/>
      <c r="W51" s="93"/>
      <c r="X51" s="93"/>
    </row>
    <row r="52" spans="1:24" x14ac:dyDescent="0.25">
      <c r="A52" s="99"/>
      <c r="B52" s="236"/>
      <c r="C52" s="99"/>
      <c r="D52" s="100"/>
      <c r="E52" s="100"/>
      <c r="F52" s="105"/>
      <c r="G52" s="105"/>
      <c r="H52" s="100"/>
      <c r="I52" s="100"/>
      <c r="J52" s="100"/>
      <c r="K52" s="100"/>
      <c r="L52" s="107"/>
      <c r="M52" s="100"/>
      <c r="N52" s="117"/>
      <c r="O52" s="100"/>
      <c r="P52" s="99"/>
      <c r="Q52" s="99"/>
      <c r="R52" s="99"/>
      <c r="S52" s="99"/>
      <c r="T52" s="113"/>
      <c r="U52" s="99"/>
      <c r="V52" s="99"/>
      <c r="W52" s="93"/>
      <c r="X52" s="99"/>
    </row>
    <row r="53" spans="1:24" x14ac:dyDescent="0.25">
      <c r="A53" s="99"/>
      <c r="B53" s="236"/>
      <c r="C53" s="99"/>
      <c r="D53" s="100"/>
      <c r="E53" s="100"/>
      <c r="F53" s="105"/>
      <c r="G53" s="105"/>
      <c r="H53" s="100"/>
      <c r="I53" s="100"/>
      <c r="J53" s="100"/>
      <c r="K53" s="100"/>
      <c r="L53" s="107"/>
      <c r="M53" s="100"/>
      <c r="N53" s="117"/>
      <c r="O53" s="100"/>
      <c r="P53" s="99"/>
      <c r="Q53" s="99"/>
      <c r="R53" s="99"/>
      <c r="S53" s="99"/>
      <c r="T53" s="113"/>
      <c r="U53" s="99"/>
      <c r="V53" s="99"/>
      <c r="W53" s="93"/>
      <c r="X53" s="99"/>
    </row>
    <row r="54" spans="1:24" x14ac:dyDescent="0.25">
      <c r="A54" s="99"/>
      <c r="B54" s="236"/>
      <c r="C54" s="99"/>
      <c r="D54" s="100"/>
      <c r="E54" s="100"/>
      <c r="F54" s="105"/>
      <c r="G54" s="105"/>
      <c r="H54" s="100"/>
      <c r="I54" s="100"/>
      <c r="J54" s="100"/>
      <c r="K54" s="100"/>
      <c r="L54" s="107"/>
      <c r="M54" s="100"/>
      <c r="N54" s="117"/>
      <c r="O54" s="100"/>
      <c r="P54" s="99"/>
      <c r="Q54" s="99"/>
      <c r="R54" s="99"/>
      <c r="S54" s="99"/>
      <c r="T54" s="113"/>
      <c r="U54" s="99"/>
      <c r="V54" s="99"/>
      <c r="W54" s="93"/>
      <c r="X54" s="99"/>
    </row>
    <row r="55" spans="1:24" x14ac:dyDescent="0.25">
      <c r="A55" s="103"/>
      <c r="B55" s="334"/>
      <c r="C55" s="103"/>
      <c r="D55" s="104"/>
      <c r="E55" s="104"/>
      <c r="F55" s="105"/>
      <c r="G55" s="105"/>
      <c r="H55" s="104"/>
      <c r="I55" s="104"/>
      <c r="J55" s="120"/>
      <c r="K55" s="104"/>
      <c r="L55" s="110"/>
      <c r="M55" s="104"/>
      <c r="N55" s="111"/>
      <c r="O55" s="90"/>
      <c r="P55" s="103"/>
      <c r="Q55" s="103"/>
      <c r="R55" s="103"/>
      <c r="S55" s="103"/>
      <c r="T55" s="97"/>
      <c r="U55" s="103"/>
      <c r="V55" s="103"/>
      <c r="W55" s="121"/>
      <c r="X55" s="99"/>
    </row>
    <row r="56" spans="1:24" x14ac:dyDescent="0.25">
      <c r="A56" s="103"/>
      <c r="B56" s="334"/>
      <c r="C56" s="103"/>
      <c r="D56" s="104"/>
      <c r="E56" s="104"/>
      <c r="F56" s="105"/>
      <c r="G56" s="105"/>
      <c r="H56" s="104"/>
      <c r="I56" s="104"/>
      <c r="J56" s="120"/>
      <c r="K56" s="104"/>
      <c r="L56" s="104"/>
      <c r="M56" s="104"/>
      <c r="N56" s="111"/>
      <c r="O56" s="90"/>
      <c r="P56" s="103"/>
      <c r="Q56" s="103"/>
      <c r="R56" s="103"/>
      <c r="S56" s="103"/>
      <c r="T56" s="97"/>
      <c r="U56" s="103"/>
      <c r="V56" s="103"/>
      <c r="W56" s="93"/>
      <c r="X56" s="99"/>
    </row>
    <row r="57" spans="1:24" x14ac:dyDescent="0.25">
      <c r="A57" s="103"/>
      <c r="B57" s="334"/>
      <c r="C57" s="103"/>
      <c r="D57" s="104"/>
      <c r="E57" s="104"/>
      <c r="F57" s="105"/>
      <c r="G57" s="105"/>
      <c r="H57" s="104"/>
      <c r="I57" s="104"/>
      <c r="J57" s="120"/>
      <c r="K57" s="104"/>
      <c r="L57" s="110"/>
      <c r="M57" s="104"/>
      <c r="N57" s="111"/>
      <c r="O57" s="104"/>
      <c r="P57" s="103"/>
      <c r="Q57" s="103"/>
      <c r="R57" s="103"/>
      <c r="S57" s="103"/>
      <c r="T57" s="97"/>
      <c r="U57" s="103"/>
      <c r="V57" s="103"/>
      <c r="W57" s="93"/>
      <c r="X57" s="99"/>
    </row>
    <row r="58" spans="1:24" x14ac:dyDescent="0.25">
      <c r="A58" s="103"/>
      <c r="B58" s="334"/>
      <c r="C58" s="103"/>
      <c r="D58" s="104"/>
      <c r="E58" s="104"/>
      <c r="F58" s="105"/>
      <c r="G58" s="105"/>
      <c r="H58" s="104"/>
      <c r="I58" s="104"/>
      <c r="J58" s="104"/>
      <c r="K58" s="104"/>
      <c r="L58" s="110"/>
      <c r="M58" s="104"/>
      <c r="N58" s="111"/>
      <c r="O58" s="104"/>
      <c r="P58" s="103"/>
      <c r="Q58" s="103"/>
      <c r="R58" s="103"/>
      <c r="S58" s="103"/>
      <c r="T58" s="112"/>
      <c r="U58" s="103"/>
      <c r="V58" s="103"/>
      <c r="W58" s="93"/>
      <c r="X58" s="99"/>
    </row>
    <row r="59" spans="1:24" x14ac:dyDescent="0.25">
      <c r="A59" s="103"/>
      <c r="B59" s="334"/>
      <c r="C59" s="103"/>
      <c r="D59" s="104"/>
      <c r="E59" s="104"/>
      <c r="F59" s="105"/>
      <c r="G59" s="105"/>
      <c r="H59" s="104"/>
      <c r="I59" s="104"/>
      <c r="J59" s="104"/>
      <c r="K59" s="104"/>
      <c r="L59" s="110"/>
      <c r="M59" s="104"/>
      <c r="N59" s="111"/>
      <c r="O59" s="104"/>
      <c r="P59" s="103"/>
      <c r="Q59" s="103"/>
      <c r="R59" s="103"/>
      <c r="S59" s="103"/>
      <c r="T59" s="112"/>
      <c r="U59" s="103"/>
      <c r="V59" s="103"/>
      <c r="W59" s="93"/>
      <c r="X59" s="99"/>
    </row>
    <row r="60" spans="1:24" x14ac:dyDescent="0.25">
      <c r="A60" s="96"/>
      <c r="B60" s="336"/>
      <c r="C60" s="96"/>
      <c r="D60" s="90"/>
      <c r="E60" s="104"/>
      <c r="F60" s="105"/>
      <c r="G60" s="105"/>
      <c r="H60" s="90"/>
      <c r="I60" s="90"/>
      <c r="J60" s="104"/>
      <c r="K60" s="104"/>
      <c r="L60" s="122"/>
      <c r="M60" s="104"/>
      <c r="N60" s="111"/>
      <c r="O60" s="90"/>
      <c r="P60" s="103"/>
      <c r="Q60" s="103"/>
      <c r="R60" s="103"/>
      <c r="S60" s="103"/>
      <c r="T60" s="112"/>
      <c r="U60" s="103"/>
      <c r="V60" s="103"/>
      <c r="W60" s="103"/>
      <c r="X60" s="99"/>
    </row>
    <row r="61" spans="1:24" x14ac:dyDescent="0.25">
      <c r="A61" s="103"/>
      <c r="B61" s="334"/>
      <c r="C61" s="103"/>
      <c r="D61" s="104"/>
      <c r="E61" s="104"/>
      <c r="F61" s="105"/>
      <c r="G61" s="105"/>
      <c r="H61" s="104"/>
      <c r="I61" s="110"/>
      <c r="J61" s="104"/>
      <c r="K61" s="104"/>
      <c r="L61" s="110"/>
      <c r="M61" s="104"/>
      <c r="N61" s="111"/>
      <c r="O61" s="104"/>
      <c r="P61" s="103"/>
      <c r="Q61" s="103"/>
      <c r="R61" s="103"/>
      <c r="S61" s="103"/>
      <c r="T61" s="112"/>
      <c r="U61" s="103"/>
      <c r="V61" s="103"/>
      <c r="W61" s="93"/>
      <c r="X61" s="99"/>
    </row>
    <row r="62" spans="1:24" x14ac:dyDescent="0.25">
      <c r="A62" s="103"/>
      <c r="B62" s="334"/>
      <c r="C62" s="103"/>
      <c r="D62" s="104"/>
      <c r="E62" s="104"/>
      <c r="F62" s="105"/>
      <c r="G62" s="105"/>
      <c r="H62" s="104"/>
      <c r="I62" s="104"/>
      <c r="J62" s="104"/>
      <c r="K62" s="104"/>
      <c r="L62" s="110"/>
      <c r="M62" s="104"/>
      <c r="N62" s="111"/>
      <c r="O62" s="104"/>
      <c r="P62" s="103"/>
      <c r="Q62" s="103"/>
      <c r="R62" s="103"/>
      <c r="S62" s="103"/>
      <c r="T62" s="112"/>
      <c r="U62" s="103"/>
      <c r="V62" s="103"/>
      <c r="W62" s="93"/>
      <c r="X62" s="99"/>
    </row>
    <row r="63" spans="1:24" x14ac:dyDescent="0.25">
      <c r="A63" s="103"/>
      <c r="B63" s="334"/>
      <c r="C63" s="103"/>
      <c r="D63" s="104"/>
      <c r="E63" s="104"/>
      <c r="F63" s="108"/>
      <c r="G63" s="109"/>
      <c r="H63" s="104"/>
      <c r="I63" s="104"/>
      <c r="J63" s="104"/>
      <c r="K63" s="104"/>
      <c r="L63" s="104"/>
      <c r="M63" s="104"/>
      <c r="N63" s="104"/>
      <c r="O63" s="104"/>
      <c r="P63" s="103"/>
      <c r="Q63" s="103"/>
      <c r="R63" s="103"/>
      <c r="S63" s="103"/>
      <c r="T63" s="97"/>
      <c r="U63" s="103"/>
      <c r="V63" s="103"/>
      <c r="W63" s="103"/>
      <c r="X63" s="99"/>
    </row>
    <row r="64" spans="1:24" x14ac:dyDescent="0.25">
      <c r="A64" s="103"/>
      <c r="B64" s="334"/>
      <c r="C64" s="103"/>
      <c r="D64" s="104"/>
      <c r="E64" s="104"/>
      <c r="F64" s="108"/>
      <c r="G64" s="109"/>
      <c r="H64" s="104"/>
      <c r="I64" s="104"/>
      <c r="J64" s="104"/>
      <c r="K64" s="104"/>
      <c r="L64" s="104"/>
      <c r="M64" s="104"/>
      <c r="N64" s="104"/>
      <c r="O64" s="104"/>
      <c r="P64" s="103"/>
      <c r="Q64" s="103"/>
      <c r="R64" s="103"/>
      <c r="S64" s="103"/>
      <c r="T64" s="97"/>
      <c r="U64" s="103"/>
      <c r="V64" s="103"/>
      <c r="W64" s="103"/>
      <c r="X64" s="99"/>
    </row>
    <row r="65" spans="1:24" x14ac:dyDescent="0.25">
      <c r="A65" s="103"/>
      <c r="B65" s="337"/>
      <c r="C65" s="123"/>
      <c r="D65" s="120"/>
      <c r="E65" s="104"/>
      <c r="F65" s="124"/>
      <c r="G65" s="125"/>
      <c r="H65" s="120"/>
      <c r="I65" s="120"/>
      <c r="J65" s="104"/>
      <c r="K65" s="120"/>
      <c r="L65" s="120"/>
      <c r="M65" s="120"/>
      <c r="N65" s="120"/>
      <c r="O65" s="120"/>
      <c r="P65" s="123"/>
      <c r="Q65" s="123"/>
      <c r="R65" s="123"/>
      <c r="S65" s="123"/>
      <c r="T65" s="126"/>
      <c r="U65" s="123"/>
      <c r="V65" s="123"/>
      <c r="W65" s="87"/>
      <c r="X65" s="127"/>
    </row>
    <row r="66" spans="1:24" ht="12" thickBot="1" x14ac:dyDescent="0.3">
      <c r="A66" s="103"/>
      <c r="B66" s="128"/>
      <c r="C66" s="128"/>
      <c r="D66" s="129"/>
      <c r="E66" s="130"/>
      <c r="F66" s="105"/>
      <c r="G66" s="90"/>
      <c r="H66" s="131"/>
      <c r="I66" s="131"/>
      <c r="J66" s="120"/>
      <c r="K66" s="104"/>
      <c r="L66" s="122"/>
      <c r="M66" s="104"/>
      <c r="N66" s="90"/>
      <c r="O66" s="90"/>
      <c r="P66" s="103"/>
      <c r="Q66" s="103"/>
      <c r="R66" s="103"/>
      <c r="S66" s="103"/>
      <c r="T66" s="112"/>
      <c r="U66" s="103"/>
      <c r="V66" s="103"/>
      <c r="W66" s="87"/>
      <c r="X66" s="99"/>
    </row>
    <row r="67" spans="1:24" x14ac:dyDescent="0.25">
      <c r="A67" s="114" t="s">
        <v>279</v>
      </c>
      <c r="G67" s="133"/>
      <c r="H67" s="134"/>
      <c r="I67" s="135">
        <f>SUM(H67)/5</f>
        <v>0</v>
      </c>
      <c r="J67" s="136">
        <f>SUM(H67)/21</f>
        <v>0</v>
      </c>
    </row>
    <row r="68" spans="1:24" ht="12" thickBot="1" x14ac:dyDescent="0.3">
      <c r="A68" s="509" t="s">
        <v>280</v>
      </c>
      <c r="B68" s="509"/>
      <c r="C68" s="509"/>
      <c r="D68" s="509"/>
      <c r="E68" s="509"/>
      <c r="F68" s="509"/>
      <c r="G68" s="138" t="s">
        <v>281</v>
      </c>
      <c r="H68" s="139" t="s">
        <v>282</v>
      </c>
      <c r="I68" s="140" t="s">
        <v>283</v>
      </c>
      <c r="J68" s="141" t="s">
        <v>284</v>
      </c>
    </row>
    <row r="69" spans="1:24" ht="12" thickBot="1" x14ac:dyDescent="0.3">
      <c r="A69" s="114" t="s">
        <v>285</v>
      </c>
      <c r="G69" s="142" t="e">
        <f>SUM(G67)/H67</f>
        <v>#DIV/0!</v>
      </c>
      <c r="H69" s="142" t="s">
        <v>111</v>
      </c>
      <c r="I69" s="143" t="e">
        <f>SUM(1151)/I67</f>
        <v>#DIV/0!</v>
      </c>
    </row>
    <row r="70" spans="1:24" x14ac:dyDescent="0.25">
      <c r="A70" s="144" t="s">
        <v>286</v>
      </c>
      <c r="B70" s="144"/>
      <c r="C70" s="144"/>
    </row>
    <row r="72" spans="1:24" x14ac:dyDescent="0.25">
      <c r="A72" s="510" t="s">
        <v>287</v>
      </c>
      <c r="B72" s="511"/>
      <c r="C72" s="510"/>
      <c r="D72" s="510"/>
    </row>
    <row r="73" spans="1:24" x14ac:dyDescent="0.25">
      <c r="A73" s="99" t="s">
        <v>288</v>
      </c>
      <c r="B73" s="236"/>
      <c r="C73" s="99"/>
      <c r="D73" s="100" t="s">
        <v>289</v>
      </c>
    </row>
    <row r="74" spans="1:24" x14ac:dyDescent="0.25">
      <c r="A74" s="99" t="s">
        <v>290</v>
      </c>
      <c r="B74" s="236"/>
      <c r="C74" s="99"/>
      <c r="D74" s="100" t="s">
        <v>142</v>
      </c>
    </row>
    <row r="75" spans="1:24" x14ac:dyDescent="0.25">
      <c r="A75" s="99" t="s">
        <v>291</v>
      </c>
      <c r="B75" s="236"/>
      <c r="C75" s="99"/>
      <c r="D75" s="100" t="s">
        <v>289</v>
      </c>
    </row>
    <row r="76" spans="1:24" x14ac:dyDescent="0.25">
      <c r="A76" s="99" t="s">
        <v>292</v>
      </c>
      <c r="B76" s="236"/>
      <c r="C76" s="99"/>
      <c r="D76" s="100" t="s">
        <v>6</v>
      </c>
    </row>
    <row r="77" spans="1:24" x14ac:dyDescent="0.25">
      <c r="A77" s="99" t="s">
        <v>293</v>
      </c>
      <c r="B77" s="236"/>
      <c r="C77" s="99"/>
      <c r="D77" s="100" t="s">
        <v>0</v>
      </c>
    </row>
  </sheetData>
  <mergeCells count="2">
    <mergeCell ref="A68:F68"/>
    <mergeCell ref="A72:D72"/>
  </mergeCells>
  <phoneticPr fontId="23" type="noConversion"/>
  <printOptions gridLines="1"/>
  <pageMargins left="0.18" right="0.17" top="0.75" bottom="0.75" header="0.3" footer="0.3"/>
  <pageSetup scale="96" fitToHeight="6" orientation="landscape" r:id="rId1"/>
  <headerFooter>
    <oddFooter>&amp;L&amp;F: &amp;A&amp;R&amp;P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1" topLeftCell="A2" activePane="bottomLeft" state="frozen"/>
      <selection pane="bottomLeft" sqref="A1:D1"/>
    </sheetView>
  </sheetViews>
  <sheetFormatPr defaultRowHeight="15" x14ac:dyDescent="0.25"/>
  <cols>
    <col min="1" max="1" width="11.42578125" customWidth="1"/>
    <col min="2" max="2" width="8.140625" customWidth="1"/>
    <col min="3" max="3" width="34.28515625" customWidth="1"/>
    <col min="4" max="4" width="11.7109375" bestFit="1" customWidth="1"/>
  </cols>
  <sheetData>
    <row r="1" spans="1:4" s="419" customFormat="1" ht="15.75" x14ac:dyDescent="0.25">
      <c r="A1" s="427" t="s">
        <v>589</v>
      </c>
      <c r="B1" s="427" t="s">
        <v>138</v>
      </c>
      <c r="C1" s="427" t="s">
        <v>35</v>
      </c>
      <c r="D1" s="427" t="s">
        <v>294</v>
      </c>
    </row>
    <row r="2" spans="1:4" ht="15.75" x14ac:dyDescent="0.25">
      <c r="A2" s="428">
        <v>752</v>
      </c>
      <c r="B2" s="430" t="s">
        <v>554</v>
      </c>
      <c r="C2" s="430" t="s">
        <v>557</v>
      </c>
      <c r="D2" s="432">
        <v>500224</v>
      </c>
    </row>
    <row r="3" spans="1:4" ht="15.75" x14ac:dyDescent="0.25">
      <c r="A3" s="428">
        <v>752</v>
      </c>
      <c r="B3" s="430" t="s">
        <v>549</v>
      </c>
      <c r="C3" s="430" t="s">
        <v>558</v>
      </c>
      <c r="D3" s="432">
        <v>505420</v>
      </c>
    </row>
    <row r="4" spans="1:4" ht="15.75" x14ac:dyDescent="0.25">
      <c r="A4" s="428">
        <v>752</v>
      </c>
      <c r="B4" s="430" t="s">
        <v>641</v>
      </c>
      <c r="C4" s="430" t="s">
        <v>555</v>
      </c>
      <c r="D4" s="432">
        <v>507842</v>
      </c>
    </row>
    <row r="5" spans="1:4" ht="15.75" x14ac:dyDescent="0.25">
      <c r="A5" s="428">
        <v>752</v>
      </c>
      <c r="B5" s="430" t="s">
        <v>561</v>
      </c>
      <c r="C5" s="430" t="s">
        <v>556</v>
      </c>
      <c r="D5" s="432">
        <v>505614</v>
      </c>
    </row>
    <row r="6" spans="1:4" ht="15.75" x14ac:dyDescent="0.25">
      <c r="A6" s="428">
        <v>752</v>
      </c>
      <c r="B6" s="430" t="s">
        <v>560</v>
      </c>
      <c r="C6" s="430" t="s">
        <v>559</v>
      </c>
      <c r="D6" s="432">
        <v>505161</v>
      </c>
    </row>
    <row r="7" spans="1:4" ht="15.75" x14ac:dyDescent="0.25">
      <c r="A7" s="428">
        <v>752</v>
      </c>
      <c r="B7" s="430" t="s">
        <v>564</v>
      </c>
      <c r="C7" s="430" t="s">
        <v>563</v>
      </c>
      <c r="D7" s="432">
        <v>505311</v>
      </c>
    </row>
    <row r="8" spans="1:4" ht="15.75" x14ac:dyDescent="0.25">
      <c r="A8" s="428">
        <v>752</v>
      </c>
      <c r="B8" s="430" t="s">
        <v>674</v>
      </c>
      <c r="C8" s="430" t="s">
        <v>572</v>
      </c>
      <c r="D8" s="433"/>
    </row>
    <row r="9" spans="1:4" ht="15.75" x14ac:dyDescent="0.25">
      <c r="A9" s="428">
        <v>752</v>
      </c>
      <c r="B9" s="430" t="s">
        <v>675</v>
      </c>
      <c r="C9" s="430" t="s">
        <v>610</v>
      </c>
      <c r="D9" s="432">
        <v>505006</v>
      </c>
    </row>
    <row r="10" spans="1:4" ht="15.75" x14ac:dyDescent="0.25">
      <c r="A10" s="431">
        <v>774</v>
      </c>
      <c r="B10" s="430" t="s">
        <v>554</v>
      </c>
      <c r="C10" s="430" t="s">
        <v>557</v>
      </c>
      <c r="D10" s="435"/>
    </row>
    <row r="11" spans="1:4" ht="15.75" x14ac:dyDescent="0.25">
      <c r="A11" s="431">
        <v>774</v>
      </c>
      <c r="B11" s="430" t="s">
        <v>549</v>
      </c>
      <c r="C11" s="430" t="s">
        <v>611</v>
      </c>
      <c r="D11" s="434">
        <v>505011</v>
      </c>
    </row>
    <row r="12" spans="1:4" ht="15.75" x14ac:dyDescent="0.25">
      <c r="A12" s="431">
        <v>774</v>
      </c>
      <c r="B12" s="430" t="s">
        <v>641</v>
      </c>
      <c r="C12" s="430" t="s">
        <v>555</v>
      </c>
      <c r="D12" s="435"/>
    </row>
    <row r="13" spans="1:4" ht="15.75" x14ac:dyDescent="0.25">
      <c r="A13" s="431">
        <v>774</v>
      </c>
      <c r="B13" s="430" t="s">
        <v>561</v>
      </c>
      <c r="C13" s="430" t="s">
        <v>556</v>
      </c>
      <c r="D13" s="435"/>
    </row>
    <row r="14" spans="1:4" ht="15.75" x14ac:dyDescent="0.25">
      <c r="A14" s="431">
        <v>774</v>
      </c>
      <c r="B14" s="430" t="s">
        <v>560</v>
      </c>
      <c r="C14" s="430" t="s">
        <v>559</v>
      </c>
      <c r="D14" s="435"/>
    </row>
    <row r="15" spans="1:4" ht="15.75" x14ac:dyDescent="0.25">
      <c r="A15" s="431">
        <v>774</v>
      </c>
      <c r="B15" s="430" t="s">
        <v>564</v>
      </c>
      <c r="C15" s="430" t="s">
        <v>563</v>
      </c>
      <c r="D15" s="434">
        <v>505311</v>
      </c>
    </row>
    <row r="16" spans="1:4" ht="15.75" x14ac:dyDescent="0.25">
      <c r="A16" s="431">
        <v>774</v>
      </c>
      <c r="B16" s="430" t="s">
        <v>674</v>
      </c>
      <c r="C16" s="430" t="s">
        <v>572</v>
      </c>
      <c r="D16" s="434"/>
    </row>
    <row r="17" spans="1:7" ht="15.75" x14ac:dyDescent="0.25">
      <c r="A17" s="429">
        <v>703</v>
      </c>
      <c r="B17" s="430" t="s">
        <v>554</v>
      </c>
      <c r="C17" s="430" t="s">
        <v>557</v>
      </c>
      <c r="D17" s="435"/>
    </row>
    <row r="18" spans="1:7" ht="15.75" x14ac:dyDescent="0.25">
      <c r="A18" s="429">
        <v>703</v>
      </c>
      <c r="B18" s="430" t="s">
        <v>549</v>
      </c>
      <c r="C18" s="430" t="s">
        <v>611</v>
      </c>
      <c r="D18" s="435">
        <v>505011</v>
      </c>
      <c r="G18" s="421"/>
    </row>
    <row r="19" spans="1:7" ht="15.75" x14ac:dyDescent="0.25">
      <c r="A19" s="429">
        <v>703</v>
      </c>
      <c r="B19" s="430" t="s">
        <v>641</v>
      </c>
      <c r="C19" s="430" t="s">
        <v>555</v>
      </c>
      <c r="D19" s="435"/>
      <c r="G19" s="421"/>
    </row>
    <row r="20" spans="1:7" ht="15.75" x14ac:dyDescent="0.25">
      <c r="A20" s="429">
        <v>703</v>
      </c>
      <c r="B20" s="430" t="s">
        <v>561</v>
      </c>
      <c r="C20" s="430" t="s">
        <v>556</v>
      </c>
      <c r="D20" s="435"/>
    </row>
    <row r="21" spans="1:7" ht="15.75" x14ac:dyDescent="0.25">
      <c r="A21" s="429">
        <v>703</v>
      </c>
      <c r="B21" s="430" t="s">
        <v>560</v>
      </c>
      <c r="C21" s="430" t="s">
        <v>559</v>
      </c>
      <c r="D21" s="435"/>
    </row>
    <row r="22" spans="1:7" ht="15.75" x14ac:dyDescent="0.25">
      <c r="A22" s="429">
        <v>703</v>
      </c>
      <c r="B22" s="430" t="s">
        <v>564</v>
      </c>
      <c r="C22" s="430" t="s">
        <v>563</v>
      </c>
      <c r="D22" s="435"/>
    </row>
    <row r="23" spans="1:7" ht="15.75" x14ac:dyDescent="0.25">
      <c r="A23" s="429">
        <v>703</v>
      </c>
      <c r="B23" s="430" t="s">
        <v>674</v>
      </c>
      <c r="C23" s="430" t="s">
        <v>572</v>
      </c>
      <c r="D23" s="435"/>
    </row>
    <row r="24" spans="1:7" ht="15.75" x14ac:dyDescent="0.25">
      <c r="A24" s="429">
        <v>703</v>
      </c>
      <c r="B24" s="430" t="s">
        <v>675</v>
      </c>
      <c r="C24" s="430" t="s">
        <v>610</v>
      </c>
      <c r="D24" s="435">
        <v>505006</v>
      </c>
    </row>
  </sheetData>
  <autoFilter ref="A1:D24"/>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AO17"/>
  <sheetViews>
    <sheetView zoomScale="130" zoomScaleNormal="130" workbookViewId="0">
      <pane ySplit="1" topLeftCell="A2" activePane="bottomLeft" state="frozen"/>
      <selection pane="bottomLeft" sqref="A1:K7"/>
    </sheetView>
  </sheetViews>
  <sheetFormatPr defaultColWidth="21.42578125" defaultRowHeight="15" x14ac:dyDescent="0.25"/>
  <cols>
    <col min="1" max="1" width="10.5703125" style="286" bestFit="1" customWidth="1"/>
    <col min="2" max="2" width="7.5703125" style="286" bestFit="1" customWidth="1"/>
    <col min="3" max="3" width="8.28515625" style="287" bestFit="1" customWidth="1"/>
    <col min="4" max="4" width="19.5703125" style="286" customWidth="1"/>
    <col min="5" max="5" width="9" style="286" customWidth="1"/>
    <col min="6" max="6" width="14.28515625" style="287" customWidth="1"/>
    <col min="7" max="7" width="11.28515625" style="287" bestFit="1" customWidth="1"/>
    <col min="8" max="8" width="11.28515625" style="287" customWidth="1"/>
    <col min="9" max="9" width="13.7109375" style="287" customWidth="1"/>
    <col min="10" max="10" width="24.28515625" style="287" customWidth="1"/>
    <col min="11" max="11" width="7" style="368" bestFit="1" customWidth="1"/>
    <col min="12" max="41" width="21.42578125" style="368"/>
    <col min="42" max="16384" width="21.42578125" style="286"/>
  </cols>
  <sheetData>
    <row r="1" spans="1:11" x14ac:dyDescent="0.25">
      <c r="A1" s="292" t="s">
        <v>34</v>
      </c>
      <c r="B1" s="367" t="s">
        <v>26</v>
      </c>
      <c r="C1" s="293" t="s">
        <v>27</v>
      </c>
      <c r="D1" s="294" t="s">
        <v>35</v>
      </c>
      <c r="E1" s="294" t="s">
        <v>138</v>
      </c>
      <c r="F1" s="312" t="s">
        <v>484</v>
      </c>
      <c r="G1" s="312" t="s">
        <v>356</v>
      </c>
      <c r="H1" s="449" t="s">
        <v>640</v>
      </c>
      <c r="I1" s="293" t="s">
        <v>357</v>
      </c>
      <c r="J1" s="312" t="s">
        <v>144</v>
      </c>
      <c r="K1" s="438" t="s">
        <v>629</v>
      </c>
    </row>
    <row r="2" spans="1:11" s="368" customFormat="1" x14ac:dyDescent="0.25">
      <c r="A2" s="436">
        <v>752</v>
      </c>
      <c r="B2" s="436">
        <v>752</v>
      </c>
      <c r="C2" s="418" t="s">
        <v>471</v>
      </c>
      <c r="D2" s="371" t="s">
        <v>558</v>
      </c>
      <c r="E2" s="370" t="s">
        <v>549</v>
      </c>
      <c r="F2" s="327" t="s">
        <v>579</v>
      </c>
      <c r="G2" s="327" t="s">
        <v>614</v>
      </c>
      <c r="H2" s="450" t="s">
        <v>653</v>
      </c>
      <c r="I2" s="327" t="s">
        <v>617</v>
      </c>
      <c r="J2" s="448" t="s">
        <v>637</v>
      </c>
      <c r="K2" s="370" t="s">
        <v>630</v>
      </c>
    </row>
    <row r="3" spans="1:11" s="368" customFormat="1" x14ac:dyDescent="0.25">
      <c r="A3" s="437">
        <v>703</v>
      </c>
      <c r="B3" s="437">
        <v>703</v>
      </c>
      <c r="C3" s="418" t="s">
        <v>606</v>
      </c>
      <c r="D3" s="371" t="s">
        <v>558</v>
      </c>
      <c r="E3" s="370" t="s">
        <v>549</v>
      </c>
      <c r="F3" s="327" t="s">
        <v>580</v>
      </c>
      <c r="G3" s="327" t="s">
        <v>618</v>
      </c>
      <c r="H3" s="450" t="s">
        <v>653</v>
      </c>
      <c r="I3" s="327" t="s">
        <v>617</v>
      </c>
      <c r="J3" s="448" t="s">
        <v>638</v>
      </c>
      <c r="K3" s="370" t="s">
        <v>630</v>
      </c>
    </row>
    <row r="4" spans="1:11" s="368" customFormat="1" x14ac:dyDescent="0.25">
      <c r="A4" s="418" t="s">
        <v>628</v>
      </c>
      <c r="B4" s="418" t="s">
        <v>628</v>
      </c>
      <c r="C4" s="418" t="s">
        <v>473</v>
      </c>
      <c r="D4" s="371" t="s">
        <v>558</v>
      </c>
      <c r="E4" s="370" t="s">
        <v>549</v>
      </c>
      <c r="F4" s="327" t="s">
        <v>581</v>
      </c>
      <c r="G4" s="327" t="s">
        <v>613</v>
      </c>
      <c r="H4" s="450" t="s">
        <v>653</v>
      </c>
      <c r="I4" s="327" t="s">
        <v>617</v>
      </c>
      <c r="J4" s="448" t="s">
        <v>639</v>
      </c>
      <c r="K4" s="370" t="s">
        <v>630</v>
      </c>
    </row>
    <row r="5" spans="1:11" s="368" customFormat="1" x14ac:dyDescent="0.25">
      <c r="A5" s="436">
        <v>752</v>
      </c>
      <c r="B5" s="436">
        <v>752</v>
      </c>
      <c r="C5" s="418" t="s">
        <v>471</v>
      </c>
      <c r="D5" s="371" t="s">
        <v>631</v>
      </c>
      <c r="E5" s="471" t="s">
        <v>649</v>
      </c>
      <c r="F5" s="327" t="s">
        <v>582</v>
      </c>
      <c r="G5" s="327" t="s">
        <v>614</v>
      </c>
      <c r="H5" s="450" t="s">
        <v>653</v>
      </c>
      <c r="I5" s="327" t="s">
        <v>617</v>
      </c>
      <c r="J5" s="448" t="s">
        <v>637</v>
      </c>
      <c r="K5" s="370" t="s">
        <v>673</v>
      </c>
    </row>
    <row r="6" spans="1:11" s="368" customFormat="1" ht="14.45" x14ac:dyDescent="0.3">
      <c r="A6" s="437">
        <v>703</v>
      </c>
      <c r="B6" s="437">
        <v>703</v>
      </c>
      <c r="C6" s="418" t="s">
        <v>606</v>
      </c>
      <c r="D6" s="371" t="s">
        <v>631</v>
      </c>
      <c r="E6" s="471" t="s">
        <v>649</v>
      </c>
      <c r="F6" s="327" t="s">
        <v>583</v>
      </c>
      <c r="G6" s="327" t="s">
        <v>618</v>
      </c>
      <c r="H6" s="450" t="s">
        <v>653</v>
      </c>
      <c r="I6" s="327" t="s">
        <v>617</v>
      </c>
      <c r="J6" s="448" t="s">
        <v>638</v>
      </c>
      <c r="K6" s="370" t="s">
        <v>673</v>
      </c>
    </row>
    <row r="7" spans="1:11" s="368" customFormat="1" ht="14.45" x14ac:dyDescent="0.3">
      <c r="A7" s="484">
        <v>752</v>
      </c>
      <c r="B7" s="484">
        <v>752</v>
      </c>
      <c r="C7" s="484" t="s">
        <v>471</v>
      </c>
      <c r="D7" s="484" t="s">
        <v>558</v>
      </c>
      <c r="E7" s="484" t="s">
        <v>549</v>
      </c>
      <c r="F7" s="448" t="s">
        <v>853</v>
      </c>
      <c r="G7" s="448" t="s">
        <v>808</v>
      </c>
      <c r="H7" s="448"/>
      <c r="I7" s="448" t="s">
        <v>617</v>
      </c>
      <c r="J7" s="448" t="s">
        <v>854</v>
      </c>
      <c r="K7" s="448"/>
    </row>
    <row r="8" spans="1:11" thickBot="1" x14ac:dyDescent="0.35"/>
    <row r="9" spans="1:11" ht="15.75" thickBot="1" x14ac:dyDescent="0.3">
      <c r="D9" s="463" t="s">
        <v>678</v>
      </c>
      <c r="F9" s="514" t="s">
        <v>659</v>
      </c>
      <c r="G9" s="515"/>
      <c r="H9" s="515"/>
      <c r="I9" s="515"/>
      <c r="J9" s="515"/>
      <c r="K9" s="516"/>
    </row>
    <row r="10" spans="1:11" ht="15.75" thickBot="1" x14ac:dyDescent="0.3">
      <c r="A10" s="415"/>
      <c r="F10" s="517" t="s">
        <v>550</v>
      </c>
      <c r="G10" s="518"/>
    </row>
    <row r="11" spans="1:11" ht="15.75" thickBot="1" x14ac:dyDescent="0.3">
      <c r="A11" s="415" t="s">
        <v>578</v>
      </c>
      <c r="F11" s="512" t="s">
        <v>676</v>
      </c>
      <c r="G11" s="513"/>
      <c r="H11" s="513"/>
      <c r="I11" s="472" t="s">
        <v>677</v>
      </c>
    </row>
    <row r="12" spans="1:11" x14ac:dyDescent="0.25">
      <c r="A12" s="415"/>
      <c r="G12" s="473" t="s">
        <v>679</v>
      </c>
    </row>
    <row r="13" spans="1:11" x14ac:dyDescent="0.25">
      <c r="A13" s="416" t="s">
        <v>578</v>
      </c>
    </row>
    <row r="14" spans="1:11" x14ac:dyDescent="0.25">
      <c r="A14" s="417"/>
    </row>
    <row r="15" spans="1:11" x14ac:dyDescent="0.25">
      <c r="A15" s="417"/>
    </row>
    <row r="16" spans="1:11" x14ac:dyDescent="0.25">
      <c r="A16" s="417"/>
    </row>
    <row r="17" spans="1:1" x14ac:dyDescent="0.25">
      <c r="A17" s="416" t="s">
        <v>578</v>
      </c>
    </row>
  </sheetData>
  <mergeCells count="3">
    <mergeCell ref="F11:H11"/>
    <mergeCell ref="F9:K9"/>
    <mergeCell ref="F10:G10"/>
  </mergeCells>
  <pageMargins left="0.7" right="0.7" top="0.75" bottom="0.75" header="0.3" footer="0.3"/>
  <pageSetup paperSize="9" scale="95" fitToHeight="0"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pageSetUpPr fitToPage="1"/>
  </sheetPr>
  <dimension ref="A1:S395"/>
  <sheetViews>
    <sheetView zoomScaleNormal="100" workbookViewId="0">
      <pane ySplit="1" topLeftCell="A2" activePane="bottomLeft" state="frozen"/>
      <selection activeCell="G1" sqref="G1"/>
      <selection pane="bottomLeft" activeCell="A52" sqref="A52"/>
    </sheetView>
  </sheetViews>
  <sheetFormatPr defaultColWidth="48.140625" defaultRowHeight="18" customHeight="1" outlineLevelCol="1" x14ac:dyDescent="0.25"/>
  <cols>
    <col min="1" max="1" width="21.85546875" style="486" customWidth="1"/>
    <col min="2" max="2" width="28.7109375" style="486" customWidth="1"/>
    <col min="3" max="3" width="15.5703125" style="486" bestFit="1" customWidth="1"/>
    <col min="4" max="4" width="5" style="487" customWidth="1"/>
    <col min="5" max="5" width="6.5703125" style="488" customWidth="1"/>
    <col min="6" max="6" width="7.140625" style="487" customWidth="1"/>
    <col min="7" max="7" width="15.28515625" style="486" customWidth="1"/>
    <col min="8" max="8" width="27.42578125" style="486" hidden="1" customWidth="1" outlineLevel="1"/>
    <col min="9" max="9" width="9.85546875" style="286" hidden="1" customWidth="1" outlineLevel="1"/>
    <col min="10" max="10" width="3.85546875" style="287" hidden="1" customWidth="1" outlineLevel="1"/>
    <col min="11" max="11" width="9.28515625" style="286" hidden="1" customWidth="1" outlineLevel="1"/>
    <col min="12" max="12" width="9.28515625" style="287" hidden="1" customWidth="1" outlineLevel="1"/>
    <col min="13" max="13" width="6.42578125" style="286" hidden="1" customWidth="1" outlineLevel="1"/>
    <col min="14" max="14" width="8.5703125" style="286" customWidth="1" collapsed="1"/>
    <col min="15" max="15" width="7.28515625" style="368" customWidth="1"/>
    <col min="16" max="16" width="5.85546875" style="368" customWidth="1"/>
    <col min="17" max="17" width="6.140625" style="368" customWidth="1"/>
    <col min="18" max="18" width="18.7109375" style="368" customWidth="1"/>
    <col min="19" max="19" width="50.7109375" style="286" customWidth="1"/>
    <col min="20" max="20" width="11.5703125" style="286" customWidth="1"/>
    <col min="21" max="16384" width="48.140625" style="286"/>
  </cols>
  <sheetData>
    <row r="1" spans="1:19" ht="18" customHeight="1" x14ac:dyDescent="0.3">
      <c r="A1" s="439" t="s">
        <v>382</v>
      </c>
      <c r="B1" s="439" t="s">
        <v>383</v>
      </c>
      <c r="C1" s="439" t="s">
        <v>62</v>
      </c>
      <c r="D1" s="440" t="s">
        <v>29</v>
      </c>
      <c r="E1" s="440" t="s">
        <v>30</v>
      </c>
      <c r="F1" s="440" t="s">
        <v>384</v>
      </c>
      <c r="G1" s="439" t="s">
        <v>385</v>
      </c>
      <c r="H1" s="439" t="s">
        <v>386</v>
      </c>
      <c r="I1" s="439" t="s">
        <v>387</v>
      </c>
      <c r="J1" s="440" t="s">
        <v>31</v>
      </c>
      <c r="K1" s="439" t="s">
        <v>32</v>
      </c>
      <c r="L1" s="440" t="s">
        <v>388</v>
      </c>
      <c r="M1" s="441" t="s">
        <v>632</v>
      </c>
      <c r="N1" s="369" t="s">
        <v>586</v>
      </c>
      <c r="O1" s="369" t="s">
        <v>585</v>
      </c>
      <c r="P1" s="369" t="s">
        <v>587</v>
      </c>
      <c r="Q1" s="369" t="s">
        <v>782</v>
      </c>
      <c r="R1" s="369" t="s">
        <v>588</v>
      </c>
      <c r="S1" s="476" t="s">
        <v>786</v>
      </c>
    </row>
    <row r="2" spans="1:19" s="445" customFormat="1" ht="18.75" hidden="1" customHeight="1" x14ac:dyDescent="0.25">
      <c r="A2" s="446" t="s">
        <v>389</v>
      </c>
      <c r="B2" s="446" t="s">
        <v>390</v>
      </c>
      <c r="C2" s="446" t="s">
        <v>391</v>
      </c>
      <c r="D2" s="485" t="s">
        <v>392</v>
      </c>
      <c r="E2" s="475" t="s">
        <v>687</v>
      </c>
      <c r="F2" s="485" t="s">
        <v>89</v>
      </c>
      <c r="G2" s="446" t="s">
        <v>393</v>
      </c>
      <c r="H2" s="446" t="s">
        <v>394</v>
      </c>
      <c r="I2" s="442" t="s">
        <v>395</v>
      </c>
      <c r="J2" s="443" t="s">
        <v>682</v>
      </c>
      <c r="K2" s="474" t="s">
        <v>683</v>
      </c>
      <c r="L2" s="443" t="s">
        <v>112</v>
      </c>
      <c r="M2" s="444" t="s">
        <v>471</v>
      </c>
      <c r="N2" s="444" t="s">
        <v>584</v>
      </c>
      <c r="O2" s="444">
        <v>600059</v>
      </c>
      <c r="P2" s="444" t="s">
        <v>617</v>
      </c>
      <c r="Q2" s="444"/>
      <c r="R2" s="446" t="str">
        <f>CONCATENATE(N2,".",P2)</f>
        <v>E75200112.665600</v>
      </c>
      <c r="S2" s="446" t="s">
        <v>785</v>
      </c>
    </row>
    <row r="3" spans="1:19" s="445" customFormat="1" ht="18" hidden="1" customHeight="1" x14ac:dyDescent="0.25">
      <c r="A3" s="446" t="s">
        <v>389</v>
      </c>
      <c r="B3" s="446" t="s">
        <v>390</v>
      </c>
      <c r="C3" s="446" t="s">
        <v>391</v>
      </c>
      <c r="D3" s="485" t="s">
        <v>392</v>
      </c>
      <c r="E3" s="475" t="s">
        <v>687</v>
      </c>
      <c r="F3" s="485" t="s">
        <v>89</v>
      </c>
      <c r="G3" s="446" t="s">
        <v>396</v>
      </c>
      <c r="H3" s="446" t="s">
        <v>397</v>
      </c>
      <c r="I3" s="442" t="s">
        <v>398</v>
      </c>
      <c r="J3" s="443" t="s">
        <v>1</v>
      </c>
      <c r="K3" s="474">
        <v>47403</v>
      </c>
      <c r="L3" s="443" t="s">
        <v>89</v>
      </c>
      <c r="M3" s="444" t="s">
        <v>471</v>
      </c>
      <c r="N3" s="444" t="s">
        <v>584</v>
      </c>
      <c r="O3" s="444">
        <v>600059</v>
      </c>
      <c r="P3" s="444" t="s">
        <v>617</v>
      </c>
      <c r="Q3" s="444"/>
      <c r="R3" s="446" t="str">
        <f t="shared" ref="R3:R47" si="0">CONCATENATE(N3,".",P3)</f>
        <v>E75200112.665600</v>
      </c>
      <c r="S3" s="446" t="s">
        <v>784</v>
      </c>
    </row>
    <row r="4" spans="1:19" s="445" customFormat="1" ht="18" hidden="1" customHeight="1" x14ac:dyDescent="0.25">
      <c r="A4" s="446" t="s">
        <v>389</v>
      </c>
      <c r="B4" s="446" t="s">
        <v>390</v>
      </c>
      <c r="C4" s="446" t="s">
        <v>391</v>
      </c>
      <c r="D4" s="485" t="s">
        <v>392</v>
      </c>
      <c r="E4" s="475" t="s">
        <v>687</v>
      </c>
      <c r="F4" s="485" t="s">
        <v>89</v>
      </c>
      <c r="G4" s="446" t="s">
        <v>399</v>
      </c>
      <c r="H4" s="446" t="s">
        <v>400</v>
      </c>
      <c r="I4" s="442" t="s">
        <v>401</v>
      </c>
      <c r="J4" s="443" t="s">
        <v>402</v>
      </c>
      <c r="K4" s="474">
        <v>19355</v>
      </c>
      <c r="L4" s="443" t="s">
        <v>89</v>
      </c>
      <c r="M4" s="444" t="s">
        <v>471</v>
      </c>
      <c r="N4" s="444" t="s">
        <v>584</v>
      </c>
      <c r="O4" s="444">
        <v>600059</v>
      </c>
      <c r="P4" s="444" t="s">
        <v>617</v>
      </c>
      <c r="Q4" s="444"/>
      <c r="R4" s="446" t="str">
        <f t="shared" si="0"/>
        <v>E75200112.665600</v>
      </c>
      <c r="S4" s="446" t="s">
        <v>783</v>
      </c>
    </row>
    <row r="5" spans="1:19" s="445" customFormat="1" ht="18" hidden="1" customHeight="1" x14ac:dyDescent="0.25">
      <c r="A5" s="446" t="s">
        <v>389</v>
      </c>
      <c r="B5" s="446" t="s">
        <v>390</v>
      </c>
      <c r="C5" s="446" t="s">
        <v>391</v>
      </c>
      <c r="D5" s="485" t="s">
        <v>392</v>
      </c>
      <c r="E5" s="475" t="s">
        <v>687</v>
      </c>
      <c r="F5" s="485" t="s">
        <v>89</v>
      </c>
      <c r="G5" s="446" t="s">
        <v>403</v>
      </c>
      <c r="H5" s="446" t="s">
        <v>404</v>
      </c>
      <c r="I5" s="442" t="s">
        <v>405</v>
      </c>
      <c r="J5" s="443" t="s">
        <v>392</v>
      </c>
      <c r="K5" s="474" t="s">
        <v>684</v>
      </c>
      <c r="L5" s="443" t="s">
        <v>89</v>
      </c>
      <c r="M5" s="444" t="s">
        <v>471</v>
      </c>
      <c r="N5" s="444" t="s">
        <v>584</v>
      </c>
      <c r="O5" s="444">
        <v>600059</v>
      </c>
      <c r="P5" s="444" t="s">
        <v>617</v>
      </c>
      <c r="Q5" s="444"/>
      <c r="R5" s="446" t="str">
        <f t="shared" si="0"/>
        <v>E75200112.665600</v>
      </c>
      <c r="S5" s="446"/>
    </row>
    <row r="6" spans="1:19" s="445" customFormat="1" ht="18" hidden="1" customHeight="1" x14ac:dyDescent="0.25">
      <c r="A6" s="446" t="s">
        <v>406</v>
      </c>
      <c r="B6" s="446" t="s">
        <v>407</v>
      </c>
      <c r="C6" s="446" t="s">
        <v>408</v>
      </c>
      <c r="D6" s="485" t="s">
        <v>409</v>
      </c>
      <c r="E6" s="475">
        <v>10920</v>
      </c>
      <c r="F6" s="485" t="s">
        <v>89</v>
      </c>
      <c r="G6" s="446" t="s">
        <v>410</v>
      </c>
      <c r="H6" s="446" t="s">
        <v>411</v>
      </c>
      <c r="I6" s="442" t="s">
        <v>412</v>
      </c>
      <c r="J6" s="443" t="s">
        <v>10</v>
      </c>
      <c r="K6" s="474">
        <v>84095</v>
      </c>
      <c r="L6" s="443" t="s">
        <v>89</v>
      </c>
      <c r="M6" s="444" t="s">
        <v>471</v>
      </c>
      <c r="N6" s="444" t="s">
        <v>584</v>
      </c>
      <c r="O6" s="444">
        <v>600049</v>
      </c>
      <c r="P6" s="444" t="s">
        <v>617</v>
      </c>
      <c r="Q6" s="444"/>
      <c r="R6" s="446" t="str">
        <f t="shared" si="0"/>
        <v>E75200112.665600</v>
      </c>
      <c r="S6" s="446"/>
    </row>
    <row r="7" spans="1:19" s="445" customFormat="1" ht="18" hidden="1" customHeight="1" x14ac:dyDescent="0.25">
      <c r="A7" s="446" t="s">
        <v>413</v>
      </c>
      <c r="B7" s="446" t="s">
        <v>414</v>
      </c>
      <c r="C7" s="446" t="s">
        <v>415</v>
      </c>
      <c r="D7" s="485" t="s">
        <v>33</v>
      </c>
      <c r="E7" s="475">
        <v>92374</v>
      </c>
      <c r="F7" s="485" t="s">
        <v>89</v>
      </c>
      <c r="G7" s="446" t="s">
        <v>416</v>
      </c>
      <c r="H7" s="446" t="s">
        <v>417</v>
      </c>
      <c r="I7" s="442" t="s">
        <v>418</v>
      </c>
      <c r="J7" s="443" t="s">
        <v>402</v>
      </c>
      <c r="K7" s="475">
        <v>18106</v>
      </c>
      <c r="L7" s="443" t="s">
        <v>89</v>
      </c>
      <c r="M7" s="444" t="s">
        <v>471</v>
      </c>
      <c r="N7" s="444" t="s">
        <v>584</v>
      </c>
      <c r="O7" s="444">
        <v>600053</v>
      </c>
      <c r="P7" s="444" t="s">
        <v>617</v>
      </c>
      <c r="Q7" s="444"/>
      <c r="R7" s="446" t="str">
        <f t="shared" si="0"/>
        <v>E75200112.665600</v>
      </c>
      <c r="S7" s="446" t="s">
        <v>633</v>
      </c>
    </row>
    <row r="8" spans="1:19" s="445" customFormat="1" ht="18" hidden="1" customHeight="1" x14ac:dyDescent="0.2">
      <c r="A8" s="446" t="s">
        <v>419</v>
      </c>
      <c r="B8" s="446" t="s">
        <v>420</v>
      </c>
      <c r="C8" s="446" t="s">
        <v>421</v>
      </c>
      <c r="D8" s="485" t="s">
        <v>422</v>
      </c>
      <c r="E8" s="475">
        <v>98052</v>
      </c>
      <c r="F8" s="485" t="s">
        <v>89</v>
      </c>
      <c r="G8" s="446" t="s">
        <v>416</v>
      </c>
      <c r="H8" s="446" t="s">
        <v>417</v>
      </c>
      <c r="I8" s="442" t="s">
        <v>418</v>
      </c>
      <c r="J8" s="443" t="s">
        <v>402</v>
      </c>
      <c r="K8" s="475">
        <v>18106</v>
      </c>
      <c r="L8" s="443" t="s">
        <v>89</v>
      </c>
      <c r="M8" s="444" t="s">
        <v>471</v>
      </c>
      <c r="N8" s="444" t="s">
        <v>584</v>
      </c>
      <c r="O8" s="444">
        <v>600055</v>
      </c>
      <c r="P8" s="444" t="s">
        <v>617</v>
      </c>
      <c r="Q8" s="444"/>
      <c r="R8" s="446" t="str">
        <f t="shared" si="0"/>
        <v>E75200112.665600</v>
      </c>
      <c r="S8" s="446"/>
    </row>
    <row r="9" spans="1:19" s="445" customFormat="1" ht="18" hidden="1" customHeight="1" x14ac:dyDescent="0.25">
      <c r="A9" s="446" t="s">
        <v>419</v>
      </c>
      <c r="B9" s="446" t="s">
        <v>420</v>
      </c>
      <c r="C9" s="446" t="s">
        <v>421</v>
      </c>
      <c r="D9" s="485" t="s">
        <v>422</v>
      </c>
      <c r="E9" s="475">
        <v>98052</v>
      </c>
      <c r="F9" s="485" t="s">
        <v>89</v>
      </c>
      <c r="G9" s="446" t="s">
        <v>416</v>
      </c>
      <c r="H9" s="446" t="s">
        <v>417</v>
      </c>
      <c r="I9" s="442" t="s">
        <v>418</v>
      </c>
      <c r="J9" s="443" t="s">
        <v>402</v>
      </c>
      <c r="K9" s="475">
        <v>18106</v>
      </c>
      <c r="L9" s="443" t="s">
        <v>89</v>
      </c>
      <c r="M9" s="444" t="s">
        <v>471</v>
      </c>
      <c r="N9" s="444" t="s">
        <v>584</v>
      </c>
      <c r="O9" s="444">
        <v>600055</v>
      </c>
      <c r="P9" s="444" t="s">
        <v>617</v>
      </c>
      <c r="Q9" s="444"/>
      <c r="R9" s="446" t="str">
        <f t="shared" si="0"/>
        <v>E75200112.665600</v>
      </c>
      <c r="S9" s="446"/>
    </row>
    <row r="10" spans="1:19" s="445" customFormat="1" ht="18" hidden="1" customHeight="1" x14ac:dyDescent="0.25">
      <c r="A10" s="446" t="s">
        <v>423</v>
      </c>
      <c r="B10" s="446" t="s">
        <v>424</v>
      </c>
      <c r="C10" s="446" t="s">
        <v>415</v>
      </c>
      <c r="D10" s="485" t="s">
        <v>33</v>
      </c>
      <c r="E10" s="475">
        <v>92374</v>
      </c>
      <c r="F10" s="485" t="s">
        <v>89</v>
      </c>
      <c r="G10" s="446" t="s">
        <v>416</v>
      </c>
      <c r="H10" s="446" t="s">
        <v>417</v>
      </c>
      <c r="I10" s="442" t="s">
        <v>418</v>
      </c>
      <c r="J10" s="443" t="s">
        <v>402</v>
      </c>
      <c r="K10" s="475">
        <v>18106</v>
      </c>
      <c r="L10" s="443" t="s">
        <v>89</v>
      </c>
      <c r="M10" s="444" t="s">
        <v>471</v>
      </c>
      <c r="N10" s="444" t="s">
        <v>584</v>
      </c>
      <c r="O10" s="444">
        <v>600056</v>
      </c>
      <c r="P10" s="444" t="s">
        <v>617</v>
      </c>
      <c r="Q10" s="444"/>
      <c r="R10" s="446" t="str">
        <f t="shared" si="0"/>
        <v>E75200112.665600</v>
      </c>
      <c r="S10" s="446"/>
    </row>
    <row r="11" spans="1:19" s="445" customFormat="1" ht="18" hidden="1" customHeight="1" x14ac:dyDescent="0.25">
      <c r="A11" s="446" t="s">
        <v>396</v>
      </c>
      <c r="B11" s="446" t="s">
        <v>397</v>
      </c>
      <c r="C11" s="446" t="s">
        <v>398</v>
      </c>
      <c r="D11" s="485" t="s">
        <v>1</v>
      </c>
      <c r="E11" s="475">
        <v>47403</v>
      </c>
      <c r="F11" s="485" t="s">
        <v>89</v>
      </c>
      <c r="G11" s="446" t="s">
        <v>425</v>
      </c>
      <c r="H11" s="446" t="s">
        <v>426</v>
      </c>
      <c r="I11" s="442" t="s">
        <v>427</v>
      </c>
      <c r="J11" s="443" t="s">
        <v>33</v>
      </c>
      <c r="K11" s="474">
        <v>93618</v>
      </c>
      <c r="L11" s="443" t="s">
        <v>89</v>
      </c>
      <c r="M11" s="444" t="s">
        <v>471</v>
      </c>
      <c r="N11" s="444" t="s">
        <v>584</v>
      </c>
      <c r="O11" s="444">
        <v>600062</v>
      </c>
      <c r="P11" s="444" t="s">
        <v>617</v>
      </c>
      <c r="Q11" s="444"/>
      <c r="R11" s="446" t="str">
        <f t="shared" si="0"/>
        <v>E75200112.665600</v>
      </c>
      <c r="S11" s="446"/>
    </row>
    <row r="12" spans="1:19" s="445" customFormat="1" ht="18" hidden="1" customHeight="1" x14ac:dyDescent="0.25">
      <c r="A12" s="446" t="s">
        <v>396</v>
      </c>
      <c r="B12" s="446" t="s">
        <v>397</v>
      </c>
      <c r="C12" s="446" t="s">
        <v>398</v>
      </c>
      <c r="D12" s="485" t="s">
        <v>1</v>
      </c>
      <c r="E12" s="475">
        <v>47403</v>
      </c>
      <c r="F12" s="485" t="s">
        <v>89</v>
      </c>
      <c r="G12" s="446" t="s">
        <v>416</v>
      </c>
      <c r="H12" s="446" t="s">
        <v>417</v>
      </c>
      <c r="I12" s="442" t="s">
        <v>418</v>
      </c>
      <c r="J12" s="443" t="s">
        <v>402</v>
      </c>
      <c r="K12" s="475">
        <v>18106</v>
      </c>
      <c r="L12" s="443" t="s">
        <v>89</v>
      </c>
      <c r="M12" s="444" t="s">
        <v>471</v>
      </c>
      <c r="N12" s="444" t="s">
        <v>584</v>
      </c>
      <c r="O12" s="444">
        <v>600062</v>
      </c>
      <c r="P12" s="444" t="s">
        <v>617</v>
      </c>
      <c r="Q12" s="444"/>
      <c r="R12" s="446" t="str">
        <f t="shared" si="0"/>
        <v>E75200112.665600</v>
      </c>
      <c r="S12" s="446"/>
    </row>
    <row r="13" spans="1:19" s="445" customFormat="1" ht="18" hidden="1" customHeight="1" x14ac:dyDescent="0.2">
      <c r="A13" s="446" t="s">
        <v>428</v>
      </c>
      <c r="B13" s="446" t="s">
        <v>429</v>
      </c>
      <c r="C13" s="446" t="s">
        <v>430</v>
      </c>
      <c r="D13" s="485" t="s">
        <v>685</v>
      </c>
      <c r="E13" s="475" t="s">
        <v>686</v>
      </c>
      <c r="F13" s="485" t="s">
        <v>431</v>
      </c>
      <c r="G13" s="446" t="s">
        <v>389</v>
      </c>
      <c r="H13" s="446" t="s">
        <v>432</v>
      </c>
      <c r="I13" s="442" t="s">
        <v>391</v>
      </c>
      <c r="J13" s="443" t="s">
        <v>392</v>
      </c>
      <c r="K13" s="474" t="s">
        <v>687</v>
      </c>
      <c r="L13" s="443" t="s">
        <v>89</v>
      </c>
      <c r="M13" s="444" t="s">
        <v>471</v>
      </c>
      <c r="N13" s="444" t="s">
        <v>584</v>
      </c>
      <c r="O13" s="444">
        <v>600058</v>
      </c>
      <c r="P13" s="444" t="s">
        <v>617</v>
      </c>
      <c r="Q13" s="444"/>
      <c r="R13" s="446" t="str">
        <f t="shared" si="0"/>
        <v>E75200112.665600</v>
      </c>
      <c r="S13" s="446"/>
    </row>
    <row r="14" spans="1:19" s="445" customFormat="1" ht="18" hidden="1" customHeight="1" x14ac:dyDescent="0.25">
      <c r="A14" s="446" t="s">
        <v>428</v>
      </c>
      <c r="B14" s="446" t="s">
        <v>429</v>
      </c>
      <c r="C14" s="446" t="s">
        <v>430</v>
      </c>
      <c r="D14" s="485" t="s">
        <v>685</v>
      </c>
      <c r="E14" s="475" t="s">
        <v>686</v>
      </c>
      <c r="F14" s="485" t="s">
        <v>431</v>
      </c>
      <c r="G14" s="446" t="s">
        <v>433</v>
      </c>
      <c r="H14" s="446" t="s">
        <v>434</v>
      </c>
      <c r="I14" s="442" t="s">
        <v>435</v>
      </c>
      <c r="J14" s="443" t="s">
        <v>688</v>
      </c>
      <c r="K14" s="474" t="s">
        <v>689</v>
      </c>
      <c r="L14" s="443" t="s">
        <v>3</v>
      </c>
      <c r="M14" s="444" t="s">
        <v>471</v>
      </c>
      <c r="N14" s="444" t="s">
        <v>584</v>
      </c>
      <c r="O14" s="444">
        <v>600058</v>
      </c>
      <c r="P14" s="444" t="s">
        <v>617</v>
      </c>
      <c r="Q14" s="444"/>
      <c r="R14" s="446" t="str">
        <f t="shared" si="0"/>
        <v>E75200112.665600</v>
      </c>
      <c r="S14" s="446"/>
    </row>
    <row r="15" spans="1:19" s="445" customFormat="1" ht="18" hidden="1" customHeight="1" x14ac:dyDescent="0.2">
      <c r="A15" s="446" t="s">
        <v>403</v>
      </c>
      <c r="B15" s="446" t="s">
        <v>404</v>
      </c>
      <c r="C15" s="446" t="s">
        <v>405</v>
      </c>
      <c r="D15" s="485" t="s">
        <v>392</v>
      </c>
      <c r="E15" s="475">
        <v>2038</v>
      </c>
      <c r="F15" s="485" t="s">
        <v>89</v>
      </c>
      <c r="G15" s="446" t="s">
        <v>396</v>
      </c>
      <c r="H15" s="446" t="s">
        <v>397</v>
      </c>
      <c r="I15" s="442" t="s">
        <v>398</v>
      </c>
      <c r="J15" s="443" t="s">
        <v>1</v>
      </c>
      <c r="K15" s="474">
        <v>47403</v>
      </c>
      <c r="L15" s="443" t="s">
        <v>89</v>
      </c>
      <c r="M15" s="444" t="s">
        <v>471</v>
      </c>
      <c r="N15" s="444" t="s">
        <v>584</v>
      </c>
      <c r="O15" s="444">
        <v>600060</v>
      </c>
      <c r="P15" s="444" t="s">
        <v>617</v>
      </c>
      <c r="Q15" s="444"/>
      <c r="R15" s="446" t="str">
        <f t="shared" si="0"/>
        <v>E75200112.665600</v>
      </c>
      <c r="S15" s="446"/>
    </row>
    <row r="16" spans="1:19" s="445" customFormat="1" ht="18" hidden="1" customHeight="1" x14ac:dyDescent="0.2">
      <c r="A16" s="446" t="s">
        <v>436</v>
      </c>
      <c r="B16" s="446" t="s">
        <v>437</v>
      </c>
      <c r="C16" s="446" t="s">
        <v>779</v>
      </c>
      <c r="D16" s="485"/>
      <c r="E16" s="475" t="s">
        <v>778</v>
      </c>
      <c r="F16" s="485" t="s">
        <v>3</v>
      </c>
      <c r="G16" s="446" t="s">
        <v>440</v>
      </c>
      <c r="H16" s="446" t="s">
        <v>441</v>
      </c>
      <c r="I16" s="442" t="s">
        <v>412</v>
      </c>
      <c r="J16" s="443" t="s">
        <v>10</v>
      </c>
      <c r="K16" s="474">
        <v>84095</v>
      </c>
      <c r="L16" s="443" t="s">
        <v>89</v>
      </c>
      <c r="M16" s="444" t="s">
        <v>471</v>
      </c>
      <c r="N16" s="444" t="s">
        <v>584</v>
      </c>
      <c r="O16" s="444">
        <v>600052</v>
      </c>
      <c r="P16" s="444" t="s">
        <v>617</v>
      </c>
      <c r="Q16" s="444"/>
      <c r="R16" s="446" t="str">
        <f t="shared" si="0"/>
        <v>E75200112.665600</v>
      </c>
      <c r="S16" s="446"/>
    </row>
    <row r="17" spans="1:19" s="445" customFormat="1" ht="18" hidden="1" customHeight="1" x14ac:dyDescent="0.25">
      <c r="A17" s="446" t="s">
        <v>442</v>
      </c>
      <c r="B17" s="446" t="s">
        <v>443</v>
      </c>
      <c r="C17" s="446" t="s">
        <v>444</v>
      </c>
      <c r="D17" s="485" t="s">
        <v>392</v>
      </c>
      <c r="E17" s="475">
        <v>1887</v>
      </c>
      <c r="F17" s="485" t="s">
        <v>89</v>
      </c>
      <c r="G17" s="446" t="s">
        <v>440</v>
      </c>
      <c r="H17" s="446" t="s">
        <v>411</v>
      </c>
      <c r="I17" s="442" t="s">
        <v>412</v>
      </c>
      <c r="J17" s="443" t="s">
        <v>10</v>
      </c>
      <c r="K17" s="474">
        <v>84095</v>
      </c>
      <c r="L17" s="443" t="s">
        <v>89</v>
      </c>
      <c r="M17" s="444" t="s">
        <v>471</v>
      </c>
      <c r="N17" s="444" t="s">
        <v>584</v>
      </c>
      <c r="O17" s="444">
        <v>600050</v>
      </c>
      <c r="P17" s="444" t="s">
        <v>617</v>
      </c>
      <c r="Q17" s="444"/>
      <c r="R17" s="446" t="str">
        <f t="shared" si="0"/>
        <v>E75200112.665600</v>
      </c>
      <c r="S17" s="446"/>
    </row>
    <row r="18" spans="1:19" s="445" customFormat="1" ht="18" hidden="1" customHeight="1" x14ac:dyDescent="0.25">
      <c r="A18" s="446" t="s">
        <v>410</v>
      </c>
      <c r="B18" s="446" t="s">
        <v>411</v>
      </c>
      <c r="C18" s="446" t="s">
        <v>412</v>
      </c>
      <c r="D18" s="485" t="s">
        <v>10</v>
      </c>
      <c r="E18" s="475">
        <v>84095</v>
      </c>
      <c r="F18" s="485" t="s">
        <v>89</v>
      </c>
      <c r="G18" s="446" t="s">
        <v>445</v>
      </c>
      <c r="H18" s="446" t="s">
        <v>446</v>
      </c>
      <c r="I18" s="442" t="s">
        <v>447</v>
      </c>
      <c r="J18" s="443" t="s">
        <v>10</v>
      </c>
      <c r="K18" s="474">
        <v>84070</v>
      </c>
      <c r="L18" s="443" t="s">
        <v>89</v>
      </c>
      <c r="M18" s="444" t="s">
        <v>471</v>
      </c>
      <c r="N18" s="444" t="s">
        <v>584</v>
      </c>
      <c r="O18" s="444">
        <v>600054</v>
      </c>
      <c r="P18" s="444" t="s">
        <v>617</v>
      </c>
      <c r="Q18" s="444"/>
      <c r="R18" s="446" t="str">
        <f t="shared" si="0"/>
        <v>E75200112.665600</v>
      </c>
      <c r="S18" s="446"/>
    </row>
    <row r="19" spans="1:19" s="445" customFormat="1" ht="18" hidden="1" customHeight="1" x14ac:dyDescent="0.25">
      <c r="A19" s="446" t="s">
        <v>440</v>
      </c>
      <c r="B19" s="446" t="s">
        <v>411</v>
      </c>
      <c r="C19" s="446" t="s">
        <v>412</v>
      </c>
      <c r="D19" s="485" t="s">
        <v>10</v>
      </c>
      <c r="E19" s="475">
        <v>84095</v>
      </c>
      <c r="F19" s="485" t="s">
        <v>89</v>
      </c>
      <c r="G19" s="446" t="s">
        <v>448</v>
      </c>
      <c r="H19" s="446" t="s">
        <v>449</v>
      </c>
      <c r="I19" s="442" t="s">
        <v>450</v>
      </c>
      <c r="J19" s="443" t="s">
        <v>10</v>
      </c>
      <c r="K19" s="474">
        <v>84123</v>
      </c>
      <c r="L19" s="443" t="s">
        <v>89</v>
      </c>
      <c r="M19" s="444" t="s">
        <v>471</v>
      </c>
      <c r="N19" s="444" t="s">
        <v>584</v>
      </c>
      <c r="O19" s="444">
        <v>600054</v>
      </c>
      <c r="P19" s="444" t="s">
        <v>617</v>
      </c>
      <c r="Q19" s="444"/>
      <c r="R19" s="446" t="str">
        <f t="shared" si="0"/>
        <v>E75200112.665600</v>
      </c>
      <c r="S19" s="446"/>
    </row>
    <row r="20" spans="1:19" s="445" customFormat="1" ht="18" hidden="1" customHeight="1" x14ac:dyDescent="0.2">
      <c r="A20" s="446" t="s">
        <v>393</v>
      </c>
      <c r="B20" s="446" t="s">
        <v>394</v>
      </c>
      <c r="C20" s="446" t="s">
        <v>395</v>
      </c>
      <c r="D20" s="485" t="s">
        <v>682</v>
      </c>
      <c r="E20" s="475" t="s">
        <v>683</v>
      </c>
      <c r="F20" s="485" t="s">
        <v>112</v>
      </c>
      <c r="G20" s="446" t="s">
        <v>416</v>
      </c>
      <c r="H20" s="446" t="s">
        <v>451</v>
      </c>
      <c r="I20" s="442" t="s">
        <v>418</v>
      </c>
      <c r="J20" s="443" t="s">
        <v>402</v>
      </c>
      <c r="K20" s="474">
        <v>18108</v>
      </c>
      <c r="L20" s="443" t="s">
        <v>89</v>
      </c>
      <c r="M20" s="444" t="s">
        <v>471</v>
      </c>
      <c r="N20" s="444" t="s">
        <v>584</v>
      </c>
      <c r="O20" s="444">
        <v>600061</v>
      </c>
      <c r="P20" s="444" t="s">
        <v>617</v>
      </c>
      <c r="Q20" s="444"/>
      <c r="R20" s="446" t="str">
        <f t="shared" si="0"/>
        <v>E75200112.665600</v>
      </c>
      <c r="S20" s="446"/>
    </row>
    <row r="21" spans="1:19" s="445" customFormat="1" ht="18" hidden="1" customHeight="1" x14ac:dyDescent="0.25">
      <c r="A21" s="446" t="s">
        <v>393</v>
      </c>
      <c r="B21" s="446" t="s">
        <v>394</v>
      </c>
      <c r="C21" s="446" t="s">
        <v>395</v>
      </c>
      <c r="D21" s="485" t="s">
        <v>682</v>
      </c>
      <c r="E21" s="475" t="s">
        <v>683</v>
      </c>
      <c r="F21" s="485" t="s">
        <v>112</v>
      </c>
      <c r="G21" s="446" t="s">
        <v>425</v>
      </c>
      <c r="H21" s="446" t="s">
        <v>426</v>
      </c>
      <c r="I21" s="442" t="s">
        <v>427</v>
      </c>
      <c r="J21" s="443" t="s">
        <v>33</v>
      </c>
      <c r="K21" s="475">
        <v>92618</v>
      </c>
      <c r="L21" s="443" t="s">
        <v>89</v>
      </c>
      <c r="M21" s="444" t="s">
        <v>471</v>
      </c>
      <c r="N21" s="444" t="s">
        <v>584</v>
      </c>
      <c r="O21" s="444">
        <v>600061</v>
      </c>
      <c r="P21" s="444" t="s">
        <v>617</v>
      </c>
      <c r="Q21" s="444"/>
      <c r="R21" s="446" t="str">
        <f t="shared" si="0"/>
        <v>E75200112.665600</v>
      </c>
      <c r="S21" s="446"/>
    </row>
    <row r="22" spans="1:19" s="445" customFormat="1" ht="18" hidden="1" customHeight="1" x14ac:dyDescent="0.25">
      <c r="A22" s="446" t="s">
        <v>452</v>
      </c>
      <c r="B22" s="446" t="s">
        <v>453</v>
      </c>
      <c r="C22" s="446" t="s">
        <v>454</v>
      </c>
      <c r="D22" s="485" t="s">
        <v>455</v>
      </c>
      <c r="E22" s="475">
        <v>53545</v>
      </c>
      <c r="F22" s="485" t="s">
        <v>89</v>
      </c>
      <c r="G22" s="446" t="s">
        <v>440</v>
      </c>
      <c r="H22" s="446" t="s">
        <v>411</v>
      </c>
      <c r="I22" s="442" t="s">
        <v>412</v>
      </c>
      <c r="J22" s="443" t="s">
        <v>10</v>
      </c>
      <c r="K22" s="474">
        <v>84095</v>
      </c>
      <c r="L22" s="443" t="s">
        <v>89</v>
      </c>
      <c r="M22" s="444" t="s">
        <v>471</v>
      </c>
      <c r="N22" s="444" t="s">
        <v>584</v>
      </c>
      <c r="O22" s="444">
        <v>600051</v>
      </c>
      <c r="P22" s="444" t="s">
        <v>617</v>
      </c>
      <c r="Q22" s="444"/>
      <c r="R22" s="446" t="str">
        <f t="shared" si="0"/>
        <v>E75200112.665600</v>
      </c>
      <c r="S22" s="446"/>
    </row>
    <row r="23" spans="1:19" s="445" customFormat="1" ht="18" hidden="1" customHeight="1" x14ac:dyDescent="0.25">
      <c r="A23" s="446" t="s">
        <v>456</v>
      </c>
      <c r="B23" s="446" t="s">
        <v>457</v>
      </c>
      <c r="C23" s="446" t="s">
        <v>458</v>
      </c>
      <c r="D23" s="485" t="s">
        <v>1</v>
      </c>
      <c r="E23" s="475">
        <v>46241</v>
      </c>
      <c r="F23" s="485" t="s">
        <v>89</v>
      </c>
      <c r="G23" s="446" t="s">
        <v>425</v>
      </c>
      <c r="H23" s="446" t="s">
        <v>426</v>
      </c>
      <c r="I23" s="442" t="s">
        <v>427</v>
      </c>
      <c r="J23" s="443" t="s">
        <v>33</v>
      </c>
      <c r="K23" s="474">
        <v>93618</v>
      </c>
      <c r="L23" s="443" t="s">
        <v>89</v>
      </c>
      <c r="M23" s="444" t="s">
        <v>471</v>
      </c>
      <c r="N23" s="444" t="s">
        <v>584</v>
      </c>
      <c r="O23" s="444">
        <v>600066</v>
      </c>
      <c r="P23" s="444" t="s">
        <v>617</v>
      </c>
      <c r="Q23" s="444"/>
      <c r="R23" s="446" t="str">
        <f t="shared" si="0"/>
        <v>E75200112.665600</v>
      </c>
      <c r="S23" s="446"/>
    </row>
    <row r="24" spans="1:19" s="445" customFormat="1" ht="18" hidden="1" customHeight="1" x14ac:dyDescent="0.2">
      <c r="A24" s="446" t="s">
        <v>416</v>
      </c>
      <c r="B24" s="446" t="s">
        <v>417</v>
      </c>
      <c r="C24" s="446" t="s">
        <v>418</v>
      </c>
      <c r="D24" s="485" t="s">
        <v>402</v>
      </c>
      <c r="E24" s="475">
        <v>18106</v>
      </c>
      <c r="F24" s="485" t="s">
        <v>89</v>
      </c>
      <c r="G24" s="446" t="s">
        <v>459</v>
      </c>
      <c r="H24" s="446" t="s">
        <v>460</v>
      </c>
      <c r="I24" s="442" t="s">
        <v>461</v>
      </c>
      <c r="J24" s="443" t="s">
        <v>462</v>
      </c>
      <c r="K24" s="475">
        <v>89521</v>
      </c>
      <c r="L24" s="443" t="s">
        <v>89</v>
      </c>
      <c r="M24" s="444" t="s">
        <v>471</v>
      </c>
      <c r="N24" s="444" t="s">
        <v>584</v>
      </c>
      <c r="O24" s="444">
        <v>600063</v>
      </c>
      <c r="P24" s="444">
        <v>716500</v>
      </c>
      <c r="Q24" s="444"/>
      <c r="R24" s="446" t="str">
        <f t="shared" si="0"/>
        <v>E75200112.716500</v>
      </c>
      <c r="S24" s="446"/>
    </row>
    <row r="25" spans="1:19" s="445" customFormat="1" ht="18" hidden="1" customHeight="1" x14ac:dyDescent="0.2">
      <c r="A25" s="446" t="s">
        <v>416</v>
      </c>
      <c r="B25" s="446" t="s">
        <v>417</v>
      </c>
      <c r="C25" s="446" t="s">
        <v>418</v>
      </c>
      <c r="D25" s="485" t="s">
        <v>402</v>
      </c>
      <c r="E25" s="475">
        <v>18106</v>
      </c>
      <c r="F25" s="485" t="s">
        <v>89</v>
      </c>
      <c r="G25" s="446" t="s">
        <v>396</v>
      </c>
      <c r="H25" s="446" t="s">
        <v>397</v>
      </c>
      <c r="I25" s="442" t="s">
        <v>398</v>
      </c>
      <c r="J25" s="443" t="s">
        <v>1</v>
      </c>
      <c r="K25" s="474">
        <v>47403</v>
      </c>
      <c r="L25" s="443" t="s">
        <v>89</v>
      </c>
      <c r="M25" s="444" t="s">
        <v>471</v>
      </c>
      <c r="N25" s="444" t="s">
        <v>584</v>
      </c>
      <c r="O25" s="444">
        <v>600063</v>
      </c>
      <c r="P25" s="444" t="s">
        <v>617</v>
      </c>
      <c r="Q25" s="444"/>
      <c r="R25" s="446" t="str">
        <f t="shared" si="0"/>
        <v>E75200112.665600</v>
      </c>
      <c r="S25" s="446"/>
    </row>
    <row r="26" spans="1:19" s="445" customFormat="1" ht="18" hidden="1" customHeight="1" x14ac:dyDescent="0.2">
      <c r="A26" s="446" t="s">
        <v>445</v>
      </c>
      <c r="B26" s="446" t="s">
        <v>446</v>
      </c>
      <c r="C26" s="446" t="s">
        <v>447</v>
      </c>
      <c r="D26" s="485" t="s">
        <v>10</v>
      </c>
      <c r="E26" s="475">
        <v>84070</v>
      </c>
      <c r="F26" s="485" t="s">
        <v>89</v>
      </c>
      <c r="G26" s="446" t="s">
        <v>416</v>
      </c>
      <c r="H26" s="446" t="s">
        <v>417</v>
      </c>
      <c r="I26" s="442" t="s">
        <v>418</v>
      </c>
      <c r="J26" s="443" t="s">
        <v>402</v>
      </c>
      <c r="K26" s="475">
        <v>18106</v>
      </c>
      <c r="L26" s="443" t="s">
        <v>89</v>
      </c>
      <c r="M26" s="444" t="s">
        <v>471</v>
      </c>
      <c r="N26" s="444" t="s">
        <v>584</v>
      </c>
      <c r="O26" s="444">
        <v>600064</v>
      </c>
      <c r="P26" s="444" t="s">
        <v>617</v>
      </c>
      <c r="Q26" s="444"/>
      <c r="R26" s="446" t="str">
        <f t="shared" si="0"/>
        <v>E75200112.665600</v>
      </c>
      <c r="S26" s="446"/>
    </row>
    <row r="27" spans="1:19" s="445" customFormat="1" ht="18" hidden="1" customHeight="1" x14ac:dyDescent="0.2">
      <c r="A27" s="446" t="s">
        <v>445</v>
      </c>
      <c r="B27" s="446" t="s">
        <v>446</v>
      </c>
      <c r="C27" s="446" t="s">
        <v>447</v>
      </c>
      <c r="D27" s="485" t="s">
        <v>10</v>
      </c>
      <c r="E27" s="475">
        <v>84070</v>
      </c>
      <c r="F27" s="485" t="s">
        <v>89</v>
      </c>
      <c r="G27" s="446" t="s">
        <v>463</v>
      </c>
      <c r="H27" s="446" t="s">
        <v>464</v>
      </c>
      <c r="I27" s="442" t="s">
        <v>465</v>
      </c>
      <c r="J27" s="443" t="s">
        <v>33</v>
      </c>
      <c r="K27" s="474">
        <v>94063</v>
      </c>
      <c r="L27" s="443" t="s">
        <v>89</v>
      </c>
      <c r="M27" s="444" t="s">
        <v>471</v>
      </c>
      <c r="N27" s="444" t="s">
        <v>584</v>
      </c>
      <c r="O27" s="444">
        <v>600064</v>
      </c>
      <c r="P27" s="444" t="s">
        <v>617</v>
      </c>
      <c r="Q27" s="444"/>
      <c r="R27" s="446" t="str">
        <f t="shared" si="0"/>
        <v>E75200112.665600</v>
      </c>
      <c r="S27" s="446"/>
    </row>
    <row r="28" spans="1:19" s="445" customFormat="1" ht="18" hidden="1" customHeight="1" x14ac:dyDescent="0.2">
      <c r="A28" s="446" t="s">
        <v>445</v>
      </c>
      <c r="B28" s="446" t="s">
        <v>446</v>
      </c>
      <c r="C28" s="446" t="s">
        <v>447</v>
      </c>
      <c r="D28" s="485" t="s">
        <v>10</v>
      </c>
      <c r="E28" s="475">
        <v>84070</v>
      </c>
      <c r="F28" s="485" t="s">
        <v>89</v>
      </c>
      <c r="G28" s="446" t="s">
        <v>448</v>
      </c>
      <c r="H28" s="446" t="s">
        <v>449</v>
      </c>
      <c r="I28" s="442" t="s">
        <v>450</v>
      </c>
      <c r="J28" s="443" t="s">
        <v>10</v>
      </c>
      <c r="K28" s="474">
        <v>84123</v>
      </c>
      <c r="L28" s="443" t="s">
        <v>89</v>
      </c>
      <c r="M28" s="444" t="s">
        <v>471</v>
      </c>
      <c r="N28" s="444" t="s">
        <v>584</v>
      </c>
      <c r="O28" s="444">
        <v>600064</v>
      </c>
      <c r="P28" s="444" t="s">
        <v>617</v>
      </c>
      <c r="Q28" s="444"/>
      <c r="R28" s="446" t="str">
        <f t="shared" si="0"/>
        <v>E75200112.665600</v>
      </c>
      <c r="S28" s="446"/>
    </row>
    <row r="29" spans="1:19" s="445" customFormat="1" ht="18" hidden="1" customHeight="1" x14ac:dyDescent="0.2">
      <c r="A29" s="446" t="s">
        <v>466</v>
      </c>
      <c r="B29" s="446" t="s">
        <v>467</v>
      </c>
      <c r="C29" s="446" t="s">
        <v>468</v>
      </c>
      <c r="D29" s="485" t="s">
        <v>690</v>
      </c>
      <c r="E29" s="475">
        <v>5252</v>
      </c>
      <c r="F29" s="485" t="s">
        <v>469</v>
      </c>
      <c r="G29" s="446" t="s">
        <v>428</v>
      </c>
      <c r="H29" s="446" t="s">
        <v>429</v>
      </c>
      <c r="I29" s="442" t="s">
        <v>430</v>
      </c>
      <c r="J29" s="443" t="s">
        <v>685</v>
      </c>
      <c r="K29" s="474" t="s">
        <v>686</v>
      </c>
      <c r="L29" s="443" t="s">
        <v>431</v>
      </c>
      <c r="M29" s="444" t="s">
        <v>471</v>
      </c>
      <c r="N29" s="444" t="s">
        <v>584</v>
      </c>
      <c r="O29" s="444">
        <v>600057</v>
      </c>
      <c r="P29" s="444" t="s">
        <v>617</v>
      </c>
      <c r="Q29" s="444"/>
      <c r="R29" s="446" t="str">
        <f t="shared" si="0"/>
        <v>E75200112.665600</v>
      </c>
      <c r="S29" s="446"/>
    </row>
    <row r="30" spans="1:19" s="445" customFormat="1" ht="18" hidden="1" customHeight="1" x14ac:dyDescent="0.2">
      <c r="A30" s="446" t="s">
        <v>691</v>
      </c>
      <c r="B30" s="446" t="s">
        <v>692</v>
      </c>
      <c r="C30" s="446" t="s">
        <v>693</v>
      </c>
      <c r="D30" s="485"/>
      <c r="E30" s="475" t="s">
        <v>694</v>
      </c>
      <c r="F30" s="485" t="s">
        <v>620</v>
      </c>
      <c r="G30" s="446" t="s">
        <v>695</v>
      </c>
      <c r="H30" s="446" t="s">
        <v>696</v>
      </c>
      <c r="I30" s="442" t="s">
        <v>697</v>
      </c>
      <c r="J30" s="443" t="s">
        <v>698</v>
      </c>
      <c r="K30" s="474" t="s">
        <v>699</v>
      </c>
      <c r="L30" s="443" t="s">
        <v>469</v>
      </c>
      <c r="M30" s="444" t="s">
        <v>473</v>
      </c>
      <c r="N30" s="444" t="s">
        <v>619</v>
      </c>
      <c r="O30" s="444"/>
      <c r="P30" s="444" t="s">
        <v>794</v>
      </c>
      <c r="Q30" s="444"/>
      <c r="R30" s="446" t="str">
        <f t="shared" si="0"/>
        <v>E77400115.716500</v>
      </c>
      <c r="S30" s="446"/>
    </row>
    <row r="31" spans="1:19" s="445" customFormat="1" ht="18" hidden="1" customHeight="1" x14ac:dyDescent="0.2">
      <c r="A31" s="446" t="s">
        <v>691</v>
      </c>
      <c r="B31" s="446" t="s">
        <v>692</v>
      </c>
      <c r="C31" s="446" t="s">
        <v>693</v>
      </c>
      <c r="D31" s="485"/>
      <c r="E31" s="475" t="s">
        <v>694</v>
      </c>
      <c r="F31" s="485" t="s">
        <v>620</v>
      </c>
      <c r="G31" s="446" t="s">
        <v>700</v>
      </c>
      <c r="H31" s="446" t="s">
        <v>701</v>
      </c>
      <c r="I31" s="442" t="s">
        <v>702</v>
      </c>
      <c r="J31" s="443"/>
      <c r="K31" s="474" t="s">
        <v>703</v>
      </c>
      <c r="L31" s="443" t="s">
        <v>704</v>
      </c>
      <c r="M31" s="444" t="s">
        <v>473</v>
      </c>
      <c r="N31" s="444" t="s">
        <v>619</v>
      </c>
      <c r="O31" s="444"/>
      <c r="P31" s="444" t="s">
        <v>794</v>
      </c>
      <c r="Q31" s="444"/>
      <c r="R31" s="446" t="str">
        <f t="shared" si="0"/>
        <v>E77400115.716500</v>
      </c>
      <c r="S31" s="446"/>
    </row>
    <row r="32" spans="1:19" s="445" customFormat="1" ht="18" hidden="1" customHeight="1" x14ac:dyDescent="0.2">
      <c r="A32" s="446" t="s">
        <v>691</v>
      </c>
      <c r="B32" s="446" t="s">
        <v>692</v>
      </c>
      <c r="C32" s="446" t="s">
        <v>693</v>
      </c>
      <c r="D32" s="485"/>
      <c r="E32" s="475" t="s">
        <v>694</v>
      </c>
      <c r="F32" s="485" t="s">
        <v>620</v>
      </c>
      <c r="G32" s="446" t="s">
        <v>705</v>
      </c>
      <c r="H32" s="446" t="s">
        <v>706</v>
      </c>
      <c r="I32" s="442" t="s">
        <v>707</v>
      </c>
      <c r="J32" s="443"/>
      <c r="K32" s="474"/>
      <c r="L32" s="443" t="s">
        <v>708</v>
      </c>
      <c r="M32" s="444" t="s">
        <v>473</v>
      </c>
      <c r="N32" s="444" t="s">
        <v>619</v>
      </c>
      <c r="O32" s="444"/>
      <c r="P32" s="444" t="s">
        <v>794</v>
      </c>
      <c r="Q32" s="444"/>
      <c r="R32" s="446" t="str">
        <f t="shared" si="0"/>
        <v>E77400115.716500</v>
      </c>
      <c r="S32" s="446"/>
    </row>
    <row r="33" spans="1:19" s="445" customFormat="1" ht="18" hidden="1" customHeight="1" x14ac:dyDescent="0.2">
      <c r="A33" s="446" t="s">
        <v>691</v>
      </c>
      <c r="B33" s="446" t="s">
        <v>692</v>
      </c>
      <c r="C33" s="446" t="s">
        <v>693</v>
      </c>
      <c r="D33" s="485"/>
      <c r="E33" s="475" t="s">
        <v>694</v>
      </c>
      <c r="F33" s="485" t="s">
        <v>620</v>
      </c>
      <c r="G33" s="446" t="s">
        <v>709</v>
      </c>
      <c r="H33" s="446" t="s">
        <v>710</v>
      </c>
      <c r="I33" s="442" t="s">
        <v>711</v>
      </c>
      <c r="J33" s="443"/>
      <c r="K33" s="474" t="s">
        <v>712</v>
      </c>
      <c r="L33" s="443" t="s">
        <v>713</v>
      </c>
      <c r="M33" s="444" t="s">
        <v>473</v>
      </c>
      <c r="N33" s="444" t="s">
        <v>619</v>
      </c>
      <c r="O33" s="444"/>
      <c r="P33" s="444" t="s">
        <v>794</v>
      </c>
      <c r="Q33" s="444"/>
      <c r="R33" s="446" t="str">
        <f t="shared" si="0"/>
        <v>E77400115.716500</v>
      </c>
      <c r="S33" s="446"/>
    </row>
    <row r="34" spans="1:19" s="445" customFormat="1" ht="18" hidden="1" customHeight="1" x14ac:dyDescent="0.2">
      <c r="A34" s="446" t="s">
        <v>691</v>
      </c>
      <c r="B34" s="446" t="s">
        <v>692</v>
      </c>
      <c r="C34" s="446" t="s">
        <v>693</v>
      </c>
      <c r="D34" s="485"/>
      <c r="E34" s="475" t="s">
        <v>694</v>
      </c>
      <c r="F34" s="485" t="s">
        <v>620</v>
      </c>
      <c r="G34" s="446" t="s">
        <v>714</v>
      </c>
      <c r="H34" s="446" t="s">
        <v>715</v>
      </c>
      <c r="I34" s="442" t="s">
        <v>716</v>
      </c>
      <c r="J34" s="443"/>
      <c r="K34" s="474" t="s">
        <v>717</v>
      </c>
      <c r="L34" s="443" t="s">
        <v>718</v>
      </c>
      <c r="M34" s="444" t="s">
        <v>473</v>
      </c>
      <c r="N34" s="444" t="s">
        <v>619</v>
      </c>
      <c r="O34" s="444"/>
      <c r="P34" s="444" t="s">
        <v>794</v>
      </c>
      <c r="Q34" s="444"/>
      <c r="R34" s="446" t="str">
        <f t="shared" si="0"/>
        <v>E77400115.716500</v>
      </c>
      <c r="S34" s="446"/>
    </row>
    <row r="35" spans="1:19" s="445" customFormat="1" ht="18" hidden="1" customHeight="1" x14ac:dyDescent="0.2">
      <c r="A35" s="446" t="s">
        <v>691</v>
      </c>
      <c r="B35" s="446" t="s">
        <v>692</v>
      </c>
      <c r="C35" s="446" t="s">
        <v>693</v>
      </c>
      <c r="D35" s="485"/>
      <c r="E35" s="475" t="s">
        <v>694</v>
      </c>
      <c r="F35" s="485" t="s">
        <v>620</v>
      </c>
      <c r="G35" s="446" t="s">
        <v>719</v>
      </c>
      <c r="H35" s="446" t="s">
        <v>720</v>
      </c>
      <c r="I35" s="442" t="s">
        <v>721</v>
      </c>
      <c r="J35" s="443"/>
      <c r="K35" s="474" t="s">
        <v>722</v>
      </c>
      <c r="L35" s="443" t="s">
        <v>33</v>
      </c>
      <c r="M35" s="444" t="s">
        <v>473</v>
      </c>
      <c r="N35" s="444" t="s">
        <v>619</v>
      </c>
      <c r="O35" s="444"/>
      <c r="P35" s="444" t="s">
        <v>794</v>
      </c>
      <c r="Q35" s="444"/>
      <c r="R35" s="446" t="str">
        <f t="shared" si="0"/>
        <v>E77400115.716500</v>
      </c>
      <c r="S35" s="446"/>
    </row>
    <row r="36" spans="1:19" s="445" customFormat="1" ht="18" hidden="1" customHeight="1" x14ac:dyDescent="0.2">
      <c r="A36" s="446" t="s">
        <v>691</v>
      </c>
      <c r="B36" s="446" t="s">
        <v>692</v>
      </c>
      <c r="C36" s="446" t="s">
        <v>693</v>
      </c>
      <c r="D36" s="485"/>
      <c r="E36" s="475" t="s">
        <v>694</v>
      </c>
      <c r="F36" s="485" t="s">
        <v>620</v>
      </c>
      <c r="G36" s="446" t="s">
        <v>723</v>
      </c>
      <c r="H36" s="446" t="s">
        <v>724</v>
      </c>
      <c r="I36" s="442" t="s">
        <v>725</v>
      </c>
      <c r="J36" s="443"/>
      <c r="K36" s="474"/>
      <c r="L36" s="443" t="s">
        <v>726</v>
      </c>
      <c r="M36" s="444" t="s">
        <v>473</v>
      </c>
      <c r="N36" s="444" t="s">
        <v>619</v>
      </c>
      <c r="O36" s="444"/>
      <c r="P36" s="444" t="s">
        <v>794</v>
      </c>
      <c r="Q36" s="444"/>
      <c r="R36" s="446" t="str">
        <f t="shared" si="0"/>
        <v>E77400115.716500</v>
      </c>
      <c r="S36" s="446"/>
    </row>
    <row r="37" spans="1:19" s="445" customFormat="1" ht="18" hidden="1" customHeight="1" x14ac:dyDescent="0.2">
      <c r="A37" s="446" t="s">
        <v>691</v>
      </c>
      <c r="B37" s="446" t="s">
        <v>692</v>
      </c>
      <c r="C37" s="446" t="s">
        <v>693</v>
      </c>
      <c r="D37" s="485"/>
      <c r="E37" s="475" t="s">
        <v>694</v>
      </c>
      <c r="F37" s="485" t="s">
        <v>620</v>
      </c>
      <c r="G37" s="446" t="s">
        <v>727</v>
      </c>
      <c r="H37" s="446" t="s">
        <v>728</v>
      </c>
      <c r="I37" s="442" t="s">
        <v>729</v>
      </c>
      <c r="J37" s="443"/>
      <c r="K37" s="474" t="s">
        <v>730</v>
      </c>
      <c r="L37" s="443" t="s">
        <v>731</v>
      </c>
      <c r="M37" s="444" t="s">
        <v>473</v>
      </c>
      <c r="N37" s="444" t="s">
        <v>619</v>
      </c>
      <c r="O37" s="444"/>
      <c r="P37" s="444" t="s">
        <v>794</v>
      </c>
      <c r="Q37" s="444"/>
      <c r="R37" s="446" t="str">
        <f t="shared" si="0"/>
        <v>E77400115.716500</v>
      </c>
      <c r="S37" s="446"/>
    </row>
    <row r="38" spans="1:19" s="445" customFormat="1" ht="18" hidden="1" customHeight="1" x14ac:dyDescent="0.2">
      <c r="A38" s="446" t="s">
        <v>691</v>
      </c>
      <c r="B38" s="446" t="s">
        <v>692</v>
      </c>
      <c r="C38" s="446" t="s">
        <v>693</v>
      </c>
      <c r="D38" s="485"/>
      <c r="E38" s="475" t="s">
        <v>694</v>
      </c>
      <c r="F38" s="485" t="s">
        <v>620</v>
      </c>
      <c r="G38" s="446" t="s">
        <v>732</v>
      </c>
      <c r="H38" s="446" t="s">
        <v>733</v>
      </c>
      <c r="I38" s="442" t="s">
        <v>734</v>
      </c>
      <c r="J38" s="443"/>
      <c r="K38" s="474" t="s">
        <v>735</v>
      </c>
      <c r="L38" s="443" t="s">
        <v>736</v>
      </c>
      <c r="M38" s="444" t="s">
        <v>473</v>
      </c>
      <c r="N38" s="444" t="s">
        <v>619</v>
      </c>
      <c r="O38" s="444"/>
      <c r="P38" s="444" t="s">
        <v>794</v>
      </c>
      <c r="Q38" s="444"/>
      <c r="R38" s="446" t="str">
        <f t="shared" si="0"/>
        <v>E77400115.716500</v>
      </c>
      <c r="S38" s="446"/>
    </row>
    <row r="39" spans="1:19" s="445" customFormat="1" ht="18" hidden="1" customHeight="1" x14ac:dyDescent="0.2">
      <c r="A39" s="446" t="s">
        <v>691</v>
      </c>
      <c r="B39" s="446" t="s">
        <v>692</v>
      </c>
      <c r="C39" s="446" t="s">
        <v>693</v>
      </c>
      <c r="D39" s="485"/>
      <c r="E39" s="475" t="s">
        <v>694</v>
      </c>
      <c r="F39" s="485" t="s">
        <v>620</v>
      </c>
      <c r="G39" s="446" t="s">
        <v>737</v>
      </c>
      <c r="H39" s="446" t="s">
        <v>738</v>
      </c>
      <c r="I39" s="442" t="s">
        <v>739</v>
      </c>
      <c r="J39" s="443"/>
      <c r="K39" s="474" t="s">
        <v>740</v>
      </c>
      <c r="L39" s="443" t="s">
        <v>741</v>
      </c>
      <c r="M39" s="444" t="s">
        <v>473</v>
      </c>
      <c r="N39" s="444" t="s">
        <v>619</v>
      </c>
      <c r="O39" s="444"/>
      <c r="P39" s="444" t="s">
        <v>794</v>
      </c>
      <c r="Q39" s="444"/>
      <c r="R39" s="446" t="str">
        <f t="shared" si="0"/>
        <v>E77400115.716500</v>
      </c>
      <c r="S39" s="446"/>
    </row>
    <row r="40" spans="1:19" s="445" customFormat="1" ht="18" hidden="1" customHeight="1" x14ac:dyDescent="0.2">
      <c r="A40" s="446" t="s">
        <v>691</v>
      </c>
      <c r="B40" s="446" t="s">
        <v>692</v>
      </c>
      <c r="C40" s="446" t="s">
        <v>693</v>
      </c>
      <c r="D40" s="485"/>
      <c r="E40" s="475" t="s">
        <v>694</v>
      </c>
      <c r="F40" s="485" t="s">
        <v>620</v>
      </c>
      <c r="G40" s="446" t="s">
        <v>742</v>
      </c>
      <c r="H40" s="446" t="s">
        <v>743</v>
      </c>
      <c r="I40" s="442" t="s">
        <v>744</v>
      </c>
      <c r="J40" s="443"/>
      <c r="K40" s="474" t="s">
        <v>745</v>
      </c>
      <c r="L40" s="443" t="s">
        <v>746</v>
      </c>
      <c r="M40" s="444" t="s">
        <v>473</v>
      </c>
      <c r="N40" s="444" t="s">
        <v>619</v>
      </c>
      <c r="O40" s="444"/>
      <c r="P40" s="444" t="s">
        <v>794</v>
      </c>
      <c r="Q40" s="444"/>
      <c r="R40" s="446" t="str">
        <f t="shared" si="0"/>
        <v>E77400115.716500</v>
      </c>
      <c r="S40" s="446"/>
    </row>
    <row r="41" spans="1:19" s="445" customFormat="1" ht="18" hidden="1" customHeight="1" x14ac:dyDescent="0.2">
      <c r="A41" s="446" t="s">
        <v>691</v>
      </c>
      <c r="B41" s="446" t="s">
        <v>692</v>
      </c>
      <c r="C41" s="446" t="s">
        <v>693</v>
      </c>
      <c r="D41" s="485"/>
      <c r="E41" s="475" t="s">
        <v>694</v>
      </c>
      <c r="F41" s="485" t="s">
        <v>620</v>
      </c>
      <c r="G41" s="446" t="s">
        <v>747</v>
      </c>
      <c r="H41" s="446" t="s">
        <v>748</v>
      </c>
      <c r="I41" s="442" t="s">
        <v>749</v>
      </c>
      <c r="J41" s="443"/>
      <c r="K41" s="474"/>
      <c r="L41" s="443" t="s">
        <v>750</v>
      </c>
      <c r="M41" s="444" t="s">
        <v>473</v>
      </c>
      <c r="N41" s="444" t="s">
        <v>619</v>
      </c>
      <c r="O41" s="444"/>
      <c r="P41" s="444" t="s">
        <v>794</v>
      </c>
      <c r="Q41" s="444"/>
      <c r="R41" s="446" t="str">
        <f t="shared" si="0"/>
        <v>E77400115.716500</v>
      </c>
      <c r="S41" s="446"/>
    </row>
    <row r="42" spans="1:19" s="445" customFormat="1" ht="18" hidden="1" customHeight="1" x14ac:dyDescent="0.2">
      <c r="A42" s="446" t="s">
        <v>691</v>
      </c>
      <c r="B42" s="446" t="s">
        <v>692</v>
      </c>
      <c r="C42" s="446" t="s">
        <v>693</v>
      </c>
      <c r="D42" s="485"/>
      <c r="E42" s="475" t="s">
        <v>694</v>
      </c>
      <c r="F42" s="485" t="s">
        <v>620</v>
      </c>
      <c r="G42" s="446" t="s">
        <v>751</v>
      </c>
      <c r="H42" s="446" t="s">
        <v>752</v>
      </c>
      <c r="I42" s="442" t="s">
        <v>753</v>
      </c>
      <c r="J42" s="443"/>
      <c r="K42" s="474"/>
      <c r="L42" s="443" t="s">
        <v>431</v>
      </c>
      <c r="M42" s="444" t="s">
        <v>473</v>
      </c>
      <c r="N42" s="444" t="s">
        <v>619</v>
      </c>
      <c r="O42" s="444"/>
      <c r="P42" s="444" t="s">
        <v>794</v>
      </c>
      <c r="Q42" s="444"/>
      <c r="R42" s="446" t="str">
        <f t="shared" si="0"/>
        <v>E77400115.716500</v>
      </c>
      <c r="S42" s="446"/>
    </row>
    <row r="43" spans="1:19" s="445" customFormat="1" ht="18" hidden="1" customHeight="1" x14ac:dyDescent="0.2">
      <c r="A43" s="446" t="s">
        <v>691</v>
      </c>
      <c r="B43" s="446" t="s">
        <v>692</v>
      </c>
      <c r="C43" s="446" t="s">
        <v>693</v>
      </c>
      <c r="D43" s="485"/>
      <c r="E43" s="475" t="s">
        <v>694</v>
      </c>
      <c r="F43" s="485" t="s">
        <v>620</v>
      </c>
      <c r="G43" s="446" t="s">
        <v>754</v>
      </c>
      <c r="H43" s="446" t="s">
        <v>755</v>
      </c>
      <c r="I43" s="442" t="s">
        <v>756</v>
      </c>
      <c r="J43" s="443"/>
      <c r="K43" s="474"/>
      <c r="L43" s="443" t="s">
        <v>757</v>
      </c>
      <c r="M43" s="444" t="s">
        <v>473</v>
      </c>
      <c r="N43" s="444" t="s">
        <v>619</v>
      </c>
      <c r="O43" s="444"/>
      <c r="P43" s="444" t="s">
        <v>794</v>
      </c>
      <c r="Q43" s="444"/>
      <c r="R43" s="446" t="str">
        <f t="shared" si="0"/>
        <v>E77400115.716500</v>
      </c>
      <c r="S43" s="446"/>
    </row>
    <row r="44" spans="1:19" s="445" customFormat="1" ht="18" hidden="1" customHeight="1" x14ac:dyDescent="0.2">
      <c r="A44" s="446" t="s">
        <v>691</v>
      </c>
      <c r="B44" s="446" t="s">
        <v>692</v>
      </c>
      <c r="C44" s="446" t="s">
        <v>693</v>
      </c>
      <c r="D44" s="485"/>
      <c r="E44" s="475" t="s">
        <v>694</v>
      </c>
      <c r="F44" s="485" t="s">
        <v>620</v>
      </c>
      <c r="G44" s="446" t="s">
        <v>758</v>
      </c>
      <c r="H44" s="446" t="s">
        <v>759</v>
      </c>
      <c r="I44" s="442" t="s">
        <v>760</v>
      </c>
      <c r="J44" s="443"/>
      <c r="K44" s="474"/>
      <c r="L44" s="443" t="s">
        <v>761</v>
      </c>
      <c r="M44" s="444" t="s">
        <v>473</v>
      </c>
      <c r="N44" s="444" t="s">
        <v>619</v>
      </c>
      <c r="O44" s="444"/>
      <c r="P44" s="444" t="s">
        <v>794</v>
      </c>
      <c r="Q44" s="444"/>
      <c r="R44" s="446" t="str">
        <f t="shared" si="0"/>
        <v>E77400115.716500</v>
      </c>
      <c r="S44" s="446"/>
    </row>
    <row r="45" spans="1:19" s="445" customFormat="1" ht="18" hidden="1" customHeight="1" x14ac:dyDescent="0.2">
      <c r="A45" s="446" t="s">
        <v>691</v>
      </c>
      <c r="B45" s="446" t="s">
        <v>692</v>
      </c>
      <c r="C45" s="446" t="s">
        <v>693</v>
      </c>
      <c r="D45" s="485"/>
      <c r="E45" s="475" t="s">
        <v>694</v>
      </c>
      <c r="F45" s="485" t="s">
        <v>620</v>
      </c>
      <c r="G45" s="446" t="s">
        <v>762</v>
      </c>
      <c r="H45" s="446" t="s">
        <v>763</v>
      </c>
      <c r="I45" s="442" t="s">
        <v>764</v>
      </c>
      <c r="J45" s="443"/>
      <c r="K45" s="474" t="s">
        <v>765</v>
      </c>
      <c r="L45" s="443" t="s">
        <v>766</v>
      </c>
      <c r="M45" s="444" t="s">
        <v>473</v>
      </c>
      <c r="N45" s="444" t="s">
        <v>619</v>
      </c>
      <c r="O45" s="444"/>
      <c r="P45" s="444" t="s">
        <v>794</v>
      </c>
      <c r="Q45" s="444"/>
      <c r="R45" s="446" t="str">
        <f t="shared" si="0"/>
        <v>E77400115.716500</v>
      </c>
      <c r="S45" s="446"/>
    </row>
    <row r="46" spans="1:19" s="445" customFormat="1" ht="18" hidden="1" customHeight="1" x14ac:dyDescent="0.2">
      <c r="A46" s="446" t="s">
        <v>691</v>
      </c>
      <c r="B46" s="446" t="s">
        <v>692</v>
      </c>
      <c r="C46" s="446" t="s">
        <v>693</v>
      </c>
      <c r="D46" s="485"/>
      <c r="E46" s="475" t="s">
        <v>694</v>
      </c>
      <c r="F46" s="485" t="s">
        <v>620</v>
      </c>
      <c r="G46" s="446" t="s">
        <v>767</v>
      </c>
      <c r="H46" s="446" t="s">
        <v>768</v>
      </c>
      <c r="I46" s="442" t="s">
        <v>769</v>
      </c>
      <c r="J46" s="443"/>
      <c r="K46" s="474"/>
      <c r="L46" s="443" t="s">
        <v>620</v>
      </c>
      <c r="M46" s="444" t="s">
        <v>473</v>
      </c>
      <c r="N46" s="444" t="s">
        <v>619</v>
      </c>
      <c r="O46" s="444"/>
      <c r="P46" s="444" t="s">
        <v>794</v>
      </c>
      <c r="Q46" s="444"/>
      <c r="R46" s="446" t="str">
        <f t="shared" si="0"/>
        <v>E77400115.716500</v>
      </c>
      <c r="S46" s="446"/>
    </row>
    <row r="47" spans="1:19" s="445" customFormat="1" ht="18" hidden="1" customHeight="1" x14ac:dyDescent="0.2">
      <c r="A47" s="446" t="s">
        <v>691</v>
      </c>
      <c r="B47" s="446" t="s">
        <v>692</v>
      </c>
      <c r="C47" s="446" t="s">
        <v>693</v>
      </c>
      <c r="D47" s="485"/>
      <c r="E47" s="475" t="s">
        <v>694</v>
      </c>
      <c r="F47" s="485" t="s">
        <v>620</v>
      </c>
      <c r="G47" s="446" t="s">
        <v>770</v>
      </c>
      <c r="H47" s="446" t="s">
        <v>771</v>
      </c>
      <c r="I47" s="442" t="s">
        <v>772</v>
      </c>
      <c r="J47" s="443"/>
      <c r="K47" s="474" t="s">
        <v>773</v>
      </c>
      <c r="L47" s="443" t="s">
        <v>620</v>
      </c>
      <c r="M47" s="444" t="s">
        <v>473</v>
      </c>
      <c r="N47" s="444" t="s">
        <v>619</v>
      </c>
      <c r="O47" s="444"/>
      <c r="P47" s="444" t="s">
        <v>794</v>
      </c>
      <c r="Q47" s="444"/>
      <c r="R47" s="446" t="str">
        <f t="shared" si="0"/>
        <v>E77400115.716500</v>
      </c>
      <c r="S47" s="446"/>
    </row>
    <row r="48" spans="1:19" s="445" customFormat="1" ht="18" hidden="1" customHeight="1" x14ac:dyDescent="0.2">
      <c r="A48" s="446" t="s">
        <v>615</v>
      </c>
      <c r="B48" s="446" t="s">
        <v>774</v>
      </c>
      <c r="C48" s="446" t="s">
        <v>769</v>
      </c>
      <c r="D48" s="485"/>
      <c r="E48" s="475"/>
      <c r="F48" s="485" t="s">
        <v>620</v>
      </c>
      <c r="G48" s="446" t="s">
        <v>616</v>
      </c>
      <c r="H48" s="446" t="s">
        <v>775</v>
      </c>
      <c r="I48" s="442" t="s">
        <v>693</v>
      </c>
      <c r="J48" s="443"/>
      <c r="K48" s="474" t="s">
        <v>694</v>
      </c>
      <c r="L48" s="443" t="s">
        <v>620</v>
      </c>
      <c r="M48" s="444" t="s">
        <v>473</v>
      </c>
      <c r="N48" s="444" t="s">
        <v>619</v>
      </c>
      <c r="O48" s="444"/>
      <c r="P48" s="444" t="s">
        <v>794</v>
      </c>
      <c r="Q48" s="444"/>
      <c r="R48" s="446" t="str">
        <f t="shared" ref="R48:R55" si="1">CONCATENATE(N48,".",P48)</f>
        <v>E77400115.716500</v>
      </c>
      <c r="S48" s="446"/>
    </row>
    <row r="49" spans="1:19" s="445" customFormat="1" ht="18" hidden="1" customHeight="1" x14ac:dyDescent="0.2">
      <c r="A49" s="446" t="s">
        <v>615</v>
      </c>
      <c r="B49" s="446" t="s">
        <v>774</v>
      </c>
      <c r="C49" s="446" t="s">
        <v>769</v>
      </c>
      <c r="D49" s="485"/>
      <c r="E49" s="475"/>
      <c r="F49" s="485" t="s">
        <v>620</v>
      </c>
      <c r="G49" s="446" t="s">
        <v>762</v>
      </c>
      <c r="H49" s="446" t="s">
        <v>763</v>
      </c>
      <c r="I49" s="442" t="s">
        <v>776</v>
      </c>
      <c r="J49" s="443"/>
      <c r="K49" s="474" t="s">
        <v>765</v>
      </c>
      <c r="L49" s="443" t="s">
        <v>766</v>
      </c>
      <c r="M49" s="444" t="s">
        <v>473</v>
      </c>
      <c r="N49" s="444" t="s">
        <v>619</v>
      </c>
      <c r="O49" s="444"/>
      <c r="P49" s="444" t="s">
        <v>794</v>
      </c>
      <c r="Q49" s="444"/>
      <c r="R49" s="446" t="str">
        <f t="shared" si="1"/>
        <v>E77400115.716500</v>
      </c>
      <c r="S49" s="446"/>
    </row>
    <row r="50" spans="1:19" s="445" customFormat="1" ht="18" hidden="1" customHeight="1" x14ac:dyDescent="0.2">
      <c r="A50" s="446" t="s">
        <v>615</v>
      </c>
      <c r="B50" s="446" t="s">
        <v>774</v>
      </c>
      <c r="C50" s="446" t="s">
        <v>769</v>
      </c>
      <c r="D50" s="485"/>
      <c r="E50" s="475"/>
      <c r="F50" s="485" t="s">
        <v>620</v>
      </c>
      <c r="G50" s="446" t="s">
        <v>723</v>
      </c>
      <c r="H50" s="446" t="s">
        <v>724</v>
      </c>
      <c r="I50" s="442" t="s">
        <v>777</v>
      </c>
      <c r="J50" s="443"/>
      <c r="K50" s="474"/>
      <c r="L50" s="443" t="s">
        <v>726</v>
      </c>
      <c r="M50" s="444" t="s">
        <v>473</v>
      </c>
      <c r="N50" s="444" t="s">
        <v>619</v>
      </c>
      <c r="O50" s="444"/>
      <c r="P50" s="444" t="s">
        <v>794</v>
      </c>
      <c r="Q50" s="444"/>
      <c r="R50" s="446" t="str">
        <f t="shared" si="1"/>
        <v>E77400115.716500</v>
      </c>
      <c r="S50" s="446"/>
    </row>
    <row r="51" spans="1:19" s="445" customFormat="1" ht="18" hidden="1" customHeight="1" x14ac:dyDescent="0.2">
      <c r="A51" s="446" t="s">
        <v>615</v>
      </c>
      <c r="B51" s="446" t="s">
        <v>774</v>
      </c>
      <c r="C51" s="446" t="s">
        <v>769</v>
      </c>
      <c r="D51" s="485"/>
      <c r="E51" s="475"/>
      <c r="F51" s="485" t="s">
        <v>620</v>
      </c>
      <c r="G51" s="446" t="s">
        <v>754</v>
      </c>
      <c r="H51" s="446" t="s">
        <v>755</v>
      </c>
      <c r="I51" s="442" t="s">
        <v>756</v>
      </c>
      <c r="J51" s="443"/>
      <c r="K51" s="474"/>
      <c r="L51" s="443" t="s">
        <v>757</v>
      </c>
      <c r="M51" s="444" t="s">
        <v>473</v>
      </c>
      <c r="N51" s="444" t="s">
        <v>619</v>
      </c>
      <c r="O51" s="444"/>
      <c r="P51" s="444" t="s">
        <v>794</v>
      </c>
      <c r="Q51" s="444"/>
      <c r="R51" s="446" t="str">
        <f t="shared" si="1"/>
        <v>E77400115.716500</v>
      </c>
      <c r="S51" s="446"/>
    </row>
    <row r="52" spans="1:19" s="368" customFormat="1" ht="18" hidden="1" customHeight="1" x14ac:dyDescent="0.25">
      <c r="A52" s="446" t="s">
        <v>801</v>
      </c>
      <c r="B52" s="446" t="s">
        <v>802</v>
      </c>
      <c r="C52" s="446" t="s">
        <v>803</v>
      </c>
      <c r="D52" s="446"/>
      <c r="E52" s="446"/>
      <c r="F52" s="446" t="s">
        <v>620</v>
      </c>
      <c r="G52" s="446" t="s">
        <v>804</v>
      </c>
      <c r="H52" s="446" t="s">
        <v>805</v>
      </c>
      <c r="I52" s="446" t="s">
        <v>806</v>
      </c>
      <c r="J52" s="446" t="s">
        <v>9</v>
      </c>
      <c r="K52" s="446" t="s">
        <v>807</v>
      </c>
      <c r="L52" s="446" t="s">
        <v>89</v>
      </c>
      <c r="M52" s="446" t="s">
        <v>471</v>
      </c>
      <c r="N52" s="446" t="s">
        <v>808</v>
      </c>
      <c r="O52" s="446" t="s">
        <v>809</v>
      </c>
      <c r="P52" s="446" t="s">
        <v>617</v>
      </c>
      <c r="Q52" s="446"/>
      <c r="R52" s="446" t="str">
        <f t="shared" si="1"/>
        <v>E75200210.665600</v>
      </c>
    </row>
    <row r="53" spans="1:19" s="446" customFormat="1" ht="18" hidden="1" customHeight="1" x14ac:dyDescent="0.25">
      <c r="A53" s="446" t="s">
        <v>816</v>
      </c>
      <c r="B53" s="446" t="s">
        <v>810</v>
      </c>
      <c r="C53" s="446" t="s">
        <v>811</v>
      </c>
      <c r="D53" s="446" t="s">
        <v>812</v>
      </c>
      <c r="E53" s="446" t="s">
        <v>813</v>
      </c>
      <c r="F53" s="446" t="s">
        <v>89</v>
      </c>
      <c r="G53" s="446" t="s">
        <v>416</v>
      </c>
      <c r="H53" s="446" t="s">
        <v>451</v>
      </c>
      <c r="I53" s="446" t="s">
        <v>418</v>
      </c>
      <c r="J53" s="446" t="s">
        <v>402</v>
      </c>
      <c r="K53" s="446" t="s">
        <v>814</v>
      </c>
      <c r="L53" s="446" t="s">
        <v>89</v>
      </c>
      <c r="M53" s="446" t="s">
        <v>471</v>
      </c>
      <c r="N53" s="446" t="s">
        <v>584</v>
      </c>
      <c r="O53" s="446" t="s">
        <v>815</v>
      </c>
      <c r="P53" s="446" t="s">
        <v>617</v>
      </c>
      <c r="R53" s="446" t="str">
        <f t="shared" si="1"/>
        <v>E75200112.665600</v>
      </c>
    </row>
    <row r="54" spans="1:19" s="446" customFormat="1" ht="18" customHeight="1" x14ac:dyDescent="0.25">
      <c r="A54" s="446" t="s">
        <v>416</v>
      </c>
      <c r="B54" s="446" t="s">
        <v>451</v>
      </c>
      <c r="C54" s="446" t="s">
        <v>418</v>
      </c>
      <c r="D54" s="446" t="s">
        <v>402</v>
      </c>
      <c r="E54" s="446" t="s">
        <v>814</v>
      </c>
      <c r="F54" s="446" t="s">
        <v>89</v>
      </c>
      <c r="G54" s="446" t="s">
        <v>817</v>
      </c>
      <c r="H54" s="446" t="s">
        <v>820</v>
      </c>
      <c r="I54" s="446" t="s">
        <v>821</v>
      </c>
      <c r="J54" s="446" t="s">
        <v>822</v>
      </c>
      <c r="K54" s="446" t="s">
        <v>823</v>
      </c>
      <c r="L54" s="446" t="s">
        <v>469</v>
      </c>
      <c r="M54" s="446" t="s">
        <v>471</v>
      </c>
      <c r="O54" s="446" t="s">
        <v>819</v>
      </c>
      <c r="P54" s="446" t="s">
        <v>617</v>
      </c>
      <c r="Q54" s="446" t="s">
        <v>818</v>
      </c>
    </row>
    <row r="55" spans="1:19" s="446" customFormat="1" ht="18" hidden="1" customHeight="1" x14ac:dyDescent="0.25">
      <c r="A55" s="446" t="s">
        <v>824</v>
      </c>
      <c r="B55" s="446" t="s">
        <v>825</v>
      </c>
      <c r="C55" s="446" t="s">
        <v>826</v>
      </c>
      <c r="D55" s="446" t="s">
        <v>827</v>
      </c>
      <c r="E55" s="446" t="s">
        <v>828</v>
      </c>
      <c r="F55" s="446" t="s">
        <v>89</v>
      </c>
      <c r="G55" s="446" t="s">
        <v>829</v>
      </c>
      <c r="H55" s="446" t="s">
        <v>830</v>
      </c>
      <c r="I55" s="446" t="s">
        <v>831</v>
      </c>
      <c r="J55" s="446" t="s">
        <v>834</v>
      </c>
      <c r="K55" s="446" t="s">
        <v>833</v>
      </c>
      <c r="L55" s="446" t="s">
        <v>832</v>
      </c>
      <c r="M55" s="446" t="s">
        <v>471</v>
      </c>
      <c r="N55" s="446" t="s">
        <v>808</v>
      </c>
      <c r="P55" s="446" t="s">
        <v>617</v>
      </c>
      <c r="R55" s="446" t="str">
        <f t="shared" si="1"/>
        <v>E75200210.665600</v>
      </c>
    </row>
    <row r="56" spans="1:19" s="446" customFormat="1" ht="18" hidden="1" customHeight="1" x14ac:dyDescent="0.25">
      <c r="A56" s="446" t="s">
        <v>835</v>
      </c>
      <c r="B56" s="446" t="s">
        <v>836</v>
      </c>
      <c r="C56" s="446" t="s">
        <v>837</v>
      </c>
      <c r="D56" s="446" t="s">
        <v>838</v>
      </c>
      <c r="E56" s="446" t="s">
        <v>839</v>
      </c>
      <c r="F56" s="446" t="s">
        <v>89</v>
      </c>
      <c r="G56" s="446" t="s">
        <v>840</v>
      </c>
      <c r="H56" s="446" t="s">
        <v>830</v>
      </c>
      <c r="I56" s="446" t="s">
        <v>831</v>
      </c>
      <c r="J56" s="446" t="s">
        <v>834</v>
      </c>
      <c r="K56" s="446" t="s">
        <v>833</v>
      </c>
      <c r="L56" s="446" t="s">
        <v>832</v>
      </c>
      <c r="M56" s="446" t="s">
        <v>471</v>
      </c>
      <c r="N56" s="446" t="s">
        <v>808</v>
      </c>
      <c r="P56" s="446" t="s">
        <v>617</v>
      </c>
      <c r="R56" s="446" t="str">
        <f t="shared" ref="R56" si="2">CONCATENATE(N56,".",P56)</f>
        <v>E75200210.665600</v>
      </c>
    </row>
    <row r="57" spans="1:19" s="446" customFormat="1" ht="18" hidden="1" customHeight="1" x14ac:dyDescent="0.25">
      <c r="A57" s="446" t="s">
        <v>801</v>
      </c>
      <c r="B57" s="446" t="s">
        <v>841</v>
      </c>
      <c r="C57" s="446" t="s">
        <v>842</v>
      </c>
      <c r="D57" s="446" t="s">
        <v>409</v>
      </c>
      <c r="E57" s="446" t="s">
        <v>843</v>
      </c>
      <c r="F57" s="446" t="s">
        <v>89</v>
      </c>
      <c r="G57" s="446" t="s">
        <v>829</v>
      </c>
      <c r="H57" s="446" t="s">
        <v>830</v>
      </c>
      <c r="I57" s="446" t="s">
        <v>831</v>
      </c>
      <c r="J57" s="446" t="s">
        <v>834</v>
      </c>
      <c r="K57" s="446" t="s">
        <v>833</v>
      </c>
      <c r="L57" s="446" t="s">
        <v>832</v>
      </c>
      <c r="M57" s="446" t="s">
        <v>471</v>
      </c>
      <c r="N57" s="446" t="s">
        <v>808</v>
      </c>
      <c r="P57" s="446" t="s">
        <v>617</v>
      </c>
      <c r="R57" s="446" t="str">
        <f t="shared" ref="R57" si="3">CONCATENATE(N57,".",P57)</f>
        <v>E75200210.665600</v>
      </c>
    </row>
    <row r="58" spans="1:19" s="446" customFormat="1" ht="18" hidden="1" customHeight="1" x14ac:dyDescent="0.25">
      <c r="A58" s="446" t="s">
        <v>844</v>
      </c>
      <c r="C58" s="446" t="s">
        <v>845</v>
      </c>
      <c r="D58" s="446" t="s">
        <v>33</v>
      </c>
      <c r="E58" s="446" t="s">
        <v>846</v>
      </c>
      <c r="F58" s="446" t="s">
        <v>89</v>
      </c>
      <c r="G58" s="446" t="s">
        <v>829</v>
      </c>
      <c r="H58" s="446" t="s">
        <v>830</v>
      </c>
      <c r="I58" s="446" t="s">
        <v>831</v>
      </c>
      <c r="J58" s="446" t="s">
        <v>834</v>
      </c>
      <c r="K58" s="446" t="s">
        <v>833</v>
      </c>
      <c r="L58" s="446" t="s">
        <v>832</v>
      </c>
      <c r="M58" s="446" t="s">
        <v>471</v>
      </c>
      <c r="N58" s="446" t="s">
        <v>584</v>
      </c>
      <c r="P58" s="446" t="s">
        <v>617</v>
      </c>
      <c r="R58" s="446" t="str">
        <f t="shared" ref="R58" si="4">CONCATENATE(N58,".",P58)</f>
        <v>E75200112.665600</v>
      </c>
    </row>
    <row r="59" spans="1:19" s="446" customFormat="1" ht="18" hidden="1" customHeight="1" x14ac:dyDescent="0.25">
      <c r="A59" s="446" t="s">
        <v>824</v>
      </c>
      <c r="B59" s="446" t="s">
        <v>825</v>
      </c>
      <c r="C59" s="446" t="s">
        <v>826</v>
      </c>
      <c r="D59" s="446" t="s">
        <v>827</v>
      </c>
      <c r="E59" s="446" t="s">
        <v>828</v>
      </c>
      <c r="F59" s="446" t="s">
        <v>89</v>
      </c>
      <c r="G59" s="446" t="s">
        <v>847</v>
      </c>
      <c r="H59" s="446" t="s">
        <v>848</v>
      </c>
      <c r="I59" s="446" t="s">
        <v>849</v>
      </c>
      <c r="J59" s="446" t="s">
        <v>850</v>
      </c>
      <c r="K59" s="446" t="s">
        <v>851</v>
      </c>
      <c r="L59" s="446" t="s">
        <v>852</v>
      </c>
      <c r="M59" s="446" t="s">
        <v>856</v>
      </c>
      <c r="N59" s="483" t="s">
        <v>855</v>
      </c>
      <c r="P59" s="446" t="s">
        <v>617</v>
      </c>
      <c r="R59" s="446" t="str">
        <f t="shared" ref="R59" si="5">CONCATENATE(N59,".",P59)</f>
        <v>E20700210.665600</v>
      </c>
    </row>
    <row r="60" spans="1:19" s="446" customFormat="1" ht="18" hidden="1" customHeight="1" x14ac:dyDescent="0.25"/>
    <row r="61" spans="1:19" s="446" customFormat="1" ht="18" hidden="1" customHeight="1" x14ac:dyDescent="0.25"/>
    <row r="62" spans="1:19" s="446" customFormat="1" ht="18" hidden="1" customHeight="1" x14ac:dyDescent="0.25"/>
    <row r="63" spans="1:19" s="446" customFormat="1" ht="18" hidden="1" customHeight="1" x14ac:dyDescent="0.25">
      <c r="G63" s="446" t="s">
        <v>857</v>
      </c>
    </row>
    <row r="64" spans="1:19" s="446" customFormat="1" ht="18" hidden="1" customHeight="1" x14ac:dyDescent="0.25">
      <c r="G64" s="446" t="s">
        <v>858</v>
      </c>
    </row>
    <row r="65" s="446" customFormat="1" ht="18" hidden="1" customHeight="1" x14ac:dyDescent="0.25"/>
    <row r="66" s="446" customFormat="1" ht="18" hidden="1" customHeight="1" x14ac:dyDescent="0.25"/>
    <row r="67" s="446" customFormat="1" ht="18" hidden="1" customHeight="1" x14ac:dyDescent="0.25"/>
    <row r="68" s="446" customFormat="1" ht="18" hidden="1" customHeight="1" x14ac:dyDescent="0.25"/>
    <row r="69" s="446" customFormat="1" ht="18" hidden="1" customHeight="1" x14ac:dyDescent="0.25"/>
    <row r="70" s="446" customFormat="1" ht="18" hidden="1" customHeight="1" x14ac:dyDescent="0.25"/>
    <row r="71" s="446" customFormat="1" ht="18" hidden="1" customHeight="1" x14ac:dyDescent="0.25"/>
    <row r="72" s="446" customFormat="1" ht="18" hidden="1" customHeight="1" x14ac:dyDescent="0.25"/>
    <row r="73" s="446" customFormat="1" ht="18" hidden="1" customHeight="1" x14ac:dyDescent="0.25"/>
    <row r="74" s="446" customFormat="1" ht="18" hidden="1" customHeight="1" x14ac:dyDescent="0.25"/>
    <row r="75" s="446" customFormat="1" ht="18" hidden="1" customHeight="1" x14ac:dyDescent="0.25"/>
    <row r="76" s="446" customFormat="1" ht="18" hidden="1" customHeight="1" x14ac:dyDescent="0.25"/>
    <row r="77" s="446" customFormat="1" ht="18" hidden="1" customHeight="1" x14ac:dyDescent="0.25"/>
    <row r="78" s="446" customFormat="1" ht="18" hidden="1" customHeight="1" x14ac:dyDescent="0.25"/>
    <row r="79" s="446" customFormat="1" ht="18" hidden="1" customHeight="1" x14ac:dyDescent="0.25"/>
    <row r="80" s="446" customFormat="1" ht="18" hidden="1" customHeight="1" x14ac:dyDescent="0.25"/>
    <row r="81" s="446" customFormat="1" ht="18" hidden="1" customHeight="1" x14ac:dyDescent="0.25"/>
    <row r="82" s="446" customFormat="1" ht="18" hidden="1" customHeight="1" x14ac:dyDescent="0.25"/>
    <row r="83" s="446" customFormat="1" ht="18" hidden="1" customHeight="1" x14ac:dyDescent="0.25"/>
    <row r="84" s="446" customFormat="1" ht="18" hidden="1" customHeight="1" x14ac:dyDescent="0.25"/>
    <row r="85" s="446" customFormat="1" ht="18" hidden="1" customHeight="1" x14ac:dyDescent="0.25"/>
    <row r="86" s="446" customFormat="1" ht="18" hidden="1" customHeight="1" x14ac:dyDescent="0.25"/>
    <row r="87" s="446" customFormat="1" ht="18" hidden="1" customHeight="1" x14ac:dyDescent="0.25"/>
    <row r="88" s="446" customFormat="1" ht="18" hidden="1" customHeight="1" x14ac:dyDescent="0.25"/>
    <row r="89" s="446" customFormat="1" ht="18" hidden="1" customHeight="1" x14ac:dyDescent="0.25"/>
    <row r="90" s="446" customFormat="1" ht="18" hidden="1" customHeight="1" x14ac:dyDescent="0.25"/>
    <row r="91" s="446" customFormat="1" ht="18" hidden="1" customHeight="1" x14ac:dyDescent="0.25"/>
    <row r="92" s="446" customFormat="1" ht="18" hidden="1" customHeight="1" x14ac:dyDescent="0.25"/>
    <row r="93" s="446" customFormat="1" ht="18" hidden="1" customHeight="1" x14ac:dyDescent="0.25"/>
    <row r="94" s="446" customFormat="1" ht="18" hidden="1" customHeight="1" x14ac:dyDescent="0.25"/>
    <row r="95" s="446" customFormat="1" ht="18" hidden="1" customHeight="1" x14ac:dyDescent="0.25"/>
    <row r="96" s="446" customFormat="1" ht="18" hidden="1" customHeight="1" x14ac:dyDescent="0.25"/>
    <row r="97" s="446" customFormat="1" ht="18" hidden="1" customHeight="1" x14ac:dyDescent="0.25"/>
    <row r="98" s="446" customFormat="1" ht="18" hidden="1" customHeight="1" x14ac:dyDescent="0.25"/>
    <row r="99" s="446" customFormat="1" ht="18" hidden="1" customHeight="1" x14ac:dyDescent="0.25"/>
    <row r="100" s="446" customFormat="1" ht="18" hidden="1" customHeight="1" x14ac:dyDescent="0.25"/>
    <row r="101" s="446" customFormat="1" ht="18" hidden="1" customHeight="1" x14ac:dyDescent="0.25"/>
    <row r="102" s="446" customFormat="1" ht="18" hidden="1" customHeight="1" x14ac:dyDescent="0.25"/>
    <row r="103" s="446" customFormat="1" ht="18" hidden="1" customHeight="1" x14ac:dyDescent="0.25"/>
    <row r="104" s="446" customFormat="1" ht="18" hidden="1" customHeight="1" x14ac:dyDescent="0.25"/>
    <row r="105" s="446" customFormat="1" ht="18" hidden="1" customHeight="1" x14ac:dyDescent="0.25"/>
    <row r="106" s="446" customFormat="1" ht="18" hidden="1" customHeight="1" x14ac:dyDescent="0.25"/>
    <row r="107" s="446" customFormat="1" ht="18" hidden="1" customHeight="1" x14ac:dyDescent="0.25"/>
    <row r="108" s="446" customFormat="1" ht="18" hidden="1" customHeight="1" x14ac:dyDescent="0.25"/>
    <row r="109" s="446" customFormat="1" ht="18" hidden="1" customHeight="1" x14ac:dyDescent="0.25"/>
    <row r="110" s="446" customFormat="1" ht="18" hidden="1" customHeight="1" x14ac:dyDescent="0.25"/>
    <row r="111" s="446" customFormat="1" ht="18" hidden="1" customHeight="1" x14ac:dyDescent="0.25"/>
    <row r="112" s="446" customFormat="1" ht="18" hidden="1" customHeight="1" x14ac:dyDescent="0.25"/>
    <row r="113" s="446" customFormat="1" ht="18" hidden="1" customHeight="1" x14ac:dyDescent="0.25"/>
    <row r="114" s="446" customFormat="1" ht="18" hidden="1" customHeight="1" x14ac:dyDescent="0.25"/>
    <row r="115" s="446" customFormat="1" ht="18" hidden="1" customHeight="1" x14ac:dyDescent="0.25"/>
    <row r="116" s="446" customFormat="1" ht="18" hidden="1" customHeight="1" x14ac:dyDescent="0.25"/>
    <row r="117" s="446" customFormat="1" ht="18" hidden="1" customHeight="1" x14ac:dyDescent="0.25"/>
    <row r="118" s="446" customFormat="1" ht="18" hidden="1" customHeight="1" x14ac:dyDescent="0.25"/>
    <row r="119" s="446" customFormat="1" ht="18" hidden="1" customHeight="1" x14ac:dyDescent="0.25"/>
    <row r="120" s="446" customFormat="1" ht="18" hidden="1" customHeight="1" x14ac:dyDescent="0.25"/>
    <row r="121" s="446" customFormat="1" ht="18" hidden="1" customHeight="1" x14ac:dyDescent="0.25"/>
    <row r="122" s="446" customFormat="1" ht="18" hidden="1" customHeight="1" x14ac:dyDescent="0.25"/>
    <row r="123" s="446" customFormat="1" ht="18" hidden="1" customHeight="1" x14ac:dyDescent="0.25"/>
    <row r="124" s="446" customFormat="1" ht="18" hidden="1" customHeight="1" x14ac:dyDescent="0.25"/>
    <row r="125" s="446" customFormat="1" ht="18" hidden="1" customHeight="1" x14ac:dyDescent="0.25"/>
    <row r="126" s="446" customFormat="1" ht="18" hidden="1" customHeight="1" x14ac:dyDescent="0.25"/>
    <row r="127" s="446" customFormat="1" ht="18" hidden="1" customHeight="1" x14ac:dyDescent="0.25"/>
    <row r="128" s="446" customFormat="1" ht="18" hidden="1" customHeight="1" x14ac:dyDescent="0.25"/>
    <row r="129" s="446" customFormat="1" ht="18" hidden="1" customHeight="1" x14ac:dyDescent="0.25"/>
    <row r="130" s="446" customFormat="1" ht="18" hidden="1" customHeight="1" x14ac:dyDescent="0.25"/>
    <row r="131" s="446" customFormat="1" ht="18" hidden="1" customHeight="1" x14ac:dyDescent="0.25"/>
    <row r="132" s="446" customFormat="1" ht="18" hidden="1" customHeight="1" x14ac:dyDescent="0.25"/>
    <row r="133" s="446" customFormat="1" ht="18" hidden="1" customHeight="1" x14ac:dyDescent="0.25"/>
    <row r="134" s="446" customFormat="1" ht="18" hidden="1" customHeight="1" x14ac:dyDescent="0.25"/>
    <row r="135" s="446" customFormat="1" ht="18" hidden="1" customHeight="1" x14ac:dyDescent="0.25"/>
    <row r="136" s="446" customFormat="1" ht="18" hidden="1" customHeight="1" x14ac:dyDescent="0.25"/>
    <row r="137" s="446" customFormat="1" ht="18" hidden="1" customHeight="1" x14ac:dyDescent="0.25"/>
    <row r="138" s="446" customFormat="1" ht="18" hidden="1" customHeight="1" x14ac:dyDescent="0.25"/>
    <row r="139" s="446" customFormat="1" ht="18" hidden="1" customHeight="1" x14ac:dyDescent="0.25"/>
    <row r="140" s="446" customFormat="1" ht="18" hidden="1" customHeight="1" x14ac:dyDescent="0.25"/>
    <row r="141" s="446" customFormat="1" ht="18" hidden="1" customHeight="1" x14ac:dyDescent="0.25"/>
    <row r="142" s="446" customFormat="1" ht="18" hidden="1" customHeight="1" x14ac:dyDescent="0.25"/>
    <row r="143" s="446" customFormat="1" ht="18" hidden="1" customHeight="1" x14ac:dyDescent="0.25"/>
    <row r="144" s="446" customFormat="1" ht="18" hidden="1" customHeight="1" x14ac:dyDescent="0.25"/>
    <row r="145" s="446" customFormat="1" ht="18" hidden="1" customHeight="1" x14ac:dyDescent="0.25"/>
    <row r="146" s="446" customFormat="1" ht="18" hidden="1" customHeight="1" x14ac:dyDescent="0.25"/>
    <row r="147" s="446" customFormat="1" ht="18" hidden="1" customHeight="1" x14ac:dyDescent="0.25"/>
    <row r="148" s="446" customFormat="1" ht="18" hidden="1" customHeight="1" x14ac:dyDescent="0.25"/>
    <row r="149" s="446" customFormat="1" ht="18" hidden="1" customHeight="1" x14ac:dyDescent="0.25"/>
    <row r="150" s="446" customFormat="1" ht="18" hidden="1" customHeight="1" x14ac:dyDescent="0.25"/>
    <row r="151" s="446" customFormat="1" ht="18" hidden="1" customHeight="1" x14ac:dyDescent="0.25"/>
    <row r="152" s="446" customFormat="1" ht="18" hidden="1" customHeight="1" x14ac:dyDescent="0.25"/>
    <row r="153" s="446" customFormat="1" ht="18" hidden="1" customHeight="1" x14ac:dyDescent="0.25"/>
    <row r="154" s="446" customFormat="1" ht="18" hidden="1" customHeight="1" x14ac:dyDescent="0.25"/>
    <row r="155" s="446" customFormat="1" ht="18" hidden="1" customHeight="1" x14ac:dyDescent="0.25"/>
    <row r="156" s="446" customFormat="1" ht="18" hidden="1" customHeight="1" x14ac:dyDescent="0.25"/>
    <row r="157" s="446" customFormat="1" ht="18" hidden="1" customHeight="1" x14ac:dyDescent="0.25"/>
    <row r="158" s="446" customFormat="1" ht="18" hidden="1" customHeight="1" x14ac:dyDescent="0.25"/>
    <row r="159" s="446" customFormat="1" ht="18" hidden="1" customHeight="1" x14ac:dyDescent="0.25"/>
    <row r="160" s="446" customFormat="1" ht="18" hidden="1" customHeight="1" x14ac:dyDescent="0.25"/>
    <row r="161" s="446" customFormat="1" ht="18" hidden="1" customHeight="1" x14ac:dyDescent="0.25"/>
    <row r="162" s="446" customFormat="1" ht="18" hidden="1" customHeight="1" x14ac:dyDescent="0.25"/>
    <row r="163" s="446" customFormat="1" ht="18" hidden="1" customHeight="1" x14ac:dyDescent="0.25"/>
    <row r="164" s="446" customFormat="1" ht="18" hidden="1" customHeight="1" x14ac:dyDescent="0.25"/>
    <row r="165" s="446" customFormat="1" ht="18" hidden="1" customHeight="1" x14ac:dyDescent="0.25"/>
    <row r="166" s="446" customFormat="1" ht="18" hidden="1" customHeight="1" x14ac:dyDescent="0.25"/>
    <row r="167" s="446" customFormat="1" ht="18" hidden="1" customHeight="1" x14ac:dyDescent="0.25"/>
    <row r="168" s="446" customFormat="1" ht="18" hidden="1" customHeight="1" x14ac:dyDescent="0.25"/>
    <row r="169" s="446" customFormat="1" ht="18" hidden="1" customHeight="1" x14ac:dyDescent="0.25"/>
    <row r="170" s="446" customFormat="1" ht="18" hidden="1" customHeight="1" x14ac:dyDescent="0.25"/>
    <row r="171" s="446" customFormat="1" ht="18" hidden="1" customHeight="1" x14ac:dyDescent="0.25"/>
    <row r="172" s="446" customFormat="1" ht="18" hidden="1" customHeight="1" x14ac:dyDescent="0.25"/>
    <row r="173" s="446" customFormat="1" ht="18" hidden="1" customHeight="1" x14ac:dyDescent="0.25"/>
    <row r="174" s="446" customFormat="1" ht="18" hidden="1" customHeight="1" x14ac:dyDescent="0.25"/>
    <row r="175" s="446" customFormat="1" ht="18" hidden="1" customHeight="1" x14ac:dyDescent="0.25"/>
    <row r="176" s="446" customFormat="1" ht="18" hidden="1" customHeight="1" x14ac:dyDescent="0.25"/>
    <row r="177" s="446" customFormat="1" ht="18" hidden="1" customHeight="1" x14ac:dyDescent="0.25"/>
    <row r="178" s="446" customFormat="1" ht="18" hidden="1" customHeight="1" x14ac:dyDescent="0.25"/>
    <row r="179" s="446" customFormat="1" ht="18" hidden="1" customHeight="1" x14ac:dyDescent="0.25"/>
    <row r="180" s="446" customFormat="1" ht="18" hidden="1" customHeight="1" x14ac:dyDescent="0.25"/>
    <row r="181" s="446" customFormat="1" ht="18" hidden="1" customHeight="1" x14ac:dyDescent="0.25"/>
    <row r="182" s="446" customFormat="1" ht="18" hidden="1" customHeight="1" x14ac:dyDescent="0.25"/>
    <row r="183" s="446" customFormat="1" ht="18" hidden="1" customHeight="1" x14ac:dyDescent="0.25"/>
    <row r="184" s="446" customFormat="1" ht="18" hidden="1" customHeight="1" x14ac:dyDescent="0.25"/>
    <row r="185" s="446" customFormat="1" ht="18" hidden="1" customHeight="1" x14ac:dyDescent="0.25"/>
    <row r="186" s="446" customFormat="1" ht="18" hidden="1" customHeight="1" x14ac:dyDescent="0.25"/>
    <row r="187" s="446" customFormat="1" ht="18" hidden="1" customHeight="1" x14ac:dyDescent="0.25"/>
    <row r="188" s="446" customFormat="1" ht="18" hidden="1" customHeight="1" x14ac:dyDescent="0.25"/>
    <row r="189" s="446" customFormat="1" ht="18" hidden="1" customHeight="1" x14ac:dyDescent="0.25"/>
    <row r="190" s="446" customFormat="1" ht="18" hidden="1" customHeight="1" x14ac:dyDescent="0.25"/>
    <row r="191" s="446" customFormat="1" ht="18" hidden="1" customHeight="1" x14ac:dyDescent="0.25"/>
    <row r="192" s="446" customFormat="1" ht="18" hidden="1" customHeight="1" x14ac:dyDescent="0.25"/>
    <row r="193" s="446" customFormat="1" ht="18" hidden="1" customHeight="1" x14ac:dyDescent="0.25"/>
    <row r="194" s="446" customFormat="1" ht="18" hidden="1" customHeight="1" x14ac:dyDescent="0.25"/>
    <row r="195" s="446" customFormat="1" ht="18" hidden="1" customHeight="1" x14ac:dyDescent="0.25"/>
    <row r="196" s="446" customFormat="1" ht="18" hidden="1" customHeight="1" x14ac:dyDescent="0.25"/>
    <row r="197" s="446" customFormat="1" ht="18" hidden="1" customHeight="1" x14ac:dyDescent="0.25"/>
    <row r="198" s="446" customFormat="1" ht="18" hidden="1" customHeight="1" x14ac:dyDescent="0.25"/>
    <row r="199" s="446" customFormat="1" ht="18" hidden="1" customHeight="1" x14ac:dyDescent="0.25"/>
    <row r="200" s="446" customFormat="1" ht="18" hidden="1" customHeight="1" x14ac:dyDescent="0.25"/>
    <row r="201" s="446" customFormat="1" ht="18" hidden="1" customHeight="1" x14ac:dyDescent="0.25"/>
    <row r="202" s="446" customFormat="1" ht="18" hidden="1" customHeight="1" x14ac:dyDescent="0.25"/>
    <row r="203" s="446" customFormat="1" ht="18" hidden="1" customHeight="1" x14ac:dyDescent="0.25"/>
    <row r="204" s="446" customFormat="1" ht="18" hidden="1" customHeight="1" x14ac:dyDescent="0.25"/>
    <row r="205" s="446" customFormat="1" ht="18" hidden="1" customHeight="1" x14ac:dyDescent="0.25"/>
    <row r="206" s="446" customFormat="1" ht="18" hidden="1" customHeight="1" x14ac:dyDescent="0.25"/>
    <row r="207" s="446" customFormat="1" ht="18" hidden="1" customHeight="1" x14ac:dyDescent="0.25"/>
    <row r="208" s="446" customFormat="1" ht="18" hidden="1" customHeight="1" x14ac:dyDescent="0.25"/>
    <row r="209" s="446" customFormat="1" ht="18" hidden="1" customHeight="1" x14ac:dyDescent="0.25"/>
    <row r="210" s="446" customFormat="1" ht="18" hidden="1" customHeight="1" x14ac:dyDescent="0.25"/>
    <row r="211" s="446" customFormat="1" ht="18" hidden="1" customHeight="1" x14ac:dyDescent="0.25"/>
    <row r="212" s="446" customFormat="1" ht="18" hidden="1" customHeight="1" x14ac:dyDescent="0.25"/>
    <row r="213" s="446" customFormat="1" ht="18" hidden="1" customHeight="1" x14ac:dyDescent="0.25"/>
    <row r="214" s="446" customFormat="1" ht="18" hidden="1" customHeight="1" x14ac:dyDescent="0.25"/>
    <row r="215" s="446" customFormat="1" ht="18" hidden="1" customHeight="1" x14ac:dyDescent="0.25"/>
    <row r="216" s="446" customFormat="1" ht="18" hidden="1" customHeight="1" x14ac:dyDescent="0.25"/>
    <row r="217" s="446" customFormat="1" ht="18" hidden="1" customHeight="1" x14ac:dyDescent="0.25"/>
    <row r="218" s="446" customFormat="1" ht="18" hidden="1" customHeight="1" x14ac:dyDescent="0.25"/>
    <row r="219" s="446" customFormat="1" ht="18" hidden="1" customHeight="1" x14ac:dyDescent="0.25"/>
    <row r="220" s="446" customFormat="1" ht="18" hidden="1" customHeight="1" x14ac:dyDescent="0.25"/>
    <row r="221" s="446" customFormat="1" ht="18" hidden="1" customHeight="1" x14ac:dyDescent="0.25"/>
    <row r="222" s="446" customFormat="1" ht="18" hidden="1" customHeight="1" x14ac:dyDescent="0.25"/>
    <row r="223" s="446" customFormat="1" ht="18" hidden="1" customHeight="1" x14ac:dyDescent="0.25"/>
    <row r="224" s="446" customFormat="1" ht="18" hidden="1" customHeight="1" x14ac:dyDescent="0.25"/>
    <row r="225" s="446" customFormat="1" ht="18" hidden="1" customHeight="1" x14ac:dyDescent="0.25"/>
    <row r="226" s="446" customFormat="1" ht="18" hidden="1" customHeight="1" x14ac:dyDescent="0.25"/>
    <row r="227" s="446" customFormat="1" ht="18" hidden="1" customHeight="1" x14ac:dyDescent="0.25"/>
    <row r="228" s="446" customFormat="1" ht="18" hidden="1" customHeight="1" x14ac:dyDescent="0.25"/>
    <row r="229" s="446" customFormat="1" ht="18" hidden="1" customHeight="1" x14ac:dyDescent="0.25"/>
    <row r="230" s="446" customFormat="1" ht="18" hidden="1" customHeight="1" x14ac:dyDescent="0.25"/>
    <row r="231" s="446" customFormat="1" ht="18" hidden="1" customHeight="1" x14ac:dyDescent="0.25"/>
    <row r="232" s="446" customFormat="1" ht="18" hidden="1" customHeight="1" x14ac:dyDescent="0.25"/>
    <row r="233" s="446" customFormat="1" ht="18" hidden="1" customHeight="1" x14ac:dyDescent="0.25"/>
    <row r="234" s="446" customFormat="1" ht="18" hidden="1" customHeight="1" x14ac:dyDescent="0.25"/>
    <row r="235" s="446" customFormat="1" ht="18" hidden="1" customHeight="1" x14ac:dyDescent="0.25"/>
    <row r="236" s="446" customFormat="1" ht="18" hidden="1" customHeight="1" x14ac:dyDescent="0.25"/>
    <row r="237" s="446" customFormat="1" ht="18" hidden="1" customHeight="1" x14ac:dyDescent="0.25"/>
    <row r="238" s="446" customFormat="1" ht="18" hidden="1" customHeight="1" x14ac:dyDescent="0.25"/>
    <row r="239" s="446" customFormat="1" ht="18" hidden="1" customHeight="1" x14ac:dyDescent="0.25"/>
    <row r="240" s="446" customFormat="1" ht="18" hidden="1" customHeight="1" x14ac:dyDescent="0.25"/>
    <row r="241" s="446" customFormat="1" ht="18" hidden="1" customHeight="1" x14ac:dyDescent="0.25"/>
    <row r="242" s="446" customFormat="1" ht="18" hidden="1" customHeight="1" x14ac:dyDescent="0.25"/>
    <row r="243" s="446" customFormat="1" ht="18" hidden="1" customHeight="1" x14ac:dyDescent="0.25"/>
    <row r="244" s="446" customFormat="1" ht="18" hidden="1" customHeight="1" x14ac:dyDescent="0.25"/>
    <row r="245" s="446" customFormat="1" ht="18" hidden="1" customHeight="1" x14ac:dyDescent="0.25"/>
    <row r="246" s="446" customFormat="1" ht="18" hidden="1" customHeight="1" x14ac:dyDescent="0.25"/>
    <row r="247" s="446" customFormat="1" ht="18" hidden="1" customHeight="1" x14ac:dyDescent="0.25"/>
    <row r="248" s="446" customFormat="1" ht="18" hidden="1" customHeight="1" x14ac:dyDescent="0.25"/>
    <row r="249" s="446" customFormat="1" ht="18" hidden="1" customHeight="1" x14ac:dyDescent="0.25"/>
    <row r="250" s="446" customFormat="1" ht="18" hidden="1" customHeight="1" x14ac:dyDescent="0.25"/>
    <row r="251" s="446" customFormat="1" ht="18" hidden="1" customHeight="1" x14ac:dyDescent="0.25"/>
    <row r="252" s="446" customFormat="1" ht="18" hidden="1" customHeight="1" x14ac:dyDescent="0.25"/>
    <row r="253" s="446" customFormat="1" ht="18" hidden="1" customHeight="1" x14ac:dyDescent="0.25"/>
    <row r="254" s="446" customFormat="1" ht="18" hidden="1" customHeight="1" x14ac:dyDescent="0.25"/>
    <row r="255" s="446" customFormat="1" ht="18" hidden="1" customHeight="1" x14ac:dyDescent="0.25"/>
    <row r="256" s="446" customFormat="1" ht="18" hidden="1" customHeight="1" x14ac:dyDescent="0.25"/>
    <row r="257" s="446" customFormat="1" ht="18" hidden="1" customHeight="1" x14ac:dyDescent="0.25"/>
    <row r="258" s="446" customFormat="1" ht="18" hidden="1" customHeight="1" x14ac:dyDescent="0.25"/>
    <row r="259" s="446" customFormat="1" ht="18" hidden="1" customHeight="1" x14ac:dyDescent="0.25"/>
    <row r="260" s="446" customFormat="1" ht="18" hidden="1" customHeight="1" x14ac:dyDescent="0.25"/>
    <row r="261" s="446" customFormat="1" ht="18" hidden="1" customHeight="1" x14ac:dyDescent="0.25"/>
    <row r="262" s="446" customFormat="1" ht="18" hidden="1" customHeight="1" x14ac:dyDescent="0.25"/>
    <row r="263" s="446" customFormat="1" ht="18" hidden="1" customHeight="1" x14ac:dyDescent="0.25"/>
    <row r="264" s="446" customFormat="1" ht="18" hidden="1" customHeight="1" x14ac:dyDescent="0.25"/>
    <row r="265" s="446" customFormat="1" ht="18" hidden="1" customHeight="1" x14ac:dyDescent="0.25"/>
    <row r="266" s="446" customFormat="1" ht="18" hidden="1" customHeight="1" x14ac:dyDescent="0.25"/>
    <row r="267" s="446" customFormat="1" ht="18" hidden="1" customHeight="1" x14ac:dyDescent="0.25"/>
    <row r="268" s="446" customFormat="1" ht="18" hidden="1" customHeight="1" x14ac:dyDescent="0.25"/>
    <row r="269" s="446" customFormat="1" ht="18" hidden="1" customHeight="1" x14ac:dyDescent="0.25"/>
    <row r="270" s="446" customFormat="1" ht="18" hidden="1" customHeight="1" x14ac:dyDescent="0.25"/>
    <row r="271" s="446" customFormat="1" ht="18" hidden="1" customHeight="1" x14ac:dyDescent="0.25"/>
    <row r="272" s="446" customFormat="1" ht="18" hidden="1" customHeight="1" x14ac:dyDescent="0.25"/>
    <row r="273" s="446" customFormat="1" ht="18" hidden="1" customHeight="1" x14ac:dyDescent="0.25"/>
    <row r="274" s="446" customFormat="1" ht="18" hidden="1" customHeight="1" x14ac:dyDescent="0.25"/>
    <row r="275" s="446" customFormat="1" ht="18" hidden="1" customHeight="1" x14ac:dyDescent="0.25"/>
    <row r="276" s="446" customFormat="1" ht="18" hidden="1" customHeight="1" x14ac:dyDescent="0.25"/>
    <row r="277" s="446" customFormat="1" ht="18" hidden="1" customHeight="1" x14ac:dyDescent="0.25"/>
    <row r="278" s="446" customFormat="1" ht="18" hidden="1" customHeight="1" x14ac:dyDescent="0.25"/>
    <row r="279" s="446" customFormat="1" ht="18" hidden="1" customHeight="1" x14ac:dyDescent="0.25"/>
    <row r="280" s="446" customFormat="1" ht="18" hidden="1" customHeight="1" x14ac:dyDescent="0.25"/>
    <row r="281" s="446" customFormat="1" ht="18" hidden="1" customHeight="1" x14ac:dyDescent="0.25"/>
    <row r="282" s="446" customFormat="1" ht="18" hidden="1" customHeight="1" x14ac:dyDescent="0.25"/>
    <row r="283" s="446" customFormat="1" ht="18" hidden="1" customHeight="1" x14ac:dyDescent="0.25"/>
    <row r="284" s="446" customFormat="1" ht="18" hidden="1" customHeight="1" x14ac:dyDescent="0.25"/>
    <row r="285" s="446" customFormat="1" ht="18" hidden="1" customHeight="1" x14ac:dyDescent="0.25"/>
    <row r="286" s="446" customFormat="1" ht="18" hidden="1" customHeight="1" x14ac:dyDescent="0.25"/>
    <row r="287" s="446" customFormat="1" ht="18" hidden="1" customHeight="1" x14ac:dyDescent="0.25"/>
    <row r="288" s="446" customFormat="1" ht="18" hidden="1" customHeight="1" x14ac:dyDescent="0.25"/>
    <row r="289" s="446" customFormat="1" ht="18" hidden="1" customHeight="1" x14ac:dyDescent="0.25"/>
    <row r="290" s="446" customFormat="1" ht="18" hidden="1" customHeight="1" x14ac:dyDescent="0.25"/>
    <row r="291" s="446" customFormat="1" ht="18" hidden="1" customHeight="1" x14ac:dyDescent="0.25"/>
    <row r="292" s="446" customFormat="1" ht="18" hidden="1" customHeight="1" x14ac:dyDescent="0.25"/>
    <row r="293" s="446" customFormat="1" ht="18" hidden="1" customHeight="1" x14ac:dyDescent="0.25"/>
    <row r="294" s="446" customFormat="1" ht="18" hidden="1" customHeight="1" x14ac:dyDescent="0.25"/>
    <row r="295" s="446" customFormat="1" ht="18" hidden="1" customHeight="1" x14ac:dyDescent="0.25"/>
    <row r="296" s="446" customFormat="1" ht="18" hidden="1" customHeight="1" x14ac:dyDescent="0.25"/>
    <row r="297" s="446" customFormat="1" ht="18" hidden="1" customHeight="1" x14ac:dyDescent="0.25"/>
    <row r="298" s="446" customFormat="1" ht="18" hidden="1" customHeight="1" x14ac:dyDescent="0.25"/>
    <row r="299" s="446" customFormat="1" ht="18" hidden="1" customHeight="1" x14ac:dyDescent="0.25"/>
    <row r="300" s="446" customFormat="1" ht="18" hidden="1" customHeight="1" x14ac:dyDescent="0.25"/>
    <row r="301" s="446" customFormat="1" ht="18" hidden="1" customHeight="1" x14ac:dyDescent="0.25"/>
    <row r="302" s="446" customFormat="1" ht="18" hidden="1" customHeight="1" x14ac:dyDescent="0.25"/>
    <row r="303" s="446" customFormat="1" ht="18" hidden="1" customHeight="1" x14ac:dyDescent="0.25"/>
    <row r="304" s="446" customFormat="1" ht="18" hidden="1" customHeight="1" x14ac:dyDescent="0.25"/>
    <row r="305" s="446" customFormat="1" ht="18" hidden="1" customHeight="1" x14ac:dyDescent="0.25"/>
    <row r="306" s="446" customFormat="1" ht="18" hidden="1" customHeight="1" x14ac:dyDescent="0.25"/>
    <row r="307" s="446" customFormat="1" ht="18" hidden="1" customHeight="1" x14ac:dyDescent="0.25"/>
    <row r="308" s="446" customFormat="1" ht="18" hidden="1" customHeight="1" x14ac:dyDescent="0.25"/>
    <row r="309" s="446" customFormat="1" ht="18" hidden="1" customHeight="1" x14ac:dyDescent="0.25"/>
    <row r="310" s="446" customFormat="1" ht="18" hidden="1" customHeight="1" x14ac:dyDescent="0.25"/>
    <row r="311" s="446" customFormat="1" ht="18" hidden="1" customHeight="1" x14ac:dyDescent="0.25"/>
    <row r="312" s="446" customFormat="1" ht="18" hidden="1" customHeight="1" x14ac:dyDescent="0.25"/>
    <row r="313" s="446" customFormat="1" ht="18" hidden="1" customHeight="1" x14ac:dyDescent="0.25"/>
    <row r="314" s="446" customFormat="1" ht="18" hidden="1" customHeight="1" x14ac:dyDescent="0.25"/>
    <row r="315" s="446" customFormat="1" ht="18" hidden="1" customHeight="1" x14ac:dyDescent="0.25"/>
    <row r="316" s="446" customFormat="1" ht="18" hidden="1" customHeight="1" x14ac:dyDescent="0.25"/>
    <row r="317" s="446" customFormat="1" ht="18" hidden="1" customHeight="1" x14ac:dyDescent="0.25"/>
    <row r="318" s="446" customFormat="1" ht="18" hidden="1" customHeight="1" x14ac:dyDescent="0.25"/>
    <row r="319" s="446" customFormat="1" ht="18" hidden="1" customHeight="1" x14ac:dyDescent="0.25"/>
    <row r="320" s="446" customFormat="1" ht="18" hidden="1" customHeight="1" x14ac:dyDescent="0.25"/>
    <row r="321" s="446" customFormat="1" ht="18" hidden="1" customHeight="1" x14ac:dyDescent="0.25"/>
    <row r="322" s="446" customFormat="1" ht="18" hidden="1" customHeight="1" x14ac:dyDescent="0.25"/>
    <row r="323" s="446" customFormat="1" ht="18" hidden="1" customHeight="1" x14ac:dyDescent="0.25"/>
    <row r="324" s="446" customFormat="1" ht="18" hidden="1" customHeight="1" x14ac:dyDescent="0.25"/>
    <row r="325" s="446" customFormat="1" ht="18" hidden="1" customHeight="1" x14ac:dyDescent="0.25"/>
    <row r="326" s="446" customFormat="1" ht="18" hidden="1" customHeight="1" x14ac:dyDescent="0.25"/>
    <row r="327" s="446" customFormat="1" ht="18" hidden="1" customHeight="1" x14ac:dyDescent="0.25"/>
    <row r="328" s="446" customFormat="1" ht="18" hidden="1" customHeight="1" x14ac:dyDescent="0.25"/>
    <row r="329" s="446" customFormat="1" ht="18" hidden="1" customHeight="1" x14ac:dyDescent="0.25"/>
    <row r="330" s="446" customFormat="1" ht="18" hidden="1" customHeight="1" x14ac:dyDescent="0.25"/>
    <row r="331" s="446" customFormat="1" ht="18" hidden="1" customHeight="1" x14ac:dyDescent="0.25"/>
    <row r="332" s="446" customFormat="1" ht="18" hidden="1" customHeight="1" x14ac:dyDescent="0.25"/>
    <row r="333" s="446" customFormat="1" ht="18" hidden="1" customHeight="1" x14ac:dyDescent="0.25"/>
    <row r="334" s="446" customFormat="1" ht="18" hidden="1" customHeight="1" x14ac:dyDescent="0.25"/>
    <row r="335" s="446" customFormat="1" ht="18" hidden="1" customHeight="1" x14ac:dyDescent="0.25"/>
    <row r="336" s="446" customFormat="1" ht="18" hidden="1" customHeight="1" x14ac:dyDescent="0.25"/>
    <row r="337" s="446" customFormat="1" ht="18" hidden="1" customHeight="1" x14ac:dyDescent="0.25"/>
    <row r="338" s="446" customFormat="1" ht="18" hidden="1" customHeight="1" x14ac:dyDescent="0.25"/>
    <row r="339" s="446" customFormat="1" ht="18" hidden="1" customHeight="1" x14ac:dyDescent="0.25"/>
    <row r="340" s="446" customFormat="1" ht="18" hidden="1" customHeight="1" x14ac:dyDescent="0.25"/>
    <row r="341" s="446" customFormat="1" ht="18" hidden="1" customHeight="1" x14ac:dyDescent="0.25"/>
    <row r="342" s="446" customFormat="1" ht="18" hidden="1" customHeight="1" x14ac:dyDescent="0.25"/>
    <row r="343" s="446" customFormat="1" ht="18" hidden="1" customHeight="1" x14ac:dyDescent="0.25"/>
    <row r="344" s="446" customFormat="1" ht="18" hidden="1" customHeight="1" x14ac:dyDescent="0.25"/>
    <row r="345" s="446" customFormat="1" ht="18" hidden="1" customHeight="1" x14ac:dyDescent="0.25"/>
    <row r="346" s="446" customFormat="1" ht="18" hidden="1" customHeight="1" x14ac:dyDescent="0.25"/>
    <row r="347" s="446" customFormat="1" ht="18" hidden="1" customHeight="1" x14ac:dyDescent="0.25"/>
    <row r="348" s="446" customFormat="1" ht="18" hidden="1" customHeight="1" x14ac:dyDescent="0.25"/>
    <row r="349" s="446" customFormat="1" ht="18" hidden="1" customHeight="1" x14ac:dyDescent="0.25"/>
    <row r="350" s="446" customFormat="1" ht="18" hidden="1" customHeight="1" x14ac:dyDescent="0.25"/>
    <row r="351" s="446" customFormat="1" ht="18" hidden="1" customHeight="1" x14ac:dyDescent="0.25"/>
    <row r="352" s="446" customFormat="1" ht="18" hidden="1" customHeight="1" x14ac:dyDescent="0.25"/>
    <row r="353" s="446" customFormat="1" ht="18" hidden="1" customHeight="1" x14ac:dyDescent="0.25"/>
    <row r="354" s="446" customFormat="1" ht="18" hidden="1" customHeight="1" x14ac:dyDescent="0.25"/>
    <row r="355" s="446" customFormat="1" ht="18" hidden="1" customHeight="1" x14ac:dyDescent="0.25"/>
    <row r="356" s="446" customFormat="1" ht="18" hidden="1" customHeight="1" x14ac:dyDescent="0.25"/>
    <row r="357" s="446" customFormat="1" ht="18" hidden="1" customHeight="1" x14ac:dyDescent="0.25"/>
    <row r="358" s="446" customFormat="1" ht="18" hidden="1" customHeight="1" x14ac:dyDescent="0.25"/>
    <row r="359" s="446" customFormat="1" ht="18" hidden="1" customHeight="1" x14ac:dyDescent="0.25"/>
    <row r="360" s="446" customFormat="1" ht="18" hidden="1" customHeight="1" x14ac:dyDescent="0.25"/>
    <row r="361" s="446" customFormat="1" ht="18" hidden="1" customHeight="1" x14ac:dyDescent="0.25"/>
    <row r="362" s="446" customFormat="1" ht="18" hidden="1" customHeight="1" x14ac:dyDescent="0.25"/>
    <row r="363" s="446" customFormat="1" ht="18" hidden="1" customHeight="1" x14ac:dyDescent="0.25"/>
    <row r="364" s="446" customFormat="1" ht="18" hidden="1" customHeight="1" x14ac:dyDescent="0.25"/>
    <row r="365" s="446" customFormat="1" ht="18" hidden="1" customHeight="1" x14ac:dyDescent="0.25"/>
    <row r="366" s="446" customFormat="1" ht="18" hidden="1" customHeight="1" x14ac:dyDescent="0.25"/>
    <row r="367" s="446" customFormat="1" ht="18" hidden="1" customHeight="1" x14ac:dyDescent="0.25"/>
    <row r="368" s="446" customFormat="1" ht="18" hidden="1" customHeight="1" x14ac:dyDescent="0.25"/>
    <row r="369" s="446" customFormat="1" ht="18" hidden="1" customHeight="1" x14ac:dyDescent="0.25"/>
    <row r="370" s="446" customFormat="1" ht="18" hidden="1" customHeight="1" x14ac:dyDescent="0.25"/>
    <row r="371" s="446" customFormat="1" ht="18" hidden="1" customHeight="1" x14ac:dyDescent="0.25"/>
    <row r="372" s="446" customFormat="1" ht="18" hidden="1" customHeight="1" x14ac:dyDescent="0.25"/>
    <row r="373" s="446" customFormat="1" ht="18" hidden="1" customHeight="1" x14ac:dyDescent="0.25"/>
    <row r="374" s="446" customFormat="1" ht="18" hidden="1" customHeight="1" x14ac:dyDescent="0.25"/>
    <row r="375" s="446" customFormat="1" ht="18" hidden="1" customHeight="1" x14ac:dyDescent="0.25"/>
    <row r="376" s="446" customFormat="1" ht="18" hidden="1" customHeight="1" x14ac:dyDescent="0.25"/>
    <row r="377" s="446" customFormat="1" ht="18" hidden="1" customHeight="1" x14ac:dyDescent="0.25"/>
    <row r="378" s="446" customFormat="1" ht="18" hidden="1" customHeight="1" x14ac:dyDescent="0.25"/>
    <row r="379" s="446" customFormat="1" ht="18" hidden="1" customHeight="1" x14ac:dyDescent="0.25"/>
    <row r="380" s="446" customFormat="1" ht="18" hidden="1" customHeight="1" x14ac:dyDescent="0.25"/>
    <row r="381" s="446" customFormat="1" ht="18" hidden="1" customHeight="1" x14ac:dyDescent="0.25"/>
    <row r="382" s="446" customFormat="1" ht="18" hidden="1" customHeight="1" x14ac:dyDescent="0.25"/>
    <row r="383" s="446" customFormat="1" ht="18" hidden="1" customHeight="1" x14ac:dyDescent="0.25"/>
    <row r="384" s="446" customFormat="1" ht="18" hidden="1" customHeight="1" x14ac:dyDescent="0.25"/>
    <row r="385" s="446" customFormat="1" ht="18" hidden="1" customHeight="1" x14ac:dyDescent="0.25"/>
    <row r="386" s="446" customFormat="1" ht="18" hidden="1" customHeight="1" x14ac:dyDescent="0.25"/>
    <row r="387" s="446" customFormat="1" ht="18" hidden="1" customHeight="1" x14ac:dyDescent="0.25"/>
    <row r="388" s="446" customFormat="1" ht="18" hidden="1" customHeight="1" x14ac:dyDescent="0.25"/>
    <row r="389" s="446" customFormat="1" ht="18" hidden="1" customHeight="1" x14ac:dyDescent="0.25"/>
    <row r="390" s="446" customFormat="1" ht="18" hidden="1" customHeight="1" x14ac:dyDescent="0.25"/>
    <row r="391" s="446" customFormat="1" ht="18" hidden="1" customHeight="1" x14ac:dyDescent="0.25"/>
    <row r="392" s="446" customFormat="1" ht="18" hidden="1" customHeight="1" x14ac:dyDescent="0.25"/>
    <row r="393" s="446" customFormat="1" ht="18" hidden="1" customHeight="1" x14ac:dyDescent="0.25"/>
    <row r="394" s="446" customFormat="1" ht="18" hidden="1" customHeight="1" x14ac:dyDescent="0.25"/>
    <row r="395" s="446" customFormat="1" ht="18" hidden="1" customHeight="1" x14ac:dyDescent="0.25"/>
  </sheetData>
  <autoFilter ref="A1:S395">
    <filterColumn colId="14">
      <filters>
        <filter val="133001"/>
      </filters>
    </filterColumn>
  </autoFilter>
  <pageMargins left="0.7" right="0.7" top="0.75" bottom="0.75" header="0.3" footer="0.3"/>
  <pageSetup scale="44" fitToHeight="0" orientation="landscape"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92"/>
  <sheetViews>
    <sheetView tabSelected="1" workbookViewId="0">
      <selection activeCell="D8" sqref="D8"/>
    </sheetView>
  </sheetViews>
  <sheetFormatPr defaultRowHeight="15" x14ac:dyDescent="0.25"/>
  <cols>
    <col min="1" max="1" width="7.28515625" style="368" customWidth="1"/>
    <col min="2" max="2" width="23.5703125" bestFit="1" customWidth="1"/>
  </cols>
  <sheetData>
    <row r="1" spans="1:2" ht="42" x14ac:dyDescent="0.25">
      <c r="A1" s="369" t="s">
        <v>585</v>
      </c>
      <c r="B1" s="575" t="s">
        <v>382</v>
      </c>
    </row>
    <row r="2" spans="1:2" x14ac:dyDescent="0.25">
      <c r="A2" s="444">
        <v>600049</v>
      </c>
      <c r="B2" t="s">
        <v>406</v>
      </c>
    </row>
    <row r="3" spans="1:2" x14ac:dyDescent="0.25">
      <c r="A3" s="444">
        <v>600050</v>
      </c>
      <c r="B3" t="s">
        <v>442</v>
      </c>
    </row>
    <row r="4" spans="1:2" x14ac:dyDescent="0.25">
      <c r="A4" s="444">
        <v>600051</v>
      </c>
      <c r="B4" t="s">
        <v>452</v>
      </c>
    </row>
    <row r="5" spans="1:2" x14ac:dyDescent="0.25">
      <c r="A5" s="444">
        <v>600052</v>
      </c>
      <c r="B5" t="s">
        <v>436</v>
      </c>
    </row>
    <row r="6" spans="1:2" x14ac:dyDescent="0.25">
      <c r="A6" s="444">
        <v>600053</v>
      </c>
      <c r="B6" t="s">
        <v>413</v>
      </c>
    </row>
    <row r="7" spans="1:2" x14ac:dyDescent="0.25">
      <c r="A7" s="444">
        <v>600054</v>
      </c>
      <c r="B7" t="s">
        <v>440</v>
      </c>
    </row>
    <row r="8" spans="1:2" x14ac:dyDescent="0.25">
      <c r="A8" s="444">
        <v>600055</v>
      </c>
      <c r="B8" t="s">
        <v>419</v>
      </c>
    </row>
    <row r="9" spans="1:2" x14ac:dyDescent="0.25">
      <c r="A9" s="444">
        <v>600056</v>
      </c>
      <c r="B9" t="s">
        <v>2748</v>
      </c>
    </row>
    <row r="10" spans="1:2" x14ac:dyDescent="0.25">
      <c r="A10" s="444">
        <v>600057</v>
      </c>
      <c r="B10" t="s">
        <v>466</v>
      </c>
    </row>
    <row r="11" spans="1:2" x14ac:dyDescent="0.25">
      <c r="A11" s="444">
        <v>600058</v>
      </c>
      <c r="B11" t="s">
        <v>428</v>
      </c>
    </row>
    <row r="12" spans="1:2" x14ac:dyDescent="0.25">
      <c r="A12" s="444">
        <v>600059</v>
      </c>
      <c r="B12" t="s">
        <v>389</v>
      </c>
    </row>
    <row r="13" spans="1:2" x14ac:dyDescent="0.25">
      <c r="A13" s="444">
        <v>600060</v>
      </c>
      <c r="B13" t="s">
        <v>403</v>
      </c>
    </row>
    <row r="14" spans="1:2" x14ac:dyDescent="0.25">
      <c r="A14" s="444">
        <v>600061</v>
      </c>
      <c r="B14" t="s">
        <v>393</v>
      </c>
    </row>
    <row r="15" spans="1:2" x14ac:dyDescent="0.25">
      <c r="A15" s="444">
        <v>600062</v>
      </c>
      <c r="B15" t="s">
        <v>396</v>
      </c>
    </row>
    <row r="16" spans="1:2" x14ac:dyDescent="0.25">
      <c r="A16" s="444">
        <v>600063</v>
      </c>
      <c r="B16" t="s">
        <v>416</v>
      </c>
    </row>
    <row r="17" spans="1:2" x14ac:dyDescent="0.25">
      <c r="A17" s="444">
        <v>600064</v>
      </c>
      <c r="B17" t="s">
        <v>445</v>
      </c>
    </row>
    <row r="18" spans="1:2" x14ac:dyDescent="0.25">
      <c r="A18" s="444">
        <v>600066</v>
      </c>
      <c r="B18" t="s">
        <v>456</v>
      </c>
    </row>
    <row r="19" spans="1:2" x14ac:dyDescent="0.25">
      <c r="A19" s="446" t="s">
        <v>809</v>
      </c>
      <c r="B19" t="s">
        <v>801</v>
      </c>
    </row>
    <row r="20" spans="1:2" x14ac:dyDescent="0.25">
      <c r="A20"/>
    </row>
    <row r="21" spans="1:2" x14ac:dyDescent="0.25">
      <c r="A21"/>
    </row>
    <row r="22" spans="1:2" x14ac:dyDescent="0.25">
      <c r="A22"/>
    </row>
    <row r="23" spans="1:2" x14ac:dyDescent="0.25">
      <c r="A23"/>
    </row>
    <row r="24" spans="1:2" x14ac:dyDescent="0.25">
      <c r="A24"/>
    </row>
    <row r="25" spans="1:2" x14ac:dyDescent="0.25">
      <c r="A25"/>
    </row>
    <row r="26" spans="1:2" x14ac:dyDescent="0.25">
      <c r="A26"/>
    </row>
    <row r="27" spans="1:2" x14ac:dyDescent="0.25">
      <c r="A27"/>
    </row>
    <row r="28" spans="1:2" x14ac:dyDescent="0.25">
      <c r="A28"/>
    </row>
    <row r="29" spans="1:2" x14ac:dyDescent="0.25">
      <c r="A29"/>
    </row>
    <row r="30" spans="1:2" x14ac:dyDescent="0.25">
      <c r="A30"/>
    </row>
    <row r="31" spans="1:2" x14ac:dyDescent="0.25">
      <c r="A31"/>
    </row>
    <row r="32" spans="1:2" x14ac:dyDescent="0.25">
      <c r="A32"/>
    </row>
    <row r="33" spans="1:1" x14ac:dyDescent="0.25">
      <c r="A33"/>
    </row>
    <row r="34" spans="1:1" x14ac:dyDescent="0.25">
      <c r="A34"/>
    </row>
    <row r="35" spans="1:1" x14ac:dyDescent="0.25">
      <c r="A35"/>
    </row>
    <row r="36" spans="1:1" x14ac:dyDescent="0.25">
      <c r="A36"/>
    </row>
    <row r="37" spans="1:1" x14ac:dyDescent="0.25">
      <c r="A37"/>
    </row>
    <row r="38" spans="1:1" x14ac:dyDescent="0.25">
      <c r="A38"/>
    </row>
    <row r="39" spans="1:1" x14ac:dyDescent="0.25">
      <c r="A39"/>
    </row>
    <row r="40" spans="1:1" x14ac:dyDescent="0.25">
      <c r="A40"/>
    </row>
    <row r="41" spans="1:1" x14ac:dyDescent="0.25">
      <c r="A41"/>
    </row>
    <row r="42" spans="1:1" x14ac:dyDescent="0.25">
      <c r="A42"/>
    </row>
    <row r="43" spans="1:1" x14ac:dyDescent="0.25">
      <c r="A43"/>
    </row>
    <row r="44" spans="1:1" x14ac:dyDescent="0.25">
      <c r="A44"/>
    </row>
    <row r="45" spans="1:1" x14ac:dyDescent="0.25">
      <c r="A45"/>
    </row>
    <row r="46" spans="1:1" x14ac:dyDescent="0.25">
      <c r="A46"/>
    </row>
    <row r="47" spans="1:1" x14ac:dyDescent="0.25">
      <c r="A47"/>
    </row>
    <row r="48" spans="1:1" x14ac:dyDescent="0.25">
      <c r="A48"/>
    </row>
    <row r="49" spans="1:1" x14ac:dyDescent="0.25">
      <c r="A49"/>
    </row>
    <row r="50" spans="1:1" x14ac:dyDescent="0.25">
      <c r="A50"/>
    </row>
    <row r="51" spans="1:1" x14ac:dyDescent="0.25">
      <c r="A51"/>
    </row>
    <row r="52" spans="1:1" x14ac:dyDescent="0.25">
      <c r="A52"/>
    </row>
    <row r="53" spans="1:1" x14ac:dyDescent="0.25">
      <c r="A53"/>
    </row>
    <row r="54" spans="1:1" x14ac:dyDescent="0.25">
      <c r="A54"/>
    </row>
    <row r="55" spans="1:1" x14ac:dyDescent="0.25">
      <c r="A55"/>
    </row>
    <row r="56" spans="1:1" x14ac:dyDescent="0.25">
      <c r="A56"/>
    </row>
    <row r="57" spans="1:1" x14ac:dyDescent="0.25">
      <c r="A57"/>
    </row>
    <row r="58" spans="1:1" x14ac:dyDescent="0.25">
      <c r="A58"/>
    </row>
    <row r="59" spans="1:1" x14ac:dyDescent="0.25">
      <c r="A59"/>
    </row>
    <row r="60" spans="1:1" x14ac:dyDescent="0.25">
      <c r="A60"/>
    </row>
    <row r="61" spans="1:1" x14ac:dyDescent="0.25">
      <c r="A61"/>
    </row>
    <row r="62" spans="1:1" x14ac:dyDescent="0.25">
      <c r="A62"/>
    </row>
    <row r="63" spans="1:1" x14ac:dyDescent="0.25">
      <c r="A63"/>
    </row>
    <row r="64" spans="1:1" x14ac:dyDescent="0.25">
      <c r="A64"/>
    </row>
    <row r="65" spans="1:1" x14ac:dyDescent="0.25">
      <c r="A65"/>
    </row>
    <row r="66" spans="1:1" x14ac:dyDescent="0.25">
      <c r="A66"/>
    </row>
    <row r="67" spans="1:1" x14ac:dyDescent="0.25">
      <c r="A67"/>
    </row>
    <row r="68" spans="1:1" x14ac:dyDescent="0.25">
      <c r="A68"/>
    </row>
    <row r="69" spans="1:1" x14ac:dyDescent="0.25">
      <c r="A69"/>
    </row>
    <row r="70" spans="1:1" x14ac:dyDescent="0.25">
      <c r="A70"/>
    </row>
    <row r="71" spans="1:1" x14ac:dyDescent="0.25">
      <c r="A71"/>
    </row>
    <row r="72" spans="1:1" x14ac:dyDescent="0.25">
      <c r="A72"/>
    </row>
    <row r="73" spans="1:1" x14ac:dyDescent="0.25">
      <c r="A73"/>
    </row>
    <row r="74" spans="1:1" x14ac:dyDescent="0.25">
      <c r="A74"/>
    </row>
    <row r="75" spans="1:1" x14ac:dyDescent="0.25">
      <c r="A75"/>
    </row>
    <row r="76" spans="1:1" x14ac:dyDescent="0.25">
      <c r="A76"/>
    </row>
    <row r="77" spans="1:1" x14ac:dyDescent="0.25">
      <c r="A77"/>
    </row>
    <row r="78" spans="1:1" x14ac:dyDescent="0.25">
      <c r="A78"/>
    </row>
    <row r="79" spans="1:1" x14ac:dyDescent="0.25">
      <c r="A79"/>
    </row>
    <row r="80" spans="1:1" x14ac:dyDescent="0.25">
      <c r="A80"/>
    </row>
    <row r="81" spans="1:1" x14ac:dyDescent="0.25">
      <c r="A81"/>
    </row>
    <row r="82" spans="1:1" x14ac:dyDescent="0.25">
      <c r="A82"/>
    </row>
    <row r="83" spans="1:1" x14ac:dyDescent="0.25">
      <c r="A83"/>
    </row>
    <row r="84" spans="1:1" x14ac:dyDescent="0.25">
      <c r="A84"/>
    </row>
    <row r="85" spans="1:1" x14ac:dyDescent="0.25">
      <c r="A85"/>
    </row>
    <row r="86" spans="1:1" x14ac:dyDescent="0.25">
      <c r="A86"/>
    </row>
    <row r="87" spans="1:1" x14ac:dyDescent="0.25">
      <c r="A87"/>
    </row>
    <row r="88" spans="1:1" x14ac:dyDescent="0.25">
      <c r="A88"/>
    </row>
    <row r="89" spans="1:1" x14ac:dyDescent="0.25">
      <c r="A89"/>
    </row>
    <row r="90" spans="1:1" x14ac:dyDescent="0.25">
      <c r="A90"/>
    </row>
    <row r="91" spans="1:1" x14ac:dyDescent="0.25">
      <c r="A91"/>
    </row>
    <row r="92" spans="1:1" x14ac:dyDescent="0.25">
      <c r="A92"/>
    </row>
    <row r="93" spans="1:1" x14ac:dyDescent="0.25">
      <c r="A93"/>
    </row>
    <row r="94" spans="1:1" x14ac:dyDescent="0.25">
      <c r="A94"/>
    </row>
    <row r="95" spans="1:1" x14ac:dyDescent="0.25">
      <c r="A95"/>
    </row>
    <row r="96" spans="1:1" x14ac:dyDescent="0.25">
      <c r="A96"/>
    </row>
    <row r="97" spans="1:1" x14ac:dyDescent="0.25">
      <c r="A97"/>
    </row>
    <row r="98" spans="1:1" x14ac:dyDescent="0.25">
      <c r="A98"/>
    </row>
    <row r="99" spans="1:1" x14ac:dyDescent="0.25">
      <c r="A99"/>
    </row>
    <row r="100" spans="1:1" x14ac:dyDescent="0.25">
      <c r="A100"/>
    </row>
    <row r="101" spans="1:1" x14ac:dyDescent="0.25">
      <c r="A101"/>
    </row>
    <row r="102" spans="1:1" x14ac:dyDescent="0.25">
      <c r="A102"/>
    </row>
    <row r="103" spans="1:1" x14ac:dyDescent="0.25">
      <c r="A103"/>
    </row>
    <row r="104" spans="1:1" x14ac:dyDescent="0.25">
      <c r="A104"/>
    </row>
    <row r="105" spans="1:1" x14ac:dyDescent="0.25">
      <c r="A105"/>
    </row>
    <row r="106" spans="1:1" x14ac:dyDescent="0.25">
      <c r="A106"/>
    </row>
    <row r="107" spans="1:1" x14ac:dyDescent="0.25">
      <c r="A107"/>
    </row>
    <row r="108" spans="1:1" x14ac:dyDescent="0.25">
      <c r="A108"/>
    </row>
    <row r="109" spans="1:1" x14ac:dyDescent="0.25">
      <c r="A109"/>
    </row>
    <row r="110" spans="1:1" x14ac:dyDescent="0.25">
      <c r="A110"/>
    </row>
    <row r="111" spans="1:1" x14ac:dyDescent="0.25">
      <c r="A111"/>
    </row>
    <row r="112" spans="1:1" x14ac:dyDescent="0.25">
      <c r="A112"/>
    </row>
    <row r="113" spans="1:1" x14ac:dyDescent="0.25">
      <c r="A113"/>
    </row>
    <row r="114" spans="1:1" x14ac:dyDescent="0.25">
      <c r="A114"/>
    </row>
    <row r="115" spans="1:1" x14ac:dyDescent="0.25">
      <c r="A115"/>
    </row>
    <row r="116" spans="1:1" x14ac:dyDescent="0.25">
      <c r="A116"/>
    </row>
    <row r="117" spans="1:1" x14ac:dyDescent="0.25">
      <c r="A117"/>
    </row>
    <row r="118" spans="1:1" x14ac:dyDescent="0.25">
      <c r="A118"/>
    </row>
    <row r="119" spans="1:1" x14ac:dyDescent="0.25">
      <c r="A119"/>
    </row>
    <row r="120" spans="1:1" x14ac:dyDescent="0.25">
      <c r="A120"/>
    </row>
    <row r="121" spans="1:1" x14ac:dyDescent="0.25">
      <c r="A121"/>
    </row>
    <row r="122" spans="1:1" x14ac:dyDescent="0.25">
      <c r="A122"/>
    </row>
    <row r="123" spans="1:1" x14ac:dyDescent="0.25">
      <c r="A123"/>
    </row>
    <row r="124" spans="1:1" x14ac:dyDescent="0.25">
      <c r="A124"/>
    </row>
    <row r="125" spans="1:1" x14ac:dyDescent="0.25">
      <c r="A125"/>
    </row>
    <row r="126" spans="1:1" x14ac:dyDescent="0.25">
      <c r="A126"/>
    </row>
    <row r="127" spans="1:1" x14ac:dyDescent="0.25">
      <c r="A127"/>
    </row>
    <row r="128" spans="1:1" x14ac:dyDescent="0.25">
      <c r="A128"/>
    </row>
    <row r="129" spans="1:1" x14ac:dyDescent="0.25">
      <c r="A129"/>
    </row>
    <row r="130" spans="1:1" x14ac:dyDescent="0.25">
      <c r="A130"/>
    </row>
    <row r="131" spans="1:1" x14ac:dyDescent="0.25">
      <c r="A131"/>
    </row>
    <row r="132" spans="1:1" x14ac:dyDescent="0.25">
      <c r="A132"/>
    </row>
    <row r="133" spans="1:1" x14ac:dyDescent="0.25">
      <c r="A133"/>
    </row>
    <row r="134" spans="1:1" x14ac:dyDescent="0.25">
      <c r="A134"/>
    </row>
    <row r="135" spans="1:1" x14ac:dyDescent="0.25">
      <c r="A135"/>
    </row>
    <row r="136" spans="1:1" x14ac:dyDescent="0.25">
      <c r="A136"/>
    </row>
    <row r="137" spans="1:1" x14ac:dyDescent="0.25">
      <c r="A137"/>
    </row>
    <row r="138" spans="1:1" x14ac:dyDescent="0.25">
      <c r="A138"/>
    </row>
    <row r="139" spans="1:1" x14ac:dyDescent="0.25">
      <c r="A139"/>
    </row>
    <row r="140" spans="1:1" x14ac:dyDescent="0.25">
      <c r="A140"/>
    </row>
    <row r="141" spans="1:1" x14ac:dyDescent="0.25">
      <c r="A141"/>
    </row>
    <row r="142" spans="1:1" x14ac:dyDescent="0.25">
      <c r="A142"/>
    </row>
    <row r="143" spans="1:1" x14ac:dyDescent="0.25">
      <c r="A143"/>
    </row>
    <row r="144" spans="1:1" x14ac:dyDescent="0.25">
      <c r="A144"/>
    </row>
    <row r="145" spans="1:1" x14ac:dyDescent="0.25">
      <c r="A145"/>
    </row>
    <row r="146" spans="1:1" x14ac:dyDescent="0.25">
      <c r="A146"/>
    </row>
    <row r="147" spans="1:1" x14ac:dyDescent="0.25">
      <c r="A147"/>
    </row>
    <row r="148" spans="1:1" x14ac:dyDescent="0.25">
      <c r="A148"/>
    </row>
    <row r="149" spans="1:1" x14ac:dyDescent="0.25">
      <c r="A149"/>
    </row>
    <row r="150" spans="1:1" x14ac:dyDescent="0.25">
      <c r="A150"/>
    </row>
    <row r="151" spans="1:1" x14ac:dyDescent="0.25">
      <c r="A151"/>
    </row>
    <row r="152" spans="1:1" x14ac:dyDescent="0.25">
      <c r="A152"/>
    </row>
    <row r="153" spans="1:1" x14ac:dyDescent="0.25">
      <c r="A153"/>
    </row>
    <row r="154" spans="1:1" x14ac:dyDescent="0.25">
      <c r="A154"/>
    </row>
    <row r="155" spans="1:1" x14ac:dyDescent="0.25">
      <c r="A155"/>
    </row>
    <row r="156" spans="1:1" x14ac:dyDescent="0.25">
      <c r="A156"/>
    </row>
    <row r="157" spans="1:1" x14ac:dyDescent="0.25">
      <c r="A157"/>
    </row>
    <row r="158" spans="1:1" x14ac:dyDescent="0.25">
      <c r="A158"/>
    </row>
    <row r="159" spans="1:1" x14ac:dyDescent="0.25">
      <c r="A159"/>
    </row>
    <row r="160" spans="1:1" x14ac:dyDescent="0.25">
      <c r="A160"/>
    </row>
    <row r="161" spans="1:1" x14ac:dyDescent="0.25">
      <c r="A161"/>
    </row>
    <row r="162" spans="1:1" x14ac:dyDescent="0.25">
      <c r="A162"/>
    </row>
    <row r="163" spans="1:1" x14ac:dyDescent="0.25">
      <c r="A163"/>
    </row>
    <row r="164" spans="1:1" x14ac:dyDescent="0.25">
      <c r="A164"/>
    </row>
    <row r="165" spans="1:1" x14ac:dyDescent="0.25">
      <c r="A165"/>
    </row>
    <row r="166" spans="1:1" x14ac:dyDescent="0.25">
      <c r="A166"/>
    </row>
    <row r="167" spans="1:1" x14ac:dyDescent="0.25">
      <c r="A167"/>
    </row>
    <row r="168" spans="1:1" x14ac:dyDescent="0.25">
      <c r="A168"/>
    </row>
    <row r="169" spans="1:1" x14ac:dyDescent="0.25">
      <c r="A169"/>
    </row>
    <row r="170" spans="1:1" x14ac:dyDescent="0.25">
      <c r="A170"/>
    </row>
    <row r="171" spans="1:1" x14ac:dyDescent="0.25">
      <c r="A171"/>
    </row>
    <row r="172" spans="1:1" x14ac:dyDescent="0.25">
      <c r="A172"/>
    </row>
    <row r="173" spans="1:1" x14ac:dyDescent="0.25">
      <c r="A173"/>
    </row>
    <row r="174" spans="1:1" x14ac:dyDescent="0.25">
      <c r="A174"/>
    </row>
    <row r="175" spans="1:1" x14ac:dyDescent="0.25">
      <c r="A175"/>
    </row>
    <row r="176" spans="1:1" x14ac:dyDescent="0.25">
      <c r="A176"/>
    </row>
    <row r="177" spans="1:1" x14ac:dyDescent="0.25">
      <c r="A177"/>
    </row>
    <row r="178" spans="1:1" x14ac:dyDescent="0.25">
      <c r="A178"/>
    </row>
    <row r="179" spans="1:1" x14ac:dyDescent="0.25">
      <c r="A179"/>
    </row>
    <row r="180" spans="1:1" x14ac:dyDescent="0.25">
      <c r="A180"/>
    </row>
    <row r="181" spans="1:1" x14ac:dyDescent="0.25">
      <c r="A181"/>
    </row>
    <row r="182" spans="1:1" x14ac:dyDescent="0.25">
      <c r="A182"/>
    </row>
    <row r="183" spans="1:1" x14ac:dyDescent="0.25">
      <c r="A183"/>
    </row>
    <row r="184" spans="1:1" x14ac:dyDescent="0.25">
      <c r="A184"/>
    </row>
    <row r="185" spans="1:1" x14ac:dyDescent="0.25">
      <c r="A185"/>
    </row>
    <row r="186" spans="1:1" x14ac:dyDescent="0.25">
      <c r="A186"/>
    </row>
    <row r="187" spans="1:1" x14ac:dyDescent="0.25">
      <c r="A187"/>
    </row>
    <row r="188" spans="1:1" x14ac:dyDescent="0.25">
      <c r="A188"/>
    </row>
    <row r="189" spans="1:1" x14ac:dyDescent="0.25">
      <c r="A189"/>
    </row>
    <row r="190" spans="1:1" x14ac:dyDescent="0.25">
      <c r="A190"/>
    </row>
    <row r="191" spans="1:1" x14ac:dyDescent="0.25">
      <c r="A191"/>
    </row>
    <row r="192" spans="1:1" x14ac:dyDescent="0.25">
      <c r="A192"/>
    </row>
    <row r="193" spans="1:1" x14ac:dyDescent="0.25">
      <c r="A193"/>
    </row>
    <row r="194" spans="1:1" x14ac:dyDescent="0.25">
      <c r="A194"/>
    </row>
    <row r="195" spans="1:1" x14ac:dyDescent="0.25">
      <c r="A195"/>
    </row>
    <row r="196" spans="1:1" x14ac:dyDescent="0.25">
      <c r="A196"/>
    </row>
    <row r="197" spans="1:1" x14ac:dyDescent="0.25">
      <c r="A197"/>
    </row>
    <row r="198" spans="1:1" x14ac:dyDescent="0.25">
      <c r="A198"/>
    </row>
    <row r="199" spans="1:1" x14ac:dyDescent="0.25">
      <c r="A199"/>
    </row>
    <row r="200" spans="1:1" x14ac:dyDescent="0.25">
      <c r="A200"/>
    </row>
    <row r="201" spans="1:1" x14ac:dyDescent="0.25">
      <c r="A201"/>
    </row>
    <row r="202" spans="1:1" x14ac:dyDescent="0.25">
      <c r="A202"/>
    </row>
    <row r="203" spans="1:1" x14ac:dyDescent="0.25">
      <c r="A203"/>
    </row>
    <row r="204" spans="1:1" x14ac:dyDescent="0.25">
      <c r="A204"/>
    </row>
    <row r="205" spans="1:1" x14ac:dyDescent="0.25">
      <c r="A205"/>
    </row>
    <row r="206" spans="1:1" x14ac:dyDescent="0.25">
      <c r="A206"/>
    </row>
    <row r="207" spans="1:1" x14ac:dyDescent="0.25">
      <c r="A207"/>
    </row>
    <row r="208" spans="1:1" x14ac:dyDescent="0.25">
      <c r="A208"/>
    </row>
    <row r="209" spans="1:1" x14ac:dyDescent="0.25">
      <c r="A209"/>
    </row>
    <row r="210" spans="1:1" x14ac:dyDescent="0.25">
      <c r="A210"/>
    </row>
    <row r="211" spans="1:1" x14ac:dyDescent="0.25">
      <c r="A211"/>
    </row>
    <row r="212" spans="1:1" x14ac:dyDescent="0.25">
      <c r="A212"/>
    </row>
    <row r="213" spans="1:1" x14ac:dyDescent="0.25">
      <c r="A213"/>
    </row>
    <row r="214" spans="1:1" x14ac:dyDescent="0.25">
      <c r="A214"/>
    </row>
    <row r="215" spans="1:1" x14ac:dyDescent="0.25">
      <c r="A215"/>
    </row>
    <row r="216" spans="1:1" x14ac:dyDescent="0.25">
      <c r="A216"/>
    </row>
    <row r="217" spans="1:1" x14ac:dyDescent="0.25">
      <c r="A217"/>
    </row>
    <row r="218" spans="1:1" x14ac:dyDescent="0.25">
      <c r="A218"/>
    </row>
    <row r="219" spans="1:1" x14ac:dyDescent="0.25">
      <c r="A219"/>
    </row>
    <row r="220" spans="1:1" x14ac:dyDescent="0.25">
      <c r="A220"/>
    </row>
    <row r="221" spans="1:1" x14ac:dyDescent="0.25">
      <c r="A221"/>
    </row>
    <row r="222" spans="1:1" x14ac:dyDescent="0.25">
      <c r="A222"/>
    </row>
    <row r="223" spans="1:1" x14ac:dyDescent="0.25">
      <c r="A223"/>
    </row>
    <row r="224" spans="1:1" x14ac:dyDescent="0.25">
      <c r="A224"/>
    </row>
    <row r="225" spans="1:1" x14ac:dyDescent="0.25">
      <c r="A225"/>
    </row>
    <row r="226" spans="1:1" x14ac:dyDescent="0.25">
      <c r="A226"/>
    </row>
    <row r="227" spans="1:1" x14ac:dyDescent="0.25">
      <c r="A227"/>
    </row>
    <row r="228" spans="1:1" x14ac:dyDescent="0.25">
      <c r="A228"/>
    </row>
    <row r="229" spans="1:1" x14ac:dyDescent="0.25">
      <c r="A229"/>
    </row>
    <row r="230" spans="1:1" x14ac:dyDescent="0.25">
      <c r="A230"/>
    </row>
    <row r="231" spans="1:1" x14ac:dyDescent="0.25">
      <c r="A231"/>
    </row>
    <row r="232" spans="1:1" x14ac:dyDescent="0.25">
      <c r="A232"/>
    </row>
    <row r="233" spans="1:1" x14ac:dyDescent="0.25">
      <c r="A233"/>
    </row>
    <row r="234" spans="1:1" x14ac:dyDescent="0.25">
      <c r="A234"/>
    </row>
    <row r="235" spans="1:1" x14ac:dyDescent="0.25">
      <c r="A235"/>
    </row>
    <row r="236" spans="1:1" x14ac:dyDescent="0.25">
      <c r="A236"/>
    </row>
    <row r="237" spans="1:1" x14ac:dyDescent="0.25">
      <c r="A237"/>
    </row>
    <row r="238" spans="1:1" x14ac:dyDescent="0.25">
      <c r="A238"/>
    </row>
    <row r="239" spans="1:1" x14ac:dyDescent="0.25">
      <c r="A239"/>
    </row>
    <row r="240" spans="1:1" x14ac:dyDescent="0.25">
      <c r="A240"/>
    </row>
    <row r="241" spans="1:1" x14ac:dyDescent="0.25">
      <c r="A241"/>
    </row>
    <row r="242" spans="1:1" x14ac:dyDescent="0.25">
      <c r="A242"/>
    </row>
    <row r="243" spans="1:1" x14ac:dyDescent="0.25">
      <c r="A243"/>
    </row>
    <row r="244" spans="1:1" x14ac:dyDescent="0.25">
      <c r="A244"/>
    </row>
    <row r="245" spans="1:1" x14ac:dyDescent="0.25">
      <c r="A245"/>
    </row>
    <row r="246" spans="1:1" x14ac:dyDescent="0.25">
      <c r="A246"/>
    </row>
    <row r="247" spans="1:1" x14ac:dyDescent="0.25">
      <c r="A247"/>
    </row>
    <row r="248" spans="1:1" x14ac:dyDescent="0.25">
      <c r="A248"/>
    </row>
    <row r="249" spans="1:1" x14ac:dyDescent="0.25">
      <c r="A249"/>
    </row>
    <row r="250" spans="1:1" x14ac:dyDescent="0.25">
      <c r="A250"/>
    </row>
    <row r="251" spans="1:1" x14ac:dyDescent="0.25">
      <c r="A251"/>
    </row>
    <row r="252" spans="1:1" x14ac:dyDescent="0.25">
      <c r="A252"/>
    </row>
    <row r="253" spans="1:1" x14ac:dyDescent="0.25">
      <c r="A253"/>
    </row>
    <row r="254" spans="1:1" x14ac:dyDescent="0.25">
      <c r="A254"/>
    </row>
    <row r="255" spans="1:1" x14ac:dyDescent="0.25">
      <c r="A255"/>
    </row>
    <row r="256" spans="1:1" x14ac:dyDescent="0.25">
      <c r="A256"/>
    </row>
    <row r="257" spans="1:1" x14ac:dyDescent="0.25">
      <c r="A257"/>
    </row>
    <row r="258" spans="1:1" x14ac:dyDescent="0.25">
      <c r="A258"/>
    </row>
    <row r="259" spans="1:1" x14ac:dyDescent="0.25">
      <c r="A259"/>
    </row>
    <row r="260" spans="1:1" x14ac:dyDescent="0.25">
      <c r="A260"/>
    </row>
    <row r="261" spans="1:1" x14ac:dyDescent="0.25">
      <c r="A261"/>
    </row>
    <row r="262" spans="1:1" x14ac:dyDescent="0.25">
      <c r="A262"/>
    </row>
    <row r="263" spans="1:1" x14ac:dyDescent="0.25">
      <c r="A263"/>
    </row>
    <row r="264" spans="1:1" x14ac:dyDescent="0.25">
      <c r="A264"/>
    </row>
    <row r="265" spans="1:1" x14ac:dyDescent="0.25">
      <c r="A265"/>
    </row>
    <row r="266" spans="1:1" x14ac:dyDescent="0.25">
      <c r="A266"/>
    </row>
    <row r="267" spans="1:1" x14ac:dyDescent="0.25">
      <c r="A267"/>
    </row>
    <row r="268" spans="1:1" x14ac:dyDescent="0.25">
      <c r="A268"/>
    </row>
    <row r="269" spans="1:1" x14ac:dyDescent="0.25">
      <c r="A269"/>
    </row>
    <row r="270" spans="1:1" x14ac:dyDescent="0.25">
      <c r="A270"/>
    </row>
    <row r="271" spans="1:1" x14ac:dyDescent="0.25">
      <c r="A271"/>
    </row>
    <row r="272" spans="1:1" x14ac:dyDescent="0.25">
      <c r="A272"/>
    </row>
    <row r="273" spans="1:1" x14ac:dyDescent="0.25">
      <c r="A273"/>
    </row>
    <row r="274" spans="1:1" x14ac:dyDescent="0.25">
      <c r="A274"/>
    </row>
    <row r="275" spans="1:1" x14ac:dyDescent="0.25">
      <c r="A275"/>
    </row>
    <row r="276" spans="1:1" x14ac:dyDescent="0.25">
      <c r="A276"/>
    </row>
    <row r="277" spans="1:1" x14ac:dyDescent="0.25">
      <c r="A277"/>
    </row>
    <row r="278" spans="1:1" x14ac:dyDescent="0.25">
      <c r="A278"/>
    </row>
    <row r="279" spans="1:1" x14ac:dyDescent="0.25">
      <c r="A279"/>
    </row>
    <row r="280" spans="1:1" x14ac:dyDescent="0.25">
      <c r="A280"/>
    </row>
    <row r="281" spans="1:1" x14ac:dyDescent="0.25">
      <c r="A281"/>
    </row>
    <row r="282" spans="1:1" x14ac:dyDescent="0.25">
      <c r="A282"/>
    </row>
    <row r="283" spans="1:1" x14ac:dyDescent="0.25">
      <c r="A283"/>
    </row>
    <row r="284" spans="1:1" x14ac:dyDescent="0.25">
      <c r="A284"/>
    </row>
    <row r="285" spans="1:1" x14ac:dyDescent="0.25">
      <c r="A285"/>
    </row>
    <row r="286" spans="1:1" x14ac:dyDescent="0.25">
      <c r="A286"/>
    </row>
    <row r="287" spans="1:1" x14ac:dyDescent="0.25">
      <c r="A287"/>
    </row>
    <row r="288" spans="1:1" x14ac:dyDescent="0.25">
      <c r="A288"/>
    </row>
    <row r="289" spans="1:1" x14ac:dyDescent="0.25">
      <c r="A289"/>
    </row>
    <row r="290" spans="1:1" x14ac:dyDescent="0.25">
      <c r="A290"/>
    </row>
    <row r="291" spans="1:1" x14ac:dyDescent="0.25">
      <c r="A291"/>
    </row>
    <row r="292" spans="1:1" x14ac:dyDescent="0.25">
      <c r="A292"/>
    </row>
    <row r="293" spans="1:1" x14ac:dyDescent="0.25">
      <c r="A293"/>
    </row>
    <row r="294" spans="1:1" x14ac:dyDescent="0.25">
      <c r="A294"/>
    </row>
    <row r="295" spans="1:1" x14ac:dyDescent="0.25">
      <c r="A295"/>
    </row>
    <row r="296" spans="1:1" x14ac:dyDescent="0.25">
      <c r="A296"/>
    </row>
    <row r="297" spans="1:1" x14ac:dyDescent="0.25">
      <c r="A297"/>
    </row>
    <row r="298" spans="1:1" x14ac:dyDescent="0.25">
      <c r="A298"/>
    </row>
    <row r="299" spans="1:1" x14ac:dyDescent="0.25">
      <c r="A299"/>
    </row>
    <row r="300" spans="1:1" x14ac:dyDescent="0.25">
      <c r="A300"/>
    </row>
    <row r="301" spans="1:1" x14ac:dyDescent="0.25">
      <c r="A301"/>
    </row>
    <row r="302" spans="1:1" x14ac:dyDescent="0.25">
      <c r="A302"/>
    </row>
    <row r="303" spans="1:1" x14ac:dyDescent="0.25">
      <c r="A303"/>
    </row>
    <row r="304" spans="1:1" x14ac:dyDescent="0.25">
      <c r="A304"/>
    </row>
    <row r="305" spans="1:1" x14ac:dyDescent="0.25">
      <c r="A305"/>
    </row>
    <row r="306" spans="1:1" x14ac:dyDescent="0.25">
      <c r="A306"/>
    </row>
    <row r="307" spans="1:1" x14ac:dyDescent="0.25">
      <c r="A307"/>
    </row>
    <row r="308" spans="1:1" x14ac:dyDescent="0.25">
      <c r="A308"/>
    </row>
    <row r="309" spans="1:1" x14ac:dyDescent="0.25">
      <c r="A309"/>
    </row>
    <row r="310" spans="1:1" x14ac:dyDescent="0.25">
      <c r="A310"/>
    </row>
    <row r="311" spans="1:1" x14ac:dyDescent="0.25">
      <c r="A311"/>
    </row>
    <row r="312" spans="1:1" x14ac:dyDescent="0.25">
      <c r="A312"/>
    </row>
    <row r="313" spans="1:1" x14ac:dyDescent="0.25">
      <c r="A313"/>
    </row>
    <row r="314" spans="1:1" x14ac:dyDescent="0.25">
      <c r="A314"/>
    </row>
    <row r="315" spans="1:1" x14ac:dyDescent="0.25">
      <c r="A315"/>
    </row>
    <row r="316" spans="1:1" x14ac:dyDescent="0.25">
      <c r="A316"/>
    </row>
    <row r="317" spans="1:1" x14ac:dyDescent="0.25">
      <c r="A317"/>
    </row>
    <row r="318" spans="1:1" x14ac:dyDescent="0.25">
      <c r="A318"/>
    </row>
    <row r="319" spans="1:1" x14ac:dyDescent="0.25">
      <c r="A319"/>
    </row>
    <row r="320" spans="1:1" x14ac:dyDescent="0.25">
      <c r="A320"/>
    </row>
    <row r="321" spans="1:1" x14ac:dyDescent="0.25">
      <c r="A321"/>
    </row>
    <row r="322" spans="1:1" x14ac:dyDescent="0.25">
      <c r="A322"/>
    </row>
    <row r="323" spans="1:1" x14ac:dyDescent="0.25">
      <c r="A323"/>
    </row>
    <row r="324" spans="1:1" x14ac:dyDescent="0.25">
      <c r="A324"/>
    </row>
    <row r="325" spans="1:1" x14ac:dyDescent="0.25">
      <c r="A325"/>
    </row>
    <row r="326" spans="1:1" x14ac:dyDescent="0.25">
      <c r="A326"/>
    </row>
    <row r="327" spans="1:1" x14ac:dyDescent="0.25">
      <c r="A327"/>
    </row>
    <row r="328" spans="1:1" x14ac:dyDescent="0.25">
      <c r="A328"/>
    </row>
    <row r="329" spans="1:1" x14ac:dyDescent="0.25">
      <c r="A329"/>
    </row>
    <row r="330" spans="1:1" x14ac:dyDescent="0.25">
      <c r="A330"/>
    </row>
    <row r="331" spans="1:1" x14ac:dyDescent="0.25">
      <c r="A331"/>
    </row>
    <row r="332" spans="1:1" x14ac:dyDescent="0.25">
      <c r="A332"/>
    </row>
    <row r="333" spans="1:1" x14ac:dyDescent="0.25">
      <c r="A333"/>
    </row>
    <row r="334" spans="1:1" x14ac:dyDescent="0.25">
      <c r="A334"/>
    </row>
    <row r="335" spans="1:1" x14ac:dyDescent="0.25">
      <c r="A335"/>
    </row>
    <row r="336" spans="1:1" x14ac:dyDescent="0.25">
      <c r="A336"/>
    </row>
    <row r="337" spans="1:1" x14ac:dyDescent="0.25">
      <c r="A337"/>
    </row>
    <row r="338" spans="1:1" x14ac:dyDescent="0.25">
      <c r="A338"/>
    </row>
    <row r="339" spans="1:1" x14ac:dyDescent="0.25">
      <c r="A339"/>
    </row>
    <row r="340" spans="1:1" x14ac:dyDescent="0.25">
      <c r="A340"/>
    </row>
    <row r="341" spans="1:1" x14ac:dyDescent="0.25">
      <c r="A341"/>
    </row>
    <row r="342" spans="1:1" x14ac:dyDescent="0.25">
      <c r="A342"/>
    </row>
    <row r="343" spans="1:1" x14ac:dyDescent="0.25">
      <c r="A343"/>
    </row>
    <row r="344" spans="1:1" x14ac:dyDescent="0.25">
      <c r="A344"/>
    </row>
    <row r="345" spans="1:1" x14ac:dyDescent="0.25">
      <c r="A345"/>
    </row>
    <row r="346" spans="1:1" x14ac:dyDescent="0.25">
      <c r="A346"/>
    </row>
    <row r="347" spans="1:1" x14ac:dyDescent="0.25">
      <c r="A347"/>
    </row>
    <row r="348" spans="1:1" x14ac:dyDescent="0.25">
      <c r="A348"/>
    </row>
    <row r="349" spans="1:1" x14ac:dyDescent="0.25">
      <c r="A349"/>
    </row>
    <row r="350" spans="1:1" x14ac:dyDescent="0.25">
      <c r="A350"/>
    </row>
    <row r="351" spans="1:1" x14ac:dyDescent="0.25">
      <c r="A351"/>
    </row>
    <row r="352" spans="1:1" x14ac:dyDescent="0.25">
      <c r="A352"/>
    </row>
    <row r="353" spans="1:1" x14ac:dyDescent="0.25">
      <c r="A353"/>
    </row>
    <row r="354" spans="1:1" x14ac:dyDescent="0.25">
      <c r="A354"/>
    </row>
    <row r="355" spans="1:1" x14ac:dyDescent="0.25">
      <c r="A355"/>
    </row>
    <row r="356" spans="1:1" x14ac:dyDescent="0.25">
      <c r="A356"/>
    </row>
    <row r="357" spans="1:1" x14ac:dyDescent="0.25">
      <c r="A357"/>
    </row>
    <row r="358" spans="1:1" x14ac:dyDescent="0.25">
      <c r="A358"/>
    </row>
    <row r="359" spans="1:1" x14ac:dyDescent="0.25">
      <c r="A359"/>
    </row>
    <row r="360" spans="1:1" x14ac:dyDescent="0.25">
      <c r="A360"/>
    </row>
    <row r="361" spans="1:1" x14ac:dyDescent="0.25">
      <c r="A361"/>
    </row>
    <row r="362" spans="1:1" x14ac:dyDescent="0.25">
      <c r="A362"/>
    </row>
    <row r="363" spans="1:1" x14ac:dyDescent="0.25">
      <c r="A363"/>
    </row>
    <row r="364" spans="1:1" x14ac:dyDescent="0.25">
      <c r="A364"/>
    </row>
    <row r="365" spans="1:1" x14ac:dyDescent="0.25">
      <c r="A365"/>
    </row>
    <row r="366" spans="1:1" x14ac:dyDescent="0.25">
      <c r="A366"/>
    </row>
    <row r="367" spans="1:1" x14ac:dyDescent="0.25">
      <c r="A367"/>
    </row>
    <row r="368" spans="1:1" x14ac:dyDescent="0.25">
      <c r="A368"/>
    </row>
    <row r="369" spans="1:1" x14ac:dyDescent="0.25">
      <c r="A369"/>
    </row>
    <row r="370" spans="1:1" x14ac:dyDescent="0.25">
      <c r="A370"/>
    </row>
    <row r="371" spans="1:1" x14ac:dyDescent="0.25">
      <c r="A371"/>
    </row>
    <row r="372" spans="1:1" x14ac:dyDescent="0.25">
      <c r="A372"/>
    </row>
    <row r="373" spans="1:1" x14ac:dyDescent="0.25">
      <c r="A373"/>
    </row>
    <row r="374" spans="1:1" x14ac:dyDescent="0.25">
      <c r="A374"/>
    </row>
    <row r="375" spans="1:1" x14ac:dyDescent="0.25">
      <c r="A375"/>
    </row>
    <row r="376" spans="1:1" x14ac:dyDescent="0.25">
      <c r="A376"/>
    </row>
    <row r="377" spans="1:1" x14ac:dyDescent="0.25">
      <c r="A377"/>
    </row>
    <row r="378" spans="1:1" x14ac:dyDescent="0.25">
      <c r="A378"/>
    </row>
    <row r="379" spans="1:1" x14ac:dyDescent="0.25">
      <c r="A379"/>
    </row>
    <row r="380" spans="1:1" x14ac:dyDescent="0.25">
      <c r="A380"/>
    </row>
    <row r="381" spans="1:1" x14ac:dyDescent="0.25">
      <c r="A381"/>
    </row>
    <row r="382" spans="1:1" x14ac:dyDescent="0.25">
      <c r="A382"/>
    </row>
    <row r="383" spans="1:1" x14ac:dyDescent="0.25">
      <c r="A383"/>
    </row>
    <row r="384" spans="1:1" x14ac:dyDescent="0.25">
      <c r="A384"/>
    </row>
    <row r="385" spans="1:1" x14ac:dyDescent="0.25">
      <c r="A385"/>
    </row>
    <row r="386" spans="1:1" x14ac:dyDescent="0.25">
      <c r="A386"/>
    </row>
    <row r="387" spans="1:1" x14ac:dyDescent="0.25">
      <c r="A387"/>
    </row>
    <row r="388" spans="1:1" x14ac:dyDescent="0.25">
      <c r="A388"/>
    </row>
    <row r="389" spans="1:1" x14ac:dyDescent="0.25">
      <c r="A389"/>
    </row>
    <row r="390" spans="1:1" x14ac:dyDescent="0.25">
      <c r="A390"/>
    </row>
    <row r="391" spans="1:1" x14ac:dyDescent="0.25">
      <c r="A391"/>
    </row>
    <row r="392" spans="1:1" x14ac:dyDescent="0.25">
      <c r="A392"/>
    </row>
  </sheetData>
  <sortState ref="A2:A395">
    <sortCondition ref="A2:A395"/>
  </sortState>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K37"/>
  <sheetViews>
    <sheetView zoomScaleNormal="100" workbookViewId="0">
      <pane ySplit="3" topLeftCell="A4" activePane="bottomLeft" state="frozen"/>
      <selection pane="bottomLeft" activeCell="E19" sqref="E19"/>
    </sheetView>
  </sheetViews>
  <sheetFormatPr defaultColWidth="9.140625" defaultRowHeight="15" x14ac:dyDescent="0.25"/>
  <cols>
    <col min="1" max="1" width="13.28515625" style="151" bestFit="1" customWidth="1"/>
    <col min="2" max="2" width="9.7109375" style="151" customWidth="1"/>
    <col min="3" max="3" width="19.42578125" style="151" bestFit="1" customWidth="1"/>
    <col min="4" max="4" width="32.28515625" style="151" customWidth="1"/>
    <col min="5" max="5" width="30.42578125" style="151" bestFit="1" customWidth="1"/>
    <col min="6" max="6" width="19.85546875" style="151" bestFit="1" customWidth="1"/>
    <col min="7" max="7" width="10.7109375" style="151" bestFit="1" customWidth="1"/>
    <col min="8" max="8" width="11.140625" style="151" bestFit="1" customWidth="1"/>
    <col min="9" max="9" width="11.140625" style="151" customWidth="1"/>
    <col min="10" max="10" width="7.28515625" style="151" bestFit="1" customWidth="1"/>
    <col min="11" max="11" width="15.7109375" style="151" customWidth="1"/>
    <col min="12" max="16384" width="9.140625" style="151"/>
  </cols>
  <sheetData>
    <row r="1" spans="1:11" ht="27.75" customHeight="1" thickBot="1" x14ac:dyDescent="0.35">
      <c r="A1" s="519" t="s">
        <v>333</v>
      </c>
      <c r="B1" s="520"/>
      <c r="C1" s="520"/>
      <c r="D1" s="520"/>
      <c r="E1" s="520"/>
      <c r="F1" s="520"/>
      <c r="G1" s="520"/>
      <c r="H1" s="520"/>
      <c r="I1" s="520"/>
      <c r="J1" s="520"/>
      <c r="K1" s="521"/>
    </row>
    <row r="2" spans="1:11" x14ac:dyDescent="0.25">
      <c r="A2" s="522" t="s">
        <v>34</v>
      </c>
      <c r="B2" s="524" t="s">
        <v>334</v>
      </c>
      <c r="C2" s="524" t="s">
        <v>335</v>
      </c>
      <c r="D2" s="524" t="s">
        <v>98</v>
      </c>
      <c r="E2" s="524" t="s">
        <v>336</v>
      </c>
      <c r="F2" s="524" t="s">
        <v>337</v>
      </c>
      <c r="G2" s="526" t="s">
        <v>338</v>
      </c>
      <c r="H2" s="526"/>
      <c r="I2" s="526"/>
      <c r="J2" s="526"/>
      <c r="K2" s="526"/>
    </row>
    <row r="3" spans="1:11" ht="30.6" customHeight="1" x14ac:dyDescent="0.25">
      <c r="A3" s="523"/>
      <c r="B3" s="525"/>
      <c r="C3" s="525"/>
      <c r="D3" s="525"/>
      <c r="E3" s="525"/>
      <c r="F3" s="525"/>
      <c r="G3" s="399" t="s">
        <v>339</v>
      </c>
      <c r="H3" s="400" t="s">
        <v>340</v>
      </c>
      <c r="I3" s="451" t="s">
        <v>642</v>
      </c>
      <c r="J3" s="399" t="s">
        <v>341</v>
      </c>
      <c r="K3" s="399" t="s">
        <v>342</v>
      </c>
    </row>
    <row r="4" spans="1:11" ht="16.5" x14ac:dyDescent="0.3">
      <c r="A4" s="258" t="s">
        <v>635</v>
      </c>
      <c r="B4" s="258" t="s">
        <v>148</v>
      </c>
      <c r="C4" s="384" t="s">
        <v>595</v>
      </c>
      <c r="D4" s="379" t="s">
        <v>362</v>
      </c>
      <c r="E4" s="379" t="s">
        <v>362</v>
      </c>
      <c r="F4" s="385"/>
      <c r="G4" s="285" t="s">
        <v>343</v>
      </c>
      <c r="H4" s="259"/>
      <c r="I4" s="452" t="s">
        <v>343</v>
      </c>
      <c r="J4" s="285" t="s">
        <v>343</v>
      </c>
      <c r="K4" s="285" t="s">
        <v>343</v>
      </c>
    </row>
    <row r="5" spans="1:11" ht="33" x14ac:dyDescent="0.3">
      <c r="A5" s="258" t="s">
        <v>635</v>
      </c>
      <c r="B5" s="258" t="s">
        <v>148</v>
      </c>
      <c r="C5" s="384" t="s">
        <v>602</v>
      </c>
      <c r="D5" s="379" t="s">
        <v>371</v>
      </c>
      <c r="E5" s="379" t="s">
        <v>371</v>
      </c>
      <c r="F5" s="385"/>
      <c r="G5" s="285" t="s">
        <v>343</v>
      </c>
      <c r="H5" s="259"/>
      <c r="I5" s="452"/>
      <c r="J5" s="285" t="s">
        <v>343</v>
      </c>
      <c r="K5" s="285" t="s">
        <v>343</v>
      </c>
    </row>
    <row r="6" spans="1:11" ht="16.5" x14ac:dyDescent="0.3">
      <c r="A6" s="258" t="s">
        <v>635</v>
      </c>
      <c r="B6" s="258" t="s">
        <v>148</v>
      </c>
      <c r="C6" s="384" t="s">
        <v>596</v>
      </c>
      <c r="D6" s="379" t="s">
        <v>376</v>
      </c>
      <c r="E6" s="379" t="s">
        <v>376</v>
      </c>
      <c r="F6" s="385"/>
      <c r="G6" s="285" t="s">
        <v>343</v>
      </c>
      <c r="H6" s="285" t="s">
        <v>343</v>
      </c>
      <c r="I6" s="452"/>
      <c r="J6" s="285" t="s">
        <v>343</v>
      </c>
      <c r="K6" s="285" t="s">
        <v>343</v>
      </c>
    </row>
    <row r="7" spans="1:11" ht="16.5" x14ac:dyDescent="0.3">
      <c r="A7" s="258" t="s">
        <v>635</v>
      </c>
      <c r="B7" s="258" t="s">
        <v>148</v>
      </c>
      <c r="C7" s="384" t="s">
        <v>603</v>
      </c>
      <c r="D7" s="379" t="s">
        <v>372</v>
      </c>
      <c r="E7" s="379" t="s">
        <v>372</v>
      </c>
      <c r="F7" s="385"/>
      <c r="G7" s="285" t="s">
        <v>343</v>
      </c>
      <c r="H7" s="285" t="s">
        <v>343</v>
      </c>
      <c r="I7" s="452"/>
      <c r="J7" s="285" t="s">
        <v>343</v>
      </c>
      <c r="K7" s="285" t="s">
        <v>343</v>
      </c>
    </row>
    <row r="8" spans="1:11" ht="25.5" x14ac:dyDescent="0.3">
      <c r="A8" s="258" t="s">
        <v>635</v>
      </c>
      <c r="B8" s="258" t="s">
        <v>148</v>
      </c>
      <c r="C8" s="384" t="s">
        <v>597</v>
      </c>
      <c r="D8" s="379" t="s">
        <v>379</v>
      </c>
      <c r="E8" s="379" t="s">
        <v>379</v>
      </c>
      <c r="F8" s="385"/>
      <c r="G8" s="285" t="s">
        <v>343</v>
      </c>
      <c r="H8" s="285" t="s">
        <v>343</v>
      </c>
      <c r="I8" s="452"/>
      <c r="J8" s="285" t="s">
        <v>343</v>
      </c>
      <c r="K8" s="285" t="s">
        <v>343</v>
      </c>
    </row>
    <row r="9" spans="1:11" ht="15.75" x14ac:dyDescent="0.3">
      <c r="A9" s="258" t="s">
        <v>635</v>
      </c>
      <c r="B9" s="258" t="s">
        <v>148</v>
      </c>
      <c r="C9" s="258" t="s">
        <v>608</v>
      </c>
      <c r="D9" s="420" t="s">
        <v>590</v>
      </c>
      <c r="E9" s="420" t="s">
        <v>590</v>
      </c>
      <c r="F9" s="258"/>
      <c r="G9" s="285" t="s">
        <v>343</v>
      </c>
      <c r="H9" s="259"/>
      <c r="I9" s="452" t="s">
        <v>343</v>
      </c>
      <c r="J9" s="285" t="s">
        <v>343</v>
      </c>
      <c r="K9" s="285" t="s">
        <v>343</v>
      </c>
    </row>
    <row r="10" spans="1:11" ht="16.5" x14ac:dyDescent="0.3">
      <c r="A10" s="258" t="s">
        <v>635</v>
      </c>
      <c r="B10" s="258" t="s">
        <v>148</v>
      </c>
      <c r="C10" s="384" t="s">
        <v>604</v>
      </c>
      <c r="D10" s="379" t="s">
        <v>591</v>
      </c>
      <c r="E10" s="379" t="s">
        <v>591</v>
      </c>
      <c r="F10" s="385"/>
      <c r="G10" s="285" t="s">
        <v>343</v>
      </c>
      <c r="H10" s="259"/>
      <c r="I10" s="452"/>
      <c r="J10" s="285" t="s">
        <v>343</v>
      </c>
      <c r="K10" s="285" t="s">
        <v>343</v>
      </c>
    </row>
    <row r="11" spans="1:11" ht="16.5" x14ac:dyDescent="0.3">
      <c r="A11" s="258" t="s">
        <v>635</v>
      </c>
      <c r="B11" s="258" t="s">
        <v>148</v>
      </c>
      <c r="C11" s="384" t="s">
        <v>605</v>
      </c>
      <c r="D11" s="420" t="s">
        <v>609</v>
      </c>
      <c r="E11" s="420" t="s">
        <v>609</v>
      </c>
      <c r="F11" s="258"/>
      <c r="G11" s="285" t="s">
        <v>343</v>
      </c>
      <c r="H11" s="285" t="s">
        <v>343</v>
      </c>
      <c r="I11" s="452"/>
      <c r="J11" s="285" t="s">
        <v>343</v>
      </c>
      <c r="K11" s="285" t="s">
        <v>343</v>
      </c>
    </row>
    <row r="12" spans="1:11" ht="15.75" x14ac:dyDescent="0.3">
      <c r="A12" s="258" t="s">
        <v>635</v>
      </c>
      <c r="B12" s="258" t="s">
        <v>148</v>
      </c>
      <c r="C12" s="258" t="s">
        <v>661</v>
      </c>
      <c r="D12" s="420" t="s">
        <v>662</v>
      </c>
      <c r="E12" s="420" t="s">
        <v>662</v>
      </c>
      <c r="F12" s="258"/>
      <c r="G12" s="285" t="s">
        <v>343</v>
      </c>
      <c r="H12" s="285" t="s">
        <v>343</v>
      </c>
      <c r="I12" s="462" t="s">
        <v>343</v>
      </c>
      <c r="J12" s="285" t="s">
        <v>343</v>
      </c>
      <c r="K12" s="259"/>
    </row>
    <row r="13" spans="1:11" ht="15.75" x14ac:dyDescent="0.3">
      <c r="A13" s="258" t="s">
        <v>635</v>
      </c>
      <c r="B13" s="258" t="s">
        <v>148</v>
      </c>
      <c r="C13" s="258" t="s">
        <v>795</v>
      </c>
      <c r="D13" s="420" t="s">
        <v>798</v>
      </c>
      <c r="E13" s="420" t="s">
        <v>798</v>
      </c>
      <c r="F13" s="258"/>
      <c r="G13" s="285"/>
      <c r="H13" s="285" t="s">
        <v>343</v>
      </c>
      <c r="I13" s="462"/>
      <c r="J13" s="285"/>
      <c r="K13" s="259"/>
    </row>
    <row r="14" spans="1:11" ht="15.75" x14ac:dyDescent="0.3">
      <c r="A14" s="258" t="s">
        <v>635</v>
      </c>
      <c r="B14" s="258" t="s">
        <v>148</v>
      </c>
      <c r="C14" s="259" t="s">
        <v>796</v>
      </c>
      <c r="D14" s="420" t="s">
        <v>799</v>
      </c>
      <c r="E14" s="420" t="s">
        <v>799</v>
      </c>
      <c r="F14" s="259"/>
      <c r="G14" s="259"/>
      <c r="H14" s="285" t="s">
        <v>343</v>
      </c>
      <c r="I14" s="259"/>
      <c r="J14" s="259"/>
      <c r="K14" s="259"/>
    </row>
    <row r="15" spans="1:11" ht="15.75" x14ac:dyDescent="0.3">
      <c r="A15" s="258" t="s">
        <v>635</v>
      </c>
      <c r="B15" s="258" t="s">
        <v>148</v>
      </c>
      <c r="C15" s="261" t="s">
        <v>797</v>
      </c>
      <c r="D15" s="420" t="s">
        <v>800</v>
      </c>
      <c r="E15" s="420" t="s">
        <v>800</v>
      </c>
      <c r="F15" s="261"/>
      <c r="G15" s="261"/>
      <c r="H15" s="285" t="s">
        <v>343</v>
      </c>
      <c r="I15" s="261"/>
      <c r="J15" s="261"/>
      <c r="K15" s="261"/>
    </row>
    <row r="16" spans="1:11" ht="15.75" x14ac:dyDescent="0.3">
      <c r="A16" s="258"/>
      <c r="B16" s="258"/>
      <c r="C16" s="480"/>
      <c r="D16" s="481"/>
      <c r="E16" s="482"/>
      <c r="F16" s="261"/>
      <c r="G16" s="261"/>
      <c r="H16" s="261"/>
      <c r="I16" s="261"/>
      <c r="J16" s="261"/>
      <c r="K16" s="261"/>
    </row>
    <row r="17" spans="1:11" ht="15.75" x14ac:dyDescent="0.3">
      <c r="A17" s="260"/>
      <c r="B17" s="258"/>
      <c r="C17" s="464"/>
      <c r="D17" s="466" t="s">
        <v>667</v>
      </c>
      <c r="E17" s="465"/>
      <c r="F17" s="258"/>
      <c r="G17" s="258"/>
      <c r="H17" s="258"/>
      <c r="I17" s="258"/>
      <c r="J17" s="258"/>
      <c r="K17" s="259"/>
    </row>
    <row r="18" spans="1:11" ht="16.5" thickBot="1" x14ac:dyDescent="0.35">
      <c r="A18" s="260"/>
      <c r="B18" s="258"/>
      <c r="C18" s="464"/>
      <c r="D18" s="467" t="s">
        <v>666</v>
      </c>
      <c r="E18" s="465"/>
      <c r="F18" s="258"/>
      <c r="G18" s="258"/>
      <c r="H18" s="258"/>
      <c r="I18" s="258"/>
      <c r="J18" s="258"/>
      <c r="K18" s="259"/>
    </row>
    <row r="19" spans="1:11" ht="15.75" x14ac:dyDescent="0.3">
      <c r="A19" s="260"/>
      <c r="B19" s="258"/>
      <c r="C19" s="258"/>
      <c r="D19" s="262"/>
      <c r="E19" s="258"/>
      <c r="F19" s="258"/>
      <c r="G19" s="258"/>
      <c r="H19" s="258"/>
      <c r="I19" s="258"/>
      <c r="J19" s="258"/>
      <c r="K19" s="259"/>
    </row>
    <row r="20" spans="1:11" ht="15.75" x14ac:dyDescent="0.3">
      <c r="A20" s="260"/>
      <c r="B20" s="258"/>
      <c r="C20" s="258"/>
      <c r="D20" s="260"/>
      <c r="E20" s="258"/>
      <c r="F20" s="258"/>
      <c r="G20" s="258"/>
      <c r="H20" s="258"/>
      <c r="I20" s="258"/>
      <c r="J20" s="258"/>
      <c r="K20" s="259"/>
    </row>
    <row r="21" spans="1:11" ht="15.75" x14ac:dyDescent="0.3">
      <c r="A21" s="260"/>
      <c r="B21" s="258"/>
      <c r="C21" s="258"/>
      <c r="D21" s="260"/>
      <c r="E21" s="258"/>
      <c r="F21" s="258"/>
      <c r="G21" s="258"/>
      <c r="H21" s="258"/>
      <c r="I21" s="258"/>
      <c r="J21" s="258"/>
      <c r="K21" s="259"/>
    </row>
    <row r="22" spans="1:11" ht="15.75" x14ac:dyDescent="0.3">
      <c r="A22" s="260"/>
      <c r="B22" s="258"/>
      <c r="C22" s="258"/>
      <c r="D22" s="260"/>
      <c r="E22" s="258"/>
      <c r="F22" s="258"/>
      <c r="G22" s="258"/>
      <c r="H22" s="258"/>
      <c r="I22" s="258"/>
      <c r="J22" s="258"/>
      <c r="K22" s="259"/>
    </row>
    <row r="23" spans="1:11" ht="15.75" x14ac:dyDescent="0.3">
      <c r="A23" s="260"/>
      <c r="B23" s="258"/>
      <c r="C23" s="258"/>
      <c r="D23" s="260"/>
      <c r="E23" s="258"/>
      <c r="F23" s="258"/>
      <c r="G23" s="258"/>
      <c r="H23" s="258"/>
      <c r="I23" s="258"/>
      <c r="J23" s="258"/>
      <c r="K23" s="259"/>
    </row>
    <row r="24" spans="1:11" ht="15.75" x14ac:dyDescent="0.3">
      <c r="A24" s="258"/>
      <c r="B24" s="258"/>
      <c r="C24" s="258"/>
      <c r="D24" s="258"/>
      <c r="E24" s="258"/>
      <c r="F24" s="258"/>
      <c r="G24" s="258"/>
      <c r="H24" s="258"/>
      <c r="I24" s="258"/>
      <c r="J24" s="258"/>
      <c r="K24" s="259"/>
    </row>
    <row r="25" spans="1:11" ht="15.75" x14ac:dyDescent="0.3">
      <c r="A25" s="258"/>
      <c r="B25" s="258"/>
      <c r="C25" s="258"/>
      <c r="D25" s="258"/>
      <c r="E25" s="258"/>
      <c r="F25" s="258"/>
      <c r="G25" s="258"/>
      <c r="H25" s="258"/>
      <c r="I25" s="258"/>
      <c r="J25" s="258"/>
      <c r="K25" s="259"/>
    </row>
    <row r="26" spans="1:11" ht="15.75" x14ac:dyDescent="0.3">
      <c r="A26" s="258"/>
      <c r="B26" s="258"/>
      <c r="C26" s="258"/>
      <c r="D26" s="258"/>
      <c r="E26" s="258"/>
      <c r="F26" s="258"/>
      <c r="G26" s="258"/>
      <c r="H26" s="258"/>
      <c r="I26" s="258"/>
      <c r="J26" s="258"/>
      <c r="K26" s="259"/>
    </row>
    <row r="27" spans="1:11" ht="15.75" x14ac:dyDescent="0.3">
      <c r="A27" s="258"/>
      <c r="B27" s="258"/>
      <c r="C27" s="258"/>
      <c r="D27" s="258"/>
      <c r="E27" s="258"/>
      <c r="F27" s="258"/>
      <c r="G27" s="258"/>
      <c r="H27" s="258"/>
      <c r="I27" s="258"/>
      <c r="J27" s="258"/>
      <c r="K27" s="259"/>
    </row>
    <row r="28" spans="1:11" ht="15.75" x14ac:dyDescent="0.3">
      <c r="A28" s="258"/>
      <c r="B28" s="258"/>
      <c r="C28" s="258"/>
      <c r="D28" s="258"/>
      <c r="E28" s="258"/>
      <c r="F28" s="258"/>
      <c r="G28" s="258"/>
      <c r="H28" s="258"/>
      <c r="I28" s="258"/>
      <c r="J28" s="258"/>
      <c r="K28" s="259"/>
    </row>
    <row r="29" spans="1:11" ht="15.75" x14ac:dyDescent="0.3">
      <c r="A29" s="258"/>
      <c r="B29" s="258"/>
      <c r="C29" s="258"/>
      <c r="D29" s="258"/>
      <c r="E29" s="258"/>
      <c r="F29" s="258"/>
      <c r="G29" s="258"/>
      <c r="H29" s="258"/>
      <c r="I29" s="258"/>
      <c r="J29" s="258"/>
      <c r="K29" s="259"/>
    </row>
    <row r="30" spans="1:11" ht="15.75" x14ac:dyDescent="0.3">
      <c r="A30" s="259"/>
      <c r="B30" s="259"/>
      <c r="C30" s="259"/>
      <c r="D30" s="259"/>
      <c r="E30" s="259"/>
      <c r="F30" s="259"/>
      <c r="G30" s="259"/>
      <c r="H30" s="259"/>
      <c r="I30" s="259"/>
      <c r="J30" s="259"/>
      <c r="K30" s="259"/>
    </row>
    <row r="37" ht="0" hidden="1" customHeight="1" x14ac:dyDescent="0.25"/>
  </sheetData>
  <mergeCells count="8">
    <mergeCell ref="A1:K1"/>
    <mergeCell ref="A2:A3"/>
    <mergeCell ref="B2:B3"/>
    <mergeCell ref="C2:C3"/>
    <mergeCell ref="D2:D3"/>
    <mergeCell ref="E2:E3"/>
    <mergeCell ref="F2:F3"/>
    <mergeCell ref="G2:K2"/>
  </mergeCells>
  <hyperlinks>
    <hyperlink ref="E4" r:id="rId1"/>
    <hyperlink ref="E5" r:id="rId2"/>
    <hyperlink ref="E7" r:id="rId3"/>
    <hyperlink ref="E6" r:id="rId4"/>
    <hyperlink ref="E8" r:id="rId5"/>
    <hyperlink ref="E9" r:id="rId6"/>
    <hyperlink ref="E10" r:id="rId7"/>
    <hyperlink ref="D4" r:id="rId8"/>
    <hyperlink ref="D5" r:id="rId9"/>
    <hyperlink ref="D7" r:id="rId10"/>
    <hyperlink ref="D6" r:id="rId11"/>
    <hyperlink ref="D8" r:id="rId12"/>
    <hyperlink ref="D9" r:id="rId13"/>
    <hyperlink ref="D10" r:id="rId14"/>
    <hyperlink ref="D11" r:id="rId15"/>
    <hyperlink ref="E11" r:id="rId16"/>
    <hyperlink ref="D12" r:id="rId17"/>
    <hyperlink ref="E12" r:id="rId18"/>
    <hyperlink ref="D13" r:id="rId19"/>
    <hyperlink ref="D14" r:id="rId20"/>
    <hyperlink ref="E13" r:id="rId21"/>
    <hyperlink ref="E14" r:id="rId22"/>
  </hyperlinks>
  <pageMargins left="0.7" right="0.7" top="0.75" bottom="0.75" header="0.3" footer="0.3"/>
  <pageSetup scale="80" orientation="landscape" r:id="rId23"/>
  <headerFooter>
    <oddFooter>&amp;L&amp;F: &amp;A&amp;R&amp;P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
  <sheetViews>
    <sheetView zoomScale="90" zoomScaleNormal="90" workbookViewId="0">
      <selection sqref="A1:I1"/>
    </sheetView>
  </sheetViews>
  <sheetFormatPr defaultColWidth="9.140625" defaultRowHeight="36" customHeight="1" x14ac:dyDescent="0.25"/>
  <cols>
    <col min="1" max="16384" width="9.140625" style="376"/>
  </cols>
  <sheetData>
    <row r="1" spans="1:21" ht="23.25" x14ac:dyDescent="0.35">
      <c r="A1" s="527" t="s">
        <v>302</v>
      </c>
      <c r="B1" s="527"/>
      <c r="C1" s="527"/>
      <c r="D1" s="527"/>
      <c r="E1" s="527"/>
      <c r="F1" s="527"/>
      <c r="G1" s="527"/>
      <c r="H1" s="527"/>
      <c r="I1" s="527"/>
      <c r="J1" s="401"/>
      <c r="K1" s="401"/>
      <c r="L1" s="401"/>
      <c r="M1" s="401"/>
      <c r="N1" s="401"/>
      <c r="O1" s="401"/>
      <c r="P1" s="401"/>
      <c r="Q1" s="401"/>
      <c r="R1" s="401"/>
      <c r="S1" s="401"/>
      <c r="T1" s="401"/>
      <c r="U1" s="401"/>
    </row>
    <row r="2" spans="1:21" s="402" customFormat="1" ht="36" customHeight="1" x14ac:dyDescent="0.25">
      <c r="A2" s="528"/>
      <c r="B2" s="528"/>
      <c r="C2" s="528"/>
      <c r="D2" s="528"/>
      <c r="E2" s="528"/>
      <c r="F2" s="528"/>
      <c r="G2" s="528"/>
      <c r="H2" s="528"/>
      <c r="I2" s="528"/>
    </row>
    <row r="3" spans="1:21" s="402" customFormat="1" ht="36" customHeight="1" x14ac:dyDescent="0.25">
      <c r="A3" s="528"/>
      <c r="B3" s="528"/>
      <c r="C3" s="528"/>
      <c r="D3" s="528"/>
      <c r="E3" s="528"/>
      <c r="F3" s="528"/>
      <c r="G3" s="528"/>
      <c r="H3" s="528"/>
      <c r="I3" s="528"/>
    </row>
    <row r="4" spans="1:21" s="402" customFormat="1" ht="36" customHeight="1" x14ac:dyDescent="0.25">
      <c r="A4" s="528"/>
      <c r="B4" s="528"/>
      <c r="C4" s="528"/>
      <c r="D4" s="528"/>
      <c r="E4" s="528"/>
      <c r="F4" s="528"/>
      <c r="G4" s="528"/>
      <c r="H4" s="528"/>
      <c r="I4" s="528"/>
    </row>
    <row r="5" spans="1:21" s="402" customFormat="1" ht="36" customHeight="1" x14ac:dyDescent="0.25">
      <c r="A5" s="528"/>
      <c r="B5" s="528"/>
      <c r="C5" s="528"/>
      <c r="D5" s="528"/>
      <c r="E5" s="528"/>
      <c r="F5" s="528"/>
      <c r="G5" s="528"/>
      <c r="H5" s="528"/>
      <c r="I5" s="528"/>
    </row>
    <row r="6" spans="1:21" s="402" customFormat="1" ht="36" customHeight="1" x14ac:dyDescent="0.25">
      <c r="A6" s="528"/>
      <c r="B6" s="528"/>
      <c r="C6" s="528"/>
      <c r="D6" s="528"/>
      <c r="E6" s="528"/>
      <c r="F6" s="528"/>
      <c r="G6" s="528"/>
      <c r="H6" s="528"/>
      <c r="I6" s="528"/>
    </row>
    <row r="7" spans="1:21" s="402" customFormat="1" ht="36" customHeight="1" x14ac:dyDescent="0.25">
      <c r="A7" s="528"/>
      <c r="B7" s="528"/>
      <c r="C7" s="528"/>
      <c r="D7" s="528"/>
      <c r="E7" s="528"/>
      <c r="F7" s="528"/>
      <c r="G7" s="528"/>
      <c r="H7" s="528"/>
      <c r="I7" s="528"/>
    </row>
    <row r="8" spans="1:21" s="402" customFormat="1" ht="36" customHeight="1" x14ac:dyDescent="0.25">
      <c r="A8" s="528"/>
      <c r="B8" s="528"/>
      <c r="C8" s="528"/>
      <c r="D8" s="528"/>
      <c r="E8" s="528"/>
      <c r="F8" s="528"/>
      <c r="G8" s="528"/>
      <c r="H8" s="528"/>
      <c r="I8" s="528"/>
    </row>
    <row r="9" spans="1:21" ht="36" customHeight="1" x14ac:dyDescent="0.25">
      <c r="A9" s="528"/>
      <c r="B9" s="528"/>
      <c r="C9" s="528"/>
      <c r="D9" s="528"/>
      <c r="E9" s="528"/>
      <c r="F9" s="528"/>
      <c r="G9" s="528"/>
      <c r="H9" s="528"/>
      <c r="I9" s="528"/>
    </row>
    <row r="10" spans="1:21" ht="36" customHeight="1" x14ac:dyDescent="0.25">
      <c r="A10" s="528"/>
      <c r="B10" s="528"/>
      <c r="C10" s="528"/>
      <c r="D10" s="528"/>
      <c r="E10" s="528"/>
      <c r="F10" s="528"/>
      <c r="G10" s="528"/>
      <c r="H10" s="528"/>
      <c r="I10" s="528"/>
    </row>
    <row r="12" spans="1:21" ht="36" customHeight="1" x14ac:dyDescent="0.25">
      <c r="C12" s="378"/>
    </row>
    <row r="13" spans="1:21" ht="36" customHeight="1" x14ac:dyDescent="0.25">
      <c r="C13" s="378"/>
    </row>
  </sheetData>
  <mergeCells count="10">
    <mergeCell ref="A1:I1"/>
    <mergeCell ref="A2:I2"/>
    <mergeCell ref="A3:I3"/>
    <mergeCell ref="A4:I4"/>
    <mergeCell ref="A10:I10"/>
    <mergeCell ref="A5:I5"/>
    <mergeCell ref="A6:I6"/>
    <mergeCell ref="A7:I7"/>
    <mergeCell ref="A8:I8"/>
    <mergeCell ref="A9:I9"/>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6"/>
  <sheetViews>
    <sheetView workbookViewId="0">
      <selection activeCell="E8" sqref="E8"/>
    </sheetView>
  </sheetViews>
  <sheetFormatPr defaultRowHeight="15" x14ac:dyDescent="0.25"/>
  <cols>
    <col min="1" max="1" width="56.7109375" style="1" customWidth="1"/>
    <col min="2" max="2" width="58.85546875" style="1" customWidth="1"/>
    <col min="3" max="3" width="39.28515625" style="1" customWidth="1"/>
  </cols>
  <sheetData>
    <row r="1" spans="1:3" s="145" customFormat="1" ht="20.25" thickTop="1" thickBot="1" x14ac:dyDescent="0.35">
      <c r="A1" s="268" t="s">
        <v>303</v>
      </c>
      <c r="B1" s="269" t="s">
        <v>304</v>
      </c>
      <c r="C1" s="270" t="s">
        <v>141</v>
      </c>
    </row>
    <row r="2" spans="1:3" x14ac:dyDescent="0.25">
      <c r="A2" s="271"/>
      <c r="B2" s="272"/>
      <c r="C2" s="273"/>
    </row>
    <row r="3" spans="1:3" ht="54" customHeight="1" x14ac:dyDescent="0.25">
      <c r="A3" s="274"/>
      <c r="B3" s="275"/>
      <c r="C3" s="276"/>
    </row>
    <row r="4" spans="1:3" ht="42" customHeight="1" x14ac:dyDescent="0.25">
      <c r="A4" s="274"/>
      <c r="B4" s="275"/>
      <c r="C4" s="276"/>
    </row>
    <row r="5" spans="1:3" ht="39.75" customHeight="1" x14ac:dyDescent="0.25">
      <c r="A5" s="274"/>
      <c r="B5" s="275"/>
      <c r="C5" s="276"/>
    </row>
    <row r="6" spans="1:3" ht="37.5" customHeight="1" x14ac:dyDescent="0.25">
      <c r="A6" s="274"/>
      <c r="B6" s="275"/>
      <c r="C6" s="276"/>
    </row>
    <row r="7" spans="1:3" ht="29.25" customHeight="1" x14ac:dyDescent="0.25">
      <c r="A7" s="274"/>
      <c r="B7" s="275"/>
      <c r="C7" s="276"/>
    </row>
    <row r="8" spans="1:3" x14ac:dyDescent="0.25">
      <c r="A8" s="274"/>
      <c r="B8" s="275"/>
      <c r="C8" s="276"/>
    </row>
    <row r="9" spans="1:3" x14ac:dyDescent="0.25">
      <c r="A9" s="274"/>
      <c r="B9" s="275"/>
      <c r="C9" s="276"/>
    </row>
    <row r="10" spans="1:3" x14ac:dyDescent="0.25">
      <c r="A10" s="274"/>
      <c r="B10" s="275"/>
      <c r="C10" s="276"/>
    </row>
    <row r="11" spans="1:3" x14ac:dyDescent="0.25">
      <c r="A11" s="274"/>
      <c r="B11" s="275"/>
      <c r="C11" s="276"/>
    </row>
    <row r="12" spans="1:3" x14ac:dyDescent="0.25">
      <c r="A12" s="274"/>
      <c r="B12" s="275"/>
      <c r="C12" s="276"/>
    </row>
    <row r="13" spans="1:3" x14ac:dyDescent="0.25">
      <c r="A13" s="274"/>
      <c r="B13" s="275"/>
      <c r="C13" s="276"/>
    </row>
    <row r="14" spans="1:3" x14ac:dyDescent="0.25">
      <c r="A14" s="274"/>
      <c r="B14" s="275"/>
      <c r="C14" s="276"/>
    </row>
    <row r="15" spans="1:3" x14ac:dyDescent="0.25">
      <c r="A15" s="274"/>
      <c r="B15" s="275"/>
      <c r="C15" s="276"/>
    </row>
    <row r="16" spans="1:3" x14ac:dyDescent="0.25">
      <c r="A16" s="274"/>
      <c r="B16" s="275"/>
      <c r="C16" s="276"/>
    </row>
    <row r="17" spans="1:3" x14ac:dyDescent="0.25">
      <c r="A17" s="274"/>
      <c r="B17" s="275"/>
      <c r="C17" s="276"/>
    </row>
    <row r="18" spans="1:3" x14ac:dyDescent="0.25">
      <c r="A18" s="274"/>
      <c r="B18" s="275"/>
      <c r="C18" s="276"/>
    </row>
    <row r="19" spans="1:3" x14ac:dyDescent="0.25">
      <c r="A19" s="274"/>
      <c r="B19" s="275"/>
      <c r="C19" s="276"/>
    </row>
    <row r="20" spans="1:3" x14ac:dyDescent="0.25">
      <c r="A20" s="274"/>
      <c r="B20" s="277"/>
      <c r="C20" s="276"/>
    </row>
    <row r="21" spans="1:3" x14ac:dyDescent="0.25">
      <c r="A21" s="278"/>
      <c r="B21" s="275"/>
      <c r="C21" s="276"/>
    </row>
    <row r="22" spans="1:3" x14ac:dyDescent="0.25">
      <c r="A22" s="279"/>
      <c r="B22" s="280"/>
      <c r="C22" s="276"/>
    </row>
    <row r="23" spans="1:3" x14ac:dyDescent="0.25">
      <c r="A23" s="279"/>
      <c r="B23" s="280"/>
      <c r="C23" s="276"/>
    </row>
    <row r="24" spans="1:3" x14ac:dyDescent="0.25">
      <c r="A24" s="279"/>
      <c r="B24" s="280"/>
      <c r="C24" s="276"/>
    </row>
    <row r="25" spans="1:3" ht="85.5" customHeight="1" x14ac:dyDescent="0.25">
      <c r="A25" s="279"/>
      <c r="B25" s="280"/>
      <c r="C25" s="276"/>
    </row>
    <row r="26" spans="1:3" x14ac:dyDescent="0.25">
      <c r="A26" s="279"/>
      <c r="B26" s="280"/>
      <c r="C26" s="276"/>
    </row>
    <row r="27" spans="1:3" ht="16.5" customHeight="1" x14ac:dyDescent="0.25">
      <c r="A27" s="278"/>
      <c r="B27" s="275"/>
      <c r="C27" s="276"/>
    </row>
    <row r="28" spans="1:3" x14ac:dyDescent="0.25">
      <c r="A28" s="278"/>
      <c r="B28" s="275"/>
      <c r="C28" s="276"/>
    </row>
    <row r="29" spans="1:3" x14ac:dyDescent="0.25">
      <c r="A29" s="278"/>
      <c r="B29" s="275"/>
      <c r="C29" s="276"/>
    </row>
    <row r="30" spans="1:3" x14ac:dyDescent="0.25">
      <c r="A30" s="279"/>
      <c r="B30" s="275"/>
      <c r="C30" s="276"/>
    </row>
    <row r="31" spans="1:3" x14ac:dyDescent="0.25">
      <c r="A31" s="278"/>
      <c r="B31" s="275"/>
      <c r="C31" s="276"/>
    </row>
    <row r="32" spans="1:3" x14ac:dyDescent="0.25">
      <c r="A32" s="279"/>
      <c r="B32" s="275"/>
      <c r="C32" s="276"/>
    </row>
    <row r="33" spans="1:3" x14ac:dyDescent="0.25">
      <c r="A33" s="279"/>
      <c r="B33" s="275"/>
      <c r="C33" s="276"/>
    </row>
    <row r="34" spans="1:3" x14ac:dyDescent="0.25">
      <c r="A34" s="279"/>
      <c r="B34" s="280"/>
      <c r="C34" s="276"/>
    </row>
    <row r="35" spans="1:3" x14ac:dyDescent="0.25">
      <c r="A35" s="279"/>
      <c r="B35" s="280"/>
      <c r="C35" s="276"/>
    </row>
    <row r="36" spans="1:3" ht="39.75" customHeight="1" x14ac:dyDescent="0.25">
      <c r="A36" s="279"/>
      <c r="B36" s="280"/>
      <c r="C36" s="276"/>
    </row>
    <row r="37" spans="1:3" ht="45.75" customHeight="1" x14ac:dyDescent="0.25">
      <c r="A37" s="281"/>
      <c r="B37" s="280"/>
      <c r="C37" s="276"/>
    </row>
    <row r="38" spans="1:3" ht="44.25" customHeight="1" x14ac:dyDescent="0.25">
      <c r="A38" s="281"/>
      <c r="B38" s="280"/>
      <c r="C38" s="276"/>
    </row>
    <row r="39" spans="1:3" x14ac:dyDescent="0.25">
      <c r="A39" s="281"/>
      <c r="B39" s="280"/>
      <c r="C39" s="276"/>
    </row>
    <row r="40" spans="1:3" ht="18.75" x14ac:dyDescent="0.3">
      <c r="A40" s="529"/>
      <c r="B40" s="530"/>
      <c r="C40" s="276"/>
    </row>
    <row r="41" spans="1:3" ht="15.75" thickBot="1" x14ac:dyDescent="0.3">
      <c r="A41" s="282"/>
      <c r="B41" s="283"/>
      <c r="C41" s="284"/>
    </row>
    <row r="42" spans="1:3" x14ac:dyDescent="0.25">
      <c r="A42" s="263"/>
      <c r="B42" s="263"/>
      <c r="C42" s="263"/>
    </row>
    <row r="43" spans="1:3" s="149" customFormat="1" x14ac:dyDescent="0.25">
      <c r="A43" s="264"/>
      <c r="B43" s="265"/>
      <c r="C43" s="266"/>
    </row>
    <row r="44" spans="1:3" s="149" customFormat="1" x14ac:dyDescent="0.25">
      <c r="A44" s="264"/>
      <c r="B44" s="265"/>
      <c r="C44" s="266"/>
    </row>
    <row r="45" spans="1:3" s="149" customFormat="1" x14ac:dyDescent="0.25">
      <c r="A45" s="264"/>
      <c r="B45" s="264"/>
      <c r="C45" s="267"/>
    </row>
    <row r="46" spans="1:3" s="149" customFormat="1" x14ac:dyDescent="0.25">
      <c r="A46" s="264"/>
      <c r="B46" s="264"/>
      <c r="C46" s="267"/>
    </row>
    <row r="47" spans="1:3" s="149" customFormat="1" x14ac:dyDescent="0.25">
      <c r="A47" s="264"/>
      <c r="B47" s="266"/>
      <c r="C47" s="266"/>
    </row>
    <row r="48" spans="1:3" s="149" customFormat="1" x14ac:dyDescent="0.25">
      <c r="A48" s="264"/>
      <c r="B48" s="266"/>
      <c r="C48" s="266"/>
    </row>
    <row r="49" spans="1:3" s="149" customFormat="1" x14ac:dyDescent="0.25">
      <c r="A49" s="264"/>
      <c r="B49" s="266"/>
      <c r="C49" s="266"/>
    </row>
    <row r="50" spans="1:3" s="149" customFormat="1" x14ac:dyDescent="0.25">
      <c r="A50" s="264"/>
      <c r="B50" s="266"/>
      <c r="C50" s="266"/>
    </row>
    <row r="51" spans="1:3" s="149" customFormat="1" x14ac:dyDescent="0.25">
      <c r="A51" s="266"/>
      <c r="B51" s="266"/>
      <c r="C51" s="266"/>
    </row>
    <row r="52" spans="1:3" s="149" customFormat="1" x14ac:dyDescent="0.25">
      <c r="A52" s="266"/>
      <c r="B52" s="266"/>
      <c r="C52" s="266"/>
    </row>
    <row r="53" spans="1:3" s="149" customFormat="1" x14ac:dyDescent="0.25">
      <c r="A53" s="266"/>
      <c r="B53" s="266"/>
      <c r="C53" s="266"/>
    </row>
    <row r="54" spans="1:3" s="149" customFormat="1" x14ac:dyDescent="0.25">
      <c r="A54" s="148"/>
      <c r="B54" s="148"/>
      <c r="C54" s="148"/>
    </row>
    <row r="55" spans="1:3" s="149" customFormat="1" x14ac:dyDescent="0.25">
      <c r="A55" s="148"/>
      <c r="B55" s="148"/>
      <c r="C55" s="148"/>
    </row>
    <row r="56" spans="1:3" s="149" customFormat="1" x14ac:dyDescent="0.25">
      <c r="A56" s="148"/>
      <c r="B56" s="148"/>
      <c r="C56" s="148"/>
    </row>
  </sheetData>
  <mergeCells count="1">
    <mergeCell ref="A40:B40"/>
  </mergeCells>
  <pageMargins left="0.7" right="0.7" top="0.75" bottom="0.75" header="0.3" footer="0.3"/>
  <pageSetup orientation="portrait" horizontalDpi="120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indexed="21"/>
    <pageSetUpPr fitToPage="1"/>
  </sheetPr>
  <dimension ref="A1:O58"/>
  <sheetViews>
    <sheetView topLeftCell="C1" workbookViewId="0">
      <pane ySplit="2" topLeftCell="A3" activePane="bottomLeft" state="frozen"/>
      <selection pane="bottomLeft" activeCell="F28" sqref="F28"/>
    </sheetView>
  </sheetViews>
  <sheetFormatPr defaultColWidth="11.85546875" defaultRowHeight="14.25" x14ac:dyDescent="0.2"/>
  <cols>
    <col min="1" max="4" width="11.85546875" style="341"/>
    <col min="5" max="5" width="50.7109375" style="341" customWidth="1"/>
    <col min="6" max="6" width="20.7109375" style="341" bestFit="1" customWidth="1"/>
    <col min="7" max="7" width="11.85546875" style="341"/>
    <col min="8" max="8" width="13.28515625" style="366" customWidth="1"/>
    <col min="9" max="9" width="11.85546875" style="362"/>
    <col min="10" max="10" width="11.85546875" style="366"/>
    <col min="11" max="13" width="11.85546875" style="341"/>
    <col min="14" max="14" width="18.7109375" style="341" customWidth="1"/>
    <col min="15" max="15" width="12.5703125" style="341" customWidth="1"/>
    <col min="16" max="16384" width="11.85546875" style="341"/>
  </cols>
  <sheetData>
    <row r="1" spans="1:15" ht="23.25" x14ac:dyDescent="0.35">
      <c r="A1" s="531" t="s">
        <v>132</v>
      </c>
      <c r="B1" s="532"/>
      <c r="C1" s="532"/>
      <c r="D1" s="532"/>
      <c r="E1" s="532"/>
      <c r="F1" s="532"/>
      <c r="G1" s="532"/>
      <c r="H1" s="532"/>
      <c r="I1" s="532"/>
      <c r="J1" s="532"/>
      <c r="K1" s="532"/>
      <c r="L1" s="532"/>
      <c r="M1" s="532"/>
      <c r="N1" s="532"/>
      <c r="O1" s="533"/>
    </row>
    <row r="2" spans="1:15" s="344" customFormat="1" ht="48" customHeight="1" x14ac:dyDescent="0.25">
      <c r="A2" s="342" t="s">
        <v>82</v>
      </c>
      <c r="B2" s="342" t="s">
        <v>83</v>
      </c>
      <c r="C2" s="342" t="s">
        <v>84</v>
      </c>
      <c r="D2" s="342" t="s">
        <v>133</v>
      </c>
      <c r="E2" s="342" t="s">
        <v>134</v>
      </c>
      <c r="F2" s="342" t="s">
        <v>147</v>
      </c>
      <c r="G2" s="342" t="s">
        <v>107</v>
      </c>
      <c r="H2" s="342" t="s">
        <v>108</v>
      </c>
      <c r="I2" s="356" t="s">
        <v>145</v>
      </c>
      <c r="J2" s="342" t="s">
        <v>135</v>
      </c>
      <c r="K2" s="342" t="s">
        <v>249</v>
      </c>
      <c r="L2" s="342" t="s">
        <v>250</v>
      </c>
      <c r="M2" s="342" t="s">
        <v>251</v>
      </c>
      <c r="N2" s="342" t="s">
        <v>252</v>
      </c>
      <c r="O2" s="343" t="s">
        <v>136</v>
      </c>
    </row>
    <row r="3" spans="1:15" ht="15.75" customHeight="1" x14ac:dyDescent="0.2">
      <c r="A3" s="345"/>
      <c r="B3" s="345"/>
      <c r="C3" s="345"/>
      <c r="D3" s="345"/>
      <c r="E3" s="346" t="s">
        <v>389</v>
      </c>
      <c r="F3" s="346" t="s">
        <v>390</v>
      </c>
      <c r="G3" s="346" t="s">
        <v>391</v>
      </c>
      <c r="H3" s="363" t="s">
        <v>392</v>
      </c>
      <c r="I3" s="357">
        <v>1605</v>
      </c>
      <c r="J3" s="363" t="s">
        <v>89</v>
      </c>
      <c r="K3" s="345"/>
      <c r="L3" s="339"/>
      <c r="M3" s="345"/>
      <c r="N3" s="345"/>
      <c r="O3" s="345" t="s">
        <v>482</v>
      </c>
    </row>
    <row r="4" spans="1:15" x14ac:dyDescent="0.2">
      <c r="A4" s="345"/>
      <c r="B4" s="345"/>
      <c r="C4" s="345"/>
      <c r="D4" s="345"/>
      <c r="E4" s="346" t="s">
        <v>389</v>
      </c>
      <c r="F4" s="346" t="s">
        <v>390</v>
      </c>
      <c r="G4" s="346" t="s">
        <v>391</v>
      </c>
      <c r="H4" s="363" t="s">
        <v>392</v>
      </c>
      <c r="I4" s="357">
        <v>1605</v>
      </c>
      <c r="J4" s="363" t="s">
        <v>89</v>
      </c>
      <c r="K4" s="345"/>
      <c r="L4" s="339"/>
      <c r="M4" s="345"/>
      <c r="N4" s="345"/>
      <c r="O4" s="345" t="s">
        <v>482</v>
      </c>
    </row>
    <row r="5" spans="1:15" x14ac:dyDescent="0.2">
      <c r="A5" s="345"/>
      <c r="B5" s="345"/>
      <c r="C5" s="345"/>
      <c r="D5" s="345"/>
      <c r="E5" s="346" t="s">
        <v>389</v>
      </c>
      <c r="F5" s="346" t="s">
        <v>390</v>
      </c>
      <c r="G5" s="346" t="s">
        <v>391</v>
      </c>
      <c r="H5" s="363" t="s">
        <v>392</v>
      </c>
      <c r="I5" s="357">
        <v>1605</v>
      </c>
      <c r="J5" s="363" t="s">
        <v>89</v>
      </c>
      <c r="K5" s="345"/>
      <c r="L5" s="345"/>
      <c r="M5" s="345"/>
      <c r="N5" s="345"/>
      <c r="O5" s="345" t="s">
        <v>482</v>
      </c>
    </row>
    <row r="6" spans="1:15" x14ac:dyDescent="0.2">
      <c r="A6" s="345"/>
      <c r="B6" s="345"/>
      <c r="C6" s="345"/>
      <c r="D6" s="345"/>
      <c r="E6" s="346" t="s">
        <v>389</v>
      </c>
      <c r="F6" s="346" t="s">
        <v>390</v>
      </c>
      <c r="G6" s="346" t="s">
        <v>391</v>
      </c>
      <c r="H6" s="363" t="s">
        <v>392</v>
      </c>
      <c r="I6" s="357">
        <v>1605</v>
      </c>
      <c r="J6" s="363" t="s">
        <v>89</v>
      </c>
      <c r="K6" s="345"/>
      <c r="L6" s="345"/>
      <c r="M6" s="345"/>
      <c r="N6" s="345"/>
      <c r="O6" s="345" t="s">
        <v>482</v>
      </c>
    </row>
    <row r="7" spans="1:15" x14ac:dyDescent="0.2">
      <c r="A7" s="345"/>
      <c r="B7" s="345"/>
      <c r="C7" s="345"/>
      <c r="D7" s="345"/>
      <c r="E7" s="346" t="s">
        <v>406</v>
      </c>
      <c r="F7" s="346" t="s">
        <v>407</v>
      </c>
      <c r="G7" s="346" t="s">
        <v>408</v>
      </c>
      <c r="H7" s="363" t="s">
        <v>409</v>
      </c>
      <c r="I7" s="357">
        <v>10920</v>
      </c>
      <c r="J7" s="363" t="s">
        <v>89</v>
      </c>
      <c r="K7" s="345"/>
      <c r="L7" s="345"/>
      <c r="M7" s="345"/>
      <c r="N7" s="345"/>
      <c r="O7" s="345" t="s">
        <v>482</v>
      </c>
    </row>
    <row r="8" spans="1:15" s="347" customFormat="1" x14ac:dyDescent="0.2">
      <c r="A8" s="340"/>
      <c r="B8" s="340"/>
      <c r="C8" s="340"/>
      <c r="D8" s="340"/>
      <c r="E8" s="346" t="s">
        <v>413</v>
      </c>
      <c r="F8" s="346" t="s">
        <v>414</v>
      </c>
      <c r="G8" s="346" t="s">
        <v>415</v>
      </c>
      <c r="H8" s="363" t="s">
        <v>33</v>
      </c>
      <c r="I8" s="357">
        <v>92374</v>
      </c>
      <c r="J8" s="363" t="s">
        <v>89</v>
      </c>
      <c r="K8" s="340"/>
      <c r="L8" s="340"/>
      <c r="M8" s="340"/>
      <c r="N8" s="340"/>
      <c r="O8" s="345" t="s">
        <v>482</v>
      </c>
    </row>
    <row r="9" spans="1:15" s="347" customFormat="1" ht="15" x14ac:dyDescent="0.25">
      <c r="A9" s="348"/>
      <c r="B9" s="340"/>
      <c r="C9" s="340"/>
      <c r="D9" s="340"/>
      <c r="E9" s="346" t="s">
        <v>419</v>
      </c>
      <c r="F9" s="346" t="s">
        <v>420</v>
      </c>
      <c r="G9" s="346" t="s">
        <v>421</v>
      </c>
      <c r="H9" s="363" t="s">
        <v>422</v>
      </c>
      <c r="I9" s="357">
        <v>98052</v>
      </c>
      <c r="J9" s="363" t="s">
        <v>89</v>
      </c>
      <c r="K9" s="348"/>
      <c r="L9" s="348"/>
      <c r="M9" s="348"/>
      <c r="N9" s="348"/>
      <c r="O9" s="345" t="s">
        <v>482</v>
      </c>
    </row>
    <row r="10" spans="1:15" x14ac:dyDescent="0.2">
      <c r="A10" s="345"/>
      <c r="B10" s="345"/>
      <c r="C10" s="345"/>
      <c r="D10" s="345"/>
      <c r="E10" s="346" t="s">
        <v>419</v>
      </c>
      <c r="F10" s="346" t="s">
        <v>420</v>
      </c>
      <c r="G10" s="346" t="s">
        <v>421</v>
      </c>
      <c r="H10" s="363" t="s">
        <v>422</v>
      </c>
      <c r="I10" s="357">
        <v>98052</v>
      </c>
      <c r="J10" s="363" t="s">
        <v>89</v>
      </c>
      <c r="K10" s="345"/>
      <c r="L10" s="345"/>
      <c r="M10" s="345"/>
      <c r="N10" s="345"/>
      <c r="O10" s="345" t="s">
        <v>482</v>
      </c>
    </row>
    <row r="11" spans="1:15" x14ac:dyDescent="0.2">
      <c r="A11" s="345"/>
      <c r="B11" s="345"/>
      <c r="C11" s="345"/>
      <c r="D11" s="345"/>
      <c r="E11" s="349" t="s">
        <v>423</v>
      </c>
      <c r="F11" s="349" t="s">
        <v>424</v>
      </c>
      <c r="G11" s="346" t="s">
        <v>415</v>
      </c>
      <c r="H11" s="363" t="s">
        <v>33</v>
      </c>
      <c r="I11" s="357">
        <v>92374</v>
      </c>
      <c r="J11" s="363" t="s">
        <v>89</v>
      </c>
      <c r="K11" s="345"/>
      <c r="L11" s="345"/>
      <c r="M11" s="345"/>
      <c r="N11" s="345"/>
      <c r="O11" s="345" t="s">
        <v>482</v>
      </c>
    </row>
    <row r="12" spans="1:15" x14ac:dyDescent="0.2">
      <c r="A12" s="345"/>
      <c r="B12" s="345"/>
      <c r="C12" s="345"/>
      <c r="D12" s="345"/>
      <c r="E12" s="346" t="s">
        <v>396</v>
      </c>
      <c r="F12" s="346" t="s">
        <v>397</v>
      </c>
      <c r="G12" s="346" t="s">
        <v>398</v>
      </c>
      <c r="H12" s="363" t="s">
        <v>1</v>
      </c>
      <c r="I12" s="357">
        <v>47403</v>
      </c>
      <c r="J12" s="363" t="s">
        <v>89</v>
      </c>
      <c r="K12" s="345"/>
      <c r="L12" s="345"/>
      <c r="M12" s="345"/>
      <c r="N12" s="345"/>
      <c r="O12" s="345" t="s">
        <v>482</v>
      </c>
    </row>
    <row r="13" spans="1:15" x14ac:dyDescent="0.2">
      <c r="A13" s="345"/>
      <c r="B13" s="345"/>
      <c r="C13" s="345"/>
      <c r="D13" s="345"/>
      <c r="E13" s="346" t="s">
        <v>396</v>
      </c>
      <c r="F13" s="346" t="s">
        <v>397</v>
      </c>
      <c r="G13" s="346" t="s">
        <v>398</v>
      </c>
      <c r="H13" s="363" t="s">
        <v>1</v>
      </c>
      <c r="I13" s="357">
        <v>47403</v>
      </c>
      <c r="J13" s="363" t="s">
        <v>89</v>
      </c>
      <c r="K13" s="345"/>
      <c r="L13" s="345"/>
      <c r="M13" s="345"/>
      <c r="N13" s="345"/>
      <c r="O13" s="345" t="s">
        <v>482</v>
      </c>
    </row>
    <row r="14" spans="1:15" x14ac:dyDescent="0.2">
      <c r="A14" s="345"/>
      <c r="B14" s="345"/>
      <c r="C14" s="345"/>
      <c r="D14" s="345"/>
      <c r="E14" s="346" t="s">
        <v>428</v>
      </c>
      <c r="F14" s="346" t="s">
        <v>429</v>
      </c>
      <c r="G14" s="346" t="s">
        <v>430</v>
      </c>
      <c r="H14" s="363"/>
      <c r="I14" s="357"/>
      <c r="J14" s="363" t="s">
        <v>431</v>
      </c>
      <c r="K14" s="345"/>
      <c r="L14" s="345"/>
      <c r="M14" s="345"/>
      <c r="N14" s="345"/>
      <c r="O14" s="345" t="s">
        <v>482</v>
      </c>
    </row>
    <row r="15" spans="1:15" x14ac:dyDescent="0.2">
      <c r="A15" s="345"/>
      <c r="B15" s="345"/>
      <c r="C15" s="345"/>
      <c r="D15" s="345"/>
      <c r="E15" s="346" t="s">
        <v>428</v>
      </c>
      <c r="F15" s="346" t="s">
        <v>429</v>
      </c>
      <c r="G15" s="346" t="s">
        <v>430</v>
      </c>
      <c r="H15" s="363"/>
      <c r="I15" s="357"/>
      <c r="J15" s="363" t="s">
        <v>431</v>
      </c>
      <c r="K15" s="345"/>
      <c r="L15" s="345"/>
      <c r="M15" s="345"/>
      <c r="N15" s="345"/>
      <c r="O15" s="345" t="s">
        <v>482</v>
      </c>
    </row>
    <row r="16" spans="1:15" x14ac:dyDescent="0.2">
      <c r="A16" s="345"/>
      <c r="B16" s="345"/>
      <c r="C16" s="345"/>
      <c r="D16" s="345"/>
      <c r="E16" s="346" t="s">
        <v>403</v>
      </c>
      <c r="F16" s="346" t="s">
        <v>404</v>
      </c>
      <c r="G16" s="346" t="s">
        <v>405</v>
      </c>
      <c r="H16" s="363" t="s">
        <v>392</v>
      </c>
      <c r="I16" s="357">
        <v>2038</v>
      </c>
      <c r="J16" s="363" t="s">
        <v>89</v>
      </c>
      <c r="K16" s="345"/>
      <c r="L16" s="345"/>
      <c r="M16" s="345"/>
      <c r="N16" s="345"/>
      <c r="O16" s="345" t="s">
        <v>482</v>
      </c>
    </row>
    <row r="17" spans="1:15" x14ac:dyDescent="0.2">
      <c r="A17" s="345"/>
      <c r="B17" s="345"/>
      <c r="C17" s="345"/>
      <c r="D17" s="345"/>
      <c r="E17" s="346" t="s">
        <v>436</v>
      </c>
      <c r="F17" s="346" t="s">
        <v>437</v>
      </c>
      <c r="G17" s="346" t="s">
        <v>438</v>
      </c>
      <c r="H17" s="363"/>
      <c r="I17" s="357" t="s">
        <v>439</v>
      </c>
      <c r="J17" s="363" t="s">
        <v>3</v>
      </c>
      <c r="K17" s="345"/>
      <c r="L17" s="345"/>
      <c r="M17" s="345"/>
      <c r="N17" s="345"/>
      <c r="O17" s="345" t="s">
        <v>482</v>
      </c>
    </row>
    <row r="18" spans="1:15" x14ac:dyDescent="0.2">
      <c r="A18" s="345"/>
      <c r="B18" s="345"/>
      <c r="C18" s="345"/>
      <c r="D18" s="345"/>
      <c r="E18" s="346" t="s">
        <v>442</v>
      </c>
      <c r="F18" s="346" t="s">
        <v>443</v>
      </c>
      <c r="G18" s="346" t="s">
        <v>444</v>
      </c>
      <c r="H18" s="363" t="s">
        <v>392</v>
      </c>
      <c r="I18" s="357">
        <v>1887</v>
      </c>
      <c r="J18" s="363" t="s">
        <v>89</v>
      </c>
      <c r="K18" s="345"/>
      <c r="L18" s="345"/>
      <c r="M18" s="345"/>
      <c r="N18" s="345"/>
      <c r="O18" s="345" t="s">
        <v>482</v>
      </c>
    </row>
    <row r="19" spans="1:15" x14ac:dyDescent="0.2">
      <c r="A19" s="345"/>
      <c r="B19" s="345"/>
      <c r="C19" s="345"/>
      <c r="D19" s="345"/>
      <c r="E19" s="346" t="s">
        <v>410</v>
      </c>
      <c r="F19" s="346" t="s">
        <v>411</v>
      </c>
      <c r="G19" s="346" t="s">
        <v>412</v>
      </c>
      <c r="H19" s="363" t="s">
        <v>10</v>
      </c>
      <c r="I19" s="357">
        <v>84095</v>
      </c>
      <c r="J19" s="363" t="s">
        <v>89</v>
      </c>
      <c r="K19" s="345"/>
      <c r="L19" s="345"/>
      <c r="M19" s="345"/>
      <c r="N19" s="345"/>
      <c r="O19" s="345" t="s">
        <v>482</v>
      </c>
    </row>
    <row r="20" spans="1:15" x14ac:dyDescent="0.2">
      <c r="A20" s="345"/>
      <c r="B20" s="345"/>
      <c r="C20" s="345"/>
      <c r="D20" s="345"/>
      <c r="E20" s="346" t="s">
        <v>440</v>
      </c>
      <c r="F20" s="346" t="s">
        <v>411</v>
      </c>
      <c r="G20" s="346" t="s">
        <v>412</v>
      </c>
      <c r="H20" s="363" t="s">
        <v>10</v>
      </c>
      <c r="I20" s="357">
        <v>84095</v>
      </c>
      <c r="J20" s="363" t="s">
        <v>89</v>
      </c>
      <c r="K20" s="345"/>
      <c r="L20" s="345"/>
      <c r="M20" s="345"/>
      <c r="N20" s="345"/>
      <c r="O20" s="345" t="s">
        <v>482</v>
      </c>
    </row>
    <row r="21" spans="1:15" x14ac:dyDescent="0.2">
      <c r="A21" s="345"/>
      <c r="B21" s="345"/>
      <c r="C21" s="345"/>
      <c r="D21" s="345"/>
      <c r="E21" s="346" t="s">
        <v>393</v>
      </c>
      <c r="F21" s="346" t="s">
        <v>394</v>
      </c>
      <c r="G21" s="346" t="s">
        <v>395</v>
      </c>
      <c r="H21" s="363"/>
      <c r="I21" s="357">
        <v>3013</v>
      </c>
      <c r="J21" s="363" t="s">
        <v>112</v>
      </c>
      <c r="K21" s="345"/>
      <c r="L21" s="345"/>
      <c r="M21" s="345"/>
      <c r="N21" s="345"/>
      <c r="O21" s="345" t="s">
        <v>482</v>
      </c>
    </row>
    <row r="22" spans="1:15" x14ac:dyDescent="0.2">
      <c r="A22" s="345"/>
      <c r="B22" s="345"/>
      <c r="C22" s="345"/>
      <c r="D22" s="345"/>
      <c r="E22" s="346" t="s">
        <v>393</v>
      </c>
      <c r="F22" s="346" t="s">
        <v>394</v>
      </c>
      <c r="G22" s="346" t="s">
        <v>395</v>
      </c>
      <c r="H22" s="363"/>
      <c r="I22" s="357">
        <v>3013</v>
      </c>
      <c r="J22" s="363" t="s">
        <v>112</v>
      </c>
      <c r="K22" s="345"/>
      <c r="L22" s="345"/>
      <c r="M22" s="345"/>
      <c r="N22" s="345"/>
      <c r="O22" s="345" t="s">
        <v>482</v>
      </c>
    </row>
    <row r="23" spans="1:15" x14ac:dyDescent="0.2">
      <c r="A23" s="345"/>
      <c r="B23" s="345"/>
      <c r="C23" s="345"/>
      <c r="D23" s="345"/>
      <c r="E23" s="346" t="s">
        <v>452</v>
      </c>
      <c r="F23" s="346" t="s">
        <v>453</v>
      </c>
      <c r="G23" s="346" t="s">
        <v>454</v>
      </c>
      <c r="H23" s="363" t="s">
        <v>455</v>
      </c>
      <c r="I23" s="357">
        <v>53545</v>
      </c>
      <c r="J23" s="363" t="s">
        <v>89</v>
      </c>
      <c r="K23" s="345"/>
      <c r="L23" s="345"/>
      <c r="M23" s="345"/>
      <c r="N23" s="345"/>
      <c r="O23" s="345" t="s">
        <v>482</v>
      </c>
    </row>
    <row r="24" spans="1:15" x14ac:dyDescent="0.2">
      <c r="A24" s="345"/>
      <c r="B24" s="345"/>
      <c r="C24" s="345"/>
      <c r="D24" s="345"/>
      <c r="E24" s="346" t="s">
        <v>456</v>
      </c>
      <c r="F24" s="346" t="s">
        <v>457</v>
      </c>
      <c r="G24" s="346" t="s">
        <v>458</v>
      </c>
      <c r="H24" s="363" t="s">
        <v>1</v>
      </c>
      <c r="I24" s="357">
        <v>46241</v>
      </c>
      <c r="J24" s="363" t="s">
        <v>89</v>
      </c>
      <c r="K24" s="345"/>
      <c r="L24" s="345"/>
      <c r="M24" s="345"/>
      <c r="N24" s="345"/>
      <c r="O24" s="345" t="s">
        <v>482</v>
      </c>
    </row>
    <row r="25" spans="1:15" x14ac:dyDescent="0.2">
      <c r="A25" s="345"/>
      <c r="B25" s="345"/>
      <c r="C25" s="345"/>
      <c r="D25" s="345"/>
      <c r="E25" s="346" t="s">
        <v>416</v>
      </c>
      <c r="F25" s="349" t="s">
        <v>417</v>
      </c>
      <c r="G25" s="346" t="s">
        <v>418</v>
      </c>
      <c r="H25" s="363" t="s">
        <v>402</v>
      </c>
      <c r="I25" s="358">
        <v>18106</v>
      </c>
      <c r="J25" s="363" t="s">
        <v>89</v>
      </c>
      <c r="K25" s="345"/>
      <c r="L25" s="345"/>
      <c r="M25" s="345"/>
      <c r="N25" s="345"/>
      <c r="O25" s="345" t="s">
        <v>482</v>
      </c>
    </row>
    <row r="26" spans="1:15" x14ac:dyDescent="0.2">
      <c r="A26" s="345"/>
      <c r="B26" s="345"/>
      <c r="C26" s="345"/>
      <c r="D26" s="345"/>
      <c r="E26" s="346" t="s">
        <v>416</v>
      </c>
      <c r="F26" s="349" t="s">
        <v>417</v>
      </c>
      <c r="G26" s="346" t="s">
        <v>418</v>
      </c>
      <c r="H26" s="363" t="s">
        <v>402</v>
      </c>
      <c r="I26" s="358">
        <v>18106</v>
      </c>
      <c r="J26" s="363" t="s">
        <v>89</v>
      </c>
      <c r="K26" s="345"/>
      <c r="L26" s="345"/>
      <c r="M26" s="345"/>
      <c r="N26" s="345"/>
      <c r="O26" s="345" t="s">
        <v>482</v>
      </c>
    </row>
    <row r="27" spans="1:15" x14ac:dyDescent="0.2">
      <c r="A27" s="345"/>
      <c r="B27" s="345"/>
      <c r="C27" s="345"/>
      <c r="D27" s="345"/>
      <c r="E27" s="346" t="s">
        <v>445</v>
      </c>
      <c r="F27" s="346" t="s">
        <v>446</v>
      </c>
      <c r="G27" s="346" t="s">
        <v>447</v>
      </c>
      <c r="H27" s="363" t="s">
        <v>10</v>
      </c>
      <c r="I27" s="357">
        <v>84070</v>
      </c>
      <c r="J27" s="363" t="s">
        <v>89</v>
      </c>
      <c r="K27" s="345"/>
      <c r="L27" s="345"/>
      <c r="M27" s="345"/>
      <c r="N27" s="345"/>
      <c r="O27" s="345" t="s">
        <v>482</v>
      </c>
    </row>
    <row r="28" spans="1:15" x14ac:dyDescent="0.2">
      <c r="A28" s="345"/>
      <c r="B28" s="345"/>
      <c r="C28" s="345"/>
      <c r="D28" s="345"/>
      <c r="E28" s="346" t="s">
        <v>445</v>
      </c>
      <c r="F28" s="346" t="s">
        <v>446</v>
      </c>
      <c r="G28" s="346" t="s">
        <v>447</v>
      </c>
      <c r="H28" s="363" t="s">
        <v>10</v>
      </c>
      <c r="I28" s="357">
        <v>84070</v>
      </c>
      <c r="J28" s="363" t="s">
        <v>89</v>
      </c>
      <c r="K28" s="345"/>
      <c r="L28" s="345"/>
      <c r="M28" s="345"/>
      <c r="N28" s="345"/>
      <c r="O28" s="345" t="s">
        <v>482</v>
      </c>
    </row>
    <row r="29" spans="1:15" x14ac:dyDescent="0.2">
      <c r="A29" s="345"/>
      <c r="B29" s="345"/>
      <c r="C29" s="345"/>
      <c r="D29" s="345"/>
      <c r="E29" s="346" t="s">
        <v>445</v>
      </c>
      <c r="F29" s="346" t="s">
        <v>446</v>
      </c>
      <c r="G29" s="346" t="s">
        <v>447</v>
      </c>
      <c r="H29" s="363" t="s">
        <v>10</v>
      </c>
      <c r="I29" s="357">
        <v>84070</v>
      </c>
      <c r="J29" s="363" t="s">
        <v>89</v>
      </c>
      <c r="K29" s="345"/>
      <c r="L29" s="345"/>
      <c r="M29" s="345"/>
      <c r="N29" s="345"/>
      <c r="O29" s="345" t="s">
        <v>482</v>
      </c>
    </row>
    <row r="30" spans="1:15" x14ac:dyDescent="0.2">
      <c r="A30" s="350"/>
      <c r="B30" s="350"/>
      <c r="C30" s="350"/>
      <c r="D30" s="350"/>
      <c r="E30" s="351" t="s">
        <v>466</v>
      </c>
      <c r="F30" s="352" t="s">
        <v>467</v>
      </c>
      <c r="G30" s="352" t="s">
        <v>468</v>
      </c>
      <c r="H30" s="364"/>
      <c r="I30" s="359">
        <v>5252</v>
      </c>
      <c r="J30" s="364" t="s">
        <v>469</v>
      </c>
      <c r="K30" s="350"/>
      <c r="L30" s="350"/>
      <c r="M30" s="350"/>
      <c r="N30" s="350"/>
      <c r="O30" s="350" t="s">
        <v>482</v>
      </c>
    </row>
    <row r="31" spans="1:15" x14ac:dyDescent="0.2">
      <c r="A31" s="353"/>
      <c r="B31" s="353"/>
      <c r="C31" s="353"/>
      <c r="D31" s="353"/>
      <c r="E31" s="354" t="s">
        <v>393</v>
      </c>
      <c r="F31" s="354" t="s">
        <v>394</v>
      </c>
      <c r="G31" s="354" t="s">
        <v>395</v>
      </c>
      <c r="H31" s="365"/>
      <c r="I31" s="360">
        <v>3013</v>
      </c>
      <c r="J31" s="365" t="s">
        <v>112</v>
      </c>
      <c r="K31" s="353"/>
      <c r="L31" s="353"/>
      <c r="M31" s="353"/>
      <c r="N31" s="353"/>
      <c r="O31" s="353" t="s">
        <v>483</v>
      </c>
    </row>
    <row r="32" spans="1:15" x14ac:dyDescent="0.2">
      <c r="A32" s="353"/>
      <c r="B32" s="353"/>
      <c r="C32" s="353"/>
      <c r="D32" s="353"/>
      <c r="E32" s="354" t="s">
        <v>396</v>
      </c>
      <c r="F32" s="354" t="s">
        <v>397</v>
      </c>
      <c r="G32" s="354" t="s">
        <v>398</v>
      </c>
      <c r="H32" s="365" t="s">
        <v>1</v>
      </c>
      <c r="I32" s="360">
        <v>47403</v>
      </c>
      <c r="J32" s="365" t="s">
        <v>89</v>
      </c>
      <c r="K32" s="353"/>
      <c r="L32" s="353"/>
      <c r="M32" s="353"/>
      <c r="N32" s="353"/>
      <c r="O32" s="353" t="s">
        <v>483</v>
      </c>
    </row>
    <row r="33" spans="1:15" x14ac:dyDescent="0.2">
      <c r="A33" s="353"/>
      <c r="B33" s="353"/>
      <c r="C33" s="353"/>
      <c r="D33" s="353"/>
      <c r="E33" s="354" t="s">
        <v>399</v>
      </c>
      <c r="F33" s="354" t="s">
        <v>400</v>
      </c>
      <c r="G33" s="354" t="s">
        <v>401</v>
      </c>
      <c r="H33" s="365" t="s">
        <v>402</v>
      </c>
      <c r="I33" s="360">
        <v>19355</v>
      </c>
      <c r="J33" s="365" t="s">
        <v>89</v>
      </c>
      <c r="K33" s="353"/>
      <c r="L33" s="353"/>
      <c r="M33" s="353"/>
      <c r="N33" s="353"/>
      <c r="O33" s="353" t="s">
        <v>483</v>
      </c>
    </row>
    <row r="34" spans="1:15" x14ac:dyDescent="0.2">
      <c r="A34" s="353"/>
      <c r="B34" s="353"/>
      <c r="C34" s="353"/>
      <c r="D34" s="353"/>
      <c r="E34" s="354" t="s">
        <v>403</v>
      </c>
      <c r="F34" s="354" t="s">
        <v>404</v>
      </c>
      <c r="G34" s="354" t="s">
        <v>405</v>
      </c>
      <c r="H34" s="365" t="s">
        <v>392</v>
      </c>
      <c r="I34" s="360">
        <v>2038</v>
      </c>
      <c r="J34" s="365" t="s">
        <v>89</v>
      </c>
      <c r="K34" s="353"/>
      <c r="L34" s="353"/>
      <c r="M34" s="353"/>
      <c r="N34" s="353"/>
      <c r="O34" s="353" t="s">
        <v>483</v>
      </c>
    </row>
    <row r="35" spans="1:15" x14ac:dyDescent="0.2">
      <c r="A35" s="353"/>
      <c r="B35" s="353"/>
      <c r="C35" s="353"/>
      <c r="D35" s="353"/>
      <c r="E35" s="354" t="s">
        <v>410</v>
      </c>
      <c r="F35" s="354" t="s">
        <v>411</v>
      </c>
      <c r="G35" s="354" t="s">
        <v>412</v>
      </c>
      <c r="H35" s="365" t="s">
        <v>10</v>
      </c>
      <c r="I35" s="360">
        <v>84095</v>
      </c>
      <c r="J35" s="365" t="s">
        <v>89</v>
      </c>
      <c r="K35" s="353"/>
      <c r="L35" s="353"/>
      <c r="M35" s="353"/>
      <c r="N35" s="353"/>
      <c r="O35" s="353" t="s">
        <v>483</v>
      </c>
    </row>
    <row r="36" spans="1:15" x14ac:dyDescent="0.2">
      <c r="A36" s="353"/>
      <c r="B36" s="353"/>
      <c r="C36" s="353"/>
      <c r="D36" s="353"/>
      <c r="E36" s="354" t="s">
        <v>416</v>
      </c>
      <c r="F36" s="355" t="s">
        <v>417</v>
      </c>
      <c r="G36" s="354" t="s">
        <v>418</v>
      </c>
      <c r="H36" s="365" t="s">
        <v>402</v>
      </c>
      <c r="I36" s="361">
        <v>18106</v>
      </c>
      <c r="J36" s="365" t="s">
        <v>89</v>
      </c>
      <c r="K36" s="353"/>
      <c r="L36" s="353"/>
      <c r="M36" s="353"/>
      <c r="N36" s="353"/>
      <c r="O36" s="353" t="s">
        <v>483</v>
      </c>
    </row>
    <row r="37" spans="1:15" x14ac:dyDescent="0.2">
      <c r="A37" s="353"/>
      <c r="B37" s="353"/>
      <c r="C37" s="353"/>
      <c r="D37" s="353"/>
      <c r="E37" s="354" t="s">
        <v>416</v>
      </c>
      <c r="F37" s="355" t="s">
        <v>417</v>
      </c>
      <c r="G37" s="354" t="s">
        <v>418</v>
      </c>
      <c r="H37" s="365" t="s">
        <v>402</v>
      </c>
      <c r="I37" s="361">
        <v>18106</v>
      </c>
      <c r="J37" s="365" t="s">
        <v>89</v>
      </c>
      <c r="K37" s="353"/>
      <c r="L37" s="353"/>
      <c r="M37" s="353"/>
      <c r="N37" s="353"/>
      <c r="O37" s="353" t="s">
        <v>483</v>
      </c>
    </row>
    <row r="38" spans="1:15" x14ac:dyDescent="0.2">
      <c r="A38" s="353"/>
      <c r="B38" s="353"/>
      <c r="C38" s="353"/>
      <c r="D38" s="353"/>
      <c r="E38" s="354" t="s">
        <v>416</v>
      </c>
      <c r="F38" s="355" t="s">
        <v>417</v>
      </c>
      <c r="G38" s="354" t="s">
        <v>418</v>
      </c>
      <c r="H38" s="365" t="s">
        <v>402</v>
      </c>
      <c r="I38" s="361">
        <v>18106</v>
      </c>
      <c r="J38" s="365" t="s">
        <v>89</v>
      </c>
      <c r="K38" s="353"/>
      <c r="L38" s="353"/>
      <c r="M38" s="353"/>
      <c r="N38" s="353"/>
      <c r="O38" s="353" t="s">
        <v>483</v>
      </c>
    </row>
    <row r="39" spans="1:15" x14ac:dyDescent="0.2">
      <c r="A39" s="353"/>
      <c r="B39" s="353"/>
      <c r="C39" s="353"/>
      <c r="D39" s="353"/>
      <c r="E39" s="354" t="s">
        <v>416</v>
      </c>
      <c r="F39" s="355" t="s">
        <v>417</v>
      </c>
      <c r="G39" s="354" t="s">
        <v>418</v>
      </c>
      <c r="H39" s="365" t="s">
        <v>402</v>
      </c>
      <c r="I39" s="361">
        <v>18106</v>
      </c>
      <c r="J39" s="365" t="s">
        <v>89</v>
      </c>
      <c r="K39" s="353"/>
      <c r="L39" s="353"/>
      <c r="M39" s="353"/>
      <c r="N39" s="353"/>
      <c r="O39" s="353" t="s">
        <v>483</v>
      </c>
    </row>
    <row r="40" spans="1:15" x14ac:dyDescent="0.2">
      <c r="A40" s="353"/>
      <c r="B40" s="353"/>
      <c r="C40" s="353"/>
      <c r="D40" s="353"/>
      <c r="E40" s="354" t="s">
        <v>425</v>
      </c>
      <c r="F40" s="354" t="s">
        <v>426</v>
      </c>
      <c r="G40" s="354" t="s">
        <v>427</v>
      </c>
      <c r="H40" s="365" t="s">
        <v>33</v>
      </c>
      <c r="I40" s="360">
        <v>93618</v>
      </c>
      <c r="J40" s="365" t="s">
        <v>89</v>
      </c>
      <c r="K40" s="353"/>
      <c r="L40" s="353"/>
      <c r="M40" s="353"/>
      <c r="N40" s="353"/>
      <c r="O40" s="353" t="s">
        <v>483</v>
      </c>
    </row>
    <row r="41" spans="1:15" x14ac:dyDescent="0.2">
      <c r="A41" s="353"/>
      <c r="B41" s="353"/>
      <c r="C41" s="353"/>
      <c r="D41" s="353"/>
      <c r="E41" s="354" t="s">
        <v>416</v>
      </c>
      <c r="F41" s="355" t="s">
        <v>417</v>
      </c>
      <c r="G41" s="354" t="s">
        <v>418</v>
      </c>
      <c r="H41" s="365" t="s">
        <v>402</v>
      </c>
      <c r="I41" s="361">
        <v>18106</v>
      </c>
      <c r="J41" s="365" t="s">
        <v>89</v>
      </c>
      <c r="K41" s="353"/>
      <c r="L41" s="353"/>
      <c r="M41" s="353"/>
      <c r="N41" s="353"/>
      <c r="O41" s="353" t="s">
        <v>483</v>
      </c>
    </row>
    <row r="42" spans="1:15" x14ac:dyDescent="0.2">
      <c r="A42" s="353"/>
      <c r="B42" s="353"/>
      <c r="C42" s="353"/>
      <c r="D42" s="353"/>
      <c r="E42" s="354" t="s">
        <v>389</v>
      </c>
      <c r="F42" s="354" t="s">
        <v>432</v>
      </c>
      <c r="G42" s="354" t="s">
        <v>391</v>
      </c>
      <c r="H42" s="365" t="s">
        <v>392</v>
      </c>
      <c r="I42" s="360">
        <v>1605</v>
      </c>
      <c r="J42" s="365" t="s">
        <v>89</v>
      </c>
      <c r="K42" s="353"/>
      <c r="L42" s="353"/>
      <c r="M42" s="353"/>
      <c r="N42" s="353"/>
      <c r="O42" s="353" t="s">
        <v>483</v>
      </c>
    </row>
    <row r="43" spans="1:15" x14ac:dyDescent="0.2">
      <c r="A43" s="353"/>
      <c r="B43" s="353"/>
      <c r="C43" s="353"/>
      <c r="D43" s="353"/>
      <c r="E43" s="354" t="s">
        <v>433</v>
      </c>
      <c r="F43" s="355" t="s">
        <v>434</v>
      </c>
      <c r="G43" s="354" t="s">
        <v>435</v>
      </c>
      <c r="H43" s="365"/>
      <c r="I43" s="360">
        <v>40699</v>
      </c>
      <c r="J43" s="365" t="s">
        <v>3</v>
      </c>
      <c r="K43" s="353"/>
      <c r="L43" s="353"/>
      <c r="M43" s="353"/>
      <c r="N43" s="353"/>
      <c r="O43" s="353" t="s">
        <v>483</v>
      </c>
    </row>
    <row r="44" spans="1:15" x14ac:dyDescent="0.2">
      <c r="A44" s="353"/>
      <c r="B44" s="353"/>
      <c r="C44" s="353"/>
      <c r="D44" s="353"/>
      <c r="E44" s="354" t="s">
        <v>396</v>
      </c>
      <c r="F44" s="354" t="s">
        <v>397</v>
      </c>
      <c r="G44" s="354" t="s">
        <v>398</v>
      </c>
      <c r="H44" s="365" t="s">
        <v>1</v>
      </c>
      <c r="I44" s="360">
        <v>47403</v>
      </c>
      <c r="J44" s="365" t="s">
        <v>89</v>
      </c>
      <c r="K44" s="353"/>
      <c r="L44" s="353"/>
      <c r="M44" s="353"/>
      <c r="N44" s="353"/>
      <c r="O44" s="353" t="s">
        <v>483</v>
      </c>
    </row>
    <row r="45" spans="1:15" x14ac:dyDescent="0.2">
      <c r="A45" s="353"/>
      <c r="B45" s="353"/>
      <c r="C45" s="353"/>
      <c r="D45" s="353"/>
      <c r="E45" s="354" t="s">
        <v>440</v>
      </c>
      <c r="F45" s="354" t="s">
        <v>441</v>
      </c>
      <c r="G45" s="354" t="s">
        <v>412</v>
      </c>
      <c r="H45" s="365" t="s">
        <v>10</v>
      </c>
      <c r="I45" s="360">
        <v>84095</v>
      </c>
      <c r="J45" s="365" t="s">
        <v>89</v>
      </c>
      <c r="K45" s="353"/>
      <c r="L45" s="353"/>
      <c r="M45" s="353"/>
      <c r="N45" s="353"/>
      <c r="O45" s="353" t="s">
        <v>483</v>
      </c>
    </row>
    <row r="46" spans="1:15" x14ac:dyDescent="0.2">
      <c r="A46" s="353"/>
      <c r="B46" s="353"/>
      <c r="C46" s="353"/>
      <c r="D46" s="353"/>
      <c r="E46" s="354" t="s">
        <v>440</v>
      </c>
      <c r="F46" s="354" t="s">
        <v>411</v>
      </c>
      <c r="G46" s="354" t="s">
        <v>412</v>
      </c>
      <c r="H46" s="365" t="s">
        <v>10</v>
      </c>
      <c r="I46" s="360">
        <v>84095</v>
      </c>
      <c r="J46" s="365" t="s">
        <v>89</v>
      </c>
      <c r="K46" s="353"/>
      <c r="L46" s="353"/>
      <c r="M46" s="353"/>
      <c r="N46" s="353"/>
      <c r="O46" s="353" t="s">
        <v>483</v>
      </c>
    </row>
    <row r="47" spans="1:15" x14ac:dyDescent="0.2">
      <c r="A47" s="353"/>
      <c r="B47" s="353"/>
      <c r="C47" s="353"/>
      <c r="D47" s="353"/>
      <c r="E47" s="354" t="s">
        <v>445</v>
      </c>
      <c r="F47" s="354" t="s">
        <v>446</v>
      </c>
      <c r="G47" s="354" t="s">
        <v>447</v>
      </c>
      <c r="H47" s="365" t="s">
        <v>10</v>
      </c>
      <c r="I47" s="360">
        <v>84070</v>
      </c>
      <c r="J47" s="365" t="s">
        <v>89</v>
      </c>
      <c r="K47" s="353"/>
      <c r="L47" s="353"/>
      <c r="M47" s="353"/>
      <c r="N47" s="353"/>
      <c r="O47" s="353" t="s">
        <v>483</v>
      </c>
    </row>
    <row r="48" spans="1:15" x14ac:dyDescent="0.2">
      <c r="A48" s="353"/>
      <c r="B48" s="353"/>
      <c r="C48" s="353"/>
      <c r="D48" s="353"/>
      <c r="E48" s="354" t="s">
        <v>448</v>
      </c>
      <c r="F48" s="354" t="s">
        <v>449</v>
      </c>
      <c r="G48" s="354" t="s">
        <v>450</v>
      </c>
      <c r="H48" s="365" t="s">
        <v>10</v>
      </c>
      <c r="I48" s="360">
        <v>84123</v>
      </c>
      <c r="J48" s="365" t="s">
        <v>89</v>
      </c>
      <c r="K48" s="353"/>
      <c r="L48" s="353"/>
      <c r="M48" s="353"/>
      <c r="N48" s="353"/>
      <c r="O48" s="353" t="s">
        <v>483</v>
      </c>
    </row>
    <row r="49" spans="1:15" x14ac:dyDescent="0.2">
      <c r="A49" s="353"/>
      <c r="B49" s="353"/>
      <c r="C49" s="353"/>
      <c r="D49" s="353"/>
      <c r="E49" s="354" t="s">
        <v>416</v>
      </c>
      <c r="F49" s="354" t="s">
        <v>451</v>
      </c>
      <c r="G49" s="354" t="s">
        <v>418</v>
      </c>
      <c r="H49" s="365" t="s">
        <v>402</v>
      </c>
      <c r="I49" s="360">
        <v>18108</v>
      </c>
      <c r="J49" s="365" t="s">
        <v>89</v>
      </c>
      <c r="K49" s="353"/>
      <c r="L49" s="353"/>
      <c r="M49" s="353"/>
      <c r="N49" s="353"/>
      <c r="O49" s="353" t="s">
        <v>483</v>
      </c>
    </row>
    <row r="50" spans="1:15" x14ac:dyDescent="0.2">
      <c r="A50" s="353"/>
      <c r="B50" s="353"/>
      <c r="C50" s="353"/>
      <c r="D50" s="353"/>
      <c r="E50" s="354" t="s">
        <v>425</v>
      </c>
      <c r="F50" s="354" t="s">
        <v>426</v>
      </c>
      <c r="G50" s="354" t="s">
        <v>427</v>
      </c>
      <c r="H50" s="365" t="s">
        <v>33</v>
      </c>
      <c r="I50" s="361">
        <v>92618</v>
      </c>
      <c r="J50" s="365" t="s">
        <v>89</v>
      </c>
      <c r="K50" s="353"/>
      <c r="L50" s="353"/>
      <c r="M50" s="353"/>
      <c r="N50" s="353"/>
      <c r="O50" s="353" t="s">
        <v>483</v>
      </c>
    </row>
    <row r="51" spans="1:15" x14ac:dyDescent="0.2">
      <c r="A51" s="353"/>
      <c r="B51" s="353"/>
      <c r="C51" s="353"/>
      <c r="D51" s="353"/>
      <c r="E51" s="354" t="s">
        <v>440</v>
      </c>
      <c r="F51" s="354" t="s">
        <v>411</v>
      </c>
      <c r="G51" s="354" t="s">
        <v>412</v>
      </c>
      <c r="H51" s="365" t="s">
        <v>10</v>
      </c>
      <c r="I51" s="360">
        <v>84095</v>
      </c>
      <c r="J51" s="365" t="s">
        <v>89</v>
      </c>
      <c r="K51" s="353"/>
      <c r="L51" s="353"/>
      <c r="M51" s="353"/>
      <c r="N51" s="353"/>
      <c r="O51" s="353" t="s">
        <v>483</v>
      </c>
    </row>
    <row r="52" spans="1:15" x14ac:dyDescent="0.2">
      <c r="A52" s="353"/>
      <c r="B52" s="353"/>
      <c r="C52" s="353"/>
      <c r="D52" s="353"/>
      <c r="E52" s="354" t="s">
        <v>425</v>
      </c>
      <c r="F52" s="354" t="s">
        <v>426</v>
      </c>
      <c r="G52" s="354" t="s">
        <v>427</v>
      </c>
      <c r="H52" s="365" t="s">
        <v>33</v>
      </c>
      <c r="I52" s="360">
        <v>93618</v>
      </c>
      <c r="J52" s="365" t="s">
        <v>89</v>
      </c>
      <c r="K52" s="353"/>
      <c r="L52" s="353"/>
      <c r="M52" s="353"/>
      <c r="N52" s="353"/>
      <c r="O52" s="353" t="s">
        <v>483</v>
      </c>
    </row>
    <row r="53" spans="1:15" x14ac:dyDescent="0.2">
      <c r="A53" s="353"/>
      <c r="B53" s="353"/>
      <c r="C53" s="353"/>
      <c r="D53" s="353"/>
      <c r="E53" s="354" t="s">
        <v>459</v>
      </c>
      <c r="F53" s="355" t="s">
        <v>460</v>
      </c>
      <c r="G53" s="354" t="s">
        <v>461</v>
      </c>
      <c r="H53" s="365" t="s">
        <v>462</v>
      </c>
      <c r="I53" s="361">
        <v>89521</v>
      </c>
      <c r="J53" s="365" t="s">
        <v>89</v>
      </c>
      <c r="K53" s="353"/>
      <c r="L53" s="353"/>
      <c r="M53" s="353"/>
      <c r="N53" s="353"/>
      <c r="O53" s="353" t="s">
        <v>483</v>
      </c>
    </row>
    <row r="54" spans="1:15" x14ac:dyDescent="0.2">
      <c r="A54" s="353"/>
      <c r="B54" s="353"/>
      <c r="C54" s="353"/>
      <c r="D54" s="353"/>
      <c r="E54" s="354" t="s">
        <v>396</v>
      </c>
      <c r="F54" s="354" t="s">
        <v>397</v>
      </c>
      <c r="G54" s="354" t="s">
        <v>398</v>
      </c>
      <c r="H54" s="365" t="s">
        <v>1</v>
      </c>
      <c r="I54" s="360">
        <v>47403</v>
      </c>
      <c r="J54" s="365" t="s">
        <v>89</v>
      </c>
      <c r="K54" s="353"/>
      <c r="L54" s="353"/>
      <c r="M54" s="353"/>
      <c r="N54" s="353"/>
      <c r="O54" s="353" t="s">
        <v>483</v>
      </c>
    </row>
    <row r="55" spans="1:15" x14ac:dyDescent="0.2">
      <c r="A55" s="353"/>
      <c r="B55" s="353"/>
      <c r="C55" s="353"/>
      <c r="D55" s="353"/>
      <c r="E55" s="354" t="s">
        <v>416</v>
      </c>
      <c r="F55" s="355" t="s">
        <v>417</v>
      </c>
      <c r="G55" s="354" t="s">
        <v>418</v>
      </c>
      <c r="H55" s="365" t="s">
        <v>402</v>
      </c>
      <c r="I55" s="361">
        <v>18106</v>
      </c>
      <c r="J55" s="365" t="s">
        <v>89</v>
      </c>
      <c r="K55" s="353"/>
      <c r="L55" s="353"/>
      <c r="M55" s="353"/>
      <c r="N55" s="353"/>
      <c r="O55" s="353" t="s">
        <v>483</v>
      </c>
    </row>
    <row r="56" spans="1:15" ht="22.5" x14ac:dyDescent="0.2">
      <c r="A56" s="353"/>
      <c r="B56" s="353"/>
      <c r="C56" s="353"/>
      <c r="D56" s="353"/>
      <c r="E56" s="354" t="s">
        <v>463</v>
      </c>
      <c r="F56" s="355" t="s">
        <v>464</v>
      </c>
      <c r="G56" s="354" t="s">
        <v>465</v>
      </c>
      <c r="H56" s="365" t="s">
        <v>33</v>
      </c>
      <c r="I56" s="360">
        <v>94063</v>
      </c>
      <c r="J56" s="365" t="s">
        <v>89</v>
      </c>
      <c r="K56" s="353"/>
      <c r="L56" s="353"/>
      <c r="M56" s="353"/>
      <c r="N56" s="353"/>
      <c r="O56" s="353" t="s">
        <v>483</v>
      </c>
    </row>
    <row r="57" spans="1:15" x14ac:dyDescent="0.2">
      <c r="A57" s="353"/>
      <c r="B57" s="353"/>
      <c r="C57" s="353"/>
      <c r="D57" s="353"/>
      <c r="E57" s="354" t="s">
        <v>448</v>
      </c>
      <c r="F57" s="354" t="s">
        <v>449</v>
      </c>
      <c r="G57" s="354" t="s">
        <v>450</v>
      </c>
      <c r="H57" s="365" t="s">
        <v>10</v>
      </c>
      <c r="I57" s="360">
        <v>84123</v>
      </c>
      <c r="J57" s="365" t="s">
        <v>89</v>
      </c>
      <c r="K57" s="353"/>
      <c r="L57" s="353"/>
      <c r="M57" s="353"/>
      <c r="N57" s="353"/>
      <c r="O57" s="353" t="s">
        <v>483</v>
      </c>
    </row>
    <row r="58" spans="1:15" x14ac:dyDescent="0.2">
      <c r="A58" s="353"/>
      <c r="B58" s="353"/>
      <c r="C58" s="353"/>
      <c r="D58" s="353"/>
      <c r="E58" s="354" t="s">
        <v>428</v>
      </c>
      <c r="F58" s="354" t="s">
        <v>429</v>
      </c>
      <c r="G58" s="354" t="s">
        <v>430</v>
      </c>
      <c r="H58" s="365"/>
      <c r="I58" s="360"/>
      <c r="J58" s="365" t="s">
        <v>431</v>
      </c>
      <c r="K58" s="353"/>
      <c r="L58" s="353"/>
      <c r="M58" s="353"/>
      <c r="N58" s="353"/>
      <c r="O58" s="353" t="s">
        <v>483</v>
      </c>
    </row>
  </sheetData>
  <mergeCells count="1">
    <mergeCell ref="A1:O1"/>
  </mergeCells>
  <phoneticPr fontId="23" type="noConversion"/>
  <pageMargins left="0.75" right="0.75" top="1" bottom="1" header="0.5" footer="0.5"/>
  <pageSetup scale="62" fitToHeight="3" orientation="portrait" r:id="rId1"/>
  <headerFooter alignWithMargins="0">
    <oddFooter>&amp;L&amp;F&amp;A&amp;R&amp;P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4"/>
  <sheetViews>
    <sheetView zoomScaleNormal="100" workbookViewId="0">
      <selection activeCell="B5" sqref="B5:B6"/>
    </sheetView>
  </sheetViews>
  <sheetFormatPr defaultColWidth="9.140625" defaultRowHeight="15" x14ac:dyDescent="0.25"/>
  <cols>
    <col min="1" max="1" width="9" style="162" customWidth="1"/>
    <col min="2" max="2" width="47" style="31" customWidth="1"/>
    <col min="3" max="3" width="5.28515625" style="31" bestFit="1" customWidth="1"/>
    <col min="4" max="4" width="12" style="31" bestFit="1" customWidth="1"/>
    <col min="5" max="5" width="71.28515625" style="31" customWidth="1"/>
    <col min="6" max="6" width="7.85546875" style="31" bestFit="1" customWidth="1"/>
    <col min="7" max="16384" width="9.140625" style="31"/>
  </cols>
  <sheetData>
    <row r="1" spans="1:6" ht="18.75" x14ac:dyDescent="0.25">
      <c r="A1" s="534" t="s">
        <v>320</v>
      </c>
      <c r="B1" s="534"/>
      <c r="C1" s="534"/>
      <c r="D1" s="534"/>
      <c r="E1" s="534"/>
      <c r="F1" s="534"/>
    </row>
    <row r="2" spans="1:6" s="152" customFormat="1" ht="30" x14ac:dyDescent="0.25">
      <c r="A2" s="255" t="s">
        <v>321</v>
      </c>
      <c r="B2" s="256" t="s">
        <v>115</v>
      </c>
      <c r="C2" s="256" t="s">
        <v>322</v>
      </c>
      <c r="D2" s="256" t="s">
        <v>323</v>
      </c>
      <c r="E2" s="256" t="s">
        <v>324</v>
      </c>
      <c r="F2" s="257" t="s">
        <v>325</v>
      </c>
    </row>
    <row r="3" spans="1:6" s="32" customFormat="1" x14ac:dyDescent="0.25">
      <c r="A3" s="159"/>
      <c r="B3" s="157" t="s">
        <v>475</v>
      </c>
      <c r="C3" s="153"/>
      <c r="D3" s="155"/>
      <c r="E3" s="154"/>
      <c r="F3" s="153"/>
    </row>
    <row r="4" spans="1:6" s="32" customFormat="1" x14ac:dyDescent="0.25">
      <c r="A4" s="159"/>
      <c r="B4" s="157" t="s">
        <v>476</v>
      </c>
      <c r="C4" s="153"/>
      <c r="D4" s="155"/>
      <c r="E4" s="153"/>
      <c r="F4" s="153"/>
    </row>
    <row r="5" spans="1:6" s="32" customFormat="1" x14ac:dyDescent="0.25">
      <c r="A5" s="159"/>
      <c r="B5" s="157" t="s">
        <v>664</v>
      </c>
      <c r="C5" s="153"/>
      <c r="D5" s="155"/>
      <c r="E5" s="154"/>
      <c r="F5" s="153"/>
    </row>
    <row r="6" spans="1:6" s="32" customFormat="1" x14ac:dyDescent="0.25">
      <c r="A6" s="159"/>
      <c r="B6" s="157" t="s">
        <v>665</v>
      </c>
      <c r="C6" s="153"/>
      <c r="D6" s="155"/>
      <c r="E6" s="154"/>
      <c r="F6" s="153"/>
    </row>
    <row r="7" spans="1:6" s="32" customFormat="1" x14ac:dyDescent="0.25">
      <c r="A7" s="159"/>
      <c r="B7" s="157"/>
      <c r="C7" s="153"/>
      <c r="D7" s="155"/>
      <c r="E7" s="154"/>
      <c r="F7" s="153"/>
    </row>
    <row r="8" spans="1:6" s="32" customFormat="1" x14ac:dyDescent="0.25">
      <c r="A8" s="159"/>
      <c r="B8" s="157"/>
      <c r="C8" s="153"/>
      <c r="D8" s="155"/>
      <c r="E8" s="154"/>
      <c r="F8" s="153"/>
    </row>
    <row r="9" spans="1:6" s="32" customFormat="1" x14ac:dyDescent="0.25">
      <c r="A9" s="159"/>
      <c r="B9" s="157"/>
      <c r="C9" s="153"/>
      <c r="D9" s="155"/>
      <c r="E9" s="154"/>
      <c r="F9" s="153"/>
    </row>
    <row r="10" spans="1:6" s="32" customFormat="1" x14ac:dyDescent="0.25">
      <c r="A10" s="159"/>
      <c r="B10" s="157"/>
      <c r="C10" s="153"/>
      <c r="D10" s="155"/>
      <c r="E10" s="154"/>
      <c r="F10" s="153"/>
    </row>
    <row r="11" spans="1:6" s="32" customFormat="1" x14ac:dyDescent="0.25">
      <c r="A11" s="159"/>
      <c r="B11" s="157"/>
      <c r="C11" s="153"/>
      <c r="D11" s="155"/>
      <c r="E11" s="154"/>
      <c r="F11" s="153"/>
    </row>
    <row r="12" spans="1:6" s="32" customFormat="1" x14ac:dyDescent="0.25">
      <c r="A12" s="159"/>
      <c r="B12" s="157"/>
      <c r="C12" s="153"/>
      <c r="D12" s="155"/>
      <c r="E12" s="154"/>
      <c r="F12" s="153"/>
    </row>
    <row r="13" spans="1:6" s="32" customFormat="1" x14ac:dyDescent="0.25">
      <c r="A13" s="159"/>
      <c r="B13" s="157"/>
      <c r="C13" s="153"/>
      <c r="D13" s="155"/>
      <c r="E13" s="154"/>
      <c r="F13" s="153"/>
    </row>
    <row r="14" spans="1:6" s="32" customFormat="1" x14ac:dyDescent="0.25">
      <c r="A14" s="158"/>
      <c r="B14" s="153"/>
      <c r="C14" s="153"/>
      <c r="D14" s="155"/>
      <c r="E14" s="153"/>
      <c r="F14" s="153"/>
    </row>
    <row r="15" spans="1:6" s="32" customFormat="1" x14ac:dyDescent="0.25">
      <c r="A15" s="156"/>
      <c r="B15" s="153"/>
      <c r="C15" s="153"/>
      <c r="D15" s="155"/>
      <c r="E15" s="153"/>
      <c r="F15" s="153"/>
    </row>
    <row r="16" spans="1:6" x14ac:dyDescent="0.25">
      <c r="A16" s="160"/>
      <c r="B16" s="161"/>
      <c r="C16" s="161"/>
      <c r="D16" s="161"/>
      <c r="E16" s="161"/>
      <c r="F16" s="161"/>
    </row>
    <row r="17" spans="1:6" x14ac:dyDescent="0.25">
      <c r="A17" s="160"/>
      <c r="B17" s="161"/>
      <c r="C17" s="161"/>
      <c r="D17" s="161"/>
      <c r="E17" s="161"/>
      <c r="F17" s="161"/>
    </row>
    <row r="18" spans="1:6" x14ac:dyDescent="0.25">
      <c r="A18" s="160"/>
      <c r="B18" s="161"/>
      <c r="C18" s="161"/>
      <c r="D18" s="161"/>
      <c r="E18" s="161"/>
      <c r="F18" s="161"/>
    </row>
    <row r="19" spans="1:6" x14ac:dyDescent="0.25">
      <c r="A19" s="160"/>
      <c r="B19" s="161"/>
      <c r="C19" s="161"/>
      <c r="D19" s="161"/>
      <c r="E19" s="161"/>
      <c r="F19" s="161"/>
    </row>
    <row r="20" spans="1:6" x14ac:dyDescent="0.25">
      <c r="A20" s="160"/>
      <c r="B20" s="161"/>
      <c r="C20" s="161"/>
      <c r="D20" s="161"/>
      <c r="E20" s="161"/>
      <c r="F20" s="161"/>
    </row>
    <row r="21" spans="1:6" x14ac:dyDescent="0.25">
      <c r="A21" s="160"/>
      <c r="B21" s="161"/>
      <c r="C21" s="161"/>
      <c r="D21" s="161"/>
      <c r="E21" s="161"/>
      <c r="F21" s="161"/>
    </row>
    <row r="22" spans="1:6" x14ac:dyDescent="0.25">
      <c r="A22" s="160"/>
      <c r="B22" s="161"/>
      <c r="C22" s="161"/>
      <c r="D22" s="161"/>
      <c r="E22" s="161"/>
      <c r="F22" s="161"/>
    </row>
    <row r="23" spans="1:6" x14ac:dyDescent="0.25">
      <c r="A23" s="160"/>
      <c r="B23" s="161"/>
      <c r="C23" s="161"/>
      <c r="D23" s="161"/>
      <c r="E23" s="161"/>
      <c r="F23" s="161"/>
    </row>
    <row r="24" spans="1:6" x14ac:dyDescent="0.25">
      <c r="A24" s="160"/>
      <c r="B24" s="161"/>
      <c r="C24" s="161"/>
      <c r="D24" s="161"/>
      <c r="E24" s="161"/>
      <c r="F24" s="161"/>
    </row>
  </sheetData>
  <mergeCells count="1">
    <mergeCell ref="A1:F1"/>
  </mergeCells>
  <pageMargins left="0.25" right="0.25" top="0.75" bottom="0.75" header="0.3" footer="0.3"/>
  <pageSetup scale="8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6"/>
  <sheetViews>
    <sheetView workbookViewId="0">
      <pane ySplit="3" topLeftCell="A4" activePane="bottomLeft" state="frozen"/>
      <selection pane="bottomLeft" sqref="A1:XFD1048576"/>
    </sheetView>
  </sheetViews>
  <sheetFormatPr defaultRowHeight="12.75" x14ac:dyDescent="0.25"/>
  <cols>
    <col min="1" max="1" width="21.5703125" style="395" customWidth="1"/>
    <col min="2" max="2" width="36.7109375" style="374" customWidth="1"/>
    <col min="3" max="3" width="52" style="396" customWidth="1"/>
    <col min="4" max="4" width="18.5703125" style="374" customWidth="1"/>
    <col min="5" max="5" width="11.28515625" style="374" bestFit="1" customWidth="1"/>
    <col min="6" max="246" width="9.140625" style="374"/>
    <col min="247" max="247" width="6.5703125" style="374" customWidth="1"/>
    <col min="248" max="248" width="34.85546875" style="374" customWidth="1"/>
    <col min="249" max="249" width="49.28515625" style="374" customWidth="1"/>
    <col min="250" max="250" width="5.7109375" style="374" customWidth="1"/>
    <col min="251" max="502" width="9.140625" style="374"/>
    <col min="503" max="503" width="6.5703125" style="374" customWidth="1"/>
    <col min="504" max="504" width="34.85546875" style="374" customWidth="1"/>
    <col min="505" max="505" width="49.28515625" style="374" customWidth="1"/>
    <col min="506" max="506" width="5.7109375" style="374" customWidth="1"/>
    <col min="507" max="758" width="9.140625" style="374"/>
    <col min="759" max="759" width="6.5703125" style="374" customWidth="1"/>
    <col min="760" max="760" width="34.85546875" style="374" customWidth="1"/>
    <col min="761" max="761" width="49.28515625" style="374" customWidth="1"/>
    <col min="762" max="762" width="5.7109375" style="374" customWidth="1"/>
    <col min="763" max="1014" width="9.140625" style="374"/>
    <col min="1015" max="1015" width="6.5703125" style="374" customWidth="1"/>
    <col min="1016" max="1016" width="34.85546875" style="374" customWidth="1"/>
    <col min="1017" max="1017" width="49.28515625" style="374" customWidth="1"/>
    <col min="1018" max="1018" width="5.7109375" style="374" customWidth="1"/>
    <col min="1019" max="1270" width="9.140625" style="374"/>
    <col min="1271" max="1271" width="6.5703125" style="374" customWidth="1"/>
    <col min="1272" max="1272" width="34.85546875" style="374" customWidth="1"/>
    <col min="1273" max="1273" width="49.28515625" style="374" customWidth="1"/>
    <col min="1274" max="1274" width="5.7109375" style="374" customWidth="1"/>
    <col min="1275" max="1526" width="9.140625" style="374"/>
    <col min="1527" max="1527" width="6.5703125" style="374" customWidth="1"/>
    <col min="1528" max="1528" width="34.85546875" style="374" customWidth="1"/>
    <col min="1529" max="1529" width="49.28515625" style="374" customWidth="1"/>
    <col min="1530" max="1530" width="5.7109375" style="374" customWidth="1"/>
    <col min="1531" max="1782" width="9.140625" style="374"/>
    <col min="1783" max="1783" width="6.5703125" style="374" customWidth="1"/>
    <col min="1784" max="1784" width="34.85546875" style="374" customWidth="1"/>
    <col min="1785" max="1785" width="49.28515625" style="374" customWidth="1"/>
    <col min="1786" max="1786" width="5.7109375" style="374" customWidth="1"/>
    <col min="1787" max="2038" width="9.140625" style="374"/>
    <col min="2039" max="2039" width="6.5703125" style="374" customWidth="1"/>
    <col min="2040" max="2040" width="34.85546875" style="374" customWidth="1"/>
    <col min="2041" max="2041" width="49.28515625" style="374" customWidth="1"/>
    <col min="2042" max="2042" width="5.7109375" style="374" customWidth="1"/>
    <col min="2043" max="2294" width="9.140625" style="374"/>
    <col min="2295" max="2295" width="6.5703125" style="374" customWidth="1"/>
    <col min="2296" max="2296" width="34.85546875" style="374" customWidth="1"/>
    <col min="2297" max="2297" width="49.28515625" style="374" customWidth="1"/>
    <col min="2298" max="2298" width="5.7109375" style="374" customWidth="1"/>
    <col min="2299" max="2550" width="9.140625" style="374"/>
    <col min="2551" max="2551" width="6.5703125" style="374" customWidth="1"/>
    <col min="2552" max="2552" width="34.85546875" style="374" customWidth="1"/>
    <col min="2553" max="2553" width="49.28515625" style="374" customWidth="1"/>
    <col min="2554" max="2554" width="5.7109375" style="374" customWidth="1"/>
    <col min="2555" max="2806" width="9.140625" style="374"/>
    <col min="2807" max="2807" width="6.5703125" style="374" customWidth="1"/>
    <col min="2808" max="2808" width="34.85546875" style="374" customWidth="1"/>
    <col min="2809" max="2809" width="49.28515625" style="374" customWidth="1"/>
    <col min="2810" max="2810" width="5.7109375" style="374" customWidth="1"/>
    <col min="2811" max="3062" width="9.140625" style="374"/>
    <col min="3063" max="3063" width="6.5703125" style="374" customWidth="1"/>
    <col min="3064" max="3064" width="34.85546875" style="374" customWidth="1"/>
    <col min="3065" max="3065" width="49.28515625" style="374" customWidth="1"/>
    <col min="3066" max="3066" width="5.7109375" style="374" customWidth="1"/>
    <col min="3067" max="3318" width="9.140625" style="374"/>
    <col min="3319" max="3319" width="6.5703125" style="374" customWidth="1"/>
    <col min="3320" max="3320" width="34.85546875" style="374" customWidth="1"/>
    <col min="3321" max="3321" width="49.28515625" style="374" customWidth="1"/>
    <col min="3322" max="3322" width="5.7109375" style="374" customWidth="1"/>
    <col min="3323" max="3574" width="9.140625" style="374"/>
    <col min="3575" max="3575" width="6.5703125" style="374" customWidth="1"/>
    <col min="3576" max="3576" width="34.85546875" style="374" customWidth="1"/>
    <col min="3577" max="3577" width="49.28515625" style="374" customWidth="1"/>
    <col min="3578" max="3578" width="5.7109375" style="374" customWidth="1"/>
    <col min="3579" max="3830" width="9.140625" style="374"/>
    <col min="3831" max="3831" width="6.5703125" style="374" customWidth="1"/>
    <col min="3832" max="3832" width="34.85546875" style="374" customWidth="1"/>
    <col min="3833" max="3833" width="49.28515625" style="374" customWidth="1"/>
    <col min="3834" max="3834" width="5.7109375" style="374" customWidth="1"/>
    <col min="3835" max="4086" width="9.140625" style="374"/>
    <col min="4087" max="4087" width="6.5703125" style="374" customWidth="1"/>
    <col min="4088" max="4088" width="34.85546875" style="374" customWidth="1"/>
    <col min="4089" max="4089" width="49.28515625" style="374" customWidth="1"/>
    <col min="4090" max="4090" width="5.7109375" style="374" customWidth="1"/>
    <col min="4091" max="4342" width="9.140625" style="374"/>
    <col min="4343" max="4343" width="6.5703125" style="374" customWidth="1"/>
    <col min="4344" max="4344" width="34.85546875" style="374" customWidth="1"/>
    <col min="4345" max="4345" width="49.28515625" style="374" customWidth="1"/>
    <col min="4346" max="4346" width="5.7109375" style="374" customWidth="1"/>
    <col min="4347" max="4598" width="9.140625" style="374"/>
    <col min="4599" max="4599" width="6.5703125" style="374" customWidth="1"/>
    <col min="4600" max="4600" width="34.85546875" style="374" customWidth="1"/>
    <col min="4601" max="4601" width="49.28515625" style="374" customWidth="1"/>
    <col min="4602" max="4602" width="5.7109375" style="374" customWidth="1"/>
    <col min="4603" max="4854" width="9.140625" style="374"/>
    <col min="4855" max="4855" width="6.5703125" style="374" customWidth="1"/>
    <col min="4856" max="4856" width="34.85546875" style="374" customWidth="1"/>
    <col min="4857" max="4857" width="49.28515625" style="374" customWidth="1"/>
    <col min="4858" max="4858" width="5.7109375" style="374" customWidth="1"/>
    <col min="4859" max="5110" width="9.140625" style="374"/>
    <col min="5111" max="5111" width="6.5703125" style="374" customWidth="1"/>
    <col min="5112" max="5112" width="34.85546875" style="374" customWidth="1"/>
    <col min="5113" max="5113" width="49.28515625" style="374" customWidth="1"/>
    <col min="5114" max="5114" width="5.7109375" style="374" customWidth="1"/>
    <col min="5115" max="5366" width="9.140625" style="374"/>
    <col min="5367" max="5367" width="6.5703125" style="374" customWidth="1"/>
    <col min="5368" max="5368" width="34.85546875" style="374" customWidth="1"/>
    <col min="5369" max="5369" width="49.28515625" style="374" customWidth="1"/>
    <col min="5370" max="5370" width="5.7109375" style="374" customWidth="1"/>
    <col min="5371" max="5622" width="9.140625" style="374"/>
    <col min="5623" max="5623" width="6.5703125" style="374" customWidth="1"/>
    <col min="5624" max="5624" width="34.85546875" style="374" customWidth="1"/>
    <col min="5625" max="5625" width="49.28515625" style="374" customWidth="1"/>
    <col min="5626" max="5626" width="5.7109375" style="374" customWidth="1"/>
    <col min="5627" max="5878" width="9.140625" style="374"/>
    <col min="5879" max="5879" width="6.5703125" style="374" customWidth="1"/>
    <col min="5880" max="5880" width="34.85546875" style="374" customWidth="1"/>
    <col min="5881" max="5881" width="49.28515625" style="374" customWidth="1"/>
    <col min="5882" max="5882" width="5.7109375" style="374" customWidth="1"/>
    <col min="5883" max="6134" width="9.140625" style="374"/>
    <col min="6135" max="6135" width="6.5703125" style="374" customWidth="1"/>
    <col min="6136" max="6136" width="34.85546875" style="374" customWidth="1"/>
    <col min="6137" max="6137" width="49.28515625" style="374" customWidth="1"/>
    <col min="6138" max="6138" width="5.7109375" style="374" customWidth="1"/>
    <col min="6139" max="6390" width="9.140625" style="374"/>
    <col min="6391" max="6391" width="6.5703125" style="374" customWidth="1"/>
    <col min="6392" max="6392" width="34.85546875" style="374" customWidth="1"/>
    <col min="6393" max="6393" width="49.28515625" style="374" customWidth="1"/>
    <col min="6394" max="6394" width="5.7109375" style="374" customWidth="1"/>
    <col min="6395" max="6646" width="9.140625" style="374"/>
    <col min="6647" max="6647" width="6.5703125" style="374" customWidth="1"/>
    <col min="6648" max="6648" width="34.85546875" style="374" customWidth="1"/>
    <col min="6649" max="6649" width="49.28515625" style="374" customWidth="1"/>
    <col min="6650" max="6650" width="5.7109375" style="374" customWidth="1"/>
    <col min="6651" max="6902" width="9.140625" style="374"/>
    <col min="6903" max="6903" width="6.5703125" style="374" customWidth="1"/>
    <col min="6904" max="6904" width="34.85546875" style="374" customWidth="1"/>
    <col min="6905" max="6905" width="49.28515625" style="374" customWidth="1"/>
    <col min="6906" max="6906" width="5.7109375" style="374" customWidth="1"/>
    <col min="6907" max="7158" width="9.140625" style="374"/>
    <col min="7159" max="7159" width="6.5703125" style="374" customWidth="1"/>
    <col min="7160" max="7160" width="34.85546875" style="374" customWidth="1"/>
    <col min="7161" max="7161" width="49.28515625" style="374" customWidth="1"/>
    <col min="7162" max="7162" width="5.7109375" style="374" customWidth="1"/>
    <col min="7163" max="7414" width="9.140625" style="374"/>
    <col min="7415" max="7415" width="6.5703125" style="374" customWidth="1"/>
    <col min="7416" max="7416" width="34.85546875" style="374" customWidth="1"/>
    <col min="7417" max="7417" width="49.28515625" style="374" customWidth="1"/>
    <col min="7418" max="7418" width="5.7109375" style="374" customWidth="1"/>
    <col min="7419" max="7670" width="9.140625" style="374"/>
    <col min="7671" max="7671" width="6.5703125" style="374" customWidth="1"/>
    <col min="7672" max="7672" width="34.85546875" style="374" customWidth="1"/>
    <col min="7673" max="7673" width="49.28515625" style="374" customWidth="1"/>
    <col min="7674" max="7674" width="5.7109375" style="374" customWidth="1"/>
    <col min="7675" max="7926" width="9.140625" style="374"/>
    <col min="7927" max="7927" width="6.5703125" style="374" customWidth="1"/>
    <col min="7928" max="7928" width="34.85546875" style="374" customWidth="1"/>
    <col min="7929" max="7929" width="49.28515625" style="374" customWidth="1"/>
    <col min="7930" max="7930" width="5.7109375" style="374" customWidth="1"/>
    <col min="7931" max="8182" width="9.140625" style="374"/>
    <col min="8183" max="8183" width="6.5703125" style="374" customWidth="1"/>
    <col min="8184" max="8184" width="34.85546875" style="374" customWidth="1"/>
    <col min="8185" max="8185" width="49.28515625" style="374" customWidth="1"/>
    <col min="8186" max="8186" width="5.7109375" style="374" customWidth="1"/>
    <col min="8187" max="8438" width="9.140625" style="374"/>
    <col min="8439" max="8439" width="6.5703125" style="374" customWidth="1"/>
    <col min="8440" max="8440" width="34.85546875" style="374" customWidth="1"/>
    <col min="8441" max="8441" width="49.28515625" style="374" customWidth="1"/>
    <col min="8442" max="8442" width="5.7109375" style="374" customWidth="1"/>
    <col min="8443" max="8694" width="9.140625" style="374"/>
    <col min="8695" max="8695" width="6.5703125" style="374" customWidth="1"/>
    <col min="8696" max="8696" width="34.85546875" style="374" customWidth="1"/>
    <col min="8697" max="8697" width="49.28515625" style="374" customWidth="1"/>
    <col min="8698" max="8698" width="5.7109375" style="374" customWidth="1"/>
    <col min="8699" max="8950" width="9.140625" style="374"/>
    <col min="8951" max="8951" width="6.5703125" style="374" customWidth="1"/>
    <col min="8952" max="8952" width="34.85546875" style="374" customWidth="1"/>
    <col min="8953" max="8953" width="49.28515625" style="374" customWidth="1"/>
    <col min="8954" max="8954" width="5.7109375" style="374" customWidth="1"/>
    <col min="8955" max="9206" width="9.140625" style="374"/>
    <col min="9207" max="9207" width="6.5703125" style="374" customWidth="1"/>
    <col min="9208" max="9208" width="34.85546875" style="374" customWidth="1"/>
    <col min="9209" max="9209" width="49.28515625" style="374" customWidth="1"/>
    <col min="9210" max="9210" width="5.7109375" style="374" customWidth="1"/>
    <col min="9211" max="9462" width="9.140625" style="374"/>
    <col min="9463" max="9463" width="6.5703125" style="374" customWidth="1"/>
    <col min="9464" max="9464" width="34.85546875" style="374" customWidth="1"/>
    <col min="9465" max="9465" width="49.28515625" style="374" customWidth="1"/>
    <col min="9466" max="9466" width="5.7109375" style="374" customWidth="1"/>
    <col min="9467" max="9718" width="9.140625" style="374"/>
    <col min="9719" max="9719" width="6.5703125" style="374" customWidth="1"/>
    <col min="9720" max="9720" width="34.85546875" style="374" customWidth="1"/>
    <col min="9721" max="9721" width="49.28515625" style="374" customWidth="1"/>
    <col min="9722" max="9722" width="5.7109375" style="374" customWidth="1"/>
    <col min="9723" max="9974" width="9.140625" style="374"/>
    <col min="9975" max="9975" width="6.5703125" style="374" customWidth="1"/>
    <col min="9976" max="9976" width="34.85546875" style="374" customWidth="1"/>
    <col min="9977" max="9977" width="49.28515625" style="374" customWidth="1"/>
    <col min="9978" max="9978" width="5.7109375" style="374" customWidth="1"/>
    <col min="9979" max="10230" width="9.140625" style="374"/>
    <col min="10231" max="10231" width="6.5703125" style="374" customWidth="1"/>
    <col min="10232" max="10232" width="34.85546875" style="374" customWidth="1"/>
    <col min="10233" max="10233" width="49.28515625" style="374" customWidth="1"/>
    <col min="10234" max="10234" width="5.7109375" style="374" customWidth="1"/>
    <col min="10235" max="10486" width="9.140625" style="374"/>
    <col min="10487" max="10487" width="6.5703125" style="374" customWidth="1"/>
    <col min="10488" max="10488" width="34.85546875" style="374" customWidth="1"/>
    <col min="10489" max="10489" width="49.28515625" style="374" customWidth="1"/>
    <col min="10490" max="10490" width="5.7109375" style="374" customWidth="1"/>
    <col min="10491" max="10742" width="9.140625" style="374"/>
    <col min="10743" max="10743" width="6.5703125" style="374" customWidth="1"/>
    <col min="10744" max="10744" width="34.85546875" style="374" customWidth="1"/>
    <col min="10745" max="10745" width="49.28515625" style="374" customWidth="1"/>
    <col min="10746" max="10746" width="5.7109375" style="374" customWidth="1"/>
    <col min="10747" max="10998" width="9.140625" style="374"/>
    <col min="10999" max="10999" width="6.5703125" style="374" customWidth="1"/>
    <col min="11000" max="11000" width="34.85546875" style="374" customWidth="1"/>
    <col min="11001" max="11001" width="49.28515625" style="374" customWidth="1"/>
    <col min="11002" max="11002" width="5.7109375" style="374" customWidth="1"/>
    <col min="11003" max="11254" width="9.140625" style="374"/>
    <col min="11255" max="11255" width="6.5703125" style="374" customWidth="1"/>
    <col min="11256" max="11256" width="34.85546875" style="374" customWidth="1"/>
    <col min="11257" max="11257" width="49.28515625" style="374" customWidth="1"/>
    <col min="11258" max="11258" width="5.7109375" style="374" customWidth="1"/>
    <col min="11259" max="11510" width="9.140625" style="374"/>
    <col min="11511" max="11511" width="6.5703125" style="374" customWidth="1"/>
    <col min="11512" max="11512" width="34.85546875" style="374" customWidth="1"/>
    <col min="11513" max="11513" width="49.28515625" style="374" customWidth="1"/>
    <col min="11514" max="11514" width="5.7109375" style="374" customWidth="1"/>
    <col min="11515" max="11766" width="9.140625" style="374"/>
    <col min="11767" max="11767" width="6.5703125" style="374" customWidth="1"/>
    <col min="11768" max="11768" width="34.85546875" style="374" customWidth="1"/>
    <col min="11769" max="11769" width="49.28515625" style="374" customWidth="1"/>
    <col min="11770" max="11770" width="5.7109375" style="374" customWidth="1"/>
    <col min="11771" max="12022" width="9.140625" style="374"/>
    <col min="12023" max="12023" width="6.5703125" style="374" customWidth="1"/>
    <col min="12024" max="12024" width="34.85546875" style="374" customWidth="1"/>
    <col min="12025" max="12025" width="49.28515625" style="374" customWidth="1"/>
    <col min="12026" max="12026" width="5.7109375" style="374" customWidth="1"/>
    <col min="12027" max="12278" width="9.140625" style="374"/>
    <col min="12279" max="12279" width="6.5703125" style="374" customWidth="1"/>
    <col min="12280" max="12280" width="34.85546875" style="374" customWidth="1"/>
    <col min="12281" max="12281" width="49.28515625" style="374" customWidth="1"/>
    <col min="12282" max="12282" width="5.7109375" style="374" customWidth="1"/>
    <col min="12283" max="12534" width="9.140625" style="374"/>
    <col min="12535" max="12535" width="6.5703125" style="374" customWidth="1"/>
    <col min="12536" max="12536" width="34.85546875" style="374" customWidth="1"/>
    <col min="12537" max="12537" width="49.28515625" style="374" customWidth="1"/>
    <col min="12538" max="12538" width="5.7109375" style="374" customWidth="1"/>
    <col min="12539" max="12790" width="9.140625" style="374"/>
    <col min="12791" max="12791" width="6.5703125" style="374" customWidth="1"/>
    <col min="12792" max="12792" width="34.85546875" style="374" customWidth="1"/>
    <col min="12793" max="12793" width="49.28515625" style="374" customWidth="1"/>
    <col min="12794" max="12794" width="5.7109375" style="374" customWidth="1"/>
    <col min="12795" max="13046" width="9.140625" style="374"/>
    <col min="13047" max="13047" width="6.5703125" style="374" customWidth="1"/>
    <col min="13048" max="13048" width="34.85546875" style="374" customWidth="1"/>
    <col min="13049" max="13049" width="49.28515625" style="374" customWidth="1"/>
    <col min="13050" max="13050" width="5.7109375" style="374" customWidth="1"/>
    <col min="13051" max="13302" width="9.140625" style="374"/>
    <col min="13303" max="13303" width="6.5703125" style="374" customWidth="1"/>
    <col min="13304" max="13304" width="34.85546875" style="374" customWidth="1"/>
    <col min="13305" max="13305" width="49.28515625" style="374" customWidth="1"/>
    <col min="13306" max="13306" width="5.7109375" style="374" customWidth="1"/>
    <col min="13307" max="13558" width="9.140625" style="374"/>
    <col min="13559" max="13559" width="6.5703125" style="374" customWidth="1"/>
    <col min="13560" max="13560" width="34.85546875" style="374" customWidth="1"/>
    <col min="13561" max="13561" width="49.28515625" style="374" customWidth="1"/>
    <col min="13562" max="13562" width="5.7109375" style="374" customWidth="1"/>
    <col min="13563" max="13814" width="9.140625" style="374"/>
    <col min="13815" max="13815" width="6.5703125" style="374" customWidth="1"/>
    <col min="13816" max="13816" width="34.85546875" style="374" customWidth="1"/>
    <col min="13817" max="13817" width="49.28515625" style="374" customWidth="1"/>
    <col min="13818" max="13818" width="5.7109375" style="374" customWidth="1"/>
    <col min="13819" max="14070" width="9.140625" style="374"/>
    <col min="14071" max="14071" width="6.5703125" style="374" customWidth="1"/>
    <col min="14072" max="14072" width="34.85546875" style="374" customWidth="1"/>
    <col min="14073" max="14073" width="49.28515625" style="374" customWidth="1"/>
    <col min="14074" max="14074" width="5.7109375" style="374" customWidth="1"/>
    <col min="14075" max="14326" width="9.140625" style="374"/>
    <col min="14327" max="14327" width="6.5703125" style="374" customWidth="1"/>
    <col min="14328" max="14328" width="34.85546875" style="374" customWidth="1"/>
    <col min="14329" max="14329" width="49.28515625" style="374" customWidth="1"/>
    <col min="14330" max="14330" width="5.7109375" style="374" customWidth="1"/>
    <col min="14331" max="14582" width="9.140625" style="374"/>
    <col min="14583" max="14583" width="6.5703125" style="374" customWidth="1"/>
    <col min="14584" max="14584" width="34.85546875" style="374" customWidth="1"/>
    <col min="14585" max="14585" width="49.28515625" style="374" customWidth="1"/>
    <col min="14586" max="14586" width="5.7109375" style="374" customWidth="1"/>
    <col min="14587" max="14838" width="9.140625" style="374"/>
    <col min="14839" max="14839" width="6.5703125" style="374" customWidth="1"/>
    <col min="14840" max="14840" width="34.85546875" style="374" customWidth="1"/>
    <col min="14841" max="14841" width="49.28515625" style="374" customWidth="1"/>
    <col min="14842" max="14842" width="5.7109375" style="374" customWidth="1"/>
    <col min="14843" max="15094" width="9.140625" style="374"/>
    <col min="15095" max="15095" width="6.5703125" style="374" customWidth="1"/>
    <col min="15096" max="15096" width="34.85546875" style="374" customWidth="1"/>
    <col min="15097" max="15097" width="49.28515625" style="374" customWidth="1"/>
    <col min="15098" max="15098" width="5.7109375" style="374" customWidth="1"/>
    <col min="15099" max="15350" width="9.140625" style="374"/>
    <col min="15351" max="15351" width="6.5703125" style="374" customWidth="1"/>
    <col min="15352" max="15352" width="34.85546875" style="374" customWidth="1"/>
    <col min="15353" max="15353" width="49.28515625" style="374" customWidth="1"/>
    <col min="15354" max="15354" width="5.7109375" style="374" customWidth="1"/>
    <col min="15355" max="15606" width="9.140625" style="374"/>
    <col min="15607" max="15607" width="6.5703125" style="374" customWidth="1"/>
    <col min="15608" max="15608" width="34.85546875" style="374" customWidth="1"/>
    <col min="15609" max="15609" width="49.28515625" style="374" customWidth="1"/>
    <col min="15610" max="15610" width="5.7109375" style="374" customWidth="1"/>
    <col min="15611" max="15862" width="9.140625" style="374"/>
    <col min="15863" max="15863" width="6.5703125" style="374" customWidth="1"/>
    <col min="15864" max="15864" width="34.85546875" style="374" customWidth="1"/>
    <col min="15865" max="15865" width="49.28515625" style="374" customWidth="1"/>
    <col min="15866" max="15866" width="5.7109375" style="374" customWidth="1"/>
    <col min="15867" max="16118" width="9.140625" style="374"/>
    <col min="16119" max="16119" width="6.5703125" style="374" customWidth="1"/>
    <col min="16120" max="16120" width="34.85546875" style="374" customWidth="1"/>
    <col min="16121" max="16121" width="49.28515625" style="374" customWidth="1"/>
    <col min="16122" max="16122" width="5.7109375" style="374" customWidth="1"/>
    <col min="16123" max="16384" width="9.140625" style="374"/>
  </cols>
  <sheetData>
    <row r="1" spans="1:7" ht="15.75" x14ac:dyDescent="0.25">
      <c r="A1" s="535" t="s">
        <v>485</v>
      </c>
      <c r="B1" s="535"/>
      <c r="C1" s="535"/>
      <c r="D1" s="535"/>
    </row>
    <row r="2" spans="1:7" s="375" customFormat="1" ht="13.5" customHeight="1" thickBot="1" x14ac:dyDescent="0.3">
      <c r="A2" s="456" t="s">
        <v>486</v>
      </c>
      <c r="B2" s="377"/>
      <c r="C2" s="377"/>
      <c r="D2" s="377"/>
      <c r="G2" s="373"/>
    </row>
    <row r="3" spans="1:7" ht="15.75" thickBot="1" x14ac:dyDescent="0.3">
      <c r="A3" s="392" t="s">
        <v>487</v>
      </c>
      <c r="B3" s="393" t="s">
        <v>488</v>
      </c>
      <c r="C3" s="393" t="s">
        <v>489</v>
      </c>
      <c r="D3" s="394" t="s">
        <v>490</v>
      </c>
    </row>
    <row r="4" spans="1:7" ht="15.75" thickBot="1" x14ac:dyDescent="0.3">
      <c r="A4" s="389" t="s">
        <v>491</v>
      </c>
      <c r="B4" s="390" t="s">
        <v>492</v>
      </c>
      <c r="C4" s="390" t="s">
        <v>493</v>
      </c>
      <c r="D4" s="390" t="s">
        <v>494</v>
      </c>
    </row>
    <row r="5" spans="1:7" ht="15.75" thickBot="1" x14ac:dyDescent="0.3">
      <c r="A5" s="389" t="s">
        <v>495</v>
      </c>
      <c r="B5" s="390" t="s">
        <v>492</v>
      </c>
      <c r="C5" s="390" t="s">
        <v>496</v>
      </c>
      <c r="D5" s="390" t="s">
        <v>494</v>
      </c>
    </row>
    <row r="6" spans="1:7" ht="15.75" thickBot="1" x14ac:dyDescent="0.3">
      <c r="A6" s="389" t="s">
        <v>497</v>
      </c>
      <c r="B6" s="390" t="s">
        <v>498</v>
      </c>
      <c r="C6" s="390" t="s">
        <v>499</v>
      </c>
      <c r="D6" s="390" t="s">
        <v>494</v>
      </c>
    </row>
    <row r="7" spans="1:7" ht="15.75" thickBot="1" x14ac:dyDescent="0.3">
      <c r="A7" s="389" t="s">
        <v>57</v>
      </c>
      <c r="B7" s="390" t="s">
        <v>492</v>
      </c>
      <c r="C7" s="390" t="s">
        <v>500</v>
      </c>
      <c r="D7" s="390" t="s">
        <v>494</v>
      </c>
    </row>
    <row r="8" spans="1:7" s="372" customFormat="1" ht="15.75" thickBot="1" x14ac:dyDescent="0.3">
      <c r="A8" s="389" t="s">
        <v>501</v>
      </c>
      <c r="B8" s="390" t="s">
        <v>502</v>
      </c>
      <c r="C8" s="390" t="s">
        <v>503</v>
      </c>
      <c r="D8" s="390" t="s">
        <v>494</v>
      </c>
    </row>
    <row r="9" spans="1:7" ht="15.75" thickBot="1" x14ac:dyDescent="0.3">
      <c r="A9" s="389" t="s">
        <v>504</v>
      </c>
      <c r="B9" s="390" t="s">
        <v>505</v>
      </c>
      <c r="C9" s="390" t="s">
        <v>506</v>
      </c>
      <c r="D9" s="390" t="s">
        <v>494</v>
      </c>
    </row>
    <row r="10" spans="1:7" ht="15.75" thickBot="1" x14ac:dyDescent="0.3">
      <c r="A10" s="389" t="s">
        <v>507</v>
      </c>
      <c r="B10" s="391" t="s">
        <v>508</v>
      </c>
      <c r="C10" s="390" t="s">
        <v>509</v>
      </c>
      <c r="D10" s="390" t="s">
        <v>494</v>
      </c>
    </row>
    <row r="11" spans="1:7" ht="15.75" thickBot="1" x14ac:dyDescent="0.3">
      <c r="A11" s="389" t="s">
        <v>510</v>
      </c>
      <c r="B11" s="390" t="s">
        <v>511</v>
      </c>
      <c r="C11" s="390" t="s">
        <v>512</v>
      </c>
      <c r="D11" s="390" t="s">
        <v>513</v>
      </c>
    </row>
    <row r="12" spans="1:7" ht="60.75" thickBot="1" x14ac:dyDescent="0.3">
      <c r="A12" s="389" t="s">
        <v>143</v>
      </c>
      <c r="B12" s="390"/>
      <c r="C12" s="390" t="s">
        <v>514</v>
      </c>
      <c r="D12" s="390" t="s">
        <v>494</v>
      </c>
    </row>
    <row r="13" spans="1:7" ht="15.75" thickBot="1" x14ac:dyDescent="0.3">
      <c r="A13" s="389" t="s">
        <v>515</v>
      </c>
      <c r="B13" s="390" t="s">
        <v>516</v>
      </c>
      <c r="C13" s="390" t="s">
        <v>517</v>
      </c>
      <c r="D13" s="390" t="s">
        <v>494</v>
      </c>
    </row>
    <row r="14" spans="1:7" ht="15.75" thickBot="1" x14ac:dyDescent="0.3">
      <c r="A14" s="389" t="s">
        <v>518</v>
      </c>
      <c r="B14" s="390" t="s">
        <v>519</v>
      </c>
      <c r="C14" s="390" t="s">
        <v>520</v>
      </c>
      <c r="D14" s="390" t="s">
        <v>494</v>
      </c>
    </row>
    <row r="15" spans="1:7" ht="15.75" thickBot="1" x14ac:dyDescent="0.3">
      <c r="A15" s="389" t="s">
        <v>521</v>
      </c>
      <c r="B15" s="390" t="s">
        <v>522</v>
      </c>
      <c r="C15" s="390" t="s">
        <v>523</v>
      </c>
      <c r="D15" s="390" t="s">
        <v>524</v>
      </c>
    </row>
    <row r="16" spans="1:7" ht="15.75" thickBot="1" x14ac:dyDescent="0.3">
      <c r="A16" s="389" t="s">
        <v>525</v>
      </c>
      <c r="B16" s="390"/>
      <c r="C16" s="390" t="s">
        <v>526</v>
      </c>
      <c r="D16" s="390" t="s">
        <v>524</v>
      </c>
    </row>
    <row r="17" spans="1:5" ht="30.75" thickBot="1" x14ac:dyDescent="0.3">
      <c r="A17" s="389" t="s">
        <v>143</v>
      </c>
      <c r="B17" s="390"/>
      <c r="C17" s="390" t="s">
        <v>527</v>
      </c>
      <c r="D17" s="390" t="s">
        <v>524</v>
      </c>
    </row>
    <row r="18" spans="1:5" ht="15.75" thickBot="1" x14ac:dyDescent="0.3">
      <c r="A18" s="389" t="s">
        <v>528</v>
      </c>
      <c r="B18" s="390" t="s">
        <v>492</v>
      </c>
      <c r="C18" s="390" t="s">
        <v>529</v>
      </c>
      <c r="D18" s="390" t="s">
        <v>524</v>
      </c>
    </row>
    <row r="19" spans="1:5" ht="15.75" thickBot="1" x14ac:dyDescent="0.3">
      <c r="A19" s="389" t="s">
        <v>356</v>
      </c>
      <c r="B19" s="390" t="s">
        <v>492</v>
      </c>
      <c r="C19" s="390" t="s">
        <v>530</v>
      </c>
      <c r="D19" s="390" t="s">
        <v>524</v>
      </c>
    </row>
    <row r="20" spans="1:5" ht="15.75" thickBot="1" x14ac:dyDescent="0.3">
      <c r="A20" s="457" t="s">
        <v>655</v>
      </c>
      <c r="B20" s="458" t="s">
        <v>658</v>
      </c>
      <c r="C20" s="458" t="s">
        <v>656</v>
      </c>
      <c r="D20" s="458" t="s">
        <v>524</v>
      </c>
      <c r="E20" s="459" t="s">
        <v>657</v>
      </c>
    </row>
    <row r="21" spans="1:5" ht="15.75" thickBot="1" x14ac:dyDescent="0.3">
      <c r="A21" s="389" t="s">
        <v>531</v>
      </c>
      <c r="B21" s="390" t="s">
        <v>519</v>
      </c>
      <c r="C21" s="390" t="s">
        <v>532</v>
      </c>
      <c r="D21" s="390" t="s">
        <v>524</v>
      </c>
    </row>
    <row r="22" spans="1:5" ht="15.75" thickBot="1" x14ac:dyDescent="0.3">
      <c r="A22" s="389" t="s">
        <v>533</v>
      </c>
      <c r="B22" s="390" t="s">
        <v>534</v>
      </c>
      <c r="C22" s="391" t="s">
        <v>308</v>
      </c>
      <c r="D22" s="390" t="s">
        <v>524</v>
      </c>
    </row>
    <row r="24" spans="1:5" x14ac:dyDescent="0.25">
      <c r="B24" s="460"/>
    </row>
    <row r="25" spans="1:5" x14ac:dyDescent="0.25">
      <c r="B25" s="460"/>
    </row>
    <row r="26" spans="1:5" x14ac:dyDescent="0.25">
      <c r="A26" s="536" t="s">
        <v>668</v>
      </c>
      <c r="B26" s="536"/>
      <c r="C26" s="536"/>
      <c r="D26" s="536"/>
    </row>
  </sheetData>
  <mergeCells count="2">
    <mergeCell ref="A1:D1"/>
    <mergeCell ref="A26:D26"/>
  </mergeCells>
  <printOptions gridLines="1"/>
  <pageMargins left="0.3" right="0.26" top="0.76" bottom="0.87" header="0.27" footer="0.5"/>
  <pageSetup orientation="portrait" r:id="rId1"/>
  <headerFooter alignWithMargins="0">
    <oddHeader>&amp;L&amp;D&amp;C&amp;"Arial,Bold"&amp;14Tranzact Technologies&amp;"Arial,Regular"&amp;10
-confidential-&amp;R&amp;F</oddHeader>
    <oddFooter>&amp;L&amp;P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1"/>
  </sheetPr>
  <dimension ref="A1:N14"/>
  <sheetViews>
    <sheetView workbookViewId="0">
      <selection activeCell="I28" sqref="I28"/>
    </sheetView>
  </sheetViews>
  <sheetFormatPr defaultRowHeight="15" x14ac:dyDescent="0.25"/>
  <cols>
    <col min="1" max="1" width="5.7109375" customWidth="1"/>
    <col min="2" max="2" width="82.140625" customWidth="1"/>
    <col min="3" max="4" width="9.140625" style="18"/>
    <col min="5" max="5" width="12.28515625" style="18" customWidth="1"/>
    <col min="6" max="11" width="9.140625" style="18"/>
    <col min="12" max="12" width="11.85546875" style="18" customWidth="1"/>
    <col min="13" max="13" width="9.140625" style="18"/>
  </cols>
  <sheetData>
    <row r="1" spans="1:14" ht="28.5" customHeight="1" thickBot="1" x14ac:dyDescent="0.4">
      <c r="A1" s="537" t="s">
        <v>23</v>
      </c>
      <c r="B1" s="538"/>
    </row>
    <row r="3" spans="1:14" x14ac:dyDescent="0.25">
      <c r="A3">
        <v>1</v>
      </c>
      <c r="B3" s="21" t="s">
        <v>24</v>
      </c>
    </row>
    <row r="4" spans="1:14" x14ac:dyDescent="0.25">
      <c r="B4" s="21"/>
    </row>
    <row r="5" spans="1:14" x14ac:dyDescent="0.25">
      <c r="A5">
        <v>2</v>
      </c>
      <c r="B5" s="22" t="s">
        <v>25</v>
      </c>
    </row>
    <row r="7" spans="1:14" x14ac:dyDescent="0.25">
      <c r="A7">
        <v>3</v>
      </c>
      <c r="B7" t="s">
        <v>22</v>
      </c>
    </row>
    <row r="10" spans="1:14" x14ac:dyDescent="0.25">
      <c r="C10" s="23"/>
      <c r="D10" s="23"/>
      <c r="E10" s="23"/>
      <c r="F10" s="23"/>
      <c r="G10" s="23"/>
      <c r="H10" s="23"/>
      <c r="I10" s="23"/>
      <c r="J10" s="23"/>
      <c r="K10" s="23"/>
      <c r="L10" s="23"/>
      <c r="M10" s="23"/>
      <c r="N10" s="12"/>
    </row>
    <row r="11" spans="1:14" x14ac:dyDescent="0.25">
      <c r="N11" s="12"/>
    </row>
    <row r="12" spans="1:14" x14ac:dyDescent="0.25">
      <c r="N12" s="12"/>
    </row>
    <row r="13" spans="1:14" x14ac:dyDescent="0.25">
      <c r="N13" s="12"/>
    </row>
    <row r="14" spans="1:14" x14ac:dyDescent="0.25">
      <c r="C14" s="23"/>
      <c r="D14" s="23"/>
      <c r="E14" s="23"/>
      <c r="F14" s="23"/>
      <c r="G14" s="23"/>
      <c r="H14" s="23"/>
      <c r="I14" s="23"/>
      <c r="J14" s="23"/>
      <c r="K14" s="23"/>
      <c r="L14" s="23"/>
      <c r="M14" s="23"/>
      <c r="N14" s="12"/>
    </row>
  </sheetData>
  <mergeCells count="1">
    <mergeCell ref="A1:B1"/>
  </mergeCells>
  <phoneticPr fontId="23" type="noConversion"/>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21"/>
  </sheetPr>
  <dimension ref="A1:M10"/>
  <sheetViews>
    <sheetView workbookViewId="0">
      <selection activeCell="I31" sqref="I31"/>
    </sheetView>
  </sheetViews>
  <sheetFormatPr defaultRowHeight="15" x14ac:dyDescent="0.25"/>
  <cols>
    <col min="1" max="1" width="22.42578125" customWidth="1"/>
    <col min="10" max="10" width="13.7109375" customWidth="1"/>
  </cols>
  <sheetData>
    <row r="1" spans="1:13" ht="28.5" customHeight="1" x14ac:dyDescent="0.35">
      <c r="A1" s="542" t="s">
        <v>5</v>
      </c>
      <c r="B1" s="543"/>
      <c r="C1" s="543"/>
      <c r="D1" s="543"/>
      <c r="E1" s="543"/>
      <c r="F1" s="543"/>
      <c r="G1" s="543"/>
      <c r="H1" s="543"/>
      <c r="I1" s="543"/>
      <c r="J1" s="543"/>
      <c r="K1" s="544"/>
      <c r="L1" s="18"/>
      <c r="M1" s="18"/>
    </row>
    <row r="2" spans="1:13" x14ac:dyDescent="0.25">
      <c r="A2" s="27"/>
      <c r="B2" s="28"/>
      <c r="C2" s="28"/>
      <c r="D2" s="539" t="s">
        <v>7</v>
      </c>
      <c r="E2" s="539"/>
      <c r="F2" s="539"/>
      <c r="G2" s="539"/>
      <c r="H2" s="539"/>
      <c r="I2" s="539"/>
      <c r="J2" s="539"/>
      <c r="K2" s="540"/>
    </row>
    <row r="3" spans="1:13" x14ac:dyDescent="0.25">
      <c r="A3" s="29"/>
      <c r="B3" s="30"/>
      <c r="C3" s="30"/>
      <c r="D3" s="541" t="s">
        <v>14</v>
      </c>
      <c r="E3" s="541"/>
      <c r="F3" s="541"/>
      <c r="G3" s="541" t="s">
        <v>90</v>
      </c>
      <c r="H3" s="541"/>
      <c r="I3" s="541"/>
      <c r="J3" s="541"/>
      <c r="K3" s="541"/>
    </row>
    <row r="4" spans="1:13" ht="38.25" x14ac:dyDescent="0.25">
      <c r="A4" s="24" t="s">
        <v>11</v>
      </c>
      <c r="B4" s="24" t="s">
        <v>12</v>
      </c>
      <c r="C4" s="24" t="s">
        <v>13</v>
      </c>
      <c r="D4" s="24" t="s">
        <v>15</v>
      </c>
      <c r="E4" s="24" t="s">
        <v>16</v>
      </c>
      <c r="F4" s="24" t="s">
        <v>8</v>
      </c>
      <c r="G4" s="24" t="s">
        <v>17</v>
      </c>
      <c r="H4" s="24" t="s">
        <v>18</v>
      </c>
      <c r="I4" s="24" t="s">
        <v>19</v>
      </c>
      <c r="J4" s="24" t="s">
        <v>20</v>
      </c>
      <c r="K4" s="24" t="s">
        <v>21</v>
      </c>
    </row>
    <row r="5" spans="1:13" x14ac:dyDescent="0.25">
      <c r="A5" s="26"/>
      <c r="B5" s="26"/>
      <c r="C5" s="26"/>
      <c r="D5" s="26"/>
      <c r="E5" s="26"/>
      <c r="F5" s="26"/>
      <c r="G5" s="26"/>
      <c r="H5" s="26"/>
      <c r="I5" s="26"/>
      <c r="J5" s="26"/>
      <c r="K5" s="26"/>
    </row>
    <row r="6" spans="1:13" x14ac:dyDescent="0.25">
      <c r="A6" s="25"/>
      <c r="B6" s="25"/>
      <c r="C6" s="25"/>
      <c r="D6" s="25"/>
      <c r="E6" s="25"/>
      <c r="F6" s="25"/>
      <c r="G6" s="25"/>
      <c r="H6" s="25"/>
      <c r="I6" s="25"/>
      <c r="J6" s="25"/>
      <c r="K6" s="25"/>
    </row>
    <row r="7" spans="1:13" x14ac:dyDescent="0.25">
      <c r="A7" s="25"/>
      <c r="B7" s="25"/>
      <c r="C7" s="25"/>
      <c r="D7" s="25"/>
      <c r="E7" s="25"/>
      <c r="F7" s="25"/>
      <c r="G7" s="25"/>
      <c r="H7" s="25"/>
      <c r="I7" s="25"/>
      <c r="J7" s="25"/>
      <c r="K7" s="25"/>
    </row>
    <row r="8" spans="1:13" x14ac:dyDescent="0.25">
      <c r="A8" s="25"/>
      <c r="B8" s="25"/>
      <c r="C8" s="25"/>
      <c r="D8" s="25"/>
      <c r="E8" s="25"/>
      <c r="F8" s="25"/>
      <c r="G8" s="25"/>
      <c r="H8" s="25"/>
      <c r="I8" s="25"/>
      <c r="J8" s="25"/>
      <c r="K8" s="25"/>
    </row>
    <row r="9" spans="1:13" x14ac:dyDescent="0.25">
      <c r="A9" s="25"/>
      <c r="B9" s="25"/>
      <c r="C9" s="25"/>
      <c r="D9" s="25"/>
      <c r="E9" s="25"/>
      <c r="F9" s="25"/>
      <c r="G9" s="25"/>
      <c r="H9" s="25"/>
      <c r="I9" s="25"/>
      <c r="J9" s="25"/>
      <c r="K9" s="25"/>
    </row>
    <row r="10" spans="1:13" x14ac:dyDescent="0.25">
      <c r="A10" s="25"/>
      <c r="B10" s="25"/>
      <c r="C10" s="25"/>
      <c r="D10" s="25"/>
      <c r="E10" s="25"/>
      <c r="F10" s="25"/>
      <c r="G10" s="25"/>
      <c r="H10" s="25"/>
      <c r="I10" s="25"/>
      <c r="J10" s="25"/>
      <c r="K10" s="25"/>
    </row>
  </sheetData>
  <mergeCells count="4">
    <mergeCell ref="D2:K2"/>
    <mergeCell ref="D3:F3"/>
    <mergeCell ref="G3:K3"/>
    <mergeCell ref="A1:K1"/>
  </mergeCells>
  <phoneticPr fontId="23" type="noConversion"/>
  <pageMargins left="0.75" right="0.75" top="1" bottom="1" header="0.5" footer="0.5"/>
  <pageSetup orientation="landscape" horizontalDpi="1200" verticalDpi="1200" r:id="rId1"/>
  <headerFooter alignWithMargins="0">
    <oddFooter>&amp;L&amp;F : &amp;A&amp;R&amp;P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rgb="FF00B050"/>
    <pageSetUpPr fitToPage="1"/>
  </sheetPr>
  <dimension ref="A1:E49"/>
  <sheetViews>
    <sheetView topLeftCell="A12" workbookViewId="0">
      <selection activeCell="B21" sqref="B21"/>
    </sheetView>
  </sheetViews>
  <sheetFormatPr defaultRowHeight="15" x14ac:dyDescent="0.25"/>
  <cols>
    <col min="1" max="1" width="21.42578125" customWidth="1"/>
    <col min="2" max="2" width="24.5703125" customWidth="1"/>
    <col min="3" max="3" width="23.85546875" customWidth="1"/>
    <col min="4" max="4" width="17.85546875" customWidth="1"/>
    <col min="5" max="5" width="25.140625" customWidth="1"/>
  </cols>
  <sheetData>
    <row r="1" spans="1:5" ht="24" thickBot="1" x14ac:dyDescent="0.4">
      <c r="A1" s="537" t="s">
        <v>137</v>
      </c>
      <c r="B1" s="545"/>
      <c r="C1" s="545"/>
      <c r="D1" s="545"/>
      <c r="E1" s="538"/>
    </row>
    <row r="2" spans="1:5" ht="15.75" thickBot="1" x14ac:dyDescent="0.3"/>
    <row r="3" spans="1:5" x14ac:dyDescent="0.25">
      <c r="A3" s="560" t="s">
        <v>37</v>
      </c>
      <c r="B3" s="561"/>
      <c r="C3" s="561"/>
      <c r="D3" s="561"/>
      <c r="E3" s="562"/>
    </row>
    <row r="4" spans="1:5" x14ac:dyDescent="0.25">
      <c r="A4" s="16" t="s">
        <v>123</v>
      </c>
      <c r="B4" s="17" t="s">
        <v>125</v>
      </c>
      <c r="C4" s="565"/>
      <c r="D4" s="565"/>
      <c r="E4" s="566"/>
    </row>
    <row r="5" spans="1:5" ht="15.75" thickBot="1" x14ac:dyDescent="0.3">
      <c r="A5" s="14" t="s">
        <v>124</v>
      </c>
      <c r="B5" s="15" t="s">
        <v>125</v>
      </c>
      <c r="C5" s="563" t="s">
        <v>126</v>
      </c>
      <c r="D5" s="563"/>
      <c r="E5" s="564"/>
    </row>
    <row r="6" spans="1:5" ht="15.75" thickBot="1" x14ac:dyDescent="0.3"/>
    <row r="7" spans="1:5" ht="16.5" thickTop="1" thickBot="1" x14ac:dyDescent="0.3">
      <c r="A7" s="548"/>
      <c r="B7" s="550" t="s">
        <v>38</v>
      </c>
      <c r="C7" s="551"/>
      <c r="D7" s="552"/>
      <c r="E7" s="2" t="s">
        <v>39</v>
      </c>
    </row>
    <row r="8" spans="1:5" ht="16.5" thickTop="1" thickBot="1" x14ac:dyDescent="0.3">
      <c r="A8" s="549"/>
      <c r="B8" s="553" t="s">
        <v>40</v>
      </c>
      <c r="C8" s="554"/>
      <c r="D8" s="555"/>
      <c r="E8" s="3" t="s">
        <v>41</v>
      </c>
    </row>
    <row r="9" spans="1:5" ht="16.5" thickTop="1" thickBot="1" x14ac:dyDescent="0.3">
      <c r="A9" s="4" t="s">
        <v>42</v>
      </c>
      <c r="B9" s="5" t="s">
        <v>43</v>
      </c>
      <c r="C9" s="6" t="s">
        <v>44</v>
      </c>
      <c r="D9" s="556" t="s">
        <v>45</v>
      </c>
      <c r="E9" s="557"/>
    </row>
    <row r="10" spans="1:5" ht="17.25" thickTop="1" thickBot="1" x14ac:dyDescent="0.3">
      <c r="A10" s="7" t="s">
        <v>46</v>
      </c>
      <c r="B10" s="8">
        <v>38673</v>
      </c>
      <c r="C10" s="8">
        <v>38673</v>
      </c>
      <c r="D10" s="558" t="s">
        <v>47</v>
      </c>
      <c r="E10" s="559"/>
    </row>
    <row r="11" spans="1:5" ht="15.75" thickTop="1" x14ac:dyDescent="0.25">
      <c r="A11" s="567" t="s">
        <v>48</v>
      </c>
      <c r="B11" s="567"/>
      <c r="C11" s="567"/>
      <c r="D11" s="567"/>
      <c r="E11" s="567"/>
    </row>
    <row r="12" spans="1:5" ht="43.5" customHeight="1" x14ac:dyDescent="0.25">
      <c r="A12" s="547" t="s">
        <v>49</v>
      </c>
      <c r="B12" s="547"/>
      <c r="C12" s="547"/>
      <c r="D12" s="547"/>
      <c r="E12" s="547"/>
    </row>
    <row r="13" spans="1:5" x14ac:dyDescent="0.25">
      <c r="A13" s="9" t="s">
        <v>50</v>
      </c>
      <c r="B13" s="10" t="s">
        <v>51</v>
      </c>
    </row>
    <row r="14" spans="1:5" x14ac:dyDescent="0.25">
      <c r="A14" s="9" t="s">
        <v>52</v>
      </c>
      <c r="B14" s="10" t="s">
        <v>53</v>
      </c>
    </row>
    <row r="15" spans="1:5" x14ac:dyDescent="0.25">
      <c r="A15" s="9" t="s">
        <v>54</v>
      </c>
      <c r="B15" s="10" t="s">
        <v>55</v>
      </c>
    </row>
    <row r="16" spans="1:5" x14ac:dyDescent="0.25">
      <c r="A16" s="9" t="s">
        <v>54</v>
      </c>
      <c r="B16" s="10" t="s">
        <v>56</v>
      </c>
    </row>
    <row r="17" spans="1:3" x14ac:dyDescent="0.25">
      <c r="A17" s="9" t="s">
        <v>54</v>
      </c>
      <c r="B17" s="10" t="s">
        <v>57</v>
      </c>
    </row>
    <row r="18" spans="1:3" x14ac:dyDescent="0.25">
      <c r="A18" s="9" t="s">
        <v>50</v>
      </c>
      <c r="B18" s="10" t="s">
        <v>58</v>
      </c>
    </row>
    <row r="19" spans="1:3" x14ac:dyDescent="0.25">
      <c r="A19" s="9" t="s">
        <v>54</v>
      </c>
      <c r="B19" s="10" t="s">
        <v>59</v>
      </c>
    </row>
    <row r="20" spans="1:3" x14ac:dyDescent="0.25">
      <c r="A20" s="9" t="s">
        <v>54</v>
      </c>
      <c r="B20" s="10" t="s">
        <v>60</v>
      </c>
    </row>
    <row r="21" spans="1:3" x14ac:dyDescent="0.25">
      <c r="A21" s="9" t="s">
        <v>54</v>
      </c>
      <c r="B21" s="10" t="s">
        <v>36</v>
      </c>
    </row>
    <row r="22" spans="1:3" x14ac:dyDescent="0.25">
      <c r="A22" s="9" t="s">
        <v>54</v>
      </c>
      <c r="B22" s="10" t="s">
        <v>61</v>
      </c>
    </row>
    <row r="23" spans="1:3" x14ac:dyDescent="0.25">
      <c r="A23" s="9" t="s">
        <v>54</v>
      </c>
      <c r="B23" s="10" t="s">
        <v>62</v>
      </c>
    </row>
    <row r="24" spans="1:3" x14ac:dyDescent="0.25">
      <c r="A24" s="9" t="s">
        <v>54</v>
      </c>
      <c r="B24" s="10" t="s">
        <v>298</v>
      </c>
    </row>
    <row r="25" spans="1:3" x14ac:dyDescent="0.25">
      <c r="A25" s="9" t="s">
        <v>54</v>
      </c>
      <c r="B25" s="10" t="s">
        <v>140</v>
      </c>
    </row>
    <row r="26" spans="1:3" x14ac:dyDescent="0.25">
      <c r="A26" s="9" t="s">
        <v>54</v>
      </c>
      <c r="B26" s="10" t="s">
        <v>63</v>
      </c>
    </row>
    <row r="27" spans="1:3" x14ac:dyDescent="0.25">
      <c r="A27" s="9" t="s">
        <v>54</v>
      </c>
      <c r="B27" s="10" t="s">
        <v>64</v>
      </c>
    </row>
    <row r="28" spans="1:3" x14ac:dyDescent="0.25">
      <c r="A28" s="9" t="s">
        <v>54</v>
      </c>
      <c r="B28" s="10" t="s">
        <v>299</v>
      </c>
    </row>
    <row r="29" spans="1:3" x14ac:dyDescent="0.25">
      <c r="A29" s="9" t="s">
        <v>54</v>
      </c>
      <c r="B29" s="10" t="s">
        <v>300</v>
      </c>
    </row>
    <row r="30" spans="1:3" x14ac:dyDescent="0.25">
      <c r="A30" s="9" t="s">
        <v>50</v>
      </c>
      <c r="B30" s="10" t="s">
        <v>65</v>
      </c>
    </row>
    <row r="31" spans="1:3" x14ac:dyDescent="0.25">
      <c r="A31" s="9" t="s">
        <v>54</v>
      </c>
      <c r="B31" s="10" t="s">
        <v>66</v>
      </c>
    </row>
    <row r="32" spans="1:3" x14ac:dyDescent="0.25">
      <c r="A32" s="9" t="s">
        <v>54</v>
      </c>
      <c r="B32" s="10" t="s">
        <v>67</v>
      </c>
      <c r="C32" t="s">
        <v>4</v>
      </c>
    </row>
    <row r="33" spans="1:5" x14ac:dyDescent="0.25">
      <c r="A33" s="9" t="s">
        <v>54</v>
      </c>
      <c r="B33" s="10" t="s">
        <v>68</v>
      </c>
    </row>
    <row r="34" spans="1:5" x14ac:dyDescent="0.25">
      <c r="A34" s="9" t="s">
        <v>54</v>
      </c>
      <c r="B34" s="10" t="s">
        <v>69</v>
      </c>
    </row>
    <row r="35" spans="1:5" x14ac:dyDescent="0.25">
      <c r="A35" s="9" t="s">
        <v>54</v>
      </c>
      <c r="B35" s="10" t="s">
        <v>70</v>
      </c>
    </row>
    <row r="36" spans="1:5" x14ac:dyDescent="0.25">
      <c r="A36" s="9" t="s">
        <v>54</v>
      </c>
      <c r="B36" s="10" t="s">
        <v>71</v>
      </c>
    </row>
    <row r="37" spans="1:5" x14ac:dyDescent="0.25">
      <c r="A37" s="9" t="s">
        <v>54</v>
      </c>
      <c r="B37" s="10" t="s">
        <v>72</v>
      </c>
    </row>
    <row r="38" spans="1:5" x14ac:dyDescent="0.25">
      <c r="A38" s="10"/>
    </row>
    <row r="39" spans="1:5" x14ac:dyDescent="0.25">
      <c r="A39" s="546" t="s">
        <v>73</v>
      </c>
      <c r="B39" s="546"/>
      <c r="C39" s="546"/>
      <c r="D39" s="546"/>
      <c r="E39" s="546"/>
    </row>
    <row r="40" spans="1:5" x14ac:dyDescent="0.25">
      <c r="A40" s="568" t="s">
        <v>74</v>
      </c>
      <c r="B40" s="568"/>
      <c r="C40" s="568"/>
      <c r="D40" s="568"/>
      <c r="E40" s="568"/>
    </row>
    <row r="41" spans="1:5" x14ac:dyDescent="0.25">
      <c r="A41" s="568" t="s">
        <v>75</v>
      </c>
      <c r="B41" s="568"/>
      <c r="C41" s="568"/>
      <c r="D41" s="568"/>
      <c r="E41" s="568"/>
    </row>
    <row r="42" spans="1:5" x14ac:dyDescent="0.25">
      <c r="A42" s="568" t="s">
        <v>76</v>
      </c>
      <c r="B42" s="568"/>
      <c r="C42" s="568"/>
      <c r="D42" s="568"/>
      <c r="E42" s="568"/>
    </row>
    <row r="43" spans="1:5" x14ac:dyDescent="0.25">
      <c r="A43" s="568" t="s">
        <v>77</v>
      </c>
      <c r="B43" s="568"/>
      <c r="C43" s="568"/>
      <c r="D43" s="568"/>
      <c r="E43" s="568"/>
    </row>
    <row r="44" spans="1:5" x14ac:dyDescent="0.25">
      <c r="A44" s="568" t="s">
        <v>78</v>
      </c>
      <c r="B44" s="568"/>
      <c r="C44" s="568"/>
      <c r="D44" s="568"/>
      <c r="E44" s="568"/>
    </row>
    <row r="45" spans="1:5" x14ac:dyDescent="0.25">
      <c r="A45" s="568" t="s">
        <v>79</v>
      </c>
      <c r="B45" s="568"/>
      <c r="C45" s="568"/>
      <c r="D45" s="568"/>
      <c r="E45" s="568"/>
    </row>
    <row r="47" spans="1:5" s="1" customFormat="1" ht="31.5" customHeight="1" x14ac:dyDescent="0.25">
      <c r="A47" s="569" t="s">
        <v>80</v>
      </c>
      <c r="B47" s="569"/>
      <c r="C47" s="569"/>
      <c r="D47" s="569"/>
      <c r="E47" s="569"/>
    </row>
    <row r="48" spans="1:5" x14ac:dyDescent="0.25">
      <c r="A48" s="11"/>
    </row>
    <row r="49" spans="1:1" x14ac:dyDescent="0.25">
      <c r="A49" s="11" t="s">
        <v>81</v>
      </c>
    </row>
  </sheetData>
  <mergeCells count="19">
    <mergeCell ref="A44:E44"/>
    <mergeCell ref="A47:E47"/>
    <mergeCell ref="A45:E45"/>
    <mergeCell ref="A40:E40"/>
    <mergeCell ref="A41:E41"/>
    <mergeCell ref="A42:E42"/>
    <mergeCell ref="A43:E43"/>
    <mergeCell ref="A1:E1"/>
    <mergeCell ref="A39:E39"/>
    <mergeCell ref="A12:E12"/>
    <mergeCell ref="A7:A8"/>
    <mergeCell ref="B7:D7"/>
    <mergeCell ref="B8:D8"/>
    <mergeCell ref="D9:E9"/>
    <mergeCell ref="D10:E10"/>
    <mergeCell ref="A3:E3"/>
    <mergeCell ref="C5:E5"/>
    <mergeCell ref="C4:E4"/>
    <mergeCell ref="A11:E11"/>
  </mergeCells>
  <phoneticPr fontId="23" type="noConversion"/>
  <pageMargins left="0.75" right="0.75" top="1" bottom="1" header="0.5" footer="0.5"/>
  <pageSetup fitToHeight="2" orientation="landscape" verticalDpi="0" r:id="rId1"/>
  <headerFooter alignWithMargins="0">
    <oddFooter>&amp;L&amp;F: &amp;A&amp;R&amp;P</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rgb="FF00B050"/>
    <pageSetUpPr fitToPage="1"/>
  </sheetPr>
  <dimension ref="A1:N30"/>
  <sheetViews>
    <sheetView workbookViewId="0">
      <selection activeCell="J5" sqref="J5"/>
    </sheetView>
  </sheetViews>
  <sheetFormatPr defaultColWidth="9.140625" defaultRowHeight="15" x14ac:dyDescent="0.25"/>
  <cols>
    <col min="1" max="1" width="7" style="33" bestFit="1" customWidth="1"/>
    <col min="2" max="5" width="9.140625" style="33"/>
    <col min="6" max="6" width="18.42578125" style="33" bestFit="1" customWidth="1"/>
    <col min="7" max="12" width="9.140625" style="33"/>
    <col min="13" max="13" width="10.85546875" style="33" customWidth="1"/>
    <col min="14" max="16384" width="9.140625" style="33"/>
  </cols>
  <sheetData>
    <row r="1" spans="1:14" ht="24" thickBot="1" x14ac:dyDescent="0.3">
      <c r="A1" s="572" t="s">
        <v>127</v>
      </c>
      <c r="B1" s="573"/>
      <c r="C1" s="573"/>
      <c r="D1" s="573"/>
      <c r="E1" s="573"/>
      <c r="F1" s="573"/>
      <c r="G1" s="573"/>
      <c r="H1" s="573"/>
      <c r="I1" s="573"/>
      <c r="J1" s="573"/>
      <c r="K1" s="573"/>
      <c r="L1" s="573"/>
      <c r="M1" s="573"/>
      <c r="N1" s="574"/>
    </row>
    <row r="2" spans="1:14" s="34" customFormat="1" x14ac:dyDescent="0.25">
      <c r="A2" s="570" t="s">
        <v>35</v>
      </c>
      <c r="B2" s="570" t="s">
        <v>28</v>
      </c>
      <c r="C2" s="570" t="s">
        <v>27</v>
      </c>
      <c r="D2" s="570" t="s">
        <v>85</v>
      </c>
      <c r="E2" s="570" t="s">
        <v>86</v>
      </c>
      <c r="F2" s="570" t="s">
        <v>87</v>
      </c>
      <c r="G2" s="570" t="s">
        <v>88</v>
      </c>
      <c r="H2" s="570"/>
      <c r="I2" s="570"/>
      <c r="J2" s="570" t="s">
        <v>301</v>
      </c>
      <c r="K2" s="570" t="s">
        <v>90</v>
      </c>
      <c r="L2" s="570"/>
      <c r="M2" s="570"/>
      <c r="N2" s="570"/>
    </row>
    <row r="3" spans="1:14" s="34" customFormat="1" ht="30" x14ac:dyDescent="0.25">
      <c r="A3" s="571"/>
      <c r="B3" s="571"/>
      <c r="C3" s="571"/>
      <c r="D3" s="571"/>
      <c r="E3" s="571"/>
      <c r="F3" s="571"/>
      <c r="G3" s="20" t="s">
        <v>91</v>
      </c>
      <c r="H3" s="20" t="s">
        <v>92</v>
      </c>
      <c r="I3" s="20" t="s">
        <v>93</v>
      </c>
      <c r="J3" s="571"/>
      <c r="K3" s="20" t="s">
        <v>94</v>
      </c>
      <c r="L3" s="20" t="s">
        <v>95</v>
      </c>
      <c r="M3" s="20" t="s">
        <v>96</v>
      </c>
      <c r="N3" s="20" t="s">
        <v>97</v>
      </c>
    </row>
    <row r="4" spans="1:14" x14ac:dyDescent="0.25">
      <c r="A4" s="35"/>
      <c r="B4" s="35"/>
      <c r="C4" s="35"/>
      <c r="D4" s="35"/>
      <c r="E4" s="35"/>
      <c r="F4" s="35"/>
      <c r="G4" s="35"/>
      <c r="H4" s="35"/>
      <c r="I4" s="35"/>
      <c r="J4" s="35"/>
      <c r="K4" s="35"/>
      <c r="L4" s="35"/>
      <c r="M4" s="35"/>
      <c r="N4" s="35"/>
    </row>
    <row r="5" spans="1:14" x14ac:dyDescent="0.25">
      <c r="A5" s="36"/>
      <c r="B5" s="36"/>
      <c r="C5" s="36"/>
      <c r="D5" s="36"/>
      <c r="E5" s="36"/>
      <c r="F5" s="36"/>
      <c r="G5" s="36"/>
      <c r="H5" s="36"/>
      <c r="I5" s="36"/>
      <c r="J5" s="36"/>
      <c r="K5" s="36"/>
      <c r="L5" s="36"/>
      <c r="M5" s="36"/>
      <c r="N5" s="36"/>
    </row>
    <row r="6" spans="1:14" x14ac:dyDescent="0.25">
      <c r="A6" s="36"/>
      <c r="B6" s="36"/>
      <c r="C6" s="36"/>
      <c r="D6" s="36"/>
      <c r="E6" s="36"/>
      <c r="F6" s="36"/>
      <c r="G6" s="36"/>
      <c r="H6" s="36"/>
      <c r="I6" s="36"/>
      <c r="J6" s="36"/>
      <c r="K6" s="36"/>
      <c r="L6" s="36"/>
      <c r="M6" s="36"/>
      <c r="N6" s="36"/>
    </row>
    <row r="7" spans="1:14" x14ac:dyDescent="0.25">
      <c r="A7" s="36"/>
      <c r="B7" s="36"/>
      <c r="C7" s="36"/>
      <c r="D7" s="36"/>
      <c r="E7" s="36"/>
      <c r="F7" s="36"/>
      <c r="G7" s="36"/>
      <c r="H7" s="36"/>
      <c r="I7" s="36"/>
      <c r="J7" s="36"/>
      <c r="K7" s="36"/>
      <c r="L7" s="36"/>
      <c r="M7" s="36"/>
      <c r="N7" s="36"/>
    </row>
    <row r="8" spans="1:14" x14ac:dyDescent="0.25">
      <c r="A8" s="36"/>
      <c r="B8" s="36"/>
      <c r="C8" s="36"/>
      <c r="D8" s="36"/>
      <c r="E8" s="36"/>
      <c r="F8" s="36"/>
      <c r="G8" s="36"/>
      <c r="H8" s="36"/>
      <c r="I8" s="36"/>
      <c r="J8" s="36"/>
      <c r="K8" s="36"/>
      <c r="L8" s="36"/>
      <c r="M8" s="36"/>
      <c r="N8" s="36"/>
    </row>
    <row r="9" spans="1:14" x14ac:dyDescent="0.25">
      <c r="A9" s="36"/>
      <c r="B9" s="36"/>
      <c r="C9" s="36"/>
      <c r="D9" s="36"/>
      <c r="E9" s="36"/>
      <c r="F9" s="36"/>
      <c r="G9" s="36"/>
      <c r="H9" s="36"/>
      <c r="I9" s="36"/>
      <c r="J9" s="36"/>
      <c r="K9" s="36"/>
      <c r="L9" s="36"/>
      <c r="M9" s="36"/>
      <c r="N9" s="36"/>
    </row>
    <row r="10" spans="1:14" x14ac:dyDescent="0.25">
      <c r="A10" s="36"/>
      <c r="B10" s="36"/>
      <c r="C10" s="36"/>
      <c r="D10" s="36"/>
      <c r="E10" s="36"/>
      <c r="F10" s="36"/>
      <c r="G10" s="36"/>
      <c r="H10" s="36"/>
      <c r="I10" s="36"/>
      <c r="J10" s="36"/>
      <c r="K10" s="36"/>
      <c r="L10" s="36"/>
      <c r="M10" s="36"/>
      <c r="N10" s="36"/>
    </row>
    <row r="11" spans="1:14" x14ac:dyDescent="0.25">
      <c r="A11" s="36"/>
      <c r="B11" s="36"/>
      <c r="C11" s="36"/>
      <c r="D11" s="36"/>
      <c r="E11" s="36"/>
      <c r="F11" s="36"/>
      <c r="G11" s="36"/>
      <c r="H11" s="36"/>
      <c r="I11" s="36"/>
      <c r="J11" s="36"/>
      <c r="K11" s="36"/>
      <c r="L11" s="36"/>
      <c r="M11" s="36"/>
      <c r="N11" s="36"/>
    </row>
    <row r="12" spans="1:14" x14ac:dyDescent="0.25">
      <c r="A12" s="36"/>
      <c r="B12" s="36"/>
      <c r="C12" s="36"/>
      <c r="D12" s="36"/>
      <c r="E12" s="36"/>
      <c r="F12" s="36"/>
      <c r="G12" s="36"/>
      <c r="H12" s="36"/>
      <c r="I12" s="36"/>
      <c r="J12" s="36"/>
      <c r="K12" s="36"/>
      <c r="L12" s="36"/>
      <c r="M12" s="36"/>
      <c r="N12" s="36"/>
    </row>
    <row r="13" spans="1:14" x14ac:dyDescent="0.25">
      <c r="A13" s="36"/>
      <c r="B13" s="36"/>
      <c r="C13" s="36"/>
      <c r="D13" s="36"/>
      <c r="E13" s="36"/>
      <c r="F13" s="36"/>
      <c r="G13" s="36"/>
      <c r="H13" s="36"/>
      <c r="I13" s="36"/>
      <c r="J13" s="36"/>
      <c r="K13" s="36"/>
      <c r="L13" s="36"/>
      <c r="M13" s="36"/>
      <c r="N13" s="36"/>
    </row>
    <row r="14" spans="1:14" x14ac:dyDescent="0.25">
      <c r="A14" s="36"/>
      <c r="B14" s="36"/>
      <c r="C14" s="36"/>
      <c r="D14" s="36"/>
      <c r="E14" s="36"/>
      <c r="F14" s="36"/>
      <c r="G14" s="36"/>
      <c r="H14" s="36"/>
      <c r="I14" s="36"/>
      <c r="J14" s="36"/>
      <c r="K14" s="36"/>
      <c r="L14" s="36"/>
      <c r="M14" s="36"/>
      <c r="N14" s="36"/>
    </row>
    <row r="15" spans="1:14" x14ac:dyDescent="0.25">
      <c r="A15" s="36"/>
      <c r="B15" s="36"/>
      <c r="C15" s="36"/>
      <c r="D15" s="36"/>
      <c r="E15" s="36"/>
      <c r="F15" s="36"/>
      <c r="G15" s="36"/>
      <c r="H15" s="36"/>
      <c r="I15" s="36"/>
      <c r="J15" s="36"/>
      <c r="K15" s="36"/>
      <c r="L15" s="36"/>
      <c r="M15" s="36"/>
      <c r="N15" s="36"/>
    </row>
    <row r="16" spans="1:14" x14ac:dyDescent="0.25">
      <c r="A16" s="36"/>
      <c r="B16" s="36"/>
      <c r="C16" s="36"/>
      <c r="D16" s="36"/>
      <c r="E16" s="36"/>
      <c r="F16" s="36"/>
      <c r="G16" s="36"/>
      <c r="H16" s="36"/>
      <c r="I16" s="36"/>
      <c r="J16" s="36"/>
      <c r="K16" s="36"/>
      <c r="L16" s="36"/>
      <c r="M16" s="36"/>
      <c r="N16" s="36"/>
    </row>
    <row r="17" spans="1:14" x14ac:dyDescent="0.25">
      <c r="A17" s="36"/>
      <c r="B17" s="36"/>
      <c r="C17" s="36"/>
      <c r="D17" s="36"/>
      <c r="E17" s="36"/>
      <c r="F17" s="36"/>
      <c r="G17" s="36"/>
      <c r="H17" s="36"/>
      <c r="I17" s="36"/>
      <c r="J17" s="36"/>
      <c r="K17" s="36"/>
      <c r="L17" s="36"/>
      <c r="M17" s="36"/>
      <c r="N17" s="36"/>
    </row>
    <row r="18" spans="1:14" x14ac:dyDescent="0.25">
      <c r="A18" s="36"/>
      <c r="B18" s="36"/>
      <c r="C18" s="36"/>
      <c r="D18" s="36"/>
      <c r="E18" s="36"/>
      <c r="F18" s="36"/>
      <c r="G18" s="36"/>
      <c r="H18" s="36"/>
      <c r="I18" s="36"/>
      <c r="J18" s="36"/>
      <c r="K18" s="36"/>
      <c r="L18" s="36"/>
      <c r="M18" s="36"/>
      <c r="N18" s="36"/>
    </row>
    <row r="19" spans="1:14" x14ac:dyDescent="0.25">
      <c r="A19" s="36"/>
      <c r="B19" s="36"/>
      <c r="C19" s="36"/>
      <c r="D19" s="36"/>
      <c r="E19" s="36"/>
      <c r="F19" s="36"/>
      <c r="G19" s="36"/>
      <c r="H19" s="36"/>
      <c r="I19" s="36"/>
      <c r="J19" s="36"/>
      <c r="K19" s="36"/>
      <c r="L19" s="36"/>
      <c r="M19" s="36"/>
      <c r="N19" s="36"/>
    </row>
    <row r="20" spans="1:14" x14ac:dyDescent="0.25">
      <c r="A20" s="36"/>
      <c r="B20" s="36"/>
      <c r="C20" s="36"/>
      <c r="D20" s="36"/>
      <c r="E20" s="36"/>
      <c r="F20" s="36"/>
      <c r="G20" s="36"/>
      <c r="H20" s="36"/>
      <c r="I20" s="36"/>
      <c r="J20" s="36"/>
      <c r="K20" s="36"/>
      <c r="L20" s="36"/>
      <c r="M20" s="36"/>
      <c r="N20" s="36"/>
    </row>
    <row r="21" spans="1:14" x14ac:dyDescent="0.25">
      <c r="A21" s="36"/>
      <c r="B21" s="36"/>
      <c r="C21" s="36"/>
      <c r="D21" s="36"/>
      <c r="E21" s="36"/>
      <c r="F21" s="36"/>
      <c r="G21" s="36"/>
      <c r="H21" s="36"/>
      <c r="I21" s="36"/>
      <c r="J21" s="36"/>
      <c r="K21" s="36"/>
      <c r="L21" s="36"/>
      <c r="M21" s="36"/>
      <c r="N21" s="36"/>
    </row>
    <row r="22" spans="1:14" x14ac:dyDescent="0.25">
      <c r="A22" s="36"/>
      <c r="B22" s="36"/>
      <c r="C22" s="36"/>
      <c r="D22" s="36"/>
      <c r="E22" s="36"/>
      <c r="F22" s="36"/>
      <c r="G22" s="36"/>
      <c r="H22" s="36"/>
      <c r="I22" s="36"/>
      <c r="J22" s="36"/>
      <c r="K22" s="36"/>
      <c r="L22" s="36"/>
      <c r="M22" s="36"/>
      <c r="N22" s="36"/>
    </row>
    <row r="23" spans="1:14" x14ac:dyDescent="0.25">
      <c r="A23" s="36"/>
      <c r="B23" s="36"/>
      <c r="C23" s="36"/>
      <c r="D23" s="36"/>
      <c r="E23" s="36"/>
      <c r="F23" s="36"/>
      <c r="G23" s="36"/>
      <c r="H23" s="36"/>
      <c r="I23" s="36"/>
      <c r="J23" s="36"/>
      <c r="K23" s="36"/>
      <c r="L23" s="36"/>
      <c r="M23" s="36"/>
      <c r="N23" s="36"/>
    </row>
    <row r="24" spans="1:14" x14ac:dyDescent="0.25">
      <c r="A24" s="36"/>
      <c r="B24" s="36"/>
      <c r="C24" s="36"/>
      <c r="D24" s="36"/>
      <c r="E24" s="36"/>
      <c r="F24" s="36"/>
      <c r="G24" s="36"/>
      <c r="H24" s="36"/>
      <c r="I24" s="36"/>
      <c r="J24" s="36"/>
      <c r="K24" s="36"/>
      <c r="L24" s="36"/>
      <c r="M24" s="36"/>
      <c r="N24" s="36"/>
    </row>
    <row r="25" spans="1:14" x14ac:dyDescent="0.25">
      <c r="A25" s="36"/>
      <c r="B25" s="36"/>
      <c r="C25" s="36"/>
      <c r="D25" s="36"/>
      <c r="E25" s="36"/>
      <c r="F25" s="36"/>
      <c r="G25" s="36"/>
      <c r="H25" s="36"/>
      <c r="I25" s="36"/>
      <c r="J25" s="36"/>
      <c r="K25" s="36"/>
      <c r="L25" s="36"/>
      <c r="M25" s="36"/>
      <c r="N25" s="36"/>
    </row>
    <row r="26" spans="1:14" x14ac:dyDescent="0.25">
      <c r="A26" s="36"/>
      <c r="B26" s="36"/>
      <c r="C26" s="36"/>
      <c r="D26" s="36"/>
      <c r="E26" s="36"/>
      <c r="F26" s="36"/>
      <c r="G26" s="36"/>
      <c r="H26" s="36"/>
      <c r="I26" s="36"/>
      <c r="J26" s="36"/>
      <c r="K26" s="36"/>
      <c r="L26" s="36"/>
      <c r="M26" s="36"/>
      <c r="N26" s="36"/>
    </row>
    <row r="27" spans="1:14" x14ac:dyDescent="0.25">
      <c r="A27" s="36"/>
      <c r="B27" s="36"/>
      <c r="C27" s="36"/>
      <c r="D27" s="36"/>
      <c r="E27" s="36"/>
      <c r="F27" s="36"/>
      <c r="G27" s="36"/>
      <c r="H27" s="36"/>
      <c r="I27" s="36"/>
      <c r="J27" s="36"/>
      <c r="K27" s="36"/>
      <c r="L27" s="36"/>
      <c r="M27" s="36"/>
      <c r="N27" s="36"/>
    </row>
    <row r="28" spans="1:14" x14ac:dyDescent="0.25">
      <c r="A28" s="36"/>
      <c r="B28" s="36"/>
      <c r="C28" s="36"/>
      <c r="D28" s="36"/>
      <c r="E28" s="36"/>
      <c r="F28" s="36"/>
      <c r="G28" s="36"/>
      <c r="H28" s="36"/>
      <c r="I28" s="36"/>
      <c r="J28" s="36"/>
      <c r="K28" s="36"/>
      <c r="L28" s="36"/>
      <c r="M28" s="36"/>
      <c r="N28" s="36"/>
    </row>
    <row r="29" spans="1:14" x14ac:dyDescent="0.25">
      <c r="A29" s="36"/>
      <c r="B29" s="36"/>
      <c r="C29" s="36"/>
      <c r="D29" s="36"/>
      <c r="E29" s="36"/>
      <c r="F29" s="36"/>
      <c r="G29" s="36"/>
      <c r="H29" s="36"/>
      <c r="I29" s="36"/>
      <c r="J29" s="36"/>
      <c r="K29" s="36"/>
      <c r="L29" s="36"/>
      <c r="M29" s="36"/>
      <c r="N29" s="36"/>
    </row>
    <row r="30" spans="1:14" x14ac:dyDescent="0.25">
      <c r="A30" s="36"/>
      <c r="B30" s="36"/>
      <c r="C30" s="36"/>
      <c r="D30" s="36"/>
      <c r="E30" s="36"/>
      <c r="F30" s="36"/>
      <c r="G30" s="36"/>
      <c r="H30" s="36"/>
      <c r="I30" s="36"/>
      <c r="J30" s="36"/>
      <c r="K30" s="36"/>
      <c r="L30" s="36"/>
      <c r="M30" s="36"/>
      <c r="N30" s="36"/>
    </row>
  </sheetData>
  <mergeCells count="10">
    <mergeCell ref="J2:J3"/>
    <mergeCell ref="A1:N1"/>
    <mergeCell ref="K2:N2"/>
    <mergeCell ref="F2:F3"/>
    <mergeCell ref="A2:A3"/>
    <mergeCell ref="B2:B3"/>
    <mergeCell ref="C2:C3"/>
    <mergeCell ref="D2:D3"/>
    <mergeCell ref="E2:E3"/>
    <mergeCell ref="G2:I2"/>
  </mergeCells>
  <phoneticPr fontId="23" type="noConversion"/>
  <pageMargins left="0.75" right="0.75" top="1" bottom="1" header="0.5" footer="0.5"/>
  <pageSetup paperSize="5" fitToHeight="6" orientation="landscape" verticalDpi="0" r:id="rId1"/>
  <headerFooter alignWithMargins="0">
    <oddFooter>&amp;L&amp;F: &amp;A&amp;R&amp;P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0"/>
  <sheetViews>
    <sheetView workbookViewId="0">
      <selection activeCell="F3" sqref="F3"/>
    </sheetView>
  </sheetViews>
  <sheetFormatPr defaultRowHeight="15" x14ac:dyDescent="0.25"/>
  <sheetData>
    <row r="1" spans="1:6" s="1" customFormat="1" ht="43.15" x14ac:dyDescent="0.3">
      <c r="A1" s="489" t="s">
        <v>357</v>
      </c>
      <c r="B1" s="489" t="s">
        <v>859</v>
      </c>
      <c r="C1" s="489" t="s">
        <v>860</v>
      </c>
      <c r="D1" s="489" t="s">
        <v>782</v>
      </c>
      <c r="E1" s="489" t="s">
        <v>861</v>
      </c>
    </row>
    <row r="2" spans="1:6" ht="14.45" x14ac:dyDescent="0.3">
      <c r="A2" s="490">
        <v>530500</v>
      </c>
      <c r="B2" s="285"/>
      <c r="C2" s="285" t="s">
        <v>343</v>
      </c>
      <c r="D2" s="285" t="s">
        <v>343</v>
      </c>
      <c r="E2" s="285" t="s">
        <v>343</v>
      </c>
      <c r="F2" s="496" t="s">
        <v>2744</v>
      </c>
    </row>
    <row r="3" spans="1:6" ht="14.45" x14ac:dyDescent="0.3">
      <c r="A3" s="490">
        <v>538800</v>
      </c>
      <c r="B3" s="285"/>
      <c r="C3" s="285" t="s">
        <v>343</v>
      </c>
      <c r="D3" s="285" t="s">
        <v>343</v>
      </c>
      <c r="E3" s="285" t="s">
        <v>343</v>
      </c>
      <c r="F3" s="496" t="s">
        <v>2745</v>
      </c>
    </row>
    <row r="4" spans="1:6" ht="14.45" x14ac:dyDescent="0.3">
      <c r="A4" s="490">
        <v>665600</v>
      </c>
      <c r="B4" s="285" t="s">
        <v>343</v>
      </c>
      <c r="C4" s="285"/>
      <c r="D4" s="285"/>
      <c r="E4" s="285"/>
      <c r="F4" s="22" t="s">
        <v>2746</v>
      </c>
    </row>
    <row r="5" spans="1:6" ht="14.45" x14ac:dyDescent="0.3">
      <c r="A5" s="490">
        <v>800000</v>
      </c>
      <c r="B5" s="285"/>
      <c r="C5" s="285" t="s">
        <v>343</v>
      </c>
      <c r="D5" s="285" t="s">
        <v>343</v>
      </c>
      <c r="E5" s="285"/>
      <c r="F5" s="22" t="s">
        <v>2747</v>
      </c>
    </row>
    <row r="6" spans="1:6" ht="14.45" x14ac:dyDescent="0.3">
      <c r="A6" s="490">
        <v>716500</v>
      </c>
      <c r="B6" s="285" t="s">
        <v>343</v>
      </c>
      <c r="C6" s="285"/>
      <c r="D6" s="285"/>
      <c r="E6" s="285"/>
      <c r="F6" s="22" t="s">
        <v>2745</v>
      </c>
    </row>
    <row r="9" spans="1:6" ht="14.45" x14ac:dyDescent="0.3">
      <c r="A9" t="s">
        <v>862</v>
      </c>
    </row>
    <row r="10" spans="1:6" ht="14.45" x14ac:dyDescent="0.3">
      <c r="A10" t="s">
        <v>863</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N639"/>
  <sheetViews>
    <sheetView workbookViewId="0">
      <selection activeCell="J1" sqref="J1:J1048576"/>
    </sheetView>
  </sheetViews>
  <sheetFormatPr defaultRowHeight="15" x14ac:dyDescent="0.25"/>
  <cols>
    <col min="1" max="1" width="10.5703125" bestFit="1" customWidth="1"/>
    <col min="2" max="2" width="20.85546875" bestFit="1" customWidth="1"/>
    <col min="3" max="3" width="19.42578125" bestFit="1" customWidth="1"/>
    <col min="4" max="4" width="13.42578125" bestFit="1" customWidth="1"/>
    <col min="5" max="6" width="8.28515625" bestFit="1" customWidth="1"/>
    <col min="7" max="7" width="8" bestFit="1" customWidth="1"/>
    <col min="8" max="8" width="10.5703125" bestFit="1" customWidth="1"/>
    <col min="9" max="9" width="9.7109375" bestFit="1" customWidth="1"/>
    <col min="10" max="10" width="30.140625" customWidth="1"/>
    <col min="11" max="11" width="7.28515625" customWidth="1"/>
    <col min="12" max="12" width="11.42578125" bestFit="1" customWidth="1"/>
    <col min="13" max="13" width="13.7109375" bestFit="1" customWidth="1"/>
    <col min="14" max="14" width="8" bestFit="1" customWidth="1"/>
  </cols>
  <sheetData>
    <row r="1" spans="1:14" ht="43.15" x14ac:dyDescent="0.3">
      <c r="A1" s="491" t="s">
        <v>356</v>
      </c>
      <c r="B1" s="491" t="s">
        <v>115</v>
      </c>
      <c r="C1" s="491" t="s">
        <v>864</v>
      </c>
      <c r="D1" s="491" t="s">
        <v>865</v>
      </c>
      <c r="E1" s="492" t="s">
        <v>866</v>
      </c>
      <c r="F1" s="491" t="s">
        <v>501</v>
      </c>
      <c r="G1" s="492" t="s">
        <v>867</v>
      </c>
      <c r="H1" s="491" t="s">
        <v>868</v>
      </c>
      <c r="I1" s="491" t="s">
        <v>869</v>
      </c>
      <c r="J1" s="491" t="s">
        <v>870</v>
      </c>
      <c r="K1" s="491" t="s">
        <v>860</v>
      </c>
      <c r="L1" s="491" t="s">
        <v>782</v>
      </c>
      <c r="M1" s="491" t="s">
        <v>871</v>
      </c>
      <c r="N1" s="492" t="s">
        <v>872</v>
      </c>
    </row>
    <row r="2" spans="1:14" ht="14.45" x14ac:dyDescent="0.3">
      <c r="A2" s="493" t="s">
        <v>873</v>
      </c>
      <c r="B2" s="493" t="s">
        <v>874</v>
      </c>
      <c r="C2" s="493" t="s">
        <v>875</v>
      </c>
      <c r="D2" s="493" t="s">
        <v>876</v>
      </c>
      <c r="E2" s="493" t="s">
        <v>877</v>
      </c>
      <c r="F2" s="493" t="s">
        <v>636</v>
      </c>
      <c r="G2" s="493" t="s">
        <v>878</v>
      </c>
      <c r="H2" s="494">
        <v>2958465</v>
      </c>
      <c r="I2" s="494">
        <v>40179</v>
      </c>
      <c r="J2" s="493" t="s">
        <v>874</v>
      </c>
      <c r="K2" s="493" t="s">
        <v>879</v>
      </c>
      <c r="L2" s="493" t="s">
        <v>880</v>
      </c>
      <c r="M2" s="493" t="s">
        <v>881</v>
      </c>
      <c r="N2" s="493" t="s">
        <v>882</v>
      </c>
    </row>
    <row r="3" spans="1:14" ht="14.45" x14ac:dyDescent="0.3">
      <c r="A3" s="493" t="s">
        <v>883</v>
      </c>
      <c r="B3" s="493" t="s">
        <v>884</v>
      </c>
      <c r="C3" s="493" t="s">
        <v>885</v>
      </c>
      <c r="D3" s="493" t="s">
        <v>876</v>
      </c>
      <c r="E3" s="493" t="s">
        <v>886</v>
      </c>
      <c r="F3" s="493" t="s">
        <v>636</v>
      </c>
      <c r="G3" s="493" t="s">
        <v>878</v>
      </c>
      <c r="H3" s="494">
        <v>2958465</v>
      </c>
      <c r="I3" s="494">
        <v>40179</v>
      </c>
      <c r="J3" s="493" t="s">
        <v>887</v>
      </c>
      <c r="K3" s="493" t="s">
        <v>879</v>
      </c>
      <c r="L3" s="493" t="s">
        <v>888</v>
      </c>
      <c r="M3" s="493" t="s">
        <v>889</v>
      </c>
      <c r="N3" s="493" t="s">
        <v>890</v>
      </c>
    </row>
    <row r="4" spans="1:14" ht="14.45" x14ac:dyDescent="0.3">
      <c r="A4" s="493" t="s">
        <v>891</v>
      </c>
      <c r="B4" s="493" t="s">
        <v>892</v>
      </c>
      <c r="C4" s="493" t="s">
        <v>885</v>
      </c>
      <c r="D4" s="493" t="s">
        <v>876</v>
      </c>
      <c r="E4" s="493" t="s">
        <v>886</v>
      </c>
      <c r="F4" s="493" t="s">
        <v>636</v>
      </c>
      <c r="G4" s="493" t="s">
        <v>878</v>
      </c>
      <c r="H4" s="494">
        <v>2958465</v>
      </c>
      <c r="I4" s="494">
        <v>40179</v>
      </c>
      <c r="J4" s="493" t="s">
        <v>893</v>
      </c>
      <c r="K4" s="493" t="s">
        <v>879</v>
      </c>
      <c r="L4" s="493" t="s">
        <v>894</v>
      </c>
      <c r="M4" s="493" t="s">
        <v>889</v>
      </c>
      <c r="N4" s="493" t="s">
        <v>890</v>
      </c>
    </row>
    <row r="5" spans="1:14" ht="14.45" x14ac:dyDescent="0.3">
      <c r="A5" s="493" t="s">
        <v>895</v>
      </c>
      <c r="B5" s="493" t="s">
        <v>896</v>
      </c>
      <c r="C5" s="493" t="s">
        <v>875</v>
      </c>
      <c r="D5" s="493" t="s">
        <v>876</v>
      </c>
      <c r="E5" s="493" t="s">
        <v>897</v>
      </c>
      <c r="F5" s="493" t="s">
        <v>636</v>
      </c>
      <c r="G5" s="493" t="s">
        <v>878</v>
      </c>
      <c r="H5" s="494">
        <v>2958465</v>
      </c>
      <c r="I5" s="494">
        <v>40179</v>
      </c>
      <c r="J5" s="493" t="s">
        <v>898</v>
      </c>
      <c r="K5" s="493" t="s">
        <v>879</v>
      </c>
      <c r="L5" s="493" t="s">
        <v>899</v>
      </c>
      <c r="M5" s="493" t="s">
        <v>900</v>
      </c>
      <c r="N5" s="493" t="s">
        <v>901</v>
      </c>
    </row>
    <row r="6" spans="1:14" ht="14.45" x14ac:dyDescent="0.3">
      <c r="A6" s="493" t="s">
        <v>902</v>
      </c>
      <c r="B6" s="493" t="s">
        <v>903</v>
      </c>
      <c r="C6" s="493" t="s">
        <v>875</v>
      </c>
      <c r="D6" s="493" t="s">
        <v>876</v>
      </c>
      <c r="E6" s="493" t="s">
        <v>4</v>
      </c>
      <c r="F6" s="493" t="s">
        <v>636</v>
      </c>
      <c r="G6" s="493" t="s">
        <v>878</v>
      </c>
      <c r="H6" s="494">
        <v>2958465</v>
      </c>
      <c r="I6" s="494">
        <v>40179</v>
      </c>
      <c r="J6" s="493" t="s">
        <v>904</v>
      </c>
      <c r="K6" s="493" t="s">
        <v>879</v>
      </c>
      <c r="L6" s="493" t="s">
        <v>899</v>
      </c>
      <c r="M6" s="493" t="s">
        <v>905</v>
      </c>
      <c r="N6" s="493" t="s">
        <v>906</v>
      </c>
    </row>
    <row r="7" spans="1:14" ht="14.45" x14ac:dyDescent="0.3">
      <c r="A7" s="493" t="s">
        <v>907</v>
      </c>
      <c r="B7" s="493" t="s">
        <v>908</v>
      </c>
      <c r="C7" s="493" t="s">
        <v>909</v>
      </c>
      <c r="D7" s="493" t="s">
        <v>876</v>
      </c>
      <c r="E7" s="493" t="s">
        <v>910</v>
      </c>
      <c r="F7" s="493" t="s">
        <v>636</v>
      </c>
      <c r="G7" s="493" t="s">
        <v>878</v>
      </c>
      <c r="H7" s="494">
        <v>2958465</v>
      </c>
      <c r="I7" s="494">
        <v>40179</v>
      </c>
      <c r="J7" s="493" t="s">
        <v>911</v>
      </c>
      <c r="K7" s="493" t="s">
        <v>879</v>
      </c>
      <c r="L7" s="493" t="s">
        <v>899</v>
      </c>
      <c r="M7" s="493" t="s">
        <v>912</v>
      </c>
      <c r="N7" s="493" t="s">
        <v>913</v>
      </c>
    </row>
    <row r="8" spans="1:14" ht="14.45" x14ac:dyDescent="0.3">
      <c r="A8" s="493" t="s">
        <v>914</v>
      </c>
      <c r="B8" s="493" t="s">
        <v>915</v>
      </c>
      <c r="C8" s="493" t="s">
        <v>916</v>
      </c>
      <c r="D8" s="493" t="s">
        <v>876</v>
      </c>
      <c r="E8" s="493" t="s">
        <v>917</v>
      </c>
      <c r="F8" s="493" t="s">
        <v>636</v>
      </c>
      <c r="G8" s="493" t="s">
        <v>878</v>
      </c>
      <c r="H8" s="494">
        <v>2958465</v>
      </c>
      <c r="I8" s="494">
        <v>40179</v>
      </c>
      <c r="J8" s="493" t="s">
        <v>915</v>
      </c>
      <c r="K8" s="493" t="s">
        <v>879</v>
      </c>
      <c r="L8" s="493" t="s">
        <v>899</v>
      </c>
      <c r="M8" s="493" t="s">
        <v>918</v>
      </c>
      <c r="N8" s="493" t="s">
        <v>919</v>
      </c>
    </row>
    <row r="9" spans="1:14" ht="14.45" x14ac:dyDescent="0.3">
      <c r="A9" s="493" t="s">
        <v>920</v>
      </c>
      <c r="B9" s="493" t="s">
        <v>921</v>
      </c>
      <c r="C9" s="493" t="s">
        <v>922</v>
      </c>
      <c r="D9" s="493" t="s">
        <v>876</v>
      </c>
      <c r="E9" s="493" t="s">
        <v>917</v>
      </c>
      <c r="F9" s="493" t="s">
        <v>636</v>
      </c>
      <c r="G9" s="493" t="s">
        <v>878</v>
      </c>
      <c r="H9" s="494">
        <v>2958465</v>
      </c>
      <c r="I9" s="494">
        <v>40179</v>
      </c>
      <c r="J9" s="493" t="s">
        <v>923</v>
      </c>
      <c r="K9" s="493" t="s">
        <v>879</v>
      </c>
      <c r="L9" s="493" t="s">
        <v>899</v>
      </c>
      <c r="M9" s="493" t="s">
        <v>918</v>
      </c>
      <c r="N9" s="493" t="s">
        <v>919</v>
      </c>
    </row>
    <row r="10" spans="1:14" ht="14.45" x14ac:dyDescent="0.3">
      <c r="A10" s="493" t="s">
        <v>924</v>
      </c>
      <c r="B10" s="493" t="s">
        <v>925</v>
      </c>
      <c r="C10" s="493" t="s">
        <v>183</v>
      </c>
      <c r="D10" s="493" t="s">
        <v>876</v>
      </c>
      <c r="E10" s="493" t="s">
        <v>917</v>
      </c>
      <c r="F10" s="493" t="s">
        <v>636</v>
      </c>
      <c r="G10" s="493" t="s">
        <v>878</v>
      </c>
      <c r="H10" s="494">
        <v>2958465</v>
      </c>
      <c r="I10" s="494">
        <v>40179</v>
      </c>
      <c r="J10" s="493" t="s">
        <v>926</v>
      </c>
      <c r="K10" s="493" t="s">
        <v>879</v>
      </c>
      <c r="L10" s="493" t="s">
        <v>899</v>
      </c>
      <c r="M10" s="493" t="s">
        <v>918</v>
      </c>
      <c r="N10" s="493" t="s">
        <v>919</v>
      </c>
    </row>
    <row r="11" spans="1:14" ht="14.45" x14ac:dyDescent="0.3">
      <c r="A11" s="493" t="s">
        <v>927</v>
      </c>
      <c r="B11" s="493" t="s">
        <v>928</v>
      </c>
      <c r="C11" s="493" t="s">
        <v>875</v>
      </c>
      <c r="D11" s="493" t="s">
        <v>876</v>
      </c>
      <c r="E11" s="493" t="s">
        <v>897</v>
      </c>
      <c r="F11" s="493" t="s">
        <v>636</v>
      </c>
      <c r="G11" s="493" t="s">
        <v>878</v>
      </c>
      <c r="H11" s="494">
        <v>2958465</v>
      </c>
      <c r="I11" s="494">
        <v>40179</v>
      </c>
      <c r="J11" s="493" t="s">
        <v>928</v>
      </c>
      <c r="K11" s="493" t="s">
        <v>879</v>
      </c>
      <c r="L11" s="493" t="s">
        <v>899</v>
      </c>
      <c r="M11" s="493" t="s">
        <v>900</v>
      </c>
      <c r="N11" s="493" t="s">
        <v>901</v>
      </c>
    </row>
    <row r="12" spans="1:14" ht="14.45" x14ac:dyDescent="0.3">
      <c r="A12" s="493" t="s">
        <v>929</v>
      </c>
      <c r="B12" s="493" t="s">
        <v>930</v>
      </c>
      <c r="C12" s="493" t="s">
        <v>931</v>
      </c>
      <c r="D12" s="493" t="s">
        <v>876</v>
      </c>
      <c r="E12" s="493" t="s">
        <v>910</v>
      </c>
      <c r="F12" s="493" t="s">
        <v>636</v>
      </c>
      <c r="G12" s="493" t="s">
        <v>878</v>
      </c>
      <c r="H12" s="494">
        <v>2958465</v>
      </c>
      <c r="I12" s="494">
        <v>40179</v>
      </c>
      <c r="J12" s="493" t="s">
        <v>930</v>
      </c>
      <c r="K12" s="493" t="s">
        <v>879</v>
      </c>
      <c r="L12" s="493" t="s">
        <v>899</v>
      </c>
      <c r="M12" s="493" t="s">
        <v>912</v>
      </c>
      <c r="N12" s="493" t="s">
        <v>913</v>
      </c>
    </row>
    <row r="13" spans="1:14" ht="14.45" x14ac:dyDescent="0.3">
      <c r="A13" s="493" t="s">
        <v>932</v>
      </c>
      <c r="B13" s="493" t="s">
        <v>933</v>
      </c>
      <c r="C13" s="493" t="s">
        <v>931</v>
      </c>
      <c r="D13" s="493" t="s">
        <v>876</v>
      </c>
      <c r="E13" s="493" t="s">
        <v>910</v>
      </c>
      <c r="F13" s="493" t="s">
        <v>636</v>
      </c>
      <c r="G13" s="493" t="s">
        <v>878</v>
      </c>
      <c r="H13" s="494">
        <v>2958465</v>
      </c>
      <c r="I13" s="494">
        <v>40179</v>
      </c>
      <c r="J13" s="493" t="s">
        <v>933</v>
      </c>
      <c r="K13" s="493" t="s">
        <v>879</v>
      </c>
      <c r="L13" s="493" t="s">
        <v>899</v>
      </c>
      <c r="M13" s="493" t="s">
        <v>912</v>
      </c>
      <c r="N13" s="493" t="s">
        <v>913</v>
      </c>
    </row>
    <row r="14" spans="1:14" ht="14.45" x14ac:dyDescent="0.3">
      <c r="A14" s="493" t="s">
        <v>934</v>
      </c>
      <c r="B14" s="493" t="s">
        <v>935</v>
      </c>
      <c r="C14" s="493" t="s">
        <v>183</v>
      </c>
      <c r="D14" s="493" t="s">
        <v>876</v>
      </c>
      <c r="E14" s="493" t="s">
        <v>910</v>
      </c>
      <c r="F14" s="493" t="s">
        <v>636</v>
      </c>
      <c r="G14" s="493" t="s">
        <v>878</v>
      </c>
      <c r="H14" s="494">
        <v>2958465</v>
      </c>
      <c r="I14" s="494">
        <v>40179</v>
      </c>
      <c r="J14" s="493" t="s">
        <v>936</v>
      </c>
      <c r="K14" s="493" t="s">
        <v>879</v>
      </c>
      <c r="L14" s="493" t="s">
        <v>899</v>
      </c>
      <c r="M14" s="493" t="s">
        <v>912</v>
      </c>
      <c r="N14" s="493" t="s">
        <v>913</v>
      </c>
    </row>
    <row r="15" spans="1:14" ht="14.45" x14ac:dyDescent="0.3">
      <c r="A15" s="493" t="s">
        <v>937</v>
      </c>
      <c r="B15" s="493" t="s">
        <v>938</v>
      </c>
      <c r="C15" s="493" t="s">
        <v>939</v>
      </c>
      <c r="D15" s="493" t="s">
        <v>876</v>
      </c>
      <c r="E15" s="493" t="s">
        <v>910</v>
      </c>
      <c r="F15" s="493" t="s">
        <v>636</v>
      </c>
      <c r="G15" s="493" t="s">
        <v>878</v>
      </c>
      <c r="H15" s="494">
        <v>2958465</v>
      </c>
      <c r="I15" s="494">
        <v>40179</v>
      </c>
      <c r="J15" s="493" t="s">
        <v>940</v>
      </c>
      <c r="K15" s="493" t="s">
        <v>879</v>
      </c>
      <c r="L15" s="493" t="s">
        <v>899</v>
      </c>
      <c r="M15" s="493" t="s">
        <v>912</v>
      </c>
      <c r="N15" s="493" t="s">
        <v>913</v>
      </c>
    </row>
    <row r="16" spans="1:14" ht="14.45" x14ac:dyDescent="0.3">
      <c r="A16" s="493" t="s">
        <v>941</v>
      </c>
      <c r="B16" s="493" t="s">
        <v>942</v>
      </c>
      <c r="C16" s="493" t="s">
        <v>943</v>
      </c>
      <c r="D16" s="493" t="s">
        <v>876</v>
      </c>
      <c r="E16" s="493" t="s">
        <v>910</v>
      </c>
      <c r="F16" s="493" t="s">
        <v>636</v>
      </c>
      <c r="G16" s="493" t="s">
        <v>878</v>
      </c>
      <c r="H16" s="494">
        <v>2958465</v>
      </c>
      <c r="I16" s="494">
        <v>40179</v>
      </c>
      <c r="J16" s="493" t="s">
        <v>942</v>
      </c>
      <c r="K16" s="493" t="s">
        <v>879</v>
      </c>
      <c r="L16" s="493" t="s">
        <v>899</v>
      </c>
      <c r="M16" s="493" t="s">
        <v>912</v>
      </c>
      <c r="N16" s="493" t="s">
        <v>913</v>
      </c>
    </row>
    <row r="17" spans="1:14" ht="14.45" x14ac:dyDescent="0.3">
      <c r="A17" s="493" t="s">
        <v>944</v>
      </c>
      <c r="B17" s="493" t="s">
        <v>945</v>
      </c>
      <c r="C17" s="493" t="s">
        <v>909</v>
      </c>
      <c r="D17" s="493" t="s">
        <v>876</v>
      </c>
      <c r="E17" s="493" t="s">
        <v>142</v>
      </c>
      <c r="F17" s="493" t="s">
        <v>636</v>
      </c>
      <c r="G17" s="493" t="s">
        <v>878</v>
      </c>
      <c r="H17" s="494">
        <v>2958465</v>
      </c>
      <c r="I17" s="494">
        <v>40179</v>
      </c>
      <c r="J17" s="493" t="s">
        <v>945</v>
      </c>
      <c r="K17" s="493" t="s">
        <v>879</v>
      </c>
      <c r="L17" s="493" t="s">
        <v>899</v>
      </c>
      <c r="M17" s="493" t="s">
        <v>946</v>
      </c>
      <c r="N17" s="493" t="s">
        <v>947</v>
      </c>
    </row>
    <row r="18" spans="1:14" ht="14.45" x14ac:dyDescent="0.3">
      <c r="A18" s="493" t="s">
        <v>948</v>
      </c>
      <c r="B18" s="493" t="s">
        <v>949</v>
      </c>
      <c r="C18" s="493" t="s">
        <v>183</v>
      </c>
      <c r="D18" s="493" t="s">
        <v>876</v>
      </c>
      <c r="E18" s="493" t="s">
        <v>897</v>
      </c>
      <c r="F18" s="493" t="s">
        <v>636</v>
      </c>
      <c r="G18" s="493" t="s">
        <v>878</v>
      </c>
      <c r="H18" s="494">
        <v>2958465</v>
      </c>
      <c r="I18" s="494">
        <v>40179</v>
      </c>
      <c r="J18" s="493" t="s">
        <v>949</v>
      </c>
      <c r="K18" s="493" t="s">
        <v>879</v>
      </c>
      <c r="L18" s="493" t="s">
        <v>899</v>
      </c>
      <c r="M18" s="493" t="s">
        <v>950</v>
      </c>
      <c r="N18" s="493" t="s">
        <v>901</v>
      </c>
    </row>
    <row r="19" spans="1:14" ht="14.45" x14ac:dyDescent="0.3">
      <c r="A19" s="493" t="s">
        <v>951</v>
      </c>
      <c r="B19" s="493" t="s">
        <v>952</v>
      </c>
      <c r="C19" s="493" t="s">
        <v>953</v>
      </c>
      <c r="D19" s="493" t="s">
        <v>876</v>
      </c>
      <c r="E19" s="493" t="s">
        <v>910</v>
      </c>
      <c r="F19" s="493" t="s">
        <v>636</v>
      </c>
      <c r="G19" s="493" t="s">
        <v>878</v>
      </c>
      <c r="H19" s="494">
        <v>2958465</v>
      </c>
      <c r="I19" s="494">
        <v>40179</v>
      </c>
      <c r="J19" s="493" t="s">
        <v>952</v>
      </c>
      <c r="K19" s="493" t="s">
        <v>879</v>
      </c>
      <c r="L19" s="493" t="s">
        <v>899</v>
      </c>
      <c r="M19" s="493" t="s">
        <v>912</v>
      </c>
      <c r="N19" s="493" t="s">
        <v>913</v>
      </c>
    </row>
    <row r="20" spans="1:14" ht="14.45" x14ac:dyDescent="0.3">
      <c r="A20" s="493" t="s">
        <v>954</v>
      </c>
      <c r="B20" s="493" t="s">
        <v>955</v>
      </c>
      <c r="C20" s="493" t="s">
        <v>183</v>
      </c>
      <c r="D20" s="493" t="s">
        <v>876</v>
      </c>
      <c r="E20" s="493" t="s">
        <v>897</v>
      </c>
      <c r="F20" s="493" t="s">
        <v>636</v>
      </c>
      <c r="G20" s="493" t="s">
        <v>878</v>
      </c>
      <c r="H20" s="494">
        <v>2958465</v>
      </c>
      <c r="I20" s="494">
        <v>40179</v>
      </c>
      <c r="J20" s="493" t="s">
        <v>955</v>
      </c>
      <c r="K20" s="493" t="s">
        <v>879</v>
      </c>
      <c r="L20" s="493" t="s">
        <v>899</v>
      </c>
      <c r="M20" s="493" t="s">
        <v>950</v>
      </c>
      <c r="N20" s="493" t="s">
        <v>901</v>
      </c>
    </row>
    <row r="21" spans="1:14" ht="14.45" x14ac:dyDescent="0.3">
      <c r="A21" s="493" t="s">
        <v>956</v>
      </c>
      <c r="B21" s="493" t="s">
        <v>957</v>
      </c>
      <c r="C21" s="493" t="s">
        <v>183</v>
      </c>
      <c r="D21" s="493" t="s">
        <v>876</v>
      </c>
      <c r="E21" s="493" t="s">
        <v>910</v>
      </c>
      <c r="F21" s="493" t="s">
        <v>636</v>
      </c>
      <c r="G21" s="493" t="s">
        <v>878</v>
      </c>
      <c r="H21" s="494">
        <v>2958465</v>
      </c>
      <c r="I21" s="494">
        <v>40179</v>
      </c>
      <c r="J21" s="493" t="s">
        <v>958</v>
      </c>
      <c r="K21" s="493" t="s">
        <v>879</v>
      </c>
      <c r="L21" s="493" t="s">
        <v>899</v>
      </c>
      <c r="M21" s="493" t="s">
        <v>912</v>
      </c>
      <c r="N21" s="493" t="s">
        <v>913</v>
      </c>
    </row>
    <row r="22" spans="1:14" ht="14.45" x14ac:dyDescent="0.3">
      <c r="A22" s="493" t="s">
        <v>959</v>
      </c>
      <c r="B22" s="493" t="s">
        <v>960</v>
      </c>
      <c r="C22" s="493" t="s">
        <v>885</v>
      </c>
      <c r="D22" s="493" t="s">
        <v>876</v>
      </c>
      <c r="E22" s="493" t="s">
        <v>897</v>
      </c>
      <c r="F22" s="493" t="s">
        <v>636</v>
      </c>
      <c r="G22" s="493" t="s">
        <v>878</v>
      </c>
      <c r="H22" s="494">
        <v>2958465</v>
      </c>
      <c r="I22" s="494">
        <v>40179</v>
      </c>
      <c r="J22" s="493" t="s">
        <v>961</v>
      </c>
      <c r="K22" s="493" t="s">
        <v>879</v>
      </c>
      <c r="L22" s="493" t="s">
        <v>899</v>
      </c>
      <c r="M22" s="493" t="s">
        <v>962</v>
      </c>
      <c r="N22" s="493" t="s">
        <v>901</v>
      </c>
    </row>
    <row r="23" spans="1:14" ht="14.45" x14ac:dyDescent="0.3">
      <c r="A23" s="493" t="s">
        <v>963</v>
      </c>
      <c r="B23" s="493" t="s">
        <v>964</v>
      </c>
      <c r="C23" s="493" t="s">
        <v>885</v>
      </c>
      <c r="D23" s="493" t="s">
        <v>876</v>
      </c>
      <c r="E23" s="493" t="s">
        <v>897</v>
      </c>
      <c r="F23" s="493" t="s">
        <v>636</v>
      </c>
      <c r="G23" s="493" t="s">
        <v>878</v>
      </c>
      <c r="H23" s="494">
        <v>2958465</v>
      </c>
      <c r="I23" s="494">
        <v>40179</v>
      </c>
      <c r="J23" s="493" t="s">
        <v>965</v>
      </c>
      <c r="K23" s="493" t="s">
        <v>879</v>
      </c>
      <c r="L23" s="493" t="s">
        <v>966</v>
      </c>
      <c r="M23" s="493" t="s">
        <v>889</v>
      </c>
      <c r="N23" s="493" t="s">
        <v>901</v>
      </c>
    </row>
    <row r="24" spans="1:14" ht="14.45" x14ac:dyDescent="0.3">
      <c r="A24" s="493" t="s">
        <v>967</v>
      </c>
      <c r="B24" s="493" t="s">
        <v>968</v>
      </c>
      <c r="C24" s="493" t="s">
        <v>969</v>
      </c>
      <c r="D24" s="493" t="s">
        <v>876</v>
      </c>
      <c r="E24" s="493" t="s">
        <v>897</v>
      </c>
      <c r="F24" s="493" t="s">
        <v>636</v>
      </c>
      <c r="G24" s="493" t="s">
        <v>878</v>
      </c>
      <c r="H24" s="494">
        <v>2958465</v>
      </c>
      <c r="I24" s="494">
        <v>40179</v>
      </c>
      <c r="J24" s="493" t="s">
        <v>968</v>
      </c>
      <c r="K24" s="493" t="s">
        <v>879</v>
      </c>
      <c r="L24" s="493" t="s">
        <v>966</v>
      </c>
      <c r="M24" s="493" t="s">
        <v>970</v>
      </c>
      <c r="N24" s="493" t="s">
        <v>901</v>
      </c>
    </row>
    <row r="25" spans="1:14" ht="14.45" x14ac:dyDescent="0.3">
      <c r="A25" s="493" t="s">
        <v>971</v>
      </c>
      <c r="B25" s="493" t="s">
        <v>972</v>
      </c>
      <c r="C25" s="493" t="s">
        <v>973</v>
      </c>
      <c r="D25" s="493" t="s">
        <v>876</v>
      </c>
      <c r="E25" s="493" t="s">
        <v>897</v>
      </c>
      <c r="F25" s="493" t="s">
        <v>636</v>
      </c>
      <c r="G25" s="493" t="s">
        <v>878</v>
      </c>
      <c r="H25" s="494">
        <v>2958465</v>
      </c>
      <c r="I25" s="494">
        <v>40179</v>
      </c>
      <c r="J25" s="493" t="s">
        <v>974</v>
      </c>
      <c r="K25" s="493" t="s">
        <v>879</v>
      </c>
      <c r="L25" s="493" t="s">
        <v>966</v>
      </c>
      <c r="M25" s="493" t="s">
        <v>975</v>
      </c>
      <c r="N25" s="493" t="s">
        <v>901</v>
      </c>
    </row>
    <row r="26" spans="1:14" ht="14.45" x14ac:dyDescent="0.3">
      <c r="A26" s="493" t="s">
        <v>976</v>
      </c>
      <c r="B26" s="493" t="s">
        <v>977</v>
      </c>
      <c r="C26" s="493" t="s">
        <v>978</v>
      </c>
      <c r="D26" s="493" t="s">
        <v>876</v>
      </c>
      <c r="E26" s="493" t="s">
        <v>897</v>
      </c>
      <c r="F26" s="493" t="s">
        <v>636</v>
      </c>
      <c r="G26" s="493" t="s">
        <v>878</v>
      </c>
      <c r="H26" s="494">
        <v>2958465</v>
      </c>
      <c r="I26" s="494">
        <v>40179</v>
      </c>
      <c r="J26" s="493" t="s">
        <v>979</v>
      </c>
      <c r="K26" s="493" t="s">
        <v>879</v>
      </c>
      <c r="L26" s="493" t="s">
        <v>966</v>
      </c>
      <c r="M26" s="493" t="s">
        <v>975</v>
      </c>
      <c r="N26" s="493" t="s">
        <v>901</v>
      </c>
    </row>
    <row r="27" spans="1:14" x14ac:dyDescent="0.25">
      <c r="A27" s="493" t="s">
        <v>980</v>
      </c>
      <c r="B27" s="493" t="s">
        <v>981</v>
      </c>
      <c r="C27" s="493" t="s">
        <v>183</v>
      </c>
      <c r="D27" s="493" t="s">
        <v>876</v>
      </c>
      <c r="E27" s="493" t="s">
        <v>897</v>
      </c>
      <c r="F27" s="493" t="s">
        <v>636</v>
      </c>
      <c r="G27" s="493" t="s">
        <v>878</v>
      </c>
      <c r="H27" s="494">
        <v>2958465</v>
      </c>
      <c r="I27" s="494">
        <v>40179</v>
      </c>
      <c r="J27" s="493" t="s">
        <v>981</v>
      </c>
      <c r="K27" s="493" t="s">
        <v>879</v>
      </c>
      <c r="L27" s="493" t="s">
        <v>966</v>
      </c>
      <c r="M27" s="493" t="s">
        <v>982</v>
      </c>
      <c r="N27" s="493" t="s">
        <v>901</v>
      </c>
    </row>
    <row r="28" spans="1:14" x14ac:dyDescent="0.25">
      <c r="A28" s="493" t="s">
        <v>983</v>
      </c>
      <c r="B28" s="493" t="s">
        <v>984</v>
      </c>
      <c r="C28" s="493" t="s">
        <v>985</v>
      </c>
      <c r="D28" s="493" t="s">
        <v>876</v>
      </c>
      <c r="E28" s="493" t="s">
        <v>897</v>
      </c>
      <c r="F28" s="493" t="s">
        <v>636</v>
      </c>
      <c r="G28" s="493" t="s">
        <v>878</v>
      </c>
      <c r="H28" s="494">
        <v>2958465</v>
      </c>
      <c r="I28" s="494">
        <v>40179</v>
      </c>
      <c r="J28" s="493" t="s">
        <v>986</v>
      </c>
      <c r="K28" s="493" t="s">
        <v>879</v>
      </c>
      <c r="L28" s="493" t="s">
        <v>899</v>
      </c>
      <c r="M28" s="493" t="s">
        <v>987</v>
      </c>
      <c r="N28" s="493" t="s">
        <v>901</v>
      </c>
    </row>
    <row r="29" spans="1:14" x14ac:dyDescent="0.25">
      <c r="A29" s="493" t="s">
        <v>988</v>
      </c>
      <c r="B29" s="493" t="s">
        <v>989</v>
      </c>
      <c r="C29" s="493" t="s">
        <v>183</v>
      </c>
      <c r="D29" s="493" t="s">
        <v>876</v>
      </c>
      <c r="E29" s="493" t="s">
        <v>910</v>
      </c>
      <c r="F29" s="493" t="s">
        <v>636</v>
      </c>
      <c r="G29" s="493" t="s">
        <v>878</v>
      </c>
      <c r="H29" s="494">
        <v>2958465</v>
      </c>
      <c r="I29" s="494">
        <v>40179</v>
      </c>
      <c r="J29" s="493" t="s">
        <v>990</v>
      </c>
      <c r="K29" s="493" t="s">
        <v>879</v>
      </c>
      <c r="L29" s="493" t="s">
        <v>899</v>
      </c>
      <c r="M29" s="493" t="s">
        <v>991</v>
      </c>
      <c r="N29" s="493" t="s">
        <v>913</v>
      </c>
    </row>
    <row r="30" spans="1:14" x14ac:dyDescent="0.25">
      <c r="A30" s="493" t="s">
        <v>992</v>
      </c>
      <c r="B30" s="493" t="s">
        <v>993</v>
      </c>
      <c r="C30" s="493" t="s">
        <v>994</v>
      </c>
      <c r="D30" s="493" t="s">
        <v>876</v>
      </c>
      <c r="E30" s="493" t="s">
        <v>910</v>
      </c>
      <c r="F30" s="493" t="s">
        <v>636</v>
      </c>
      <c r="G30" s="493" t="s">
        <v>878</v>
      </c>
      <c r="H30" s="494">
        <v>2958465</v>
      </c>
      <c r="I30" s="494">
        <v>40179</v>
      </c>
      <c r="J30" s="493" t="s">
        <v>995</v>
      </c>
      <c r="K30" s="493" t="s">
        <v>879</v>
      </c>
      <c r="L30" s="493" t="s">
        <v>899</v>
      </c>
      <c r="M30" s="493" t="s">
        <v>912</v>
      </c>
      <c r="N30" s="493" t="s">
        <v>913</v>
      </c>
    </row>
    <row r="31" spans="1:14" x14ac:dyDescent="0.25">
      <c r="A31" s="493" t="s">
        <v>996</v>
      </c>
      <c r="B31" s="493" t="s">
        <v>997</v>
      </c>
      <c r="C31" s="493" t="s">
        <v>998</v>
      </c>
      <c r="D31" s="493" t="s">
        <v>876</v>
      </c>
      <c r="E31" s="493" t="s">
        <v>897</v>
      </c>
      <c r="F31" s="493" t="s">
        <v>636</v>
      </c>
      <c r="G31" s="493" t="s">
        <v>878</v>
      </c>
      <c r="H31" s="494">
        <v>2958465</v>
      </c>
      <c r="I31" s="494">
        <v>40179</v>
      </c>
      <c r="J31" s="493" t="s">
        <v>997</v>
      </c>
      <c r="K31" s="493" t="s">
        <v>879</v>
      </c>
      <c r="L31" s="493" t="s">
        <v>966</v>
      </c>
      <c r="M31" s="493" t="s">
        <v>999</v>
      </c>
      <c r="N31" s="493" t="s">
        <v>901</v>
      </c>
    </row>
    <row r="32" spans="1:14" x14ac:dyDescent="0.25">
      <c r="A32" s="493" t="s">
        <v>1000</v>
      </c>
      <c r="B32" s="493" t="s">
        <v>1001</v>
      </c>
      <c r="C32" s="493" t="s">
        <v>1002</v>
      </c>
      <c r="D32" s="493" t="s">
        <v>876</v>
      </c>
      <c r="E32" s="493" t="s">
        <v>897</v>
      </c>
      <c r="F32" s="493" t="s">
        <v>636</v>
      </c>
      <c r="G32" s="493" t="s">
        <v>878</v>
      </c>
      <c r="H32" s="494">
        <v>2958465</v>
      </c>
      <c r="I32" s="494">
        <v>40179</v>
      </c>
      <c r="J32" s="493" t="s">
        <v>1001</v>
      </c>
      <c r="K32" s="493" t="s">
        <v>879</v>
      </c>
      <c r="L32" s="493" t="s">
        <v>966</v>
      </c>
      <c r="M32" s="493" t="s">
        <v>999</v>
      </c>
      <c r="N32" s="493" t="s">
        <v>901</v>
      </c>
    </row>
    <row r="33" spans="1:14" x14ac:dyDescent="0.25">
      <c r="A33" s="493" t="s">
        <v>1003</v>
      </c>
      <c r="B33" s="493" t="s">
        <v>1004</v>
      </c>
      <c r="C33" s="493" t="s">
        <v>1005</v>
      </c>
      <c r="D33" s="493" t="s">
        <v>876</v>
      </c>
      <c r="E33" s="493" t="s">
        <v>897</v>
      </c>
      <c r="F33" s="493" t="s">
        <v>636</v>
      </c>
      <c r="G33" s="493" t="s">
        <v>878</v>
      </c>
      <c r="H33" s="494">
        <v>2958465</v>
      </c>
      <c r="I33" s="494">
        <v>40179</v>
      </c>
      <c r="J33" s="493" t="s">
        <v>1004</v>
      </c>
      <c r="K33" s="493" t="s">
        <v>879</v>
      </c>
      <c r="L33" s="493" t="s">
        <v>899</v>
      </c>
      <c r="M33" s="493" t="s">
        <v>1006</v>
      </c>
      <c r="N33" s="493" t="s">
        <v>901</v>
      </c>
    </row>
    <row r="34" spans="1:14" x14ac:dyDescent="0.25">
      <c r="A34" s="493" t="s">
        <v>1007</v>
      </c>
      <c r="B34" s="493" t="s">
        <v>1008</v>
      </c>
      <c r="C34" s="493" t="s">
        <v>1005</v>
      </c>
      <c r="D34" s="493" t="s">
        <v>876</v>
      </c>
      <c r="E34" s="493" t="s">
        <v>897</v>
      </c>
      <c r="F34" s="493" t="s">
        <v>636</v>
      </c>
      <c r="G34" s="493" t="s">
        <v>878</v>
      </c>
      <c r="H34" s="494">
        <v>2958465</v>
      </c>
      <c r="I34" s="494">
        <v>40179</v>
      </c>
      <c r="J34" s="493" t="s">
        <v>1008</v>
      </c>
      <c r="K34" s="493" t="s">
        <v>879</v>
      </c>
      <c r="L34" s="493" t="s">
        <v>899</v>
      </c>
      <c r="M34" s="493" t="s">
        <v>1006</v>
      </c>
      <c r="N34" s="493" t="s">
        <v>901</v>
      </c>
    </row>
    <row r="35" spans="1:14" x14ac:dyDescent="0.25">
      <c r="A35" s="493" t="s">
        <v>1009</v>
      </c>
      <c r="B35" s="493" t="s">
        <v>1010</v>
      </c>
      <c r="C35" s="493" t="s">
        <v>1005</v>
      </c>
      <c r="D35" s="493" t="s">
        <v>876</v>
      </c>
      <c r="E35" s="493" t="s">
        <v>897</v>
      </c>
      <c r="F35" s="493" t="s">
        <v>636</v>
      </c>
      <c r="G35" s="493" t="s">
        <v>878</v>
      </c>
      <c r="H35" s="494">
        <v>2958465</v>
      </c>
      <c r="I35" s="494">
        <v>40179</v>
      </c>
      <c r="J35" s="493" t="s">
        <v>1010</v>
      </c>
      <c r="K35" s="493" t="s">
        <v>879</v>
      </c>
      <c r="L35" s="493" t="s">
        <v>899</v>
      </c>
      <c r="M35" s="493" t="s">
        <v>1006</v>
      </c>
      <c r="N35" s="493" t="s">
        <v>901</v>
      </c>
    </row>
    <row r="36" spans="1:14" x14ac:dyDescent="0.25">
      <c r="A36" s="493" t="s">
        <v>1011</v>
      </c>
      <c r="B36" s="493" t="s">
        <v>1012</v>
      </c>
      <c r="C36" s="493" t="s">
        <v>1013</v>
      </c>
      <c r="D36" s="493" t="s">
        <v>876</v>
      </c>
      <c r="E36" s="493" t="s">
        <v>897</v>
      </c>
      <c r="F36" s="493" t="s">
        <v>636</v>
      </c>
      <c r="G36" s="493" t="s">
        <v>878</v>
      </c>
      <c r="H36" s="494">
        <v>2958465</v>
      </c>
      <c r="I36" s="494">
        <v>40179</v>
      </c>
      <c r="J36" s="493" t="s">
        <v>1012</v>
      </c>
      <c r="K36" s="493" t="s">
        <v>879</v>
      </c>
      <c r="L36" s="493" t="s">
        <v>899</v>
      </c>
      <c r="M36" s="493" t="s">
        <v>1014</v>
      </c>
      <c r="N36" s="493" t="s">
        <v>901</v>
      </c>
    </row>
    <row r="37" spans="1:14" x14ac:dyDescent="0.25">
      <c r="A37" s="493" t="s">
        <v>1015</v>
      </c>
      <c r="B37" s="493" t="s">
        <v>1016</v>
      </c>
      <c r="C37" s="493" t="s">
        <v>1013</v>
      </c>
      <c r="D37" s="493" t="s">
        <v>876</v>
      </c>
      <c r="E37" s="493" t="s">
        <v>897</v>
      </c>
      <c r="F37" s="493" t="s">
        <v>636</v>
      </c>
      <c r="G37" s="493" t="s">
        <v>878</v>
      </c>
      <c r="H37" s="494">
        <v>2958465</v>
      </c>
      <c r="I37" s="494">
        <v>40179</v>
      </c>
      <c r="J37" s="493" t="s">
        <v>1016</v>
      </c>
      <c r="K37" s="493" t="s">
        <v>879</v>
      </c>
      <c r="L37" s="493" t="s">
        <v>899</v>
      </c>
      <c r="M37" s="493" t="s">
        <v>1014</v>
      </c>
      <c r="N37" s="493" t="s">
        <v>901</v>
      </c>
    </row>
    <row r="38" spans="1:14" x14ac:dyDescent="0.25">
      <c r="A38" s="493" t="s">
        <v>1017</v>
      </c>
      <c r="B38" s="493" t="s">
        <v>1018</v>
      </c>
      <c r="C38" s="493" t="s">
        <v>1019</v>
      </c>
      <c r="D38" s="493" t="s">
        <v>876</v>
      </c>
      <c r="E38" s="493" t="s">
        <v>897</v>
      </c>
      <c r="F38" s="493" t="s">
        <v>636</v>
      </c>
      <c r="G38" s="493" t="s">
        <v>878</v>
      </c>
      <c r="H38" s="494">
        <v>2958465</v>
      </c>
      <c r="I38" s="494">
        <v>40179</v>
      </c>
      <c r="J38" s="493" t="s">
        <v>1018</v>
      </c>
      <c r="K38" s="493" t="s">
        <v>879</v>
      </c>
      <c r="L38" s="493" t="s">
        <v>966</v>
      </c>
      <c r="M38" s="493" t="s">
        <v>1020</v>
      </c>
      <c r="N38" s="493" t="s">
        <v>901</v>
      </c>
    </row>
    <row r="39" spans="1:14" x14ac:dyDescent="0.25">
      <c r="A39" s="493" t="s">
        <v>1021</v>
      </c>
      <c r="B39" s="493" t="s">
        <v>1022</v>
      </c>
      <c r="C39" s="493" t="s">
        <v>183</v>
      </c>
      <c r="D39" s="493" t="s">
        <v>876</v>
      </c>
      <c r="E39" s="493" t="s">
        <v>569</v>
      </c>
      <c r="F39" s="493" t="s">
        <v>636</v>
      </c>
      <c r="G39" s="493" t="s">
        <v>878</v>
      </c>
      <c r="H39" s="494">
        <v>2958465</v>
      </c>
      <c r="I39" s="494">
        <v>40179</v>
      </c>
      <c r="J39" s="493" t="s">
        <v>1022</v>
      </c>
      <c r="K39" s="493" t="s">
        <v>879</v>
      </c>
      <c r="L39" s="493" t="s">
        <v>880</v>
      </c>
      <c r="M39" s="493" t="s">
        <v>1023</v>
      </c>
      <c r="N39" s="493" t="s">
        <v>1024</v>
      </c>
    </row>
    <row r="40" spans="1:14" x14ac:dyDescent="0.25">
      <c r="A40" s="493" t="s">
        <v>1025</v>
      </c>
      <c r="B40" s="493" t="s">
        <v>1026</v>
      </c>
      <c r="C40" s="493" t="s">
        <v>885</v>
      </c>
      <c r="D40" s="493" t="s">
        <v>876</v>
      </c>
      <c r="E40" s="493" t="s">
        <v>910</v>
      </c>
      <c r="F40" s="493" t="s">
        <v>636</v>
      </c>
      <c r="G40" s="493" t="s">
        <v>878</v>
      </c>
      <c r="H40" s="494">
        <v>2958465</v>
      </c>
      <c r="I40" s="494">
        <v>40179</v>
      </c>
      <c r="J40" s="493" t="s">
        <v>1027</v>
      </c>
      <c r="K40" s="493" t="s">
        <v>879</v>
      </c>
      <c r="L40" s="493" t="s">
        <v>899</v>
      </c>
      <c r="M40" s="493" t="s">
        <v>962</v>
      </c>
      <c r="N40" s="493" t="s">
        <v>913</v>
      </c>
    </row>
    <row r="41" spans="1:14" x14ac:dyDescent="0.25">
      <c r="A41" s="493" t="s">
        <v>1028</v>
      </c>
      <c r="B41" s="493" t="s">
        <v>1029</v>
      </c>
      <c r="C41" s="493" t="s">
        <v>1030</v>
      </c>
      <c r="D41" s="493" t="s">
        <v>876</v>
      </c>
      <c r="E41" s="493" t="s">
        <v>897</v>
      </c>
      <c r="F41" s="493" t="s">
        <v>636</v>
      </c>
      <c r="G41" s="493" t="s">
        <v>878</v>
      </c>
      <c r="H41" s="494">
        <v>2958465</v>
      </c>
      <c r="I41" s="494">
        <v>40179</v>
      </c>
      <c r="J41" s="493" t="s">
        <v>1029</v>
      </c>
      <c r="K41" s="493" t="s">
        <v>879</v>
      </c>
      <c r="L41" s="493" t="s">
        <v>899</v>
      </c>
      <c r="M41" s="493" t="s">
        <v>889</v>
      </c>
      <c r="N41" s="493" t="s">
        <v>901</v>
      </c>
    </row>
    <row r="42" spans="1:14" x14ac:dyDescent="0.25">
      <c r="A42" s="493" t="s">
        <v>1031</v>
      </c>
      <c r="B42" s="493" t="s">
        <v>1032</v>
      </c>
      <c r="C42" s="493" t="s">
        <v>1033</v>
      </c>
      <c r="D42" s="493" t="s">
        <v>876</v>
      </c>
      <c r="E42" s="493" t="s">
        <v>897</v>
      </c>
      <c r="F42" s="493" t="s">
        <v>636</v>
      </c>
      <c r="G42" s="493" t="s">
        <v>878</v>
      </c>
      <c r="H42" s="494">
        <v>2958465</v>
      </c>
      <c r="I42" s="494">
        <v>40179</v>
      </c>
      <c r="J42" s="493" t="s">
        <v>1032</v>
      </c>
      <c r="K42" s="493" t="s">
        <v>879</v>
      </c>
      <c r="L42" s="493" t="s">
        <v>899</v>
      </c>
      <c r="M42" s="493" t="s">
        <v>1034</v>
      </c>
      <c r="N42" s="493" t="s">
        <v>901</v>
      </c>
    </row>
    <row r="43" spans="1:14" x14ac:dyDescent="0.25">
      <c r="A43" s="493" t="s">
        <v>1035</v>
      </c>
      <c r="B43" s="493" t="s">
        <v>1036</v>
      </c>
      <c r="C43" s="493" t="s">
        <v>985</v>
      </c>
      <c r="D43" s="493" t="s">
        <v>876</v>
      </c>
      <c r="E43" s="493" t="s">
        <v>897</v>
      </c>
      <c r="F43" s="493" t="s">
        <v>636</v>
      </c>
      <c r="G43" s="493" t="s">
        <v>878</v>
      </c>
      <c r="H43" s="494">
        <v>2958465</v>
      </c>
      <c r="I43" s="494">
        <v>40179</v>
      </c>
      <c r="J43" s="493" t="s">
        <v>1037</v>
      </c>
      <c r="K43" s="493" t="s">
        <v>879</v>
      </c>
      <c r="L43" s="493" t="s">
        <v>966</v>
      </c>
      <c r="M43" s="493" t="s">
        <v>1038</v>
      </c>
      <c r="N43" s="493" t="s">
        <v>901</v>
      </c>
    </row>
    <row r="44" spans="1:14" x14ac:dyDescent="0.25">
      <c r="A44" s="493" t="s">
        <v>1039</v>
      </c>
      <c r="B44" s="493" t="s">
        <v>1040</v>
      </c>
      <c r="C44" s="493" t="s">
        <v>1033</v>
      </c>
      <c r="D44" s="493" t="s">
        <v>876</v>
      </c>
      <c r="E44" s="493" t="s">
        <v>897</v>
      </c>
      <c r="F44" s="493" t="s">
        <v>636</v>
      </c>
      <c r="G44" s="493" t="s">
        <v>878</v>
      </c>
      <c r="H44" s="494">
        <v>2958465</v>
      </c>
      <c r="I44" s="494">
        <v>40179</v>
      </c>
      <c r="J44" s="493" t="s">
        <v>1040</v>
      </c>
      <c r="K44" s="493" t="s">
        <v>879</v>
      </c>
      <c r="L44" s="493" t="s">
        <v>899</v>
      </c>
      <c r="M44" s="493" t="s">
        <v>1034</v>
      </c>
      <c r="N44" s="493" t="s">
        <v>901</v>
      </c>
    </row>
    <row r="45" spans="1:14" x14ac:dyDescent="0.25">
      <c r="A45" s="493" t="s">
        <v>1041</v>
      </c>
      <c r="B45" s="493" t="s">
        <v>1042</v>
      </c>
      <c r="C45" s="493" t="s">
        <v>885</v>
      </c>
      <c r="D45" s="493" t="s">
        <v>876</v>
      </c>
      <c r="E45" s="493" t="s">
        <v>897</v>
      </c>
      <c r="F45" s="493" t="s">
        <v>636</v>
      </c>
      <c r="G45" s="493" t="s">
        <v>878</v>
      </c>
      <c r="H45" s="494">
        <v>2958465</v>
      </c>
      <c r="I45" s="494">
        <v>40179</v>
      </c>
      <c r="J45" s="493" t="s">
        <v>1042</v>
      </c>
      <c r="K45" s="493" t="s">
        <v>879</v>
      </c>
      <c r="L45" s="493" t="s">
        <v>899</v>
      </c>
      <c r="M45" s="493" t="s">
        <v>889</v>
      </c>
      <c r="N45" s="493" t="s">
        <v>901</v>
      </c>
    </row>
    <row r="46" spans="1:14" x14ac:dyDescent="0.25">
      <c r="A46" s="493" t="s">
        <v>1043</v>
      </c>
      <c r="B46" s="493" t="s">
        <v>1044</v>
      </c>
      <c r="C46" s="493" t="s">
        <v>183</v>
      </c>
      <c r="D46" s="493" t="s">
        <v>876</v>
      </c>
      <c r="E46" s="493" t="s">
        <v>897</v>
      </c>
      <c r="F46" s="493" t="s">
        <v>636</v>
      </c>
      <c r="G46" s="493" t="s">
        <v>878</v>
      </c>
      <c r="H46" s="494">
        <v>2958465</v>
      </c>
      <c r="I46" s="494">
        <v>40179</v>
      </c>
      <c r="J46" s="493" t="s">
        <v>1044</v>
      </c>
      <c r="K46" s="493" t="s">
        <v>879</v>
      </c>
      <c r="L46" s="493" t="s">
        <v>899</v>
      </c>
      <c r="M46" s="493" t="s">
        <v>1045</v>
      </c>
      <c r="N46" s="493" t="s">
        <v>901</v>
      </c>
    </row>
    <row r="47" spans="1:14" x14ac:dyDescent="0.25">
      <c r="A47" s="493" t="s">
        <v>1046</v>
      </c>
      <c r="B47" s="493" t="s">
        <v>1047</v>
      </c>
      <c r="C47" s="493" t="s">
        <v>1005</v>
      </c>
      <c r="D47" s="493" t="s">
        <v>876</v>
      </c>
      <c r="E47" s="493" t="s">
        <v>897</v>
      </c>
      <c r="F47" s="493" t="s">
        <v>636</v>
      </c>
      <c r="G47" s="493" t="s">
        <v>878</v>
      </c>
      <c r="H47" s="494">
        <v>2958465</v>
      </c>
      <c r="I47" s="494">
        <v>40179</v>
      </c>
      <c r="J47" s="493" t="s">
        <v>1047</v>
      </c>
      <c r="K47" s="493" t="s">
        <v>879</v>
      </c>
      <c r="L47" s="493" t="s">
        <v>899</v>
      </c>
      <c r="M47" s="493" t="s">
        <v>1006</v>
      </c>
      <c r="N47" s="493" t="s">
        <v>901</v>
      </c>
    </row>
    <row r="48" spans="1:14" x14ac:dyDescent="0.25">
      <c r="A48" s="493" t="s">
        <v>1048</v>
      </c>
      <c r="B48" s="493" t="s">
        <v>1044</v>
      </c>
      <c r="C48" s="493" t="s">
        <v>183</v>
      </c>
      <c r="D48" s="493" t="s">
        <v>876</v>
      </c>
      <c r="E48" s="493" t="s">
        <v>897</v>
      </c>
      <c r="F48" s="493" t="s">
        <v>636</v>
      </c>
      <c r="G48" s="493" t="s">
        <v>878</v>
      </c>
      <c r="H48" s="494">
        <v>2958465</v>
      </c>
      <c r="I48" s="494">
        <v>40179</v>
      </c>
      <c r="J48" s="493" t="s">
        <v>1044</v>
      </c>
      <c r="K48" s="493" t="s">
        <v>879</v>
      </c>
      <c r="L48" s="493" t="s">
        <v>899</v>
      </c>
      <c r="M48" s="493" t="s">
        <v>1045</v>
      </c>
      <c r="N48" s="493" t="s">
        <v>901</v>
      </c>
    </row>
    <row r="49" spans="1:14" x14ac:dyDescent="0.25">
      <c r="A49" s="493" t="s">
        <v>1049</v>
      </c>
      <c r="B49" s="493" t="s">
        <v>1044</v>
      </c>
      <c r="C49" s="493" t="s">
        <v>183</v>
      </c>
      <c r="D49" s="493" t="s">
        <v>876</v>
      </c>
      <c r="E49" s="493" t="s">
        <v>897</v>
      </c>
      <c r="F49" s="493" t="s">
        <v>636</v>
      </c>
      <c r="G49" s="493" t="s">
        <v>878</v>
      </c>
      <c r="H49" s="494">
        <v>2958465</v>
      </c>
      <c r="I49" s="494">
        <v>40179</v>
      </c>
      <c r="J49" s="493" t="s">
        <v>1044</v>
      </c>
      <c r="K49" s="493" t="s">
        <v>879</v>
      </c>
      <c r="L49" s="493" t="s">
        <v>899</v>
      </c>
      <c r="M49" s="493" t="s">
        <v>1045</v>
      </c>
      <c r="N49" s="493" t="s">
        <v>901</v>
      </c>
    </row>
    <row r="50" spans="1:14" x14ac:dyDescent="0.25">
      <c r="A50" s="493" t="s">
        <v>1050</v>
      </c>
      <c r="B50" s="493" t="s">
        <v>1051</v>
      </c>
      <c r="C50" s="493" t="s">
        <v>183</v>
      </c>
      <c r="D50" s="493" t="s">
        <v>876</v>
      </c>
      <c r="E50" s="493" t="s">
        <v>910</v>
      </c>
      <c r="F50" s="493" t="s">
        <v>636</v>
      </c>
      <c r="G50" s="493" t="s">
        <v>878</v>
      </c>
      <c r="H50" s="494">
        <v>2958465</v>
      </c>
      <c r="I50" s="494">
        <v>40179</v>
      </c>
      <c r="J50" s="493" t="s">
        <v>1052</v>
      </c>
      <c r="K50" s="493" t="s">
        <v>879</v>
      </c>
      <c r="L50" s="493" t="s">
        <v>899</v>
      </c>
      <c r="M50" s="493" t="s">
        <v>1053</v>
      </c>
      <c r="N50" s="493" t="s">
        <v>913</v>
      </c>
    </row>
    <row r="51" spans="1:14" x14ac:dyDescent="0.25">
      <c r="A51" s="493" t="s">
        <v>1054</v>
      </c>
      <c r="B51" s="493" t="s">
        <v>1055</v>
      </c>
      <c r="C51" s="493" t="s">
        <v>1056</v>
      </c>
      <c r="D51" s="493" t="s">
        <v>876</v>
      </c>
      <c r="E51" s="493" t="s">
        <v>917</v>
      </c>
      <c r="F51" s="493" t="s">
        <v>636</v>
      </c>
      <c r="G51" s="493" t="s">
        <v>878</v>
      </c>
      <c r="H51" s="494">
        <v>2958465</v>
      </c>
      <c r="I51" s="494">
        <v>40179</v>
      </c>
      <c r="J51" s="493" t="s">
        <v>1057</v>
      </c>
      <c r="K51" s="493" t="s">
        <v>879</v>
      </c>
      <c r="L51" s="493" t="s">
        <v>899</v>
      </c>
      <c r="M51" s="493" t="s">
        <v>1058</v>
      </c>
      <c r="N51" s="493" t="s">
        <v>919</v>
      </c>
    </row>
    <row r="52" spans="1:14" x14ac:dyDescent="0.25">
      <c r="A52" s="493" t="s">
        <v>1059</v>
      </c>
      <c r="B52" s="493" t="s">
        <v>1060</v>
      </c>
      <c r="C52" s="493" t="s">
        <v>183</v>
      </c>
      <c r="D52" s="493" t="s">
        <v>876</v>
      </c>
      <c r="E52" s="493" t="s">
        <v>917</v>
      </c>
      <c r="F52" s="493" t="s">
        <v>636</v>
      </c>
      <c r="G52" s="493" t="s">
        <v>878</v>
      </c>
      <c r="H52" s="494">
        <v>2958465</v>
      </c>
      <c r="I52" s="494">
        <v>40179</v>
      </c>
      <c r="J52" s="493" t="s">
        <v>1061</v>
      </c>
      <c r="K52" s="493" t="s">
        <v>879</v>
      </c>
      <c r="L52" s="493" t="s">
        <v>899</v>
      </c>
      <c r="M52" s="493" t="s">
        <v>1062</v>
      </c>
      <c r="N52" s="493" t="s">
        <v>919</v>
      </c>
    </row>
    <row r="53" spans="1:14" x14ac:dyDescent="0.25">
      <c r="A53" s="493" t="s">
        <v>1063</v>
      </c>
      <c r="B53" s="493" t="s">
        <v>1064</v>
      </c>
      <c r="C53" s="493" t="s">
        <v>1056</v>
      </c>
      <c r="D53" s="493" t="s">
        <v>876</v>
      </c>
      <c r="E53" s="493" t="s">
        <v>917</v>
      </c>
      <c r="F53" s="493" t="s">
        <v>636</v>
      </c>
      <c r="G53" s="493" t="s">
        <v>878</v>
      </c>
      <c r="H53" s="494">
        <v>2958465</v>
      </c>
      <c r="I53" s="494">
        <v>40179</v>
      </c>
      <c r="J53" s="493" t="s">
        <v>1064</v>
      </c>
      <c r="K53" s="493" t="s">
        <v>879</v>
      </c>
      <c r="L53" s="493" t="s">
        <v>899</v>
      </c>
      <c r="M53" s="493" t="s">
        <v>1058</v>
      </c>
      <c r="N53" s="493" t="s">
        <v>919</v>
      </c>
    </row>
    <row r="54" spans="1:14" x14ac:dyDescent="0.25">
      <c r="A54" s="493" t="s">
        <v>1065</v>
      </c>
      <c r="B54" s="493" t="s">
        <v>1066</v>
      </c>
      <c r="C54" s="493" t="s">
        <v>875</v>
      </c>
      <c r="D54" s="493" t="s">
        <v>876</v>
      </c>
      <c r="E54" s="493" t="s">
        <v>897</v>
      </c>
      <c r="F54" s="493" t="s">
        <v>636</v>
      </c>
      <c r="G54" s="493" t="s">
        <v>878</v>
      </c>
      <c r="H54" s="494">
        <v>2958465</v>
      </c>
      <c r="I54" s="494">
        <v>40179</v>
      </c>
      <c r="J54" s="493" t="s">
        <v>1067</v>
      </c>
      <c r="K54" s="493" t="s">
        <v>879</v>
      </c>
      <c r="L54" s="493" t="s">
        <v>899</v>
      </c>
      <c r="M54" s="493" t="s">
        <v>900</v>
      </c>
      <c r="N54" s="493" t="s">
        <v>901</v>
      </c>
    </row>
    <row r="55" spans="1:14" x14ac:dyDescent="0.25">
      <c r="A55" s="493" t="s">
        <v>1068</v>
      </c>
      <c r="B55" s="493" t="s">
        <v>1069</v>
      </c>
      <c r="C55" s="493" t="s">
        <v>1070</v>
      </c>
      <c r="D55" s="493" t="s">
        <v>876</v>
      </c>
      <c r="E55" s="493" t="s">
        <v>897</v>
      </c>
      <c r="F55" s="493" t="s">
        <v>636</v>
      </c>
      <c r="G55" s="493" t="s">
        <v>878</v>
      </c>
      <c r="H55" s="494">
        <v>2958465</v>
      </c>
      <c r="I55" s="494">
        <v>40179</v>
      </c>
      <c r="J55" s="493" t="s">
        <v>1069</v>
      </c>
      <c r="K55" s="493" t="s">
        <v>879</v>
      </c>
      <c r="L55" s="493" t="s">
        <v>899</v>
      </c>
      <c r="M55" s="493" t="s">
        <v>1071</v>
      </c>
      <c r="N55" s="493" t="s">
        <v>901</v>
      </c>
    </row>
    <row r="56" spans="1:14" x14ac:dyDescent="0.25">
      <c r="A56" s="493" t="s">
        <v>1072</v>
      </c>
      <c r="B56" s="493" t="s">
        <v>1073</v>
      </c>
      <c r="C56" s="493" t="s">
        <v>885</v>
      </c>
      <c r="D56" s="493" t="s">
        <v>876</v>
      </c>
      <c r="E56" s="493" t="s">
        <v>917</v>
      </c>
      <c r="F56" s="493" t="s">
        <v>636</v>
      </c>
      <c r="G56" s="493" t="s">
        <v>878</v>
      </c>
      <c r="H56" s="494">
        <v>2958465</v>
      </c>
      <c r="I56" s="494">
        <v>40179</v>
      </c>
      <c r="J56" s="493" t="s">
        <v>1074</v>
      </c>
      <c r="K56" s="493" t="s">
        <v>879</v>
      </c>
      <c r="L56" s="493" t="s">
        <v>899</v>
      </c>
      <c r="M56" s="493" t="s">
        <v>1075</v>
      </c>
      <c r="N56" s="493" t="s">
        <v>919</v>
      </c>
    </row>
    <row r="57" spans="1:14" x14ac:dyDescent="0.25">
      <c r="A57" s="493" t="s">
        <v>1076</v>
      </c>
      <c r="B57" s="493" t="s">
        <v>1077</v>
      </c>
      <c r="C57" s="493" t="s">
        <v>1078</v>
      </c>
      <c r="D57" s="493" t="s">
        <v>876</v>
      </c>
      <c r="E57" s="493" t="s">
        <v>897</v>
      </c>
      <c r="F57" s="493" t="s">
        <v>636</v>
      </c>
      <c r="G57" s="493" t="s">
        <v>878</v>
      </c>
      <c r="H57" s="494">
        <v>2958465</v>
      </c>
      <c r="I57" s="494">
        <v>40179</v>
      </c>
      <c r="J57" s="493" t="s">
        <v>1079</v>
      </c>
      <c r="K57" s="493" t="s">
        <v>879</v>
      </c>
      <c r="L57" s="493" t="s">
        <v>899</v>
      </c>
      <c r="M57" s="493" t="s">
        <v>1080</v>
      </c>
      <c r="N57" s="493" t="s">
        <v>901</v>
      </c>
    </row>
    <row r="58" spans="1:14" x14ac:dyDescent="0.25">
      <c r="A58" s="493" t="s">
        <v>1081</v>
      </c>
      <c r="B58" s="493" t="s">
        <v>1082</v>
      </c>
      <c r="C58" s="493" t="s">
        <v>1033</v>
      </c>
      <c r="D58" s="493" t="s">
        <v>876</v>
      </c>
      <c r="E58" s="493" t="s">
        <v>897</v>
      </c>
      <c r="F58" s="493" t="s">
        <v>636</v>
      </c>
      <c r="G58" s="493" t="s">
        <v>878</v>
      </c>
      <c r="H58" s="494">
        <v>2958465</v>
      </c>
      <c r="I58" s="494">
        <v>40179</v>
      </c>
      <c r="J58" s="493" t="s">
        <v>1083</v>
      </c>
      <c r="K58" s="493" t="s">
        <v>879</v>
      </c>
      <c r="L58" s="493" t="s">
        <v>899</v>
      </c>
      <c r="M58" s="493" t="s">
        <v>1034</v>
      </c>
      <c r="N58" s="493" t="s">
        <v>901</v>
      </c>
    </row>
    <row r="59" spans="1:14" x14ac:dyDescent="0.25">
      <c r="A59" s="493" t="s">
        <v>1084</v>
      </c>
      <c r="B59" s="493" t="s">
        <v>1044</v>
      </c>
      <c r="C59" s="493" t="s">
        <v>183</v>
      </c>
      <c r="D59" s="493" t="s">
        <v>876</v>
      </c>
      <c r="E59" s="493" t="s">
        <v>897</v>
      </c>
      <c r="F59" s="493" t="s">
        <v>636</v>
      </c>
      <c r="G59" s="493" t="s">
        <v>878</v>
      </c>
      <c r="H59" s="494">
        <v>2958465</v>
      </c>
      <c r="I59" s="494">
        <v>40179</v>
      </c>
      <c r="J59" s="493" t="s">
        <v>1044</v>
      </c>
      <c r="K59" s="493" t="s">
        <v>879</v>
      </c>
      <c r="L59" s="493" t="s">
        <v>899</v>
      </c>
      <c r="M59" s="493" t="s">
        <v>1045</v>
      </c>
      <c r="N59" s="493" t="s">
        <v>901</v>
      </c>
    </row>
    <row r="60" spans="1:14" x14ac:dyDescent="0.25">
      <c r="A60" s="493" t="s">
        <v>1085</v>
      </c>
      <c r="B60" s="493" t="s">
        <v>1086</v>
      </c>
      <c r="C60" s="493" t="s">
        <v>1005</v>
      </c>
      <c r="D60" s="493" t="s">
        <v>876</v>
      </c>
      <c r="E60" s="493" t="s">
        <v>897</v>
      </c>
      <c r="F60" s="493" t="s">
        <v>636</v>
      </c>
      <c r="G60" s="493" t="s">
        <v>878</v>
      </c>
      <c r="H60" s="494">
        <v>2958465</v>
      </c>
      <c r="I60" s="494">
        <v>40179</v>
      </c>
      <c r="J60" s="493" t="s">
        <v>1086</v>
      </c>
      <c r="K60" s="493" t="s">
        <v>879</v>
      </c>
      <c r="L60" s="493" t="s">
        <v>899</v>
      </c>
      <c r="M60" s="493" t="s">
        <v>1006</v>
      </c>
      <c r="N60" s="493" t="s">
        <v>901</v>
      </c>
    </row>
    <row r="61" spans="1:14" x14ac:dyDescent="0.25">
      <c r="A61" s="493" t="s">
        <v>1087</v>
      </c>
      <c r="B61" s="493" t="s">
        <v>1088</v>
      </c>
      <c r="C61" s="493" t="s">
        <v>1089</v>
      </c>
      <c r="D61" s="493" t="s">
        <v>876</v>
      </c>
      <c r="E61" s="493" t="s">
        <v>897</v>
      </c>
      <c r="F61" s="493" t="s">
        <v>636</v>
      </c>
      <c r="G61" s="493" t="s">
        <v>878</v>
      </c>
      <c r="H61" s="494">
        <v>2958465</v>
      </c>
      <c r="I61" s="494">
        <v>40179</v>
      </c>
      <c r="J61" s="493" t="s">
        <v>1090</v>
      </c>
      <c r="K61" s="493" t="s">
        <v>879</v>
      </c>
      <c r="L61" s="493" t="s">
        <v>966</v>
      </c>
      <c r="M61" s="493" t="s">
        <v>1091</v>
      </c>
      <c r="N61" s="493" t="s">
        <v>901</v>
      </c>
    </row>
    <row r="62" spans="1:14" x14ac:dyDescent="0.25">
      <c r="A62" s="493" t="s">
        <v>1092</v>
      </c>
      <c r="B62" s="493" t="s">
        <v>1093</v>
      </c>
      <c r="C62" s="493" t="s">
        <v>1094</v>
      </c>
      <c r="D62" s="493" t="s">
        <v>876</v>
      </c>
      <c r="E62" s="493" t="s">
        <v>897</v>
      </c>
      <c r="F62" s="493" t="s">
        <v>636</v>
      </c>
      <c r="G62" s="493" t="s">
        <v>878</v>
      </c>
      <c r="H62" s="494">
        <v>2958465</v>
      </c>
      <c r="I62" s="494">
        <v>40179</v>
      </c>
      <c r="J62" s="493" t="s">
        <v>1093</v>
      </c>
      <c r="K62" s="493" t="s">
        <v>879</v>
      </c>
      <c r="L62" s="493" t="s">
        <v>966</v>
      </c>
      <c r="M62" s="493" t="s">
        <v>1095</v>
      </c>
      <c r="N62" s="493" t="s">
        <v>901</v>
      </c>
    </row>
    <row r="63" spans="1:14" x14ac:dyDescent="0.25">
      <c r="A63" s="493" t="s">
        <v>1096</v>
      </c>
      <c r="B63" s="493" t="s">
        <v>1097</v>
      </c>
      <c r="C63" s="493" t="s">
        <v>1098</v>
      </c>
      <c r="D63" s="493" t="s">
        <v>876</v>
      </c>
      <c r="E63" s="493" t="s">
        <v>897</v>
      </c>
      <c r="F63" s="493" t="s">
        <v>636</v>
      </c>
      <c r="G63" s="493" t="s">
        <v>878</v>
      </c>
      <c r="H63" s="494">
        <v>2958465</v>
      </c>
      <c r="I63" s="494">
        <v>40179</v>
      </c>
      <c r="J63" s="493" t="s">
        <v>1097</v>
      </c>
      <c r="K63" s="493" t="s">
        <v>879</v>
      </c>
      <c r="L63" s="493" t="s">
        <v>966</v>
      </c>
      <c r="M63" s="493" t="s">
        <v>1099</v>
      </c>
      <c r="N63" s="493" t="s">
        <v>901</v>
      </c>
    </row>
    <row r="64" spans="1:14" x14ac:dyDescent="0.25">
      <c r="A64" s="493" t="s">
        <v>1100</v>
      </c>
      <c r="B64" s="493" t="s">
        <v>1101</v>
      </c>
      <c r="C64" s="493" t="s">
        <v>1102</v>
      </c>
      <c r="D64" s="493" t="s">
        <v>876</v>
      </c>
      <c r="E64" s="493" t="s">
        <v>897</v>
      </c>
      <c r="F64" s="493" t="s">
        <v>636</v>
      </c>
      <c r="G64" s="493" t="s">
        <v>878</v>
      </c>
      <c r="H64" s="494">
        <v>2958465</v>
      </c>
      <c r="I64" s="494">
        <v>40179</v>
      </c>
      <c r="J64" s="493" t="s">
        <v>1101</v>
      </c>
      <c r="K64" s="493" t="s">
        <v>879</v>
      </c>
      <c r="L64" s="493" t="s">
        <v>966</v>
      </c>
      <c r="M64" s="493" t="s">
        <v>1103</v>
      </c>
      <c r="N64" s="493" t="s">
        <v>901</v>
      </c>
    </row>
    <row r="65" spans="1:14" x14ac:dyDescent="0.25">
      <c r="A65" s="493" t="s">
        <v>1104</v>
      </c>
      <c r="B65" s="493" t="s">
        <v>1105</v>
      </c>
      <c r="C65" s="493" t="s">
        <v>1106</v>
      </c>
      <c r="D65" s="493" t="s">
        <v>876</v>
      </c>
      <c r="E65" s="493" t="s">
        <v>897</v>
      </c>
      <c r="F65" s="493" t="s">
        <v>636</v>
      </c>
      <c r="G65" s="493" t="s">
        <v>878</v>
      </c>
      <c r="H65" s="494">
        <v>2958465</v>
      </c>
      <c r="I65" s="494">
        <v>40179</v>
      </c>
      <c r="J65" s="493" t="s">
        <v>1107</v>
      </c>
      <c r="K65" s="493" t="s">
        <v>879</v>
      </c>
      <c r="L65" s="493" t="s">
        <v>899</v>
      </c>
      <c r="M65" s="493" t="s">
        <v>1108</v>
      </c>
      <c r="N65" s="493" t="s">
        <v>901</v>
      </c>
    </row>
    <row r="66" spans="1:14" x14ac:dyDescent="0.25">
      <c r="A66" s="493" t="s">
        <v>1109</v>
      </c>
      <c r="B66" s="493" t="s">
        <v>1110</v>
      </c>
      <c r="C66" s="493" t="s">
        <v>1005</v>
      </c>
      <c r="D66" s="493" t="s">
        <v>876</v>
      </c>
      <c r="E66" s="493" t="s">
        <v>897</v>
      </c>
      <c r="F66" s="493" t="s">
        <v>636</v>
      </c>
      <c r="G66" s="493" t="s">
        <v>878</v>
      </c>
      <c r="H66" s="494">
        <v>2958465</v>
      </c>
      <c r="I66" s="494">
        <v>40179</v>
      </c>
      <c r="J66" s="493" t="s">
        <v>1110</v>
      </c>
      <c r="K66" s="493" t="s">
        <v>879</v>
      </c>
      <c r="L66" s="493" t="s">
        <v>899</v>
      </c>
      <c r="M66" s="493" t="s">
        <v>1006</v>
      </c>
      <c r="N66" s="493" t="s">
        <v>901</v>
      </c>
    </row>
    <row r="67" spans="1:14" x14ac:dyDescent="0.25">
      <c r="A67" s="493" t="s">
        <v>1111</v>
      </c>
      <c r="B67" s="493" t="s">
        <v>1112</v>
      </c>
      <c r="C67" s="493" t="s">
        <v>1113</v>
      </c>
      <c r="D67" s="493" t="s">
        <v>876</v>
      </c>
      <c r="E67" s="493" t="s">
        <v>897</v>
      </c>
      <c r="F67" s="493" t="s">
        <v>636</v>
      </c>
      <c r="G67" s="493" t="s">
        <v>878</v>
      </c>
      <c r="H67" s="494">
        <v>2958465</v>
      </c>
      <c r="I67" s="494">
        <v>40179</v>
      </c>
      <c r="J67" s="493" t="s">
        <v>1114</v>
      </c>
      <c r="K67" s="493" t="s">
        <v>879</v>
      </c>
      <c r="L67" s="493" t="s">
        <v>966</v>
      </c>
      <c r="M67" s="493" t="s">
        <v>1115</v>
      </c>
      <c r="N67" s="493" t="s">
        <v>901</v>
      </c>
    </row>
    <row r="68" spans="1:14" x14ac:dyDescent="0.25">
      <c r="A68" s="493" t="s">
        <v>1116</v>
      </c>
      <c r="B68" s="493" t="s">
        <v>1117</v>
      </c>
      <c r="C68" s="493" t="s">
        <v>1118</v>
      </c>
      <c r="D68" s="493" t="s">
        <v>876</v>
      </c>
      <c r="E68" s="493" t="s">
        <v>897</v>
      </c>
      <c r="F68" s="493" t="s">
        <v>636</v>
      </c>
      <c r="G68" s="493" t="s">
        <v>878</v>
      </c>
      <c r="H68" s="494">
        <v>2958465</v>
      </c>
      <c r="I68" s="494">
        <v>40179</v>
      </c>
      <c r="J68" s="493" t="s">
        <v>1119</v>
      </c>
      <c r="K68" s="493" t="s">
        <v>879</v>
      </c>
      <c r="L68" s="493" t="s">
        <v>966</v>
      </c>
      <c r="M68" s="493" t="s">
        <v>1080</v>
      </c>
      <c r="N68" s="493" t="s">
        <v>901</v>
      </c>
    </row>
    <row r="69" spans="1:14" x14ac:dyDescent="0.25">
      <c r="A69" s="493" t="s">
        <v>1120</v>
      </c>
      <c r="B69" s="493" t="s">
        <v>1121</v>
      </c>
      <c r="C69" s="493" t="s">
        <v>1122</v>
      </c>
      <c r="D69" s="493" t="s">
        <v>876</v>
      </c>
      <c r="E69" s="493" t="s">
        <v>897</v>
      </c>
      <c r="F69" s="493" t="s">
        <v>636</v>
      </c>
      <c r="G69" s="493" t="s">
        <v>878</v>
      </c>
      <c r="H69" s="494">
        <v>2958465</v>
      </c>
      <c r="I69" s="494">
        <v>40179</v>
      </c>
      <c r="J69" s="493" t="s">
        <v>1123</v>
      </c>
      <c r="K69" s="493" t="s">
        <v>879</v>
      </c>
      <c r="L69" s="493" t="s">
        <v>966</v>
      </c>
      <c r="M69" s="493" t="s">
        <v>1124</v>
      </c>
      <c r="N69" s="493" t="s">
        <v>901</v>
      </c>
    </row>
    <row r="70" spans="1:14" x14ac:dyDescent="0.25">
      <c r="A70" s="493" t="s">
        <v>1125</v>
      </c>
      <c r="B70" s="493" t="s">
        <v>1126</v>
      </c>
      <c r="C70" s="493" t="s">
        <v>985</v>
      </c>
      <c r="D70" s="493" t="s">
        <v>876</v>
      </c>
      <c r="E70" s="493" t="s">
        <v>897</v>
      </c>
      <c r="F70" s="493" t="s">
        <v>636</v>
      </c>
      <c r="G70" s="493" t="s">
        <v>878</v>
      </c>
      <c r="H70" s="494">
        <v>2958465</v>
      </c>
      <c r="I70" s="494">
        <v>40179</v>
      </c>
      <c r="J70" s="493" t="s">
        <v>1126</v>
      </c>
      <c r="K70" s="493" t="s">
        <v>879</v>
      </c>
      <c r="L70" s="493" t="s">
        <v>966</v>
      </c>
      <c r="M70" s="493" t="s">
        <v>987</v>
      </c>
      <c r="N70" s="493" t="s">
        <v>901</v>
      </c>
    </row>
    <row r="71" spans="1:14" x14ac:dyDescent="0.25">
      <c r="A71" s="493" t="s">
        <v>1127</v>
      </c>
      <c r="B71" s="493" t="s">
        <v>1128</v>
      </c>
      <c r="C71" s="493" t="s">
        <v>978</v>
      </c>
      <c r="D71" s="493" t="s">
        <v>876</v>
      </c>
      <c r="E71" s="493" t="s">
        <v>897</v>
      </c>
      <c r="F71" s="493" t="s">
        <v>636</v>
      </c>
      <c r="G71" s="493" t="s">
        <v>878</v>
      </c>
      <c r="H71" s="494">
        <v>2958465</v>
      </c>
      <c r="I71" s="494">
        <v>40179</v>
      </c>
      <c r="J71" s="493" t="s">
        <v>1129</v>
      </c>
      <c r="K71" s="493" t="s">
        <v>879</v>
      </c>
      <c r="L71" s="493" t="s">
        <v>899</v>
      </c>
      <c r="M71" s="493" t="s">
        <v>975</v>
      </c>
      <c r="N71" s="493" t="s">
        <v>901</v>
      </c>
    </row>
    <row r="72" spans="1:14" x14ac:dyDescent="0.25">
      <c r="A72" s="493" t="s">
        <v>1130</v>
      </c>
      <c r="B72" s="493" t="s">
        <v>1044</v>
      </c>
      <c r="C72" s="493" t="s">
        <v>183</v>
      </c>
      <c r="D72" s="493" t="s">
        <v>876</v>
      </c>
      <c r="E72" s="493" t="s">
        <v>4</v>
      </c>
      <c r="F72" s="493" t="s">
        <v>636</v>
      </c>
      <c r="G72" s="493" t="s">
        <v>878</v>
      </c>
      <c r="H72" s="494">
        <v>2958465</v>
      </c>
      <c r="I72" s="494">
        <v>40179</v>
      </c>
      <c r="J72" s="493" t="s">
        <v>1044</v>
      </c>
      <c r="K72" s="493" t="s">
        <v>879</v>
      </c>
      <c r="L72" s="493" t="s">
        <v>899</v>
      </c>
      <c r="M72" s="493" t="s">
        <v>1045</v>
      </c>
      <c r="N72" s="493" t="s">
        <v>906</v>
      </c>
    </row>
    <row r="73" spans="1:14" x14ac:dyDescent="0.25">
      <c r="A73" s="493" t="s">
        <v>1131</v>
      </c>
      <c r="B73" s="493" t="s">
        <v>1132</v>
      </c>
      <c r="C73" s="493" t="s">
        <v>978</v>
      </c>
      <c r="D73" s="493" t="s">
        <v>876</v>
      </c>
      <c r="E73" s="493" t="s">
        <v>4</v>
      </c>
      <c r="F73" s="493" t="s">
        <v>636</v>
      </c>
      <c r="G73" s="493" t="s">
        <v>878</v>
      </c>
      <c r="H73" s="494">
        <v>2958465</v>
      </c>
      <c r="I73" s="494">
        <v>40179</v>
      </c>
      <c r="J73" s="493" t="s">
        <v>1133</v>
      </c>
      <c r="K73" s="493" t="s">
        <v>879</v>
      </c>
      <c r="L73" s="493" t="s">
        <v>899</v>
      </c>
      <c r="M73" s="493" t="s">
        <v>1134</v>
      </c>
      <c r="N73" s="493" t="s">
        <v>906</v>
      </c>
    </row>
    <row r="74" spans="1:14" x14ac:dyDescent="0.25">
      <c r="A74" s="493" t="s">
        <v>1135</v>
      </c>
      <c r="B74" s="493" t="s">
        <v>1136</v>
      </c>
      <c r="C74" s="493" t="s">
        <v>183</v>
      </c>
      <c r="D74" s="493" t="s">
        <v>876</v>
      </c>
      <c r="E74" s="493" t="s">
        <v>0</v>
      </c>
      <c r="F74" s="493" t="s">
        <v>636</v>
      </c>
      <c r="G74" s="493" t="s">
        <v>878</v>
      </c>
      <c r="H74" s="494">
        <v>2958465</v>
      </c>
      <c r="I74" s="494">
        <v>40179</v>
      </c>
      <c r="J74" s="493" t="s">
        <v>1137</v>
      </c>
      <c r="K74" s="493" t="s">
        <v>879</v>
      </c>
      <c r="L74" s="493" t="s">
        <v>1138</v>
      </c>
      <c r="M74" s="493" t="s">
        <v>1139</v>
      </c>
      <c r="N74" s="493" t="s">
        <v>1140</v>
      </c>
    </row>
    <row r="75" spans="1:14" x14ac:dyDescent="0.25">
      <c r="A75" s="493" t="s">
        <v>1141</v>
      </c>
      <c r="B75" s="493" t="s">
        <v>1142</v>
      </c>
      <c r="C75" s="493" t="s">
        <v>183</v>
      </c>
      <c r="D75" s="493" t="s">
        <v>876</v>
      </c>
      <c r="E75" s="493" t="s">
        <v>1143</v>
      </c>
      <c r="F75" s="493" t="s">
        <v>636</v>
      </c>
      <c r="G75" s="493" t="s">
        <v>878</v>
      </c>
      <c r="H75" s="494">
        <v>2958465</v>
      </c>
      <c r="I75" s="494">
        <v>40179</v>
      </c>
      <c r="J75" s="493" t="s">
        <v>1144</v>
      </c>
      <c r="K75" s="493" t="s">
        <v>879</v>
      </c>
      <c r="L75" s="493" t="s">
        <v>894</v>
      </c>
      <c r="M75" s="493" t="s">
        <v>1145</v>
      </c>
      <c r="N75" s="493" t="s">
        <v>1146</v>
      </c>
    </row>
    <row r="76" spans="1:14" x14ac:dyDescent="0.25">
      <c r="A76" s="493" t="s">
        <v>1147</v>
      </c>
      <c r="B76" s="493" t="s">
        <v>1148</v>
      </c>
      <c r="C76" s="493" t="s">
        <v>978</v>
      </c>
      <c r="D76" s="493" t="s">
        <v>876</v>
      </c>
      <c r="E76" s="493" t="s">
        <v>897</v>
      </c>
      <c r="F76" s="493" t="s">
        <v>636</v>
      </c>
      <c r="G76" s="493" t="s">
        <v>878</v>
      </c>
      <c r="H76" s="494">
        <v>2958465</v>
      </c>
      <c r="I76" s="494">
        <v>40179</v>
      </c>
      <c r="J76" s="493" t="s">
        <v>1149</v>
      </c>
      <c r="K76" s="493" t="s">
        <v>879</v>
      </c>
      <c r="L76" s="493" t="s">
        <v>966</v>
      </c>
      <c r="M76" s="493" t="s">
        <v>975</v>
      </c>
      <c r="N76" s="493" t="s">
        <v>901</v>
      </c>
    </row>
    <row r="77" spans="1:14" x14ac:dyDescent="0.25">
      <c r="A77" s="493" t="s">
        <v>1150</v>
      </c>
      <c r="B77" s="493" t="s">
        <v>1151</v>
      </c>
      <c r="C77" s="493" t="s">
        <v>183</v>
      </c>
      <c r="D77" s="493" t="s">
        <v>876</v>
      </c>
      <c r="E77" s="493" t="s">
        <v>1152</v>
      </c>
      <c r="F77" s="493" t="s">
        <v>636</v>
      </c>
      <c r="G77" s="493" t="s">
        <v>878</v>
      </c>
      <c r="H77" s="494">
        <v>2958465</v>
      </c>
      <c r="I77" s="494">
        <v>40179</v>
      </c>
      <c r="J77" s="493" t="s">
        <v>1151</v>
      </c>
      <c r="K77" s="493" t="s">
        <v>879</v>
      </c>
      <c r="L77" s="493" t="s">
        <v>880</v>
      </c>
      <c r="M77" s="493" t="s">
        <v>1062</v>
      </c>
      <c r="N77" s="493" t="s">
        <v>1153</v>
      </c>
    </row>
    <row r="78" spans="1:14" x14ac:dyDescent="0.25">
      <c r="A78" s="493" t="s">
        <v>1154</v>
      </c>
      <c r="B78" s="493" t="s">
        <v>1155</v>
      </c>
      <c r="C78" s="493" t="s">
        <v>885</v>
      </c>
      <c r="D78" s="493" t="s">
        <v>876</v>
      </c>
      <c r="E78" s="493" t="s">
        <v>897</v>
      </c>
      <c r="F78" s="493" t="s">
        <v>636</v>
      </c>
      <c r="G78" s="493" t="s">
        <v>878</v>
      </c>
      <c r="H78" s="494">
        <v>2958465</v>
      </c>
      <c r="I78" s="494">
        <v>40179</v>
      </c>
      <c r="J78" s="493" t="s">
        <v>1156</v>
      </c>
      <c r="K78" s="493" t="s">
        <v>879</v>
      </c>
      <c r="L78" s="493" t="s">
        <v>899</v>
      </c>
      <c r="M78" s="493" t="s">
        <v>889</v>
      </c>
      <c r="N78" s="493" t="s">
        <v>901</v>
      </c>
    </row>
    <row r="79" spans="1:14" x14ac:dyDescent="0.25">
      <c r="A79" s="493" t="s">
        <v>1157</v>
      </c>
      <c r="B79" s="493" t="s">
        <v>1158</v>
      </c>
      <c r="C79" s="493" t="s">
        <v>183</v>
      </c>
      <c r="D79" s="493" t="s">
        <v>876</v>
      </c>
      <c r="E79" s="493" t="s">
        <v>1143</v>
      </c>
      <c r="F79" s="493" t="s">
        <v>636</v>
      </c>
      <c r="G79" s="493" t="s">
        <v>878</v>
      </c>
      <c r="H79" s="494">
        <v>2958465</v>
      </c>
      <c r="I79" s="494">
        <v>40179</v>
      </c>
      <c r="J79" s="493" t="s">
        <v>1158</v>
      </c>
      <c r="K79" s="493" t="s">
        <v>879</v>
      </c>
      <c r="L79" s="493" t="s">
        <v>1159</v>
      </c>
      <c r="M79" s="493" t="s">
        <v>1145</v>
      </c>
      <c r="N79" s="493" t="s">
        <v>1146</v>
      </c>
    </row>
    <row r="80" spans="1:14" x14ac:dyDescent="0.25">
      <c r="A80" s="493" t="s">
        <v>1160</v>
      </c>
      <c r="B80" s="493" t="s">
        <v>1161</v>
      </c>
      <c r="C80" s="493" t="s">
        <v>183</v>
      </c>
      <c r="D80" s="493" t="s">
        <v>876</v>
      </c>
      <c r="E80" s="493" t="s">
        <v>1143</v>
      </c>
      <c r="F80" s="493" t="s">
        <v>636</v>
      </c>
      <c r="G80" s="493" t="s">
        <v>878</v>
      </c>
      <c r="H80" s="494">
        <v>2958465</v>
      </c>
      <c r="I80" s="494">
        <v>40179</v>
      </c>
      <c r="J80" s="493" t="s">
        <v>1161</v>
      </c>
      <c r="K80" s="493" t="s">
        <v>879</v>
      </c>
      <c r="L80" s="493" t="s">
        <v>880</v>
      </c>
      <c r="M80" s="493" t="s">
        <v>1145</v>
      </c>
      <c r="N80" s="493" t="s">
        <v>1146</v>
      </c>
    </row>
    <row r="81" spans="1:14" x14ac:dyDescent="0.25">
      <c r="A81" s="493" t="s">
        <v>1162</v>
      </c>
      <c r="B81" s="493" t="s">
        <v>1163</v>
      </c>
      <c r="C81" s="493" t="s">
        <v>183</v>
      </c>
      <c r="D81" s="493" t="s">
        <v>876</v>
      </c>
      <c r="E81" s="493" t="s">
        <v>910</v>
      </c>
      <c r="F81" s="493" t="s">
        <v>636</v>
      </c>
      <c r="G81" s="493" t="s">
        <v>878</v>
      </c>
      <c r="H81" s="494">
        <v>2958465</v>
      </c>
      <c r="I81" s="494">
        <v>40179</v>
      </c>
      <c r="J81" s="493" t="s">
        <v>1164</v>
      </c>
      <c r="K81" s="493" t="s">
        <v>879</v>
      </c>
      <c r="L81" s="493" t="s">
        <v>899</v>
      </c>
      <c r="M81" s="493" t="s">
        <v>1053</v>
      </c>
      <c r="N81" s="493" t="s">
        <v>913</v>
      </c>
    </row>
    <row r="82" spans="1:14" x14ac:dyDescent="0.25">
      <c r="A82" s="493" t="s">
        <v>1165</v>
      </c>
      <c r="B82" s="493" t="s">
        <v>1166</v>
      </c>
      <c r="C82" s="493" t="s">
        <v>885</v>
      </c>
      <c r="D82" s="493" t="s">
        <v>876</v>
      </c>
      <c r="E82" s="493" t="s">
        <v>897</v>
      </c>
      <c r="F82" s="493" t="s">
        <v>636</v>
      </c>
      <c r="G82" s="493" t="s">
        <v>878</v>
      </c>
      <c r="H82" s="494">
        <v>2958465</v>
      </c>
      <c r="I82" s="494">
        <v>40179</v>
      </c>
      <c r="J82" s="493" t="s">
        <v>1167</v>
      </c>
      <c r="K82" s="493" t="s">
        <v>879</v>
      </c>
      <c r="L82" s="493" t="s">
        <v>899</v>
      </c>
      <c r="M82" s="493" t="s">
        <v>962</v>
      </c>
      <c r="N82" s="493" t="s">
        <v>901</v>
      </c>
    </row>
    <row r="83" spans="1:14" x14ac:dyDescent="0.25">
      <c r="A83" s="493" t="s">
        <v>1168</v>
      </c>
      <c r="B83" s="493" t="s">
        <v>1169</v>
      </c>
      <c r="C83" s="493" t="s">
        <v>885</v>
      </c>
      <c r="D83" s="493" t="s">
        <v>876</v>
      </c>
      <c r="E83" s="493" t="s">
        <v>897</v>
      </c>
      <c r="F83" s="493" t="s">
        <v>636</v>
      </c>
      <c r="G83" s="493" t="s">
        <v>878</v>
      </c>
      <c r="H83" s="494">
        <v>2958465</v>
      </c>
      <c r="I83" s="494">
        <v>40179</v>
      </c>
      <c r="J83" s="493" t="s">
        <v>1170</v>
      </c>
      <c r="K83" s="493" t="s">
        <v>879</v>
      </c>
      <c r="L83" s="493" t="s">
        <v>966</v>
      </c>
      <c r="M83" s="493" t="s">
        <v>1171</v>
      </c>
      <c r="N83" s="493" t="s">
        <v>901</v>
      </c>
    </row>
    <row r="84" spans="1:14" x14ac:dyDescent="0.25">
      <c r="A84" s="493" t="s">
        <v>1172</v>
      </c>
      <c r="B84" s="493" t="s">
        <v>1173</v>
      </c>
      <c r="C84" s="493" t="s">
        <v>885</v>
      </c>
      <c r="D84" s="493" t="s">
        <v>876</v>
      </c>
      <c r="E84" s="493" t="s">
        <v>897</v>
      </c>
      <c r="F84" s="493" t="s">
        <v>636</v>
      </c>
      <c r="G84" s="493" t="s">
        <v>878</v>
      </c>
      <c r="H84" s="494">
        <v>2958465</v>
      </c>
      <c r="I84" s="494">
        <v>40179</v>
      </c>
      <c r="J84" s="493" t="s">
        <v>1174</v>
      </c>
      <c r="K84" s="493" t="s">
        <v>879</v>
      </c>
      <c r="L84" s="493" t="s">
        <v>966</v>
      </c>
      <c r="M84" s="493" t="s">
        <v>962</v>
      </c>
      <c r="N84" s="493" t="s">
        <v>901</v>
      </c>
    </row>
    <row r="85" spans="1:14" x14ac:dyDescent="0.25">
      <c r="A85" s="493" t="s">
        <v>1175</v>
      </c>
      <c r="B85" s="493" t="s">
        <v>1176</v>
      </c>
      <c r="C85" s="493" t="s">
        <v>183</v>
      </c>
      <c r="D85" s="493" t="s">
        <v>876</v>
      </c>
      <c r="E85" s="493" t="s">
        <v>910</v>
      </c>
      <c r="F85" s="493" t="s">
        <v>636</v>
      </c>
      <c r="G85" s="493" t="s">
        <v>878</v>
      </c>
      <c r="H85" s="494">
        <v>2958465</v>
      </c>
      <c r="I85" s="494">
        <v>40179</v>
      </c>
      <c r="J85" s="493" t="s">
        <v>1177</v>
      </c>
      <c r="K85" s="493" t="s">
        <v>879</v>
      </c>
      <c r="L85" s="493" t="s">
        <v>899</v>
      </c>
      <c r="M85" s="493" t="s">
        <v>912</v>
      </c>
      <c r="N85" s="493" t="s">
        <v>913</v>
      </c>
    </row>
    <row r="86" spans="1:14" x14ac:dyDescent="0.25">
      <c r="A86" s="493" t="s">
        <v>1178</v>
      </c>
      <c r="B86" s="493" t="s">
        <v>1179</v>
      </c>
      <c r="C86" s="493" t="s">
        <v>183</v>
      </c>
      <c r="D86" s="493" t="s">
        <v>876</v>
      </c>
      <c r="E86" s="493" t="s">
        <v>910</v>
      </c>
      <c r="F86" s="493" t="s">
        <v>636</v>
      </c>
      <c r="G86" s="493" t="s">
        <v>878</v>
      </c>
      <c r="H86" s="494">
        <v>2958465</v>
      </c>
      <c r="I86" s="494">
        <v>40179</v>
      </c>
      <c r="J86" s="493" t="s">
        <v>1179</v>
      </c>
      <c r="K86" s="493" t="s">
        <v>879</v>
      </c>
      <c r="L86" s="493" t="s">
        <v>899</v>
      </c>
      <c r="M86" s="493" t="s">
        <v>1180</v>
      </c>
      <c r="N86" s="493" t="s">
        <v>913</v>
      </c>
    </row>
    <row r="87" spans="1:14" x14ac:dyDescent="0.25">
      <c r="A87" s="493" t="s">
        <v>1181</v>
      </c>
      <c r="B87" s="493" t="s">
        <v>1182</v>
      </c>
      <c r="C87" s="493" t="s">
        <v>183</v>
      </c>
      <c r="D87" s="493" t="s">
        <v>876</v>
      </c>
      <c r="E87" s="493" t="s">
        <v>910</v>
      </c>
      <c r="F87" s="493" t="s">
        <v>636</v>
      </c>
      <c r="G87" s="493" t="s">
        <v>878</v>
      </c>
      <c r="H87" s="494">
        <v>2958465</v>
      </c>
      <c r="I87" s="494">
        <v>40179</v>
      </c>
      <c r="J87" s="493" t="s">
        <v>1183</v>
      </c>
      <c r="K87" s="493" t="s">
        <v>879</v>
      </c>
      <c r="L87" s="493" t="s">
        <v>899</v>
      </c>
      <c r="M87" s="493" t="s">
        <v>1180</v>
      </c>
      <c r="N87" s="493" t="s">
        <v>913</v>
      </c>
    </row>
    <row r="88" spans="1:14" x14ac:dyDescent="0.25">
      <c r="A88" s="493" t="s">
        <v>1184</v>
      </c>
      <c r="B88" s="493" t="s">
        <v>1185</v>
      </c>
      <c r="C88" s="493" t="s">
        <v>183</v>
      </c>
      <c r="D88" s="493" t="s">
        <v>876</v>
      </c>
      <c r="E88" s="493" t="s">
        <v>897</v>
      </c>
      <c r="F88" s="493" t="s">
        <v>636</v>
      </c>
      <c r="G88" s="493" t="s">
        <v>878</v>
      </c>
      <c r="H88" s="494">
        <v>2958465</v>
      </c>
      <c r="I88" s="494">
        <v>40179</v>
      </c>
      <c r="J88" s="493" t="s">
        <v>1186</v>
      </c>
      <c r="K88" s="493" t="s">
        <v>879</v>
      </c>
      <c r="L88" s="493" t="s">
        <v>899</v>
      </c>
      <c r="M88" s="493" t="s">
        <v>1180</v>
      </c>
      <c r="N88" s="493" t="s">
        <v>901</v>
      </c>
    </row>
    <row r="89" spans="1:14" x14ac:dyDescent="0.25">
      <c r="A89" s="493" t="s">
        <v>1187</v>
      </c>
      <c r="B89" s="493" t="s">
        <v>1188</v>
      </c>
      <c r="C89" s="493" t="s">
        <v>183</v>
      </c>
      <c r="D89" s="493" t="s">
        <v>876</v>
      </c>
      <c r="E89" s="493" t="s">
        <v>897</v>
      </c>
      <c r="F89" s="493" t="s">
        <v>636</v>
      </c>
      <c r="G89" s="493" t="s">
        <v>878</v>
      </c>
      <c r="H89" s="494">
        <v>2958465</v>
      </c>
      <c r="I89" s="494">
        <v>40179</v>
      </c>
      <c r="J89" s="493" t="s">
        <v>1188</v>
      </c>
      <c r="K89" s="493" t="s">
        <v>879</v>
      </c>
      <c r="L89" s="493" t="s">
        <v>899</v>
      </c>
      <c r="M89" s="493" t="s">
        <v>1188</v>
      </c>
      <c r="N89" s="493" t="s">
        <v>901</v>
      </c>
    </row>
    <row r="90" spans="1:14" x14ac:dyDescent="0.25">
      <c r="A90" s="493" t="s">
        <v>1189</v>
      </c>
      <c r="B90" s="493" t="s">
        <v>1190</v>
      </c>
      <c r="C90" s="493" t="s">
        <v>1191</v>
      </c>
      <c r="D90" s="493" t="s">
        <v>876</v>
      </c>
      <c r="E90" s="493" t="s">
        <v>910</v>
      </c>
      <c r="F90" s="493" t="s">
        <v>636</v>
      </c>
      <c r="G90" s="493" t="s">
        <v>878</v>
      </c>
      <c r="H90" s="494">
        <v>2958465</v>
      </c>
      <c r="I90" s="494">
        <v>40179</v>
      </c>
      <c r="J90" s="493" t="s">
        <v>1190</v>
      </c>
      <c r="K90" s="493" t="s">
        <v>879</v>
      </c>
      <c r="L90" s="493" t="s">
        <v>899</v>
      </c>
      <c r="M90" s="493" t="s">
        <v>912</v>
      </c>
      <c r="N90" s="493" t="s">
        <v>913</v>
      </c>
    </row>
    <row r="91" spans="1:14" x14ac:dyDescent="0.25">
      <c r="A91" s="493" t="s">
        <v>1192</v>
      </c>
      <c r="B91" s="493" t="s">
        <v>1193</v>
      </c>
      <c r="C91" s="493" t="s">
        <v>1194</v>
      </c>
      <c r="D91" s="493" t="s">
        <v>876</v>
      </c>
      <c r="E91" s="493" t="s">
        <v>897</v>
      </c>
      <c r="F91" s="493" t="s">
        <v>636</v>
      </c>
      <c r="G91" s="493" t="s">
        <v>878</v>
      </c>
      <c r="H91" s="494">
        <v>2958465</v>
      </c>
      <c r="I91" s="494">
        <v>40179</v>
      </c>
      <c r="J91" s="493" t="s">
        <v>1193</v>
      </c>
      <c r="K91" s="493" t="s">
        <v>879</v>
      </c>
      <c r="L91" s="493" t="s">
        <v>966</v>
      </c>
      <c r="M91" s="493" t="s">
        <v>1080</v>
      </c>
      <c r="N91" s="493" t="s">
        <v>901</v>
      </c>
    </row>
    <row r="92" spans="1:14" x14ac:dyDescent="0.25">
      <c r="A92" s="493" t="s">
        <v>1195</v>
      </c>
      <c r="B92" s="493" t="s">
        <v>1196</v>
      </c>
      <c r="C92" s="493" t="s">
        <v>183</v>
      </c>
      <c r="D92" s="493" t="s">
        <v>876</v>
      </c>
      <c r="E92" s="493" t="s">
        <v>917</v>
      </c>
      <c r="F92" s="493" t="s">
        <v>636</v>
      </c>
      <c r="G92" s="493" t="s">
        <v>878</v>
      </c>
      <c r="H92" s="494">
        <v>2958465</v>
      </c>
      <c r="I92" s="494">
        <v>40179</v>
      </c>
      <c r="J92" s="493" t="s">
        <v>1196</v>
      </c>
      <c r="K92" s="493" t="s">
        <v>879</v>
      </c>
      <c r="L92" s="493" t="s">
        <v>899</v>
      </c>
      <c r="M92" s="493" t="s">
        <v>1197</v>
      </c>
      <c r="N92" s="493" t="s">
        <v>919</v>
      </c>
    </row>
    <row r="93" spans="1:14" x14ac:dyDescent="0.25">
      <c r="A93" s="493" t="s">
        <v>1198</v>
      </c>
      <c r="B93" s="493" t="s">
        <v>1199</v>
      </c>
      <c r="C93" s="493" t="s">
        <v>885</v>
      </c>
      <c r="D93" s="493" t="s">
        <v>876</v>
      </c>
      <c r="E93" s="493" t="s">
        <v>917</v>
      </c>
      <c r="F93" s="493" t="s">
        <v>636</v>
      </c>
      <c r="G93" s="493" t="s">
        <v>878</v>
      </c>
      <c r="H93" s="494">
        <v>2958465</v>
      </c>
      <c r="I93" s="494">
        <v>40179</v>
      </c>
      <c r="J93" s="493" t="s">
        <v>1200</v>
      </c>
      <c r="K93" s="493" t="s">
        <v>879</v>
      </c>
      <c r="L93" s="493" t="s">
        <v>899</v>
      </c>
      <c r="M93" s="493" t="s">
        <v>962</v>
      </c>
      <c r="N93" s="493" t="s">
        <v>919</v>
      </c>
    </row>
    <row r="94" spans="1:14" x14ac:dyDescent="0.25">
      <c r="A94" s="493" t="s">
        <v>1201</v>
      </c>
      <c r="B94" s="493" t="s">
        <v>1202</v>
      </c>
      <c r="C94" s="493" t="s">
        <v>1030</v>
      </c>
      <c r="D94" s="493" t="s">
        <v>876</v>
      </c>
      <c r="E94" s="493" t="s">
        <v>897</v>
      </c>
      <c r="F94" s="493" t="s">
        <v>636</v>
      </c>
      <c r="G94" s="493" t="s">
        <v>878</v>
      </c>
      <c r="H94" s="494">
        <v>2958465</v>
      </c>
      <c r="I94" s="494">
        <v>40179</v>
      </c>
      <c r="J94" s="493" t="s">
        <v>1202</v>
      </c>
      <c r="K94" s="493" t="s">
        <v>1203</v>
      </c>
      <c r="L94" s="493" t="s">
        <v>966</v>
      </c>
      <c r="M94" s="493" t="s">
        <v>889</v>
      </c>
      <c r="N94" s="493" t="s">
        <v>901</v>
      </c>
    </row>
    <row r="95" spans="1:14" x14ac:dyDescent="0.25">
      <c r="A95" s="493" t="s">
        <v>1204</v>
      </c>
      <c r="B95" s="493" t="s">
        <v>1205</v>
      </c>
      <c r="C95" s="493" t="s">
        <v>1033</v>
      </c>
      <c r="D95" s="493" t="s">
        <v>876</v>
      </c>
      <c r="E95" s="493" t="s">
        <v>897</v>
      </c>
      <c r="F95" s="493" t="s">
        <v>636</v>
      </c>
      <c r="G95" s="493" t="s">
        <v>878</v>
      </c>
      <c r="H95" s="494">
        <v>2958465</v>
      </c>
      <c r="I95" s="494">
        <v>40179</v>
      </c>
      <c r="J95" s="493" t="s">
        <v>1205</v>
      </c>
      <c r="K95" s="493" t="s">
        <v>1206</v>
      </c>
      <c r="L95" s="493" t="s">
        <v>899</v>
      </c>
      <c r="M95" s="493" t="s">
        <v>1034</v>
      </c>
      <c r="N95" s="493" t="s">
        <v>901</v>
      </c>
    </row>
    <row r="96" spans="1:14" x14ac:dyDescent="0.25">
      <c r="A96" s="493" t="s">
        <v>1207</v>
      </c>
      <c r="B96" s="493" t="s">
        <v>1208</v>
      </c>
      <c r="C96" s="493" t="s">
        <v>885</v>
      </c>
      <c r="D96" s="493" t="s">
        <v>876</v>
      </c>
      <c r="E96" s="493" t="s">
        <v>897</v>
      </c>
      <c r="F96" s="493" t="s">
        <v>636</v>
      </c>
      <c r="G96" s="493" t="s">
        <v>878</v>
      </c>
      <c r="H96" s="494">
        <v>2958465</v>
      </c>
      <c r="I96" s="494">
        <v>40179</v>
      </c>
      <c r="J96" s="493" t="s">
        <v>1208</v>
      </c>
      <c r="K96" s="493" t="s">
        <v>1209</v>
      </c>
      <c r="L96" s="493" t="s">
        <v>966</v>
      </c>
      <c r="M96" s="493" t="s">
        <v>889</v>
      </c>
      <c r="N96" s="493" t="s">
        <v>901</v>
      </c>
    </row>
    <row r="97" spans="1:14" x14ac:dyDescent="0.25">
      <c r="A97" s="493" t="s">
        <v>1210</v>
      </c>
      <c r="B97" s="493" t="s">
        <v>1211</v>
      </c>
      <c r="C97" s="493" t="s">
        <v>885</v>
      </c>
      <c r="D97" s="493" t="s">
        <v>876</v>
      </c>
      <c r="E97" s="493" t="s">
        <v>897</v>
      </c>
      <c r="F97" s="493" t="s">
        <v>636</v>
      </c>
      <c r="G97" s="493" t="s">
        <v>878</v>
      </c>
      <c r="H97" s="494">
        <v>2958465</v>
      </c>
      <c r="I97" s="494">
        <v>40179</v>
      </c>
      <c r="J97" s="493" t="s">
        <v>1212</v>
      </c>
      <c r="K97" s="493" t="s">
        <v>1209</v>
      </c>
      <c r="L97" s="493" t="s">
        <v>966</v>
      </c>
      <c r="M97" s="493" t="s">
        <v>1171</v>
      </c>
      <c r="N97" s="493" t="s">
        <v>901</v>
      </c>
    </row>
    <row r="98" spans="1:14" x14ac:dyDescent="0.25">
      <c r="A98" s="493" t="s">
        <v>1213</v>
      </c>
      <c r="B98" s="493" t="s">
        <v>1214</v>
      </c>
      <c r="C98" s="493" t="s">
        <v>985</v>
      </c>
      <c r="D98" s="493" t="s">
        <v>876</v>
      </c>
      <c r="E98" s="493" t="s">
        <v>897</v>
      </c>
      <c r="F98" s="493" t="s">
        <v>636</v>
      </c>
      <c r="G98" s="493" t="s">
        <v>878</v>
      </c>
      <c r="H98" s="494">
        <v>2958465</v>
      </c>
      <c r="I98" s="494">
        <v>40179</v>
      </c>
      <c r="J98" s="493" t="s">
        <v>1214</v>
      </c>
      <c r="K98" s="493" t="s">
        <v>1209</v>
      </c>
      <c r="L98" s="493" t="s">
        <v>966</v>
      </c>
      <c r="M98" s="493" t="s">
        <v>1038</v>
      </c>
      <c r="N98" s="493" t="s">
        <v>901</v>
      </c>
    </row>
    <row r="99" spans="1:14" x14ac:dyDescent="0.25">
      <c r="A99" s="493" t="s">
        <v>1215</v>
      </c>
      <c r="B99" s="493" t="s">
        <v>1216</v>
      </c>
      <c r="C99" s="493" t="s">
        <v>1217</v>
      </c>
      <c r="D99" s="493" t="s">
        <v>876</v>
      </c>
      <c r="E99" s="493" t="s">
        <v>569</v>
      </c>
      <c r="F99" s="493" t="s">
        <v>636</v>
      </c>
      <c r="G99" s="493" t="s">
        <v>878</v>
      </c>
      <c r="H99" s="494">
        <v>2958465</v>
      </c>
      <c r="I99" s="494">
        <v>40179</v>
      </c>
      <c r="J99" s="493" t="s">
        <v>876</v>
      </c>
      <c r="K99" s="493" t="s">
        <v>1218</v>
      </c>
      <c r="L99" s="493" t="s">
        <v>1219</v>
      </c>
      <c r="M99" s="493" t="s">
        <v>1023</v>
      </c>
      <c r="N99" s="493" t="s">
        <v>1024</v>
      </c>
    </row>
    <row r="100" spans="1:14" x14ac:dyDescent="0.25">
      <c r="A100" s="493" t="s">
        <v>1220</v>
      </c>
      <c r="B100" s="493" t="s">
        <v>1221</v>
      </c>
      <c r="C100" s="493" t="s">
        <v>985</v>
      </c>
      <c r="D100" s="493" t="s">
        <v>876</v>
      </c>
      <c r="E100" s="493" t="s">
        <v>886</v>
      </c>
      <c r="F100" s="493" t="s">
        <v>636</v>
      </c>
      <c r="G100" s="493" t="s">
        <v>878</v>
      </c>
      <c r="H100" s="494">
        <v>2958465</v>
      </c>
      <c r="I100" s="494">
        <v>40179</v>
      </c>
      <c r="J100" s="493" t="s">
        <v>1222</v>
      </c>
      <c r="K100" s="493" t="s">
        <v>1218</v>
      </c>
      <c r="L100" s="493" t="s">
        <v>1219</v>
      </c>
      <c r="M100" s="493" t="s">
        <v>1038</v>
      </c>
      <c r="N100" s="493" t="s">
        <v>890</v>
      </c>
    </row>
    <row r="101" spans="1:14" x14ac:dyDescent="0.25">
      <c r="A101" s="493" t="s">
        <v>1223</v>
      </c>
      <c r="B101" s="493" t="s">
        <v>1224</v>
      </c>
      <c r="C101" s="493" t="s">
        <v>183</v>
      </c>
      <c r="D101" s="493" t="s">
        <v>876</v>
      </c>
      <c r="E101" s="493" t="s">
        <v>1143</v>
      </c>
      <c r="F101" s="493" t="s">
        <v>636</v>
      </c>
      <c r="G101" s="493" t="s">
        <v>878</v>
      </c>
      <c r="H101" s="494">
        <v>2958465</v>
      </c>
      <c r="I101" s="494">
        <v>40179</v>
      </c>
      <c r="J101" s="493" t="s">
        <v>1225</v>
      </c>
      <c r="K101" s="493" t="s">
        <v>1218</v>
      </c>
      <c r="L101" s="493" t="s">
        <v>1219</v>
      </c>
      <c r="M101" s="493" t="s">
        <v>1145</v>
      </c>
      <c r="N101" s="493" t="s">
        <v>1146</v>
      </c>
    </row>
    <row r="102" spans="1:14" x14ac:dyDescent="0.25">
      <c r="A102" s="493" t="s">
        <v>1226</v>
      </c>
      <c r="B102" s="493" t="s">
        <v>1227</v>
      </c>
      <c r="C102" s="493" t="s">
        <v>183</v>
      </c>
      <c r="D102" s="493" t="s">
        <v>876</v>
      </c>
      <c r="E102" s="493" t="s">
        <v>1143</v>
      </c>
      <c r="F102" s="493" t="s">
        <v>636</v>
      </c>
      <c r="G102" s="493" t="s">
        <v>878</v>
      </c>
      <c r="H102" s="494">
        <v>2958465</v>
      </c>
      <c r="I102" s="494">
        <v>40179</v>
      </c>
      <c r="J102" s="493" t="s">
        <v>1228</v>
      </c>
      <c r="K102" s="493" t="s">
        <v>1218</v>
      </c>
      <c r="L102" s="493" t="s">
        <v>1219</v>
      </c>
      <c r="M102" s="493" t="s">
        <v>1145</v>
      </c>
      <c r="N102" s="493" t="s">
        <v>1146</v>
      </c>
    </row>
    <row r="103" spans="1:14" x14ac:dyDescent="0.25">
      <c r="A103" s="493" t="s">
        <v>1229</v>
      </c>
      <c r="B103" s="493" t="s">
        <v>1230</v>
      </c>
      <c r="C103" s="493" t="s">
        <v>183</v>
      </c>
      <c r="D103" s="493" t="s">
        <v>876</v>
      </c>
      <c r="E103" s="493" t="s">
        <v>886</v>
      </c>
      <c r="F103" s="493" t="s">
        <v>636</v>
      </c>
      <c r="G103" s="493" t="s">
        <v>878</v>
      </c>
      <c r="H103" s="494">
        <v>2958465</v>
      </c>
      <c r="I103" s="494">
        <v>40179</v>
      </c>
      <c r="J103" s="493" t="s">
        <v>1230</v>
      </c>
      <c r="K103" s="493" t="s">
        <v>1218</v>
      </c>
      <c r="L103" s="493" t="s">
        <v>1219</v>
      </c>
      <c r="M103" s="493" t="s">
        <v>889</v>
      </c>
      <c r="N103" s="493" t="s">
        <v>890</v>
      </c>
    </row>
    <row r="104" spans="1:14" x14ac:dyDescent="0.25">
      <c r="A104" s="493" t="s">
        <v>1231</v>
      </c>
      <c r="B104" s="493" t="s">
        <v>1232</v>
      </c>
      <c r="C104" s="493" t="s">
        <v>1233</v>
      </c>
      <c r="D104" s="493" t="s">
        <v>876</v>
      </c>
      <c r="E104" s="493" t="s">
        <v>1143</v>
      </c>
      <c r="F104" s="493" t="s">
        <v>636</v>
      </c>
      <c r="G104" s="493" t="s">
        <v>878</v>
      </c>
      <c r="H104" s="494">
        <v>2958465</v>
      </c>
      <c r="I104" s="494">
        <v>40179</v>
      </c>
      <c r="J104" s="493" t="s">
        <v>1234</v>
      </c>
      <c r="K104" s="493" t="s">
        <v>1235</v>
      </c>
      <c r="L104" s="493" t="s">
        <v>1236</v>
      </c>
      <c r="M104" s="493" t="s">
        <v>912</v>
      </c>
      <c r="N104" s="493" t="s">
        <v>1146</v>
      </c>
    </row>
    <row r="105" spans="1:14" x14ac:dyDescent="0.25">
      <c r="A105" s="493" t="s">
        <v>1237</v>
      </c>
      <c r="B105" s="493" t="s">
        <v>1238</v>
      </c>
      <c r="C105" s="493" t="s">
        <v>183</v>
      </c>
      <c r="D105" s="493" t="s">
        <v>876</v>
      </c>
      <c r="E105" s="493" t="s">
        <v>1152</v>
      </c>
      <c r="F105" s="493" t="s">
        <v>636</v>
      </c>
      <c r="G105" s="493" t="s">
        <v>878</v>
      </c>
      <c r="H105" s="494">
        <v>2958465</v>
      </c>
      <c r="I105" s="494">
        <v>40179</v>
      </c>
      <c r="J105" s="493" t="s">
        <v>1239</v>
      </c>
      <c r="K105" s="493" t="s">
        <v>1235</v>
      </c>
      <c r="L105" s="493" t="s">
        <v>1240</v>
      </c>
      <c r="M105" s="493" t="s">
        <v>1062</v>
      </c>
      <c r="N105" s="493" t="s">
        <v>1153</v>
      </c>
    </row>
    <row r="106" spans="1:14" x14ac:dyDescent="0.25">
      <c r="A106" s="493" t="s">
        <v>1241</v>
      </c>
      <c r="B106" s="493" t="s">
        <v>1242</v>
      </c>
      <c r="C106" s="493" t="s">
        <v>1243</v>
      </c>
      <c r="D106" s="493" t="s">
        <v>876</v>
      </c>
      <c r="E106" s="493" t="s">
        <v>1244</v>
      </c>
      <c r="F106" s="493" t="s">
        <v>636</v>
      </c>
      <c r="G106" s="493" t="s">
        <v>878</v>
      </c>
      <c r="H106" s="494">
        <v>2958465</v>
      </c>
      <c r="I106" s="494">
        <v>40179</v>
      </c>
      <c r="J106" s="493" t="s">
        <v>1245</v>
      </c>
      <c r="K106" s="493" t="s">
        <v>1235</v>
      </c>
      <c r="L106" s="493" t="s">
        <v>1236</v>
      </c>
      <c r="M106" s="493" t="s">
        <v>918</v>
      </c>
      <c r="N106" s="493" t="s">
        <v>1246</v>
      </c>
    </row>
    <row r="107" spans="1:14" x14ac:dyDescent="0.25">
      <c r="A107" s="493" t="s">
        <v>1247</v>
      </c>
      <c r="B107" s="493" t="s">
        <v>1248</v>
      </c>
      <c r="C107" s="493" t="s">
        <v>1249</v>
      </c>
      <c r="D107" s="493" t="s">
        <v>876</v>
      </c>
      <c r="E107" s="493" t="s">
        <v>1143</v>
      </c>
      <c r="F107" s="493" t="s">
        <v>636</v>
      </c>
      <c r="G107" s="493" t="s">
        <v>878</v>
      </c>
      <c r="H107" s="494">
        <v>2958465</v>
      </c>
      <c r="I107" s="494">
        <v>40179</v>
      </c>
      <c r="J107" s="493" t="s">
        <v>1250</v>
      </c>
      <c r="K107" s="493" t="s">
        <v>1235</v>
      </c>
      <c r="L107" s="493" t="s">
        <v>1236</v>
      </c>
      <c r="M107" s="493" t="s">
        <v>912</v>
      </c>
      <c r="N107" s="493" t="s">
        <v>1146</v>
      </c>
    </row>
    <row r="108" spans="1:14" x14ac:dyDescent="0.25">
      <c r="A108" s="493" t="s">
        <v>1251</v>
      </c>
      <c r="B108" s="493" t="s">
        <v>1252</v>
      </c>
      <c r="C108" s="493" t="s">
        <v>183</v>
      </c>
      <c r="D108" s="493" t="s">
        <v>876</v>
      </c>
      <c r="E108" s="493" t="s">
        <v>1143</v>
      </c>
      <c r="F108" s="493" t="s">
        <v>636</v>
      </c>
      <c r="G108" s="493" t="s">
        <v>878</v>
      </c>
      <c r="H108" s="494">
        <v>2958465</v>
      </c>
      <c r="I108" s="494">
        <v>40179</v>
      </c>
      <c r="J108" s="493" t="s">
        <v>1252</v>
      </c>
      <c r="K108" s="493" t="s">
        <v>1235</v>
      </c>
      <c r="L108" s="493" t="s">
        <v>1253</v>
      </c>
      <c r="M108" s="493" t="s">
        <v>946</v>
      </c>
      <c r="N108" s="493" t="s">
        <v>1146</v>
      </c>
    </row>
    <row r="109" spans="1:14" x14ac:dyDescent="0.25">
      <c r="A109" s="493" t="s">
        <v>1254</v>
      </c>
      <c r="B109" s="493" t="s">
        <v>1255</v>
      </c>
      <c r="C109" s="493" t="s">
        <v>183</v>
      </c>
      <c r="D109" s="493" t="s">
        <v>876</v>
      </c>
      <c r="E109" s="493" t="s">
        <v>1143</v>
      </c>
      <c r="F109" s="493" t="s">
        <v>636</v>
      </c>
      <c r="G109" s="493" t="s">
        <v>878</v>
      </c>
      <c r="H109" s="494">
        <v>2958465</v>
      </c>
      <c r="I109" s="494">
        <v>40179</v>
      </c>
      <c r="J109" s="493" t="s">
        <v>1255</v>
      </c>
      <c r="K109" s="493" t="s">
        <v>1235</v>
      </c>
      <c r="L109" s="493" t="s">
        <v>1236</v>
      </c>
      <c r="M109" s="493" t="s">
        <v>912</v>
      </c>
      <c r="N109" s="493" t="s">
        <v>1146</v>
      </c>
    </row>
    <row r="110" spans="1:14" x14ac:dyDescent="0.25">
      <c r="A110" s="493" t="s">
        <v>1256</v>
      </c>
      <c r="B110" s="493" t="s">
        <v>1257</v>
      </c>
      <c r="C110" s="493" t="s">
        <v>183</v>
      </c>
      <c r="D110" s="493" t="s">
        <v>876</v>
      </c>
      <c r="E110" s="493" t="s">
        <v>886</v>
      </c>
      <c r="F110" s="493" t="s">
        <v>636</v>
      </c>
      <c r="G110" s="493" t="s">
        <v>878</v>
      </c>
      <c r="H110" s="494">
        <v>2958465</v>
      </c>
      <c r="I110" s="494">
        <v>40179</v>
      </c>
      <c r="J110" s="493" t="s">
        <v>1258</v>
      </c>
      <c r="K110" s="493" t="s">
        <v>1235</v>
      </c>
      <c r="L110" s="493" t="s">
        <v>1259</v>
      </c>
      <c r="M110" s="493" t="s">
        <v>946</v>
      </c>
      <c r="N110" s="493" t="s">
        <v>890</v>
      </c>
    </row>
    <row r="111" spans="1:14" x14ac:dyDescent="0.25">
      <c r="A111" s="493" t="s">
        <v>1260</v>
      </c>
      <c r="B111" s="493" t="s">
        <v>1261</v>
      </c>
      <c r="C111" s="493" t="s">
        <v>183</v>
      </c>
      <c r="D111" s="493" t="s">
        <v>876</v>
      </c>
      <c r="E111" s="493" t="s">
        <v>886</v>
      </c>
      <c r="F111" s="493" t="s">
        <v>636</v>
      </c>
      <c r="G111" s="493" t="s">
        <v>878</v>
      </c>
      <c r="H111" s="494">
        <v>42853</v>
      </c>
      <c r="I111" s="494">
        <v>40179</v>
      </c>
      <c r="J111" s="493" t="s">
        <v>1262</v>
      </c>
      <c r="K111" s="493" t="s">
        <v>1235</v>
      </c>
      <c r="L111" s="493" t="s">
        <v>1263</v>
      </c>
      <c r="M111" s="493" t="s">
        <v>946</v>
      </c>
      <c r="N111" s="493" t="s">
        <v>890</v>
      </c>
    </row>
    <row r="112" spans="1:14" x14ac:dyDescent="0.25">
      <c r="A112" s="493" t="s">
        <v>1260</v>
      </c>
      <c r="B112" s="493" t="s">
        <v>1261</v>
      </c>
      <c r="C112" s="493" t="s">
        <v>183</v>
      </c>
      <c r="D112" s="493" t="s">
        <v>876</v>
      </c>
      <c r="E112" s="493" t="s">
        <v>886</v>
      </c>
      <c r="F112" s="493" t="s">
        <v>636</v>
      </c>
      <c r="G112" s="493" t="s">
        <v>878</v>
      </c>
      <c r="H112" s="494">
        <v>2958465</v>
      </c>
      <c r="I112" s="494">
        <v>42854</v>
      </c>
      <c r="J112" s="493" t="s">
        <v>1262</v>
      </c>
      <c r="K112" s="493" t="s">
        <v>1235</v>
      </c>
      <c r="L112" s="493" t="s">
        <v>1240</v>
      </c>
      <c r="M112" s="493" t="s">
        <v>946</v>
      </c>
      <c r="N112" s="493" t="s">
        <v>890</v>
      </c>
    </row>
    <row r="113" spans="1:14" x14ac:dyDescent="0.25">
      <c r="A113" s="493" t="s">
        <v>1264</v>
      </c>
      <c r="B113" s="493" t="s">
        <v>1265</v>
      </c>
      <c r="C113" s="493" t="s">
        <v>183</v>
      </c>
      <c r="D113" s="493" t="s">
        <v>876</v>
      </c>
      <c r="E113" s="493" t="s">
        <v>1143</v>
      </c>
      <c r="F113" s="493" t="s">
        <v>636</v>
      </c>
      <c r="G113" s="493" t="s">
        <v>878</v>
      </c>
      <c r="H113" s="494">
        <v>2958465</v>
      </c>
      <c r="I113" s="494">
        <v>40179</v>
      </c>
      <c r="J113" s="493" t="s">
        <v>1265</v>
      </c>
      <c r="K113" s="493" t="s">
        <v>1235</v>
      </c>
      <c r="L113" s="493" t="s">
        <v>1263</v>
      </c>
      <c r="M113" s="493" t="s">
        <v>946</v>
      </c>
      <c r="N113" s="493" t="s">
        <v>1146</v>
      </c>
    </row>
    <row r="114" spans="1:14" x14ac:dyDescent="0.25">
      <c r="A114" s="493" t="s">
        <v>1266</v>
      </c>
      <c r="B114" s="493" t="s">
        <v>1267</v>
      </c>
      <c r="C114" s="493" t="s">
        <v>183</v>
      </c>
      <c r="D114" s="493" t="s">
        <v>876</v>
      </c>
      <c r="E114" s="493" t="s">
        <v>0</v>
      </c>
      <c r="F114" s="493" t="s">
        <v>636</v>
      </c>
      <c r="G114" s="493" t="s">
        <v>878</v>
      </c>
      <c r="H114" s="494">
        <v>2958465</v>
      </c>
      <c r="I114" s="494">
        <v>40179</v>
      </c>
      <c r="J114" s="493" t="s">
        <v>1268</v>
      </c>
      <c r="K114" s="493" t="s">
        <v>1235</v>
      </c>
      <c r="L114" s="493" t="s">
        <v>1236</v>
      </c>
      <c r="M114" s="493" t="s">
        <v>1139</v>
      </c>
      <c r="N114" s="493" t="s">
        <v>1140</v>
      </c>
    </row>
    <row r="115" spans="1:14" x14ac:dyDescent="0.25">
      <c r="A115" s="493" t="s">
        <v>1269</v>
      </c>
      <c r="B115" s="493" t="s">
        <v>1270</v>
      </c>
      <c r="C115" s="493" t="s">
        <v>183</v>
      </c>
      <c r="D115" s="493" t="s">
        <v>876</v>
      </c>
      <c r="E115" s="493" t="s">
        <v>1143</v>
      </c>
      <c r="F115" s="493" t="s">
        <v>636</v>
      </c>
      <c r="G115" s="493" t="s">
        <v>878</v>
      </c>
      <c r="H115" s="494">
        <v>2958465</v>
      </c>
      <c r="I115" s="494">
        <v>40179</v>
      </c>
      <c r="J115" s="493" t="s">
        <v>1271</v>
      </c>
      <c r="K115" s="493" t="s">
        <v>1235</v>
      </c>
      <c r="L115" s="493" t="s">
        <v>1138</v>
      </c>
      <c r="M115" s="493" t="s">
        <v>991</v>
      </c>
      <c r="N115" s="493" t="s">
        <v>1146</v>
      </c>
    </row>
    <row r="116" spans="1:14" x14ac:dyDescent="0.25">
      <c r="A116" s="493" t="s">
        <v>1272</v>
      </c>
      <c r="B116" s="493" t="s">
        <v>1273</v>
      </c>
      <c r="C116" s="493" t="s">
        <v>1274</v>
      </c>
      <c r="D116" s="493" t="s">
        <v>876</v>
      </c>
      <c r="E116" s="493" t="s">
        <v>886</v>
      </c>
      <c r="F116" s="493" t="s">
        <v>636</v>
      </c>
      <c r="G116" s="493" t="s">
        <v>878</v>
      </c>
      <c r="H116" s="494">
        <v>2958465</v>
      </c>
      <c r="I116" s="494">
        <v>40179</v>
      </c>
      <c r="J116" s="493" t="s">
        <v>1275</v>
      </c>
      <c r="K116" s="493" t="s">
        <v>1235</v>
      </c>
      <c r="L116" s="493" t="s">
        <v>1263</v>
      </c>
      <c r="M116" s="493" t="s">
        <v>1124</v>
      </c>
      <c r="N116" s="493" t="s">
        <v>890</v>
      </c>
    </row>
    <row r="117" spans="1:14" x14ac:dyDescent="0.25">
      <c r="A117" s="493" t="s">
        <v>1276</v>
      </c>
      <c r="B117" s="493" t="s">
        <v>1277</v>
      </c>
      <c r="C117" s="493" t="s">
        <v>183</v>
      </c>
      <c r="D117" s="493" t="s">
        <v>876</v>
      </c>
      <c r="E117" s="493" t="s">
        <v>0</v>
      </c>
      <c r="F117" s="493" t="s">
        <v>636</v>
      </c>
      <c r="G117" s="493" t="s">
        <v>878</v>
      </c>
      <c r="H117" s="494">
        <v>2958465</v>
      </c>
      <c r="I117" s="494">
        <v>40179</v>
      </c>
      <c r="J117" s="493" t="s">
        <v>1278</v>
      </c>
      <c r="K117" s="493" t="s">
        <v>1235</v>
      </c>
      <c r="L117" s="493" t="s">
        <v>1253</v>
      </c>
      <c r="M117" s="493" t="s">
        <v>1279</v>
      </c>
      <c r="N117" s="493" t="s">
        <v>1140</v>
      </c>
    </row>
    <row r="118" spans="1:14" x14ac:dyDescent="0.25">
      <c r="A118" s="493" t="s">
        <v>1280</v>
      </c>
      <c r="B118" s="493" t="s">
        <v>1281</v>
      </c>
      <c r="C118" s="493" t="s">
        <v>183</v>
      </c>
      <c r="D118" s="493" t="s">
        <v>876</v>
      </c>
      <c r="E118" s="493" t="s">
        <v>0</v>
      </c>
      <c r="F118" s="493" t="s">
        <v>636</v>
      </c>
      <c r="G118" s="493" t="s">
        <v>878</v>
      </c>
      <c r="H118" s="494">
        <v>2958465</v>
      </c>
      <c r="I118" s="494">
        <v>40179</v>
      </c>
      <c r="J118" s="493" t="s">
        <v>1282</v>
      </c>
      <c r="K118" s="493" t="s">
        <v>1235</v>
      </c>
      <c r="L118" s="493" t="s">
        <v>1253</v>
      </c>
      <c r="M118" s="493" t="s">
        <v>1279</v>
      </c>
      <c r="N118" s="493" t="s">
        <v>1140</v>
      </c>
    </row>
    <row r="119" spans="1:14" x14ac:dyDescent="0.25">
      <c r="A119" s="493" t="s">
        <v>1283</v>
      </c>
      <c r="B119" s="493" t="s">
        <v>1284</v>
      </c>
      <c r="C119" s="493" t="s">
        <v>183</v>
      </c>
      <c r="D119" s="493" t="s">
        <v>876</v>
      </c>
      <c r="E119" s="493" t="s">
        <v>0</v>
      </c>
      <c r="F119" s="493" t="s">
        <v>636</v>
      </c>
      <c r="G119" s="493" t="s">
        <v>878</v>
      </c>
      <c r="H119" s="494">
        <v>2958465</v>
      </c>
      <c r="I119" s="494">
        <v>40179</v>
      </c>
      <c r="J119" s="493" t="s">
        <v>1285</v>
      </c>
      <c r="K119" s="493" t="s">
        <v>1235</v>
      </c>
      <c r="L119" s="493" t="s">
        <v>1253</v>
      </c>
      <c r="M119" s="493" t="s">
        <v>1279</v>
      </c>
      <c r="N119" s="493" t="s">
        <v>1140</v>
      </c>
    </row>
    <row r="120" spans="1:14" x14ac:dyDescent="0.25">
      <c r="A120" s="493" t="s">
        <v>1286</v>
      </c>
      <c r="B120" s="493" t="s">
        <v>1287</v>
      </c>
      <c r="C120" s="493" t="s">
        <v>1030</v>
      </c>
      <c r="D120" s="493" t="s">
        <v>876</v>
      </c>
      <c r="E120" s="493" t="s">
        <v>886</v>
      </c>
      <c r="F120" s="493" t="s">
        <v>636</v>
      </c>
      <c r="G120" s="493" t="s">
        <v>878</v>
      </c>
      <c r="H120" s="494">
        <v>2958465</v>
      </c>
      <c r="I120" s="494">
        <v>40179</v>
      </c>
      <c r="J120" s="493" t="s">
        <v>1287</v>
      </c>
      <c r="K120" s="493" t="s">
        <v>1235</v>
      </c>
      <c r="L120" s="493" t="s">
        <v>1253</v>
      </c>
      <c r="M120" s="493" t="s">
        <v>889</v>
      </c>
      <c r="N120" s="493" t="s">
        <v>890</v>
      </c>
    </row>
    <row r="121" spans="1:14" x14ac:dyDescent="0.25">
      <c r="A121" s="493" t="s">
        <v>1288</v>
      </c>
      <c r="B121" s="493" t="s">
        <v>1289</v>
      </c>
      <c r="C121" s="493" t="s">
        <v>183</v>
      </c>
      <c r="D121" s="493" t="s">
        <v>876</v>
      </c>
      <c r="E121" s="493" t="s">
        <v>877</v>
      </c>
      <c r="F121" s="493" t="s">
        <v>636</v>
      </c>
      <c r="G121" s="493" t="s">
        <v>878</v>
      </c>
      <c r="H121" s="494">
        <v>2958465</v>
      </c>
      <c r="I121" s="494">
        <v>40179</v>
      </c>
      <c r="J121" s="493" t="s">
        <v>1290</v>
      </c>
      <c r="K121" s="493" t="s">
        <v>1235</v>
      </c>
      <c r="L121" s="493" t="s">
        <v>1253</v>
      </c>
      <c r="M121" s="493" t="s">
        <v>881</v>
      </c>
      <c r="N121" s="493" t="s">
        <v>882</v>
      </c>
    </row>
    <row r="122" spans="1:14" x14ac:dyDescent="0.25">
      <c r="A122" s="493" t="s">
        <v>1291</v>
      </c>
      <c r="B122" s="493" t="s">
        <v>1292</v>
      </c>
      <c r="C122" s="493" t="s">
        <v>183</v>
      </c>
      <c r="D122" s="493" t="s">
        <v>876</v>
      </c>
      <c r="E122" s="493" t="s">
        <v>1143</v>
      </c>
      <c r="F122" s="493" t="s">
        <v>636</v>
      </c>
      <c r="G122" s="493" t="s">
        <v>878</v>
      </c>
      <c r="H122" s="494">
        <v>2958465</v>
      </c>
      <c r="I122" s="494">
        <v>40179</v>
      </c>
      <c r="J122" s="493" t="s">
        <v>1292</v>
      </c>
      <c r="K122" s="493" t="s">
        <v>1235</v>
      </c>
      <c r="L122" s="493" t="s">
        <v>1263</v>
      </c>
      <c r="M122" s="493" t="s">
        <v>912</v>
      </c>
      <c r="N122" s="493" t="s">
        <v>1146</v>
      </c>
    </row>
    <row r="123" spans="1:14" x14ac:dyDescent="0.25">
      <c r="A123" s="493" t="s">
        <v>1293</v>
      </c>
      <c r="B123" s="493" t="s">
        <v>1294</v>
      </c>
      <c r="C123" s="493" t="s">
        <v>183</v>
      </c>
      <c r="D123" s="493" t="s">
        <v>876</v>
      </c>
      <c r="E123" s="493" t="s">
        <v>0</v>
      </c>
      <c r="F123" s="493" t="s">
        <v>636</v>
      </c>
      <c r="G123" s="493" t="s">
        <v>878</v>
      </c>
      <c r="H123" s="494">
        <v>2958465</v>
      </c>
      <c r="I123" s="494">
        <v>40179</v>
      </c>
      <c r="J123" s="493" t="s">
        <v>1295</v>
      </c>
      <c r="K123" s="493" t="s">
        <v>1235</v>
      </c>
      <c r="L123" s="493" t="s">
        <v>1236</v>
      </c>
      <c r="M123" s="493" t="s">
        <v>1296</v>
      </c>
      <c r="N123" s="493" t="s">
        <v>1140</v>
      </c>
    </row>
    <row r="124" spans="1:14" x14ac:dyDescent="0.25">
      <c r="A124" s="493" t="s">
        <v>1297</v>
      </c>
      <c r="B124" s="493" t="s">
        <v>1298</v>
      </c>
      <c r="C124" s="493" t="s">
        <v>183</v>
      </c>
      <c r="D124" s="493" t="s">
        <v>876</v>
      </c>
      <c r="E124" s="493" t="s">
        <v>0</v>
      </c>
      <c r="F124" s="493" t="s">
        <v>636</v>
      </c>
      <c r="G124" s="493" t="s">
        <v>878</v>
      </c>
      <c r="H124" s="494">
        <v>2958465</v>
      </c>
      <c r="I124" s="494">
        <v>40179</v>
      </c>
      <c r="J124" s="493" t="s">
        <v>1299</v>
      </c>
      <c r="K124" s="493" t="s">
        <v>1235</v>
      </c>
      <c r="L124" s="493" t="s">
        <v>1236</v>
      </c>
      <c r="M124" s="493" t="s">
        <v>1300</v>
      </c>
      <c r="N124" s="493" t="s">
        <v>1140</v>
      </c>
    </row>
    <row r="125" spans="1:14" x14ac:dyDescent="0.25">
      <c r="A125" s="493" t="s">
        <v>1301</v>
      </c>
      <c r="B125" s="493" t="s">
        <v>1302</v>
      </c>
      <c r="C125" s="493" t="s">
        <v>183</v>
      </c>
      <c r="D125" s="493" t="s">
        <v>876</v>
      </c>
      <c r="E125" s="493" t="s">
        <v>0</v>
      </c>
      <c r="F125" s="493" t="s">
        <v>636</v>
      </c>
      <c r="G125" s="493" t="s">
        <v>878</v>
      </c>
      <c r="H125" s="494">
        <v>2958465</v>
      </c>
      <c r="I125" s="494">
        <v>40179</v>
      </c>
      <c r="J125" s="493" t="s">
        <v>1303</v>
      </c>
      <c r="K125" s="493" t="s">
        <v>1235</v>
      </c>
      <c r="L125" s="493" t="s">
        <v>1263</v>
      </c>
      <c r="M125" s="493" t="s">
        <v>1304</v>
      </c>
      <c r="N125" s="493" t="s">
        <v>1140</v>
      </c>
    </row>
    <row r="126" spans="1:14" x14ac:dyDescent="0.25">
      <c r="A126" s="493" t="s">
        <v>1305</v>
      </c>
      <c r="B126" s="493" t="s">
        <v>1306</v>
      </c>
      <c r="C126" s="493" t="s">
        <v>183</v>
      </c>
      <c r="D126" s="493" t="s">
        <v>876</v>
      </c>
      <c r="E126" s="493" t="s">
        <v>0</v>
      </c>
      <c r="F126" s="493" t="s">
        <v>636</v>
      </c>
      <c r="G126" s="493" t="s">
        <v>878</v>
      </c>
      <c r="H126" s="494">
        <v>2958465</v>
      </c>
      <c r="I126" s="494">
        <v>40179</v>
      </c>
      <c r="J126" s="493" t="s">
        <v>1306</v>
      </c>
      <c r="K126" s="493" t="s">
        <v>1235</v>
      </c>
      <c r="L126" s="493" t="s">
        <v>1236</v>
      </c>
      <c r="M126" s="493" t="s">
        <v>1279</v>
      </c>
      <c r="N126" s="493" t="s">
        <v>1140</v>
      </c>
    </row>
    <row r="127" spans="1:14" x14ac:dyDescent="0.25">
      <c r="A127" s="493" t="s">
        <v>1307</v>
      </c>
      <c r="B127" s="493" t="s">
        <v>1302</v>
      </c>
      <c r="C127" s="493" t="s">
        <v>183</v>
      </c>
      <c r="D127" s="493" t="s">
        <v>876</v>
      </c>
      <c r="E127" s="493" t="s">
        <v>0</v>
      </c>
      <c r="F127" s="493" t="s">
        <v>636</v>
      </c>
      <c r="G127" s="493" t="s">
        <v>878</v>
      </c>
      <c r="H127" s="494">
        <v>2958465</v>
      </c>
      <c r="I127" s="494">
        <v>40179</v>
      </c>
      <c r="J127" s="493" t="s">
        <v>1303</v>
      </c>
      <c r="K127" s="493" t="s">
        <v>1235</v>
      </c>
      <c r="L127" s="493" t="s">
        <v>1263</v>
      </c>
      <c r="M127" s="493" t="s">
        <v>1304</v>
      </c>
      <c r="N127" s="493" t="s">
        <v>1140</v>
      </c>
    </row>
    <row r="128" spans="1:14" x14ac:dyDescent="0.25">
      <c r="A128" s="493" t="s">
        <v>1308</v>
      </c>
      <c r="B128" s="493" t="s">
        <v>1309</v>
      </c>
      <c r="C128" s="493" t="s">
        <v>183</v>
      </c>
      <c r="D128" s="493" t="s">
        <v>876</v>
      </c>
      <c r="E128" s="493" t="s">
        <v>0</v>
      </c>
      <c r="F128" s="493" t="s">
        <v>636</v>
      </c>
      <c r="G128" s="493" t="s">
        <v>878</v>
      </c>
      <c r="H128" s="494">
        <v>2958465</v>
      </c>
      <c r="I128" s="494">
        <v>40179</v>
      </c>
      <c r="J128" s="493" t="s">
        <v>1310</v>
      </c>
      <c r="K128" s="493" t="s">
        <v>1235</v>
      </c>
      <c r="L128" s="493" t="s">
        <v>1263</v>
      </c>
      <c r="M128" s="493" t="s">
        <v>1300</v>
      </c>
      <c r="N128" s="493" t="s">
        <v>1140</v>
      </c>
    </row>
    <row r="129" spans="1:14" x14ac:dyDescent="0.25">
      <c r="A129" s="493" t="s">
        <v>1311</v>
      </c>
      <c r="B129" s="493" t="s">
        <v>1312</v>
      </c>
      <c r="C129" s="493" t="s">
        <v>183</v>
      </c>
      <c r="D129" s="493" t="s">
        <v>876</v>
      </c>
      <c r="E129" s="493" t="s">
        <v>0</v>
      </c>
      <c r="F129" s="493" t="s">
        <v>636</v>
      </c>
      <c r="G129" s="493" t="s">
        <v>878</v>
      </c>
      <c r="H129" s="494">
        <v>2958465</v>
      </c>
      <c r="I129" s="494">
        <v>40179</v>
      </c>
      <c r="J129" s="493" t="s">
        <v>1313</v>
      </c>
      <c r="K129" s="493" t="s">
        <v>1235</v>
      </c>
      <c r="L129" s="493" t="s">
        <v>1263</v>
      </c>
      <c r="M129" s="493" t="s">
        <v>1279</v>
      </c>
      <c r="N129" s="493" t="s">
        <v>1140</v>
      </c>
    </row>
    <row r="130" spans="1:14" x14ac:dyDescent="0.25">
      <c r="A130" s="493" t="s">
        <v>1314</v>
      </c>
      <c r="B130" s="493" t="s">
        <v>1315</v>
      </c>
      <c r="C130" s="493" t="s">
        <v>885</v>
      </c>
      <c r="D130" s="493" t="s">
        <v>876</v>
      </c>
      <c r="E130" s="493" t="s">
        <v>886</v>
      </c>
      <c r="F130" s="493" t="s">
        <v>636</v>
      </c>
      <c r="G130" s="493" t="s">
        <v>878</v>
      </c>
      <c r="H130" s="494">
        <v>2958465</v>
      </c>
      <c r="I130" s="494">
        <v>40179</v>
      </c>
      <c r="J130" s="493" t="s">
        <v>1315</v>
      </c>
      <c r="K130" s="493" t="s">
        <v>1235</v>
      </c>
      <c r="L130" s="493" t="s">
        <v>1253</v>
      </c>
      <c r="M130" s="493" t="s">
        <v>889</v>
      </c>
      <c r="N130" s="493" t="s">
        <v>890</v>
      </c>
    </row>
    <row r="131" spans="1:14" x14ac:dyDescent="0.25">
      <c r="A131" s="493" t="s">
        <v>1316</v>
      </c>
      <c r="B131" s="493" t="s">
        <v>1317</v>
      </c>
      <c r="C131" s="493" t="s">
        <v>1070</v>
      </c>
      <c r="D131" s="493" t="s">
        <v>876</v>
      </c>
      <c r="E131" s="493" t="s">
        <v>886</v>
      </c>
      <c r="F131" s="493" t="s">
        <v>636</v>
      </c>
      <c r="G131" s="493" t="s">
        <v>878</v>
      </c>
      <c r="H131" s="494">
        <v>2958465</v>
      </c>
      <c r="I131" s="494">
        <v>40179</v>
      </c>
      <c r="J131" s="493" t="s">
        <v>1318</v>
      </c>
      <c r="K131" s="493" t="s">
        <v>1235</v>
      </c>
      <c r="L131" s="493" t="s">
        <v>1263</v>
      </c>
      <c r="M131" s="493" t="s">
        <v>1071</v>
      </c>
      <c r="N131" s="493" t="s">
        <v>890</v>
      </c>
    </row>
    <row r="132" spans="1:14" x14ac:dyDescent="0.25">
      <c r="A132" s="493" t="s">
        <v>1319</v>
      </c>
      <c r="B132" s="493" t="s">
        <v>1320</v>
      </c>
      <c r="C132" s="493" t="s">
        <v>1013</v>
      </c>
      <c r="D132" s="493" t="s">
        <v>876</v>
      </c>
      <c r="E132" s="493" t="s">
        <v>886</v>
      </c>
      <c r="F132" s="493" t="s">
        <v>636</v>
      </c>
      <c r="G132" s="493" t="s">
        <v>878</v>
      </c>
      <c r="H132" s="494">
        <v>2958465</v>
      </c>
      <c r="I132" s="494">
        <v>40179</v>
      </c>
      <c r="J132" s="493" t="s">
        <v>1320</v>
      </c>
      <c r="K132" s="493" t="s">
        <v>1235</v>
      </c>
      <c r="L132" s="493" t="s">
        <v>1253</v>
      </c>
      <c r="M132" s="493" t="s">
        <v>1014</v>
      </c>
      <c r="N132" s="493" t="s">
        <v>890</v>
      </c>
    </row>
    <row r="133" spans="1:14" x14ac:dyDescent="0.25">
      <c r="A133" s="493" t="s">
        <v>1321</v>
      </c>
      <c r="B133" s="493" t="s">
        <v>1322</v>
      </c>
      <c r="C133" s="493" t="s">
        <v>985</v>
      </c>
      <c r="D133" s="493" t="s">
        <v>876</v>
      </c>
      <c r="E133" s="493" t="s">
        <v>886</v>
      </c>
      <c r="F133" s="493" t="s">
        <v>636</v>
      </c>
      <c r="G133" s="493" t="s">
        <v>878</v>
      </c>
      <c r="H133" s="494">
        <v>2958465</v>
      </c>
      <c r="I133" s="494">
        <v>40179</v>
      </c>
      <c r="J133" s="493" t="s">
        <v>1323</v>
      </c>
      <c r="K133" s="493" t="s">
        <v>1235</v>
      </c>
      <c r="L133" s="493" t="s">
        <v>1263</v>
      </c>
      <c r="M133" s="493" t="s">
        <v>987</v>
      </c>
      <c r="N133" s="493" t="s">
        <v>890</v>
      </c>
    </row>
    <row r="134" spans="1:14" x14ac:dyDescent="0.25">
      <c r="A134" s="493" t="s">
        <v>1324</v>
      </c>
      <c r="B134" s="493" t="s">
        <v>1136</v>
      </c>
      <c r="C134" s="493" t="s">
        <v>183</v>
      </c>
      <c r="D134" s="493" t="s">
        <v>876</v>
      </c>
      <c r="E134" s="493" t="s">
        <v>0</v>
      </c>
      <c r="F134" s="493" t="s">
        <v>636</v>
      </c>
      <c r="G134" s="493" t="s">
        <v>878</v>
      </c>
      <c r="H134" s="494">
        <v>2958465</v>
      </c>
      <c r="I134" s="494">
        <v>40179</v>
      </c>
      <c r="J134" s="493" t="s">
        <v>1325</v>
      </c>
      <c r="K134" s="493" t="s">
        <v>1235</v>
      </c>
      <c r="L134" s="493" t="s">
        <v>1263</v>
      </c>
      <c r="M134" s="493" t="s">
        <v>1139</v>
      </c>
      <c r="N134" s="493" t="s">
        <v>1140</v>
      </c>
    </row>
    <row r="135" spans="1:14" x14ac:dyDescent="0.25">
      <c r="A135" s="493" t="s">
        <v>1326</v>
      </c>
      <c r="B135" s="493" t="s">
        <v>1327</v>
      </c>
      <c r="C135" s="493" t="s">
        <v>183</v>
      </c>
      <c r="D135" s="493" t="s">
        <v>876</v>
      </c>
      <c r="E135" s="493" t="s">
        <v>0</v>
      </c>
      <c r="F135" s="493" t="s">
        <v>636</v>
      </c>
      <c r="G135" s="493" t="s">
        <v>878</v>
      </c>
      <c r="H135" s="494">
        <v>2958465</v>
      </c>
      <c r="I135" s="494">
        <v>40179</v>
      </c>
      <c r="J135" s="493" t="s">
        <v>1327</v>
      </c>
      <c r="K135" s="493" t="s">
        <v>1235</v>
      </c>
      <c r="L135" s="493" t="s">
        <v>1263</v>
      </c>
      <c r="M135" s="493" t="s">
        <v>1279</v>
      </c>
      <c r="N135" s="493" t="s">
        <v>1140</v>
      </c>
    </row>
    <row r="136" spans="1:14" x14ac:dyDescent="0.25">
      <c r="A136" s="493" t="s">
        <v>1328</v>
      </c>
      <c r="B136" s="493" t="s">
        <v>1329</v>
      </c>
      <c r="C136" s="493" t="s">
        <v>183</v>
      </c>
      <c r="D136" s="493" t="s">
        <v>876</v>
      </c>
      <c r="E136" s="493" t="s">
        <v>0</v>
      </c>
      <c r="F136" s="493" t="s">
        <v>636</v>
      </c>
      <c r="G136" s="493" t="s">
        <v>878</v>
      </c>
      <c r="H136" s="494">
        <v>2958465</v>
      </c>
      <c r="I136" s="494">
        <v>40179</v>
      </c>
      <c r="J136" s="493" t="s">
        <v>1329</v>
      </c>
      <c r="K136" s="493" t="s">
        <v>1235</v>
      </c>
      <c r="L136" s="493" t="s">
        <v>1240</v>
      </c>
      <c r="M136" s="493" t="s">
        <v>1279</v>
      </c>
      <c r="N136" s="493" t="s">
        <v>1140</v>
      </c>
    </row>
    <row r="137" spans="1:14" x14ac:dyDescent="0.25">
      <c r="A137" s="493" t="s">
        <v>1330</v>
      </c>
      <c r="B137" s="493" t="s">
        <v>1331</v>
      </c>
      <c r="C137" s="493" t="s">
        <v>183</v>
      </c>
      <c r="D137" s="493" t="s">
        <v>876</v>
      </c>
      <c r="E137" s="493" t="s">
        <v>0</v>
      </c>
      <c r="F137" s="493" t="s">
        <v>636</v>
      </c>
      <c r="G137" s="493" t="s">
        <v>878</v>
      </c>
      <c r="H137" s="494">
        <v>2958465</v>
      </c>
      <c r="I137" s="494">
        <v>40179</v>
      </c>
      <c r="J137" s="493" t="s">
        <v>1331</v>
      </c>
      <c r="K137" s="493" t="s">
        <v>1235</v>
      </c>
      <c r="L137" s="493" t="s">
        <v>1259</v>
      </c>
      <c r="M137" s="493" t="s">
        <v>1279</v>
      </c>
      <c r="N137" s="493" t="s">
        <v>1140</v>
      </c>
    </row>
    <row r="138" spans="1:14" x14ac:dyDescent="0.25">
      <c r="A138" s="493" t="s">
        <v>1332</v>
      </c>
      <c r="B138" s="493" t="s">
        <v>1333</v>
      </c>
      <c r="C138" s="493" t="s">
        <v>183</v>
      </c>
      <c r="D138" s="493" t="s">
        <v>876</v>
      </c>
      <c r="E138" s="493" t="s">
        <v>886</v>
      </c>
      <c r="F138" s="493" t="s">
        <v>636</v>
      </c>
      <c r="G138" s="493" t="s">
        <v>878</v>
      </c>
      <c r="H138" s="494">
        <v>2958465</v>
      </c>
      <c r="I138" s="494">
        <v>40179</v>
      </c>
      <c r="J138" s="493" t="s">
        <v>1333</v>
      </c>
      <c r="K138" s="493" t="s">
        <v>1235</v>
      </c>
      <c r="L138" s="493" t="s">
        <v>1253</v>
      </c>
      <c r="M138" s="493" t="s">
        <v>946</v>
      </c>
      <c r="N138" s="493" t="s">
        <v>890</v>
      </c>
    </row>
    <row r="139" spans="1:14" x14ac:dyDescent="0.25">
      <c r="A139" s="493" t="s">
        <v>1334</v>
      </c>
      <c r="B139" s="493" t="s">
        <v>1335</v>
      </c>
      <c r="C139" s="493" t="s">
        <v>1274</v>
      </c>
      <c r="D139" s="493" t="s">
        <v>876</v>
      </c>
      <c r="E139" s="493" t="s">
        <v>886</v>
      </c>
      <c r="F139" s="493" t="s">
        <v>636</v>
      </c>
      <c r="G139" s="493" t="s">
        <v>878</v>
      </c>
      <c r="H139" s="494">
        <v>2958465</v>
      </c>
      <c r="I139" s="494">
        <v>40179</v>
      </c>
      <c r="J139" s="493" t="s">
        <v>1336</v>
      </c>
      <c r="K139" s="493" t="s">
        <v>1235</v>
      </c>
      <c r="L139" s="493" t="s">
        <v>1138</v>
      </c>
      <c r="M139" s="493" t="s">
        <v>1124</v>
      </c>
      <c r="N139" s="493" t="s">
        <v>890</v>
      </c>
    </row>
    <row r="140" spans="1:14" x14ac:dyDescent="0.25">
      <c r="A140" s="493" t="s">
        <v>1337</v>
      </c>
      <c r="B140" s="493" t="s">
        <v>1338</v>
      </c>
      <c r="C140" s="493" t="s">
        <v>1339</v>
      </c>
      <c r="D140" s="493" t="s">
        <v>876</v>
      </c>
      <c r="E140" s="493" t="s">
        <v>1143</v>
      </c>
      <c r="F140" s="493" t="s">
        <v>636</v>
      </c>
      <c r="G140" s="493" t="s">
        <v>878</v>
      </c>
      <c r="H140" s="494">
        <v>2958465</v>
      </c>
      <c r="I140" s="494">
        <v>40179</v>
      </c>
      <c r="J140" s="493" t="s">
        <v>876</v>
      </c>
      <c r="K140" s="493" t="s">
        <v>1235</v>
      </c>
      <c r="L140" s="493" t="s">
        <v>1263</v>
      </c>
      <c r="M140" s="493" t="s">
        <v>1145</v>
      </c>
      <c r="N140" s="493" t="s">
        <v>1146</v>
      </c>
    </row>
    <row r="141" spans="1:14" x14ac:dyDescent="0.25">
      <c r="A141" s="493" t="s">
        <v>1340</v>
      </c>
      <c r="B141" s="493" t="s">
        <v>1341</v>
      </c>
      <c r="C141" s="493" t="s">
        <v>183</v>
      </c>
      <c r="D141" s="493" t="s">
        <v>876</v>
      </c>
      <c r="E141" s="493" t="s">
        <v>1143</v>
      </c>
      <c r="F141" s="493" t="s">
        <v>636</v>
      </c>
      <c r="G141" s="493" t="s">
        <v>878</v>
      </c>
      <c r="H141" s="494">
        <v>2958465</v>
      </c>
      <c r="I141" s="494">
        <v>40179</v>
      </c>
      <c r="J141" s="493" t="s">
        <v>1342</v>
      </c>
      <c r="K141" s="493" t="s">
        <v>1235</v>
      </c>
      <c r="L141" s="493" t="s">
        <v>1253</v>
      </c>
      <c r="M141" s="493" t="s">
        <v>1145</v>
      </c>
      <c r="N141" s="493" t="s">
        <v>1146</v>
      </c>
    </row>
    <row r="142" spans="1:14" x14ac:dyDescent="0.25">
      <c r="A142" s="493" t="s">
        <v>1343</v>
      </c>
      <c r="B142" s="493" t="s">
        <v>1344</v>
      </c>
      <c r="C142" s="493" t="s">
        <v>183</v>
      </c>
      <c r="D142" s="493" t="s">
        <v>876</v>
      </c>
      <c r="E142" s="493" t="s">
        <v>1143</v>
      </c>
      <c r="F142" s="493" t="s">
        <v>636</v>
      </c>
      <c r="G142" s="493" t="s">
        <v>878</v>
      </c>
      <c r="H142" s="494">
        <v>2958465</v>
      </c>
      <c r="I142" s="494">
        <v>40179</v>
      </c>
      <c r="J142" s="493" t="s">
        <v>1345</v>
      </c>
      <c r="K142" s="493" t="s">
        <v>1235</v>
      </c>
      <c r="L142" s="493" t="s">
        <v>818</v>
      </c>
      <c r="M142" s="493" t="s">
        <v>1145</v>
      </c>
      <c r="N142" s="493" t="s">
        <v>1146</v>
      </c>
    </row>
    <row r="143" spans="1:14" x14ac:dyDescent="0.25">
      <c r="A143" s="493" t="s">
        <v>1346</v>
      </c>
      <c r="B143" s="493" t="s">
        <v>1347</v>
      </c>
      <c r="C143" s="493" t="s">
        <v>183</v>
      </c>
      <c r="D143" s="493" t="s">
        <v>876</v>
      </c>
      <c r="E143" s="493" t="s">
        <v>1143</v>
      </c>
      <c r="F143" s="493" t="s">
        <v>636</v>
      </c>
      <c r="G143" s="493" t="s">
        <v>878</v>
      </c>
      <c r="H143" s="494">
        <v>2958465</v>
      </c>
      <c r="I143" s="494">
        <v>40179</v>
      </c>
      <c r="J143" s="493" t="s">
        <v>1348</v>
      </c>
      <c r="K143" s="493" t="s">
        <v>1235</v>
      </c>
      <c r="L143" s="493" t="s">
        <v>1349</v>
      </c>
      <c r="M143" s="493" t="s">
        <v>1145</v>
      </c>
      <c r="N143" s="493" t="s">
        <v>1146</v>
      </c>
    </row>
    <row r="144" spans="1:14" x14ac:dyDescent="0.25">
      <c r="A144" s="493" t="s">
        <v>1350</v>
      </c>
      <c r="B144" s="493" t="s">
        <v>1351</v>
      </c>
      <c r="C144" s="493" t="s">
        <v>183</v>
      </c>
      <c r="D144" s="493" t="s">
        <v>876</v>
      </c>
      <c r="E144" s="493" t="s">
        <v>1143</v>
      </c>
      <c r="F144" s="493" t="s">
        <v>636</v>
      </c>
      <c r="G144" s="493" t="s">
        <v>878</v>
      </c>
      <c r="H144" s="494">
        <v>2958465</v>
      </c>
      <c r="I144" s="494">
        <v>40179</v>
      </c>
      <c r="J144" s="493" t="s">
        <v>1352</v>
      </c>
      <c r="K144" s="493" t="s">
        <v>1235</v>
      </c>
      <c r="L144" s="493" t="s">
        <v>1353</v>
      </c>
      <c r="M144" s="493" t="s">
        <v>1145</v>
      </c>
      <c r="N144" s="493" t="s">
        <v>1146</v>
      </c>
    </row>
    <row r="145" spans="1:14" x14ac:dyDescent="0.25">
      <c r="A145" s="493" t="s">
        <v>1354</v>
      </c>
      <c r="B145" s="493" t="s">
        <v>1355</v>
      </c>
      <c r="C145" s="493" t="s">
        <v>183</v>
      </c>
      <c r="D145" s="493" t="s">
        <v>876</v>
      </c>
      <c r="E145" s="493" t="s">
        <v>0</v>
      </c>
      <c r="F145" s="493" t="s">
        <v>636</v>
      </c>
      <c r="G145" s="493" t="s">
        <v>878</v>
      </c>
      <c r="H145" s="494">
        <v>2958465</v>
      </c>
      <c r="I145" s="494">
        <v>40179</v>
      </c>
      <c r="J145" s="493" t="s">
        <v>1356</v>
      </c>
      <c r="K145" s="493" t="s">
        <v>1235</v>
      </c>
      <c r="L145" s="493" t="s">
        <v>1263</v>
      </c>
      <c r="M145" s="493" t="s">
        <v>1279</v>
      </c>
      <c r="N145" s="493" t="s">
        <v>1140</v>
      </c>
    </row>
    <row r="146" spans="1:14" x14ac:dyDescent="0.25">
      <c r="A146" s="493" t="s">
        <v>1357</v>
      </c>
      <c r="B146" s="493" t="s">
        <v>1358</v>
      </c>
      <c r="C146" s="493" t="s">
        <v>183</v>
      </c>
      <c r="D146" s="493" t="s">
        <v>876</v>
      </c>
      <c r="E146" s="493" t="s">
        <v>1143</v>
      </c>
      <c r="F146" s="493" t="s">
        <v>636</v>
      </c>
      <c r="G146" s="493" t="s">
        <v>878</v>
      </c>
      <c r="H146" s="494">
        <v>2958465</v>
      </c>
      <c r="I146" s="494">
        <v>40179</v>
      </c>
      <c r="J146" s="493" t="s">
        <v>1359</v>
      </c>
      <c r="K146" s="493" t="s">
        <v>1235</v>
      </c>
      <c r="L146" s="493" t="s">
        <v>1263</v>
      </c>
      <c r="M146" s="493" t="s">
        <v>1145</v>
      </c>
      <c r="N146" s="493" t="s">
        <v>1146</v>
      </c>
    </row>
    <row r="147" spans="1:14" x14ac:dyDescent="0.25">
      <c r="A147" s="493" t="s">
        <v>1360</v>
      </c>
      <c r="B147" s="493" t="s">
        <v>1361</v>
      </c>
      <c r="C147" s="493" t="s">
        <v>183</v>
      </c>
      <c r="D147" s="493" t="s">
        <v>876</v>
      </c>
      <c r="E147" s="493" t="s">
        <v>1143</v>
      </c>
      <c r="F147" s="493" t="s">
        <v>636</v>
      </c>
      <c r="G147" s="493" t="s">
        <v>878</v>
      </c>
      <c r="H147" s="494">
        <v>2958465</v>
      </c>
      <c r="I147" s="494">
        <v>40179</v>
      </c>
      <c r="J147" s="493" t="s">
        <v>1362</v>
      </c>
      <c r="K147" s="493" t="s">
        <v>1235</v>
      </c>
      <c r="L147" s="493" t="s">
        <v>1259</v>
      </c>
      <c r="M147" s="493" t="s">
        <v>1145</v>
      </c>
      <c r="N147" s="493" t="s">
        <v>1146</v>
      </c>
    </row>
    <row r="148" spans="1:14" x14ac:dyDescent="0.25">
      <c r="A148" s="493" t="s">
        <v>1363</v>
      </c>
      <c r="B148" s="493" t="s">
        <v>1364</v>
      </c>
      <c r="C148" s="493" t="s">
        <v>183</v>
      </c>
      <c r="D148" s="493" t="s">
        <v>876</v>
      </c>
      <c r="E148" s="493" t="s">
        <v>1143</v>
      </c>
      <c r="F148" s="493" t="s">
        <v>636</v>
      </c>
      <c r="G148" s="493" t="s">
        <v>878</v>
      </c>
      <c r="H148" s="494">
        <v>2958465</v>
      </c>
      <c r="I148" s="494">
        <v>40179</v>
      </c>
      <c r="J148" s="493" t="s">
        <v>1365</v>
      </c>
      <c r="K148" s="493" t="s">
        <v>1235</v>
      </c>
      <c r="L148" s="493" t="s">
        <v>1366</v>
      </c>
      <c r="M148" s="493" t="s">
        <v>1145</v>
      </c>
      <c r="N148" s="493" t="s">
        <v>1146</v>
      </c>
    </row>
    <row r="149" spans="1:14" x14ac:dyDescent="0.25">
      <c r="A149" s="493" t="s">
        <v>1367</v>
      </c>
      <c r="B149" s="493" t="s">
        <v>1368</v>
      </c>
      <c r="C149" s="493" t="s">
        <v>183</v>
      </c>
      <c r="D149" s="493" t="s">
        <v>876</v>
      </c>
      <c r="E149" s="493" t="s">
        <v>0</v>
      </c>
      <c r="F149" s="493" t="s">
        <v>636</v>
      </c>
      <c r="G149" s="493" t="s">
        <v>878</v>
      </c>
      <c r="H149" s="494">
        <v>2958465</v>
      </c>
      <c r="I149" s="494">
        <v>40179</v>
      </c>
      <c r="J149" s="493" t="s">
        <v>1369</v>
      </c>
      <c r="K149" s="493" t="s">
        <v>1235</v>
      </c>
      <c r="L149" s="493" t="s">
        <v>1263</v>
      </c>
      <c r="M149" s="493" t="s">
        <v>1279</v>
      </c>
      <c r="N149" s="493" t="s">
        <v>1140</v>
      </c>
    </row>
    <row r="150" spans="1:14" x14ac:dyDescent="0.25">
      <c r="A150" s="493" t="s">
        <v>1370</v>
      </c>
      <c r="B150" s="493" t="s">
        <v>1371</v>
      </c>
      <c r="C150" s="493" t="s">
        <v>885</v>
      </c>
      <c r="D150" s="493" t="s">
        <v>876</v>
      </c>
      <c r="E150" s="493" t="s">
        <v>886</v>
      </c>
      <c r="F150" s="493" t="s">
        <v>636</v>
      </c>
      <c r="G150" s="493" t="s">
        <v>878</v>
      </c>
      <c r="H150" s="494">
        <v>2958465</v>
      </c>
      <c r="I150" s="494">
        <v>40179</v>
      </c>
      <c r="J150" s="493" t="s">
        <v>1372</v>
      </c>
      <c r="K150" s="493" t="s">
        <v>1235</v>
      </c>
      <c r="L150" s="493" t="s">
        <v>1263</v>
      </c>
      <c r="M150" s="493" t="s">
        <v>962</v>
      </c>
      <c r="N150" s="493" t="s">
        <v>890</v>
      </c>
    </row>
    <row r="151" spans="1:14" x14ac:dyDescent="0.25">
      <c r="A151" s="493" t="s">
        <v>1373</v>
      </c>
      <c r="B151" s="493" t="s">
        <v>1374</v>
      </c>
      <c r="C151" s="493" t="s">
        <v>985</v>
      </c>
      <c r="D151" s="493" t="s">
        <v>876</v>
      </c>
      <c r="E151" s="493" t="s">
        <v>886</v>
      </c>
      <c r="F151" s="493" t="s">
        <v>636</v>
      </c>
      <c r="G151" s="493" t="s">
        <v>878</v>
      </c>
      <c r="H151" s="494">
        <v>2958465</v>
      </c>
      <c r="I151" s="494">
        <v>40179</v>
      </c>
      <c r="J151" s="493" t="s">
        <v>1375</v>
      </c>
      <c r="K151" s="493" t="s">
        <v>1235</v>
      </c>
      <c r="L151" s="493" t="s">
        <v>1263</v>
      </c>
      <c r="M151" s="493" t="s">
        <v>1038</v>
      </c>
      <c r="N151" s="493" t="s">
        <v>890</v>
      </c>
    </row>
    <row r="152" spans="1:14" x14ac:dyDescent="0.25">
      <c r="A152" s="493" t="s">
        <v>1376</v>
      </c>
      <c r="B152" s="493" t="s">
        <v>1377</v>
      </c>
      <c r="C152" s="493" t="s">
        <v>183</v>
      </c>
      <c r="D152" s="493" t="s">
        <v>876</v>
      </c>
      <c r="E152" s="493" t="s">
        <v>1143</v>
      </c>
      <c r="F152" s="493" t="s">
        <v>636</v>
      </c>
      <c r="G152" s="493" t="s">
        <v>878</v>
      </c>
      <c r="H152" s="494">
        <v>2958465</v>
      </c>
      <c r="I152" s="494">
        <v>40179</v>
      </c>
      <c r="J152" s="493" t="s">
        <v>1378</v>
      </c>
      <c r="K152" s="493" t="s">
        <v>1235</v>
      </c>
      <c r="L152" s="493" t="s">
        <v>1253</v>
      </c>
      <c r="M152" s="493" t="s">
        <v>1379</v>
      </c>
      <c r="N152" s="493" t="s">
        <v>1146</v>
      </c>
    </row>
    <row r="153" spans="1:14" x14ac:dyDescent="0.25">
      <c r="A153" s="493" t="s">
        <v>1380</v>
      </c>
      <c r="B153" s="493" t="s">
        <v>1381</v>
      </c>
      <c r="C153" s="493" t="s">
        <v>885</v>
      </c>
      <c r="D153" s="493" t="s">
        <v>876</v>
      </c>
      <c r="E153" s="493" t="s">
        <v>1143</v>
      </c>
      <c r="F153" s="493" t="s">
        <v>636</v>
      </c>
      <c r="G153" s="493" t="s">
        <v>878</v>
      </c>
      <c r="H153" s="494">
        <v>2958465</v>
      </c>
      <c r="I153" s="494">
        <v>40179</v>
      </c>
      <c r="J153" s="493" t="s">
        <v>1382</v>
      </c>
      <c r="K153" s="493" t="s">
        <v>1235</v>
      </c>
      <c r="L153" s="493" t="s">
        <v>1236</v>
      </c>
      <c r="M153" s="493" t="s">
        <v>962</v>
      </c>
      <c r="N153" s="493" t="s">
        <v>1146</v>
      </c>
    </row>
    <row r="154" spans="1:14" x14ac:dyDescent="0.25">
      <c r="A154" s="493" t="s">
        <v>1383</v>
      </c>
      <c r="B154" s="493" t="s">
        <v>1384</v>
      </c>
      <c r="C154" s="493" t="s">
        <v>885</v>
      </c>
      <c r="D154" s="493" t="s">
        <v>876</v>
      </c>
      <c r="E154" s="493" t="s">
        <v>1152</v>
      </c>
      <c r="F154" s="493" t="s">
        <v>636</v>
      </c>
      <c r="G154" s="493" t="s">
        <v>878</v>
      </c>
      <c r="H154" s="494">
        <v>2958465</v>
      </c>
      <c r="I154" s="494">
        <v>40179</v>
      </c>
      <c r="J154" s="493" t="s">
        <v>1385</v>
      </c>
      <c r="K154" s="493" t="s">
        <v>1235</v>
      </c>
      <c r="L154" s="493" t="s">
        <v>1236</v>
      </c>
      <c r="M154" s="493" t="s">
        <v>962</v>
      </c>
      <c r="N154" s="493" t="s">
        <v>1153</v>
      </c>
    </row>
    <row r="155" spans="1:14" x14ac:dyDescent="0.25">
      <c r="A155" s="493" t="s">
        <v>1386</v>
      </c>
      <c r="B155" s="493" t="s">
        <v>1387</v>
      </c>
      <c r="C155" s="493" t="s">
        <v>885</v>
      </c>
      <c r="D155" s="493" t="s">
        <v>876</v>
      </c>
      <c r="E155" s="493" t="s">
        <v>886</v>
      </c>
      <c r="F155" s="493" t="s">
        <v>636</v>
      </c>
      <c r="G155" s="493" t="s">
        <v>878</v>
      </c>
      <c r="H155" s="494">
        <v>2958465</v>
      </c>
      <c r="I155" s="494">
        <v>40179</v>
      </c>
      <c r="J155" s="493" t="s">
        <v>1388</v>
      </c>
      <c r="K155" s="493" t="s">
        <v>1235</v>
      </c>
      <c r="L155" s="493" t="s">
        <v>1236</v>
      </c>
      <c r="M155" s="493" t="s">
        <v>962</v>
      </c>
      <c r="N155" s="493" t="s">
        <v>890</v>
      </c>
    </row>
    <row r="156" spans="1:14" x14ac:dyDescent="0.25">
      <c r="A156" s="493" t="s">
        <v>1389</v>
      </c>
      <c r="B156" s="493" t="s">
        <v>1390</v>
      </c>
      <c r="C156" s="493" t="s">
        <v>985</v>
      </c>
      <c r="D156" s="493" t="s">
        <v>876</v>
      </c>
      <c r="E156" s="493" t="s">
        <v>886</v>
      </c>
      <c r="F156" s="493" t="s">
        <v>636</v>
      </c>
      <c r="G156" s="493" t="s">
        <v>878</v>
      </c>
      <c r="H156" s="494">
        <v>2958465</v>
      </c>
      <c r="I156" s="494">
        <v>40179</v>
      </c>
      <c r="J156" s="493" t="s">
        <v>1391</v>
      </c>
      <c r="K156" s="493" t="s">
        <v>1235</v>
      </c>
      <c r="L156" s="493" t="s">
        <v>1138</v>
      </c>
      <c r="M156" s="493" t="s">
        <v>1038</v>
      </c>
      <c r="N156" s="493" t="s">
        <v>890</v>
      </c>
    </row>
    <row r="157" spans="1:14" x14ac:dyDescent="0.25">
      <c r="A157" s="493" t="s">
        <v>1392</v>
      </c>
      <c r="B157" s="493" t="s">
        <v>1393</v>
      </c>
      <c r="C157" s="493" t="s">
        <v>1056</v>
      </c>
      <c r="D157" s="493" t="s">
        <v>876</v>
      </c>
      <c r="E157" s="493" t="s">
        <v>1152</v>
      </c>
      <c r="F157" s="493" t="s">
        <v>636</v>
      </c>
      <c r="G157" s="493" t="s">
        <v>878</v>
      </c>
      <c r="H157" s="494">
        <v>2958465</v>
      </c>
      <c r="I157" s="494">
        <v>40179</v>
      </c>
      <c r="J157" s="493" t="s">
        <v>1393</v>
      </c>
      <c r="K157" s="493" t="s">
        <v>1235</v>
      </c>
      <c r="L157" s="493" t="s">
        <v>1240</v>
      </c>
      <c r="M157" s="493" t="s">
        <v>1058</v>
      </c>
      <c r="N157" s="493" t="s">
        <v>1153</v>
      </c>
    </row>
    <row r="158" spans="1:14" x14ac:dyDescent="0.25">
      <c r="A158" s="493" t="s">
        <v>1394</v>
      </c>
      <c r="B158" s="493" t="s">
        <v>1395</v>
      </c>
      <c r="C158" s="493" t="s">
        <v>183</v>
      </c>
      <c r="D158" s="493" t="s">
        <v>876</v>
      </c>
      <c r="E158" s="493" t="s">
        <v>0</v>
      </c>
      <c r="F158" s="493" t="s">
        <v>636</v>
      </c>
      <c r="G158" s="493" t="s">
        <v>878</v>
      </c>
      <c r="H158" s="494">
        <v>2958465</v>
      </c>
      <c r="I158" s="494">
        <v>40179</v>
      </c>
      <c r="J158" s="493" t="s">
        <v>1396</v>
      </c>
      <c r="K158" s="493" t="s">
        <v>1235</v>
      </c>
      <c r="L158" s="493" t="s">
        <v>1253</v>
      </c>
      <c r="M158" s="493" t="s">
        <v>1279</v>
      </c>
      <c r="N158" s="493" t="s">
        <v>1140</v>
      </c>
    </row>
    <row r="159" spans="1:14" x14ac:dyDescent="0.25">
      <c r="A159" s="493" t="s">
        <v>1397</v>
      </c>
      <c r="B159" s="493" t="s">
        <v>1398</v>
      </c>
      <c r="C159" s="493" t="s">
        <v>183</v>
      </c>
      <c r="D159" s="493" t="s">
        <v>876</v>
      </c>
      <c r="E159" s="493" t="s">
        <v>569</v>
      </c>
      <c r="F159" s="493" t="s">
        <v>636</v>
      </c>
      <c r="G159" s="493" t="s">
        <v>878</v>
      </c>
      <c r="H159" s="494">
        <v>2958465</v>
      </c>
      <c r="I159" s="494">
        <v>40179</v>
      </c>
      <c r="J159" s="493" t="s">
        <v>1398</v>
      </c>
      <c r="K159" s="493" t="s">
        <v>1235</v>
      </c>
      <c r="L159" s="493" t="s">
        <v>1263</v>
      </c>
      <c r="M159" s="493" t="s">
        <v>1023</v>
      </c>
      <c r="N159" s="493" t="s">
        <v>1024</v>
      </c>
    </row>
    <row r="160" spans="1:14" x14ac:dyDescent="0.25">
      <c r="A160" s="493" t="s">
        <v>1399</v>
      </c>
      <c r="B160" s="493" t="s">
        <v>1400</v>
      </c>
      <c r="C160" s="493" t="s">
        <v>183</v>
      </c>
      <c r="D160" s="493" t="s">
        <v>876</v>
      </c>
      <c r="E160" s="493" t="s">
        <v>569</v>
      </c>
      <c r="F160" s="493" t="s">
        <v>636</v>
      </c>
      <c r="G160" s="493" t="s">
        <v>878</v>
      </c>
      <c r="H160" s="494">
        <v>2958465</v>
      </c>
      <c r="I160" s="494">
        <v>40179</v>
      </c>
      <c r="J160" s="493" t="s">
        <v>1400</v>
      </c>
      <c r="K160" s="493" t="s">
        <v>1235</v>
      </c>
      <c r="L160" s="493" t="s">
        <v>1240</v>
      </c>
      <c r="M160" s="493" t="s">
        <v>1023</v>
      </c>
      <c r="N160" s="493" t="s">
        <v>1024</v>
      </c>
    </row>
    <row r="161" spans="1:14" x14ac:dyDescent="0.25">
      <c r="A161" s="493" t="s">
        <v>1401</v>
      </c>
      <c r="B161" s="493" t="s">
        <v>1402</v>
      </c>
      <c r="C161" s="493" t="s">
        <v>183</v>
      </c>
      <c r="D161" s="493" t="s">
        <v>876</v>
      </c>
      <c r="E161" s="493" t="s">
        <v>0</v>
      </c>
      <c r="F161" s="493" t="s">
        <v>636</v>
      </c>
      <c r="G161" s="493" t="s">
        <v>878</v>
      </c>
      <c r="H161" s="494">
        <v>2958465</v>
      </c>
      <c r="I161" s="494">
        <v>40179</v>
      </c>
      <c r="J161" s="493" t="s">
        <v>1402</v>
      </c>
      <c r="K161" s="493" t="s">
        <v>1235</v>
      </c>
      <c r="L161" s="493" t="s">
        <v>1366</v>
      </c>
      <c r="M161" s="493" t="s">
        <v>1279</v>
      </c>
      <c r="N161" s="493" t="s">
        <v>1140</v>
      </c>
    </row>
    <row r="162" spans="1:14" x14ac:dyDescent="0.25">
      <c r="A162" s="493" t="s">
        <v>1403</v>
      </c>
      <c r="B162" s="493" t="s">
        <v>1404</v>
      </c>
      <c r="C162" s="493" t="s">
        <v>183</v>
      </c>
      <c r="D162" s="493" t="s">
        <v>876</v>
      </c>
      <c r="E162" s="493" t="s">
        <v>569</v>
      </c>
      <c r="F162" s="493" t="s">
        <v>636</v>
      </c>
      <c r="G162" s="493" t="s">
        <v>878</v>
      </c>
      <c r="H162" s="494">
        <v>2958465</v>
      </c>
      <c r="I162" s="494">
        <v>40179</v>
      </c>
      <c r="J162" s="493" t="s">
        <v>1404</v>
      </c>
      <c r="K162" s="493" t="s">
        <v>1235</v>
      </c>
      <c r="L162" s="493" t="s">
        <v>1259</v>
      </c>
      <c r="M162" s="493" t="s">
        <v>1023</v>
      </c>
      <c r="N162" s="493" t="s">
        <v>1024</v>
      </c>
    </row>
    <row r="163" spans="1:14" x14ac:dyDescent="0.25">
      <c r="A163" s="493" t="s">
        <v>1405</v>
      </c>
      <c r="B163" s="493" t="s">
        <v>1406</v>
      </c>
      <c r="C163" s="493" t="s">
        <v>183</v>
      </c>
      <c r="D163" s="493" t="s">
        <v>876</v>
      </c>
      <c r="E163" s="493" t="s">
        <v>0</v>
      </c>
      <c r="F163" s="493" t="s">
        <v>636</v>
      </c>
      <c r="G163" s="493" t="s">
        <v>878</v>
      </c>
      <c r="H163" s="494">
        <v>2958465</v>
      </c>
      <c r="I163" s="494">
        <v>40179</v>
      </c>
      <c r="J163" s="493" t="s">
        <v>1407</v>
      </c>
      <c r="K163" s="493" t="s">
        <v>1235</v>
      </c>
      <c r="L163" s="493" t="s">
        <v>1263</v>
      </c>
      <c r="M163" s="493" t="s">
        <v>1279</v>
      </c>
      <c r="N163" s="493" t="s">
        <v>1140</v>
      </c>
    </row>
    <row r="164" spans="1:14" x14ac:dyDescent="0.25">
      <c r="A164" s="493" t="s">
        <v>1408</v>
      </c>
      <c r="B164" s="493" t="s">
        <v>1409</v>
      </c>
      <c r="C164" s="493" t="s">
        <v>183</v>
      </c>
      <c r="D164" s="493" t="s">
        <v>876</v>
      </c>
      <c r="E164" s="493" t="s">
        <v>569</v>
      </c>
      <c r="F164" s="493" t="s">
        <v>636</v>
      </c>
      <c r="G164" s="493" t="s">
        <v>878</v>
      </c>
      <c r="H164" s="494">
        <v>2958465</v>
      </c>
      <c r="I164" s="494">
        <v>40179</v>
      </c>
      <c r="J164" s="493" t="s">
        <v>1409</v>
      </c>
      <c r="K164" s="493" t="s">
        <v>1235</v>
      </c>
      <c r="L164" s="493" t="s">
        <v>1253</v>
      </c>
      <c r="M164" s="493" t="s">
        <v>1023</v>
      </c>
      <c r="N164" s="493" t="s">
        <v>1024</v>
      </c>
    </row>
    <row r="165" spans="1:14" x14ac:dyDescent="0.25">
      <c r="A165" s="493" t="s">
        <v>1410</v>
      </c>
      <c r="B165" s="493" t="s">
        <v>1411</v>
      </c>
      <c r="C165" s="493" t="s">
        <v>183</v>
      </c>
      <c r="D165" s="493" t="s">
        <v>876</v>
      </c>
      <c r="E165" s="493" t="s">
        <v>877</v>
      </c>
      <c r="F165" s="493" t="s">
        <v>636</v>
      </c>
      <c r="G165" s="493" t="s">
        <v>878</v>
      </c>
      <c r="H165" s="494">
        <v>2958465</v>
      </c>
      <c r="I165" s="494">
        <v>40179</v>
      </c>
      <c r="J165" s="493" t="s">
        <v>1412</v>
      </c>
      <c r="K165" s="493" t="s">
        <v>1235</v>
      </c>
      <c r="L165" s="493" t="s">
        <v>1240</v>
      </c>
      <c r="M165" s="493" t="s">
        <v>881</v>
      </c>
      <c r="N165" s="493" t="s">
        <v>882</v>
      </c>
    </row>
    <row r="166" spans="1:14" x14ac:dyDescent="0.25">
      <c r="A166" s="493" t="s">
        <v>1413</v>
      </c>
      <c r="B166" s="493" t="s">
        <v>1414</v>
      </c>
      <c r="C166" s="493" t="s">
        <v>183</v>
      </c>
      <c r="D166" s="493" t="s">
        <v>876</v>
      </c>
      <c r="E166" s="493" t="s">
        <v>569</v>
      </c>
      <c r="F166" s="493" t="s">
        <v>636</v>
      </c>
      <c r="G166" s="493" t="s">
        <v>878</v>
      </c>
      <c r="H166" s="494">
        <v>2958465</v>
      </c>
      <c r="I166" s="494">
        <v>40179</v>
      </c>
      <c r="J166" s="493" t="s">
        <v>1414</v>
      </c>
      <c r="K166" s="493" t="s">
        <v>1235</v>
      </c>
      <c r="L166" s="493" t="s">
        <v>1366</v>
      </c>
      <c r="M166" s="493" t="s">
        <v>1023</v>
      </c>
      <c r="N166" s="493" t="s">
        <v>1024</v>
      </c>
    </row>
    <row r="167" spans="1:14" x14ac:dyDescent="0.25">
      <c r="A167" s="493" t="s">
        <v>1415</v>
      </c>
      <c r="B167" s="493" t="s">
        <v>1416</v>
      </c>
      <c r="C167" s="493" t="s">
        <v>183</v>
      </c>
      <c r="D167" s="493" t="s">
        <v>876</v>
      </c>
      <c r="E167" s="493" t="s">
        <v>877</v>
      </c>
      <c r="F167" s="493" t="s">
        <v>636</v>
      </c>
      <c r="G167" s="493" t="s">
        <v>878</v>
      </c>
      <c r="H167" s="494">
        <v>2958465</v>
      </c>
      <c r="I167" s="494">
        <v>40179</v>
      </c>
      <c r="J167" s="493" t="s">
        <v>1416</v>
      </c>
      <c r="K167" s="493" t="s">
        <v>1235</v>
      </c>
      <c r="L167" s="493" t="s">
        <v>1259</v>
      </c>
      <c r="M167" s="493" t="s">
        <v>881</v>
      </c>
      <c r="N167" s="493" t="s">
        <v>882</v>
      </c>
    </row>
    <row r="168" spans="1:14" x14ac:dyDescent="0.25">
      <c r="A168" s="493" t="s">
        <v>1417</v>
      </c>
      <c r="B168" s="493" t="s">
        <v>1418</v>
      </c>
      <c r="C168" s="493" t="s">
        <v>183</v>
      </c>
      <c r="D168" s="493" t="s">
        <v>876</v>
      </c>
      <c r="E168" s="493" t="s">
        <v>877</v>
      </c>
      <c r="F168" s="493" t="s">
        <v>636</v>
      </c>
      <c r="G168" s="493" t="s">
        <v>878</v>
      </c>
      <c r="H168" s="494">
        <v>2958465</v>
      </c>
      <c r="I168" s="494">
        <v>40179</v>
      </c>
      <c r="J168" s="493" t="s">
        <v>1419</v>
      </c>
      <c r="K168" s="493" t="s">
        <v>1235</v>
      </c>
      <c r="L168" s="493" t="s">
        <v>1366</v>
      </c>
      <c r="M168" s="493" t="s">
        <v>881</v>
      </c>
      <c r="N168" s="493" t="s">
        <v>882</v>
      </c>
    </row>
    <row r="169" spans="1:14" x14ac:dyDescent="0.25">
      <c r="A169" s="493" t="s">
        <v>1420</v>
      </c>
      <c r="B169" s="493" t="s">
        <v>1421</v>
      </c>
      <c r="C169" s="493" t="s">
        <v>1070</v>
      </c>
      <c r="D169" s="493" t="s">
        <v>876</v>
      </c>
      <c r="E169" s="493" t="s">
        <v>886</v>
      </c>
      <c r="F169" s="493" t="s">
        <v>636</v>
      </c>
      <c r="G169" s="493" t="s">
        <v>878</v>
      </c>
      <c r="H169" s="494">
        <v>2958465</v>
      </c>
      <c r="I169" s="494">
        <v>40179</v>
      </c>
      <c r="J169" s="493" t="s">
        <v>1422</v>
      </c>
      <c r="K169" s="493" t="s">
        <v>1423</v>
      </c>
      <c r="L169" s="493" t="s">
        <v>1424</v>
      </c>
      <c r="M169" s="493" t="s">
        <v>1071</v>
      </c>
      <c r="N169" s="493" t="s">
        <v>890</v>
      </c>
    </row>
    <row r="170" spans="1:14" x14ac:dyDescent="0.25">
      <c r="A170" s="493" t="s">
        <v>1425</v>
      </c>
      <c r="B170" s="493" t="s">
        <v>1426</v>
      </c>
      <c r="C170" s="493" t="s">
        <v>985</v>
      </c>
      <c r="D170" s="493" t="s">
        <v>876</v>
      </c>
      <c r="E170" s="493" t="s">
        <v>886</v>
      </c>
      <c r="F170" s="493" t="s">
        <v>636</v>
      </c>
      <c r="G170" s="493" t="s">
        <v>878</v>
      </c>
      <c r="H170" s="494">
        <v>2958465</v>
      </c>
      <c r="I170" s="494">
        <v>40179</v>
      </c>
      <c r="J170" s="493" t="s">
        <v>1426</v>
      </c>
      <c r="K170" s="493" t="s">
        <v>1423</v>
      </c>
      <c r="L170" s="493" t="s">
        <v>1424</v>
      </c>
      <c r="M170" s="493" t="s">
        <v>987</v>
      </c>
      <c r="N170" s="493" t="s">
        <v>890</v>
      </c>
    </row>
    <row r="171" spans="1:14" x14ac:dyDescent="0.25">
      <c r="A171" s="493" t="s">
        <v>1427</v>
      </c>
      <c r="B171" s="493" t="s">
        <v>1428</v>
      </c>
      <c r="C171" s="493" t="s">
        <v>1429</v>
      </c>
      <c r="D171" s="493" t="s">
        <v>876</v>
      </c>
      <c r="E171" s="493" t="s">
        <v>886</v>
      </c>
      <c r="F171" s="493" t="s">
        <v>636</v>
      </c>
      <c r="G171" s="493" t="s">
        <v>878</v>
      </c>
      <c r="H171" s="494">
        <v>2958465</v>
      </c>
      <c r="I171" s="494">
        <v>40179</v>
      </c>
      <c r="J171" s="493" t="s">
        <v>1428</v>
      </c>
      <c r="K171" s="493" t="s">
        <v>1423</v>
      </c>
      <c r="L171" s="493" t="s">
        <v>1430</v>
      </c>
      <c r="M171" s="493" t="s">
        <v>950</v>
      </c>
      <c r="N171" s="493" t="s">
        <v>890</v>
      </c>
    </row>
    <row r="172" spans="1:14" x14ac:dyDescent="0.25">
      <c r="A172" s="493" t="s">
        <v>1431</v>
      </c>
      <c r="B172" s="493" t="s">
        <v>1432</v>
      </c>
      <c r="C172" s="493" t="s">
        <v>1078</v>
      </c>
      <c r="D172" s="493" t="s">
        <v>876</v>
      </c>
      <c r="E172" s="493" t="s">
        <v>886</v>
      </c>
      <c r="F172" s="493" t="s">
        <v>636</v>
      </c>
      <c r="G172" s="493" t="s">
        <v>878</v>
      </c>
      <c r="H172" s="494">
        <v>2958465</v>
      </c>
      <c r="I172" s="494">
        <v>40179</v>
      </c>
      <c r="J172" s="493" t="s">
        <v>1433</v>
      </c>
      <c r="K172" s="493" t="s">
        <v>1423</v>
      </c>
      <c r="L172" s="493" t="s">
        <v>1424</v>
      </c>
      <c r="M172" s="493" t="s">
        <v>1080</v>
      </c>
      <c r="N172" s="493" t="s">
        <v>890</v>
      </c>
    </row>
    <row r="173" spans="1:14" x14ac:dyDescent="0.25">
      <c r="A173" s="493" t="s">
        <v>1434</v>
      </c>
      <c r="B173" s="493" t="s">
        <v>1435</v>
      </c>
      <c r="C173" s="493" t="s">
        <v>1233</v>
      </c>
      <c r="D173" s="493" t="s">
        <v>876</v>
      </c>
      <c r="E173" s="493" t="s">
        <v>1143</v>
      </c>
      <c r="F173" s="493" t="s">
        <v>636</v>
      </c>
      <c r="G173" s="493" t="s">
        <v>878</v>
      </c>
      <c r="H173" s="494">
        <v>2958465</v>
      </c>
      <c r="I173" s="494">
        <v>40179</v>
      </c>
      <c r="J173" s="493" t="s">
        <v>1435</v>
      </c>
      <c r="K173" s="493" t="s">
        <v>1423</v>
      </c>
      <c r="L173" s="493" t="s">
        <v>1424</v>
      </c>
      <c r="M173" s="493" t="s">
        <v>912</v>
      </c>
      <c r="N173" s="493" t="s">
        <v>1146</v>
      </c>
    </row>
    <row r="174" spans="1:14" x14ac:dyDescent="0.25">
      <c r="A174" s="493" t="s">
        <v>1436</v>
      </c>
      <c r="B174" s="493" t="s">
        <v>1437</v>
      </c>
      <c r="C174" s="493" t="s">
        <v>1438</v>
      </c>
      <c r="D174" s="493" t="s">
        <v>876</v>
      </c>
      <c r="E174" s="493" t="s">
        <v>1244</v>
      </c>
      <c r="F174" s="493" t="s">
        <v>636</v>
      </c>
      <c r="G174" s="493" t="s">
        <v>878</v>
      </c>
      <c r="H174" s="494">
        <v>2958465</v>
      </c>
      <c r="I174" s="494">
        <v>40179</v>
      </c>
      <c r="J174" s="493" t="s">
        <v>1437</v>
      </c>
      <c r="K174" s="493" t="s">
        <v>1423</v>
      </c>
      <c r="L174" s="493" t="s">
        <v>1439</v>
      </c>
      <c r="M174" s="493" t="s">
        <v>918</v>
      </c>
      <c r="N174" s="493" t="s">
        <v>1246</v>
      </c>
    </row>
    <row r="175" spans="1:14" x14ac:dyDescent="0.25">
      <c r="A175" s="493" t="s">
        <v>1440</v>
      </c>
      <c r="B175" s="493" t="s">
        <v>1441</v>
      </c>
      <c r="C175" s="493" t="s">
        <v>1442</v>
      </c>
      <c r="D175" s="493" t="s">
        <v>876</v>
      </c>
      <c r="E175" s="493" t="s">
        <v>1143</v>
      </c>
      <c r="F175" s="493" t="s">
        <v>636</v>
      </c>
      <c r="G175" s="493" t="s">
        <v>878</v>
      </c>
      <c r="H175" s="494">
        <v>2958465</v>
      </c>
      <c r="I175" s="494">
        <v>40179</v>
      </c>
      <c r="J175" s="493" t="s">
        <v>1443</v>
      </c>
      <c r="K175" s="493" t="s">
        <v>1423</v>
      </c>
      <c r="L175" s="493" t="s">
        <v>1424</v>
      </c>
      <c r="M175" s="493" t="s">
        <v>912</v>
      </c>
      <c r="N175" s="493" t="s">
        <v>1146</v>
      </c>
    </row>
    <row r="176" spans="1:14" x14ac:dyDescent="0.25">
      <c r="A176" s="493" t="s">
        <v>1444</v>
      </c>
      <c r="B176" s="493" t="s">
        <v>1445</v>
      </c>
      <c r="C176" s="493" t="s">
        <v>885</v>
      </c>
      <c r="D176" s="493" t="s">
        <v>876</v>
      </c>
      <c r="E176" s="493" t="s">
        <v>886</v>
      </c>
      <c r="F176" s="493" t="s">
        <v>636</v>
      </c>
      <c r="G176" s="493" t="s">
        <v>878</v>
      </c>
      <c r="H176" s="494">
        <v>2958465</v>
      </c>
      <c r="I176" s="494">
        <v>40179</v>
      </c>
      <c r="J176" s="493" t="s">
        <v>1446</v>
      </c>
      <c r="K176" s="493" t="s">
        <v>1423</v>
      </c>
      <c r="L176" s="493" t="s">
        <v>1424</v>
      </c>
      <c r="M176" s="493" t="s">
        <v>982</v>
      </c>
      <c r="N176" s="493" t="s">
        <v>890</v>
      </c>
    </row>
    <row r="177" spans="1:14" x14ac:dyDescent="0.25">
      <c r="A177" s="493" t="s">
        <v>1447</v>
      </c>
      <c r="B177" s="493" t="s">
        <v>1448</v>
      </c>
      <c r="C177" s="493" t="s">
        <v>969</v>
      </c>
      <c r="D177" s="493" t="s">
        <v>876</v>
      </c>
      <c r="E177" s="493" t="s">
        <v>886</v>
      </c>
      <c r="F177" s="493" t="s">
        <v>636</v>
      </c>
      <c r="G177" s="493" t="s">
        <v>878</v>
      </c>
      <c r="H177" s="494">
        <v>2958465</v>
      </c>
      <c r="I177" s="494">
        <v>40179</v>
      </c>
      <c r="J177" s="493" t="s">
        <v>1448</v>
      </c>
      <c r="K177" s="493" t="s">
        <v>1423</v>
      </c>
      <c r="L177" s="493" t="s">
        <v>1424</v>
      </c>
      <c r="M177" s="493" t="s">
        <v>970</v>
      </c>
      <c r="N177" s="493" t="s">
        <v>890</v>
      </c>
    </row>
    <row r="178" spans="1:14" x14ac:dyDescent="0.25">
      <c r="A178" s="493" t="s">
        <v>1449</v>
      </c>
      <c r="B178" s="493" t="s">
        <v>1450</v>
      </c>
      <c r="C178" s="493" t="s">
        <v>183</v>
      </c>
      <c r="D178" s="493" t="s">
        <v>876</v>
      </c>
      <c r="E178" s="493" t="s">
        <v>1143</v>
      </c>
      <c r="F178" s="493" t="s">
        <v>636</v>
      </c>
      <c r="G178" s="493" t="s">
        <v>878</v>
      </c>
      <c r="H178" s="494">
        <v>2958465</v>
      </c>
      <c r="I178" s="494">
        <v>40179</v>
      </c>
      <c r="J178" s="493" t="s">
        <v>1451</v>
      </c>
      <c r="K178" s="493" t="s">
        <v>1423</v>
      </c>
      <c r="L178" s="493" t="s">
        <v>1439</v>
      </c>
      <c r="M178" s="493" t="s">
        <v>946</v>
      </c>
      <c r="N178" s="493" t="s">
        <v>1146</v>
      </c>
    </row>
    <row r="179" spans="1:14" x14ac:dyDescent="0.25">
      <c r="A179" s="493" t="s">
        <v>1452</v>
      </c>
      <c r="B179" s="493" t="s">
        <v>1453</v>
      </c>
      <c r="C179" s="493" t="s">
        <v>183</v>
      </c>
      <c r="D179" s="493" t="s">
        <v>876</v>
      </c>
      <c r="E179" s="493" t="s">
        <v>1143</v>
      </c>
      <c r="F179" s="493" t="s">
        <v>636</v>
      </c>
      <c r="G179" s="493" t="s">
        <v>878</v>
      </c>
      <c r="H179" s="494">
        <v>2958465</v>
      </c>
      <c r="I179" s="494">
        <v>40179</v>
      </c>
      <c r="J179" s="493" t="s">
        <v>1454</v>
      </c>
      <c r="K179" s="493" t="s">
        <v>1423</v>
      </c>
      <c r="L179" s="493" t="s">
        <v>1439</v>
      </c>
      <c r="M179" s="493" t="s">
        <v>946</v>
      </c>
      <c r="N179" s="493" t="s">
        <v>1146</v>
      </c>
    </row>
    <row r="180" spans="1:14" x14ac:dyDescent="0.25">
      <c r="A180" s="493" t="s">
        <v>1455</v>
      </c>
      <c r="B180" s="493" t="s">
        <v>1456</v>
      </c>
      <c r="C180" s="493" t="s">
        <v>183</v>
      </c>
      <c r="D180" s="493" t="s">
        <v>876</v>
      </c>
      <c r="E180" s="493" t="s">
        <v>1143</v>
      </c>
      <c r="F180" s="493" t="s">
        <v>636</v>
      </c>
      <c r="G180" s="493" t="s">
        <v>878</v>
      </c>
      <c r="H180" s="494">
        <v>2958465</v>
      </c>
      <c r="I180" s="494">
        <v>40179</v>
      </c>
      <c r="J180" s="493" t="s">
        <v>1457</v>
      </c>
      <c r="K180" s="493" t="s">
        <v>1423</v>
      </c>
      <c r="L180" s="493" t="s">
        <v>1439</v>
      </c>
      <c r="M180" s="493" t="s">
        <v>946</v>
      </c>
      <c r="N180" s="493" t="s">
        <v>1146</v>
      </c>
    </row>
    <row r="181" spans="1:14" x14ac:dyDescent="0.25">
      <c r="A181" s="493" t="s">
        <v>1458</v>
      </c>
      <c r="B181" s="493" t="s">
        <v>1459</v>
      </c>
      <c r="C181" s="493" t="s">
        <v>183</v>
      </c>
      <c r="D181" s="493" t="s">
        <v>876</v>
      </c>
      <c r="E181" s="493" t="s">
        <v>1143</v>
      </c>
      <c r="F181" s="493" t="s">
        <v>636</v>
      </c>
      <c r="G181" s="493" t="s">
        <v>878</v>
      </c>
      <c r="H181" s="494">
        <v>2958465</v>
      </c>
      <c r="I181" s="494">
        <v>40179</v>
      </c>
      <c r="J181" s="493" t="s">
        <v>1460</v>
      </c>
      <c r="K181" s="493" t="s">
        <v>1423</v>
      </c>
      <c r="L181" s="493" t="s">
        <v>1439</v>
      </c>
      <c r="M181" s="493" t="s">
        <v>946</v>
      </c>
      <c r="N181" s="493" t="s">
        <v>1146</v>
      </c>
    </row>
    <row r="182" spans="1:14" x14ac:dyDescent="0.25">
      <c r="A182" s="493" t="s">
        <v>1461</v>
      </c>
      <c r="B182" s="493" t="s">
        <v>1462</v>
      </c>
      <c r="C182" s="493" t="s">
        <v>183</v>
      </c>
      <c r="D182" s="493" t="s">
        <v>876</v>
      </c>
      <c r="E182" s="493" t="s">
        <v>1143</v>
      </c>
      <c r="F182" s="493" t="s">
        <v>636</v>
      </c>
      <c r="G182" s="493" t="s">
        <v>878</v>
      </c>
      <c r="H182" s="494">
        <v>2958465</v>
      </c>
      <c r="I182" s="494">
        <v>40179</v>
      </c>
      <c r="J182" s="493" t="s">
        <v>1463</v>
      </c>
      <c r="K182" s="493" t="s">
        <v>1423</v>
      </c>
      <c r="L182" s="493" t="s">
        <v>1439</v>
      </c>
      <c r="M182" s="493" t="s">
        <v>946</v>
      </c>
      <c r="N182" s="493" t="s">
        <v>1146</v>
      </c>
    </row>
    <row r="183" spans="1:14" x14ac:dyDescent="0.25">
      <c r="A183" s="493" t="s">
        <v>1464</v>
      </c>
      <c r="B183" s="493" t="s">
        <v>1465</v>
      </c>
      <c r="C183" s="493" t="s">
        <v>183</v>
      </c>
      <c r="D183" s="493" t="s">
        <v>876</v>
      </c>
      <c r="E183" s="493" t="s">
        <v>1143</v>
      </c>
      <c r="F183" s="493" t="s">
        <v>636</v>
      </c>
      <c r="G183" s="493" t="s">
        <v>878</v>
      </c>
      <c r="H183" s="494">
        <v>2958465</v>
      </c>
      <c r="I183" s="494">
        <v>40179</v>
      </c>
      <c r="J183" s="493" t="s">
        <v>1466</v>
      </c>
      <c r="K183" s="493" t="s">
        <v>1423</v>
      </c>
      <c r="L183" s="493" t="s">
        <v>1439</v>
      </c>
      <c r="M183" s="493" t="s">
        <v>946</v>
      </c>
      <c r="N183" s="493" t="s">
        <v>1146</v>
      </c>
    </row>
    <row r="184" spans="1:14" x14ac:dyDescent="0.25">
      <c r="A184" s="493" t="s">
        <v>1467</v>
      </c>
      <c r="B184" s="493" t="s">
        <v>1468</v>
      </c>
      <c r="C184" s="493" t="s">
        <v>1469</v>
      </c>
      <c r="D184" s="493" t="s">
        <v>876</v>
      </c>
      <c r="E184" s="493" t="s">
        <v>0</v>
      </c>
      <c r="F184" s="493" t="s">
        <v>636</v>
      </c>
      <c r="G184" s="493" t="s">
        <v>878</v>
      </c>
      <c r="H184" s="494">
        <v>2958465</v>
      </c>
      <c r="I184" s="494">
        <v>40179</v>
      </c>
      <c r="J184" s="493" t="s">
        <v>1470</v>
      </c>
      <c r="K184" s="493" t="s">
        <v>1423</v>
      </c>
      <c r="L184" s="493" t="s">
        <v>1439</v>
      </c>
      <c r="M184" s="493" t="s">
        <v>1139</v>
      </c>
      <c r="N184" s="493" t="s">
        <v>1140</v>
      </c>
    </row>
    <row r="185" spans="1:14" x14ac:dyDescent="0.25">
      <c r="A185" s="493" t="s">
        <v>1471</v>
      </c>
      <c r="B185" s="493" t="s">
        <v>1472</v>
      </c>
      <c r="C185" s="493" t="s">
        <v>978</v>
      </c>
      <c r="D185" s="493" t="s">
        <v>876</v>
      </c>
      <c r="E185" s="493" t="s">
        <v>886</v>
      </c>
      <c r="F185" s="493" t="s">
        <v>636</v>
      </c>
      <c r="G185" s="493" t="s">
        <v>878</v>
      </c>
      <c r="H185" s="494">
        <v>2958465</v>
      </c>
      <c r="I185" s="494">
        <v>40179</v>
      </c>
      <c r="J185" s="493" t="s">
        <v>1472</v>
      </c>
      <c r="K185" s="493" t="s">
        <v>1423</v>
      </c>
      <c r="L185" s="493" t="s">
        <v>1424</v>
      </c>
      <c r="M185" s="493" t="s">
        <v>975</v>
      </c>
      <c r="N185" s="493" t="s">
        <v>890</v>
      </c>
    </row>
    <row r="186" spans="1:14" x14ac:dyDescent="0.25">
      <c r="A186" s="493" t="s">
        <v>1473</v>
      </c>
      <c r="B186" s="493" t="s">
        <v>1474</v>
      </c>
      <c r="C186" s="493" t="s">
        <v>183</v>
      </c>
      <c r="D186" s="493" t="s">
        <v>876</v>
      </c>
      <c r="E186" s="493" t="s">
        <v>1143</v>
      </c>
      <c r="F186" s="493" t="s">
        <v>636</v>
      </c>
      <c r="G186" s="493" t="s">
        <v>878</v>
      </c>
      <c r="H186" s="494">
        <v>2958465</v>
      </c>
      <c r="I186" s="494">
        <v>40179</v>
      </c>
      <c r="J186" s="493" t="s">
        <v>1474</v>
      </c>
      <c r="K186" s="493" t="s">
        <v>1423</v>
      </c>
      <c r="L186" s="493" t="s">
        <v>1424</v>
      </c>
      <c r="M186" s="493" t="s">
        <v>1379</v>
      </c>
      <c r="N186" s="493" t="s">
        <v>1146</v>
      </c>
    </row>
    <row r="187" spans="1:14" x14ac:dyDescent="0.25">
      <c r="A187" s="493" t="s">
        <v>1475</v>
      </c>
      <c r="B187" s="493" t="s">
        <v>1476</v>
      </c>
      <c r="C187" s="493" t="s">
        <v>183</v>
      </c>
      <c r="D187" s="493" t="s">
        <v>876</v>
      </c>
      <c r="E187" s="493" t="s">
        <v>1143</v>
      </c>
      <c r="F187" s="493" t="s">
        <v>636</v>
      </c>
      <c r="G187" s="493" t="s">
        <v>878</v>
      </c>
      <c r="H187" s="494">
        <v>2958465</v>
      </c>
      <c r="I187" s="494">
        <v>40179</v>
      </c>
      <c r="J187" s="493" t="s">
        <v>1477</v>
      </c>
      <c r="K187" s="493" t="s">
        <v>1423</v>
      </c>
      <c r="L187" s="493" t="s">
        <v>1424</v>
      </c>
      <c r="M187" s="493" t="s">
        <v>1180</v>
      </c>
      <c r="N187" s="493" t="s">
        <v>1146</v>
      </c>
    </row>
    <row r="188" spans="1:14" x14ac:dyDescent="0.25">
      <c r="A188" s="493" t="s">
        <v>1478</v>
      </c>
      <c r="B188" s="493" t="s">
        <v>1479</v>
      </c>
      <c r="C188" s="493" t="s">
        <v>1480</v>
      </c>
      <c r="D188" s="493" t="s">
        <v>876</v>
      </c>
      <c r="E188" s="493" t="s">
        <v>1143</v>
      </c>
      <c r="F188" s="493" t="s">
        <v>636</v>
      </c>
      <c r="G188" s="493" t="s">
        <v>878</v>
      </c>
      <c r="H188" s="494">
        <v>2958465</v>
      </c>
      <c r="I188" s="494">
        <v>40179</v>
      </c>
      <c r="J188" s="493" t="s">
        <v>1481</v>
      </c>
      <c r="K188" s="493" t="s">
        <v>1423</v>
      </c>
      <c r="L188" s="493" t="s">
        <v>1439</v>
      </c>
      <c r="M188" s="493" t="s">
        <v>912</v>
      </c>
      <c r="N188" s="493" t="s">
        <v>1146</v>
      </c>
    </row>
    <row r="189" spans="1:14" x14ac:dyDescent="0.25">
      <c r="A189" s="493" t="s">
        <v>1482</v>
      </c>
      <c r="B189" s="493" t="s">
        <v>1483</v>
      </c>
      <c r="C189" s="493" t="s">
        <v>1484</v>
      </c>
      <c r="D189" s="493" t="s">
        <v>876</v>
      </c>
      <c r="E189" s="493" t="s">
        <v>1143</v>
      </c>
      <c r="F189" s="493" t="s">
        <v>636</v>
      </c>
      <c r="G189" s="493" t="s">
        <v>878</v>
      </c>
      <c r="H189" s="494">
        <v>2958465</v>
      </c>
      <c r="I189" s="494">
        <v>40179</v>
      </c>
      <c r="J189" s="493" t="s">
        <v>1485</v>
      </c>
      <c r="K189" s="493" t="s">
        <v>1423</v>
      </c>
      <c r="L189" s="493" t="s">
        <v>1439</v>
      </c>
      <c r="M189" s="493" t="s">
        <v>912</v>
      </c>
      <c r="N189" s="493" t="s">
        <v>1146</v>
      </c>
    </row>
    <row r="190" spans="1:14" x14ac:dyDescent="0.25">
      <c r="A190" s="493" t="s">
        <v>1486</v>
      </c>
      <c r="B190" s="493" t="s">
        <v>1487</v>
      </c>
      <c r="C190" s="493" t="s">
        <v>1488</v>
      </c>
      <c r="D190" s="493" t="s">
        <v>876</v>
      </c>
      <c r="E190" s="493" t="s">
        <v>0</v>
      </c>
      <c r="F190" s="493" t="s">
        <v>636</v>
      </c>
      <c r="G190" s="493" t="s">
        <v>878</v>
      </c>
      <c r="H190" s="494">
        <v>2958465</v>
      </c>
      <c r="I190" s="494">
        <v>40179</v>
      </c>
      <c r="J190" s="493" t="s">
        <v>1489</v>
      </c>
      <c r="K190" s="493" t="s">
        <v>1423</v>
      </c>
      <c r="L190" s="493" t="s">
        <v>1439</v>
      </c>
      <c r="M190" s="493" t="s">
        <v>1300</v>
      </c>
      <c r="N190" s="493" t="s">
        <v>1140</v>
      </c>
    </row>
    <row r="191" spans="1:14" x14ac:dyDescent="0.25">
      <c r="A191" s="493" t="s">
        <v>1490</v>
      </c>
      <c r="B191" s="493" t="s">
        <v>1491</v>
      </c>
      <c r="C191" s="493" t="s">
        <v>1488</v>
      </c>
      <c r="D191" s="493" t="s">
        <v>876</v>
      </c>
      <c r="E191" s="493" t="s">
        <v>0</v>
      </c>
      <c r="F191" s="493" t="s">
        <v>636</v>
      </c>
      <c r="G191" s="493" t="s">
        <v>878</v>
      </c>
      <c r="H191" s="494">
        <v>2958465</v>
      </c>
      <c r="I191" s="494">
        <v>40179</v>
      </c>
      <c r="J191" s="493" t="s">
        <v>1492</v>
      </c>
      <c r="K191" s="493" t="s">
        <v>1423</v>
      </c>
      <c r="L191" s="493" t="s">
        <v>1439</v>
      </c>
      <c r="M191" s="493" t="s">
        <v>1300</v>
      </c>
      <c r="N191" s="493" t="s">
        <v>1140</v>
      </c>
    </row>
    <row r="192" spans="1:14" x14ac:dyDescent="0.25">
      <c r="A192" s="493" t="s">
        <v>1493</v>
      </c>
      <c r="B192" s="493" t="s">
        <v>1494</v>
      </c>
      <c r="C192" s="493" t="s">
        <v>1488</v>
      </c>
      <c r="D192" s="493" t="s">
        <v>876</v>
      </c>
      <c r="E192" s="493" t="s">
        <v>0</v>
      </c>
      <c r="F192" s="493" t="s">
        <v>636</v>
      </c>
      <c r="G192" s="493" t="s">
        <v>878</v>
      </c>
      <c r="H192" s="494">
        <v>2958465</v>
      </c>
      <c r="I192" s="494">
        <v>40179</v>
      </c>
      <c r="J192" s="493" t="s">
        <v>1495</v>
      </c>
      <c r="K192" s="493" t="s">
        <v>1423</v>
      </c>
      <c r="L192" s="493" t="s">
        <v>1439</v>
      </c>
      <c r="M192" s="493" t="s">
        <v>1300</v>
      </c>
      <c r="N192" s="493" t="s">
        <v>1140</v>
      </c>
    </row>
    <row r="193" spans="1:14" x14ac:dyDescent="0.25">
      <c r="A193" s="493" t="s">
        <v>1496</v>
      </c>
      <c r="B193" s="493" t="s">
        <v>1497</v>
      </c>
      <c r="C193" s="493" t="s">
        <v>1488</v>
      </c>
      <c r="D193" s="493" t="s">
        <v>876</v>
      </c>
      <c r="E193" s="493" t="s">
        <v>0</v>
      </c>
      <c r="F193" s="493" t="s">
        <v>636</v>
      </c>
      <c r="G193" s="493" t="s">
        <v>878</v>
      </c>
      <c r="H193" s="494">
        <v>2958465</v>
      </c>
      <c r="I193" s="494">
        <v>40179</v>
      </c>
      <c r="J193" s="493" t="s">
        <v>1498</v>
      </c>
      <c r="K193" s="493" t="s">
        <v>1423</v>
      </c>
      <c r="L193" s="493" t="s">
        <v>1439</v>
      </c>
      <c r="M193" s="493" t="s">
        <v>1300</v>
      </c>
      <c r="N193" s="493" t="s">
        <v>1140</v>
      </c>
    </row>
    <row r="194" spans="1:14" x14ac:dyDescent="0.25">
      <c r="A194" s="493" t="s">
        <v>1499</v>
      </c>
      <c r="B194" s="493" t="s">
        <v>1500</v>
      </c>
      <c r="C194" s="493" t="s">
        <v>1488</v>
      </c>
      <c r="D194" s="493" t="s">
        <v>876</v>
      </c>
      <c r="E194" s="493" t="s">
        <v>0</v>
      </c>
      <c r="F194" s="493" t="s">
        <v>636</v>
      </c>
      <c r="G194" s="493" t="s">
        <v>878</v>
      </c>
      <c r="H194" s="494">
        <v>2958465</v>
      </c>
      <c r="I194" s="494">
        <v>40179</v>
      </c>
      <c r="J194" s="493" t="s">
        <v>1500</v>
      </c>
      <c r="K194" s="493" t="s">
        <v>1423</v>
      </c>
      <c r="L194" s="493" t="s">
        <v>1439</v>
      </c>
      <c r="M194" s="493" t="s">
        <v>1300</v>
      </c>
      <c r="N194" s="493" t="s">
        <v>1140</v>
      </c>
    </row>
    <row r="195" spans="1:14" x14ac:dyDescent="0.25">
      <c r="A195" s="493" t="s">
        <v>1501</v>
      </c>
      <c r="B195" s="493" t="s">
        <v>1502</v>
      </c>
      <c r="C195" s="493" t="s">
        <v>1033</v>
      </c>
      <c r="D195" s="493" t="s">
        <v>876</v>
      </c>
      <c r="E195" s="493" t="s">
        <v>886</v>
      </c>
      <c r="F195" s="493" t="s">
        <v>636</v>
      </c>
      <c r="G195" s="493" t="s">
        <v>878</v>
      </c>
      <c r="H195" s="494">
        <v>2958465</v>
      </c>
      <c r="I195" s="494">
        <v>40179</v>
      </c>
      <c r="J195" s="493" t="s">
        <v>1502</v>
      </c>
      <c r="K195" s="493" t="s">
        <v>1423</v>
      </c>
      <c r="L195" s="493" t="s">
        <v>1424</v>
      </c>
      <c r="M195" s="493" t="s">
        <v>1034</v>
      </c>
      <c r="N195" s="493" t="s">
        <v>890</v>
      </c>
    </row>
    <row r="196" spans="1:14" x14ac:dyDescent="0.25">
      <c r="A196" s="493" t="s">
        <v>1503</v>
      </c>
      <c r="B196" s="493" t="s">
        <v>1504</v>
      </c>
      <c r="C196" s="493" t="s">
        <v>1505</v>
      </c>
      <c r="D196" s="493" t="s">
        <v>876</v>
      </c>
      <c r="E196" s="493" t="s">
        <v>0</v>
      </c>
      <c r="F196" s="493" t="s">
        <v>636</v>
      </c>
      <c r="G196" s="493" t="s">
        <v>878</v>
      </c>
      <c r="H196" s="494">
        <v>2958465</v>
      </c>
      <c r="I196" s="494">
        <v>40179</v>
      </c>
      <c r="J196" s="493" t="s">
        <v>1506</v>
      </c>
      <c r="K196" s="493" t="s">
        <v>1423</v>
      </c>
      <c r="L196" s="493" t="s">
        <v>1439</v>
      </c>
      <c r="M196" s="493" t="s">
        <v>1279</v>
      </c>
      <c r="N196" s="493" t="s">
        <v>1140</v>
      </c>
    </row>
    <row r="197" spans="1:14" x14ac:dyDescent="0.25">
      <c r="A197" s="493" t="s">
        <v>1507</v>
      </c>
      <c r="B197" s="493" t="s">
        <v>1508</v>
      </c>
      <c r="C197" s="493" t="s">
        <v>1509</v>
      </c>
      <c r="D197" s="493" t="s">
        <v>876</v>
      </c>
      <c r="E197" s="493" t="s">
        <v>0</v>
      </c>
      <c r="F197" s="493" t="s">
        <v>636</v>
      </c>
      <c r="G197" s="493" t="s">
        <v>878</v>
      </c>
      <c r="H197" s="494">
        <v>2958465</v>
      </c>
      <c r="I197" s="494">
        <v>40179</v>
      </c>
      <c r="J197" s="493" t="s">
        <v>1510</v>
      </c>
      <c r="K197" s="493" t="s">
        <v>1423</v>
      </c>
      <c r="L197" s="493" t="s">
        <v>1439</v>
      </c>
      <c r="M197" s="493" t="s">
        <v>1279</v>
      </c>
      <c r="N197" s="493" t="s">
        <v>1140</v>
      </c>
    </row>
    <row r="198" spans="1:14" x14ac:dyDescent="0.25">
      <c r="A198" s="493" t="s">
        <v>1511</v>
      </c>
      <c r="B198" s="493" t="s">
        <v>1512</v>
      </c>
      <c r="C198" s="493" t="s">
        <v>1509</v>
      </c>
      <c r="D198" s="493" t="s">
        <v>876</v>
      </c>
      <c r="E198" s="493" t="s">
        <v>0</v>
      </c>
      <c r="F198" s="493" t="s">
        <v>636</v>
      </c>
      <c r="G198" s="493" t="s">
        <v>878</v>
      </c>
      <c r="H198" s="494">
        <v>2958465</v>
      </c>
      <c r="I198" s="494">
        <v>40179</v>
      </c>
      <c r="J198" s="493" t="s">
        <v>1513</v>
      </c>
      <c r="K198" s="493" t="s">
        <v>1423</v>
      </c>
      <c r="L198" s="493" t="s">
        <v>1439</v>
      </c>
      <c r="M198" s="493" t="s">
        <v>1279</v>
      </c>
      <c r="N198" s="493" t="s">
        <v>1140</v>
      </c>
    </row>
    <row r="199" spans="1:14" x14ac:dyDescent="0.25">
      <c r="A199" s="493" t="s">
        <v>1514</v>
      </c>
      <c r="B199" s="493" t="s">
        <v>1515</v>
      </c>
      <c r="C199" s="493" t="s">
        <v>1509</v>
      </c>
      <c r="D199" s="493" t="s">
        <v>876</v>
      </c>
      <c r="E199" s="493" t="s">
        <v>0</v>
      </c>
      <c r="F199" s="493" t="s">
        <v>636</v>
      </c>
      <c r="G199" s="493" t="s">
        <v>878</v>
      </c>
      <c r="H199" s="494">
        <v>2958465</v>
      </c>
      <c r="I199" s="494">
        <v>40179</v>
      </c>
      <c r="J199" s="493" t="s">
        <v>1516</v>
      </c>
      <c r="K199" s="493" t="s">
        <v>1423</v>
      </c>
      <c r="L199" s="493" t="s">
        <v>1439</v>
      </c>
      <c r="M199" s="493" t="s">
        <v>1279</v>
      </c>
      <c r="N199" s="493" t="s">
        <v>1140</v>
      </c>
    </row>
    <row r="200" spans="1:14" x14ac:dyDescent="0.25">
      <c r="A200" s="493" t="s">
        <v>1517</v>
      </c>
      <c r="B200" s="493" t="s">
        <v>1518</v>
      </c>
      <c r="C200" s="493" t="s">
        <v>1509</v>
      </c>
      <c r="D200" s="493" t="s">
        <v>876</v>
      </c>
      <c r="E200" s="493" t="s">
        <v>0</v>
      </c>
      <c r="F200" s="493" t="s">
        <v>636</v>
      </c>
      <c r="G200" s="493" t="s">
        <v>878</v>
      </c>
      <c r="H200" s="494">
        <v>2958465</v>
      </c>
      <c r="I200" s="494">
        <v>40179</v>
      </c>
      <c r="J200" s="493" t="s">
        <v>1519</v>
      </c>
      <c r="K200" s="493" t="s">
        <v>1423</v>
      </c>
      <c r="L200" s="493" t="s">
        <v>1439</v>
      </c>
      <c r="M200" s="493" t="s">
        <v>1279</v>
      </c>
      <c r="N200" s="493" t="s">
        <v>1140</v>
      </c>
    </row>
    <row r="201" spans="1:14" x14ac:dyDescent="0.25">
      <c r="A201" s="493" t="s">
        <v>1520</v>
      </c>
      <c r="B201" s="493" t="s">
        <v>1521</v>
      </c>
      <c r="C201" s="493" t="s">
        <v>1522</v>
      </c>
      <c r="D201" s="493" t="s">
        <v>876</v>
      </c>
      <c r="E201" s="493" t="s">
        <v>0</v>
      </c>
      <c r="F201" s="493" t="s">
        <v>636</v>
      </c>
      <c r="G201" s="493" t="s">
        <v>878</v>
      </c>
      <c r="H201" s="494">
        <v>2958465</v>
      </c>
      <c r="I201" s="494">
        <v>40179</v>
      </c>
      <c r="J201" s="493" t="s">
        <v>1523</v>
      </c>
      <c r="K201" s="493" t="s">
        <v>1423</v>
      </c>
      <c r="L201" s="493" t="s">
        <v>1439</v>
      </c>
      <c r="M201" s="493" t="s">
        <v>1296</v>
      </c>
      <c r="N201" s="493" t="s">
        <v>1140</v>
      </c>
    </row>
    <row r="202" spans="1:14" x14ac:dyDescent="0.25">
      <c r="A202" s="493" t="s">
        <v>1524</v>
      </c>
      <c r="B202" s="493" t="s">
        <v>1525</v>
      </c>
      <c r="C202" s="493" t="s">
        <v>183</v>
      </c>
      <c r="D202" s="493" t="s">
        <v>876</v>
      </c>
      <c r="E202" s="493" t="s">
        <v>1152</v>
      </c>
      <c r="F202" s="493" t="s">
        <v>636</v>
      </c>
      <c r="G202" s="493" t="s">
        <v>878</v>
      </c>
      <c r="H202" s="494">
        <v>2958465</v>
      </c>
      <c r="I202" s="494">
        <v>40179</v>
      </c>
      <c r="J202" s="493" t="s">
        <v>1525</v>
      </c>
      <c r="K202" s="493" t="s">
        <v>1423</v>
      </c>
      <c r="L202" s="493" t="s">
        <v>1439</v>
      </c>
      <c r="M202" s="493" t="s">
        <v>1062</v>
      </c>
      <c r="N202" s="493" t="s">
        <v>1153</v>
      </c>
    </row>
    <row r="203" spans="1:14" x14ac:dyDescent="0.25">
      <c r="A203" s="493" t="s">
        <v>1526</v>
      </c>
      <c r="B203" s="493" t="s">
        <v>1527</v>
      </c>
      <c r="C203" s="493" t="s">
        <v>183</v>
      </c>
      <c r="D203" s="493" t="s">
        <v>876</v>
      </c>
      <c r="E203" s="493" t="s">
        <v>1152</v>
      </c>
      <c r="F203" s="493" t="s">
        <v>636</v>
      </c>
      <c r="G203" s="493" t="s">
        <v>878</v>
      </c>
      <c r="H203" s="494">
        <v>2958465</v>
      </c>
      <c r="I203" s="494">
        <v>40179</v>
      </c>
      <c r="J203" s="493" t="s">
        <v>1528</v>
      </c>
      <c r="K203" s="493" t="s">
        <v>1423</v>
      </c>
      <c r="L203" s="493" t="s">
        <v>1439</v>
      </c>
      <c r="M203" s="493" t="s">
        <v>1062</v>
      </c>
      <c r="N203" s="493" t="s">
        <v>1153</v>
      </c>
    </row>
    <row r="204" spans="1:14" x14ac:dyDescent="0.25">
      <c r="A204" s="493" t="s">
        <v>1529</v>
      </c>
      <c r="B204" s="493" t="s">
        <v>1530</v>
      </c>
      <c r="C204" s="493" t="s">
        <v>1531</v>
      </c>
      <c r="D204" s="493" t="s">
        <v>876</v>
      </c>
      <c r="E204" s="493" t="s">
        <v>877</v>
      </c>
      <c r="F204" s="493" t="s">
        <v>636</v>
      </c>
      <c r="G204" s="493" t="s">
        <v>878</v>
      </c>
      <c r="H204" s="494">
        <v>2958465</v>
      </c>
      <c r="I204" s="494">
        <v>40179</v>
      </c>
      <c r="J204" s="493" t="s">
        <v>1530</v>
      </c>
      <c r="K204" s="493" t="s">
        <v>1423</v>
      </c>
      <c r="L204" s="493" t="s">
        <v>1439</v>
      </c>
      <c r="M204" s="493" t="s">
        <v>881</v>
      </c>
      <c r="N204" s="493" t="s">
        <v>882</v>
      </c>
    </row>
    <row r="205" spans="1:14" x14ac:dyDescent="0.25">
      <c r="A205" s="493" t="s">
        <v>1532</v>
      </c>
      <c r="B205" s="493" t="s">
        <v>1533</v>
      </c>
      <c r="C205" s="493" t="s">
        <v>1534</v>
      </c>
      <c r="D205" s="493" t="s">
        <v>876</v>
      </c>
      <c r="E205" s="493" t="s">
        <v>1535</v>
      </c>
      <c r="F205" s="493" t="s">
        <v>636</v>
      </c>
      <c r="G205" s="493" t="s">
        <v>878</v>
      </c>
      <c r="H205" s="494">
        <v>2958465</v>
      </c>
      <c r="I205" s="494">
        <v>40179</v>
      </c>
      <c r="J205" s="493" t="s">
        <v>876</v>
      </c>
      <c r="K205" s="493" t="s">
        <v>1423</v>
      </c>
      <c r="L205" s="493" t="s">
        <v>1439</v>
      </c>
      <c r="M205" s="493" t="s">
        <v>1300</v>
      </c>
      <c r="N205" s="493" t="s">
        <v>1536</v>
      </c>
    </row>
    <row r="206" spans="1:14" x14ac:dyDescent="0.25">
      <c r="A206" s="493" t="s">
        <v>1537</v>
      </c>
      <c r="B206" s="493" t="s">
        <v>1538</v>
      </c>
      <c r="C206" s="493" t="s">
        <v>1539</v>
      </c>
      <c r="D206" s="493" t="s">
        <v>876</v>
      </c>
      <c r="E206" s="493" t="s">
        <v>886</v>
      </c>
      <c r="F206" s="493" t="s">
        <v>636</v>
      </c>
      <c r="G206" s="493" t="s">
        <v>878</v>
      </c>
      <c r="H206" s="494">
        <v>2958465</v>
      </c>
      <c r="I206" s="494">
        <v>40179</v>
      </c>
      <c r="J206" s="493" t="s">
        <v>1538</v>
      </c>
      <c r="K206" s="493" t="s">
        <v>1423</v>
      </c>
      <c r="L206" s="493" t="s">
        <v>1424</v>
      </c>
      <c r="M206" s="493" t="s">
        <v>1124</v>
      </c>
      <c r="N206" s="493" t="s">
        <v>890</v>
      </c>
    </row>
    <row r="207" spans="1:14" x14ac:dyDescent="0.25">
      <c r="A207" s="493" t="s">
        <v>1540</v>
      </c>
      <c r="B207" s="493" t="s">
        <v>1491</v>
      </c>
      <c r="C207" s="493" t="s">
        <v>978</v>
      </c>
      <c r="D207" s="493" t="s">
        <v>876</v>
      </c>
      <c r="E207" s="493" t="s">
        <v>886</v>
      </c>
      <c r="F207" s="493" t="s">
        <v>636</v>
      </c>
      <c r="G207" s="493" t="s">
        <v>878</v>
      </c>
      <c r="H207" s="494">
        <v>2958465</v>
      </c>
      <c r="I207" s="494">
        <v>40179</v>
      </c>
      <c r="J207" s="493" t="s">
        <v>1492</v>
      </c>
      <c r="K207" s="493" t="s">
        <v>1423</v>
      </c>
      <c r="L207" s="493" t="s">
        <v>1439</v>
      </c>
      <c r="M207" s="493" t="s">
        <v>1134</v>
      </c>
      <c r="N207" s="493" t="s">
        <v>890</v>
      </c>
    </row>
    <row r="208" spans="1:14" x14ac:dyDescent="0.25">
      <c r="A208" s="493" t="s">
        <v>1541</v>
      </c>
      <c r="B208" s="493" t="s">
        <v>1542</v>
      </c>
      <c r="C208" s="493" t="s">
        <v>1033</v>
      </c>
      <c r="D208" s="493" t="s">
        <v>876</v>
      </c>
      <c r="E208" s="493" t="s">
        <v>886</v>
      </c>
      <c r="F208" s="493" t="s">
        <v>636</v>
      </c>
      <c r="G208" s="493" t="s">
        <v>878</v>
      </c>
      <c r="H208" s="494">
        <v>2958465</v>
      </c>
      <c r="I208" s="494">
        <v>40179</v>
      </c>
      <c r="J208" s="493" t="s">
        <v>1543</v>
      </c>
      <c r="K208" s="493" t="s">
        <v>1423</v>
      </c>
      <c r="L208" s="493" t="s">
        <v>1424</v>
      </c>
      <c r="M208" s="493" t="s">
        <v>1034</v>
      </c>
      <c r="N208" s="493" t="s">
        <v>890</v>
      </c>
    </row>
    <row r="209" spans="1:14" x14ac:dyDescent="0.25">
      <c r="A209" s="493" t="s">
        <v>1544</v>
      </c>
      <c r="B209" s="493" t="s">
        <v>1545</v>
      </c>
      <c r="C209" s="493" t="s">
        <v>1013</v>
      </c>
      <c r="D209" s="493" t="s">
        <v>876</v>
      </c>
      <c r="E209" s="493" t="s">
        <v>886</v>
      </c>
      <c r="F209" s="493" t="s">
        <v>636</v>
      </c>
      <c r="G209" s="493" t="s">
        <v>878</v>
      </c>
      <c r="H209" s="494">
        <v>2958465</v>
      </c>
      <c r="I209" s="494">
        <v>40179</v>
      </c>
      <c r="J209" s="493" t="s">
        <v>1545</v>
      </c>
      <c r="K209" s="493" t="s">
        <v>1423</v>
      </c>
      <c r="L209" s="493" t="s">
        <v>1424</v>
      </c>
      <c r="M209" s="493" t="s">
        <v>1014</v>
      </c>
      <c r="N209" s="493" t="s">
        <v>890</v>
      </c>
    </row>
    <row r="210" spans="1:14" x14ac:dyDescent="0.25">
      <c r="A210" s="493" t="s">
        <v>1546</v>
      </c>
      <c r="B210" s="493" t="s">
        <v>1547</v>
      </c>
      <c r="C210" s="493" t="s">
        <v>885</v>
      </c>
      <c r="D210" s="493" t="s">
        <v>876</v>
      </c>
      <c r="E210" s="493" t="s">
        <v>886</v>
      </c>
      <c r="F210" s="493" t="s">
        <v>636</v>
      </c>
      <c r="G210" s="493" t="s">
        <v>878</v>
      </c>
      <c r="H210" s="494">
        <v>2958465</v>
      </c>
      <c r="I210" s="494">
        <v>40179</v>
      </c>
      <c r="J210" s="493" t="s">
        <v>1547</v>
      </c>
      <c r="K210" s="493" t="s">
        <v>1423</v>
      </c>
      <c r="L210" s="493" t="s">
        <v>1424</v>
      </c>
      <c r="M210" s="493" t="s">
        <v>889</v>
      </c>
      <c r="N210" s="493" t="s">
        <v>890</v>
      </c>
    </row>
    <row r="211" spans="1:14" x14ac:dyDescent="0.25">
      <c r="A211" s="493" t="s">
        <v>1548</v>
      </c>
      <c r="B211" s="493" t="s">
        <v>1549</v>
      </c>
      <c r="C211" s="493" t="s">
        <v>885</v>
      </c>
      <c r="D211" s="493" t="s">
        <v>876</v>
      </c>
      <c r="E211" s="493" t="s">
        <v>1143</v>
      </c>
      <c r="F211" s="493" t="s">
        <v>636</v>
      </c>
      <c r="G211" s="493" t="s">
        <v>878</v>
      </c>
      <c r="H211" s="494">
        <v>2958465</v>
      </c>
      <c r="I211" s="494">
        <v>40179</v>
      </c>
      <c r="J211" s="493" t="s">
        <v>1550</v>
      </c>
      <c r="K211" s="493" t="s">
        <v>1423</v>
      </c>
      <c r="L211" s="493" t="s">
        <v>1424</v>
      </c>
      <c r="M211" s="493" t="s">
        <v>962</v>
      </c>
      <c r="N211" s="493" t="s">
        <v>1146</v>
      </c>
    </row>
    <row r="212" spans="1:14" x14ac:dyDescent="0.25">
      <c r="A212" s="493" t="s">
        <v>1551</v>
      </c>
      <c r="B212" s="493" t="s">
        <v>1552</v>
      </c>
      <c r="C212" s="493" t="s">
        <v>183</v>
      </c>
      <c r="D212" s="493" t="s">
        <v>876</v>
      </c>
      <c r="E212" s="493" t="s">
        <v>886</v>
      </c>
      <c r="F212" s="493" t="s">
        <v>636</v>
      </c>
      <c r="G212" s="493" t="s">
        <v>878</v>
      </c>
      <c r="H212" s="494">
        <v>2958465</v>
      </c>
      <c r="I212" s="494">
        <v>40179</v>
      </c>
      <c r="J212" s="493" t="s">
        <v>1552</v>
      </c>
      <c r="K212" s="493" t="s">
        <v>1423</v>
      </c>
      <c r="L212" s="493" t="s">
        <v>1439</v>
      </c>
      <c r="M212" s="493" t="s">
        <v>946</v>
      </c>
      <c r="N212" s="493" t="s">
        <v>890</v>
      </c>
    </row>
    <row r="213" spans="1:14" x14ac:dyDescent="0.25">
      <c r="A213" s="493" t="s">
        <v>1553</v>
      </c>
      <c r="B213" s="493" t="s">
        <v>1554</v>
      </c>
      <c r="C213" s="493" t="s">
        <v>183</v>
      </c>
      <c r="D213" s="493" t="s">
        <v>876</v>
      </c>
      <c r="E213" s="493" t="s">
        <v>886</v>
      </c>
      <c r="F213" s="493" t="s">
        <v>636</v>
      </c>
      <c r="G213" s="493" t="s">
        <v>878</v>
      </c>
      <c r="H213" s="494">
        <v>2958465</v>
      </c>
      <c r="I213" s="494">
        <v>40179</v>
      </c>
      <c r="J213" s="493" t="s">
        <v>1555</v>
      </c>
      <c r="K213" s="493" t="s">
        <v>1423</v>
      </c>
      <c r="L213" s="493" t="s">
        <v>1439</v>
      </c>
      <c r="M213" s="493" t="s">
        <v>946</v>
      </c>
      <c r="N213" s="493" t="s">
        <v>890</v>
      </c>
    </row>
    <row r="214" spans="1:14" x14ac:dyDescent="0.25">
      <c r="A214" s="493" t="s">
        <v>1556</v>
      </c>
      <c r="B214" s="493" t="s">
        <v>1557</v>
      </c>
      <c r="C214" s="493" t="s">
        <v>183</v>
      </c>
      <c r="D214" s="493" t="s">
        <v>876</v>
      </c>
      <c r="E214" s="493" t="s">
        <v>886</v>
      </c>
      <c r="F214" s="493" t="s">
        <v>636</v>
      </c>
      <c r="G214" s="493" t="s">
        <v>878</v>
      </c>
      <c r="H214" s="494">
        <v>2958465</v>
      </c>
      <c r="I214" s="494">
        <v>40179</v>
      </c>
      <c r="J214" s="493" t="s">
        <v>1558</v>
      </c>
      <c r="K214" s="493" t="s">
        <v>1423</v>
      </c>
      <c r="L214" s="493" t="s">
        <v>1439</v>
      </c>
      <c r="M214" s="493" t="s">
        <v>946</v>
      </c>
      <c r="N214" s="493" t="s">
        <v>890</v>
      </c>
    </row>
    <row r="215" spans="1:14" x14ac:dyDescent="0.25">
      <c r="A215" s="493" t="s">
        <v>1559</v>
      </c>
      <c r="B215" s="493" t="s">
        <v>1560</v>
      </c>
      <c r="C215" s="493" t="s">
        <v>183</v>
      </c>
      <c r="D215" s="493" t="s">
        <v>876</v>
      </c>
      <c r="E215" s="493" t="s">
        <v>886</v>
      </c>
      <c r="F215" s="493" t="s">
        <v>636</v>
      </c>
      <c r="G215" s="493" t="s">
        <v>878</v>
      </c>
      <c r="H215" s="494">
        <v>2958465</v>
      </c>
      <c r="I215" s="494">
        <v>40179</v>
      </c>
      <c r="J215" s="493" t="s">
        <v>1561</v>
      </c>
      <c r="K215" s="493" t="s">
        <v>1423</v>
      </c>
      <c r="L215" s="493" t="s">
        <v>1439</v>
      </c>
      <c r="M215" s="493" t="s">
        <v>946</v>
      </c>
      <c r="N215" s="493" t="s">
        <v>890</v>
      </c>
    </row>
    <row r="216" spans="1:14" x14ac:dyDescent="0.25">
      <c r="A216" s="493" t="s">
        <v>1562</v>
      </c>
      <c r="B216" s="493" t="s">
        <v>1563</v>
      </c>
      <c r="C216" s="493" t="s">
        <v>183</v>
      </c>
      <c r="D216" s="493" t="s">
        <v>876</v>
      </c>
      <c r="E216" s="493" t="s">
        <v>886</v>
      </c>
      <c r="F216" s="493" t="s">
        <v>636</v>
      </c>
      <c r="G216" s="493" t="s">
        <v>878</v>
      </c>
      <c r="H216" s="494">
        <v>2958465</v>
      </c>
      <c r="I216" s="494">
        <v>40179</v>
      </c>
      <c r="J216" s="493" t="s">
        <v>1564</v>
      </c>
      <c r="K216" s="493" t="s">
        <v>1423</v>
      </c>
      <c r="L216" s="493" t="s">
        <v>1439</v>
      </c>
      <c r="M216" s="493" t="s">
        <v>946</v>
      </c>
      <c r="N216" s="493" t="s">
        <v>890</v>
      </c>
    </row>
    <row r="217" spans="1:14" x14ac:dyDescent="0.25">
      <c r="A217" s="493" t="s">
        <v>1565</v>
      </c>
      <c r="B217" s="493" t="s">
        <v>1566</v>
      </c>
      <c r="C217" s="493" t="s">
        <v>183</v>
      </c>
      <c r="D217" s="493" t="s">
        <v>876</v>
      </c>
      <c r="E217" s="493" t="s">
        <v>886</v>
      </c>
      <c r="F217" s="493" t="s">
        <v>636</v>
      </c>
      <c r="G217" s="493" t="s">
        <v>878</v>
      </c>
      <c r="H217" s="494">
        <v>2958465</v>
      </c>
      <c r="I217" s="494">
        <v>40179</v>
      </c>
      <c r="J217" s="493" t="s">
        <v>1567</v>
      </c>
      <c r="K217" s="493" t="s">
        <v>1423</v>
      </c>
      <c r="L217" s="493" t="s">
        <v>1439</v>
      </c>
      <c r="M217" s="493" t="s">
        <v>946</v>
      </c>
      <c r="N217" s="493" t="s">
        <v>890</v>
      </c>
    </row>
    <row r="218" spans="1:14" x14ac:dyDescent="0.25">
      <c r="A218" s="493" t="s">
        <v>1568</v>
      </c>
      <c r="B218" s="493" t="s">
        <v>1569</v>
      </c>
      <c r="C218" s="493" t="s">
        <v>183</v>
      </c>
      <c r="D218" s="493" t="s">
        <v>876</v>
      </c>
      <c r="E218" s="493" t="s">
        <v>1143</v>
      </c>
      <c r="F218" s="493" t="s">
        <v>636</v>
      </c>
      <c r="G218" s="493" t="s">
        <v>878</v>
      </c>
      <c r="H218" s="494">
        <v>2958465</v>
      </c>
      <c r="I218" s="494">
        <v>40179</v>
      </c>
      <c r="J218" s="493" t="s">
        <v>1570</v>
      </c>
      <c r="K218" s="493" t="s">
        <v>1423</v>
      </c>
      <c r="L218" s="493" t="s">
        <v>1439</v>
      </c>
      <c r="M218" s="493" t="s">
        <v>1145</v>
      </c>
      <c r="N218" s="493" t="s">
        <v>1146</v>
      </c>
    </row>
    <row r="219" spans="1:14" x14ac:dyDescent="0.25">
      <c r="A219" s="493" t="s">
        <v>1571</v>
      </c>
      <c r="B219" s="493" t="s">
        <v>1572</v>
      </c>
      <c r="C219" s="493" t="s">
        <v>183</v>
      </c>
      <c r="D219" s="493" t="s">
        <v>876</v>
      </c>
      <c r="E219" s="493" t="s">
        <v>1244</v>
      </c>
      <c r="F219" s="493" t="s">
        <v>636</v>
      </c>
      <c r="G219" s="493" t="s">
        <v>878</v>
      </c>
      <c r="H219" s="494">
        <v>2958465</v>
      </c>
      <c r="I219" s="494">
        <v>40179</v>
      </c>
      <c r="J219" s="493" t="s">
        <v>1573</v>
      </c>
      <c r="K219" s="493" t="s">
        <v>1423</v>
      </c>
      <c r="L219" s="493" t="s">
        <v>1439</v>
      </c>
      <c r="M219" s="493" t="s">
        <v>1145</v>
      </c>
      <c r="N219" s="493" t="s">
        <v>1246</v>
      </c>
    </row>
    <row r="220" spans="1:14" x14ac:dyDescent="0.25">
      <c r="A220" s="493" t="s">
        <v>1574</v>
      </c>
      <c r="B220" s="493" t="s">
        <v>1575</v>
      </c>
      <c r="C220" s="493" t="s">
        <v>183</v>
      </c>
      <c r="D220" s="493" t="s">
        <v>876</v>
      </c>
      <c r="E220" s="493" t="s">
        <v>1143</v>
      </c>
      <c r="F220" s="493" t="s">
        <v>636</v>
      </c>
      <c r="G220" s="493" t="s">
        <v>878</v>
      </c>
      <c r="H220" s="494">
        <v>2958465</v>
      </c>
      <c r="I220" s="494">
        <v>40179</v>
      </c>
      <c r="J220" s="493" t="s">
        <v>1575</v>
      </c>
      <c r="K220" s="493" t="s">
        <v>1423</v>
      </c>
      <c r="L220" s="493" t="s">
        <v>1576</v>
      </c>
      <c r="M220" s="493" t="s">
        <v>1145</v>
      </c>
      <c r="N220" s="493" t="s">
        <v>1146</v>
      </c>
    </row>
    <row r="221" spans="1:14" x14ac:dyDescent="0.25">
      <c r="A221" s="493" t="s">
        <v>1577</v>
      </c>
      <c r="B221" s="493" t="s">
        <v>1578</v>
      </c>
      <c r="C221" s="493" t="s">
        <v>1505</v>
      </c>
      <c r="D221" s="493" t="s">
        <v>876</v>
      </c>
      <c r="E221" s="493" t="s">
        <v>569</v>
      </c>
      <c r="F221" s="493" t="s">
        <v>636</v>
      </c>
      <c r="G221" s="493" t="s">
        <v>878</v>
      </c>
      <c r="H221" s="494">
        <v>2958465</v>
      </c>
      <c r="I221" s="494">
        <v>40179</v>
      </c>
      <c r="J221" s="493" t="s">
        <v>1578</v>
      </c>
      <c r="K221" s="493" t="s">
        <v>1423</v>
      </c>
      <c r="L221" s="493" t="s">
        <v>1439</v>
      </c>
      <c r="M221" s="493" t="s">
        <v>1023</v>
      </c>
      <c r="N221" s="493" t="s">
        <v>1024</v>
      </c>
    </row>
    <row r="222" spans="1:14" x14ac:dyDescent="0.25">
      <c r="A222" s="493" t="s">
        <v>1579</v>
      </c>
      <c r="B222" s="493" t="s">
        <v>1580</v>
      </c>
      <c r="C222" s="493" t="s">
        <v>1509</v>
      </c>
      <c r="D222" s="493" t="s">
        <v>876</v>
      </c>
      <c r="E222" s="493" t="s">
        <v>569</v>
      </c>
      <c r="F222" s="493" t="s">
        <v>636</v>
      </c>
      <c r="G222" s="493" t="s">
        <v>878</v>
      </c>
      <c r="H222" s="494">
        <v>2958465</v>
      </c>
      <c r="I222" s="494">
        <v>40179</v>
      </c>
      <c r="J222" s="493" t="s">
        <v>1580</v>
      </c>
      <c r="K222" s="493" t="s">
        <v>1423</v>
      </c>
      <c r="L222" s="493" t="s">
        <v>1439</v>
      </c>
      <c r="M222" s="493" t="s">
        <v>1023</v>
      </c>
      <c r="N222" s="493" t="s">
        <v>1024</v>
      </c>
    </row>
    <row r="223" spans="1:14" x14ac:dyDescent="0.25">
      <c r="A223" s="493" t="s">
        <v>1581</v>
      </c>
      <c r="B223" s="493" t="s">
        <v>1582</v>
      </c>
      <c r="C223" s="493" t="s">
        <v>1509</v>
      </c>
      <c r="D223" s="493" t="s">
        <v>876</v>
      </c>
      <c r="E223" s="493" t="s">
        <v>569</v>
      </c>
      <c r="F223" s="493" t="s">
        <v>636</v>
      </c>
      <c r="G223" s="493" t="s">
        <v>878</v>
      </c>
      <c r="H223" s="494">
        <v>2958465</v>
      </c>
      <c r="I223" s="494">
        <v>40179</v>
      </c>
      <c r="J223" s="493" t="s">
        <v>1583</v>
      </c>
      <c r="K223" s="493" t="s">
        <v>1423</v>
      </c>
      <c r="L223" s="493" t="s">
        <v>1439</v>
      </c>
      <c r="M223" s="493" t="s">
        <v>1023</v>
      </c>
      <c r="N223" s="493" t="s">
        <v>1024</v>
      </c>
    </row>
    <row r="224" spans="1:14" x14ac:dyDescent="0.25">
      <c r="A224" s="493" t="s">
        <v>1584</v>
      </c>
      <c r="B224" s="493" t="s">
        <v>1585</v>
      </c>
      <c r="C224" s="493" t="s">
        <v>1509</v>
      </c>
      <c r="D224" s="493" t="s">
        <v>876</v>
      </c>
      <c r="E224" s="493" t="s">
        <v>569</v>
      </c>
      <c r="F224" s="493" t="s">
        <v>636</v>
      </c>
      <c r="G224" s="493" t="s">
        <v>878</v>
      </c>
      <c r="H224" s="494">
        <v>2958465</v>
      </c>
      <c r="I224" s="494">
        <v>40179</v>
      </c>
      <c r="J224" s="493" t="s">
        <v>1586</v>
      </c>
      <c r="K224" s="493" t="s">
        <v>1423</v>
      </c>
      <c r="L224" s="493" t="s">
        <v>1439</v>
      </c>
      <c r="M224" s="493" t="s">
        <v>1023</v>
      </c>
      <c r="N224" s="493" t="s">
        <v>1024</v>
      </c>
    </row>
    <row r="225" spans="1:14" x14ac:dyDescent="0.25">
      <c r="A225" s="493" t="s">
        <v>1587</v>
      </c>
      <c r="B225" s="493" t="s">
        <v>1588</v>
      </c>
      <c r="C225" s="493" t="s">
        <v>1509</v>
      </c>
      <c r="D225" s="493" t="s">
        <v>876</v>
      </c>
      <c r="E225" s="493" t="s">
        <v>569</v>
      </c>
      <c r="F225" s="493" t="s">
        <v>636</v>
      </c>
      <c r="G225" s="493" t="s">
        <v>878</v>
      </c>
      <c r="H225" s="494">
        <v>2958465</v>
      </c>
      <c r="I225" s="494">
        <v>40179</v>
      </c>
      <c r="J225" s="493" t="s">
        <v>1589</v>
      </c>
      <c r="K225" s="493" t="s">
        <v>1423</v>
      </c>
      <c r="L225" s="493" t="s">
        <v>1439</v>
      </c>
      <c r="M225" s="493" t="s">
        <v>1023</v>
      </c>
      <c r="N225" s="493" t="s">
        <v>1024</v>
      </c>
    </row>
    <row r="226" spans="1:14" x14ac:dyDescent="0.25">
      <c r="A226" s="493" t="s">
        <v>1590</v>
      </c>
      <c r="B226" s="493" t="s">
        <v>1591</v>
      </c>
      <c r="C226" s="493" t="s">
        <v>885</v>
      </c>
      <c r="D226" s="493" t="s">
        <v>876</v>
      </c>
      <c r="E226" s="493" t="s">
        <v>1152</v>
      </c>
      <c r="F226" s="493" t="s">
        <v>636</v>
      </c>
      <c r="G226" s="493" t="s">
        <v>878</v>
      </c>
      <c r="H226" s="494">
        <v>2958465</v>
      </c>
      <c r="I226" s="494">
        <v>40179</v>
      </c>
      <c r="J226" s="493" t="s">
        <v>1592</v>
      </c>
      <c r="K226" s="493" t="s">
        <v>1423</v>
      </c>
      <c r="L226" s="493" t="s">
        <v>1424</v>
      </c>
      <c r="M226" s="493" t="s">
        <v>962</v>
      </c>
      <c r="N226" s="493" t="s">
        <v>1153</v>
      </c>
    </row>
    <row r="227" spans="1:14" x14ac:dyDescent="0.25">
      <c r="A227" s="493" t="s">
        <v>1593</v>
      </c>
      <c r="B227" s="493" t="s">
        <v>1594</v>
      </c>
      <c r="C227" s="493" t="s">
        <v>985</v>
      </c>
      <c r="D227" s="493" t="s">
        <v>876</v>
      </c>
      <c r="E227" s="493" t="s">
        <v>886</v>
      </c>
      <c r="F227" s="493" t="s">
        <v>636</v>
      </c>
      <c r="G227" s="493" t="s">
        <v>878</v>
      </c>
      <c r="H227" s="494">
        <v>2958465</v>
      </c>
      <c r="I227" s="494">
        <v>40179</v>
      </c>
      <c r="J227" s="493" t="s">
        <v>1594</v>
      </c>
      <c r="K227" s="493" t="s">
        <v>1423</v>
      </c>
      <c r="L227" s="493" t="s">
        <v>1424</v>
      </c>
      <c r="M227" s="493" t="s">
        <v>1038</v>
      </c>
      <c r="N227" s="493" t="s">
        <v>890</v>
      </c>
    </row>
    <row r="228" spans="1:14" x14ac:dyDescent="0.25">
      <c r="A228" s="493" t="s">
        <v>1595</v>
      </c>
      <c r="B228" s="493" t="s">
        <v>1596</v>
      </c>
      <c r="C228" s="493" t="s">
        <v>183</v>
      </c>
      <c r="D228" s="493" t="s">
        <v>876</v>
      </c>
      <c r="E228" s="493" t="s">
        <v>1152</v>
      </c>
      <c r="F228" s="493" t="s">
        <v>636</v>
      </c>
      <c r="G228" s="493" t="s">
        <v>878</v>
      </c>
      <c r="H228" s="494">
        <v>2958465</v>
      </c>
      <c r="I228" s="494">
        <v>40179</v>
      </c>
      <c r="J228" s="493" t="s">
        <v>1596</v>
      </c>
      <c r="K228" s="493" t="s">
        <v>1423</v>
      </c>
      <c r="L228" s="493" t="s">
        <v>1439</v>
      </c>
      <c r="M228" s="493" t="s">
        <v>1062</v>
      </c>
      <c r="N228" s="493" t="s">
        <v>1153</v>
      </c>
    </row>
    <row r="229" spans="1:14" x14ac:dyDescent="0.25">
      <c r="A229" s="493" t="s">
        <v>1597</v>
      </c>
      <c r="B229" s="493" t="s">
        <v>1598</v>
      </c>
      <c r="C229" s="493" t="s">
        <v>885</v>
      </c>
      <c r="D229" s="493" t="s">
        <v>876</v>
      </c>
      <c r="E229" s="493" t="s">
        <v>886</v>
      </c>
      <c r="F229" s="493" t="s">
        <v>636</v>
      </c>
      <c r="G229" s="493" t="s">
        <v>878</v>
      </c>
      <c r="H229" s="494">
        <v>2958465</v>
      </c>
      <c r="I229" s="494">
        <v>40179</v>
      </c>
      <c r="J229" s="493" t="s">
        <v>1599</v>
      </c>
      <c r="K229" s="493" t="s">
        <v>1423</v>
      </c>
      <c r="L229" s="493" t="s">
        <v>1424</v>
      </c>
      <c r="M229" s="493" t="s">
        <v>962</v>
      </c>
      <c r="N229" s="493" t="s">
        <v>890</v>
      </c>
    </row>
    <row r="230" spans="1:14" x14ac:dyDescent="0.25">
      <c r="A230" s="493" t="s">
        <v>1600</v>
      </c>
      <c r="B230" s="493" t="s">
        <v>1601</v>
      </c>
      <c r="C230" s="493" t="s">
        <v>183</v>
      </c>
      <c r="D230" s="493" t="s">
        <v>876</v>
      </c>
      <c r="E230" s="493" t="s">
        <v>886</v>
      </c>
      <c r="F230" s="493" t="s">
        <v>636</v>
      </c>
      <c r="G230" s="493" t="s">
        <v>878</v>
      </c>
      <c r="H230" s="494">
        <v>2958465</v>
      </c>
      <c r="I230" s="494">
        <v>40179</v>
      </c>
      <c r="J230" s="493" t="s">
        <v>1601</v>
      </c>
      <c r="K230" s="493" t="s">
        <v>1602</v>
      </c>
      <c r="L230" s="493" t="s">
        <v>1439</v>
      </c>
      <c r="M230" s="493" t="s">
        <v>1139</v>
      </c>
      <c r="N230" s="493" t="s">
        <v>890</v>
      </c>
    </row>
    <row r="231" spans="1:14" x14ac:dyDescent="0.25">
      <c r="A231" s="493" t="s">
        <v>1603</v>
      </c>
      <c r="B231" s="493" t="s">
        <v>1525</v>
      </c>
      <c r="C231" s="493" t="s">
        <v>1604</v>
      </c>
      <c r="D231" s="493" t="s">
        <v>876</v>
      </c>
      <c r="E231" s="493" t="s">
        <v>1152</v>
      </c>
      <c r="F231" s="493" t="s">
        <v>636</v>
      </c>
      <c r="G231" s="493" t="s">
        <v>878</v>
      </c>
      <c r="H231" s="494">
        <v>2958465</v>
      </c>
      <c r="I231" s="494">
        <v>40179</v>
      </c>
      <c r="J231" s="493" t="s">
        <v>1525</v>
      </c>
      <c r="K231" s="493" t="s">
        <v>1605</v>
      </c>
      <c r="L231" s="493" t="s">
        <v>1353</v>
      </c>
      <c r="M231" s="493" t="s">
        <v>1062</v>
      </c>
      <c r="N231" s="493" t="s">
        <v>1153</v>
      </c>
    </row>
    <row r="232" spans="1:14" x14ac:dyDescent="0.25">
      <c r="A232" s="493" t="s">
        <v>1606</v>
      </c>
      <c r="B232" s="493" t="s">
        <v>1607</v>
      </c>
      <c r="C232" s="493" t="s">
        <v>1608</v>
      </c>
      <c r="D232" s="493" t="s">
        <v>876</v>
      </c>
      <c r="E232" s="493" t="s">
        <v>1535</v>
      </c>
      <c r="F232" s="493" t="s">
        <v>636</v>
      </c>
      <c r="G232" s="493" t="s">
        <v>878</v>
      </c>
      <c r="H232" s="494">
        <v>2958465</v>
      </c>
      <c r="I232" s="494">
        <v>40179</v>
      </c>
      <c r="J232" s="493" t="s">
        <v>1607</v>
      </c>
      <c r="K232" s="493" t="s">
        <v>1605</v>
      </c>
      <c r="L232" s="493" t="s">
        <v>1353</v>
      </c>
      <c r="M232" s="493" t="s">
        <v>950</v>
      </c>
      <c r="N232" s="493" t="s">
        <v>1536</v>
      </c>
    </row>
    <row r="233" spans="1:14" x14ac:dyDescent="0.25">
      <c r="A233" s="493" t="s">
        <v>1609</v>
      </c>
      <c r="B233" s="493" t="s">
        <v>1610</v>
      </c>
      <c r="C233" s="493" t="s">
        <v>1611</v>
      </c>
      <c r="D233" s="493" t="s">
        <v>876</v>
      </c>
      <c r="E233" s="493" t="s">
        <v>0</v>
      </c>
      <c r="F233" s="493" t="s">
        <v>636</v>
      </c>
      <c r="G233" s="493" t="s">
        <v>878</v>
      </c>
      <c r="H233" s="494">
        <v>2958465</v>
      </c>
      <c r="I233" s="494">
        <v>40179</v>
      </c>
      <c r="J233" s="493" t="s">
        <v>1610</v>
      </c>
      <c r="K233" s="493" t="s">
        <v>1605</v>
      </c>
      <c r="L233" s="493" t="s">
        <v>1353</v>
      </c>
      <c r="M233" s="493" t="s">
        <v>1279</v>
      </c>
      <c r="N233" s="493" t="s">
        <v>1140</v>
      </c>
    </row>
    <row r="234" spans="1:14" x14ac:dyDescent="0.25">
      <c r="A234" s="493" t="s">
        <v>1612</v>
      </c>
      <c r="B234" s="493" t="s">
        <v>1613</v>
      </c>
      <c r="C234" s="493" t="s">
        <v>1611</v>
      </c>
      <c r="D234" s="493" t="s">
        <v>876</v>
      </c>
      <c r="E234" s="493" t="s">
        <v>0</v>
      </c>
      <c r="F234" s="493" t="s">
        <v>636</v>
      </c>
      <c r="G234" s="493" t="s">
        <v>878</v>
      </c>
      <c r="H234" s="494">
        <v>2958465</v>
      </c>
      <c r="I234" s="494">
        <v>40179</v>
      </c>
      <c r="J234" s="493" t="s">
        <v>1614</v>
      </c>
      <c r="K234" s="493" t="s">
        <v>1605</v>
      </c>
      <c r="L234" s="493" t="s">
        <v>1353</v>
      </c>
      <c r="M234" s="493" t="s">
        <v>1279</v>
      </c>
      <c r="N234" s="493" t="s">
        <v>1140</v>
      </c>
    </row>
    <row r="235" spans="1:14" x14ac:dyDescent="0.25">
      <c r="A235" s="493" t="s">
        <v>1615</v>
      </c>
      <c r="B235" s="493" t="s">
        <v>1616</v>
      </c>
      <c r="C235" s="493" t="s">
        <v>1617</v>
      </c>
      <c r="D235" s="493" t="s">
        <v>876</v>
      </c>
      <c r="E235" s="493" t="s">
        <v>0</v>
      </c>
      <c r="F235" s="493" t="s">
        <v>636</v>
      </c>
      <c r="G235" s="493" t="s">
        <v>878</v>
      </c>
      <c r="H235" s="494">
        <v>2958465</v>
      </c>
      <c r="I235" s="494">
        <v>40179</v>
      </c>
      <c r="J235" s="493" t="s">
        <v>1616</v>
      </c>
      <c r="K235" s="493" t="s">
        <v>1605</v>
      </c>
      <c r="L235" s="493" t="s">
        <v>1353</v>
      </c>
      <c r="M235" s="493" t="s">
        <v>1304</v>
      </c>
      <c r="N235" s="493" t="s">
        <v>1140</v>
      </c>
    </row>
    <row r="236" spans="1:14" x14ac:dyDescent="0.25">
      <c r="A236" s="493" t="s">
        <v>1618</v>
      </c>
      <c r="B236" s="493" t="s">
        <v>1619</v>
      </c>
      <c r="C236" s="493" t="s">
        <v>1620</v>
      </c>
      <c r="D236" s="493" t="s">
        <v>876</v>
      </c>
      <c r="E236" s="493" t="s">
        <v>569</v>
      </c>
      <c r="F236" s="493" t="s">
        <v>636</v>
      </c>
      <c r="G236" s="493" t="s">
        <v>878</v>
      </c>
      <c r="H236" s="494">
        <v>2958465</v>
      </c>
      <c r="I236" s="494">
        <v>40179</v>
      </c>
      <c r="J236" s="493" t="s">
        <v>1619</v>
      </c>
      <c r="K236" s="493" t="s">
        <v>1605</v>
      </c>
      <c r="L236" s="493" t="s">
        <v>1353</v>
      </c>
      <c r="M236" s="493" t="s">
        <v>1023</v>
      </c>
      <c r="N236" s="493" t="s">
        <v>1024</v>
      </c>
    </row>
    <row r="237" spans="1:14" x14ac:dyDescent="0.25">
      <c r="A237" s="493" t="s">
        <v>1621</v>
      </c>
      <c r="B237" s="493" t="s">
        <v>1622</v>
      </c>
      <c r="C237" s="493" t="s">
        <v>1623</v>
      </c>
      <c r="D237" s="493" t="s">
        <v>876</v>
      </c>
      <c r="E237" s="493" t="s">
        <v>886</v>
      </c>
      <c r="F237" s="493" t="s">
        <v>636</v>
      </c>
      <c r="G237" s="493" t="s">
        <v>878</v>
      </c>
      <c r="H237" s="494">
        <v>2958465</v>
      </c>
      <c r="I237" s="494">
        <v>40179</v>
      </c>
      <c r="J237" s="493" t="s">
        <v>1624</v>
      </c>
      <c r="K237" s="493" t="s">
        <v>1605</v>
      </c>
      <c r="L237" s="493" t="s">
        <v>1353</v>
      </c>
      <c r="M237" s="493" t="s">
        <v>946</v>
      </c>
      <c r="N237" s="493" t="s">
        <v>890</v>
      </c>
    </row>
    <row r="238" spans="1:14" x14ac:dyDescent="0.25">
      <c r="A238" s="493" t="s">
        <v>1625</v>
      </c>
      <c r="B238" s="493" t="s">
        <v>1626</v>
      </c>
      <c r="C238" s="493" t="s">
        <v>1627</v>
      </c>
      <c r="D238" s="493" t="s">
        <v>876</v>
      </c>
      <c r="E238" s="493" t="s">
        <v>1143</v>
      </c>
      <c r="F238" s="493" t="s">
        <v>636</v>
      </c>
      <c r="G238" s="493" t="s">
        <v>878</v>
      </c>
      <c r="H238" s="494">
        <v>2958465</v>
      </c>
      <c r="I238" s="494">
        <v>40179</v>
      </c>
      <c r="J238" s="493" t="s">
        <v>1628</v>
      </c>
      <c r="K238" s="493" t="s">
        <v>1605</v>
      </c>
      <c r="L238" s="493" t="s">
        <v>1353</v>
      </c>
      <c r="M238" s="493" t="s">
        <v>1379</v>
      </c>
      <c r="N238" s="493" t="s">
        <v>1146</v>
      </c>
    </row>
    <row r="239" spans="1:14" x14ac:dyDescent="0.25">
      <c r="A239" s="493" t="s">
        <v>855</v>
      </c>
      <c r="B239" s="493" t="s">
        <v>1629</v>
      </c>
      <c r="C239" s="493" t="s">
        <v>1630</v>
      </c>
      <c r="D239" s="493" t="s">
        <v>876</v>
      </c>
      <c r="E239" s="493" t="s">
        <v>1152</v>
      </c>
      <c r="F239" s="493" t="s">
        <v>636</v>
      </c>
      <c r="G239" s="493" t="s">
        <v>878</v>
      </c>
      <c r="H239" s="494">
        <v>2958465</v>
      </c>
      <c r="I239" s="494">
        <v>40179</v>
      </c>
      <c r="J239" s="493" t="s">
        <v>1629</v>
      </c>
      <c r="K239" s="493" t="s">
        <v>1605</v>
      </c>
      <c r="L239" s="493" t="s">
        <v>1353</v>
      </c>
      <c r="M239" s="493" t="s">
        <v>1062</v>
      </c>
      <c r="N239" s="493" t="s">
        <v>1153</v>
      </c>
    </row>
    <row r="240" spans="1:14" x14ac:dyDescent="0.25">
      <c r="A240" s="493" t="s">
        <v>1631</v>
      </c>
      <c r="B240" s="493" t="s">
        <v>1632</v>
      </c>
      <c r="C240" s="493" t="s">
        <v>1633</v>
      </c>
      <c r="D240" s="493" t="s">
        <v>876</v>
      </c>
      <c r="E240" s="493" t="s">
        <v>1143</v>
      </c>
      <c r="F240" s="493" t="s">
        <v>636</v>
      </c>
      <c r="G240" s="493" t="s">
        <v>878</v>
      </c>
      <c r="H240" s="494">
        <v>2958465</v>
      </c>
      <c r="I240" s="494">
        <v>40179</v>
      </c>
      <c r="J240" s="493" t="s">
        <v>1632</v>
      </c>
      <c r="K240" s="493" t="s">
        <v>1605</v>
      </c>
      <c r="L240" s="493" t="s">
        <v>1353</v>
      </c>
      <c r="M240" s="493" t="s">
        <v>1145</v>
      </c>
      <c r="N240" s="493" t="s">
        <v>1146</v>
      </c>
    </row>
    <row r="241" spans="1:14" x14ac:dyDescent="0.25">
      <c r="A241" s="493" t="s">
        <v>1634</v>
      </c>
      <c r="B241" s="493" t="s">
        <v>1635</v>
      </c>
      <c r="C241" s="493" t="s">
        <v>1633</v>
      </c>
      <c r="D241" s="493" t="s">
        <v>1636</v>
      </c>
      <c r="E241" s="493" t="s">
        <v>1143</v>
      </c>
      <c r="F241" s="493" t="s">
        <v>636</v>
      </c>
      <c r="G241" s="493" t="s">
        <v>878</v>
      </c>
      <c r="H241" s="494">
        <v>42735</v>
      </c>
      <c r="I241" s="494">
        <v>40179</v>
      </c>
      <c r="J241" s="493" t="s">
        <v>1635</v>
      </c>
      <c r="K241" s="493" t="s">
        <v>1605</v>
      </c>
      <c r="L241" s="493" t="s">
        <v>1353</v>
      </c>
      <c r="M241" s="493" t="s">
        <v>1145</v>
      </c>
      <c r="N241" s="493" t="s">
        <v>1146</v>
      </c>
    </row>
    <row r="242" spans="1:14" x14ac:dyDescent="0.25">
      <c r="A242" s="493" t="s">
        <v>1634</v>
      </c>
      <c r="B242" s="493" t="s">
        <v>1635</v>
      </c>
      <c r="C242" s="493" t="s">
        <v>1633</v>
      </c>
      <c r="D242" s="493" t="s">
        <v>1636</v>
      </c>
      <c r="E242" s="493" t="s">
        <v>1143</v>
      </c>
      <c r="F242" s="493" t="s">
        <v>636</v>
      </c>
      <c r="G242" s="493" t="s">
        <v>878</v>
      </c>
      <c r="H242" s="494">
        <v>2958465</v>
      </c>
      <c r="I242" s="494">
        <v>42736</v>
      </c>
      <c r="J242" s="493" t="s">
        <v>1635</v>
      </c>
      <c r="K242" s="493" t="s">
        <v>1605</v>
      </c>
      <c r="L242" s="493" t="s">
        <v>1353</v>
      </c>
      <c r="M242" s="493" t="s">
        <v>1145</v>
      </c>
      <c r="N242" s="493" t="s">
        <v>1146</v>
      </c>
    </row>
    <row r="243" spans="1:14" x14ac:dyDescent="0.25">
      <c r="A243" s="493" t="s">
        <v>1637</v>
      </c>
      <c r="B243" s="493" t="s">
        <v>1638</v>
      </c>
      <c r="C243" s="493" t="s">
        <v>1078</v>
      </c>
      <c r="D243" s="493" t="s">
        <v>1639</v>
      </c>
      <c r="E243" s="493" t="s">
        <v>886</v>
      </c>
      <c r="F243" s="493" t="s">
        <v>636</v>
      </c>
      <c r="G243" s="493" t="s">
        <v>878</v>
      </c>
      <c r="H243" s="494">
        <v>2958465</v>
      </c>
      <c r="I243" s="494">
        <v>40179</v>
      </c>
      <c r="J243" s="493" t="s">
        <v>1640</v>
      </c>
      <c r="K243" s="493" t="s">
        <v>1605</v>
      </c>
      <c r="L243" s="493" t="s">
        <v>1353</v>
      </c>
      <c r="M243" s="493" t="s">
        <v>1080</v>
      </c>
      <c r="N243" s="493" t="s">
        <v>890</v>
      </c>
    </row>
    <row r="244" spans="1:14" x14ac:dyDescent="0.25">
      <c r="A244" s="493" t="s">
        <v>1641</v>
      </c>
      <c r="B244" s="493" t="s">
        <v>1642</v>
      </c>
      <c r="C244" s="493" t="s">
        <v>1643</v>
      </c>
      <c r="D244" s="493" t="s">
        <v>876</v>
      </c>
      <c r="E244" s="493" t="s">
        <v>1143</v>
      </c>
      <c r="F244" s="493" t="s">
        <v>636</v>
      </c>
      <c r="G244" s="493" t="s">
        <v>878</v>
      </c>
      <c r="H244" s="494">
        <v>2958465</v>
      </c>
      <c r="I244" s="494">
        <v>40179</v>
      </c>
      <c r="J244" s="493" t="s">
        <v>1642</v>
      </c>
      <c r="K244" s="493" t="s">
        <v>1605</v>
      </c>
      <c r="L244" s="493" t="s">
        <v>1353</v>
      </c>
      <c r="M244" s="493" t="s">
        <v>946</v>
      </c>
      <c r="N244" s="493" t="s">
        <v>1146</v>
      </c>
    </row>
    <row r="245" spans="1:14" x14ac:dyDescent="0.25">
      <c r="A245" s="493" t="s">
        <v>1644</v>
      </c>
      <c r="B245" s="493" t="s">
        <v>1645</v>
      </c>
      <c r="C245" s="493" t="s">
        <v>1646</v>
      </c>
      <c r="D245" s="493" t="s">
        <v>876</v>
      </c>
      <c r="E245" s="493" t="s">
        <v>1143</v>
      </c>
      <c r="F245" s="493" t="s">
        <v>636</v>
      </c>
      <c r="G245" s="493" t="s">
        <v>878</v>
      </c>
      <c r="H245" s="494">
        <v>2958465</v>
      </c>
      <c r="I245" s="494">
        <v>40179</v>
      </c>
      <c r="J245" s="493" t="s">
        <v>1645</v>
      </c>
      <c r="K245" s="493" t="s">
        <v>1605</v>
      </c>
      <c r="L245" s="493" t="s">
        <v>1353</v>
      </c>
      <c r="M245" s="493" t="s">
        <v>1379</v>
      </c>
      <c r="N245" s="493" t="s">
        <v>1146</v>
      </c>
    </row>
    <row r="246" spans="1:14" x14ac:dyDescent="0.25">
      <c r="A246" s="493" t="s">
        <v>1647</v>
      </c>
      <c r="B246" s="493" t="s">
        <v>1648</v>
      </c>
      <c r="C246" s="493" t="s">
        <v>1649</v>
      </c>
      <c r="D246" s="493" t="s">
        <v>876</v>
      </c>
      <c r="E246" s="493" t="s">
        <v>1143</v>
      </c>
      <c r="F246" s="493" t="s">
        <v>636</v>
      </c>
      <c r="G246" s="493" t="s">
        <v>878</v>
      </c>
      <c r="H246" s="494">
        <v>2958465</v>
      </c>
      <c r="I246" s="494">
        <v>40179</v>
      </c>
      <c r="J246" s="493" t="s">
        <v>1650</v>
      </c>
      <c r="K246" s="493" t="s">
        <v>1605</v>
      </c>
      <c r="L246" s="493" t="s">
        <v>1353</v>
      </c>
      <c r="M246" s="493" t="s">
        <v>946</v>
      </c>
      <c r="N246" s="493" t="s">
        <v>1146</v>
      </c>
    </row>
    <row r="247" spans="1:14" x14ac:dyDescent="0.25">
      <c r="A247" s="493" t="s">
        <v>1651</v>
      </c>
      <c r="B247" s="493" t="s">
        <v>1057</v>
      </c>
      <c r="C247" s="493" t="s">
        <v>1652</v>
      </c>
      <c r="D247" s="493" t="s">
        <v>876</v>
      </c>
      <c r="E247" s="493" t="s">
        <v>1152</v>
      </c>
      <c r="F247" s="493" t="s">
        <v>636</v>
      </c>
      <c r="G247" s="493" t="s">
        <v>878</v>
      </c>
      <c r="H247" s="494">
        <v>2958465</v>
      </c>
      <c r="I247" s="494">
        <v>40179</v>
      </c>
      <c r="J247" s="493" t="s">
        <v>1057</v>
      </c>
      <c r="K247" s="493" t="s">
        <v>1605</v>
      </c>
      <c r="L247" s="493" t="s">
        <v>1353</v>
      </c>
      <c r="M247" s="493" t="s">
        <v>1058</v>
      </c>
      <c r="N247" s="493" t="s">
        <v>1153</v>
      </c>
    </row>
    <row r="248" spans="1:14" x14ac:dyDescent="0.25">
      <c r="A248" s="493" t="s">
        <v>1653</v>
      </c>
      <c r="B248" s="493" t="s">
        <v>1654</v>
      </c>
      <c r="C248" s="493" t="s">
        <v>1655</v>
      </c>
      <c r="D248" s="493" t="s">
        <v>876</v>
      </c>
      <c r="E248" s="493" t="s">
        <v>1244</v>
      </c>
      <c r="F248" s="493" t="s">
        <v>636</v>
      </c>
      <c r="G248" s="493" t="s">
        <v>878</v>
      </c>
      <c r="H248" s="494">
        <v>2958465</v>
      </c>
      <c r="I248" s="494">
        <v>40179</v>
      </c>
      <c r="J248" s="493" t="s">
        <v>1654</v>
      </c>
      <c r="K248" s="493" t="s">
        <v>1605</v>
      </c>
      <c r="L248" s="493" t="s">
        <v>1353</v>
      </c>
      <c r="M248" s="493" t="s">
        <v>918</v>
      </c>
      <c r="N248" s="493" t="s">
        <v>1246</v>
      </c>
    </row>
    <row r="249" spans="1:14" x14ac:dyDescent="0.25">
      <c r="A249" s="493" t="s">
        <v>1656</v>
      </c>
      <c r="B249" s="493" t="s">
        <v>1657</v>
      </c>
      <c r="C249" s="493" t="s">
        <v>969</v>
      </c>
      <c r="D249" s="493" t="s">
        <v>1658</v>
      </c>
      <c r="E249" s="493" t="s">
        <v>886</v>
      </c>
      <c r="F249" s="493" t="s">
        <v>636</v>
      </c>
      <c r="G249" s="493" t="s">
        <v>878</v>
      </c>
      <c r="H249" s="494">
        <v>2958465</v>
      </c>
      <c r="I249" s="494">
        <v>40179</v>
      </c>
      <c r="J249" s="493" t="s">
        <v>1659</v>
      </c>
      <c r="K249" s="493" t="s">
        <v>1605</v>
      </c>
      <c r="L249" s="493" t="s">
        <v>1353</v>
      </c>
      <c r="M249" s="493" t="s">
        <v>970</v>
      </c>
      <c r="N249" s="493" t="s">
        <v>890</v>
      </c>
    </row>
    <row r="250" spans="1:14" x14ac:dyDescent="0.25">
      <c r="A250" s="493" t="s">
        <v>1660</v>
      </c>
      <c r="B250" s="493" t="s">
        <v>1661</v>
      </c>
      <c r="C250" s="493" t="s">
        <v>1033</v>
      </c>
      <c r="D250" s="493" t="s">
        <v>1662</v>
      </c>
      <c r="E250" s="493" t="s">
        <v>886</v>
      </c>
      <c r="F250" s="493" t="s">
        <v>636</v>
      </c>
      <c r="G250" s="493" t="s">
        <v>878</v>
      </c>
      <c r="H250" s="494">
        <v>2958465</v>
      </c>
      <c r="I250" s="494">
        <v>40179</v>
      </c>
      <c r="J250" s="493" t="s">
        <v>1663</v>
      </c>
      <c r="K250" s="493" t="s">
        <v>1605</v>
      </c>
      <c r="L250" s="493" t="s">
        <v>1353</v>
      </c>
      <c r="M250" s="493" t="s">
        <v>1034</v>
      </c>
      <c r="N250" s="493" t="s">
        <v>890</v>
      </c>
    </row>
    <row r="251" spans="1:14" x14ac:dyDescent="0.25">
      <c r="A251" s="493" t="s">
        <v>1664</v>
      </c>
      <c r="B251" s="493" t="s">
        <v>1665</v>
      </c>
      <c r="C251" s="493" t="s">
        <v>1013</v>
      </c>
      <c r="D251" s="493" t="s">
        <v>1666</v>
      </c>
      <c r="E251" s="493" t="s">
        <v>886</v>
      </c>
      <c r="F251" s="493" t="s">
        <v>636</v>
      </c>
      <c r="G251" s="493" t="s">
        <v>878</v>
      </c>
      <c r="H251" s="494">
        <v>2958465</v>
      </c>
      <c r="I251" s="494">
        <v>40179</v>
      </c>
      <c r="J251" s="493" t="s">
        <v>1667</v>
      </c>
      <c r="K251" s="493" t="s">
        <v>1605</v>
      </c>
      <c r="L251" s="493" t="s">
        <v>1353</v>
      </c>
      <c r="M251" s="493" t="s">
        <v>1014</v>
      </c>
      <c r="N251" s="493" t="s">
        <v>890</v>
      </c>
    </row>
    <row r="252" spans="1:14" x14ac:dyDescent="0.25">
      <c r="A252" s="493" t="s">
        <v>1668</v>
      </c>
      <c r="B252" s="493" t="s">
        <v>1669</v>
      </c>
      <c r="C252" s="493" t="s">
        <v>985</v>
      </c>
      <c r="D252" s="493" t="s">
        <v>1670</v>
      </c>
      <c r="E252" s="493" t="s">
        <v>886</v>
      </c>
      <c r="F252" s="493" t="s">
        <v>636</v>
      </c>
      <c r="G252" s="493" t="s">
        <v>878</v>
      </c>
      <c r="H252" s="494">
        <v>2958465</v>
      </c>
      <c r="I252" s="494">
        <v>40179</v>
      </c>
      <c r="J252" s="493" t="s">
        <v>986</v>
      </c>
      <c r="K252" s="493" t="s">
        <v>1605</v>
      </c>
      <c r="L252" s="493" t="s">
        <v>1353</v>
      </c>
      <c r="M252" s="493" t="s">
        <v>987</v>
      </c>
      <c r="N252" s="493" t="s">
        <v>890</v>
      </c>
    </row>
    <row r="253" spans="1:14" x14ac:dyDescent="0.25">
      <c r="A253" s="493" t="s">
        <v>1671</v>
      </c>
      <c r="B253" s="493" t="s">
        <v>1672</v>
      </c>
      <c r="C253" s="493" t="s">
        <v>1673</v>
      </c>
      <c r="D253" s="493" t="s">
        <v>876</v>
      </c>
      <c r="E253" s="493" t="s">
        <v>1152</v>
      </c>
      <c r="F253" s="493" t="s">
        <v>636</v>
      </c>
      <c r="G253" s="493" t="s">
        <v>878</v>
      </c>
      <c r="H253" s="494">
        <v>2958465</v>
      </c>
      <c r="I253" s="494">
        <v>40179</v>
      </c>
      <c r="J253" s="493" t="s">
        <v>1672</v>
      </c>
      <c r="K253" s="493" t="s">
        <v>1605</v>
      </c>
      <c r="L253" s="493" t="s">
        <v>1353</v>
      </c>
      <c r="M253" s="493" t="s">
        <v>962</v>
      </c>
      <c r="N253" s="493" t="s">
        <v>1153</v>
      </c>
    </row>
    <row r="254" spans="1:14" x14ac:dyDescent="0.25">
      <c r="A254" s="493" t="s">
        <v>1674</v>
      </c>
      <c r="B254" s="493" t="s">
        <v>1675</v>
      </c>
      <c r="C254" s="493" t="s">
        <v>885</v>
      </c>
      <c r="D254" s="493" t="s">
        <v>1676</v>
      </c>
      <c r="E254" s="493" t="s">
        <v>886</v>
      </c>
      <c r="F254" s="493" t="s">
        <v>636</v>
      </c>
      <c r="G254" s="493" t="s">
        <v>878</v>
      </c>
      <c r="H254" s="494">
        <v>2958465</v>
      </c>
      <c r="I254" s="494">
        <v>40179</v>
      </c>
      <c r="J254" s="493" t="s">
        <v>1675</v>
      </c>
      <c r="K254" s="493" t="s">
        <v>1605</v>
      </c>
      <c r="L254" s="493" t="s">
        <v>1353</v>
      </c>
      <c r="M254" s="493" t="s">
        <v>889</v>
      </c>
      <c r="N254" s="493" t="s">
        <v>890</v>
      </c>
    </row>
    <row r="255" spans="1:14" x14ac:dyDescent="0.25">
      <c r="A255" s="493" t="s">
        <v>1677</v>
      </c>
      <c r="B255" s="493" t="s">
        <v>1678</v>
      </c>
      <c r="C255" s="493" t="s">
        <v>1070</v>
      </c>
      <c r="D255" s="493" t="s">
        <v>1678</v>
      </c>
      <c r="E255" s="493" t="s">
        <v>886</v>
      </c>
      <c r="F255" s="493" t="s">
        <v>636</v>
      </c>
      <c r="G255" s="493" t="s">
        <v>878</v>
      </c>
      <c r="H255" s="494">
        <v>2958465</v>
      </c>
      <c r="I255" s="494">
        <v>40179</v>
      </c>
      <c r="J255" s="493" t="s">
        <v>1679</v>
      </c>
      <c r="K255" s="493" t="s">
        <v>1605</v>
      </c>
      <c r="L255" s="493" t="s">
        <v>1353</v>
      </c>
      <c r="M255" s="493" t="s">
        <v>1071</v>
      </c>
      <c r="N255" s="493" t="s">
        <v>890</v>
      </c>
    </row>
    <row r="256" spans="1:14" x14ac:dyDescent="0.25">
      <c r="A256" s="493" t="s">
        <v>1680</v>
      </c>
      <c r="B256" s="493" t="s">
        <v>1681</v>
      </c>
      <c r="C256" s="493" t="s">
        <v>1682</v>
      </c>
      <c r="D256" s="493" t="s">
        <v>876</v>
      </c>
      <c r="E256" s="493" t="s">
        <v>1152</v>
      </c>
      <c r="F256" s="493" t="s">
        <v>636</v>
      </c>
      <c r="G256" s="493" t="s">
        <v>878</v>
      </c>
      <c r="H256" s="494">
        <v>2958465</v>
      </c>
      <c r="I256" s="494">
        <v>40179</v>
      </c>
      <c r="J256" s="493" t="s">
        <v>1683</v>
      </c>
      <c r="K256" s="493" t="s">
        <v>1605</v>
      </c>
      <c r="L256" s="493" t="s">
        <v>1353</v>
      </c>
      <c r="M256" s="493" t="s">
        <v>900</v>
      </c>
      <c r="N256" s="493" t="s">
        <v>1153</v>
      </c>
    </row>
    <row r="257" spans="1:14" x14ac:dyDescent="0.25">
      <c r="A257" s="493" t="s">
        <v>1684</v>
      </c>
      <c r="B257" s="493" t="s">
        <v>324</v>
      </c>
      <c r="C257" s="493" t="s">
        <v>1682</v>
      </c>
      <c r="D257" s="493" t="s">
        <v>876</v>
      </c>
      <c r="E257" s="493" t="s">
        <v>877</v>
      </c>
      <c r="F257" s="493" t="s">
        <v>636</v>
      </c>
      <c r="G257" s="493" t="s">
        <v>878</v>
      </c>
      <c r="H257" s="494">
        <v>2958465</v>
      </c>
      <c r="I257" s="494">
        <v>40179</v>
      </c>
      <c r="J257" s="493" t="s">
        <v>324</v>
      </c>
      <c r="K257" s="493" t="s">
        <v>1605</v>
      </c>
      <c r="L257" s="493" t="s">
        <v>1353</v>
      </c>
      <c r="M257" s="493" t="s">
        <v>881</v>
      </c>
      <c r="N257" s="493" t="s">
        <v>882</v>
      </c>
    </row>
    <row r="258" spans="1:14" x14ac:dyDescent="0.25">
      <c r="A258" s="493" t="s">
        <v>1685</v>
      </c>
      <c r="B258" s="493" t="s">
        <v>1686</v>
      </c>
      <c r="C258" s="493" t="s">
        <v>885</v>
      </c>
      <c r="D258" s="493" t="s">
        <v>1687</v>
      </c>
      <c r="E258" s="493" t="s">
        <v>1143</v>
      </c>
      <c r="F258" s="493" t="s">
        <v>636</v>
      </c>
      <c r="G258" s="493" t="s">
        <v>878</v>
      </c>
      <c r="H258" s="494">
        <v>2958465</v>
      </c>
      <c r="I258" s="494">
        <v>40179</v>
      </c>
      <c r="J258" s="493" t="s">
        <v>1688</v>
      </c>
      <c r="K258" s="493" t="s">
        <v>1605</v>
      </c>
      <c r="L258" s="493" t="s">
        <v>1353</v>
      </c>
      <c r="M258" s="493" t="s">
        <v>962</v>
      </c>
      <c r="N258" s="493" t="s">
        <v>1146</v>
      </c>
    </row>
    <row r="259" spans="1:14" x14ac:dyDescent="0.25">
      <c r="A259" s="493" t="s">
        <v>1689</v>
      </c>
      <c r="B259" s="493" t="s">
        <v>1690</v>
      </c>
      <c r="C259" s="493" t="s">
        <v>1691</v>
      </c>
      <c r="D259" s="493" t="s">
        <v>876</v>
      </c>
      <c r="E259" s="493" t="s">
        <v>0</v>
      </c>
      <c r="F259" s="493" t="s">
        <v>636</v>
      </c>
      <c r="G259" s="493" t="s">
        <v>878</v>
      </c>
      <c r="H259" s="494">
        <v>2958465</v>
      </c>
      <c r="I259" s="494">
        <v>40179</v>
      </c>
      <c r="J259" s="493" t="s">
        <v>1690</v>
      </c>
      <c r="K259" s="493" t="s">
        <v>1605</v>
      </c>
      <c r="L259" s="493" t="s">
        <v>1353</v>
      </c>
      <c r="M259" s="493" t="s">
        <v>1139</v>
      </c>
      <c r="N259" s="493" t="s">
        <v>1140</v>
      </c>
    </row>
    <row r="260" spans="1:14" x14ac:dyDescent="0.25">
      <c r="A260" s="493" t="s">
        <v>1692</v>
      </c>
      <c r="B260" s="493" t="s">
        <v>1693</v>
      </c>
      <c r="C260" s="493" t="s">
        <v>885</v>
      </c>
      <c r="D260" s="493" t="s">
        <v>1694</v>
      </c>
      <c r="E260" s="493" t="s">
        <v>886</v>
      </c>
      <c r="F260" s="493" t="s">
        <v>636</v>
      </c>
      <c r="G260" s="493" t="s">
        <v>878</v>
      </c>
      <c r="H260" s="494">
        <v>2958465</v>
      </c>
      <c r="I260" s="494">
        <v>40179</v>
      </c>
      <c r="J260" s="493" t="s">
        <v>1695</v>
      </c>
      <c r="K260" s="493" t="s">
        <v>1605</v>
      </c>
      <c r="L260" s="493" t="s">
        <v>1353</v>
      </c>
      <c r="M260" s="493" t="s">
        <v>962</v>
      </c>
      <c r="N260" s="493" t="s">
        <v>890</v>
      </c>
    </row>
    <row r="261" spans="1:14" x14ac:dyDescent="0.25">
      <c r="A261" s="493" t="s">
        <v>1696</v>
      </c>
      <c r="B261" s="493" t="s">
        <v>1697</v>
      </c>
      <c r="C261" s="493" t="s">
        <v>1611</v>
      </c>
      <c r="D261" s="493" t="s">
        <v>876</v>
      </c>
      <c r="E261" s="493" t="s">
        <v>0</v>
      </c>
      <c r="F261" s="493" t="s">
        <v>636</v>
      </c>
      <c r="G261" s="493" t="s">
        <v>878</v>
      </c>
      <c r="H261" s="494">
        <v>2958465</v>
      </c>
      <c r="I261" s="494">
        <v>40179</v>
      </c>
      <c r="J261" s="493" t="s">
        <v>1698</v>
      </c>
      <c r="K261" s="493" t="s">
        <v>1605</v>
      </c>
      <c r="L261" s="493" t="s">
        <v>1353</v>
      </c>
      <c r="M261" s="493" t="s">
        <v>1279</v>
      </c>
      <c r="N261" s="493" t="s">
        <v>1140</v>
      </c>
    </row>
    <row r="262" spans="1:14" x14ac:dyDescent="0.25">
      <c r="A262" s="493" t="s">
        <v>1699</v>
      </c>
      <c r="B262" s="493" t="s">
        <v>1700</v>
      </c>
      <c r="C262" s="493" t="s">
        <v>1633</v>
      </c>
      <c r="D262" s="493" t="s">
        <v>876</v>
      </c>
      <c r="E262" s="493" t="s">
        <v>1143</v>
      </c>
      <c r="F262" s="493" t="s">
        <v>636</v>
      </c>
      <c r="G262" s="493" t="s">
        <v>878</v>
      </c>
      <c r="H262" s="494">
        <v>2958465</v>
      </c>
      <c r="I262" s="494">
        <v>40179</v>
      </c>
      <c r="J262" s="493" t="s">
        <v>1701</v>
      </c>
      <c r="K262" s="493" t="s">
        <v>1605</v>
      </c>
      <c r="L262" s="493" t="s">
        <v>1353</v>
      </c>
      <c r="M262" s="493" t="s">
        <v>1145</v>
      </c>
      <c r="N262" s="493" t="s">
        <v>1146</v>
      </c>
    </row>
    <row r="263" spans="1:14" x14ac:dyDescent="0.25">
      <c r="A263" s="493" t="s">
        <v>1702</v>
      </c>
      <c r="B263" s="493" t="s">
        <v>1703</v>
      </c>
      <c r="C263" s="493" t="s">
        <v>1652</v>
      </c>
      <c r="D263" s="493" t="s">
        <v>876</v>
      </c>
      <c r="E263" s="493" t="s">
        <v>1152</v>
      </c>
      <c r="F263" s="493" t="s">
        <v>636</v>
      </c>
      <c r="G263" s="493" t="s">
        <v>878</v>
      </c>
      <c r="H263" s="494">
        <v>2958465</v>
      </c>
      <c r="I263" s="494">
        <v>40179</v>
      </c>
      <c r="J263" s="493" t="s">
        <v>1703</v>
      </c>
      <c r="K263" s="493" t="s">
        <v>1605</v>
      </c>
      <c r="L263" s="493" t="s">
        <v>1353</v>
      </c>
      <c r="M263" s="493" t="s">
        <v>1062</v>
      </c>
      <c r="N263" s="493" t="s">
        <v>1153</v>
      </c>
    </row>
    <row r="264" spans="1:14" x14ac:dyDescent="0.25">
      <c r="A264" s="493" t="s">
        <v>1704</v>
      </c>
      <c r="B264" s="493" t="s">
        <v>1705</v>
      </c>
      <c r="C264" s="493" t="s">
        <v>1706</v>
      </c>
      <c r="D264" s="493" t="s">
        <v>876</v>
      </c>
      <c r="E264" s="493" t="s">
        <v>569</v>
      </c>
      <c r="F264" s="493" t="s">
        <v>636</v>
      </c>
      <c r="G264" s="493" t="s">
        <v>878</v>
      </c>
      <c r="H264" s="494">
        <v>2958465</v>
      </c>
      <c r="I264" s="494">
        <v>40179</v>
      </c>
      <c r="J264" s="493" t="s">
        <v>1705</v>
      </c>
      <c r="K264" s="493" t="s">
        <v>1605</v>
      </c>
      <c r="L264" s="493" t="s">
        <v>1353</v>
      </c>
      <c r="M264" s="493" t="s">
        <v>1023</v>
      </c>
      <c r="N264" s="493" t="s">
        <v>1024</v>
      </c>
    </row>
    <row r="265" spans="1:14" x14ac:dyDescent="0.25">
      <c r="A265" s="493" t="s">
        <v>1707</v>
      </c>
      <c r="B265" s="493" t="s">
        <v>1708</v>
      </c>
      <c r="C265" s="493" t="s">
        <v>909</v>
      </c>
      <c r="D265" s="493" t="s">
        <v>876</v>
      </c>
      <c r="E265" s="493" t="s">
        <v>1143</v>
      </c>
      <c r="F265" s="493" t="s">
        <v>636</v>
      </c>
      <c r="G265" s="493" t="s">
        <v>878</v>
      </c>
      <c r="H265" s="494">
        <v>2958465</v>
      </c>
      <c r="I265" s="494">
        <v>40179</v>
      </c>
      <c r="J265" s="493" t="s">
        <v>1228</v>
      </c>
      <c r="K265" s="493" t="s">
        <v>1605</v>
      </c>
      <c r="L265" s="493" t="s">
        <v>1353</v>
      </c>
      <c r="M265" s="493" t="s">
        <v>912</v>
      </c>
      <c r="N265" s="493" t="s">
        <v>1146</v>
      </c>
    </row>
    <row r="266" spans="1:14" x14ac:dyDescent="0.25">
      <c r="A266" s="493" t="s">
        <v>1709</v>
      </c>
      <c r="B266" s="493" t="s">
        <v>1390</v>
      </c>
      <c r="C266" s="493" t="s">
        <v>985</v>
      </c>
      <c r="D266" s="493" t="s">
        <v>876</v>
      </c>
      <c r="E266" s="493" t="s">
        <v>886</v>
      </c>
      <c r="F266" s="493" t="s">
        <v>636</v>
      </c>
      <c r="G266" s="493" t="s">
        <v>878</v>
      </c>
      <c r="H266" s="494">
        <v>2958465</v>
      </c>
      <c r="I266" s="494">
        <v>40179</v>
      </c>
      <c r="J266" s="493" t="s">
        <v>1710</v>
      </c>
      <c r="K266" s="493" t="s">
        <v>1711</v>
      </c>
      <c r="L266" s="493" t="s">
        <v>1138</v>
      </c>
      <c r="M266" s="493" t="s">
        <v>1038</v>
      </c>
      <c r="N266" s="493" t="s">
        <v>890</v>
      </c>
    </row>
    <row r="267" spans="1:14" x14ac:dyDescent="0.25">
      <c r="A267" s="493" t="s">
        <v>1712</v>
      </c>
      <c r="B267" s="493" t="s">
        <v>1713</v>
      </c>
      <c r="C267" s="493" t="s">
        <v>885</v>
      </c>
      <c r="D267" s="493" t="s">
        <v>876</v>
      </c>
      <c r="E267" s="493" t="s">
        <v>897</v>
      </c>
      <c r="F267" s="493" t="s">
        <v>636</v>
      </c>
      <c r="G267" s="493" t="s">
        <v>878</v>
      </c>
      <c r="H267" s="494">
        <v>2958465</v>
      </c>
      <c r="I267" s="494">
        <v>40179</v>
      </c>
      <c r="J267" s="493" t="s">
        <v>1713</v>
      </c>
      <c r="K267" s="493" t="s">
        <v>1714</v>
      </c>
      <c r="L267" s="493" t="s">
        <v>966</v>
      </c>
      <c r="M267" s="493" t="s">
        <v>1171</v>
      </c>
      <c r="N267" s="493" t="s">
        <v>901</v>
      </c>
    </row>
    <row r="268" spans="1:14" x14ac:dyDescent="0.25">
      <c r="A268" s="493" t="s">
        <v>1715</v>
      </c>
      <c r="B268" s="493" t="s">
        <v>1716</v>
      </c>
      <c r="C268" s="493" t="s">
        <v>1611</v>
      </c>
      <c r="D268" s="493" t="s">
        <v>876</v>
      </c>
      <c r="E268" s="493" t="s">
        <v>0</v>
      </c>
      <c r="F268" s="493" t="s">
        <v>636</v>
      </c>
      <c r="G268" s="493" t="s">
        <v>878</v>
      </c>
      <c r="H268" s="494">
        <v>2958465</v>
      </c>
      <c r="I268" s="494">
        <v>40179</v>
      </c>
      <c r="J268" s="493" t="s">
        <v>1717</v>
      </c>
      <c r="K268" s="493" t="s">
        <v>1718</v>
      </c>
      <c r="L268" s="493" t="s">
        <v>1349</v>
      </c>
      <c r="M268" s="493" t="s">
        <v>1279</v>
      </c>
      <c r="N268" s="493" t="s">
        <v>1140</v>
      </c>
    </row>
    <row r="269" spans="1:14" x14ac:dyDescent="0.25">
      <c r="A269" s="493" t="s">
        <v>1719</v>
      </c>
      <c r="B269" s="493" t="s">
        <v>979</v>
      </c>
      <c r="C269" s="493" t="s">
        <v>978</v>
      </c>
      <c r="D269" s="493" t="s">
        <v>1720</v>
      </c>
      <c r="E269" s="493" t="s">
        <v>886</v>
      </c>
      <c r="F269" s="493" t="s">
        <v>636</v>
      </c>
      <c r="G269" s="493" t="s">
        <v>878</v>
      </c>
      <c r="H269" s="494">
        <v>2958465</v>
      </c>
      <c r="I269" s="494">
        <v>40179</v>
      </c>
      <c r="J269" s="493" t="s">
        <v>979</v>
      </c>
      <c r="K269" s="493" t="s">
        <v>1718</v>
      </c>
      <c r="L269" s="493" t="s">
        <v>1138</v>
      </c>
      <c r="M269" s="493" t="s">
        <v>975</v>
      </c>
      <c r="N269" s="493" t="s">
        <v>890</v>
      </c>
    </row>
    <row r="270" spans="1:14" x14ac:dyDescent="0.25">
      <c r="A270" s="493" t="s">
        <v>1721</v>
      </c>
      <c r="B270" s="493" t="s">
        <v>1722</v>
      </c>
      <c r="C270" s="493" t="s">
        <v>1723</v>
      </c>
      <c r="D270" s="493" t="s">
        <v>876</v>
      </c>
      <c r="E270" s="493" t="s">
        <v>1143</v>
      </c>
      <c r="F270" s="493" t="s">
        <v>636</v>
      </c>
      <c r="G270" s="493" t="s">
        <v>878</v>
      </c>
      <c r="H270" s="494">
        <v>2958465</v>
      </c>
      <c r="I270" s="494">
        <v>40179</v>
      </c>
      <c r="J270" s="493" t="s">
        <v>1722</v>
      </c>
      <c r="K270" s="493" t="s">
        <v>1718</v>
      </c>
      <c r="L270" s="493" t="s">
        <v>1349</v>
      </c>
      <c r="M270" s="493" t="s">
        <v>1145</v>
      </c>
      <c r="N270" s="493" t="s">
        <v>1146</v>
      </c>
    </row>
    <row r="271" spans="1:14" x14ac:dyDescent="0.25">
      <c r="A271" s="493" t="s">
        <v>1724</v>
      </c>
      <c r="B271" s="493" t="s">
        <v>1725</v>
      </c>
      <c r="C271" s="493" t="s">
        <v>1726</v>
      </c>
      <c r="D271" s="493" t="s">
        <v>876</v>
      </c>
      <c r="E271" s="493" t="s">
        <v>1143</v>
      </c>
      <c r="F271" s="493" t="s">
        <v>636</v>
      </c>
      <c r="G271" s="493" t="s">
        <v>878</v>
      </c>
      <c r="H271" s="494">
        <v>2958465</v>
      </c>
      <c r="I271" s="494">
        <v>40179</v>
      </c>
      <c r="J271" s="493" t="s">
        <v>1725</v>
      </c>
      <c r="K271" s="493" t="s">
        <v>1718</v>
      </c>
      <c r="L271" s="493" t="s">
        <v>1349</v>
      </c>
      <c r="M271" s="493" t="s">
        <v>946</v>
      </c>
      <c r="N271" s="493" t="s">
        <v>1146</v>
      </c>
    </row>
    <row r="272" spans="1:14" x14ac:dyDescent="0.25">
      <c r="A272" s="493" t="s">
        <v>1727</v>
      </c>
      <c r="B272" s="493" t="s">
        <v>1728</v>
      </c>
      <c r="C272" s="493" t="s">
        <v>916</v>
      </c>
      <c r="D272" s="493" t="s">
        <v>876</v>
      </c>
      <c r="E272" s="493" t="s">
        <v>1244</v>
      </c>
      <c r="F272" s="493" t="s">
        <v>636</v>
      </c>
      <c r="G272" s="493" t="s">
        <v>878</v>
      </c>
      <c r="H272" s="494">
        <v>2958465</v>
      </c>
      <c r="I272" s="494">
        <v>40179</v>
      </c>
      <c r="J272" s="493" t="s">
        <v>1729</v>
      </c>
      <c r="K272" s="493" t="s">
        <v>1718</v>
      </c>
      <c r="L272" s="493" t="s">
        <v>1349</v>
      </c>
      <c r="M272" s="493" t="s">
        <v>918</v>
      </c>
      <c r="N272" s="493" t="s">
        <v>1246</v>
      </c>
    </row>
    <row r="273" spans="1:14" x14ac:dyDescent="0.25">
      <c r="A273" s="493" t="s">
        <v>1730</v>
      </c>
      <c r="B273" s="493" t="s">
        <v>1731</v>
      </c>
      <c r="C273" s="493" t="s">
        <v>1732</v>
      </c>
      <c r="D273" s="493" t="s">
        <v>876</v>
      </c>
      <c r="E273" s="493" t="s">
        <v>1143</v>
      </c>
      <c r="F273" s="493" t="s">
        <v>636</v>
      </c>
      <c r="G273" s="493" t="s">
        <v>878</v>
      </c>
      <c r="H273" s="494">
        <v>2958465</v>
      </c>
      <c r="I273" s="494">
        <v>40179</v>
      </c>
      <c r="J273" s="493" t="s">
        <v>1731</v>
      </c>
      <c r="K273" s="493" t="s">
        <v>1718</v>
      </c>
      <c r="L273" s="493" t="s">
        <v>1349</v>
      </c>
      <c r="M273" s="493" t="s">
        <v>1145</v>
      </c>
      <c r="N273" s="493" t="s">
        <v>1146</v>
      </c>
    </row>
    <row r="274" spans="1:14" x14ac:dyDescent="0.25">
      <c r="A274" s="493" t="s">
        <v>1733</v>
      </c>
      <c r="B274" s="493" t="s">
        <v>1734</v>
      </c>
      <c r="C274" s="493" t="s">
        <v>1735</v>
      </c>
      <c r="D274" s="493" t="s">
        <v>876</v>
      </c>
      <c r="E274" s="493" t="s">
        <v>1152</v>
      </c>
      <c r="F274" s="493" t="s">
        <v>636</v>
      </c>
      <c r="G274" s="493" t="s">
        <v>878</v>
      </c>
      <c r="H274" s="494">
        <v>2958465</v>
      </c>
      <c r="I274" s="494">
        <v>40179</v>
      </c>
      <c r="J274" s="493" t="s">
        <v>1736</v>
      </c>
      <c r="K274" s="493" t="s">
        <v>1718</v>
      </c>
      <c r="L274" s="493" t="s">
        <v>1349</v>
      </c>
      <c r="M274" s="493" t="s">
        <v>1737</v>
      </c>
      <c r="N274" s="493" t="s">
        <v>1153</v>
      </c>
    </row>
    <row r="275" spans="1:14" x14ac:dyDescent="0.25">
      <c r="A275" s="493" t="s">
        <v>1738</v>
      </c>
      <c r="B275" s="493" t="s">
        <v>1739</v>
      </c>
      <c r="C275" s="493" t="s">
        <v>1740</v>
      </c>
      <c r="D275" s="493" t="s">
        <v>876</v>
      </c>
      <c r="E275" s="493" t="s">
        <v>1152</v>
      </c>
      <c r="F275" s="493" t="s">
        <v>636</v>
      </c>
      <c r="G275" s="493" t="s">
        <v>878</v>
      </c>
      <c r="H275" s="494">
        <v>2958465</v>
      </c>
      <c r="I275" s="494">
        <v>40179</v>
      </c>
      <c r="J275" s="493" t="s">
        <v>1739</v>
      </c>
      <c r="K275" s="493" t="s">
        <v>1718</v>
      </c>
      <c r="L275" s="493" t="s">
        <v>1349</v>
      </c>
      <c r="M275" s="493" t="s">
        <v>1058</v>
      </c>
      <c r="N275" s="493" t="s">
        <v>1153</v>
      </c>
    </row>
    <row r="276" spans="1:14" x14ac:dyDescent="0.25">
      <c r="A276" s="493" t="s">
        <v>1741</v>
      </c>
      <c r="B276" s="493" t="s">
        <v>1678</v>
      </c>
      <c r="C276" s="493" t="s">
        <v>1070</v>
      </c>
      <c r="D276" s="493" t="s">
        <v>1678</v>
      </c>
      <c r="E276" s="493" t="s">
        <v>886</v>
      </c>
      <c r="F276" s="493" t="s">
        <v>636</v>
      </c>
      <c r="G276" s="493" t="s">
        <v>878</v>
      </c>
      <c r="H276" s="494">
        <v>2958465</v>
      </c>
      <c r="I276" s="494">
        <v>40179</v>
      </c>
      <c r="J276" s="493" t="s">
        <v>1679</v>
      </c>
      <c r="K276" s="493" t="s">
        <v>1718</v>
      </c>
      <c r="L276" s="493" t="s">
        <v>1138</v>
      </c>
      <c r="M276" s="493" t="s">
        <v>1071</v>
      </c>
      <c r="N276" s="493" t="s">
        <v>890</v>
      </c>
    </row>
    <row r="277" spans="1:14" x14ac:dyDescent="0.25">
      <c r="A277" s="493" t="s">
        <v>1742</v>
      </c>
      <c r="B277" s="493" t="s">
        <v>1743</v>
      </c>
      <c r="C277" s="493" t="s">
        <v>1611</v>
      </c>
      <c r="D277" s="493" t="s">
        <v>876</v>
      </c>
      <c r="E277" s="493" t="s">
        <v>0</v>
      </c>
      <c r="F277" s="493" t="s">
        <v>636</v>
      </c>
      <c r="G277" s="493" t="s">
        <v>878</v>
      </c>
      <c r="H277" s="494">
        <v>2958465</v>
      </c>
      <c r="I277" s="494">
        <v>40179</v>
      </c>
      <c r="J277" s="493" t="s">
        <v>1743</v>
      </c>
      <c r="K277" s="493" t="s">
        <v>1718</v>
      </c>
      <c r="L277" s="493" t="s">
        <v>1349</v>
      </c>
      <c r="M277" s="493" t="s">
        <v>1279</v>
      </c>
      <c r="N277" s="493" t="s">
        <v>1140</v>
      </c>
    </row>
    <row r="278" spans="1:14" x14ac:dyDescent="0.25">
      <c r="A278" s="493" t="s">
        <v>1744</v>
      </c>
      <c r="B278" s="493" t="s">
        <v>1745</v>
      </c>
      <c r="C278" s="493" t="s">
        <v>1746</v>
      </c>
      <c r="D278" s="493" t="s">
        <v>876</v>
      </c>
      <c r="E278" s="493" t="s">
        <v>0</v>
      </c>
      <c r="F278" s="493" t="s">
        <v>636</v>
      </c>
      <c r="G278" s="493" t="s">
        <v>878</v>
      </c>
      <c r="H278" s="494">
        <v>2958465</v>
      </c>
      <c r="I278" s="494">
        <v>40179</v>
      </c>
      <c r="J278" s="493" t="s">
        <v>1745</v>
      </c>
      <c r="K278" s="493" t="s">
        <v>1718</v>
      </c>
      <c r="L278" s="493" t="s">
        <v>1349</v>
      </c>
      <c r="M278" s="493" t="s">
        <v>1747</v>
      </c>
      <c r="N278" s="493" t="s">
        <v>1140</v>
      </c>
    </row>
    <row r="279" spans="1:14" x14ac:dyDescent="0.25">
      <c r="A279" s="493" t="s">
        <v>1748</v>
      </c>
      <c r="B279" s="493" t="s">
        <v>1749</v>
      </c>
      <c r="C279" s="493" t="s">
        <v>1750</v>
      </c>
      <c r="D279" s="493" t="s">
        <v>876</v>
      </c>
      <c r="E279" s="493" t="s">
        <v>1143</v>
      </c>
      <c r="F279" s="493" t="s">
        <v>636</v>
      </c>
      <c r="G279" s="493" t="s">
        <v>878</v>
      </c>
      <c r="H279" s="494">
        <v>2958465</v>
      </c>
      <c r="I279" s="494">
        <v>40179</v>
      </c>
      <c r="J279" s="493" t="s">
        <v>1749</v>
      </c>
      <c r="K279" s="493" t="s">
        <v>1718</v>
      </c>
      <c r="L279" s="493" t="s">
        <v>1138</v>
      </c>
      <c r="M279" s="493" t="s">
        <v>912</v>
      </c>
      <c r="N279" s="493" t="s">
        <v>1146</v>
      </c>
    </row>
    <row r="280" spans="1:14" x14ac:dyDescent="0.25">
      <c r="A280" s="493" t="s">
        <v>1751</v>
      </c>
      <c r="B280" s="493" t="s">
        <v>1752</v>
      </c>
      <c r="C280" s="493" t="s">
        <v>909</v>
      </c>
      <c r="D280" s="493" t="s">
        <v>876</v>
      </c>
      <c r="E280" s="493" t="s">
        <v>1143</v>
      </c>
      <c r="F280" s="493" t="s">
        <v>636</v>
      </c>
      <c r="G280" s="493" t="s">
        <v>878</v>
      </c>
      <c r="H280" s="494">
        <v>2958465</v>
      </c>
      <c r="I280" s="494">
        <v>40179</v>
      </c>
      <c r="J280" s="493" t="s">
        <v>1752</v>
      </c>
      <c r="K280" s="493" t="s">
        <v>1718</v>
      </c>
      <c r="L280" s="493" t="s">
        <v>1138</v>
      </c>
      <c r="M280" s="493" t="s">
        <v>912</v>
      </c>
      <c r="N280" s="493" t="s">
        <v>1146</v>
      </c>
    </row>
    <row r="281" spans="1:14" x14ac:dyDescent="0.25">
      <c r="A281" s="493" t="s">
        <v>1753</v>
      </c>
      <c r="B281" s="493" t="s">
        <v>1754</v>
      </c>
      <c r="C281" s="493" t="s">
        <v>1755</v>
      </c>
      <c r="D281" s="493" t="s">
        <v>876</v>
      </c>
      <c r="E281" s="493" t="s">
        <v>1143</v>
      </c>
      <c r="F281" s="493" t="s">
        <v>636</v>
      </c>
      <c r="G281" s="493" t="s">
        <v>878</v>
      </c>
      <c r="H281" s="494">
        <v>2958465</v>
      </c>
      <c r="I281" s="494">
        <v>40179</v>
      </c>
      <c r="J281" s="493" t="s">
        <v>1754</v>
      </c>
      <c r="K281" s="493" t="s">
        <v>1718</v>
      </c>
      <c r="L281" s="493" t="s">
        <v>1138</v>
      </c>
      <c r="M281" s="493" t="s">
        <v>1053</v>
      </c>
      <c r="N281" s="493" t="s">
        <v>1146</v>
      </c>
    </row>
    <row r="282" spans="1:14" x14ac:dyDescent="0.25">
      <c r="A282" s="493" t="s">
        <v>1756</v>
      </c>
      <c r="B282" s="493" t="s">
        <v>1757</v>
      </c>
      <c r="C282" s="493" t="s">
        <v>1611</v>
      </c>
      <c r="D282" s="493" t="s">
        <v>876</v>
      </c>
      <c r="E282" s="493" t="s">
        <v>0</v>
      </c>
      <c r="F282" s="493" t="s">
        <v>636</v>
      </c>
      <c r="G282" s="493" t="s">
        <v>878</v>
      </c>
      <c r="H282" s="494">
        <v>2958465</v>
      </c>
      <c r="I282" s="494">
        <v>40179</v>
      </c>
      <c r="J282" s="493" t="s">
        <v>1757</v>
      </c>
      <c r="K282" s="493" t="s">
        <v>1718</v>
      </c>
      <c r="L282" s="493" t="s">
        <v>1349</v>
      </c>
      <c r="M282" s="493" t="s">
        <v>1279</v>
      </c>
      <c r="N282" s="493" t="s">
        <v>1140</v>
      </c>
    </row>
    <row r="283" spans="1:14" x14ac:dyDescent="0.25">
      <c r="A283" s="493" t="s">
        <v>1758</v>
      </c>
      <c r="B283" s="493" t="s">
        <v>1077</v>
      </c>
      <c r="C283" s="493" t="s">
        <v>1078</v>
      </c>
      <c r="D283" s="493" t="s">
        <v>1759</v>
      </c>
      <c r="E283" s="493" t="s">
        <v>886</v>
      </c>
      <c r="F283" s="493" t="s">
        <v>636</v>
      </c>
      <c r="G283" s="493" t="s">
        <v>878</v>
      </c>
      <c r="H283" s="494">
        <v>2958465</v>
      </c>
      <c r="I283" s="494">
        <v>40179</v>
      </c>
      <c r="J283" s="493" t="s">
        <v>1079</v>
      </c>
      <c r="K283" s="493" t="s">
        <v>1718</v>
      </c>
      <c r="L283" s="493" t="s">
        <v>1138</v>
      </c>
      <c r="M283" s="493" t="s">
        <v>1080</v>
      </c>
      <c r="N283" s="493" t="s">
        <v>890</v>
      </c>
    </row>
    <row r="284" spans="1:14" x14ac:dyDescent="0.25">
      <c r="A284" s="493" t="s">
        <v>1760</v>
      </c>
      <c r="B284" s="493" t="s">
        <v>1761</v>
      </c>
      <c r="C284" s="493" t="s">
        <v>1732</v>
      </c>
      <c r="D284" s="493" t="s">
        <v>1762</v>
      </c>
      <c r="E284" s="493" t="s">
        <v>1143</v>
      </c>
      <c r="F284" s="493" t="s">
        <v>636</v>
      </c>
      <c r="G284" s="493" t="s">
        <v>878</v>
      </c>
      <c r="H284" s="494">
        <v>2958465</v>
      </c>
      <c r="I284" s="494">
        <v>40179</v>
      </c>
      <c r="J284" s="493" t="s">
        <v>1763</v>
      </c>
      <c r="K284" s="493" t="s">
        <v>1718</v>
      </c>
      <c r="L284" s="493" t="s">
        <v>1349</v>
      </c>
      <c r="M284" s="493" t="s">
        <v>912</v>
      </c>
      <c r="N284" s="493" t="s">
        <v>1146</v>
      </c>
    </row>
    <row r="285" spans="1:14" x14ac:dyDescent="0.25">
      <c r="A285" s="493" t="s">
        <v>1764</v>
      </c>
      <c r="B285" s="493" t="s">
        <v>1669</v>
      </c>
      <c r="C285" s="493" t="s">
        <v>985</v>
      </c>
      <c r="D285" s="493" t="s">
        <v>1765</v>
      </c>
      <c r="E285" s="493" t="s">
        <v>886</v>
      </c>
      <c r="F285" s="493" t="s">
        <v>636</v>
      </c>
      <c r="G285" s="493" t="s">
        <v>878</v>
      </c>
      <c r="H285" s="494">
        <v>2958465</v>
      </c>
      <c r="I285" s="494">
        <v>40179</v>
      </c>
      <c r="J285" s="493" t="s">
        <v>986</v>
      </c>
      <c r="K285" s="493" t="s">
        <v>1718</v>
      </c>
      <c r="L285" s="493" t="s">
        <v>1138</v>
      </c>
      <c r="M285" s="493" t="s">
        <v>987</v>
      </c>
      <c r="N285" s="493" t="s">
        <v>890</v>
      </c>
    </row>
    <row r="286" spans="1:14" x14ac:dyDescent="0.25">
      <c r="A286" s="493" t="s">
        <v>1766</v>
      </c>
      <c r="B286" s="493" t="s">
        <v>1767</v>
      </c>
      <c r="C286" s="493" t="s">
        <v>1611</v>
      </c>
      <c r="D286" s="493" t="s">
        <v>876</v>
      </c>
      <c r="E286" s="493" t="s">
        <v>0</v>
      </c>
      <c r="F286" s="493" t="s">
        <v>636</v>
      </c>
      <c r="G286" s="493" t="s">
        <v>878</v>
      </c>
      <c r="H286" s="494">
        <v>2958465</v>
      </c>
      <c r="I286" s="494">
        <v>40179</v>
      </c>
      <c r="J286" s="493" t="s">
        <v>1768</v>
      </c>
      <c r="K286" s="493" t="s">
        <v>1718</v>
      </c>
      <c r="L286" s="493" t="s">
        <v>1349</v>
      </c>
      <c r="M286" s="493" t="s">
        <v>1279</v>
      </c>
      <c r="N286" s="493" t="s">
        <v>1140</v>
      </c>
    </row>
    <row r="287" spans="1:14" x14ac:dyDescent="0.25">
      <c r="A287" s="493" t="s">
        <v>1769</v>
      </c>
      <c r="B287" s="493" t="s">
        <v>1770</v>
      </c>
      <c r="C287" s="493" t="s">
        <v>1646</v>
      </c>
      <c r="D287" s="493" t="s">
        <v>876</v>
      </c>
      <c r="E287" s="493" t="s">
        <v>1143</v>
      </c>
      <c r="F287" s="493" t="s">
        <v>636</v>
      </c>
      <c r="G287" s="493" t="s">
        <v>878</v>
      </c>
      <c r="H287" s="494">
        <v>2958465</v>
      </c>
      <c r="I287" s="494">
        <v>40179</v>
      </c>
      <c r="J287" s="493" t="s">
        <v>1770</v>
      </c>
      <c r="K287" s="493" t="s">
        <v>1718</v>
      </c>
      <c r="L287" s="493" t="s">
        <v>1138</v>
      </c>
      <c r="M287" s="493" t="s">
        <v>1379</v>
      </c>
      <c r="N287" s="493" t="s">
        <v>1146</v>
      </c>
    </row>
    <row r="288" spans="1:14" x14ac:dyDescent="0.25">
      <c r="A288" s="493" t="s">
        <v>1771</v>
      </c>
      <c r="B288" s="493" t="s">
        <v>1772</v>
      </c>
      <c r="C288" s="493" t="s">
        <v>1611</v>
      </c>
      <c r="D288" s="493" t="s">
        <v>876</v>
      </c>
      <c r="E288" s="493" t="s">
        <v>0</v>
      </c>
      <c r="F288" s="493" t="s">
        <v>636</v>
      </c>
      <c r="G288" s="493" t="s">
        <v>878</v>
      </c>
      <c r="H288" s="494">
        <v>2958465</v>
      </c>
      <c r="I288" s="494">
        <v>40179</v>
      </c>
      <c r="J288" s="493" t="s">
        <v>1772</v>
      </c>
      <c r="K288" s="493" t="s">
        <v>1718</v>
      </c>
      <c r="L288" s="493" t="s">
        <v>1349</v>
      </c>
      <c r="M288" s="493" t="s">
        <v>1139</v>
      </c>
      <c r="N288" s="493" t="s">
        <v>1140</v>
      </c>
    </row>
    <row r="289" spans="1:14" x14ac:dyDescent="0.25">
      <c r="A289" s="493" t="s">
        <v>1773</v>
      </c>
      <c r="B289" s="493" t="s">
        <v>1774</v>
      </c>
      <c r="C289" s="493" t="s">
        <v>1620</v>
      </c>
      <c r="D289" s="493" t="s">
        <v>876</v>
      </c>
      <c r="E289" s="493" t="s">
        <v>569</v>
      </c>
      <c r="F289" s="493" t="s">
        <v>636</v>
      </c>
      <c r="G289" s="493" t="s">
        <v>878</v>
      </c>
      <c r="H289" s="494">
        <v>2958465</v>
      </c>
      <c r="I289" s="494">
        <v>40179</v>
      </c>
      <c r="J289" s="493" t="s">
        <v>1774</v>
      </c>
      <c r="K289" s="493" t="s">
        <v>1718</v>
      </c>
      <c r="L289" s="493" t="s">
        <v>1349</v>
      </c>
      <c r="M289" s="493" t="s">
        <v>1023</v>
      </c>
      <c r="N289" s="493" t="s">
        <v>1024</v>
      </c>
    </row>
    <row r="290" spans="1:14" x14ac:dyDescent="0.25">
      <c r="A290" s="493" t="s">
        <v>1775</v>
      </c>
      <c r="B290" s="493" t="s">
        <v>1776</v>
      </c>
      <c r="C290" s="493" t="s">
        <v>1652</v>
      </c>
      <c r="D290" s="493" t="s">
        <v>876</v>
      </c>
      <c r="E290" s="493" t="s">
        <v>1152</v>
      </c>
      <c r="F290" s="493" t="s">
        <v>636</v>
      </c>
      <c r="G290" s="493" t="s">
        <v>878</v>
      </c>
      <c r="H290" s="494">
        <v>2958465</v>
      </c>
      <c r="I290" s="494">
        <v>40179</v>
      </c>
      <c r="J290" s="493" t="s">
        <v>1777</v>
      </c>
      <c r="K290" s="493" t="s">
        <v>1718</v>
      </c>
      <c r="L290" s="493" t="s">
        <v>1349</v>
      </c>
      <c r="M290" s="493" t="s">
        <v>1058</v>
      </c>
      <c r="N290" s="493" t="s">
        <v>1153</v>
      </c>
    </row>
    <row r="291" spans="1:14" x14ac:dyDescent="0.25">
      <c r="A291" s="493" t="s">
        <v>1778</v>
      </c>
      <c r="B291" s="493" t="s">
        <v>1779</v>
      </c>
      <c r="C291" s="493" t="s">
        <v>1780</v>
      </c>
      <c r="D291" s="493" t="s">
        <v>1781</v>
      </c>
      <c r="E291" s="493" t="s">
        <v>1152</v>
      </c>
      <c r="F291" s="493" t="s">
        <v>636</v>
      </c>
      <c r="G291" s="493" t="s">
        <v>878</v>
      </c>
      <c r="H291" s="494">
        <v>42853</v>
      </c>
      <c r="I291" s="494">
        <v>40179</v>
      </c>
      <c r="J291" s="493" t="s">
        <v>1782</v>
      </c>
      <c r="K291" s="493" t="s">
        <v>1718</v>
      </c>
      <c r="L291" s="493" t="s">
        <v>1138</v>
      </c>
      <c r="M291" s="493" t="s">
        <v>1058</v>
      </c>
      <c r="N291" s="493" t="s">
        <v>1153</v>
      </c>
    </row>
    <row r="292" spans="1:14" x14ac:dyDescent="0.25">
      <c r="A292" s="493" t="s">
        <v>1778</v>
      </c>
      <c r="B292" s="493" t="s">
        <v>1779</v>
      </c>
      <c r="C292" s="493" t="s">
        <v>1780</v>
      </c>
      <c r="D292" s="493" t="s">
        <v>1781</v>
      </c>
      <c r="E292" s="493" t="s">
        <v>1152</v>
      </c>
      <c r="F292" s="493" t="s">
        <v>636</v>
      </c>
      <c r="G292" s="493" t="s">
        <v>878</v>
      </c>
      <c r="H292" s="494">
        <v>2958465</v>
      </c>
      <c r="I292" s="494">
        <v>42854</v>
      </c>
      <c r="J292" s="493" t="s">
        <v>1782</v>
      </c>
      <c r="K292" s="493" t="s">
        <v>1718</v>
      </c>
      <c r="L292" s="493" t="s">
        <v>1349</v>
      </c>
      <c r="M292" s="493" t="s">
        <v>1058</v>
      </c>
      <c r="N292" s="493" t="s">
        <v>1153</v>
      </c>
    </row>
    <row r="293" spans="1:14" x14ac:dyDescent="0.25">
      <c r="A293" s="493" t="s">
        <v>1783</v>
      </c>
      <c r="B293" s="493" t="s">
        <v>1784</v>
      </c>
      <c r="C293" s="493" t="s">
        <v>1691</v>
      </c>
      <c r="D293" s="493" t="s">
        <v>876</v>
      </c>
      <c r="E293" s="493" t="s">
        <v>0</v>
      </c>
      <c r="F293" s="493" t="s">
        <v>636</v>
      </c>
      <c r="G293" s="493" t="s">
        <v>878</v>
      </c>
      <c r="H293" s="494">
        <v>2958465</v>
      </c>
      <c r="I293" s="494">
        <v>40179</v>
      </c>
      <c r="J293" s="493" t="s">
        <v>1785</v>
      </c>
      <c r="K293" s="493" t="s">
        <v>1718</v>
      </c>
      <c r="L293" s="493" t="s">
        <v>1349</v>
      </c>
      <c r="M293" s="493" t="s">
        <v>1139</v>
      </c>
      <c r="N293" s="493" t="s">
        <v>1140</v>
      </c>
    </row>
    <row r="294" spans="1:14" x14ac:dyDescent="0.25">
      <c r="A294" s="493" t="s">
        <v>1786</v>
      </c>
      <c r="B294" s="493" t="s">
        <v>1705</v>
      </c>
      <c r="C294" s="493" t="s">
        <v>1620</v>
      </c>
      <c r="D294" s="493" t="s">
        <v>876</v>
      </c>
      <c r="E294" s="493" t="s">
        <v>569</v>
      </c>
      <c r="F294" s="493" t="s">
        <v>636</v>
      </c>
      <c r="G294" s="493" t="s">
        <v>878</v>
      </c>
      <c r="H294" s="494">
        <v>2958465</v>
      </c>
      <c r="I294" s="494">
        <v>40179</v>
      </c>
      <c r="J294" s="493" t="s">
        <v>1705</v>
      </c>
      <c r="K294" s="493" t="s">
        <v>1718</v>
      </c>
      <c r="L294" s="493" t="s">
        <v>1349</v>
      </c>
      <c r="M294" s="493" t="s">
        <v>1023</v>
      </c>
      <c r="N294" s="493" t="s">
        <v>1024</v>
      </c>
    </row>
    <row r="295" spans="1:14" x14ac:dyDescent="0.25">
      <c r="A295" s="493" t="s">
        <v>1787</v>
      </c>
      <c r="B295" s="493" t="s">
        <v>1788</v>
      </c>
      <c r="C295" s="493" t="s">
        <v>1611</v>
      </c>
      <c r="D295" s="493" t="s">
        <v>876</v>
      </c>
      <c r="E295" s="493" t="s">
        <v>0</v>
      </c>
      <c r="F295" s="493" t="s">
        <v>636</v>
      </c>
      <c r="G295" s="493" t="s">
        <v>878</v>
      </c>
      <c r="H295" s="494">
        <v>2958465</v>
      </c>
      <c r="I295" s="494">
        <v>40179</v>
      </c>
      <c r="J295" s="493" t="s">
        <v>1788</v>
      </c>
      <c r="K295" s="493" t="s">
        <v>1718</v>
      </c>
      <c r="L295" s="493" t="s">
        <v>1349</v>
      </c>
      <c r="M295" s="493" t="s">
        <v>1279</v>
      </c>
      <c r="N295" s="493" t="s">
        <v>1140</v>
      </c>
    </row>
    <row r="296" spans="1:14" x14ac:dyDescent="0.25">
      <c r="A296" s="493" t="s">
        <v>1789</v>
      </c>
      <c r="B296" s="493" t="s">
        <v>1629</v>
      </c>
      <c r="C296" s="493" t="s">
        <v>1790</v>
      </c>
      <c r="D296" s="493" t="s">
        <v>876</v>
      </c>
      <c r="E296" s="493" t="s">
        <v>1152</v>
      </c>
      <c r="F296" s="493" t="s">
        <v>636</v>
      </c>
      <c r="G296" s="493" t="s">
        <v>878</v>
      </c>
      <c r="H296" s="494">
        <v>2958465</v>
      </c>
      <c r="I296" s="494">
        <v>40179</v>
      </c>
      <c r="J296" s="493" t="s">
        <v>1629</v>
      </c>
      <c r="K296" s="493" t="s">
        <v>1718</v>
      </c>
      <c r="L296" s="493" t="s">
        <v>1349</v>
      </c>
      <c r="M296" s="493" t="s">
        <v>1058</v>
      </c>
      <c r="N296" s="493" t="s">
        <v>1153</v>
      </c>
    </row>
    <row r="297" spans="1:14" x14ac:dyDescent="0.25">
      <c r="A297" s="493" t="s">
        <v>1791</v>
      </c>
      <c r="B297" s="493" t="s">
        <v>1792</v>
      </c>
      <c r="C297" s="493" t="s">
        <v>1611</v>
      </c>
      <c r="D297" s="493" t="s">
        <v>876</v>
      </c>
      <c r="E297" s="493" t="s">
        <v>0</v>
      </c>
      <c r="F297" s="493" t="s">
        <v>636</v>
      </c>
      <c r="G297" s="493" t="s">
        <v>878</v>
      </c>
      <c r="H297" s="494">
        <v>2958465</v>
      </c>
      <c r="I297" s="494">
        <v>40179</v>
      </c>
      <c r="J297" s="493" t="s">
        <v>1792</v>
      </c>
      <c r="K297" s="493" t="s">
        <v>1718</v>
      </c>
      <c r="L297" s="493" t="s">
        <v>1349</v>
      </c>
      <c r="M297" s="493" t="s">
        <v>1279</v>
      </c>
      <c r="N297" s="493" t="s">
        <v>1140</v>
      </c>
    </row>
    <row r="298" spans="1:14" x14ac:dyDescent="0.25">
      <c r="A298" s="493" t="s">
        <v>1793</v>
      </c>
      <c r="B298" s="493" t="s">
        <v>1794</v>
      </c>
      <c r="C298" s="493" t="s">
        <v>1795</v>
      </c>
      <c r="D298" s="493" t="s">
        <v>876</v>
      </c>
      <c r="E298" s="493" t="s">
        <v>0</v>
      </c>
      <c r="F298" s="493" t="s">
        <v>636</v>
      </c>
      <c r="G298" s="493" t="s">
        <v>878</v>
      </c>
      <c r="H298" s="494">
        <v>2958465</v>
      </c>
      <c r="I298" s="494">
        <v>40179</v>
      </c>
      <c r="J298" s="493" t="s">
        <v>1796</v>
      </c>
      <c r="K298" s="493" t="s">
        <v>1718</v>
      </c>
      <c r="L298" s="493" t="s">
        <v>1349</v>
      </c>
      <c r="M298" s="493" t="s">
        <v>1304</v>
      </c>
      <c r="N298" s="493" t="s">
        <v>1140</v>
      </c>
    </row>
    <row r="299" spans="1:14" x14ac:dyDescent="0.25">
      <c r="A299" s="493" t="s">
        <v>1797</v>
      </c>
      <c r="B299" s="493" t="s">
        <v>1798</v>
      </c>
      <c r="C299" s="493" t="s">
        <v>1033</v>
      </c>
      <c r="D299" s="493" t="s">
        <v>1799</v>
      </c>
      <c r="E299" s="493" t="s">
        <v>886</v>
      </c>
      <c r="F299" s="493" t="s">
        <v>636</v>
      </c>
      <c r="G299" s="493" t="s">
        <v>878</v>
      </c>
      <c r="H299" s="494">
        <v>2958465</v>
      </c>
      <c r="I299" s="494">
        <v>40179</v>
      </c>
      <c r="J299" s="493" t="s">
        <v>1798</v>
      </c>
      <c r="K299" s="493" t="s">
        <v>1718</v>
      </c>
      <c r="L299" s="493" t="s">
        <v>1138</v>
      </c>
      <c r="M299" s="493" t="s">
        <v>1034</v>
      </c>
      <c r="N299" s="493" t="s">
        <v>890</v>
      </c>
    </row>
    <row r="300" spans="1:14" x14ac:dyDescent="0.25">
      <c r="A300" s="493" t="s">
        <v>1800</v>
      </c>
      <c r="B300" s="493" t="s">
        <v>1801</v>
      </c>
      <c r="C300" s="493" t="s">
        <v>1802</v>
      </c>
      <c r="D300" s="493" t="s">
        <v>876</v>
      </c>
      <c r="E300" s="493" t="s">
        <v>877</v>
      </c>
      <c r="F300" s="493" t="s">
        <v>636</v>
      </c>
      <c r="G300" s="493" t="s">
        <v>878</v>
      </c>
      <c r="H300" s="494">
        <v>2958465</v>
      </c>
      <c r="I300" s="494">
        <v>40179</v>
      </c>
      <c r="J300" s="493" t="s">
        <v>1801</v>
      </c>
      <c r="K300" s="493" t="s">
        <v>1718</v>
      </c>
      <c r="L300" s="493" t="s">
        <v>1349</v>
      </c>
      <c r="M300" s="493" t="s">
        <v>881</v>
      </c>
      <c r="N300" s="493" t="s">
        <v>882</v>
      </c>
    </row>
    <row r="301" spans="1:14" x14ac:dyDescent="0.25">
      <c r="A301" s="493" t="s">
        <v>1803</v>
      </c>
      <c r="B301" s="493" t="s">
        <v>1804</v>
      </c>
      <c r="C301" s="493" t="s">
        <v>1652</v>
      </c>
      <c r="D301" s="493" t="s">
        <v>876</v>
      </c>
      <c r="E301" s="493" t="s">
        <v>1152</v>
      </c>
      <c r="F301" s="493" t="s">
        <v>636</v>
      </c>
      <c r="G301" s="493" t="s">
        <v>878</v>
      </c>
      <c r="H301" s="494">
        <v>2958465</v>
      </c>
      <c r="I301" s="494">
        <v>40179</v>
      </c>
      <c r="J301" s="493" t="s">
        <v>1805</v>
      </c>
      <c r="K301" s="493" t="s">
        <v>1718</v>
      </c>
      <c r="L301" s="493" t="s">
        <v>1349</v>
      </c>
      <c r="M301" s="493" t="s">
        <v>1058</v>
      </c>
      <c r="N301" s="493" t="s">
        <v>1153</v>
      </c>
    </row>
    <row r="302" spans="1:14" x14ac:dyDescent="0.25">
      <c r="A302" s="493" t="s">
        <v>1806</v>
      </c>
      <c r="B302" s="493" t="s">
        <v>1807</v>
      </c>
      <c r="C302" s="493" t="s">
        <v>1802</v>
      </c>
      <c r="D302" s="493" t="s">
        <v>876</v>
      </c>
      <c r="E302" s="493" t="s">
        <v>877</v>
      </c>
      <c r="F302" s="493" t="s">
        <v>636</v>
      </c>
      <c r="G302" s="493" t="s">
        <v>878</v>
      </c>
      <c r="H302" s="494">
        <v>2958465</v>
      </c>
      <c r="I302" s="494">
        <v>40179</v>
      </c>
      <c r="J302" s="493" t="s">
        <v>1807</v>
      </c>
      <c r="K302" s="493" t="s">
        <v>1718</v>
      </c>
      <c r="L302" s="493" t="s">
        <v>1349</v>
      </c>
      <c r="M302" s="493" t="s">
        <v>881</v>
      </c>
      <c r="N302" s="493" t="s">
        <v>882</v>
      </c>
    </row>
    <row r="303" spans="1:14" x14ac:dyDescent="0.25">
      <c r="A303" s="493" t="s">
        <v>1808</v>
      </c>
      <c r="B303" s="493" t="s">
        <v>1809</v>
      </c>
      <c r="C303" s="493" t="s">
        <v>1810</v>
      </c>
      <c r="D303" s="493" t="s">
        <v>876</v>
      </c>
      <c r="E303" s="493" t="s">
        <v>877</v>
      </c>
      <c r="F303" s="493" t="s">
        <v>636</v>
      </c>
      <c r="G303" s="493" t="s">
        <v>878</v>
      </c>
      <c r="H303" s="494">
        <v>2958465</v>
      </c>
      <c r="I303" s="494">
        <v>40179</v>
      </c>
      <c r="J303" s="493" t="s">
        <v>1809</v>
      </c>
      <c r="K303" s="493" t="s">
        <v>1718</v>
      </c>
      <c r="L303" s="493" t="s">
        <v>1349</v>
      </c>
      <c r="M303" s="493" t="s">
        <v>881</v>
      </c>
      <c r="N303" s="493" t="s">
        <v>882</v>
      </c>
    </row>
    <row r="304" spans="1:14" x14ac:dyDescent="0.25">
      <c r="A304" s="493" t="s">
        <v>1811</v>
      </c>
      <c r="B304" s="493" t="s">
        <v>1812</v>
      </c>
      <c r="C304" s="493" t="s">
        <v>1813</v>
      </c>
      <c r="D304" s="493" t="s">
        <v>876</v>
      </c>
      <c r="E304" s="493" t="s">
        <v>877</v>
      </c>
      <c r="F304" s="493" t="s">
        <v>636</v>
      </c>
      <c r="G304" s="493" t="s">
        <v>878</v>
      </c>
      <c r="H304" s="494">
        <v>2958465</v>
      </c>
      <c r="I304" s="494">
        <v>40179</v>
      </c>
      <c r="J304" s="493" t="s">
        <v>1812</v>
      </c>
      <c r="K304" s="493" t="s">
        <v>1718</v>
      </c>
      <c r="L304" s="493" t="s">
        <v>1349</v>
      </c>
      <c r="M304" s="493" t="s">
        <v>881</v>
      </c>
      <c r="N304" s="493" t="s">
        <v>882</v>
      </c>
    </row>
    <row r="305" spans="1:14" x14ac:dyDescent="0.25">
      <c r="A305" s="493" t="s">
        <v>1814</v>
      </c>
      <c r="B305" s="493" t="s">
        <v>1815</v>
      </c>
      <c r="C305" s="493" t="s">
        <v>1816</v>
      </c>
      <c r="D305" s="493" t="s">
        <v>876</v>
      </c>
      <c r="E305" s="493" t="s">
        <v>877</v>
      </c>
      <c r="F305" s="493" t="s">
        <v>636</v>
      </c>
      <c r="G305" s="493" t="s">
        <v>878</v>
      </c>
      <c r="H305" s="494">
        <v>2958465</v>
      </c>
      <c r="I305" s="494">
        <v>40179</v>
      </c>
      <c r="J305" s="493" t="s">
        <v>1815</v>
      </c>
      <c r="K305" s="493" t="s">
        <v>1718</v>
      </c>
      <c r="L305" s="493" t="s">
        <v>1349</v>
      </c>
      <c r="M305" s="493" t="s">
        <v>881</v>
      </c>
      <c r="N305" s="493" t="s">
        <v>882</v>
      </c>
    </row>
    <row r="306" spans="1:14" x14ac:dyDescent="0.25">
      <c r="A306" s="493" t="s">
        <v>1817</v>
      </c>
      <c r="B306" s="493" t="s">
        <v>1818</v>
      </c>
      <c r="C306" s="493" t="s">
        <v>1819</v>
      </c>
      <c r="D306" s="493" t="s">
        <v>876</v>
      </c>
      <c r="E306" s="493" t="s">
        <v>877</v>
      </c>
      <c r="F306" s="493" t="s">
        <v>636</v>
      </c>
      <c r="G306" s="493" t="s">
        <v>878</v>
      </c>
      <c r="H306" s="494">
        <v>2958465</v>
      </c>
      <c r="I306" s="494">
        <v>40179</v>
      </c>
      <c r="J306" s="493" t="s">
        <v>1818</v>
      </c>
      <c r="K306" s="493" t="s">
        <v>1718</v>
      </c>
      <c r="L306" s="493" t="s">
        <v>1349</v>
      </c>
      <c r="M306" s="493" t="s">
        <v>881</v>
      </c>
      <c r="N306" s="493" t="s">
        <v>882</v>
      </c>
    </row>
    <row r="307" spans="1:14" x14ac:dyDescent="0.25">
      <c r="A307" s="493" t="s">
        <v>1820</v>
      </c>
      <c r="B307" s="493" t="s">
        <v>1821</v>
      </c>
      <c r="C307" s="493" t="s">
        <v>1802</v>
      </c>
      <c r="D307" s="493" t="s">
        <v>876</v>
      </c>
      <c r="E307" s="493" t="s">
        <v>877</v>
      </c>
      <c r="F307" s="493" t="s">
        <v>636</v>
      </c>
      <c r="G307" s="493" t="s">
        <v>878</v>
      </c>
      <c r="H307" s="494">
        <v>2958465</v>
      </c>
      <c r="I307" s="494">
        <v>40179</v>
      </c>
      <c r="J307" s="493" t="s">
        <v>1821</v>
      </c>
      <c r="K307" s="493" t="s">
        <v>1718</v>
      </c>
      <c r="L307" s="493" t="s">
        <v>1349</v>
      </c>
      <c r="M307" s="493" t="s">
        <v>881</v>
      </c>
      <c r="N307" s="493" t="s">
        <v>882</v>
      </c>
    </row>
    <row r="308" spans="1:14" x14ac:dyDescent="0.25">
      <c r="A308" s="493" t="s">
        <v>1822</v>
      </c>
      <c r="B308" s="493" t="s">
        <v>1823</v>
      </c>
      <c r="C308" s="493" t="s">
        <v>1682</v>
      </c>
      <c r="D308" s="493" t="s">
        <v>876</v>
      </c>
      <c r="E308" s="493" t="s">
        <v>877</v>
      </c>
      <c r="F308" s="493" t="s">
        <v>636</v>
      </c>
      <c r="G308" s="493" t="s">
        <v>878</v>
      </c>
      <c r="H308" s="494">
        <v>2958465</v>
      </c>
      <c r="I308" s="494">
        <v>40179</v>
      </c>
      <c r="J308" s="493" t="s">
        <v>1824</v>
      </c>
      <c r="K308" s="493" t="s">
        <v>1718</v>
      </c>
      <c r="L308" s="493" t="s">
        <v>1349</v>
      </c>
      <c r="M308" s="493" t="s">
        <v>881</v>
      </c>
      <c r="N308" s="493" t="s">
        <v>882</v>
      </c>
    </row>
    <row r="309" spans="1:14" x14ac:dyDescent="0.25">
      <c r="A309" s="493" t="s">
        <v>1825</v>
      </c>
      <c r="B309" s="493" t="s">
        <v>1826</v>
      </c>
      <c r="C309" s="493" t="s">
        <v>1816</v>
      </c>
      <c r="D309" s="493" t="s">
        <v>876</v>
      </c>
      <c r="E309" s="493" t="s">
        <v>877</v>
      </c>
      <c r="F309" s="493" t="s">
        <v>636</v>
      </c>
      <c r="G309" s="493" t="s">
        <v>878</v>
      </c>
      <c r="H309" s="494">
        <v>2958465</v>
      </c>
      <c r="I309" s="494">
        <v>40179</v>
      </c>
      <c r="J309" s="493" t="s">
        <v>1826</v>
      </c>
      <c r="K309" s="493" t="s">
        <v>1718</v>
      </c>
      <c r="L309" s="493" t="s">
        <v>1349</v>
      </c>
      <c r="M309" s="493" t="s">
        <v>881</v>
      </c>
      <c r="N309" s="493" t="s">
        <v>882</v>
      </c>
    </row>
    <row r="310" spans="1:14" x14ac:dyDescent="0.25">
      <c r="A310" s="493" t="s">
        <v>1827</v>
      </c>
      <c r="B310" s="493" t="s">
        <v>1828</v>
      </c>
      <c r="C310" s="493" t="s">
        <v>1829</v>
      </c>
      <c r="D310" s="493" t="s">
        <v>876</v>
      </c>
      <c r="E310" s="493" t="s">
        <v>877</v>
      </c>
      <c r="F310" s="493" t="s">
        <v>636</v>
      </c>
      <c r="G310" s="493" t="s">
        <v>878</v>
      </c>
      <c r="H310" s="494">
        <v>2958465</v>
      </c>
      <c r="I310" s="494">
        <v>40179</v>
      </c>
      <c r="J310" s="493" t="s">
        <v>1828</v>
      </c>
      <c r="K310" s="493" t="s">
        <v>1718</v>
      </c>
      <c r="L310" s="493" t="s">
        <v>1349</v>
      </c>
      <c r="M310" s="493" t="s">
        <v>881</v>
      </c>
      <c r="N310" s="493" t="s">
        <v>882</v>
      </c>
    </row>
    <row r="311" spans="1:14" x14ac:dyDescent="0.25">
      <c r="A311" s="493" t="s">
        <v>1830</v>
      </c>
      <c r="B311" s="493" t="s">
        <v>1831</v>
      </c>
      <c r="C311" s="493" t="s">
        <v>1829</v>
      </c>
      <c r="D311" s="493" t="s">
        <v>876</v>
      </c>
      <c r="E311" s="493" t="s">
        <v>1143</v>
      </c>
      <c r="F311" s="493" t="s">
        <v>636</v>
      </c>
      <c r="G311" s="493" t="s">
        <v>878</v>
      </c>
      <c r="H311" s="494">
        <v>2958465</v>
      </c>
      <c r="I311" s="494">
        <v>40179</v>
      </c>
      <c r="J311" s="493" t="s">
        <v>1831</v>
      </c>
      <c r="K311" s="493" t="s">
        <v>1718</v>
      </c>
      <c r="L311" s="493" t="s">
        <v>1349</v>
      </c>
      <c r="M311" s="493" t="s">
        <v>1379</v>
      </c>
      <c r="N311" s="493" t="s">
        <v>1146</v>
      </c>
    </row>
    <row r="312" spans="1:14" x14ac:dyDescent="0.25">
      <c r="A312" s="493" t="s">
        <v>1832</v>
      </c>
      <c r="B312" s="493" t="s">
        <v>1833</v>
      </c>
      <c r="C312" s="493" t="s">
        <v>1829</v>
      </c>
      <c r="D312" s="493" t="s">
        <v>876</v>
      </c>
      <c r="E312" s="493" t="s">
        <v>0</v>
      </c>
      <c r="F312" s="493" t="s">
        <v>636</v>
      </c>
      <c r="G312" s="493" t="s">
        <v>878</v>
      </c>
      <c r="H312" s="494">
        <v>2958465</v>
      </c>
      <c r="I312" s="494">
        <v>40179</v>
      </c>
      <c r="J312" s="493" t="s">
        <v>1834</v>
      </c>
      <c r="K312" s="493" t="s">
        <v>1718</v>
      </c>
      <c r="L312" s="493" t="s">
        <v>1349</v>
      </c>
      <c r="M312" s="493" t="s">
        <v>1279</v>
      </c>
      <c r="N312" s="493" t="s">
        <v>1140</v>
      </c>
    </row>
    <row r="313" spans="1:14" x14ac:dyDescent="0.25">
      <c r="A313" s="493" t="s">
        <v>1835</v>
      </c>
      <c r="B313" s="493" t="s">
        <v>1836</v>
      </c>
      <c r="C313" s="493" t="s">
        <v>1837</v>
      </c>
      <c r="D313" s="493" t="s">
        <v>876</v>
      </c>
      <c r="E313" s="493" t="s">
        <v>1143</v>
      </c>
      <c r="F313" s="493" t="s">
        <v>636</v>
      </c>
      <c r="G313" s="493" t="s">
        <v>878</v>
      </c>
      <c r="H313" s="494">
        <v>2958465</v>
      </c>
      <c r="I313" s="494">
        <v>40179</v>
      </c>
      <c r="J313" s="493" t="s">
        <v>1836</v>
      </c>
      <c r="K313" s="493" t="s">
        <v>1718</v>
      </c>
      <c r="L313" s="493" t="s">
        <v>1349</v>
      </c>
      <c r="M313" s="493" t="s">
        <v>1145</v>
      </c>
      <c r="N313" s="493" t="s">
        <v>1146</v>
      </c>
    </row>
    <row r="314" spans="1:14" x14ac:dyDescent="0.25">
      <c r="A314" s="493" t="s">
        <v>1838</v>
      </c>
      <c r="B314" s="493" t="s">
        <v>1839</v>
      </c>
      <c r="C314" s="493" t="s">
        <v>1837</v>
      </c>
      <c r="D314" s="493" t="s">
        <v>876</v>
      </c>
      <c r="E314" s="493" t="s">
        <v>877</v>
      </c>
      <c r="F314" s="493" t="s">
        <v>636</v>
      </c>
      <c r="G314" s="493" t="s">
        <v>878</v>
      </c>
      <c r="H314" s="494">
        <v>2958465</v>
      </c>
      <c r="I314" s="494">
        <v>40179</v>
      </c>
      <c r="J314" s="493" t="s">
        <v>1839</v>
      </c>
      <c r="K314" s="493" t="s">
        <v>1718</v>
      </c>
      <c r="L314" s="493" t="s">
        <v>1349</v>
      </c>
      <c r="M314" s="493" t="s">
        <v>881</v>
      </c>
      <c r="N314" s="493" t="s">
        <v>882</v>
      </c>
    </row>
    <row r="315" spans="1:14" x14ac:dyDescent="0.25">
      <c r="A315" s="493" t="s">
        <v>1840</v>
      </c>
      <c r="B315" s="493" t="s">
        <v>1841</v>
      </c>
      <c r="C315" s="493" t="s">
        <v>1837</v>
      </c>
      <c r="D315" s="493" t="s">
        <v>876</v>
      </c>
      <c r="E315" s="493" t="s">
        <v>1143</v>
      </c>
      <c r="F315" s="493" t="s">
        <v>636</v>
      </c>
      <c r="G315" s="493" t="s">
        <v>878</v>
      </c>
      <c r="H315" s="494">
        <v>2958465</v>
      </c>
      <c r="I315" s="494">
        <v>40179</v>
      </c>
      <c r="J315" s="493" t="s">
        <v>1841</v>
      </c>
      <c r="K315" s="493" t="s">
        <v>1718</v>
      </c>
      <c r="L315" s="493" t="s">
        <v>1349</v>
      </c>
      <c r="M315" s="493" t="s">
        <v>912</v>
      </c>
      <c r="N315" s="493" t="s">
        <v>1146</v>
      </c>
    </row>
    <row r="316" spans="1:14" x14ac:dyDescent="0.25">
      <c r="A316" s="493" t="s">
        <v>1842</v>
      </c>
      <c r="B316" s="493" t="s">
        <v>1843</v>
      </c>
      <c r="C316" s="493" t="s">
        <v>1837</v>
      </c>
      <c r="D316" s="493" t="s">
        <v>876</v>
      </c>
      <c r="E316" s="493" t="s">
        <v>0</v>
      </c>
      <c r="F316" s="493" t="s">
        <v>636</v>
      </c>
      <c r="G316" s="493" t="s">
        <v>878</v>
      </c>
      <c r="H316" s="494">
        <v>2958465</v>
      </c>
      <c r="I316" s="494">
        <v>40179</v>
      </c>
      <c r="J316" s="493" t="s">
        <v>1844</v>
      </c>
      <c r="K316" s="493" t="s">
        <v>1718</v>
      </c>
      <c r="L316" s="493" t="s">
        <v>1349</v>
      </c>
      <c r="M316" s="493" t="s">
        <v>1279</v>
      </c>
      <c r="N316" s="493" t="s">
        <v>1140</v>
      </c>
    </row>
    <row r="317" spans="1:14" x14ac:dyDescent="0.25">
      <c r="A317" s="493" t="s">
        <v>1845</v>
      </c>
      <c r="B317" s="493" t="s">
        <v>1846</v>
      </c>
      <c r="C317" s="493" t="s">
        <v>1847</v>
      </c>
      <c r="D317" s="493" t="s">
        <v>876</v>
      </c>
      <c r="E317" s="493" t="s">
        <v>877</v>
      </c>
      <c r="F317" s="493" t="s">
        <v>636</v>
      </c>
      <c r="G317" s="493" t="s">
        <v>878</v>
      </c>
      <c r="H317" s="494">
        <v>2958465</v>
      </c>
      <c r="I317" s="494">
        <v>40179</v>
      </c>
      <c r="J317" s="493" t="s">
        <v>1846</v>
      </c>
      <c r="K317" s="493" t="s">
        <v>1718</v>
      </c>
      <c r="L317" s="493" t="s">
        <v>1349</v>
      </c>
      <c r="M317" s="493" t="s">
        <v>881</v>
      </c>
      <c r="N317" s="493" t="s">
        <v>882</v>
      </c>
    </row>
    <row r="318" spans="1:14" x14ac:dyDescent="0.25">
      <c r="A318" s="493" t="s">
        <v>1848</v>
      </c>
      <c r="B318" s="493" t="s">
        <v>1849</v>
      </c>
      <c r="C318" s="493" t="s">
        <v>1611</v>
      </c>
      <c r="D318" s="493" t="s">
        <v>876</v>
      </c>
      <c r="E318" s="493" t="s">
        <v>0</v>
      </c>
      <c r="F318" s="493" t="s">
        <v>636</v>
      </c>
      <c r="G318" s="493" t="s">
        <v>878</v>
      </c>
      <c r="H318" s="494">
        <v>2958465</v>
      </c>
      <c r="I318" s="494">
        <v>40179</v>
      </c>
      <c r="J318" s="493" t="s">
        <v>1850</v>
      </c>
      <c r="K318" s="493" t="s">
        <v>1718</v>
      </c>
      <c r="L318" s="493" t="s">
        <v>1349</v>
      </c>
      <c r="M318" s="493" t="s">
        <v>1279</v>
      </c>
      <c r="N318" s="493" t="s">
        <v>1140</v>
      </c>
    </row>
    <row r="319" spans="1:14" x14ac:dyDescent="0.25">
      <c r="A319" s="493" t="s">
        <v>1851</v>
      </c>
      <c r="B319" s="493" t="s">
        <v>1852</v>
      </c>
      <c r="C319" s="493" t="s">
        <v>1837</v>
      </c>
      <c r="D319" s="493" t="s">
        <v>876</v>
      </c>
      <c r="E319" s="493" t="s">
        <v>1143</v>
      </c>
      <c r="F319" s="493" t="s">
        <v>636</v>
      </c>
      <c r="G319" s="493" t="s">
        <v>878</v>
      </c>
      <c r="H319" s="494">
        <v>2958465</v>
      </c>
      <c r="I319" s="494">
        <v>40179</v>
      </c>
      <c r="J319" s="493" t="s">
        <v>1852</v>
      </c>
      <c r="K319" s="493" t="s">
        <v>1718</v>
      </c>
      <c r="L319" s="493" t="s">
        <v>1349</v>
      </c>
      <c r="M319" s="493" t="s">
        <v>912</v>
      </c>
      <c r="N319" s="493" t="s">
        <v>1146</v>
      </c>
    </row>
    <row r="320" spans="1:14" x14ac:dyDescent="0.25">
      <c r="A320" s="493" t="s">
        <v>1853</v>
      </c>
      <c r="B320" s="493" t="s">
        <v>1854</v>
      </c>
      <c r="C320" s="493" t="s">
        <v>1682</v>
      </c>
      <c r="D320" s="493" t="s">
        <v>876</v>
      </c>
      <c r="E320" s="493" t="s">
        <v>877</v>
      </c>
      <c r="F320" s="493" t="s">
        <v>636</v>
      </c>
      <c r="G320" s="493" t="s">
        <v>878</v>
      </c>
      <c r="H320" s="494">
        <v>2958465</v>
      </c>
      <c r="I320" s="494">
        <v>40179</v>
      </c>
      <c r="J320" s="493" t="s">
        <v>1854</v>
      </c>
      <c r="K320" s="493" t="s">
        <v>1718</v>
      </c>
      <c r="L320" s="493" t="s">
        <v>1349</v>
      </c>
      <c r="M320" s="493" t="s">
        <v>881</v>
      </c>
      <c r="N320" s="493" t="s">
        <v>882</v>
      </c>
    </row>
    <row r="321" spans="1:14" x14ac:dyDescent="0.25">
      <c r="A321" s="493" t="s">
        <v>1855</v>
      </c>
      <c r="B321" s="493" t="s">
        <v>1856</v>
      </c>
      <c r="C321" s="493" t="s">
        <v>1857</v>
      </c>
      <c r="D321" s="493" t="s">
        <v>876</v>
      </c>
      <c r="E321" s="493" t="s">
        <v>877</v>
      </c>
      <c r="F321" s="493" t="s">
        <v>636</v>
      </c>
      <c r="G321" s="493" t="s">
        <v>878</v>
      </c>
      <c r="H321" s="494">
        <v>2958465</v>
      </c>
      <c r="I321" s="494">
        <v>40179</v>
      </c>
      <c r="J321" s="493" t="s">
        <v>1856</v>
      </c>
      <c r="K321" s="493" t="s">
        <v>1718</v>
      </c>
      <c r="L321" s="493" t="s">
        <v>818</v>
      </c>
      <c r="M321" s="493" t="s">
        <v>881</v>
      </c>
      <c r="N321" s="493" t="s">
        <v>882</v>
      </c>
    </row>
    <row r="322" spans="1:14" x14ac:dyDescent="0.25">
      <c r="A322" s="493" t="s">
        <v>1858</v>
      </c>
      <c r="B322" s="493" t="s">
        <v>1859</v>
      </c>
      <c r="C322" s="493" t="s">
        <v>1860</v>
      </c>
      <c r="D322" s="493" t="s">
        <v>876</v>
      </c>
      <c r="E322" s="493" t="s">
        <v>1143</v>
      </c>
      <c r="F322" s="493" t="s">
        <v>636</v>
      </c>
      <c r="G322" s="493" t="s">
        <v>878</v>
      </c>
      <c r="H322" s="494">
        <v>2958465</v>
      </c>
      <c r="I322" s="494">
        <v>40179</v>
      </c>
      <c r="J322" s="493" t="s">
        <v>1859</v>
      </c>
      <c r="K322" s="493" t="s">
        <v>1718</v>
      </c>
      <c r="L322" s="493" t="s">
        <v>818</v>
      </c>
      <c r="M322" s="493" t="s">
        <v>1145</v>
      </c>
      <c r="N322" s="493" t="s">
        <v>1146</v>
      </c>
    </row>
    <row r="323" spans="1:14" x14ac:dyDescent="0.25">
      <c r="A323" s="493" t="s">
        <v>1861</v>
      </c>
      <c r="B323" s="493" t="s">
        <v>1862</v>
      </c>
      <c r="C323" s="493" t="s">
        <v>1863</v>
      </c>
      <c r="D323" s="493" t="s">
        <v>876</v>
      </c>
      <c r="E323" s="493" t="s">
        <v>569</v>
      </c>
      <c r="F323" s="493" t="s">
        <v>636</v>
      </c>
      <c r="G323" s="493" t="s">
        <v>878</v>
      </c>
      <c r="H323" s="494">
        <v>2958465</v>
      </c>
      <c r="I323" s="494">
        <v>40179</v>
      </c>
      <c r="J323" s="493" t="s">
        <v>1864</v>
      </c>
      <c r="K323" s="493" t="s">
        <v>1718</v>
      </c>
      <c r="L323" s="493" t="s">
        <v>818</v>
      </c>
      <c r="M323" s="493" t="s">
        <v>1023</v>
      </c>
      <c r="N323" s="493" t="s">
        <v>1024</v>
      </c>
    </row>
    <row r="324" spans="1:14" x14ac:dyDescent="0.25">
      <c r="A324" s="493" t="s">
        <v>1865</v>
      </c>
      <c r="B324" s="493" t="s">
        <v>1866</v>
      </c>
      <c r="C324" s="493" t="s">
        <v>1623</v>
      </c>
      <c r="D324" s="493" t="s">
        <v>876</v>
      </c>
      <c r="E324" s="493" t="s">
        <v>886</v>
      </c>
      <c r="F324" s="493" t="s">
        <v>636</v>
      </c>
      <c r="G324" s="493" t="s">
        <v>878</v>
      </c>
      <c r="H324" s="494">
        <v>2958465</v>
      </c>
      <c r="I324" s="494">
        <v>40179</v>
      </c>
      <c r="J324" s="493" t="s">
        <v>1866</v>
      </c>
      <c r="K324" s="493" t="s">
        <v>1718</v>
      </c>
      <c r="L324" s="493" t="s">
        <v>1349</v>
      </c>
      <c r="M324" s="493" t="s">
        <v>946</v>
      </c>
      <c r="N324" s="493" t="s">
        <v>890</v>
      </c>
    </row>
    <row r="325" spans="1:14" x14ac:dyDescent="0.25">
      <c r="A325" s="493" t="s">
        <v>1867</v>
      </c>
      <c r="B325" s="493" t="s">
        <v>1868</v>
      </c>
      <c r="C325" s="493" t="s">
        <v>1869</v>
      </c>
      <c r="D325" s="493" t="s">
        <v>876</v>
      </c>
      <c r="E325" s="493" t="s">
        <v>1143</v>
      </c>
      <c r="F325" s="493" t="s">
        <v>636</v>
      </c>
      <c r="G325" s="493" t="s">
        <v>878</v>
      </c>
      <c r="H325" s="494">
        <v>2958465</v>
      </c>
      <c r="I325" s="494">
        <v>40179</v>
      </c>
      <c r="J325" s="493" t="s">
        <v>1868</v>
      </c>
      <c r="K325" s="493" t="s">
        <v>1718</v>
      </c>
      <c r="L325" s="493" t="s">
        <v>1138</v>
      </c>
      <c r="M325" s="493" t="s">
        <v>912</v>
      </c>
      <c r="N325" s="493" t="s">
        <v>1146</v>
      </c>
    </row>
    <row r="326" spans="1:14" x14ac:dyDescent="0.25">
      <c r="A326" s="493" t="s">
        <v>1870</v>
      </c>
      <c r="B326" s="493" t="s">
        <v>1871</v>
      </c>
      <c r="C326" s="493" t="s">
        <v>885</v>
      </c>
      <c r="D326" s="493" t="s">
        <v>1872</v>
      </c>
      <c r="E326" s="493" t="s">
        <v>886</v>
      </c>
      <c r="F326" s="493" t="s">
        <v>636</v>
      </c>
      <c r="G326" s="493" t="s">
        <v>878</v>
      </c>
      <c r="H326" s="494">
        <v>2958465</v>
      </c>
      <c r="I326" s="494">
        <v>40179</v>
      </c>
      <c r="J326" s="493" t="s">
        <v>1873</v>
      </c>
      <c r="K326" s="493" t="s">
        <v>1718</v>
      </c>
      <c r="L326" s="493" t="s">
        <v>1138</v>
      </c>
      <c r="M326" s="493" t="s">
        <v>889</v>
      </c>
      <c r="N326" s="493" t="s">
        <v>890</v>
      </c>
    </row>
    <row r="327" spans="1:14" x14ac:dyDescent="0.25">
      <c r="A327" s="493" t="s">
        <v>1874</v>
      </c>
      <c r="B327" s="493" t="s">
        <v>1875</v>
      </c>
      <c r="C327" s="493" t="s">
        <v>885</v>
      </c>
      <c r="D327" s="493" t="s">
        <v>1876</v>
      </c>
      <c r="E327" s="493" t="s">
        <v>886</v>
      </c>
      <c r="F327" s="493" t="s">
        <v>636</v>
      </c>
      <c r="G327" s="493" t="s">
        <v>878</v>
      </c>
      <c r="H327" s="494">
        <v>2958465</v>
      </c>
      <c r="I327" s="494">
        <v>40179</v>
      </c>
      <c r="J327" s="493" t="s">
        <v>1877</v>
      </c>
      <c r="K327" s="493" t="s">
        <v>1718</v>
      </c>
      <c r="L327" s="493" t="s">
        <v>1349</v>
      </c>
      <c r="M327" s="493" t="s">
        <v>889</v>
      </c>
      <c r="N327" s="493" t="s">
        <v>890</v>
      </c>
    </row>
    <row r="328" spans="1:14" x14ac:dyDescent="0.25">
      <c r="A328" s="493" t="s">
        <v>1878</v>
      </c>
      <c r="B328" s="493" t="s">
        <v>1879</v>
      </c>
      <c r="C328" s="493" t="s">
        <v>1880</v>
      </c>
      <c r="D328" s="493" t="s">
        <v>876</v>
      </c>
      <c r="E328" s="493" t="s">
        <v>877</v>
      </c>
      <c r="F328" s="493" t="s">
        <v>636</v>
      </c>
      <c r="G328" s="493" t="s">
        <v>878</v>
      </c>
      <c r="H328" s="494">
        <v>2958465</v>
      </c>
      <c r="I328" s="494">
        <v>40179</v>
      </c>
      <c r="J328" s="493" t="s">
        <v>1879</v>
      </c>
      <c r="K328" s="493" t="s">
        <v>1718</v>
      </c>
      <c r="L328" s="493" t="s">
        <v>1349</v>
      </c>
      <c r="M328" s="493" t="s">
        <v>881</v>
      </c>
      <c r="N328" s="493" t="s">
        <v>882</v>
      </c>
    </row>
    <row r="329" spans="1:14" x14ac:dyDescent="0.25">
      <c r="A329" s="493" t="s">
        <v>1881</v>
      </c>
      <c r="B329" s="493" t="s">
        <v>1882</v>
      </c>
      <c r="C329" s="493" t="s">
        <v>1837</v>
      </c>
      <c r="D329" s="493" t="s">
        <v>876</v>
      </c>
      <c r="E329" s="493" t="s">
        <v>877</v>
      </c>
      <c r="F329" s="493" t="s">
        <v>636</v>
      </c>
      <c r="G329" s="493" t="s">
        <v>878</v>
      </c>
      <c r="H329" s="494">
        <v>2958465</v>
      </c>
      <c r="I329" s="494">
        <v>40179</v>
      </c>
      <c r="J329" s="493" t="s">
        <v>1882</v>
      </c>
      <c r="K329" s="493" t="s">
        <v>1718</v>
      </c>
      <c r="L329" s="493" t="s">
        <v>1349</v>
      </c>
      <c r="M329" s="493" t="s">
        <v>881</v>
      </c>
      <c r="N329" s="493" t="s">
        <v>882</v>
      </c>
    </row>
    <row r="330" spans="1:14" x14ac:dyDescent="0.25">
      <c r="A330" s="493" t="s">
        <v>1883</v>
      </c>
      <c r="B330" s="493" t="s">
        <v>1884</v>
      </c>
      <c r="C330" s="493" t="s">
        <v>1885</v>
      </c>
      <c r="D330" s="493" t="s">
        <v>876</v>
      </c>
      <c r="E330" s="493" t="s">
        <v>877</v>
      </c>
      <c r="F330" s="493" t="s">
        <v>636</v>
      </c>
      <c r="G330" s="493" t="s">
        <v>878</v>
      </c>
      <c r="H330" s="494">
        <v>2958465</v>
      </c>
      <c r="I330" s="494">
        <v>40179</v>
      </c>
      <c r="J330" s="493" t="s">
        <v>1884</v>
      </c>
      <c r="K330" s="493" t="s">
        <v>1718</v>
      </c>
      <c r="L330" s="493" t="s">
        <v>1886</v>
      </c>
      <c r="M330" s="493" t="s">
        <v>881</v>
      </c>
      <c r="N330" s="493" t="s">
        <v>882</v>
      </c>
    </row>
    <row r="331" spans="1:14" x14ac:dyDescent="0.25">
      <c r="A331" s="493" t="s">
        <v>1887</v>
      </c>
      <c r="B331" s="493" t="s">
        <v>1879</v>
      </c>
      <c r="C331" s="493" t="s">
        <v>1880</v>
      </c>
      <c r="D331" s="493" t="s">
        <v>876</v>
      </c>
      <c r="E331" s="493" t="s">
        <v>877</v>
      </c>
      <c r="F331" s="493" t="s">
        <v>636</v>
      </c>
      <c r="G331" s="493" t="s">
        <v>878</v>
      </c>
      <c r="H331" s="494">
        <v>2958465</v>
      </c>
      <c r="I331" s="494">
        <v>40179</v>
      </c>
      <c r="J331" s="493" t="s">
        <v>1879</v>
      </c>
      <c r="K331" s="493" t="s">
        <v>1718</v>
      </c>
      <c r="L331" s="493" t="s">
        <v>1349</v>
      </c>
      <c r="M331" s="493" t="s">
        <v>881</v>
      </c>
      <c r="N331" s="493" t="s">
        <v>882</v>
      </c>
    </row>
    <row r="332" spans="1:14" x14ac:dyDescent="0.25">
      <c r="A332" s="493" t="s">
        <v>1888</v>
      </c>
      <c r="B332" s="493" t="s">
        <v>1889</v>
      </c>
      <c r="C332" s="493" t="s">
        <v>885</v>
      </c>
      <c r="D332" s="493" t="s">
        <v>1890</v>
      </c>
      <c r="E332" s="493" t="s">
        <v>886</v>
      </c>
      <c r="F332" s="493" t="s">
        <v>636</v>
      </c>
      <c r="G332" s="493" t="s">
        <v>878</v>
      </c>
      <c r="H332" s="494">
        <v>2958465</v>
      </c>
      <c r="I332" s="494">
        <v>40179</v>
      </c>
      <c r="J332" s="493" t="s">
        <v>1891</v>
      </c>
      <c r="K332" s="493" t="s">
        <v>1718</v>
      </c>
      <c r="L332" s="493" t="s">
        <v>1349</v>
      </c>
      <c r="M332" s="493" t="s">
        <v>962</v>
      </c>
      <c r="N332" s="493" t="s">
        <v>890</v>
      </c>
    </row>
    <row r="333" spans="1:14" x14ac:dyDescent="0.25">
      <c r="A333" s="493" t="s">
        <v>1892</v>
      </c>
      <c r="B333" s="493" t="s">
        <v>1672</v>
      </c>
      <c r="C333" s="493" t="s">
        <v>1673</v>
      </c>
      <c r="D333" s="493" t="s">
        <v>876</v>
      </c>
      <c r="E333" s="493" t="s">
        <v>1152</v>
      </c>
      <c r="F333" s="493" t="s">
        <v>636</v>
      </c>
      <c r="G333" s="493" t="s">
        <v>878</v>
      </c>
      <c r="H333" s="494">
        <v>2958465</v>
      </c>
      <c r="I333" s="494">
        <v>40179</v>
      </c>
      <c r="J333" s="493" t="s">
        <v>1672</v>
      </c>
      <c r="K333" s="493" t="s">
        <v>1718</v>
      </c>
      <c r="L333" s="493" t="s">
        <v>1349</v>
      </c>
      <c r="M333" s="493" t="s">
        <v>962</v>
      </c>
      <c r="N333" s="493" t="s">
        <v>1153</v>
      </c>
    </row>
    <row r="334" spans="1:14" x14ac:dyDescent="0.25">
      <c r="A334" s="493" t="s">
        <v>1893</v>
      </c>
      <c r="B334" s="493" t="s">
        <v>1894</v>
      </c>
      <c r="C334" s="493" t="s">
        <v>1611</v>
      </c>
      <c r="D334" s="493" t="s">
        <v>876</v>
      </c>
      <c r="E334" s="493" t="s">
        <v>0</v>
      </c>
      <c r="F334" s="493" t="s">
        <v>636</v>
      </c>
      <c r="G334" s="493" t="s">
        <v>878</v>
      </c>
      <c r="H334" s="494">
        <v>2958465</v>
      </c>
      <c r="I334" s="494">
        <v>40179</v>
      </c>
      <c r="J334" s="493" t="s">
        <v>1895</v>
      </c>
      <c r="K334" s="493" t="s">
        <v>1718</v>
      </c>
      <c r="L334" s="493" t="s">
        <v>1349</v>
      </c>
      <c r="M334" s="493" t="s">
        <v>1279</v>
      </c>
      <c r="N334" s="493" t="s">
        <v>1140</v>
      </c>
    </row>
    <row r="335" spans="1:14" x14ac:dyDescent="0.25">
      <c r="A335" s="493" t="s">
        <v>1896</v>
      </c>
      <c r="B335" s="493" t="s">
        <v>1897</v>
      </c>
      <c r="C335" s="493" t="s">
        <v>1780</v>
      </c>
      <c r="D335" s="493" t="s">
        <v>1898</v>
      </c>
      <c r="E335" s="493" t="s">
        <v>1152</v>
      </c>
      <c r="F335" s="493" t="s">
        <v>636</v>
      </c>
      <c r="G335" s="493" t="s">
        <v>878</v>
      </c>
      <c r="H335" s="494">
        <v>2958465</v>
      </c>
      <c r="I335" s="494">
        <v>40179</v>
      </c>
      <c r="J335" s="493" t="s">
        <v>1899</v>
      </c>
      <c r="K335" s="493" t="s">
        <v>1718</v>
      </c>
      <c r="L335" s="493" t="s">
        <v>1349</v>
      </c>
      <c r="M335" s="493" t="s">
        <v>1058</v>
      </c>
      <c r="N335" s="493" t="s">
        <v>1153</v>
      </c>
    </row>
    <row r="336" spans="1:14" x14ac:dyDescent="0.25">
      <c r="A336" s="493" t="s">
        <v>1900</v>
      </c>
      <c r="B336" s="493" t="s">
        <v>1901</v>
      </c>
      <c r="C336" s="493" t="s">
        <v>885</v>
      </c>
      <c r="D336" s="493" t="s">
        <v>1901</v>
      </c>
      <c r="E336" s="493" t="s">
        <v>886</v>
      </c>
      <c r="F336" s="493" t="s">
        <v>636</v>
      </c>
      <c r="G336" s="493" t="s">
        <v>878</v>
      </c>
      <c r="H336" s="494">
        <v>2958465</v>
      </c>
      <c r="I336" s="494">
        <v>40179</v>
      </c>
      <c r="J336" s="493" t="s">
        <v>1902</v>
      </c>
      <c r="K336" s="493" t="s">
        <v>1718</v>
      </c>
      <c r="L336" s="493" t="s">
        <v>1349</v>
      </c>
      <c r="M336" s="493" t="s">
        <v>889</v>
      </c>
      <c r="N336" s="493" t="s">
        <v>890</v>
      </c>
    </row>
    <row r="337" spans="1:14" x14ac:dyDescent="0.25">
      <c r="A337" s="493" t="s">
        <v>1903</v>
      </c>
      <c r="B337" s="493" t="s">
        <v>1904</v>
      </c>
      <c r="C337" s="493" t="s">
        <v>1682</v>
      </c>
      <c r="D337" s="493" t="s">
        <v>876</v>
      </c>
      <c r="E337" s="493" t="s">
        <v>877</v>
      </c>
      <c r="F337" s="493" t="s">
        <v>636</v>
      </c>
      <c r="G337" s="493" t="s">
        <v>878</v>
      </c>
      <c r="H337" s="494">
        <v>2958465</v>
      </c>
      <c r="I337" s="494">
        <v>40179</v>
      </c>
      <c r="J337" s="493" t="s">
        <v>1904</v>
      </c>
      <c r="K337" s="493" t="s">
        <v>1718</v>
      </c>
      <c r="L337" s="493" t="s">
        <v>1886</v>
      </c>
      <c r="M337" s="493" t="s">
        <v>881</v>
      </c>
      <c r="N337" s="493" t="s">
        <v>882</v>
      </c>
    </row>
    <row r="338" spans="1:14" x14ac:dyDescent="0.25">
      <c r="A338" s="493" t="s">
        <v>1905</v>
      </c>
      <c r="B338" s="493" t="s">
        <v>1686</v>
      </c>
      <c r="C338" s="493" t="s">
        <v>885</v>
      </c>
      <c r="D338" s="493" t="s">
        <v>1687</v>
      </c>
      <c r="E338" s="493" t="s">
        <v>1143</v>
      </c>
      <c r="F338" s="493" t="s">
        <v>636</v>
      </c>
      <c r="G338" s="493" t="s">
        <v>878</v>
      </c>
      <c r="H338" s="494">
        <v>2958465</v>
      </c>
      <c r="I338" s="494">
        <v>40179</v>
      </c>
      <c r="J338" s="493" t="s">
        <v>1688</v>
      </c>
      <c r="K338" s="493" t="s">
        <v>1718</v>
      </c>
      <c r="L338" s="493" t="s">
        <v>1349</v>
      </c>
      <c r="M338" s="493" t="s">
        <v>962</v>
      </c>
      <c r="N338" s="493" t="s">
        <v>1146</v>
      </c>
    </row>
    <row r="339" spans="1:14" x14ac:dyDescent="0.25">
      <c r="A339" s="493" t="s">
        <v>1906</v>
      </c>
      <c r="B339" s="493" t="s">
        <v>1907</v>
      </c>
      <c r="C339" s="493" t="s">
        <v>1682</v>
      </c>
      <c r="D339" s="493" t="s">
        <v>876</v>
      </c>
      <c r="E339" s="493" t="s">
        <v>877</v>
      </c>
      <c r="F339" s="493" t="s">
        <v>636</v>
      </c>
      <c r="G339" s="493" t="s">
        <v>878</v>
      </c>
      <c r="H339" s="494">
        <v>42853</v>
      </c>
      <c r="I339" s="494">
        <v>40179</v>
      </c>
      <c r="J339" s="493" t="s">
        <v>1907</v>
      </c>
      <c r="K339" s="493" t="s">
        <v>1718</v>
      </c>
      <c r="L339" s="493" t="s">
        <v>1138</v>
      </c>
      <c r="M339" s="493" t="s">
        <v>881</v>
      </c>
      <c r="N339" s="493" t="s">
        <v>882</v>
      </c>
    </row>
    <row r="340" spans="1:14" x14ac:dyDescent="0.25">
      <c r="A340" s="493" t="s">
        <v>1906</v>
      </c>
      <c r="B340" s="493" t="s">
        <v>1907</v>
      </c>
      <c r="C340" s="493" t="s">
        <v>1682</v>
      </c>
      <c r="D340" s="493" t="s">
        <v>876</v>
      </c>
      <c r="E340" s="493" t="s">
        <v>877</v>
      </c>
      <c r="F340" s="493" t="s">
        <v>636</v>
      </c>
      <c r="G340" s="493" t="s">
        <v>878</v>
      </c>
      <c r="H340" s="494">
        <v>2958465</v>
      </c>
      <c r="I340" s="494">
        <v>42854</v>
      </c>
      <c r="J340" s="493" t="s">
        <v>1907</v>
      </c>
      <c r="K340" s="493" t="s">
        <v>1718</v>
      </c>
      <c r="L340" s="493" t="s">
        <v>1349</v>
      </c>
      <c r="M340" s="493" t="s">
        <v>881</v>
      </c>
      <c r="N340" s="493" t="s">
        <v>882</v>
      </c>
    </row>
    <row r="341" spans="1:14" x14ac:dyDescent="0.25">
      <c r="A341" s="493" t="s">
        <v>1908</v>
      </c>
      <c r="B341" s="493" t="s">
        <v>1665</v>
      </c>
      <c r="C341" s="493" t="s">
        <v>1013</v>
      </c>
      <c r="D341" s="493" t="s">
        <v>1666</v>
      </c>
      <c r="E341" s="493" t="s">
        <v>886</v>
      </c>
      <c r="F341" s="493" t="s">
        <v>636</v>
      </c>
      <c r="G341" s="493" t="s">
        <v>878</v>
      </c>
      <c r="H341" s="494">
        <v>2958465</v>
      </c>
      <c r="I341" s="494">
        <v>40179</v>
      </c>
      <c r="J341" s="493" t="s">
        <v>1667</v>
      </c>
      <c r="K341" s="493" t="s">
        <v>1718</v>
      </c>
      <c r="L341" s="493" t="s">
        <v>1138</v>
      </c>
      <c r="M341" s="493" t="s">
        <v>1014</v>
      </c>
      <c r="N341" s="493" t="s">
        <v>890</v>
      </c>
    </row>
    <row r="342" spans="1:14" x14ac:dyDescent="0.25">
      <c r="A342" s="493" t="s">
        <v>1909</v>
      </c>
      <c r="B342" s="493" t="s">
        <v>1693</v>
      </c>
      <c r="C342" s="493" t="s">
        <v>885</v>
      </c>
      <c r="D342" s="493" t="s">
        <v>1694</v>
      </c>
      <c r="E342" s="493" t="s">
        <v>886</v>
      </c>
      <c r="F342" s="493" t="s">
        <v>636</v>
      </c>
      <c r="G342" s="493" t="s">
        <v>878</v>
      </c>
      <c r="H342" s="494">
        <v>2958465</v>
      </c>
      <c r="I342" s="494">
        <v>40179</v>
      </c>
      <c r="J342" s="493" t="s">
        <v>1695</v>
      </c>
      <c r="K342" s="493" t="s">
        <v>1718</v>
      </c>
      <c r="L342" s="493" t="s">
        <v>1349</v>
      </c>
      <c r="M342" s="493" t="s">
        <v>962</v>
      </c>
      <c r="N342" s="493" t="s">
        <v>890</v>
      </c>
    </row>
    <row r="343" spans="1:14" x14ac:dyDescent="0.25">
      <c r="A343" s="493" t="s">
        <v>1910</v>
      </c>
      <c r="B343" s="493" t="s">
        <v>1911</v>
      </c>
      <c r="C343" s="493" t="s">
        <v>1912</v>
      </c>
      <c r="D343" s="493" t="s">
        <v>876</v>
      </c>
      <c r="E343" s="493" t="s">
        <v>1143</v>
      </c>
      <c r="F343" s="493" t="s">
        <v>636</v>
      </c>
      <c r="G343" s="493" t="s">
        <v>878</v>
      </c>
      <c r="H343" s="494">
        <v>2958465</v>
      </c>
      <c r="I343" s="494">
        <v>40179</v>
      </c>
      <c r="J343" s="493" t="s">
        <v>1911</v>
      </c>
      <c r="K343" s="493" t="s">
        <v>1718</v>
      </c>
      <c r="L343" s="493" t="s">
        <v>1349</v>
      </c>
      <c r="M343" s="493" t="s">
        <v>912</v>
      </c>
      <c r="N343" s="493" t="s">
        <v>1146</v>
      </c>
    </row>
    <row r="344" spans="1:14" x14ac:dyDescent="0.25">
      <c r="A344" s="493" t="s">
        <v>1913</v>
      </c>
      <c r="B344" s="493" t="s">
        <v>1914</v>
      </c>
      <c r="C344" s="493" t="s">
        <v>1915</v>
      </c>
      <c r="D344" s="493" t="s">
        <v>876</v>
      </c>
      <c r="E344" s="493" t="s">
        <v>1152</v>
      </c>
      <c r="F344" s="493" t="s">
        <v>636</v>
      </c>
      <c r="G344" s="493" t="s">
        <v>878</v>
      </c>
      <c r="H344" s="494">
        <v>2958465</v>
      </c>
      <c r="I344" s="494">
        <v>40179</v>
      </c>
      <c r="J344" s="493" t="s">
        <v>1914</v>
      </c>
      <c r="K344" s="493" t="s">
        <v>1916</v>
      </c>
      <c r="L344" s="493" t="s">
        <v>1349</v>
      </c>
      <c r="M344" s="493" t="s">
        <v>1917</v>
      </c>
      <c r="N344" s="493" t="s">
        <v>1153</v>
      </c>
    </row>
    <row r="345" spans="1:14" x14ac:dyDescent="0.25">
      <c r="A345" s="493" t="s">
        <v>1918</v>
      </c>
      <c r="B345" s="493" t="s">
        <v>1196</v>
      </c>
      <c r="C345" s="493" t="s">
        <v>1919</v>
      </c>
      <c r="D345" s="493" t="s">
        <v>876</v>
      </c>
      <c r="E345" s="493" t="s">
        <v>1152</v>
      </c>
      <c r="F345" s="493" t="s">
        <v>636</v>
      </c>
      <c r="G345" s="493" t="s">
        <v>878</v>
      </c>
      <c r="H345" s="494">
        <v>2958465</v>
      </c>
      <c r="I345" s="494">
        <v>40179</v>
      </c>
      <c r="J345" s="493" t="s">
        <v>1196</v>
      </c>
      <c r="K345" s="493" t="s">
        <v>1916</v>
      </c>
      <c r="L345" s="493" t="s">
        <v>1349</v>
      </c>
      <c r="M345" s="493" t="s">
        <v>1917</v>
      </c>
      <c r="N345" s="493" t="s">
        <v>1153</v>
      </c>
    </row>
    <row r="346" spans="1:14" x14ac:dyDescent="0.25">
      <c r="A346" s="493" t="s">
        <v>1920</v>
      </c>
      <c r="B346" s="493" t="s">
        <v>1921</v>
      </c>
      <c r="C346" s="493" t="s">
        <v>1735</v>
      </c>
      <c r="D346" s="493" t="s">
        <v>876</v>
      </c>
      <c r="E346" s="493" t="s">
        <v>1152</v>
      </c>
      <c r="F346" s="493" t="s">
        <v>636</v>
      </c>
      <c r="G346" s="493" t="s">
        <v>878</v>
      </c>
      <c r="H346" s="494">
        <v>2958465</v>
      </c>
      <c r="I346" s="494">
        <v>40179</v>
      </c>
      <c r="J346" s="493" t="s">
        <v>1736</v>
      </c>
      <c r="K346" s="493" t="s">
        <v>1922</v>
      </c>
      <c r="L346" s="493" t="s">
        <v>1349</v>
      </c>
      <c r="M346" s="493" t="s">
        <v>1737</v>
      </c>
      <c r="N346" s="493" t="s">
        <v>1153</v>
      </c>
    </row>
    <row r="347" spans="1:14" x14ac:dyDescent="0.25">
      <c r="A347" s="493" t="s">
        <v>1923</v>
      </c>
      <c r="B347" s="493" t="s">
        <v>1924</v>
      </c>
      <c r="C347" s="493" t="s">
        <v>1915</v>
      </c>
      <c r="D347" s="493" t="s">
        <v>876</v>
      </c>
      <c r="E347" s="493" t="s">
        <v>1152</v>
      </c>
      <c r="F347" s="493" t="s">
        <v>636</v>
      </c>
      <c r="G347" s="493" t="s">
        <v>878</v>
      </c>
      <c r="H347" s="494">
        <v>2958465</v>
      </c>
      <c r="I347" s="494">
        <v>40179</v>
      </c>
      <c r="J347" s="493" t="s">
        <v>1924</v>
      </c>
      <c r="K347" s="493" t="s">
        <v>1916</v>
      </c>
      <c r="L347" s="493" t="s">
        <v>1349</v>
      </c>
      <c r="M347" s="493" t="s">
        <v>1917</v>
      </c>
      <c r="N347" s="493" t="s">
        <v>1153</v>
      </c>
    </row>
    <row r="348" spans="1:14" x14ac:dyDescent="0.25">
      <c r="A348" s="493" t="s">
        <v>1925</v>
      </c>
      <c r="B348" s="493" t="s">
        <v>1926</v>
      </c>
      <c r="C348" s="493" t="s">
        <v>1927</v>
      </c>
      <c r="D348" s="493" t="s">
        <v>876</v>
      </c>
      <c r="E348" s="493" t="s">
        <v>1152</v>
      </c>
      <c r="F348" s="493" t="s">
        <v>636</v>
      </c>
      <c r="G348" s="493" t="s">
        <v>878</v>
      </c>
      <c r="H348" s="494">
        <v>2958465</v>
      </c>
      <c r="I348" s="494">
        <v>40179</v>
      </c>
      <c r="J348" s="493" t="s">
        <v>1928</v>
      </c>
      <c r="K348" s="493" t="s">
        <v>1916</v>
      </c>
      <c r="L348" s="493" t="s">
        <v>1349</v>
      </c>
      <c r="M348" s="493" t="s">
        <v>1929</v>
      </c>
      <c r="N348" s="493" t="s">
        <v>1153</v>
      </c>
    </row>
    <row r="349" spans="1:14" x14ac:dyDescent="0.25">
      <c r="A349" s="493" t="s">
        <v>1930</v>
      </c>
      <c r="B349" s="493" t="s">
        <v>1931</v>
      </c>
      <c r="C349" s="493" t="s">
        <v>1915</v>
      </c>
      <c r="D349" s="493" t="s">
        <v>876</v>
      </c>
      <c r="E349" s="493" t="s">
        <v>1152</v>
      </c>
      <c r="F349" s="493" t="s">
        <v>636</v>
      </c>
      <c r="G349" s="493" t="s">
        <v>878</v>
      </c>
      <c r="H349" s="494">
        <v>2958465</v>
      </c>
      <c r="I349" s="494">
        <v>40179</v>
      </c>
      <c r="J349" s="493" t="s">
        <v>1932</v>
      </c>
      <c r="K349" s="493" t="s">
        <v>1916</v>
      </c>
      <c r="L349" s="493" t="s">
        <v>1349</v>
      </c>
      <c r="M349" s="493" t="s">
        <v>1917</v>
      </c>
      <c r="N349" s="493" t="s">
        <v>1153</v>
      </c>
    </row>
    <row r="350" spans="1:14" x14ac:dyDescent="0.25">
      <c r="A350" s="493" t="s">
        <v>1933</v>
      </c>
      <c r="B350" s="493" t="s">
        <v>1934</v>
      </c>
      <c r="C350" s="493" t="s">
        <v>1935</v>
      </c>
      <c r="D350" s="493" t="s">
        <v>876</v>
      </c>
      <c r="E350" s="493" t="s">
        <v>1152</v>
      </c>
      <c r="F350" s="493" t="s">
        <v>636</v>
      </c>
      <c r="G350" s="493" t="s">
        <v>878</v>
      </c>
      <c r="H350" s="494">
        <v>2958465</v>
      </c>
      <c r="I350" s="494">
        <v>40179</v>
      </c>
      <c r="J350" s="493" t="s">
        <v>1936</v>
      </c>
      <c r="K350" s="493" t="s">
        <v>1916</v>
      </c>
      <c r="L350" s="493" t="s">
        <v>1349</v>
      </c>
      <c r="M350" s="493" t="s">
        <v>1917</v>
      </c>
      <c r="N350" s="493" t="s">
        <v>1153</v>
      </c>
    </row>
    <row r="351" spans="1:14" x14ac:dyDescent="0.25">
      <c r="A351" s="493" t="s">
        <v>1937</v>
      </c>
      <c r="B351" s="493" t="s">
        <v>1938</v>
      </c>
      <c r="C351" s="493" t="s">
        <v>1939</v>
      </c>
      <c r="D351" s="493" t="s">
        <v>876</v>
      </c>
      <c r="E351" s="493" t="s">
        <v>1152</v>
      </c>
      <c r="F351" s="493" t="s">
        <v>636</v>
      </c>
      <c r="G351" s="493" t="s">
        <v>878</v>
      </c>
      <c r="H351" s="494">
        <v>2958465</v>
      </c>
      <c r="I351" s="494">
        <v>40179</v>
      </c>
      <c r="J351" s="493" t="s">
        <v>1940</v>
      </c>
      <c r="K351" s="493" t="s">
        <v>1916</v>
      </c>
      <c r="L351" s="493" t="s">
        <v>1349</v>
      </c>
      <c r="M351" s="493" t="s">
        <v>1917</v>
      </c>
      <c r="N351" s="493" t="s">
        <v>1153</v>
      </c>
    </row>
    <row r="352" spans="1:14" x14ac:dyDescent="0.25">
      <c r="A352" s="493" t="s">
        <v>1941</v>
      </c>
      <c r="B352" s="493" t="s">
        <v>1942</v>
      </c>
      <c r="C352" s="493" t="s">
        <v>1915</v>
      </c>
      <c r="D352" s="493" t="s">
        <v>876</v>
      </c>
      <c r="E352" s="493" t="s">
        <v>1152</v>
      </c>
      <c r="F352" s="493" t="s">
        <v>636</v>
      </c>
      <c r="G352" s="493" t="s">
        <v>878</v>
      </c>
      <c r="H352" s="494">
        <v>2958465</v>
      </c>
      <c r="I352" s="494">
        <v>40179</v>
      </c>
      <c r="J352" s="493" t="s">
        <v>1943</v>
      </c>
      <c r="K352" s="493" t="s">
        <v>1916</v>
      </c>
      <c r="L352" s="493" t="s">
        <v>1349</v>
      </c>
      <c r="M352" s="493" t="s">
        <v>1917</v>
      </c>
      <c r="N352" s="493" t="s">
        <v>1153</v>
      </c>
    </row>
    <row r="353" spans="1:14" x14ac:dyDescent="0.25">
      <c r="A353" s="493" t="s">
        <v>1944</v>
      </c>
      <c r="B353" s="493" t="s">
        <v>1945</v>
      </c>
      <c r="C353" s="493" t="s">
        <v>1915</v>
      </c>
      <c r="D353" s="493" t="s">
        <v>876</v>
      </c>
      <c r="E353" s="493" t="s">
        <v>1152</v>
      </c>
      <c r="F353" s="493" t="s">
        <v>636</v>
      </c>
      <c r="G353" s="493" t="s">
        <v>878</v>
      </c>
      <c r="H353" s="494">
        <v>2958465</v>
      </c>
      <c r="I353" s="494">
        <v>40179</v>
      </c>
      <c r="J353" s="493" t="s">
        <v>1945</v>
      </c>
      <c r="K353" s="493" t="s">
        <v>1916</v>
      </c>
      <c r="L353" s="493" t="s">
        <v>1349</v>
      </c>
      <c r="M353" s="493" t="s">
        <v>1917</v>
      </c>
      <c r="N353" s="493" t="s">
        <v>1153</v>
      </c>
    </row>
    <row r="354" spans="1:14" x14ac:dyDescent="0.25">
      <c r="A354" s="493" t="s">
        <v>1946</v>
      </c>
      <c r="B354" s="493" t="s">
        <v>1921</v>
      </c>
      <c r="C354" s="493" t="s">
        <v>1735</v>
      </c>
      <c r="D354" s="493" t="s">
        <v>876</v>
      </c>
      <c r="E354" s="493" t="s">
        <v>1152</v>
      </c>
      <c r="F354" s="493" t="s">
        <v>636</v>
      </c>
      <c r="G354" s="493" t="s">
        <v>878</v>
      </c>
      <c r="H354" s="494">
        <v>2958465</v>
      </c>
      <c r="I354" s="494">
        <v>40179</v>
      </c>
      <c r="J354" s="493" t="s">
        <v>1736</v>
      </c>
      <c r="K354" s="493" t="s">
        <v>1916</v>
      </c>
      <c r="L354" s="493" t="s">
        <v>1349</v>
      </c>
      <c r="M354" s="493" t="s">
        <v>1737</v>
      </c>
      <c r="N354" s="493" t="s">
        <v>1153</v>
      </c>
    </row>
    <row r="355" spans="1:14" x14ac:dyDescent="0.25">
      <c r="A355" s="493" t="s">
        <v>1947</v>
      </c>
      <c r="B355" s="493" t="s">
        <v>1948</v>
      </c>
      <c r="C355" s="493" t="s">
        <v>183</v>
      </c>
      <c r="D355" s="493" t="s">
        <v>876</v>
      </c>
      <c r="E355" s="493" t="s">
        <v>877</v>
      </c>
      <c r="F355" s="493" t="s">
        <v>636</v>
      </c>
      <c r="G355" s="493" t="s">
        <v>878</v>
      </c>
      <c r="H355" s="494">
        <v>2958465</v>
      </c>
      <c r="I355" s="494">
        <v>40179</v>
      </c>
      <c r="J355" s="493" t="s">
        <v>1948</v>
      </c>
      <c r="K355" s="493" t="s">
        <v>1916</v>
      </c>
      <c r="L355" s="493" t="s">
        <v>1366</v>
      </c>
      <c r="M355" s="493" t="s">
        <v>881</v>
      </c>
      <c r="N355" s="493" t="s">
        <v>882</v>
      </c>
    </row>
    <row r="356" spans="1:14" x14ac:dyDescent="0.25">
      <c r="A356" s="493" t="s">
        <v>1949</v>
      </c>
      <c r="B356" s="493" t="s">
        <v>1950</v>
      </c>
      <c r="C356" s="493" t="s">
        <v>1915</v>
      </c>
      <c r="D356" s="493" t="s">
        <v>876</v>
      </c>
      <c r="E356" s="493" t="s">
        <v>1152</v>
      </c>
      <c r="F356" s="493" t="s">
        <v>636</v>
      </c>
      <c r="G356" s="493" t="s">
        <v>878</v>
      </c>
      <c r="H356" s="494">
        <v>2958465</v>
      </c>
      <c r="I356" s="494">
        <v>40179</v>
      </c>
      <c r="J356" s="493" t="s">
        <v>1951</v>
      </c>
      <c r="K356" s="493" t="s">
        <v>1916</v>
      </c>
      <c r="L356" s="493" t="s">
        <v>1366</v>
      </c>
      <c r="M356" s="493" t="s">
        <v>1952</v>
      </c>
      <c r="N356" s="493" t="s">
        <v>1153</v>
      </c>
    </row>
    <row r="357" spans="1:14" x14ac:dyDescent="0.25">
      <c r="A357" s="493" t="s">
        <v>1953</v>
      </c>
      <c r="B357" s="493" t="s">
        <v>1954</v>
      </c>
      <c r="C357" s="493" t="s">
        <v>183</v>
      </c>
      <c r="D357" s="493" t="s">
        <v>876</v>
      </c>
      <c r="E357" s="493" t="s">
        <v>1143</v>
      </c>
      <c r="F357" s="493" t="s">
        <v>636</v>
      </c>
      <c r="G357" s="493" t="s">
        <v>878</v>
      </c>
      <c r="H357" s="494">
        <v>2958465</v>
      </c>
      <c r="I357" s="494">
        <v>40179</v>
      </c>
      <c r="J357" s="493" t="s">
        <v>1954</v>
      </c>
      <c r="K357" s="493" t="s">
        <v>1916</v>
      </c>
      <c r="L357" s="493" t="s">
        <v>1366</v>
      </c>
      <c r="M357" s="493" t="s">
        <v>912</v>
      </c>
      <c r="N357" s="493" t="s">
        <v>1146</v>
      </c>
    </row>
    <row r="358" spans="1:14" x14ac:dyDescent="0.25">
      <c r="A358" s="493" t="s">
        <v>1955</v>
      </c>
      <c r="B358" s="493" t="s">
        <v>1956</v>
      </c>
      <c r="C358" s="493" t="s">
        <v>1885</v>
      </c>
      <c r="D358" s="493" t="s">
        <v>876</v>
      </c>
      <c r="E358" s="493" t="s">
        <v>1152</v>
      </c>
      <c r="F358" s="493" t="s">
        <v>636</v>
      </c>
      <c r="G358" s="493" t="s">
        <v>878</v>
      </c>
      <c r="H358" s="494">
        <v>2958465</v>
      </c>
      <c r="I358" s="494">
        <v>40179</v>
      </c>
      <c r="J358" s="493" t="s">
        <v>1956</v>
      </c>
      <c r="K358" s="493" t="s">
        <v>1916</v>
      </c>
      <c r="L358" s="493" t="s">
        <v>1349</v>
      </c>
      <c r="M358" s="493" t="s">
        <v>1929</v>
      </c>
      <c r="N358" s="493" t="s">
        <v>1153</v>
      </c>
    </row>
    <row r="359" spans="1:14" x14ac:dyDescent="0.25">
      <c r="A359" s="493" t="s">
        <v>1957</v>
      </c>
      <c r="B359" s="493" t="s">
        <v>1958</v>
      </c>
      <c r="C359" s="493" t="s">
        <v>1915</v>
      </c>
      <c r="D359" s="493" t="s">
        <v>876</v>
      </c>
      <c r="E359" s="493" t="s">
        <v>1152</v>
      </c>
      <c r="F359" s="493" t="s">
        <v>636</v>
      </c>
      <c r="G359" s="493" t="s">
        <v>878</v>
      </c>
      <c r="H359" s="494">
        <v>2958465</v>
      </c>
      <c r="I359" s="494">
        <v>40179</v>
      </c>
      <c r="J359" s="493" t="s">
        <v>1959</v>
      </c>
      <c r="K359" s="493" t="s">
        <v>1916</v>
      </c>
      <c r="L359" s="493" t="s">
        <v>1366</v>
      </c>
      <c r="M359" s="493" t="s">
        <v>1952</v>
      </c>
      <c r="N359" s="493" t="s">
        <v>1153</v>
      </c>
    </row>
    <row r="360" spans="1:14" x14ac:dyDescent="0.25">
      <c r="A360" s="493" t="s">
        <v>1960</v>
      </c>
      <c r="B360" s="493" t="s">
        <v>1961</v>
      </c>
      <c r="C360" s="493" t="s">
        <v>1915</v>
      </c>
      <c r="D360" s="493" t="s">
        <v>876</v>
      </c>
      <c r="E360" s="493" t="s">
        <v>1152</v>
      </c>
      <c r="F360" s="493" t="s">
        <v>636</v>
      </c>
      <c r="G360" s="493" t="s">
        <v>878</v>
      </c>
      <c r="H360" s="494">
        <v>2958465</v>
      </c>
      <c r="I360" s="494">
        <v>40179</v>
      </c>
      <c r="J360" s="493" t="s">
        <v>1962</v>
      </c>
      <c r="K360" s="493" t="s">
        <v>1916</v>
      </c>
      <c r="L360" s="493" t="s">
        <v>1366</v>
      </c>
      <c r="M360" s="493" t="s">
        <v>1952</v>
      </c>
      <c r="N360" s="493" t="s">
        <v>1153</v>
      </c>
    </row>
    <row r="361" spans="1:14" x14ac:dyDescent="0.25">
      <c r="A361" s="493" t="s">
        <v>1963</v>
      </c>
      <c r="B361" s="493" t="s">
        <v>1414</v>
      </c>
      <c r="C361" s="493" t="s">
        <v>183</v>
      </c>
      <c r="D361" s="493" t="s">
        <v>876</v>
      </c>
      <c r="E361" s="493" t="s">
        <v>569</v>
      </c>
      <c r="F361" s="493" t="s">
        <v>636</v>
      </c>
      <c r="G361" s="493" t="s">
        <v>878</v>
      </c>
      <c r="H361" s="494">
        <v>2958465</v>
      </c>
      <c r="I361" s="494">
        <v>40179</v>
      </c>
      <c r="J361" s="493" t="s">
        <v>1964</v>
      </c>
      <c r="K361" s="493" t="s">
        <v>1916</v>
      </c>
      <c r="L361" s="493" t="s">
        <v>1366</v>
      </c>
      <c r="M361" s="493" t="s">
        <v>1023</v>
      </c>
      <c r="N361" s="493" t="s">
        <v>1024</v>
      </c>
    </row>
    <row r="362" spans="1:14" x14ac:dyDescent="0.25">
      <c r="A362" s="493" t="s">
        <v>1965</v>
      </c>
      <c r="B362" s="493" t="s">
        <v>1966</v>
      </c>
      <c r="C362" s="493" t="s">
        <v>1939</v>
      </c>
      <c r="D362" s="493" t="s">
        <v>876</v>
      </c>
      <c r="E362" s="493" t="s">
        <v>1152</v>
      </c>
      <c r="F362" s="493" t="s">
        <v>636</v>
      </c>
      <c r="G362" s="493" t="s">
        <v>878</v>
      </c>
      <c r="H362" s="494">
        <v>2958465</v>
      </c>
      <c r="I362" s="494">
        <v>40179</v>
      </c>
      <c r="J362" s="493" t="s">
        <v>1967</v>
      </c>
      <c r="K362" s="493" t="s">
        <v>1916</v>
      </c>
      <c r="L362" s="493" t="s">
        <v>1349</v>
      </c>
      <c r="M362" s="493" t="s">
        <v>1917</v>
      </c>
      <c r="N362" s="493" t="s">
        <v>1153</v>
      </c>
    </row>
    <row r="363" spans="1:14" x14ac:dyDescent="0.25">
      <c r="A363" s="493" t="s">
        <v>1968</v>
      </c>
      <c r="B363" s="493" t="s">
        <v>1525</v>
      </c>
      <c r="C363" s="493" t="s">
        <v>1915</v>
      </c>
      <c r="D363" s="493" t="s">
        <v>876</v>
      </c>
      <c r="E363" s="493" t="s">
        <v>1152</v>
      </c>
      <c r="F363" s="493" t="s">
        <v>636</v>
      </c>
      <c r="G363" s="493" t="s">
        <v>878</v>
      </c>
      <c r="H363" s="494">
        <v>2958465</v>
      </c>
      <c r="I363" s="494">
        <v>40179</v>
      </c>
      <c r="J363" s="493" t="s">
        <v>1525</v>
      </c>
      <c r="K363" s="493" t="s">
        <v>1916</v>
      </c>
      <c r="L363" s="493" t="s">
        <v>1349</v>
      </c>
      <c r="M363" s="493" t="s">
        <v>1917</v>
      </c>
      <c r="N363" s="493" t="s">
        <v>1153</v>
      </c>
    </row>
    <row r="364" spans="1:14" x14ac:dyDescent="0.25">
      <c r="A364" s="493" t="s">
        <v>1969</v>
      </c>
      <c r="B364" s="493" t="s">
        <v>1970</v>
      </c>
      <c r="C364" s="493" t="s">
        <v>1971</v>
      </c>
      <c r="D364" s="493" t="s">
        <v>876</v>
      </c>
      <c r="E364" s="493" t="s">
        <v>1152</v>
      </c>
      <c r="F364" s="493" t="s">
        <v>636</v>
      </c>
      <c r="G364" s="493" t="s">
        <v>878</v>
      </c>
      <c r="H364" s="494">
        <v>2958465</v>
      </c>
      <c r="I364" s="494">
        <v>40179</v>
      </c>
      <c r="J364" s="493" t="s">
        <v>1970</v>
      </c>
      <c r="K364" s="493" t="s">
        <v>1916</v>
      </c>
      <c r="L364" s="493" t="s">
        <v>1349</v>
      </c>
      <c r="M364" s="493" t="s">
        <v>1917</v>
      </c>
      <c r="N364" s="493" t="s">
        <v>1153</v>
      </c>
    </row>
    <row r="365" spans="1:14" x14ac:dyDescent="0.25">
      <c r="A365" s="493" t="s">
        <v>1972</v>
      </c>
      <c r="B365" s="493" t="s">
        <v>1973</v>
      </c>
      <c r="C365" s="493" t="s">
        <v>1915</v>
      </c>
      <c r="D365" s="493" t="s">
        <v>876</v>
      </c>
      <c r="E365" s="493" t="s">
        <v>1152</v>
      </c>
      <c r="F365" s="493" t="s">
        <v>636</v>
      </c>
      <c r="G365" s="493" t="s">
        <v>878</v>
      </c>
      <c r="H365" s="494">
        <v>2958465</v>
      </c>
      <c r="I365" s="494">
        <v>40179</v>
      </c>
      <c r="J365" s="493" t="s">
        <v>1974</v>
      </c>
      <c r="K365" s="493" t="s">
        <v>1916</v>
      </c>
      <c r="L365" s="493" t="s">
        <v>1349</v>
      </c>
      <c r="M365" s="493" t="s">
        <v>1917</v>
      </c>
      <c r="N365" s="493" t="s">
        <v>1153</v>
      </c>
    </row>
    <row r="366" spans="1:14" x14ac:dyDescent="0.25">
      <c r="A366" s="493" t="s">
        <v>1975</v>
      </c>
      <c r="B366" s="493" t="s">
        <v>1976</v>
      </c>
      <c r="C366" s="493" t="s">
        <v>183</v>
      </c>
      <c r="D366" s="493" t="s">
        <v>876</v>
      </c>
      <c r="E366" s="493" t="s">
        <v>1152</v>
      </c>
      <c r="F366" s="493" t="s">
        <v>636</v>
      </c>
      <c r="G366" s="493" t="s">
        <v>878</v>
      </c>
      <c r="H366" s="494">
        <v>2958465</v>
      </c>
      <c r="I366" s="494">
        <v>40179</v>
      </c>
      <c r="J366" s="493" t="s">
        <v>1976</v>
      </c>
      <c r="K366" s="493" t="s">
        <v>1977</v>
      </c>
      <c r="L366" s="493" t="s">
        <v>1253</v>
      </c>
      <c r="M366" s="493" t="s">
        <v>950</v>
      </c>
      <c r="N366" s="493" t="s">
        <v>1978</v>
      </c>
    </row>
    <row r="367" spans="1:14" x14ac:dyDescent="0.25">
      <c r="A367" s="493" t="s">
        <v>1979</v>
      </c>
      <c r="B367" s="493" t="s">
        <v>1980</v>
      </c>
      <c r="C367" s="493" t="s">
        <v>183</v>
      </c>
      <c r="D367" s="493" t="s">
        <v>876</v>
      </c>
      <c r="E367" s="493" t="s">
        <v>1152</v>
      </c>
      <c r="F367" s="493" t="s">
        <v>636</v>
      </c>
      <c r="G367" s="493" t="s">
        <v>878</v>
      </c>
      <c r="H367" s="494">
        <v>2958465</v>
      </c>
      <c r="I367" s="494">
        <v>40179</v>
      </c>
      <c r="J367" s="493" t="s">
        <v>1980</v>
      </c>
      <c r="K367" s="493" t="s">
        <v>1981</v>
      </c>
      <c r="L367" s="493" t="s">
        <v>1439</v>
      </c>
      <c r="M367" s="493" t="s">
        <v>950</v>
      </c>
      <c r="N367" s="493" t="s">
        <v>1978</v>
      </c>
    </row>
    <row r="368" spans="1:14" x14ac:dyDescent="0.25">
      <c r="A368" s="493" t="s">
        <v>1982</v>
      </c>
      <c r="B368" s="493" t="s">
        <v>1983</v>
      </c>
      <c r="C368" s="493" t="s">
        <v>1013</v>
      </c>
      <c r="D368" s="493" t="s">
        <v>876</v>
      </c>
      <c r="E368" s="493" t="s">
        <v>886</v>
      </c>
      <c r="F368" s="493" t="s">
        <v>636</v>
      </c>
      <c r="G368" s="493" t="s">
        <v>878</v>
      </c>
      <c r="H368" s="494">
        <v>2958465</v>
      </c>
      <c r="I368" s="494">
        <v>40179</v>
      </c>
      <c r="J368" s="493" t="s">
        <v>1984</v>
      </c>
      <c r="K368" s="493" t="s">
        <v>1985</v>
      </c>
      <c r="L368" s="493" t="s">
        <v>1138</v>
      </c>
      <c r="M368" s="493" t="s">
        <v>1014</v>
      </c>
      <c r="N368" s="493" t="s">
        <v>890</v>
      </c>
    </row>
    <row r="369" spans="1:14" x14ac:dyDescent="0.25">
      <c r="A369" s="493" t="s">
        <v>1986</v>
      </c>
      <c r="B369" s="493" t="s">
        <v>1987</v>
      </c>
      <c r="C369" s="493" t="s">
        <v>1033</v>
      </c>
      <c r="D369" s="493" t="s">
        <v>876</v>
      </c>
      <c r="E369" s="493" t="s">
        <v>886</v>
      </c>
      <c r="F369" s="493" t="s">
        <v>636</v>
      </c>
      <c r="G369" s="493" t="s">
        <v>878</v>
      </c>
      <c r="H369" s="494">
        <v>2958465</v>
      </c>
      <c r="I369" s="494">
        <v>40179</v>
      </c>
      <c r="J369" s="493" t="s">
        <v>1987</v>
      </c>
      <c r="K369" s="493" t="s">
        <v>1985</v>
      </c>
      <c r="L369" s="493" t="s">
        <v>1138</v>
      </c>
      <c r="M369" s="493" t="s">
        <v>1034</v>
      </c>
      <c r="N369" s="493" t="s">
        <v>890</v>
      </c>
    </row>
    <row r="370" spans="1:14" x14ac:dyDescent="0.25">
      <c r="A370" s="493" t="s">
        <v>1988</v>
      </c>
      <c r="B370" s="493" t="s">
        <v>1989</v>
      </c>
      <c r="C370" s="493" t="s">
        <v>1915</v>
      </c>
      <c r="D370" s="493" t="s">
        <v>876</v>
      </c>
      <c r="E370" s="493" t="s">
        <v>1152</v>
      </c>
      <c r="F370" s="493" t="s">
        <v>636</v>
      </c>
      <c r="G370" s="493" t="s">
        <v>878</v>
      </c>
      <c r="H370" s="494">
        <v>2958465</v>
      </c>
      <c r="I370" s="494">
        <v>40179</v>
      </c>
      <c r="J370" s="493" t="s">
        <v>1990</v>
      </c>
      <c r="K370" s="493" t="s">
        <v>1985</v>
      </c>
      <c r="L370" s="493" t="s">
        <v>1349</v>
      </c>
      <c r="M370" s="493" t="s">
        <v>1917</v>
      </c>
      <c r="N370" s="493" t="s">
        <v>1153</v>
      </c>
    </row>
    <row r="371" spans="1:14" x14ac:dyDescent="0.25">
      <c r="A371" s="493" t="s">
        <v>1991</v>
      </c>
      <c r="B371" s="493" t="s">
        <v>1992</v>
      </c>
      <c r="C371" s="493" t="s">
        <v>1993</v>
      </c>
      <c r="D371" s="493" t="s">
        <v>876</v>
      </c>
      <c r="E371" s="493" t="s">
        <v>877</v>
      </c>
      <c r="F371" s="493" t="s">
        <v>636</v>
      </c>
      <c r="G371" s="493" t="s">
        <v>878</v>
      </c>
      <c r="H371" s="494">
        <v>2958465</v>
      </c>
      <c r="I371" s="494">
        <v>40179</v>
      </c>
      <c r="J371" s="493" t="s">
        <v>1994</v>
      </c>
      <c r="K371" s="493" t="s">
        <v>1985</v>
      </c>
      <c r="L371" s="493" t="s">
        <v>1349</v>
      </c>
      <c r="M371" s="493" t="s">
        <v>881</v>
      </c>
      <c r="N371" s="493" t="s">
        <v>882</v>
      </c>
    </row>
    <row r="372" spans="1:14" x14ac:dyDescent="0.25">
      <c r="A372" s="493" t="s">
        <v>1995</v>
      </c>
      <c r="B372" s="493" t="s">
        <v>1996</v>
      </c>
      <c r="C372" s="493" t="s">
        <v>183</v>
      </c>
      <c r="D372" s="493" t="s">
        <v>876</v>
      </c>
      <c r="E372" s="493" t="s">
        <v>1152</v>
      </c>
      <c r="F372" s="493" t="s">
        <v>636</v>
      </c>
      <c r="G372" s="493" t="s">
        <v>878</v>
      </c>
      <c r="H372" s="494">
        <v>2958465</v>
      </c>
      <c r="I372" s="494">
        <v>40179</v>
      </c>
      <c r="J372" s="493" t="s">
        <v>1996</v>
      </c>
      <c r="K372" s="493" t="s">
        <v>1997</v>
      </c>
      <c r="L372" s="493" t="s">
        <v>1353</v>
      </c>
      <c r="M372" s="493" t="s">
        <v>950</v>
      </c>
      <c r="N372" s="493" t="s">
        <v>1978</v>
      </c>
    </row>
    <row r="373" spans="1:14" x14ac:dyDescent="0.25">
      <c r="A373" s="493" t="s">
        <v>1998</v>
      </c>
      <c r="B373" s="493" t="s">
        <v>1999</v>
      </c>
      <c r="C373" s="493" t="s">
        <v>183</v>
      </c>
      <c r="D373" s="493" t="s">
        <v>876</v>
      </c>
      <c r="E373" s="493" t="s">
        <v>1143</v>
      </c>
      <c r="F373" s="493" t="s">
        <v>636</v>
      </c>
      <c r="G373" s="493" t="s">
        <v>878</v>
      </c>
      <c r="H373" s="494">
        <v>2958465</v>
      </c>
      <c r="I373" s="494">
        <v>40179</v>
      </c>
      <c r="J373" s="493" t="s">
        <v>2000</v>
      </c>
      <c r="K373" s="493" t="s">
        <v>2001</v>
      </c>
      <c r="L373" s="493" t="s">
        <v>2002</v>
      </c>
      <c r="M373" s="493" t="s">
        <v>1145</v>
      </c>
      <c r="N373" s="493" t="s">
        <v>1146</v>
      </c>
    </row>
    <row r="374" spans="1:14" x14ac:dyDescent="0.25">
      <c r="A374" s="493" t="s">
        <v>2003</v>
      </c>
      <c r="B374" s="493" t="s">
        <v>2004</v>
      </c>
      <c r="C374" s="493" t="s">
        <v>2005</v>
      </c>
      <c r="D374" s="493" t="s">
        <v>876</v>
      </c>
      <c r="E374" s="493" t="s">
        <v>897</v>
      </c>
      <c r="F374" s="493" t="s">
        <v>636</v>
      </c>
      <c r="G374" s="493" t="s">
        <v>878</v>
      </c>
      <c r="H374" s="494">
        <v>2958465</v>
      </c>
      <c r="I374" s="494">
        <v>40179</v>
      </c>
      <c r="J374" s="493" t="s">
        <v>2006</v>
      </c>
      <c r="K374" s="493" t="s">
        <v>2007</v>
      </c>
      <c r="L374" s="493" t="s">
        <v>966</v>
      </c>
      <c r="M374" s="493" t="s">
        <v>2008</v>
      </c>
      <c r="N374" s="493" t="s">
        <v>901</v>
      </c>
    </row>
    <row r="375" spans="1:14" x14ac:dyDescent="0.25">
      <c r="A375" s="493" t="s">
        <v>2009</v>
      </c>
      <c r="B375" s="493" t="s">
        <v>1610</v>
      </c>
      <c r="C375" s="493" t="s">
        <v>1611</v>
      </c>
      <c r="D375" s="493" t="s">
        <v>876</v>
      </c>
      <c r="E375" s="493" t="s">
        <v>0</v>
      </c>
      <c r="F375" s="493" t="s">
        <v>2010</v>
      </c>
      <c r="G375" s="493" t="s">
        <v>878</v>
      </c>
      <c r="H375" s="494">
        <v>2958465</v>
      </c>
      <c r="I375" s="494">
        <v>40179</v>
      </c>
      <c r="J375" s="493" t="s">
        <v>1610</v>
      </c>
      <c r="K375" s="493" t="s">
        <v>2011</v>
      </c>
      <c r="L375" s="493" t="s">
        <v>1353</v>
      </c>
      <c r="M375" s="493" t="s">
        <v>1279</v>
      </c>
      <c r="N375" s="493" t="s">
        <v>1140</v>
      </c>
    </row>
    <row r="376" spans="1:14" x14ac:dyDescent="0.25">
      <c r="A376" s="493" t="s">
        <v>2012</v>
      </c>
      <c r="B376" s="493" t="s">
        <v>1697</v>
      </c>
      <c r="C376" s="493" t="s">
        <v>1611</v>
      </c>
      <c r="D376" s="493" t="s">
        <v>876</v>
      </c>
      <c r="E376" s="493" t="s">
        <v>0</v>
      </c>
      <c r="F376" s="493" t="s">
        <v>2010</v>
      </c>
      <c r="G376" s="493" t="s">
        <v>878</v>
      </c>
      <c r="H376" s="494">
        <v>2958465</v>
      </c>
      <c r="I376" s="494">
        <v>40179</v>
      </c>
      <c r="J376" s="493" t="s">
        <v>1698</v>
      </c>
      <c r="K376" s="493" t="s">
        <v>2011</v>
      </c>
      <c r="L376" s="493" t="s">
        <v>1353</v>
      </c>
      <c r="M376" s="493" t="s">
        <v>1279</v>
      </c>
      <c r="N376" s="493" t="s">
        <v>1140</v>
      </c>
    </row>
    <row r="377" spans="1:14" x14ac:dyDescent="0.25">
      <c r="A377" s="493" t="s">
        <v>2013</v>
      </c>
      <c r="B377" s="493" t="s">
        <v>2014</v>
      </c>
      <c r="C377" s="493" t="s">
        <v>2015</v>
      </c>
      <c r="D377" s="493" t="s">
        <v>876</v>
      </c>
      <c r="E377" s="493" t="s">
        <v>886</v>
      </c>
      <c r="F377" s="493" t="s">
        <v>2010</v>
      </c>
      <c r="G377" s="493" t="s">
        <v>878</v>
      </c>
      <c r="H377" s="494">
        <v>2958465</v>
      </c>
      <c r="I377" s="494">
        <v>40179</v>
      </c>
      <c r="J377" s="493" t="s">
        <v>2014</v>
      </c>
      <c r="K377" s="493" t="s">
        <v>2011</v>
      </c>
      <c r="L377" s="493" t="s">
        <v>1353</v>
      </c>
      <c r="M377" s="493" t="s">
        <v>1080</v>
      </c>
      <c r="N377" s="493" t="s">
        <v>890</v>
      </c>
    </row>
    <row r="378" spans="1:14" x14ac:dyDescent="0.25">
      <c r="A378" s="493" t="s">
        <v>2016</v>
      </c>
      <c r="B378" s="493" t="s">
        <v>2017</v>
      </c>
      <c r="C378" s="493" t="s">
        <v>1608</v>
      </c>
      <c r="D378" s="493" t="s">
        <v>876</v>
      </c>
      <c r="E378" s="493" t="s">
        <v>886</v>
      </c>
      <c r="F378" s="493" t="s">
        <v>2010</v>
      </c>
      <c r="G378" s="493" t="s">
        <v>878</v>
      </c>
      <c r="H378" s="494">
        <v>2958465</v>
      </c>
      <c r="I378" s="494">
        <v>40179</v>
      </c>
      <c r="J378" s="493" t="s">
        <v>2017</v>
      </c>
      <c r="K378" s="493" t="s">
        <v>2011</v>
      </c>
      <c r="L378" s="493" t="s">
        <v>1353</v>
      </c>
      <c r="M378" s="493" t="s">
        <v>1006</v>
      </c>
      <c r="N378" s="493" t="s">
        <v>890</v>
      </c>
    </row>
    <row r="379" spans="1:14" x14ac:dyDescent="0.25">
      <c r="A379" s="493" t="s">
        <v>2018</v>
      </c>
      <c r="B379" s="493" t="s">
        <v>2019</v>
      </c>
      <c r="C379" s="493" t="s">
        <v>1829</v>
      </c>
      <c r="D379" s="493" t="s">
        <v>2019</v>
      </c>
      <c r="E379" s="493" t="s">
        <v>1143</v>
      </c>
      <c r="F379" s="493" t="s">
        <v>2010</v>
      </c>
      <c r="G379" s="493" t="s">
        <v>878</v>
      </c>
      <c r="H379" s="494">
        <v>2958465</v>
      </c>
      <c r="I379" s="494">
        <v>40179</v>
      </c>
      <c r="J379" s="493" t="s">
        <v>2019</v>
      </c>
      <c r="K379" s="493" t="s">
        <v>2020</v>
      </c>
      <c r="L379" s="493" t="s">
        <v>1349</v>
      </c>
      <c r="M379" s="493" t="s">
        <v>946</v>
      </c>
      <c r="N379" s="493" t="s">
        <v>1146</v>
      </c>
    </row>
    <row r="380" spans="1:14" x14ac:dyDescent="0.25">
      <c r="A380" s="493" t="s">
        <v>2021</v>
      </c>
      <c r="B380" s="493" t="s">
        <v>1833</v>
      </c>
      <c r="C380" s="493" t="s">
        <v>1829</v>
      </c>
      <c r="D380" s="493" t="s">
        <v>1833</v>
      </c>
      <c r="E380" s="493" t="s">
        <v>0</v>
      </c>
      <c r="F380" s="493" t="s">
        <v>2010</v>
      </c>
      <c r="G380" s="493" t="s">
        <v>878</v>
      </c>
      <c r="H380" s="494">
        <v>2958465</v>
      </c>
      <c r="I380" s="494">
        <v>40179</v>
      </c>
      <c r="J380" s="493" t="s">
        <v>1834</v>
      </c>
      <c r="K380" s="493" t="s">
        <v>2020</v>
      </c>
      <c r="L380" s="493" t="s">
        <v>1349</v>
      </c>
      <c r="M380" s="493" t="s">
        <v>1279</v>
      </c>
      <c r="N380" s="493" t="s">
        <v>1140</v>
      </c>
    </row>
    <row r="381" spans="1:14" x14ac:dyDescent="0.25">
      <c r="A381" s="493" t="s">
        <v>2022</v>
      </c>
      <c r="B381" s="493" t="s">
        <v>2023</v>
      </c>
      <c r="C381" s="493" t="s">
        <v>1429</v>
      </c>
      <c r="D381" s="493" t="s">
        <v>876</v>
      </c>
      <c r="E381" s="493" t="s">
        <v>886</v>
      </c>
      <c r="F381" s="493" t="s">
        <v>2010</v>
      </c>
      <c r="G381" s="493" t="s">
        <v>878</v>
      </c>
      <c r="H381" s="494">
        <v>2958465</v>
      </c>
      <c r="I381" s="494">
        <v>40179</v>
      </c>
      <c r="J381" s="493" t="s">
        <v>2023</v>
      </c>
      <c r="K381" s="493" t="s">
        <v>2024</v>
      </c>
      <c r="L381" s="493" t="s">
        <v>1430</v>
      </c>
      <c r="M381" s="493" t="s">
        <v>2025</v>
      </c>
      <c r="N381" s="493" t="s">
        <v>890</v>
      </c>
    </row>
    <row r="382" spans="1:14" x14ac:dyDescent="0.25">
      <c r="A382" s="493" t="s">
        <v>2026</v>
      </c>
      <c r="B382" s="493" t="s">
        <v>1073</v>
      </c>
      <c r="C382" s="493" t="s">
        <v>1429</v>
      </c>
      <c r="D382" s="493" t="s">
        <v>876</v>
      </c>
      <c r="E382" s="493" t="s">
        <v>886</v>
      </c>
      <c r="F382" s="493" t="s">
        <v>2010</v>
      </c>
      <c r="G382" s="493" t="s">
        <v>878</v>
      </c>
      <c r="H382" s="494">
        <v>2958465</v>
      </c>
      <c r="I382" s="494">
        <v>40179</v>
      </c>
      <c r="J382" s="493" t="s">
        <v>1073</v>
      </c>
      <c r="K382" s="493" t="s">
        <v>2024</v>
      </c>
      <c r="L382" s="493" t="s">
        <v>1430</v>
      </c>
      <c r="M382" s="493" t="s">
        <v>2025</v>
      </c>
      <c r="N382" s="493" t="s">
        <v>890</v>
      </c>
    </row>
    <row r="383" spans="1:14" x14ac:dyDescent="0.25">
      <c r="A383" s="493" t="s">
        <v>2027</v>
      </c>
      <c r="B383" s="493" t="s">
        <v>2028</v>
      </c>
      <c r="C383" s="493" t="s">
        <v>1429</v>
      </c>
      <c r="D383" s="493" t="s">
        <v>876</v>
      </c>
      <c r="E383" s="493" t="s">
        <v>886</v>
      </c>
      <c r="F383" s="493" t="s">
        <v>2010</v>
      </c>
      <c r="G383" s="493" t="s">
        <v>878</v>
      </c>
      <c r="H383" s="494">
        <v>2958465</v>
      </c>
      <c r="I383" s="494">
        <v>40179</v>
      </c>
      <c r="J383" s="493" t="s">
        <v>2028</v>
      </c>
      <c r="K383" s="493" t="s">
        <v>2024</v>
      </c>
      <c r="L383" s="493" t="s">
        <v>1430</v>
      </c>
      <c r="M383" s="493" t="s">
        <v>2025</v>
      </c>
      <c r="N383" s="493" t="s">
        <v>890</v>
      </c>
    </row>
    <row r="384" spans="1:14" x14ac:dyDescent="0.25">
      <c r="A384" s="493" t="s">
        <v>2029</v>
      </c>
      <c r="B384" s="493" t="s">
        <v>2030</v>
      </c>
      <c r="C384" s="493" t="s">
        <v>1429</v>
      </c>
      <c r="D384" s="493" t="s">
        <v>876</v>
      </c>
      <c r="E384" s="493" t="s">
        <v>886</v>
      </c>
      <c r="F384" s="493" t="s">
        <v>2010</v>
      </c>
      <c r="G384" s="493" t="s">
        <v>878</v>
      </c>
      <c r="H384" s="494">
        <v>2958465</v>
      </c>
      <c r="I384" s="494">
        <v>40179</v>
      </c>
      <c r="J384" s="493" t="s">
        <v>2030</v>
      </c>
      <c r="K384" s="493" t="s">
        <v>2024</v>
      </c>
      <c r="L384" s="493" t="s">
        <v>1430</v>
      </c>
      <c r="M384" s="493" t="s">
        <v>2025</v>
      </c>
      <c r="N384" s="493" t="s">
        <v>890</v>
      </c>
    </row>
    <row r="385" spans="1:14" x14ac:dyDescent="0.25">
      <c r="A385" s="493" t="s">
        <v>2031</v>
      </c>
      <c r="B385" s="493" t="s">
        <v>2032</v>
      </c>
      <c r="C385" s="493" t="s">
        <v>1429</v>
      </c>
      <c r="D385" s="493" t="s">
        <v>876</v>
      </c>
      <c r="E385" s="493" t="s">
        <v>1152</v>
      </c>
      <c r="F385" s="493" t="s">
        <v>2010</v>
      </c>
      <c r="G385" s="493" t="s">
        <v>878</v>
      </c>
      <c r="H385" s="494">
        <v>2958465</v>
      </c>
      <c r="I385" s="494">
        <v>40179</v>
      </c>
      <c r="J385" s="493" t="s">
        <v>2033</v>
      </c>
      <c r="K385" s="493" t="s">
        <v>2024</v>
      </c>
      <c r="L385" s="493" t="s">
        <v>1430</v>
      </c>
      <c r="M385" s="493" t="s">
        <v>2025</v>
      </c>
      <c r="N385" s="493" t="s">
        <v>1153</v>
      </c>
    </row>
    <row r="386" spans="1:14" x14ac:dyDescent="0.25">
      <c r="A386" s="493" t="s">
        <v>2034</v>
      </c>
      <c r="B386" s="493" t="s">
        <v>2035</v>
      </c>
      <c r="C386" s="493" t="s">
        <v>1429</v>
      </c>
      <c r="D386" s="493" t="s">
        <v>876</v>
      </c>
      <c r="E386" s="493" t="s">
        <v>1152</v>
      </c>
      <c r="F386" s="493" t="s">
        <v>2010</v>
      </c>
      <c r="G386" s="493" t="s">
        <v>878</v>
      </c>
      <c r="H386" s="494">
        <v>2958465</v>
      </c>
      <c r="I386" s="494">
        <v>40179</v>
      </c>
      <c r="J386" s="493" t="s">
        <v>2036</v>
      </c>
      <c r="K386" s="493" t="s">
        <v>2024</v>
      </c>
      <c r="L386" s="493" t="s">
        <v>1430</v>
      </c>
      <c r="M386" s="493" t="s">
        <v>2025</v>
      </c>
      <c r="N386" s="493" t="s">
        <v>1153</v>
      </c>
    </row>
    <row r="387" spans="1:14" x14ac:dyDescent="0.25">
      <c r="A387" s="493" t="s">
        <v>2037</v>
      </c>
      <c r="B387" s="493" t="s">
        <v>2038</v>
      </c>
      <c r="C387" s="493" t="s">
        <v>1429</v>
      </c>
      <c r="D387" s="493" t="s">
        <v>876</v>
      </c>
      <c r="E387" s="493" t="s">
        <v>1152</v>
      </c>
      <c r="F387" s="493" t="s">
        <v>2010</v>
      </c>
      <c r="G387" s="493" t="s">
        <v>878</v>
      </c>
      <c r="H387" s="494">
        <v>2958465</v>
      </c>
      <c r="I387" s="494">
        <v>40179</v>
      </c>
      <c r="J387" s="493" t="s">
        <v>2039</v>
      </c>
      <c r="K387" s="493" t="s">
        <v>2024</v>
      </c>
      <c r="L387" s="493" t="s">
        <v>1430</v>
      </c>
      <c r="M387" s="493" t="s">
        <v>2025</v>
      </c>
      <c r="N387" s="493" t="s">
        <v>1153</v>
      </c>
    </row>
    <row r="388" spans="1:14" x14ac:dyDescent="0.25">
      <c r="A388" s="493" t="s">
        <v>2040</v>
      </c>
      <c r="B388" s="493" t="s">
        <v>2041</v>
      </c>
      <c r="C388" s="493" t="s">
        <v>1429</v>
      </c>
      <c r="D388" s="493" t="s">
        <v>876</v>
      </c>
      <c r="E388" s="493" t="s">
        <v>1152</v>
      </c>
      <c r="F388" s="493" t="s">
        <v>2010</v>
      </c>
      <c r="G388" s="493" t="s">
        <v>878</v>
      </c>
      <c r="H388" s="494">
        <v>2958465</v>
      </c>
      <c r="I388" s="494">
        <v>40179</v>
      </c>
      <c r="J388" s="493" t="s">
        <v>2042</v>
      </c>
      <c r="K388" s="493" t="s">
        <v>2024</v>
      </c>
      <c r="L388" s="493" t="s">
        <v>1430</v>
      </c>
      <c r="M388" s="493" t="s">
        <v>2025</v>
      </c>
      <c r="N388" s="493" t="s">
        <v>1153</v>
      </c>
    </row>
    <row r="389" spans="1:14" x14ac:dyDescent="0.25">
      <c r="A389" s="493" t="s">
        <v>2043</v>
      </c>
      <c r="B389" s="493" t="s">
        <v>2044</v>
      </c>
      <c r="C389" s="493" t="s">
        <v>1429</v>
      </c>
      <c r="D389" s="493" t="s">
        <v>876</v>
      </c>
      <c r="E389" s="493" t="s">
        <v>1152</v>
      </c>
      <c r="F389" s="493" t="s">
        <v>2010</v>
      </c>
      <c r="G389" s="493" t="s">
        <v>878</v>
      </c>
      <c r="H389" s="494">
        <v>2958465</v>
      </c>
      <c r="I389" s="494">
        <v>40179</v>
      </c>
      <c r="J389" s="493" t="s">
        <v>2044</v>
      </c>
      <c r="K389" s="493" t="s">
        <v>2024</v>
      </c>
      <c r="L389" s="493" t="s">
        <v>1430</v>
      </c>
      <c r="M389" s="493" t="s">
        <v>2025</v>
      </c>
      <c r="N389" s="493" t="s">
        <v>1153</v>
      </c>
    </row>
    <row r="390" spans="1:14" x14ac:dyDescent="0.25">
      <c r="A390" s="493" t="s">
        <v>2045</v>
      </c>
      <c r="B390" s="493" t="s">
        <v>2046</v>
      </c>
      <c r="C390" s="493" t="s">
        <v>1429</v>
      </c>
      <c r="D390" s="493" t="s">
        <v>876</v>
      </c>
      <c r="E390" s="493" t="s">
        <v>1152</v>
      </c>
      <c r="F390" s="493" t="s">
        <v>2010</v>
      </c>
      <c r="G390" s="493" t="s">
        <v>878</v>
      </c>
      <c r="H390" s="494">
        <v>2958465</v>
      </c>
      <c r="I390" s="494">
        <v>40179</v>
      </c>
      <c r="J390" s="493" t="s">
        <v>2046</v>
      </c>
      <c r="K390" s="493" t="s">
        <v>2024</v>
      </c>
      <c r="L390" s="493" t="s">
        <v>1430</v>
      </c>
      <c r="M390" s="493" t="s">
        <v>2025</v>
      </c>
      <c r="N390" s="493" t="s">
        <v>1153</v>
      </c>
    </row>
    <row r="391" spans="1:14" x14ac:dyDescent="0.25">
      <c r="A391" s="493" t="s">
        <v>2047</v>
      </c>
      <c r="B391" s="493" t="s">
        <v>2048</v>
      </c>
      <c r="C391" s="493" t="s">
        <v>1429</v>
      </c>
      <c r="D391" s="493" t="s">
        <v>876</v>
      </c>
      <c r="E391" s="493" t="s">
        <v>1152</v>
      </c>
      <c r="F391" s="493" t="s">
        <v>2010</v>
      </c>
      <c r="G391" s="493" t="s">
        <v>878</v>
      </c>
      <c r="H391" s="494">
        <v>2958465</v>
      </c>
      <c r="I391" s="494">
        <v>40179</v>
      </c>
      <c r="J391" s="493" t="s">
        <v>2049</v>
      </c>
      <c r="K391" s="493" t="s">
        <v>2024</v>
      </c>
      <c r="L391" s="493" t="s">
        <v>1430</v>
      </c>
      <c r="M391" s="493" t="s">
        <v>2025</v>
      </c>
      <c r="N391" s="493" t="s">
        <v>1153</v>
      </c>
    </row>
    <row r="392" spans="1:14" x14ac:dyDescent="0.25">
      <c r="A392" s="493" t="s">
        <v>2050</v>
      </c>
      <c r="B392" s="493" t="s">
        <v>2051</v>
      </c>
      <c r="C392" s="493" t="s">
        <v>1429</v>
      </c>
      <c r="D392" s="493" t="s">
        <v>876</v>
      </c>
      <c r="E392" s="493" t="s">
        <v>0</v>
      </c>
      <c r="F392" s="493" t="s">
        <v>2010</v>
      </c>
      <c r="G392" s="493" t="s">
        <v>878</v>
      </c>
      <c r="H392" s="494">
        <v>2958465</v>
      </c>
      <c r="I392" s="494">
        <v>40179</v>
      </c>
      <c r="J392" s="493" t="s">
        <v>2051</v>
      </c>
      <c r="K392" s="493" t="s">
        <v>2024</v>
      </c>
      <c r="L392" s="493" t="s">
        <v>1430</v>
      </c>
      <c r="M392" s="493" t="s">
        <v>2025</v>
      </c>
      <c r="N392" s="493" t="s">
        <v>1140</v>
      </c>
    </row>
    <row r="393" spans="1:14" x14ac:dyDescent="0.25">
      <c r="A393" s="493" t="s">
        <v>2052</v>
      </c>
      <c r="B393" s="493" t="s">
        <v>1227</v>
      </c>
      <c r="C393" s="493" t="s">
        <v>1429</v>
      </c>
      <c r="D393" s="493" t="s">
        <v>876</v>
      </c>
      <c r="E393" s="493" t="s">
        <v>1143</v>
      </c>
      <c r="F393" s="493" t="s">
        <v>2010</v>
      </c>
      <c r="G393" s="493" t="s">
        <v>878</v>
      </c>
      <c r="H393" s="494">
        <v>2958465</v>
      </c>
      <c r="I393" s="494">
        <v>40179</v>
      </c>
      <c r="J393" s="493" t="s">
        <v>2053</v>
      </c>
      <c r="K393" s="493" t="s">
        <v>2024</v>
      </c>
      <c r="L393" s="493" t="s">
        <v>1430</v>
      </c>
      <c r="M393" s="493" t="s">
        <v>2025</v>
      </c>
      <c r="N393" s="493" t="s">
        <v>1146</v>
      </c>
    </row>
    <row r="394" spans="1:14" x14ac:dyDescent="0.25">
      <c r="A394" s="493" t="s">
        <v>2054</v>
      </c>
      <c r="B394" s="493" t="s">
        <v>2055</v>
      </c>
      <c r="C394" s="493" t="s">
        <v>1429</v>
      </c>
      <c r="D394" s="493" t="s">
        <v>876</v>
      </c>
      <c r="E394" s="493" t="s">
        <v>1152</v>
      </c>
      <c r="F394" s="493" t="s">
        <v>2010</v>
      </c>
      <c r="G394" s="493" t="s">
        <v>878</v>
      </c>
      <c r="H394" s="494">
        <v>2958465</v>
      </c>
      <c r="I394" s="494">
        <v>40179</v>
      </c>
      <c r="J394" s="493" t="s">
        <v>2056</v>
      </c>
      <c r="K394" s="493" t="s">
        <v>2024</v>
      </c>
      <c r="L394" s="493" t="s">
        <v>1430</v>
      </c>
      <c r="M394" s="493" t="s">
        <v>2025</v>
      </c>
      <c r="N394" s="493" t="s">
        <v>1153</v>
      </c>
    </row>
    <row r="395" spans="1:14" x14ac:dyDescent="0.25">
      <c r="A395" s="493" t="s">
        <v>2057</v>
      </c>
      <c r="B395" s="493" t="s">
        <v>2058</v>
      </c>
      <c r="C395" s="493" t="s">
        <v>2059</v>
      </c>
      <c r="D395" s="493" t="s">
        <v>876</v>
      </c>
      <c r="E395" s="493" t="s">
        <v>1152</v>
      </c>
      <c r="F395" s="493" t="s">
        <v>2</v>
      </c>
      <c r="G395" s="493" t="s">
        <v>878</v>
      </c>
      <c r="H395" s="494">
        <v>2958465</v>
      </c>
      <c r="I395" s="494">
        <v>40179</v>
      </c>
      <c r="J395" s="493" t="s">
        <v>2058</v>
      </c>
      <c r="K395" s="493" t="s">
        <v>2060</v>
      </c>
      <c r="L395" s="493" t="s">
        <v>1259</v>
      </c>
      <c r="M395" s="493" t="s">
        <v>1062</v>
      </c>
      <c r="N395" s="493" t="s">
        <v>1153</v>
      </c>
    </row>
    <row r="396" spans="1:14" x14ac:dyDescent="0.25">
      <c r="A396" s="493" t="s">
        <v>2061</v>
      </c>
      <c r="B396" s="493" t="s">
        <v>2062</v>
      </c>
      <c r="C396" s="493" t="s">
        <v>2059</v>
      </c>
      <c r="D396" s="493" t="s">
        <v>876</v>
      </c>
      <c r="E396" s="493" t="s">
        <v>1152</v>
      </c>
      <c r="F396" s="493" t="s">
        <v>2</v>
      </c>
      <c r="G396" s="493" t="s">
        <v>878</v>
      </c>
      <c r="H396" s="494">
        <v>2958465</v>
      </c>
      <c r="I396" s="494">
        <v>40179</v>
      </c>
      <c r="J396" s="493" t="s">
        <v>2062</v>
      </c>
      <c r="K396" s="493" t="s">
        <v>2060</v>
      </c>
      <c r="L396" s="493" t="s">
        <v>1259</v>
      </c>
      <c r="M396" s="493" t="s">
        <v>1062</v>
      </c>
      <c r="N396" s="493" t="s">
        <v>1153</v>
      </c>
    </row>
    <row r="397" spans="1:14" x14ac:dyDescent="0.25">
      <c r="A397" s="493" t="s">
        <v>2063</v>
      </c>
      <c r="B397" s="493" t="s">
        <v>2064</v>
      </c>
      <c r="C397" s="493" t="s">
        <v>2059</v>
      </c>
      <c r="D397" s="493" t="s">
        <v>876</v>
      </c>
      <c r="E397" s="493" t="s">
        <v>1152</v>
      </c>
      <c r="F397" s="493" t="s">
        <v>2</v>
      </c>
      <c r="G397" s="493" t="s">
        <v>878</v>
      </c>
      <c r="H397" s="494">
        <v>2958465</v>
      </c>
      <c r="I397" s="494">
        <v>40179</v>
      </c>
      <c r="J397" s="493" t="s">
        <v>2065</v>
      </c>
      <c r="K397" s="493" t="s">
        <v>2060</v>
      </c>
      <c r="L397" s="493" t="s">
        <v>1259</v>
      </c>
      <c r="M397" s="493" t="s">
        <v>1062</v>
      </c>
      <c r="N397" s="493" t="s">
        <v>1153</v>
      </c>
    </row>
    <row r="398" spans="1:14" x14ac:dyDescent="0.25">
      <c r="A398" s="493" t="s">
        <v>2066</v>
      </c>
      <c r="B398" s="493" t="s">
        <v>2067</v>
      </c>
      <c r="C398" s="493" t="s">
        <v>1339</v>
      </c>
      <c r="D398" s="493" t="s">
        <v>876</v>
      </c>
      <c r="E398" s="493" t="s">
        <v>1143</v>
      </c>
      <c r="F398" s="493" t="s">
        <v>2</v>
      </c>
      <c r="G398" s="493" t="s">
        <v>878</v>
      </c>
      <c r="H398" s="494">
        <v>2958465</v>
      </c>
      <c r="I398" s="494">
        <v>40179</v>
      </c>
      <c r="J398" s="493" t="s">
        <v>2068</v>
      </c>
      <c r="K398" s="493" t="s">
        <v>2060</v>
      </c>
      <c r="L398" s="493" t="s">
        <v>1259</v>
      </c>
      <c r="M398" s="493" t="s">
        <v>912</v>
      </c>
      <c r="N398" s="493" t="s">
        <v>1146</v>
      </c>
    </row>
    <row r="399" spans="1:14" x14ac:dyDescent="0.25">
      <c r="A399" s="493" t="s">
        <v>2069</v>
      </c>
      <c r="B399" s="493" t="s">
        <v>2070</v>
      </c>
      <c r="C399" s="493" t="s">
        <v>2071</v>
      </c>
      <c r="D399" s="493" t="s">
        <v>876</v>
      </c>
      <c r="E399" s="493" t="s">
        <v>1152</v>
      </c>
      <c r="F399" s="493" t="s">
        <v>2</v>
      </c>
      <c r="G399" s="493" t="s">
        <v>878</v>
      </c>
      <c r="H399" s="494">
        <v>2958465</v>
      </c>
      <c r="I399" s="494">
        <v>40179</v>
      </c>
      <c r="J399" s="493" t="s">
        <v>2072</v>
      </c>
      <c r="K399" s="493" t="s">
        <v>2060</v>
      </c>
      <c r="L399" s="493" t="s">
        <v>1259</v>
      </c>
      <c r="M399" s="493" t="s">
        <v>1062</v>
      </c>
      <c r="N399" s="493" t="s">
        <v>1153</v>
      </c>
    </row>
    <row r="400" spans="1:14" x14ac:dyDescent="0.25">
      <c r="A400" s="493" t="s">
        <v>2073</v>
      </c>
      <c r="B400" s="493" t="s">
        <v>2074</v>
      </c>
      <c r="C400" s="493" t="s">
        <v>2075</v>
      </c>
      <c r="D400" s="493" t="s">
        <v>876</v>
      </c>
      <c r="E400" s="493" t="s">
        <v>886</v>
      </c>
      <c r="F400" s="493" t="s">
        <v>2</v>
      </c>
      <c r="G400" s="493" t="s">
        <v>878</v>
      </c>
      <c r="H400" s="494">
        <v>2958465</v>
      </c>
      <c r="I400" s="494">
        <v>40179</v>
      </c>
      <c r="J400" s="493" t="s">
        <v>1375</v>
      </c>
      <c r="K400" s="493" t="s">
        <v>2060</v>
      </c>
      <c r="L400" s="493" t="s">
        <v>1259</v>
      </c>
      <c r="M400" s="493" t="s">
        <v>1038</v>
      </c>
      <c r="N400" s="493" t="s">
        <v>890</v>
      </c>
    </row>
    <row r="401" spans="1:14" x14ac:dyDescent="0.25">
      <c r="A401" s="493" t="s">
        <v>2076</v>
      </c>
      <c r="B401" s="493" t="s">
        <v>2077</v>
      </c>
      <c r="C401" s="493" t="s">
        <v>2075</v>
      </c>
      <c r="D401" s="493" t="s">
        <v>876</v>
      </c>
      <c r="E401" s="493" t="s">
        <v>1152</v>
      </c>
      <c r="F401" s="493" t="s">
        <v>2</v>
      </c>
      <c r="G401" s="493" t="s">
        <v>878</v>
      </c>
      <c r="H401" s="494">
        <v>2958465</v>
      </c>
      <c r="I401" s="494">
        <v>40179</v>
      </c>
      <c r="J401" s="493" t="s">
        <v>2078</v>
      </c>
      <c r="K401" s="493" t="s">
        <v>2060</v>
      </c>
      <c r="L401" s="493" t="s">
        <v>1259</v>
      </c>
      <c r="M401" s="493" t="s">
        <v>1062</v>
      </c>
      <c r="N401" s="493" t="s">
        <v>1153</v>
      </c>
    </row>
    <row r="402" spans="1:14" x14ac:dyDescent="0.25">
      <c r="A402" s="493" t="s">
        <v>2079</v>
      </c>
      <c r="B402" s="493" t="s">
        <v>1610</v>
      </c>
      <c r="C402" s="493" t="s">
        <v>2080</v>
      </c>
      <c r="D402" s="493" t="s">
        <v>876</v>
      </c>
      <c r="E402" s="493" t="s">
        <v>0</v>
      </c>
      <c r="F402" s="493" t="s">
        <v>2</v>
      </c>
      <c r="G402" s="493" t="s">
        <v>878</v>
      </c>
      <c r="H402" s="494">
        <v>2958465</v>
      </c>
      <c r="I402" s="494">
        <v>40179</v>
      </c>
      <c r="J402" s="493" t="s">
        <v>1610</v>
      </c>
      <c r="K402" s="493" t="s">
        <v>2081</v>
      </c>
      <c r="L402" s="493" t="s">
        <v>1353</v>
      </c>
      <c r="M402" s="493" t="s">
        <v>1279</v>
      </c>
      <c r="N402" s="493" t="s">
        <v>1140</v>
      </c>
    </row>
    <row r="403" spans="1:14" x14ac:dyDescent="0.25">
      <c r="A403" s="493" t="s">
        <v>2082</v>
      </c>
      <c r="B403" s="493" t="s">
        <v>1619</v>
      </c>
      <c r="C403" s="493" t="s">
        <v>2083</v>
      </c>
      <c r="D403" s="493" t="s">
        <v>876</v>
      </c>
      <c r="E403" s="493" t="s">
        <v>569</v>
      </c>
      <c r="F403" s="493" t="s">
        <v>2</v>
      </c>
      <c r="G403" s="493" t="s">
        <v>878</v>
      </c>
      <c r="H403" s="494">
        <v>2958465</v>
      </c>
      <c r="I403" s="494">
        <v>40179</v>
      </c>
      <c r="J403" s="493" t="s">
        <v>1619</v>
      </c>
      <c r="K403" s="493" t="s">
        <v>2081</v>
      </c>
      <c r="L403" s="493" t="s">
        <v>1353</v>
      </c>
      <c r="M403" s="493" t="s">
        <v>1023</v>
      </c>
      <c r="N403" s="493" t="s">
        <v>1024</v>
      </c>
    </row>
    <row r="404" spans="1:14" x14ac:dyDescent="0.25">
      <c r="A404" s="493" t="s">
        <v>2084</v>
      </c>
      <c r="B404" s="493" t="s">
        <v>2085</v>
      </c>
      <c r="C404" s="493" t="s">
        <v>2086</v>
      </c>
      <c r="D404" s="493" t="s">
        <v>876</v>
      </c>
      <c r="E404" s="493" t="s">
        <v>1143</v>
      </c>
      <c r="F404" s="493" t="s">
        <v>2</v>
      </c>
      <c r="G404" s="493" t="s">
        <v>878</v>
      </c>
      <c r="H404" s="494">
        <v>2958465</v>
      </c>
      <c r="I404" s="494">
        <v>40179</v>
      </c>
      <c r="J404" s="493" t="s">
        <v>2085</v>
      </c>
      <c r="K404" s="493" t="s">
        <v>2081</v>
      </c>
      <c r="L404" s="493" t="s">
        <v>1353</v>
      </c>
      <c r="M404" s="493" t="s">
        <v>1379</v>
      </c>
      <c r="N404" s="493" t="s">
        <v>1146</v>
      </c>
    </row>
    <row r="405" spans="1:14" x14ac:dyDescent="0.25">
      <c r="A405" s="493" t="s">
        <v>2087</v>
      </c>
      <c r="B405" s="493" t="s">
        <v>2088</v>
      </c>
      <c r="C405" s="493" t="s">
        <v>1078</v>
      </c>
      <c r="D405" s="493" t="s">
        <v>1639</v>
      </c>
      <c r="E405" s="493" t="s">
        <v>886</v>
      </c>
      <c r="F405" s="493" t="s">
        <v>2</v>
      </c>
      <c r="G405" s="493" t="s">
        <v>878</v>
      </c>
      <c r="H405" s="494">
        <v>2958465</v>
      </c>
      <c r="I405" s="494">
        <v>40179</v>
      </c>
      <c r="J405" s="493" t="s">
        <v>1640</v>
      </c>
      <c r="K405" s="493" t="s">
        <v>2081</v>
      </c>
      <c r="L405" s="493" t="s">
        <v>1353</v>
      </c>
      <c r="M405" s="493" t="s">
        <v>1080</v>
      </c>
      <c r="N405" s="493" t="s">
        <v>890</v>
      </c>
    </row>
    <row r="406" spans="1:14" x14ac:dyDescent="0.25">
      <c r="A406" s="493" t="s">
        <v>2089</v>
      </c>
      <c r="B406" s="493" t="s">
        <v>2090</v>
      </c>
      <c r="C406" s="493" t="s">
        <v>2091</v>
      </c>
      <c r="D406" s="493" t="s">
        <v>876</v>
      </c>
      <c r="E406" s="493" t="s">
        <v>1143</v>
      </c>
      <c r="F406" s="493" t="s">
        <v>2</v>
      </c>
      <c r="G406" s="493" t="s">
        <v>878</v>
      </c>
      <c r="H406" s="494">
        <v>2958465</v>
      </c>
      <c r="I406" s="494">
        <v>40179</v>
      </c>
      <c r="J406" s="493" t="s">
        <v>2090</v>
      </c>
      <c r="K406" s="493" t="s">
        <v>2081</v>
      </c>
      <c r="L406" s="493" t="s">
        <v>1353</v>
      </c>
      <c r="M406" s="493" t="s">
        <v>2092</v>
      </c>
      <c r="N406" s="493" t="s">
        <v>1146</v>
      </c>
    </row>
    <row r="407" spans="1:14" x14ac:dyDescent="0.25">
      <c r="A407" s="493" t="s">
        <v>2093</v>
      </c>
      <c r="B407" s="493" t="s">
        <v>2094</v>
      </c>
      <c r="C407" s="493" t="s">
        <v>1070</v>
      </c>
      <c r="D407" s="493" t="s">
        <v>2095</v>
      </c>
      <c r="E407" s="493" t="s">
        <v>886</v>
      </c>
      <c r="F407" s="493" t="s">
        <v>2</v>
      </c>
      <c r="G407" s="493" t="s">
        <v>878</v>
      </c>
      <c r="H407" s="494">
        <v>2958465</v>
      </c>
      <c r="I407" s="494">
        <v>40179</v>
      </c>
      <c r="J407" s="493" t="s">
        <v>2096</v>
      </c>
      <c r="K407" s="493" t="s">
        <v>2081</v>
      </c>
      <c r="L407" s="493" t="s">
        <v>1353</v>
      </c>
      <c r="M407" s="493" t="s">
        <v>1071</v>
      </c>
      <c r="N407" s="493" t="s">
        <v>890</v>
      </c>
    </row>
    <row r="408" spans="1:14" x14ac:dyDescent="0.25">
      <c r="A408" s="493" t="s">
        <v>2097</v>
      </c>
      <c r="B408" s="493" t="s">
        <v>2098</v>
      </c>
      <c r="C408" s="493" t="s">
        <v>2080</v>
      </c>
      <c r="D408" s="493" t="s">
        <v>2099</v>
      </c>
      <c r="E408" s="493" t="s">
        <v>0</v>
      </c>
      <c r="F408" s="493" t="s">
        <v>2</v>
      </c>
      <c r="G408" s="493" t="s">
        <v>878</v>
      </c>
      <c r="H408" s="494">
        <v>2958465</v>
      </c>
      <c r="I408" s="494">
        <v>40179</v>
      </c>
      <c r="J408" s="493" t="s">
        <v>2100</v>
      </c>
      <c r="K408" s="493" t="s">
        <v>2081</v>
      </c>
      <c r="L408" s="493" t="s">
        <v>1353</v>
      </c>
      <c r="M408" s="493" t="s">
        <v>1139</v>
      </c>
      <c r="N408" s="493" t="s">
        <v>1140</v>
      </c>
    </row>
    <row r="409" spans="1:14" x14ac:dyDescent="0.25">
      <c r="A409" s="493" t="s">
        <v>2101</v>
      </c>
      <c r="B409" s="493" t="s">
        <v>1705</v>
      </c>
      <c r="C409" s="493" t="s">
        <v>2102</v>
      </c>
      <c r="D409" s="493" t="s">
        <v>876</v>
      </c>
      <c r="E409" s="493" t="s">
        <v>569</v>
      </c>
      <c r="F409" s="493" t="s">
        <v>2</v>
      </c>
      <c r="G409" s="493" t="s">
        <v>878</v>
      </c>
      <c r="H409" s="494">
        <v>2958465</v>
      </c>
      <c r="I409" s="494">
        <v>40179</v>
      </c>
      <c r="J409" s="493" t="s">
        <v>1705</v>
      </c>
      <c r="K409" s="493" t="s">
        <v>2081</v>
      </c>
      <c r="L409" s="493" t="s">
        <v>1353</v>
      </c>
      <c r="M409" s="493" t="s">
        <v>2103</v>
      </c>
      <c r="N409" s="493" t="s">
        <v>1024</v>
      </c>
    </row>
    <row r="410" spans="1:14" x14ac:dyDescent="0.25">
      <c r="A410" s="493" t="s">
        <v>2104</v>
      </c>
      <c r="B410" s="493" t="s">
        <v>1654</v>
      </c>
      <c r="C410" s="493" t="s">
        <v>2105</v>
      </c>
      <c r="D410" s="493" t="s">
        <v>876</v>
      </c>
      <c r="E410" s="493" t="s">
        <v>1244</v>
      </c>
      <c r="F410" s="493" t="s">
        <v>2</v>
      </c>
      <c r="G410" s="493" t="s">
        <v>878</v>
      </c>
      <c r="H410" s="494">
        <v>2958465</v>
      </c>
      <c r="I410" s="494">
        <v>40179</v>
      </c>
      <c r="J410" s="493" t="s">
        <v>1654</v>
      </c>
      <c r="K410" s="493" t="s">
        <v>2081</v>
      </c>
      <c r="L410" s="493" t="s">
        <v>1353</v>
      </c>
      <c r="M410" s="493" t="s">
        <v>918</v>
      </c>
      <c r="N410" s="493" t="s">
        <v>1246</v>
      </c>
    </row>
    <row r="411" spans="1:14" x14ac:dyDescent="0.25">
      <c r="A411" s="493" t="s">
        <v>2106</v>
      </c>
      <c r="B411" s="493" t="s">
        <v>2107</v>
      </c>
      <c r="C411" s="493" t="s">
        <v>2086</v>
      </c>
      <c r="D411" s="493" t="s">
        <v>876</v>
      </c>
      <c r="E411" s="493" t="s">
        <v>1143</v>
      </c>
      <c r="F411" s="493" t="s">
        <v>2</v>
      </c>
      <c r="G411" s="493" t="s">
        <v>878</v>
      </c>
      <c r="H411" s="494">
        <v>42515</v>
      </c>
      <c r="I411" s="494">
        <v>40179</v>
      </c>
      <c r="J411" s="493" t="s">
        <v>2108</v>
      </c>
      <c r="K411" s="493" t="s">
        <v>2081</v>
      </c>
      <c r="L411" s="493" t="s">
        <v>1353</v>
      </c>
      <c r="M411" s="493" t="s">
        <v>1379</v>
      </c>
      <c r="N411" s="493" t="s">
        <v>1146</v>
      </c>
    </row>
    <row r="412" spans="1:14" x14ac:dyDescent="0.25">
      <c r="A412" s="493" t="s">
        <v>2106</v>
      </c>
      <c r="B412" s="493" t="s">
        <v>2107</v>
      </c>
      <c r="C412" s="493" t="s">
        <v>2086</v>
      </c>
      <c r="D412" s="493" t="s">
        <v>876</v>
      </c>
      <c r="E412" s="493" t="s">
        <v>1143</v>
      </c>
      <c r="F412" s="493" t="s">
        <v>2</v>
      </c>
      <c r="G412" s="493" t="s">
        <v>878</v>
      </c>
      <c r="H412" s="494">
        <v>2958465</v>
      </c>
      <c r="I412" s="494">
        <v>42516</v>
      </c>
      <c r="J412" s="493" t="s">
        <v>2108</v>
      </c>
      <c r="K412" s="493" t="s">
        <v>2081</v>
      </c>
      <c r="L412" s="493" t="s">
        <v>1353</v>
      </c>
      <c r="M412" s="493" t="s">
        <v>1379</v>
      </c>
      <c r="N412" s="493" t="s">
        <v>1146</v>
      </c>
    </row>
    <row r="413" spans="1:14" x14ac:dyDescent="0.25">
      <c r="A413" s="493" t="s">
        <v>2109</v>
      </c>
      <c r="B413" s="493" t="s">
        <v>1610</v>
      </c>
      <c r="C413" s="493" t="s">
        <v>2110</v>
      </c>
      <c r="D413" s="493" t="s">
        <v>876</v>
      </c>
      <c r="E413" s="493" t="s">
        <v>0</v>
      </c>
      <c r="F413" s="493" t="s">
        <v>2</v>
      </c>
      <c r="G413" s="493" t="s">
        <v>878</v>
      </c>
      <c r="H413" s="494">
        <v>2958465</v>
      </c>
      <c r="I413" s="494">
        <v>40179</v>
      </c>
      <c r="J413" s="493" t="s">
        <v>1610</v>
      </c>
      <c r="K413" s="493" t="s">
        <v>2111</v>
      </c>
      <c r="L413" s="493" t="s">
        <v>1353</v>
      </c>
      <c r="M413" s="493" t="s">
        <v>1279</v>
      </c>
      <c r="N413" s="493" t="s">
        <v>1140</v>
      </c>
    </row>
    <row r="414" spans="1:14" x14ac:dyDescent="0.25">
      <c r="A414" s="493" t="s">
        <v>2112</v>
      </c>
      <c r="B414" s="493" t="s">
        <v>2113</v>
      </c>
      <c r="C414" s="493" t="s">
        <v>2086</v>
      </c>
      <c r="D414" s="493" t="s">
        <v>876</v>
      </c>
      <c r="E414" s="493" t="s">
        <v>1143</v>
      </c>
      <c r="F414" s="493" t="s">
        <v>2</v>
      </c>
      <c r="G414" s="493" t="s">
        <v>878</v>
      </c>
      <c r="H414" s="494">
        <v>2958465</v>
      </c>
      <c r="I414" s="494">
        <v>40179</v>
      </c>
      <c r="J414" s="493" t="s">
        <v>2114</v>
      </c>
      <c r="K414" s="493" t="s">
        <v>2111</v>
      </c>
      <c r="L414" s="493" t="s">
        <v>1353</v>
      </c>
      <c r="M414" s="493" t="s">
        <v>1379</v>
      </c>
      <c r="N414" s="493" t="s">
        <v>1146</v>
      </c>
    </row>
    <row r="415" spans="1:14" x14ac:dyDescent="0.25">
      <c r="A415" s="493" t="s">
        <v>2115</v>
      </c>
      <c r="B415" s="493" t="s">
        <v>1629</v>
      </c>
      <c r="C415" s="493" t="s">
        <v>2116</v>
      </c>
      <c r="D415" s="493" t="s">
        <v>876</v>
      </c>
      <c r="E415" s="493" t="s">
        <v>1152</v>
      </c>
      <c r="F415" s="493" t="s">
        <v>2</v>
      </c>
      <c r="G415" s="493" t="s">
        <v>878</v>
      </c>
      <c r="H415" s="494">
        <v>2958465</v>
      </c>
      <c r="I415" s="494">
        <v>40179</v>
      </c>
      <c r="J415" s="493" t="s">
        <v>1629</v>
      </c>
      <c r="K415" s="493" t="s">
        <v>2111</v>
      </c>
      <c r="L415" s="493" t="s">
        <v>1353</v>
      </c>
      <c r="M415" s="493" t="s">
        <v>1062</v>
      </c>
      <c r="N415" s="493" t="s">
        <v>1153</v>
      </c>
    </row>
    <row r="416" spans="1:14" x14ac:dyDescent="0.25">
      <c r="A416" s="493" t="s">
        <v>2117</v>
      </c>
      <c r="B416" s="493" t="s">
        <v>2085</v>
      </c>
      <c r="C416" s="493" t="s">
        <v>2086</v>
      </c>
      <c r="D416" s="493" t="s">
        <v>876</v>
      </c>
      <c r="E416" s="493" t="s">
        <v>1143</v>
      </c>
      <c r="F416" s="493" t="s">
        <v>2</v>
      </c>
      <c r="G416" s="493" t="s">
        <v>878</v>
      </c>
      <c r="H416" s="494">
        <v>2958465</v>
      </c>
      <c r="I416" s="494">
        <v>40179</v>
      </c>
      <c r="J416" s="493" t="s">
        <v>2085</v>
      </c>
      <c r="K416" s="493" t="s">
        <v>2111</v>
      </c>
      <c r="L416" s="493" t="s">
        <v>1353</v>
      </c>
      <c r="M416" s="493" t="s">
        <v>1379</v>
      </c>
      <c r="N416" s="493" t="s">
        <v>1146</v>
      </c>
    </row>
    <row r="417" spans="1:14" x14ac:dyDescent="0.25">
      <c r="A417" s="493" t="s">
        <v>2118</v>
      </c>
      <c r="B417" s="493" t="s">
        <v>2119</v>
      </c>
      <c r="C417" s="493" t="s">
        <v>2083</v>
      </c>
      <c r="D417" s="493" t="s">
        <v>876</v>
      </c>
      <c r="E417" s="493" t="s">
        <v>1143</v>
      </c>
      <c r="F417" s="493" t="s">
        <v>2</v>
      </c>
      <c r="G417" s="493" t="s">
        <v>878</v>
      </c>
      <c r="H417" s="494">
        <v>2958465</v>
      </c>
      <c r="I417" s="494">
        <v>40179</v>
      </c>
      <c r="J417" s="493" t="s">
        <v>2119</v>
      </c>
      <c r="K417" s="493" t="s">
        <v>2111</v>
      </c>
      <c r="L417" s="493" t="s">
        <v>1353</v>
      </c>
      <c r="M417" s="493" t="s">
        <v>1145</v>
      </c>
      <c r="N417" s="493" t="s">
        <v>1146</v>
      </c>
    </row>
    <row r="418" spans="1:14" x14ac:dyDescent="0.25">
      <c r="A418" s="493" t="s">
        <v>2120</v>
      </c>
      <c r="B418" s="493" t="s">
        <v>1678</v>
      </c>
      <c r="C418" s="493" t="s">
        <v>1070</v>
      </c>
      <c r="D418" s="493" t="s">
        <v>1678</v>
      </c>
      <c r="E418" s="493" t="s">
        <v>886</v>
      </c>
      <c r="F418" s="493" t="s">
        <v>2</v>
      </c>
      <c r="G418" s="493" t="s">
        <v>878</v>
      </c>
      <c r="H418" s="494">
        <v>2958465</v>
      </c>
      <c r="I418" s="494">
        <v>40179</v>
      </c>
      <c r="J418" s="493" t="s">
        <v>1679</v>
      </c>
      <c r="K418" s="493" t="s">
        <v>2111</v>
      </c>
      <c r="L418" s="493" t="s">
        <v>1353</v>
      </c>
      <c r="M418" s="493" t="s">
        <v>1006</v>
      </c>
      <c r="N418" s="493" t="s">
        <v>890</v>
      </c>
    </row>
    <row r="419" spans="1:14" x14ac:dyDescent="0.25">
      <c r="A419" s="493" t="s">
        <v>2121</v>
      </c>
      <c r="B419" s="493" t="s">
        <v>2098</v>
      </c>
      <c r="C419" s="493" t="s">
        <v>2080</v>
      </c>
      <c r="D419" s="493" t="s">
        <v>2099</v>
      </c>
      <c r="E419" s="493" t="s">
        <v>0</v>
      </c>
      <c r="F419" s="493" t="s">
        <v>2</v>
      </c>
      <c r="G419" s="493" t="s">
        <v>878</v>
      </c>
      <c r="H419" s="494">
        <v>2958465</v>
      </c>
      <c r="I419" s="494">
        <v>40179</v>
      </c>
      <c r="J419" s="493" t="s">
        <v>2100</v>
      </c>
      <c r="K419" s="493" t="s">
        <v>2111</v>
      </c>
      <c r="L419" s="493" t="s">
        <v>1353</v>
      </c>
      <c r="M419" s="493" t="s">
        <v>1139</v>
      </c>
      <c r="N419" s="493" t="s">
        <v>1140</v>
      </c>
    </row>
    <row r="420" spans="1:14" x14ac:dyDescent="0.25">
      <c r="A420" s="493" t="s">
        <v>2122</v>
      </c>
      <c r="B420" s="493" t="s">
        <v>1610</v>
      </c>
      <c r="C420" s="493" t="s">
        <v>2110</v>
      </c>
      <c r="D420" s="493" t="s">
        <v>876</v>
      </c>
      <c r="E420" s="493" t="s">
        <v>0</v>
      </c>
      <c r="F420" s="493" t="s">
        <v>2</v>
      </c>
      <c r="G420" s="493" t="s">
        <v>878</v>
      </c>
      <c r="H420" s="494">
        <v>2958465</v>
      </c>
      <c r="I420" s="494">
        <v>40179</v>
      </c>
      <c r="J420" s="493" t="s">
        <v>1610</v>
      </c>
      <c r="K420" s="493" t="s">
        <v>2123</v>
      </c>
      <c r="L420" s="493" t="s">
        <v>1353</v>
      </c>
      <c r="M420" s="493" t="s">
        <v>1279</v>
      </c>
      <c r="N420" s="493" t="s">
        <v>1140</v>
      </c>
    </row>
    <row r="421" spans="1:14" x14ac:dyDescent="0.25">
      <c r="A421" s="493" t="s">
        <v>2124</v>
      </c>
      <c r="B421" s="493" t="s">
        <v>1619</v>
      </c>
      <c r="C421" s="493" t="s">
        <v>2125</v>
      </c>
      <c r="D421" s="493" t="s">
        <v>876</v>
      </c>
      <c r="E421" s="493" t="s">
        <v>569</v>
      </c>
      <c r="F421" s="493" t="s">
        <v>2</v>
      </c>
      <c r="G421" s="493" t="s">
        <v>878</v>
      </c>
      <c r="H421" s="494">
        <v>2958465</v>
      </c>
      <c r="I421" s="494">
        <v>40179</v>
      </c>
      <c r="J421" s="493" t="s">
        <v>1619</v>
      </c>
      <c r="K421" s="493" t="s">
        <v>2123</v>
      </c>
      <c r="L421" s="493" t="s">
        <v>1353</v>
      </c>
      <c r="M421" s="493" t="s">
        <v>1023</v>
      </c>
      <c r="N421" s="493" t="s">
        <v>1024</v>
      </c>
    </row>
    <row r="422" spans="1:14" x14ac:dyDescent="0.25">
      <c r="A422" s="493" t="s">
        <v>2126</v>
      </c>
      <c r="B422" s="493" t="s">
        <v>1622</v>
      </c>
      <c r="C422" s="493" t="s">
        <v>2127</v>
      </c>
      <c r="D422" s="493" t="s">
        <v>876</v>
      </c>
      <c r="E422" s="493" t="s">
        <v>886</v>
      </c>
      <c r="F422" s="493" t="s">
        <v>2</v>
      </c>
      <c r="G422" s="493" t="s">
        <v>878</v>
      </c>
      <c r="H422" s="494">
        <v>2958465</v>
      </c>
      <c r="I422" s="494">
        <v>40179</v>
      </c>
      <c r="J422" s="493" t="s">
        <v>1624</v>
      </c>
      <c r="K422" s="493" t="s">
        <v>2123</v>
      </c>
      <c r="L422" s="493" t="s">
        <v>1353</v>
      </c>
      <c r="M422" s="493" t="s">
        <v>1188</v>
      </c>
      <c r="N422" s="493" t="s">
        <v>890</v>
      </c>
    </row>
    <row r="423" spans="1:14" x14ac:dyDescent="0.25">
      <c r="A423" s="493" t="s">
        <v>2128</v>
      </c>
      <c r="B423" s="493" t="s">
        <v>1629</v>
      </c>
      <c r="C423" s="493" t="s">
        <v>2116</v>
      </c>
      <c r="D423" s="493" t="s">
        <v>876</v>
      </c>
      <c r="E423" s="493" t="s">
        <v>1152</v>
      </c>
      <c r="F423" s="493" t="s">
        <v>2</v>
      </c>
      <c r="G423" s="493" t="s">
        <v>878</v>
      </c>
      <c r="H423" s="494">
        <v>2958465</v>
      </c>
      <c r="I423" s="494">
        <v>40179</v>
      </c>
      <c r="J423" s="493" t="s">
        <v>1629</v>
      </c>
      <c r="K423" s="493" t="s">
        <v>2123</v>
      </c>
      <c r="L423" s="493" t="s">
        <v>1353</v>
      </c>
      <c r="M423" s="493" t="s">
        <v>1062</v>
      </c>
      <c r="N423" s="493" t="s">
        <v>1153</v>
      </c>
    </row>
    <row r="424" spans="1:14" x14ac:dyDescent="0.25">
      <c r="A424" s="493" t="s">
        <v>2129</v>
      </c>
      <c r="B424" s="493" t="s">
        <v>2085</v>
      </c>
      <c r="C424" s="493" t="s">
        <v>2086</v>
      </c>
      <c r="D424" s="493" t="s">
        <v>876</v>
      </c>
      <c r="E424" s="493" t="s">
        <v>1143</v>
      </c>
      <c r="F424" s="493" t="s">
        <v>2</v>
      </c>
      <c r="G424" s="493" t="s">
        <v>878</v>
      </c>
      <c r="H424" s="494">
        <v>2958465</v>
      </c>
      <c r="I424" s="494">
        <v>40179</v>
      </c>
      <c r="J424" s="493" t="s">
        <v>2085</v>
      </c>
      <c r="K424" s="493" t="s">
        <v>2123</v>
      </c>
      <c r="L424" s="493" t="s">
        <v>1353</v>
      </c>
      <c r="M424" s="493" t="s">
        <v>1379</v>
      </c>
      <c r="N424" s="493" t="s">
        <v>1146</v>
      </c>
    </row>
    <row r="425" spans="1:14" x14ac:dyDescent="0.25">
      <c r="A425" s="493" t="s">
        <v>2130</v>
      </c>
      <c r="B425" s="493" t="s">
        <v>2131</v>
      </c>
      <c r="C425" s="493" t="s">
        <v>1078</v>
      </c>
      <c r="D425" s="493" t="s">
        <v>1639</v>
      </c>
      <c r="E425" s="493" t="s">
        <v>886</v>
      </c>
      <c r="F425" s="493" t="s">
        <v>2</v>
      </c>
      <c r="G425" s="493" t="s">
        <v>878</v>
      </c>
      <c r="H425" s="494">
        <v>2958465</v>
      </c>
      <c r="I425" s="494">
        <v>40179</v>
      </c>
      <c r="J425" s="493" t="s">
        <v>1640</v>
      </c>
      <c r="K425" s="493" t="s">
        <v>2123</v>
      </c>
      <c r="L425" s="493" t="s">
        <v>1353</v>
      </c>
      <c r="M425" s="493" t="s">
        <v>1080</v>
      </c>
      <c r="N425" s="493" t="s">
        <v>890</v>
      </c>
    </row>
    <row r="426" spans="1:14" x14ac:dyDescent="0.25">
      <c r="A426" s="493" t="s">
        <v>2132</v>
      </c>
      <c r="B426" s="493" t="s">
        <v>2133</v>
      </c>
      <c r="C426" s="493" t="s">
        <v>2091</v>
      </c>
      <c r="D426" s="493" t="s">
        <v>876</v>
      </c>
      <c r="E426" s="493" t="s">
        <v>1143</v>
      </c>
      <c r="F426" s="493" t="s">
        <v>2</v>
      </c>
      <c r="G426" s="493" t="s">
        <v>878</v>
      </c>
      <c r="H426" s="494">
        <v>2958465</v>
      </c>
      <c r="I426" s="494">
        <v>40179</v>
      </c>
      <c r="J426" s="493" t="s">
        <v>2134</v>
      </c>
      <c r="K426" s="493" t="s">
        <v>2123</v>
      </c>
      <c r="L426" s="493" t="s">
        <v>1353</v>
      </c>
      <c r="M426" s="493" t="s">
        <v>2092</v>
      </c>
      <c r="N426" s="493" t="s">
        <v>1146</v>
      </c>
    </row>
    <row r="427" spans="1:14" x14ac:dyDescent="0.25">
      <c r="A427" s="493" t="s">
        <v>2135</v>
      </c>
      <c r="B427" s="493" t="s">
        <v>1648</v>
      </c>
      <c r="C427" s="493" t="s">
        <v>2091</v>
      </c>
      <c r="D427" s="493" t="s">
        <v>876</v>
      </c>
      <c r="E427" s="493" t="s">
        <v>1143</v>
      </c>
      <c r="F427" s="493" t="s">
        <v>2</v>
      </c>
      <c r="G427" s="493" t="s">
        <v>878</v>
      </c>
      <c r="H427" s="494">
        <v>2958465</v>
      </c>
      <c r="I427" s="494">
        <v>40179</v>
      </c>
      <c r="J427" s="493" t="s">
        <v>1650</v>
      </c>
      <c r="K427" s="493" t="s">
        <v>2123</v>
      </c>
      <c r="L427" s="493" t="s">
        <v>1353</v>
      </c>
      <c r="M427" s="493" t="s">
        <v>2092</v>
      </c>
      <c r="N427" s="493" t="s">
        <v>1146</v>
      </c>
    </row>
    <row r="428" spans="1:14" x14ac:dyDescent="0.25">
      <c r="A428" s="493" t="s">
        <v>2136</v>
      </c>
      <c r="B428" s="493" t="s">
        <v>2119</v>
      </c>
      <c r="C428" s="493" t="s">
        <v>2083</v>
      </c>
      <c r="D428" s="493" t="s">
        <v>876</v>
      </c>
      <c r="E428" s="493" t="s">
        <v>1143</v>
      </c>
      <c r="F428" s="493" t="s">
        <v>2</v>
      </c>
      <c r="G428" s="493" t="s">
        <v>878</v>
      </c>
      <c r="H428" s="494">
        <v>2958465</v>
      </c>
      <c r="I428" s="494">
        <v>40179</v>
      </c>
      <c r="J428" s="493" t="s">
        <v>2119</v>
      </c>
      <c r="K428" s="493" t="s">
        <v>2123</v>
      </c>
      <c r="L428" s="493" t="s">
        <v>1353</v>
      </c>
      <c r="M428" s="493" t="s">
        <v>1145</v>
      </c>
      <c r="N428" s="493" t="s">
        <v>1146</v>
      </c>
    </row>
    <row r="429" spans="1:14" x14ac:dyDescent="0.25">
      <c r="A429" s="493" t="s">
        <v>2137</v>
      </c>
      <c r="B429" s="493" t="s">
        <v>1678</v>
      </c>
      <c r="C429" s="493" t="s">
        <v>1070</v>
      </c>
      <c r="D429" s="493" t="s">
        <v>1678</v>
      </c>
      <c r="E429" s="493" t="s">
        <v>886</v>
      </c>
      <c r="F429" s="493" t="s">
        <v>2</v>
      </c>
      <c r="G429" s="493" t="s">
        <v>878</v>
      </c>
      <c r="H429" s="494">
        <v>2958465</v>
      </c>
      <c r="I429" s="494">
        <v>40179</v>
      </c>
      <c r="J429" s="493" t="s">
        <v>1679</v>
      </c>
      <c r="K429" s="493" t="s">
        <v>2123</v>
      </c>
      <c r="L429" s="493" t="s">
        <v>1353</v>
      </c>
      <c r="M429" s="493" t="s">
        <v>1071</v>
      </c>
      <c r="N429" s="493" t="s">
        <v>890</v>
      </c>
    </row>
    <row r="430" spans="1:14" x14ac:dyDescent="0.25">
      <c r="A430" s="493" t="s">
        <v>2138</v>
      </c>
      <c r="B430" s="493" t="s">
        <v>2139</v>
      </c>
      <c r="C430" s="493" t="s">
        <v>2140</v>
      </c>
      <c r="D430" s="493" t="s">
        <v>876</v>
      </c>
      <c r="E430" s="493" t="s">
        <v>886</v>
      </c>
      <c r="F430" s="493" t="s">
        <v>2</v>
      </c>
      <c r="G430" s="493" t="s">
        <v>878</v>
      </c>
      <c r="H430" s="494">
        <v>2958465</v>
      </c>
      <c r="I430" s="494">
        <v>40179</v>
      </c>
      <c r="J430" s="493" t="s">
        <v>2139</v>
      </c>
      <c r="K430" s="493" t="s">
        <v>2123</v>
      </c>
      <c r="L430" s="493" t="s">
        <v>1353</v>
      </c>
      <c r="M430" s="493" t="s">
        <v>987</v>
      </c>
      <c r="N430" s="493" t="s">
        <v>890</v>
      </c>
    </row>
    <row r="431" spans="1:14" x14ac:dyDescent="0.25">
      <c r="A431" s="493" t="s">
        <v>2141</v>
      </c>
      <c r="B431" s="493" t="s">
        <v>2098</v>
      </c>
      <c r="C431" s="493" t="s">
        <v>2080</v>
      </c>
      <c r="D431" s="493" t="s">
        <v>2099</v>
      </c>
      <c r="E431" s="493" t="s">
        <v>0</v>
      </c>
      <c r="F431" s="493" t="s">
        <v>2</v>
      </c>
      <c r="G431" s="493" t="s">
        <v>878</v>
      </c>
      <c r="H431" s="494">
        <v>2958465</v>
      </c>
      <c r="I431" s="494">
        <v>40179</v>
      </c>
      <c r="J431" s="493" t="s">
        <v>2100</v>
      </c>
      <c r="K431" s="493" t="s">
        <v>2123</v>
      </c>
      <c r="L431" s="493" t="s">
        <v>1353</v>
      </c>
      <c r="M431" s="493" t="s">
        <v>1139</v>
      </c>
      <c r="N431" s="493" t="s">
        <v>1140</v>
      </c>
    </row>
    <row r="432" spans="1:14" x14ac:dyDescent="0.25">
      <c r="A432" s="493" t="s">
        <v>2142</v>
      </c>
      <c r="B432" s="493" t="s">
        <v>1697</v>
      </c>
      <c r="C432" s="493" t="s">
        <v>2140</v>
      </c>
      <c r="D432" s="493" t="s">
        <v>876</v>
      </c>
      <c r="E432" s="493" t="s">
        <v>0</v>
      </c>
      <c r="F432" s="493" t="s">
        <v>2</v>
      </c>
      <c r="G432" s="493" t="s">
        <v>878</v>
      </c>
      <c r="H432" s="494">
        <v>2958465</v>
      </c>
      <c r="I432" s="494">
        <v>40179</v>
      </c>
      <c r="J432" s="493" t="s">
        <v>1698</v>
      </c>
      <c r="K432" s="493" t="s">
        <v>2123</v>
      </c>
      <c r="L432" s="493" t="s">
        <v>1353</v>
      </c>
      <c r="M432" s="493" t="s">
        <v>1279</v>
      </c>
      <c r="N432" s="493" t="s">
        <v>1140</v>
      </c>
    </row>
    <row r="433" spans="1:14" x14ac:dyDescent="0.25">
      <c r="A433" s="493" t="s">
        <v>2143</v>
      </c>
      <c r="B433" s="493" t="s">
        <v>2107</v>
      </c>
      <c r="C433" s="493" t="s">
        <v>2091</v>
      </c>
      <c r="D433" s="493" t="s">
        <v>876</v>
      </c>
      <c r="E433" s="493" t="s">
        <v>1143</v>
      </c>
      <c r="F433" s="493" t="s">
        <v>2</v>
      </c>
      <c r="G433" s="493" t="s">
        <v>878</v>
      </c>
      <c r="H433" s="494">
        <v>42515</v>
      </c>
      <c r="I433" s="494">
        <v>40179</v>
      </c>
      <c r="J433" s="493" t="s">
        <v>2108</v>
      </c>
      <c r="K433" s="493" t="s">
        <v>2123</v>
      </c>
      <c r="L433" s="493" t="s">
        <v>1353</v>
      </c>
      <c r="M433" s="493" t="s">
        <v>1379</v>
      </c>
      <c r="N433" s="493" t="s">
        <v>1146</v>
      </c>
    </row>
    <row r="434" spans="1:14" x14ac:dyDescent="0.25">
      <c r="A434" s="493" t="s">
        <v>2143</v>
      </c>
      <c r="B434" s="493" t="s">
        <v>2107</v>
      </c>
      <c r="C434" s="493" t="s">
        <v>2091</v>
      </c>
      <c r="D434" s="493" t="s">
        <v>876</v>
      </c>
      <c r="E434" s="493" t="s">
        <v>1143</v>
      </c>
      <c r="F434" s="493" t="s">
        <v>2</v>
      </c>
      <c r="G434" s="493" t="s">
        <v>878</v>
      </c>
      <c r="H434" s="494">
        <v>2958465</v>
      </c>
      <c r="I434" s="494">
        <v>42516</v>
      </c>
      <c r="J434" s="493" t="s">
        <v>2108</v>
      </c>
      <c r="K434" s="493" t="s">
        <v>2123</v>
      </c>
      <c r="L434" s="493" t="s">
        <v>1353</v>
      </c>
      <c r="M434" s="493" t="s">
        <v>1379</v>
      </c>
      <c r="N434" s="493" t="s">
        <v>1146</v>
      </c>
    </row>
    <row r="435" spans="1:14" x14ac:dyDescent="0.25">
      <c r="A435" s="493" t="s">
        <v>2144</v>
      </c>
      <c r="B435" s="493" t="s">
        <v>1705</v>
      </c>
      <c r="C435" s="493" t="s">
        <v>2102</v>
      </c>
      <c r="D435" s="493" t="s">
        <v>876</v>
      </c>
      <c r="E435" s="493" t="s">
        <v>569</v>
      </c>
      <c r="F435" s="493" t="s">
        <v>2</v>
      </c>
      <c r="G435" s="493" t="s">
        <v>878</v>
      </c>
      <c r="H435" s="494">
        <v>2958465</v>
      </c>
      <c r="I435" s="494">
        <v>40179</v>
      </c>
      <c r="J435" s="493" t="s">
        <v>1705</v>
      </c>
      <c r="K435" s="493" t="s">
        <v>2123</v>
      </c>
      <c r="L435" s="493" t="s">
        <v>1353</v>
      </c>
      <c r="M435" s="493" t="s">
        <v>1023</v>
      </c>
      <c r="N435" s="493" t="s">
        <v>1024</v>
      </c>
    </row>
    <row r="436" spans="1:14" x14ac:dyDescent="0.25">
      <c r="A436" s="493" t="s">
        <v>2145</v>
      </c>
      <c r="B436" s="493" t="s">
        <v>1610</v>
      </c>
      <c r="C436" s="493" t="s">
        <v>2110</v>
      </c>
      <c r="D436" s="493" t="s">
        <v>876</v>
      </c>
      <c r="E436" s="493" t="s">
        <v>0</v>
      </c>
      <c r="F436" s="493" t="s">
        <v>2146</v>
      </c>
      <c r="G436" s="493" t="s">
        <v>878</v>
      </c>
      <c r="H436" s="494">
        <v>2958465</v>
      </c>
      <c r="I436" s="494">
        <v>40179</v>
      </c>
      <c r="J436" s="493" t="s">
        <v>1610</v>
      </c>
      <c r="K436" s="493" t="s">
        <v>2147</v>
      </c>
      <c r="L436" s="493" t="s">
        <v>1353</v>
      </c>
      <c r="M436" s="493" t="s">
        <v>1279</v>
      </c>
      <c r="N436" s="493" t="s">
        <v>1140</v>
      </c>
    </row>
    <row r="437" spans="1:14" x14ac:dyDescent="0.25">
      <c r="A437" s="493" t="s">
        <v>2148</v>
      </c>
      <c r="B437" s="493" t="s">
        <v>1616</v>
      </c>
      <c r="C437" s="493" t="s">
        <v>2140</v>
      </c>
      <c r="D437" s="493" t="s">
        <v>876</v>
      </c>
      <c r="E437" s="493" t="s">
        <v>0</v>
      </c>
      <c r="F437" s="493" t="s">
        <v>2146</v>
      </c>
      <c r="G437" s="493" t="s">
        <v>878</v>
      </c>
      <c r="H437" s="494">
        <v>2958465</v>
      </c>
      <c r="I437" s="494">
        <v>40179</v>
      </c>
      <c r="J437" s="493" t="s">
        <v>1616</v>
      </c>
      <c r="K437" s="493" t="s">
        <v>2147</v>
      </c>
      <c r="L437" s="493" t="s">
        <v>1353</v>
      </c>
      <c r="M437" s="493" t="s">
        <v>1747</v>
      </c>
      <c r="N437" s="493" t="s">
        <v>1140</v>
      </c>
    </row>
    <row r="438" spans="1:14" x14ac:dyDescent="0.25">
      <c r="A438" s="493" t="s">
        <v>2149</v>
      </c>
      <c r="B438" s="493" t="s">
        <v>2150</v>
      </c>
      <c r="C438" s="493" t="s">
        <v>2127</v>
      </c>
      <c r="D438" s="493" t="s">
        <v>876</v>
      </c>
      <c r="E438" s="493" t="s">
        <v>886</v>
      </c>
      <c r="F438" s="493" t="s">
        <v>2146</v>
      </c>
      <c r="G438" s="493" t="s">
        <v>878</v>
      </c>
      <c r="H438" s="494">
        <v>2958465</v>
      </c>
      <c r="I438" s="494">
        <v>40179</v>
      </c>
      <c r="J438" s="493" t="s">
        <v>2150</v>
      </c>
      <c r="K438" s="493" t="s">
        <v>2147</v>
      </c>
      <c r="L438" s="493" t="s">
        <v>1353</v>
      </c>
      <c r="M438" s="493" t="s">
        <v>946</v>
      </c>
      <c r="N438" s="493" t="s">
        <v>890</v>
      </c>
    </row>
    <row r="439" spans="1:14" x14ac:dyDescent="0.25">
      <c r="A439" s="493" t="s">
        <v>2151</v>
      </c>
      <c r="B439" s="493" t="s">
        <v>1629</v>
      </c>
      <c r="C439" s="493" t="s">
        <v>2116</v>
      </c>
      <c r="D439" s="493" t="s">
        <v>876</v>
      </c>
      <c r="E439" s="493" t="s">
        <v>1152</v>
      </c>
      <c r="F439" s="493" t="s">
        <v>2146</v>
      </c>
      <c r="G439" s="493" t="s">
        <v>878</v>
      </c>
      <c r="H439" s="494">
        <v>2958465</v>
      </c>
      <c r="I439" s="494">
        <v>40179</v>
      </c>
      <c r="J439" s="493" t="s">
        <v>1629</v>
      </c>
      <c r="K439" s="493" t="s">
        <v>2147</v>
      </c>
      <c r="L439" s="493" t="s">
        <v>1353</v>
      </c>
      <c r="M439" s="493" t="s">
        <v>1062</v>
      </c>
      <c r="N439" s="493" t="s">
        <v>1153</v>
      </c>
    </row>
    <row r="440" spans="1:14" x14ac:dyDescent="0.25">
      <c r="A440" s="493" t="s">
        <v>2152</v>
      </c>
      <c r="B440" s="493" t="s">
        <v>2085</v>
      </c>
      <c r="C440" s="493" t="s">
        <v>2091</v>
      </c>
      <c r="D440" s="493" t="s">
        <v>876</v>
      </c>
      <c r="E440" s="493" t="s">
        <v>1143</v>
      </c>
      <c r="F440" s="493" t="s">
        <v>2146</v>
      </c>
      <c r="G440" s="493" t="s">
        <v>878</v>
      </c>
      <c r="H440" s="494">
        <v>2958465</v>
      </c>
      <c r="I440" s="494">
        <v>40179</v>
      </c>
      <c r="J440" s="493" t="s">
        <v>2085</v>
      </c>
      <c r="K440" s="493" t="s">
        <v>2147</v>
      </c>
      <c r="L440" s="493" t="s">
        <v>1353</v>
      </c>
      <c r="M440" s="493" t="s">
        <v>1379</v>
      </c>
      <c r="N440" s="493" t="s">
        <v>1146</v>
      </c>
    </row>
    <row r="441" spans="1:14" x14ac:dyDescent="0.25">
      <c r="A441" s="493" t="s">
        <v>2153</v>
      </c>
      <c r="B441" s="493" t="s">
        <v>1705</v>
      </c>
      <c r="C441" s="493" t="s">
        <v>2102</v>
      </c>
      <c r="D441" s="493" t="s">
        <v>876</v>
      </c>
      <c r="E441" s="493" t="s">
        <v>569</v>
      </c>
      <c r="F441" s="493" t="s">
        <v>2146</v>
      </c>
      <c r="G441" s="493" t="s">
        <v>878</v>
      </c>
      <c r="H441" s="494">
        <v>2958465</v>
      </c>
      <c r="I441" s="494">
        <v>40179</v>
      </c>
      <c r="J441" s="493" t="s">
        <v>1705</v>
      </c>
      <c r="K441" s="493" t="s">
        <v>2147</v>
      </c>
      <c r="L441" s="493" t="s">
        <v>1353</v>
      </c>
      <c r="M441" s="493" t="s">
        <v>2103</v>
      </c>
      <c r="N441" s="493" t="s">
        <v>1024</v>
      </c>
    </row>
    <row r="442" spans="1:14" x14ac:dyDescent="0.25">
      <c r="A442" s="493" t="s">
        <v>2154</v>
      </c>
      <c r="B442" s="493" t="s">
        <v>2131</v>
      </c>
      <c r="C442" s="493" t="s">
        <v>1078</v>
      </c>
      <c r="D442" s="493" t="s">
        <v>1639</v>
      </c>
      <c r="E442" s="493" t="s">
        <v>886</v>
      </c>
      <c r="F442" s="493" t="s">
        <v>2146</v>
      </c>
      <c r="G442" s="493" t="s">
        <v>878</v>
      </c>
      <c r="H442" s="494">
        <v>2958465</v>
      </c>
      <c r="I442" s="494">
        <v>40179</v>
      </c>
      <c r="J442" s="493" t="s">
        <v>1640</v>
      </c>
      <c r="K442" s="493" t="s">
        <v>2147</v>
      </c>
      <c r="L442" s="493" t="s">
        <v>1353</v>
      </c>
      <c r="M442" s="493" t="s">
        <v>1080</v>
      </c>
      <c r="N442" s="493" t="s">
        <v>890</v>
      </c>
    </row>
    <row r="443" spans="1:14" x14ac:dyDescent="0.25">
      <c r="A443" s="493" t="s">
        <v>2155</v>
      </c>
      <c r="B443" s="493" t="s">
        <v>2156</v>
      </c>
      <c r="C443" s="493" t="s">
        <v>2091</v>
      </c>
      <c r="D443" s="493" t="s">
        <v>876</v>
      </c>
      <c r="E443" s="493" t="s">
        <v>1143</v>
      </c>
      <c r="F443" s="493" t="s">
        <v>2146</v>
      </c>
      <c r="G443" s="493" t="s">
        <v>878</v>
      </c>
      <c r="H443" s="494">
        <v>2958465</v>
      </c>
      <c r="I443" s="494">
        <v>40179</v>
      </c>
      <c r="J443" s="493" t="s">
        <v>2157</v>
      </c>
      <c r="K443" s="493" t="s">
        <v>2147</v>
      </c>
      <c r="L443" s="493" t="s">
        <v>1353</v>
      </c>
      <c r="M443" s="493" t="s">
        <v>946</v>
      </c>
      <c r="N443" s="493" t="s">
        <v>1146</v>
      </c>
    </row>
    <row r="444" spans="1:14" x14ac:dyDescent="0.25">
      <c r="A444" s="493" t="s">
        <v>2158</v>
      </c>
      <c r="B444" s="493" t="s">
        <v>2119</v>
      </c>
      <c r="C444" s="493" t="s">
        <v>2083</v>
      </c>
      <c r="D444" s="493" t="s">
        <v>876</v>
      </c>
      <c r="E444" s="493" t="s">
        <v>1143</v>
      </c>
      <c r="F444" s="493" t="s">
        <v>2146</v>
      </c>
      <c r="G444" s="493" t="s">
        <v>878</v>
      </c>
      <c r="H444" s="494">
        <v>2958465</v>
      </c>
      <c r="I444" s="494">
        <v>40179</v>
      </c>
      <c r="J444" s="493" t="s">
        <v>2119</v>
      </c>
      <c r="K444" s="493" t="s">
        <v>2147</v>
      </c>
      <c r="L444" s="493" t="s">
        <v>1353</v>
      </c>
      <c r="M444" s="493" t="s">
        <v>1145</v>
      </c>
      <c r="N444" s="493" t="s">
        <v>1146</v>
      </c>
    </row>
    <row r="445" spans="1:14" x14ac:dyDescent="0.25">
      <c r="A445" s="493" t="s">
        <v>2159</v>
      </c>
      <c r="B445" s="493" t="s">
        <v>1057</v>
      </c>
      <c r="C445" s="493" t="s">
        <v>2160</v>
      </c>
      <c r="D445" s="493" t="s">
        <v>876</v>
      </c>
      <c r="E445" s="493" t="s">
        <v>1152</v>
      </c>
      <c r="F445" s="493" t="s">
        <v>2146</v>
      </c>
      <c r="G445" s="493" t="s">
        <v>878</v>
      </c>
      <c r="H445" s="494">
        <v>2958465</v>
      </c>
      <c r="I445" s="494">
        <v>40179</v>
      </c>
      <c r="J445" s="493" t="s">
        <v>1057</v>
      </c>
      <c r="K445" s="493" t="s">
        <v>2147</v>
      </c>
      <c r="L445" s="493" t="s">
        <v>1353</v>
      </c>
      <c r="M445" s="493" t="s">
        <v>1058</v>
      </c>
      <c r="N445" s="493" t="s">
        <v>1153</v>
      </c>
    </row>
    <row r="446" spans="1:14" x14ac:dyDescent="0.25">
      <c r="A446" s="493" t="s">
        <v>2161</v>
      </c>
      <c r="B446" s="493" t="s">
        <v>1654</v>
      </c>
      <c r="C446" s="493" t="s">
        <v>2105</v>
      </c>
      <c r="D446" s="493" t="s">
        <v>876</v>
      </c>
      <c r="E446" s="493" t="s">
        <v>1244</v>
      </c>
      <c r="F446" s="493" t="s">
        <v>2146</v>
      </c>
      <c r="G446" s="493" t="s">
        <v>878</v>
      </c>
      <c r="H446" s="494">
        <v>2958465</v>
      </c>
      <c r="I446" s="494">
        <v>40179</v>
      </c>
      <c r="J446" s="493" t="s">
        <v>1654</v>
      </c>
      <c r="K446" s="493" t="s">
        <v>2147</v>
      </c>
      <c r="L446" s="493" t="s">
        <v>1353</v>
      </c>
      <c r="M446" s="493" t="s">
        <v>918</v>
      </c>
      <c r="N446" s="493" t="s">
        <v>1246</v>
      </c>
    </row>
    <row r="447" spans="1:14" x14ac:dyDescent="0.25">
      <c r="A447" s="493" t="s">
        <v>2162</v>
      </c>
      <c r="B447" s="493" t="s">
        <v>1657</v>
      </c>
      <c r="C447" s="493" t="s">
        <v>969</v>
      </c>
      <c r="D447" s="493" t="s">
        <v>1658</v>
      </c>
      <c r="E447" s="493" t="s">
        <v>886</v>
      </c>
      <c r="F447" s="493" t="s">
        <v>2146</v>
      </c>
      <c r="G447" s="493" t="s">
        <v>878</v>
      </c>
      <c r="H447" s="494">
        <v>2958465</v>
      </c>
      <c r="I447" s="494">
        <v>40179</v>
      </c>
      <c r="J447" s="493" t="s">
        <v>1659</v>
      </c>
      <c r="K447" s="493" t="s">
        <v>2147</v>
      </c>
      <c r="L447" s="493" t="s">
        <v>1353</v>
      </c>
      <c r="M447" s="493" t="s">
        <v>970</v>
      </c>
      <c r="N447" s="493" t="s">
        <v>890</v>
      </c>
    </row>
    <row r="448" spans="1:14" x14ac:dyDescent="0.25">
      <c r="A448" s="493" t="s">
        <v>2163</v>
      </c>
      <c r="B448" s="493" t="s">
        <v>2164</v>
      </c>
      <c r="C448" s="493" t="s">
        <v>1033</v>
      </c>
      <c r="D448" s="493" t="s">
        <v>2164</v>
      </c>
      <c r="E448" s="493" t="s">
        <v>886</v>
      </c>
      <c r="F448" s="493" t="s">
        <v>2146</v>
      </c>
      <c r="G448" s="493" t="s">
        <v>878</v>
      </c>
      <c r="H448" s="494">
        <v>2958465</v>
      </c>
      <c r="I448" s="494">
        <v>40179</v>
      </c>
      <c r="J448" s="493" t="s">
        <v>2164</v>
      </c>
      <c r="K448" s="493" t="s">
        <v>2147</v>
      </c>
      <c r="L448" s="493" t="s">
        <v>1353</v>
      </c>
      <c r="M448" s="493" t="s">
        <v>1034</v>
      </c>
      <c r="N448" s="493" t="s">
        <v>890</v>
      </c>
    </row>
    <row r="449" spans="1:14" x14ac:dyDescent="0.25">
      <c r="A449" s="493" t="s">
        <v>2165</v>
      </c>
      <c r="B449" s="493" t="s">
        <v>2166</v>
      </c>
      <c r="C449" s="493" t="s">
        <v>2167</v>
      </c>
      <c r="D449" s="493" t="s">
        <v>876</v>
      </c>
      <c r="E449" s="493" t="s">
        <v>1152</v>
      </c>
      <c r="F449" s="493" t="s">
        <v>2146</v>
      </c>
      <c r="G449" s="493" t="s">
        <v>878</v>
      </c>
      <c r="H449" s="494">
        <v>2958465</v>
      </c>
      <c r="I449" s="494">
        <v>40179</v>
      </c>
      <c r="J449" s="493" t="s">
        <v>2168</v>
      </c>
      <c r="K449" s="493" t="s">
        <v>2147</v>
      </c>
      <c r="L449" s="493" t="s">
        <v>1353</v>
      </c>
      <c r="M449" s="493" t="s">
        <v>1062</v>
      </c>
      <c r="N449" s="493" t="s">
        <v>1153</v>
      </c>
    </row>
    <row r="450" spans="1:14" x14ac:dyDescent="0.25">
      <c r="A450" s="493" t="s">
        <v>2169</v>
      </c>
      <c r="B450" s="493" t="s">
        <v>324</v>
      </c>
      <c r="C450" s="493" t="s">
        <v>2167</v>
      </c>
      <c r="D450" s="493" t="s">
        <v>876</v>
      </c>
      <c r="E450" s="493" t="s">
        <v>877</v>
      </c>
      <c r="F450" s="493" t="s">
        <v>2146</v>
      </c>
      <c r="G450" s="493" t="s">
        <v>878</v>
      </c>
      <c r="H450" s="494">
        <v>2958465</v>
      </c>
      <c r="I450" s="494">
        <v>40179</v>
      </c>
      <c r="J450" s="493" t="s">
        <v>324</v>
      </c>
      <c r="K450" s="493" t="s">
        <v>2147</v>
      </c>
      <c r="L450" s="493" t="s">
        <v>1353</v>
      </c>
      <c r="M450" s="493" t="s">
        <v>881</v>
      </c>
      <c r="N450" s="493" t="s">
        <v>882</v>
      </c>
    </row>
    <row r="451" spans="1:14" x14ac:dyDescent="0.25">
      <c r="A451" s="493" t="s">
        <v>2170</v>
      </c>
      <c r="B451" s="493" t="s">
        <v>1525</v>
      </c>
      <c r="C451" s="493" t="s">
        <v>2140</v>
      </c>
      <c r="D451" s="493" t="s">
        <v>876</v>
      </c>
      <c r="E451" s="493" t="s">
        <v>886</v>
      </c>
      <c r="F451" s="493" t="s">
        <v>2146</v>
      </c>
      <c r="G451" s="493" t="s">
        <v>878</v>
      </c>
      <c r="H451" s="494">
        <v>2958465</v>
      </c>
      <c r="I451" s="494">
        <v>40179</v>
      </c>
      <c r="J451" s="493" t="s">
        <v>1525</v>
      </c>
      <c r="K451" s="493" t="s">
        <v>2147</v>
      </c>
      <c r="L451" s="493" t="s">
        <v>1353</v>
      </c>
      <c r="M451" s="493" t="s">
        <v>889</v>
      </c>
      <c r="N451" s="493" t="s">
        <v>890</v>
      </c>
    </row>
    <row r="452" spans="1:14" x14ac:dyDescent="0.25">
      <c r="A452" s="493" t="s">
        <v>2171</v>
      </c>
      <c r="B452" s="493" t="s">
        <v>1678</v>
      </c>
      <c r="C452" s="493" t="s">
        <v>1070</v>
      </c>
      <c r="D452" s="493" t="s">
        <v>1678</v>
      </c>
      <c r="E452" s="493" t="s">
        <v>886</v>
      </c>
      <c r="F452" s="493" t="s">
        <v>2146</v>
      </c>
      <c r="G452" s="493" t="s">
        <v>878</v>
      </c>
      <c r="H452" s="494">
        <v>2958465</v>
      </c>
      <c r="I452" s="494">
        <v>40179</v>
      </c>
      <c r="J452" s="493" t="s">
        <v>1679</v>
      </c>
      <c r="K452" s="493" t="s">
        <v>2147</v>
      </c>
      <c r="L452" s="493" t="s">
        <v>1353</v>
      </c>
      <c r="M452" s="493" t="s">
        <v>1071</v>
      </c>
      <c r="N452" s="493" t="s">
        <v>890</v>
      </c>
    </row>
    <row r="453" spans="1:14" x14ac:dyDescent="0.25">
      <c r="A453" s="493" t="s">
        <v>2172</v>
      </c>
      <c r="B453" s="493" t="s">
        <v>1665</v>
      </c>
      <c r="C453" s="493" t="s">
        <v>1013</v>
      </c>
      <c r="D453" s="493" t="s">
        <v>1666</v>
      </c>
      <c r="E453" s="493" t="s">
        <v>886</v>
      </c>
      <c r="F453" s="493" t="s">
        <v>2146</v>
      </c>
      <c r="G453" s="493" t="s">
        <v>878</v>
      </c>
      <c r="H453" s="494">
        <v>2958465</v>
      </c>
      <c r="I453" s="494">
        <v>40179</v>
      </c>
      <c r="J453" s="493" t="s">
        <v>1667</v>
      </c>
      <c r="K453" s="493" t="s">
        <v>2147</v>
      </c>
      <c r="L453" s="493" t="s">
        <v>1353</v>
      </c>
      <c r="M453" s="493" t="s">
        <v>1014</v>
      </c>
      <c r="N453" s="493" t="s">
        <v>890</v>
      </c>
    </row>
    <row r="454" spans="1:14" x14ac:dyDescent="0.25">
      <c r="A454" s="493" t="s">
        <v>2173</v>
      </c>
      <c r="B454" s="493" t="s">
        <v>2139</v>
      </c>
      <c r="C454" s="493" t="s">
        <v>2140</v>
      </c>
      <c r="D454" s="493" t="s">
        <v>876</v>
      </c>
      <c r="E454" s="493" t="s">
        <v>886</v>
      </c>
      <c r="F454" s="493" t="s">
        <v>2146</v>
      </c>
      <c r="G454" s="493" t="s">
        <v>878</v>
      </c>
      <c r="H454" s="494">
        <v>2958465</v>
      </c>
      <c r="I454" s="494">
        <v>40179</v>
      </c>
      <c r="J454" s="493" t="s">
        <v>2139</v>
      </c>
      <c r="K454" s="493" t="s">
        <v>2147</v>
      </c>
      <c r="L454" s="493" t="s">
        <v>1353</v>
      </c>
      <c r="M454" s="493" t="s">
        <v>987</v>
      </c>
      <c r="N454" s="493" t="s">
        <v>890</v>
      </c>
    </row>
    <row r="455" spans="1:14" x14ac:dyDescent="0.25">
      <c r="A455" s="493" t="s">
        <v>2174</v>
      </c>
      <c r="B455" s="493" t="s">
        <v>1672</v>
      </c>
      <c r="C455" s="493" t="s">
        <v>885</v>
      </c>
      <c r="D455" s="493" t="s">
        <v>876</v>
      </c>
      <c r="E455" s="493" t="s">
        <v>1152</v>
      </c>
      <c r="F455" s="493" t="s">
        <v>2146</v>
      </c>
      <c r="G455" s="493" t="s">
        <v>878</v>
      </c>
      <c r="H455" s="494">
        <v>2958465</v>
      </c>
      <c r="I455" s="494">
        <v>40179</v>
      </c>
      <c r="J455" s="493" t="s">
        <v>1672</v>
      </c>
      <c r="K455" s="493" t="s">
        <v>2147</v>
      </c>
      <c r="L455" s="493" t="s">
        <v>1353</v>
      </c>
      <c r="M455" s="493" t="s">
        <v>962</v>
      </c>
      <c r="N455" s="493" t="s">
        <v>1153</v>
      </c>
    </row>
    <row r="456" spans="1:14" x14ac:dyDescent="0.25">
      <c r="A456" s="493" t="s">
        <v>2175</v>
      </c>
      <c r="B456" s="493" t="s">
        <v>1697</v>
      </c>
      <c r="C456" s="493" t="s">
        <v>2140</v>
      </c>
      <c r="D456" s="493" t="s">
        <v>876</v>
      </c>
      <c r="E456" s="493" t="s">
        <v>0</v>
      </c>
      <c r="F456" s="493" t="s">
        <v>2146</v>
      </c>
      <c r="G456" s="493" t="s">
        <v>878</v>
      </c>
      <c r="H456" s="494">
        <v>2958465</v>
      </c>
      <c r="I456" s="494">
        <v>40179</v>
      </c>
      <c r="J456" s="493" t="s">
        <v>1698</v>
      </c>
      <c r="K456" s="493" t="s">
        <v>2147</v>
      </c>
      <c r="L456" s="493" t="s">
        <v>1353</v>
      </c>
      <c r="M456" s="493" t="s">
        <v>1279</v>
      </c>
      <c r="N456" s="493" t="s">
        <v>1140</v>
      </c>
    </row>
    <row r="457" spans="1:14" x14ac:dyDescent="0.25">
      <c r="A457" s="493" t="s">
        <v>2176</v>
      </c>
      <c r="B457" s="493" t="s">
        <v>2177</v>
      </c>
      <c r="C457" s="493" t="s">
        <v>2091</v>
      </c>
      <c r="D457" s="493" t="s">
        <v>876</v>
      </c>
      <c r="E457" s="493" t="s">
        <v>1143</v>
      </c>
      <c r="F457" s="493" t="s">
        <v>2146</v>
      </c>
      <c r="G457" s="493" t="s">
        <v>878</v>
      </c>
      <c r="H457" s="494">
        <v>2958465</v>
      </c>
      <c r="I457" s="494">
        <v>40179</v>
      </c>
      <c r="J457" s="493" t="s">
        <v>2178</v>
      </c>
      <c r="K457" s="493" t="s">
        <v>2147</v>
      </c>
      <c r="L457" s="493" t="s">
        <v>1353</v>
      </c>
      <c r="M457" s="493" t="s">
        <v>1379</v>
      </c>
      <c r="N457" s="493" t="s">
        <v>1146</v>
      </c>
    </row>
    <row r="458" spans="1:14" x14ac:dyDescent="0.25">
      <c r="A458" s="493" t="s">
        <v>2179</v>
      </c>
      <c r="B458" s="493" t="s">
        <v>1648</v>
      </c>
      <c r="C458" s="493" t="s">
        <v>2091</v>
      </c>
      <c r="D458" s="493" t="s">
        <v>876</v>
      </c>
      <c r="E458" s="493" t="s">
        <v>1143</v>
      </c>
      <c r="F458" s="493" t="s">
        <v>2146</v>
      </c>
      <c r="G458" s="493" t="s">
        <v>878</v>
      </c>
      <c r="H458" s="494">
        <v>2958465</v>
      </c>
      <c r="I458" s="494">
        <v>40179</v>
      </c>
      <c r="J458" s="493" t="s">
        <v>1650</v>
      </c>
      <c r="K458" s="493" t="s">
        <v>2147</v>
      </c>
      <c r="L458" s="493" t="s">
        <v>1353</v>
      </c>
      <c r="M458" s="493" t="s">
        <v>2092</v>
      </c>
      <c r="N458" s="493" t="s">
        <v>1146</v>
      </c>
    </row>
    <row r="459" spans="1:14" x14ac:dyDescent="0.25">
      <c r="A459" s="493" t="s">
        <v>2180</v>
      </c>
      <c r="B459" s="493" t="s">
        <v>1619</v>
      </c>
      <c r="C459" s="493" t="s">
        <v>2125</v>
      </c>
      <c r="D459" s="493" t="s">
        <v>876</v>
      </c>
      <c r="E459" s="493" t="s">
        <v>569</v>
      </c>
      <c r="F459" s="493" t="s">
        <v>2146</v>
      </c>
      <c r="G459" s="493" t="s">
        <v>878</v>
      </c>
      <c r="H459" s="494">
        <v>2958465</v>
      </c>
      <c r="I459" s="494">
        <v>40179</v>
      </c>
      <c r="J459" s="493" t="s">
        <v>1619</v>
      </c>
      <c r="K459" s="493" t="s">
        <v>2147</v>
      </c>
      <c r="L459" s="493" t="s">
        <v>1353</v>
      </c>
      <c r="M459" s="493" t="s">
        <v>1023</v>
      </c>
      <c r="N459" s="493" t="s">
        <v>1024</v>
      </c>
    </row>
    <row r="460" spans="1:14" x14ac:dyDescent="0.25">
      <c r="A460" s="493" t="s">
        <v>2181</v>
      </c>
      <c r="B460" s="493" t="s">
        <v>1686</v>
      </c>
      <c r="C460" s="493" t="s">
        <v>885</v>
      </c>
      <c r="D460" s="493" t="s">
        <v>876</v>
      </c>
      <c r="E460" s="493" t="s">
        <v>1143</v>
      </c>
      <c r="F460" s="493" t="s">
        <v>2146</v>
      </c>
      <c r="G460" s="493" t="s">
        <v>878</v>
      </c>
      <c r="H460" s="494">
        <v>2958465</v>
      </c>
      <c r="I460" s="494">
        <v>40179</v>
      </c>
      <c r="J460" s="493" t="s">
        <v>1688</v>
      </c>
      <c r="K460" s="493" t="s">
        <v>2147</v>
      </c>
      <c r="L460" s="493" t="s">
        <v>1353</v>
      </c>
      <c r="M460" s="493" t="s">
        <v>962</v>
      </c>
      <c r="N460" s="493" t="s">
        <v>1146</v>
      </c>
    </row>
    <row r="461" spans="1:14" x14ac:dyDescent="0.25">
      <c r="A461" s="493" t="s">
        <v>2182</v>
      </c>
      <c r="B461" s="493" t="s">
        <v>2098</v>
      </c>
      <c r="C461" s="493" t="s">
        <v>2080</v>
      </c>
      <c r="D461" s="493" t="s">
        <v>2099</v>
      </c>
      <c r="E461" s="493" t="s">
        <v>0</v>
      </c>
      <c r="F461" s="493" t="s">
        <v>2146</v>
      </c>
      <c r="G461" s="493" t="s">
        <v>878</v>
      </c>
      <c r="H461" s="494">
        <v>2958465</v>
      </c>
      <c r="I461" s="494">
        <v>40179</v>
      </c>
      <c r="J461" s="493" t="s">
        <v>2100</v>
      </c>
      <c r="K461" s="493" t="s">
        <v>2147</v>
      </c>
      <c r="L461" s="493" t="s">
        <v>1353</v>
      </c>
      <c r="M461" s="493" t="s">
        <v>1139</v>
      </c>
      <c r="N461" s="493" t="s">
        <v>1140</v>
      </c>
    </row>
    <row r="462" spans="1:14" x14ac:dyDescent="0.25">
      <c r="A462" s="493" t="s">
        <v>2183</v>
      </c>
      <c r="B462" s="493" t="s">
        <v>1693</v>
      </c>
      <c r="C462" s="493" t="s">
        <v>885</v>
      </c>
      <c r="D462" s="493" t="s">
        <v>876</v>
      </c>
      <c r="E462" s="493" t="s">
        <v>886</v>
      </c>
      <c r="F462" s="493" t="s">
        <v>2146</v>
      </c>
      <c r="G462" s="493" t="s">
        <v>878</v>
      </c>
      <c r="H462" s="494">
        <v>2958465</v>
      </c>
      <c r="I462" s="494">
        <v>40179</v>
      </c>
      <c r="J462" s="493" t="s">
        <v>1695</v>
      </c>
      <c r="K462" s="493" t="s">
        <v>2147</v>
      </c>
      <c r="L462" s="493" t="s">
        <v>1353</v>
      </c>
      <c r="M462" s="493" t="s">
        <v>962</v>
      </c>
      <c r="N462" s="493" t="s">
        <v>890</v>
      </c>
    </row>
    <row r="463" spans="1:14" x14ac:dyDescent="0.25">
      <c r="A463" s="493" t="s">
        <v>2184</v>
      </c>
      <c r="B463" s="493" t="s">
        <v>1703</v>
      </c>
      <c r="C463" s="493" t="s">
        <v>2167</v>
      </c>
      <c r="D463" s="493" t="s">
        <v>876</v>
      </c>
      <c r="E463" s="493" t="s">
        <v>1152</v>
      </c>
      <c r="F463" s="493" t="s">
        <v>2146</v>
      </c>
      <c r="G463" s="493" t="s">
        <v>878</v>
      </c>
      <c r="H463" s="494">
        <v>2958465</v>
      </c>
      <c r="I463" s="494">
        <v>40179</v>
      </c>
      <c r="J463" s="493" t="s">
        <v>1703</v>
      </c>
      <c r="K463" s="493" t="s">
        <v>2147</v>
      </c>
      <c r="L463" s="493" t="s">
        <v>1353</v>
      </c>
      <c r="M463" s="493" t="s">
        <v>900</v>
      </c>
      <c r="N463" s="493" t="s">
        <v>1153</v>
      </c>
    </row>
    <row r="464" spans="1:14" x14ac:dyDescent="0.25">
      <c r="A464" s="493" t="s">
        <v>2185</v>
      </c>
      <c r="B464" s="493" t="s">
        <v>2186</v>
      </c>
      <c r="C464" s="493" t="s">
        <v>2187</v>
      </c>
      <c r="D464" s="493" t="s">
        <v>876</v>
      </c>
      <c r="E464" s="493" t="s">
        <v>0</v>
      </c>
      <c r="F464" s="493" t="s">
        <v>2146</v>
      </c>
      <c r="G464" s="493" t="s">
        <v>878</v>
      </c>
      <c r="H464" s="494">
        <v>42490</v>
      </c>
      <c r="I464" s="494">
        <v>40179</v>
      </c>
      <c r="J464" s="493" t="s">
        <v>2186</v>
      </c>
      <c r="K464" s="493" t="s">
        <v>2147</v>
      </c>
      <c r="L464" s="493" t="s">
        <v>1366</v>
      </c>
      <c r="M464" s="493" t="s">
        <v>1279</v>
      </c>
      <c r="N464" s="493" t="s">
        <v>1140</v>
      </c>
    </row>
    <row r="465" spans="1:14" x14ac:dyDescent="0.25">
      <c r="A465" s="493" t="s">
        <v>2185</v>
      </c>
      <c r="B465" s="493" t="s">
        <v>2186</v>
      </c>
      <c r="C465" s="493" t="s">
        <v>2187</v>
      </c>
      <c r="D465" s="493" t="s">
        <v>876</v>
      </c>
      <c r="E465" s="493" t="s">
        <v>0</v>
      </c>
      <c r="F465" s="493" t="s">
        <v>2146</v>
      </c>
      <c r="G465" s="493" t="s">
        <v>878</v>
      </c>
      <c r="H465" s="494">
        <v>2958465</v>
      </c>
      <c r="I465" s="494">
        <v>42491</v>
      </c>
      <c r="J465" s="493" t="s">
        <v>2186</v>
      </c>
      <c r="K465" s="493" t="s">
        <v>2147</v>
      </c>
      <c r="L465" s="493" t="s">
        <v>1366</v>
      </c>
      <c r="M465" s="493" t="s">
        <v>1279</v>
      </c>
      <c r="N465" s="493" t="s">
        <v>1140</v>
      </c>
    </row>
    <row r="466" spans="1:14" x14ac:dyDescent="0.25">
      <c r="A466" s="493" t="s">
        <v>2188</v>
      </c>
      <c r="B466" s="493" t="s">
        <v>1610</v>
      </c>
      <c r="C466" s="493" t="s">
        <v>2110</v>
      </c>
      <c r="D466" s="493" t="s">
        <v>876</v>
      </c>
      <c r="E466" s="493" t="s">
        <v>0</v>
      </c>
      <c r="F466" s="493" t="s">
        <v>2</v>
      </c>
      <c r="G466" s="493" t="s">
        <v>878</v>
      </c>
      <c r="H466" s="494">
        <v>2958465</v>
      </c>
      <c r="I466" s="494">
        <v>40179</v>
      </c>
      <c r="J466" s="493" t="s">
        <v>1610</v>
      </c>
      <c r="K466" s="493" t="s">
        <v>2189</v>
      </c>
      <c r="L466" s="493" t="s">
        <v>1353</v>
      </c>
      <c r="M466" s="493" t="s">
        <v>1279</v>
      </c>
      <c r="N466" s="493" t="s">
        <v>1140</v>
      </c>
    </row>
    <row r="467" spans="1:14" x14ac:dyDescent="0.25">
      <c r="A467" s="493" t="s">
        <v>2190</v>
      </c>
      <c r="B467" s="493" t="s">
        <v>1619</v>
      </c>
      <c r="C467" s="493" t="s">
        <v>2125</v>
      </c>
      <c r="D467" s="493" t="s">
        <v>876</v>
      </c>
      <c r="E467" s="493" t="s">
        <v>569</v>
      </c>
      <c r="F467" s="493" t="s">
        <v>2</v>
      </c>
      <c r="G467" s="493" t="s">
        <v>878</v>
      </c>
      <c r="H467" s="494">
        <v>2958465</v>
      </c>
      <c r="I467" s="494">
        <v>40179</v>
      </c>
      <c r="J467" s="493" t="s">
        <v>1619</v>
      </c>
      <c r="K467" s="493" t="s">
        <v>2189</v>
      </c>
      <c r="L467" s="493" t="s">
        <v>1353</v>
      </c>
      <c r="M467" s="493" t="s">
        <v>1023</v>
      </c>
      <c r="N467" s="493" t="s">
        <v>1024</v>
      </c>
    </row>
    <row r="468" spans="1:14" x14ac:dyDescent="0.25">
      <c r="A468" s="493" t="s">
        <v>2191</v>
      </c>
      <c r="B468" s="493" t="s">
        <v>2131</v>
      </c>
      <c r="C468" s="493" t="s">
        <v>1078</v>
      </c>
      <c r="D468" s="493" t="s">
        <v>1639</v>
      </c>
      <c r="E468" s="493" t="s">
        <v>886</v>
      </c>
      <c r="F468" s="493" t="s">
        <v>2</v>
      </c>
      <c r="G468" s="493" t="s">
        <v>878</v>
      </c>
      <c r="H468" s="494">
        <v>2958465</v>
      </c>
      <c r="I468" s="494">
        <v>40179</v>
      </c>
      <c r="J468" s="493" t="s">
        <v>1640</v>
      </c>
      <c r="K468" s="493" t="s">
        <v>2189</v>
      </c>
      <c r="L468" s="493" t="s">
        <v>1353</v>
      </c>
      <c r="M468" s="493" t="s">
        <v>1080</v>
      </c>
      <c r="N468" s="493" t="s">
        <v>890</v>
      </c>
    </row>
    <row r="469" spans="1:14" x14ac:dyDescent="0.25">
      <c r="A469" s="493" t="s">
        <v>2192</v>
      </c>
      <c r="B469" s="493" t="s">
        <v>1648</v>
      </c>
      <c r="C469" s="493" t="s">
        <v>2091</v>
      </c>
      <c r="D469" s="493" t="s">
        <v>876</v>
      </c>
      <c r="E469" s="493" t="s">
        <v>1143</v>
      </c>
      <c r="F469" s="493" t="s">
        <v>2</v>
      </c>
      <c r="G469" s="493" t="s">
        <v>878</v>
      </c>
      <c r="H469" s="494">
        <v>2958465</v>
      </c>
      <c r="I469" s="494">
        <v>40179</v>
      </c>
      <c r="J469" s="493" t="s">
        <v>1650</v>
      </c>
      <c r="K469" s="493" t="s">
        <v>2189</v>
      </c>
      <c r="L469" s="493" t="s">
        <v>1353</v>
      </c>
      <c r="M469" s="493" t="s">
        <v>2092</v>
      </c>
      <c r="N469" s="493" t="s">
        <v>1146</v>
      </c>
    </row>
    <row r="470" spans="1:14" x14ac:dyDescent="0.25">
      <c r="A470" s="493" t="s">
        <v>2193</v>
      </c>
      <c r="B470" s="493" t="s">
        <v>1654</v>
      </c>
      <c r="C470" s="493" t="s">
        <v>2105</v>
      </c>
      <c r="D470" s="493" t="s">
        <v>876</v>
      </c>
      <c r="E470" s="493" t="s">
        <v>1244</v>
      </c>
      <c r="F470" s="493" t="s">
        <v>2</v>
      </c>
      <c r="G470" s="493" t="s">
        <v>878</v>
      </c>
      <c r="H470" s="494">
        <v>2958465</v>
      </c>
      <c r="I470" s="494">
        <v>40179</v>
      </c>
      <c r="J470" s="493" t="s">
        <v>1654</v>
      </c>
      <c r="K470" s="493" t="s">
        <v>2189</v>
      </c>
      <c r="L470" s="493" t="s">
        <v>1353</v>
      </c>
      <c r="M470" s="493" t="s">
        <v>918</v>
      </c>
      <c r="N470" s="493" t="s">
        <v>1246</v>
      </c>
    </row>
    <row r="471" spans="1:14" x14ac:dyDescent="0.25">
      <c r="A471" s="493" t="s">
        <v>2194</v>
      </c>
      <c r="B471" s="493" t="s">
        <v>2164</v>
      </c>
      <c r="C471" s="493" t="s">
        <v>1033</v>
      </c>
      <c r="D471" s="493" t="s">
        <v>2164</v>
      </c>
      <c r="E471" s="493" t="s">
        <v>886</v>
      </c>
      <c r="F471" s="493" t="s">
        <v>2</v>
      </c>
      <c r="G471" s="493" t="s">
        <v>878</v>
      </c>
      <c r="H471" s="494">
        <v>2958465</v>
      </c>
      <c r="I471" s="494">
        <v>40179</v>
      </c>
      <c r="J471" s="493" t="s">
        <v>2164</v>
      </c>
      <c r="K471" s="493" t="s">
        <v>2189</v>
      </c>
      <c r="L471" s="493" t="s">
        <v>1353</v>
      </c>
      <c r="M471" s="493" t="s">
        <v>1034</v>
      </c>
      <c r="N471" s="493" t="s">
        <v>890</v>
      </c>
    </row>
    <row r="472" spans="1:14" x14ac:dyDescent="0.25">
      <c r="A472" s="493" t="s">
        <v>2195</v>
      </c>
      <c r="B472" s="493" t="s">
        <v>1678</v>
      </c>
      <c r="C472" s="493" t="s">
        <v>1070</v>
      </c>
      <c r="D472" s="493" t="s">
        <v>1678</v>
      </c>
      <c r="E472" s="493" t="s">
        <v>886</v>
      </c>
      <c r="F472" s="493" t="s">
        <v>2</v>
      </c>
      <c r="G472" s="493" t="s">
        <v>878</v>
      </c>
      <c r="H472" s="494">
        <v>2958465</v>
      </c>
      <c r="I472" s="494">
        <v>40179</v>
      </c>
      <c r="J472" s="493" t="s">
        <v>1679</v>
      </c>
      <c r="K472" s="493" t="s">
        <v>2189</v>
      </c>
      <c r="L472" s="493" t="s">
        <v>1353</v>
      </c>
      <c r="M472" s="493" t="s">
        <v>1071</v>
      </c>
      <c r="N472" s="493" t="s">
        <v>890</v>
      </c>
    </row>
    <row r="473" spans="1:14" x14ac:dyDescent="0.25">
      <c r="A473" s="493" t="s">
        <v>2196</v>
      </c>
      <c r="B473" s="493" t="s">
        <v>2197</v>
      </c>
      <c r="C473" s="493" t="s">
        <v>2091</v>
      </c>
      <c r="D473" s="493" t="s">
        <v>876</v>
      </c>
      <c r="E473" s="493" t="s">
        <v>1143</v>
      </c>
      <c r="F473" s="493" t="s">
        <v>2</v>
      </c>
      <c r="G473" s="493" t="s">
        <v>878</v>
      </c>
      <c r="H473" s="494">
        <v>2958465</v>
      </c>
      <c r="I473" s="494">
        <v>40179</v>
      </c>
      <c r="J473" s="493" t="s">
        <v>2198</v>
      </c>
      <c r="K473" s="493" t="s">
        <v>2189</v>
      </c>
      <c r="L473" s="493" t="s">
        <v>1353</v>
      </c>
      <c r="M473" s="493" t="s">
        <v>2092</v>
      </c>
      <c r="N473" s="493" t="s">
        <v>1146</v>
      </c>
    </row>
    <row r="474" spans="1:14" x14ac:dyDescent="0.25">
      <c r="A474" s="493" t="s">
        <v>2199</v>
      </c>
      <c r="B474" s="493" t="s">
        <v>2085</v>
      </c>
      <c r="C474" s="493" t="s">
        <v>2091</v>
      </c>
      <c r="D474" s="493" t="s">
        <v>876</v>
      </c>
      <c r="E474" s="493" t="s">
        <v>1143</v>
      </c>
      <c r="F474" s="493" t="s">
        <v>2</v>
      </c>
      <c r="G474" s="493" t="s">
        <v>878</v>
      </c>
      <c r="H474" s="494">
        <v>2958465</v>
      </c>
      <c r="I474" s="494">
        <v>40179</v>
      </c>
      <c r="J474" s="493" t="s">
        <v>2085</v>
      </c>
      <c r="K474" s="493" t="s">
        <v>2189</v>
      </c>
      <c r="L474" s="493" t="s">
        <v>1353</v>
      </c>
      <c r="M474" s="493" t="s">
        <v>1379</v>
      </c>
      <c r="N474" s="493" t="s">
        <v>1146</v>
      </c>
    </row>
    <row r="475" spans="1:14" x14ac:dyDescent="0.25">
      <c r="A475" s="493" t="s">
        <v>2200</v>
      </c>
      <c r="B475" s="493" t="s">
        <v>1629</v>
      </c>
      <c r="C475" s="493" t="s">
        <v>2116</v>
      </c>
      <c r="D475" s="493" t="s">
        <v>876</v>
      </c>
      <c r="E475" s="493" t="s">
        <v>1152</v>
      </c>
      <c r="F475" s="493" t="s">
        <v>2</v>
      </c>
      <c r="G475" s="493" t="s">
        <v>878</v>
      </c>
      <c r="H475" s="494">
        <v>2958465</v>
      </c>
      <c r="I475" s="494">
        <v>40179</v>
      </c>
      <c r="J475" s="493" t="s">
        <v>1629</v>
      </c>
      <c r="K475" s="493" t="s">
        <v>2189</v>
      </c>
      <c r="L475" s="493" t="s">
        <v>1353</v>
      </c>
      <c r="M475" s="493" t="s">
        <v>1062</v>
      </c>
      <c r="N475" s="493" t="s">
        <v>1153</v>
      </c>
    </row>
    <row r="476" spans="1:14" x14ac:dyDescent="0.25">
      <c r="A476" s="493" t="s">
        <v>2201</v>
      </c>
      <c r="B476" s="493" t="s">
        <v>1697</v>
      </c>
      <c r="C476" s="493" t="s">
        <v>2140</v>
      </c>
      <c r="D476" s="493" t="s">
        <v>876</v>
      </c>
      <c r="E476" s="493" t="s">
        <v>0</v>
      </c>
      <c r="F476" s="493" t="s">
        <v>2</v>
      </c>
      <c r="G476" s="493" t="s">
        <v>878</v>
      </c>
      <c r="H476" s="494">
        <v>2958465</v>
      </c>
      <c r="I476" s="494">
        <v>40179</v>
      </c>
      <c r="J476" s="493" t="s">
        <v>1698</v>
      </c>
      <c r="K476" s="493" t="s">
        <v>2189</v>
      </c>
      <c r="L476" s="493" t="s">
        <v>1353</v>
      </c>
      <c r="M476" s="493" t="s">
        <v>1279</v>
      </c>
      <c r="N476" s="493" t="s">
        <v>1140</v>
      </c>
    </row>
    <row r="477" spans="1:14" x14ac:dyDescent="0.25">
      <c r="A477" s="493" t="s">
        <v>2202</v>
      </c>
      <c r="B477" s="493" t="s">
        <v>1610</v>
      </c>
      <c r="C477" s="493" t="s">
        <v>2110</v>
      </c>
      <c r="D477" s="493" t="s">
        <v>876</v>
      </c>
      <c r="E477" s="493" t="s">
        <v>0</v>
      </c>
      <c r="F477" s="493" t="s">
        <v>2203</v>
      </c>
      <c r="G477" s="493" t="s">
        <v>878</v>
      </c>
      <c r="H477" s="494">
        <v>2958465</v>
      </c>
      <c r="I477" s="494">
        <v>40179</v>
      </c>
      <c r="J477" s="493" t="s">
        <v>1610</v>
      </c>
      <c r="K477" s="493" t="s">
        <v>2204</v>
      </c>
      <c r="L477" s="493" t="s">
        <v>1353</v>
      </c>
      <c r="M477" s="493" t="s">
        <v>1279</v>
      </c>
      <c r="N477" s="493" t="s">
        <v>1140</v>
      </c>
    </row>
    <row r="478" spans="1:14" x14ac:dyDescent="0.25">
      <c r="A478" s="493" t="s">
        <v>2205</v>
      </c>
      <c r="B478" s="493" t="s">
        <v>2131</v>
      </c>
      <c r="C478" s="493" t="s">
        <v>1078</v>
      </c>
      <c r="D478" s="493" t="s">
        <v>1639</v>
      </c>
      <c r="E478" s="493" t="s">
        <v>886</v>
      </c>
      <c r="F478" s="493" t="s">
        <v>2203</v>
      </c>
      <c r="G478" s="493" t="s">
        <v>878</v>
      </c>
      <c r="H478" s="494">
        <v>2958465</v>
      </c>
      <c r="I478" s="494">
        <v>40179</v>
      </c>
      <c r="J478" s="493" t="s">
        <v>1640</v>
      </c>
      <c r="K478" s="493" t="s">
        <v>2204</v>
      </c>
      <c r="L478" s="493" t="s">
        <v>1353</v>
      </c>
      <c r="M478" s="493" t="s">
        <v>1080</v>
      </c>
      <c r="N478" s="493" t="s">
        <v>890</v>
      </c>
    </row>
    <row r="479" spans="1:14" x14ac:dyDescent="0.25">
      <c r="A479" s="493" t="s">
        <v>2206</v>
      </c>
      <c r="B479" s="493" t="s">
        <v>1678</v>
      </c>
      <c r="C479" s="493" t="s">
        <v>1070</v>
      </c>
      <c r="D479" s="493" t="s">
        <v>1678</v>
      </c>
      <c r="E479" s="493" t="s">
        <v>886</v>
      </c>
      <c r="F479" s="493" t="s">
        <v>2203</v>
      </c>
      <c r="G479" s="493" t="s">
        <v>878</v>
      </c>
      <c r="H479" s="494">
        <v>2958465</v>
      </c>
      <c r="I479" s="494">
        <v>40179</v>
      </c>
      <c r="J479" s="493" t="s">
        <v>1679</v>
      </c>
      <c r="K479" s="493" t="s">
        <v>2204</v>
      </c>
      <c r="L479" s="493" t="s">
        <v>1353</v>
      </c>
      <c r="M479" s="493" t="s">
        <v>1071</v>
      </c>
      <c r="N479" s="493" t="s">
        <v>890</v>
      </c>
    </row>
    <row r="480" spans="1:14" x14ac:dyDescent="0.25">
      <c r="A480" s="493" t="s">
        <v>2207</v>
      </c>
      <c r="B480" s="493" t="s">
        <v>1619</v>
      </c>
      <c r="C480" s="493" t="s">
        <v>2125</v>
      </c>
      <c r="D480" s="493" t="s">
        <v>876</v>
      </c>
      <c r="E480" s="493" t="s">
        <v>569</v>
      </c>
      <c r="F480" s="493" t="s">
        <v>2203</v>
      </c>
      <c r="G480" s="493" t="s">
        <v>878</v>
      </c>
      <c r="H480" s="494">
        <v>2958465</v>
      </c>
      <c r="I480" s="494">
        <v>40179</v>
      </c>
      <c r="J480" s="493" t="s">
        <v>1619</v>
      </c>
      <c r="K480" s="493" t="s">
        <v>2204</v>
      </c>
      <c r="L480" s="493" t="s">
        <v>1353</v>
      </c>
      <c r="M480" s="493" t="s">
        <v>1023</v>
      </c>
      <c r="N480" s="493" t="s">
        <v>1024</v>
      </c>
    </row>
    <row r="481" spans="1:14" x14ac:dyDescent="0.25">
      <c r="A481" s="493" t="s">
        <v>2208</v>
      </c>
      <c r="B481" s="493" t="s">
        <v>1610</v>
      </c>
      <c r="C481" s="493" t="s">
        <v>2110</v>
      </c>
      <c r="D481" s="493" t="s">
        <v>876</v>
      </c>
      <c r="E481" s="493" t="s">
        <v>0</v>
      </c>
      <c r="F481" s="493" t="s">
        <v>2</v>
      </c>
      <c r="G481" s="493" t="s">
        <v>878</v>
      </c>
      <c r="H481" s="494">
        <v>2958465</v>
      </c>
      <c r="I481" s="494">
        <v>40179</v>
      </c>
      <c r="J481" s="493" t="s">
        <v>1610</v>
      </c>
      <c r="K481" s="493" t="s">
        <v>2209</v>
      </c>
      <c r="L481" s="493" t="s">
        <v>1353</v>
      </c>
      <c r="M481" s="493" t="s">
        <v>1279</v>
      </c>
      <c r="N481" s="493" t="s">
        <v>1140</v>
      </c>
    </row>
    <row r="482" spans="1:14" x14ac:dyDescent="0.25">
      <c r="A482" s="493" t="s">
        <v>2210</v>
      </c>
      <c r="B482" s="493" t="s">
        <v>2211</v>
      </c>
      <c r="C482" s="493" t="s">
        <v>2127</v>
      </c>
      <c r="D482" s="493" t="s">
        <v>876</v>
      </c>
      <c r="E482" s="493" t="s">
        <v>886</v>
      </c>
      <c r="F482" s="493" t="s">
        <v>2</v>
      </c>
      <c r="G482" s="493" t="s">
        <v>878</v>
      </c>
      <c r="H482" s="494">
        <v>2958465</v>
      </c>
      <c r="I482" s="494">
        <v>40179</v>
      </c>
      <c r="J482" s="493" t="s">
        <v>2211</v>
      </c>
      <c r="K482" s="493" t="s">
        <v>2209</v>
      </c>
      <c r="L482" s="493" t="s">
        <v>1353</v>
      </c>
      <c r="M482" s="493" t="s">
        <v>1188</v>
      </c>
      <c r="N482" s="493" t="s">
        <v>890</v>
      </c>
    </row>
    <row r="483" spans="1:14" x14ac:dyDescent="0.25">
      <c r="A483" s="493" t="s">
        <v>2212</v>
      </c>
      <c r="B483" s="493" t="s">
        <v>2213</v>
      </c>
      <c r="C483" s="493" t="s">
        <v>2091</v>
      </c>
      <c r="D483" s="493" t="s">
        <v>876</v>
      </c>
      <c r="E483" s="493" t="s">
        <v>1143</v>
      </c>
      <c r="F483" s="493" t="s">
        <v>2</v>
      </c>
      <c r="G483" s="493" t="s">
        <v>878</v>
      </c>
      <c r="H483" s="494">
        <v>2958465</v>
      </c>
      <c r="I483" s="494">
        <v>40179</v>
      </c>
      <c r="J483" s="493" t="s">
        <v>2214</v>
      </c>
      <c r="K483" s="493" t="s">
        <v>2209</v>
      </c>
      <c r="L483" s="493" t="s">
        <v>1353</v>
      </c>
      <c r="M483" s="493" t="s">
        <v>2092</v>
      </c>
      <c r="N483" s="493" t="s">
        <v>1146</v>
      </c>
    </row>
    <row r="484" spans="1:14" x14ac:dyDescent="0.25">
      <c r="A484" s="493" t="s">
        <v>2215</v>
      </c>
      <c r="B484" s="493" t="s">
        <v>1678</v>
      </c>
      <c r="C484" s="493" t="s">
        <v>1070</v>
      </c>
      <c r="D484" s="493" t="s">
        <v>1678</v>
      </c>
      <c r="E484" s="493" t="s">
        <v>886</v>
      </c>
      <c r="F484" s="493" t="s">
        <v>2</v>
      </c>
      <c r="G484" s="493" t="s">
        <v>878</v>
      </c>
      <c r="H484" s="494">
        <v>2958465</v>
      </c>
      <c r="I484" s="494">
        <v>40179</v>
      </c>
      <c r="J484" s="493" t="s">
        <v>1679</v>
      </c>
      <c r="K484" s="493" t="s">
        <v>2209</v>
      </c>
      <c r="L484" s="493" t="s">
        <v>1353</v>
      </c>
      <c r="M484" s="493" t="s">
        <v>1071</v>
      </c>
      <c r="N484" s="493" t="s">
        <v>890</v>
      </c>
    </row>
    <row r="485" spans="1:14" x14ac:dyDescent="0.25">
      <c r="A485" s="493" t="s">
        <v>2216</v>
      </c>
      <c r="B485" s="493" t="s">
        <v>1610</v>
      </c>
      <c r="C485" s="493" t="s">
        <v>2110</v>
      </c>
      <c r="D485" s="493" t="s">
        <v>876</v>
      </c>
      <c r="E485" s="493" t="s">
        <v>0</v>
      </c>
      <c r="F485" s="493" t="s">
        <v>2</v>
      </c>
      <c r="G485" s="493" t="s">
        <v>878</v>
      </c>
      <c r="H485" s="494">
        <v>2958465</v>
      </c>
      <c r="I485" s="494">
        <v>40179</v>
      </c>
      <c r="J485" s="493" t="s">
        <v>1610</v>
      </c>
      <c r="K485" s="493" t="s">
        <v>2217</v>
      </c>
      <c r="L485" s="493" t="s">
        <v>1353</v>
      </c>
      <c r="M485" s="493" t="s">
        <v>1279</v>
      </c>
      <c r="N485" s="493" t="s">
        <v>1140</v>
      </c>
    </row>
    <row r="486" spans="1:14" x14ac:dyDescent="0.25">
      <c r="A486" s="493" t="s">
        <v>2218</v>
      </c>
      <c r="B486" s="493" t="s">
        <v>1629</v>
      </c>
      <c r="C486" s="493" t="s">
        <v>2116</v>
      </c>
      <c r="D486" s="493" t="s">
        <v>876</v>
      </c>
      <c r="E486" s="493" t="s">
        <v>1152</v>
      </c>
      <c r="F486" s="493" t="s">
        <v>2</v>
      </c>
      <c r="G486" s="493" t="s">
        <v>878</v>
      </c>
      <c r="H486" s="494">
        <v>2958465</v>
      </c>
      <c r="I486" s="494">
        <v>40179</v>
      </c>
      <c r="J486" s="493" t="s">
        <v>1629</v>
      </c>
      <c r="K486" s="493" t="s">
        <v>2217</v>
      </c>
      <c r="L486" s="493" t="s">
        <v>1353</v>
      </c>
      <c r="M486" s="493" t="s">
        <v>1062</v>
      </c>
      <c r="N486" s="493" t="s">
        <v>1153</v>
      </c>
    </row>
    <row r="487" spans="1:14" x14ac:dyDescent="0.25">
      <c r="A487" s="493" t="s">
        <v>2219</v>
      </c>
      <c r="B487" s="493" t="s">
        <v>2085</v>
      </c>
      <c r="C487" s="493" t="s">
        <v>2091</v>
      </c>
      <c r="D487" s="493" t="s">
        <v>876</v>
      </c>
      <c r="E487" s="493" t="s">
        <v>1143</v>
      </c>
      <c r="F487" s="493" t="s">
        <v>2</v>
      </c>
      <c r="G487" s="493" t="s">
        <v>878</v>
      </c>
      <c r="H487" s="494">
        <v>2958465</v>
      </c>
      <c r="I487" s="494">
        <v>40179</v>
      </c>
      <c r="J487" s="493" t="s">
        <v>2085</v>
      </c>
      <c r="K487" s="493" t="s">
        <v>2217</v>
      </c>
      <c r="L487" s="493" t="s">
        <v>1353</v>
      </c>
      <c r="M487" s="493" t="s">
        <v>1379</v>
      </c>
      <c r="N487" s="493" t="s">
        <v>1146</v>
      </c>
    </row>
    <row r="488" spans="1:14" x14ac:dyDescent="0.25">
      <c r="A488" s="493" t="s">
        <v>2220</v>
      </c>
      <c r="B488" s="493" t="s">
        <v>2131</v>
      </c>
      <c r="C488" s="493" t="s">
        <v>1078</v>
      </c>
      <c r="D488" s="493" t="s">
        <v>1639</v>
      </c>
      <c r="E488" s="493" t="s">
        <v>886</v>
      </c>
      <c r="F488" s="493" t="s">
        <v>2</v>
      </c>
      <c r="G488" s="493" t="s">
        <v>878</v>
      </c>
      <c r="H488" s="494">
        <v>2958465</v>
      </c>
      <c r="I488" s="494">
        <v>40179</v>
      </c>
      <c r="J488" s="493" t="s">
        <v>1640</v>
      </c>
      <c r="K488" s="493" t="s">
        <v>2217</v>
      </c>
      <c r="L488" s="493" t="s">
        <v>1353</v>
      </c>
      <c r="M488" s="493" t="s">
        <v>1080</v>
      </c>
      <c r="N488" s="493" t="s">
        <v>890</v>
      </c>
    </row>
    <row r="489" spans="1:14" x14ac:dyDescent="0.25">
      <c r="A489" s="493" t="s">
        <v>2221</v>
      </c>
      <c r="B489" s="493" t="s">
        <v>2222</v>
      </c>
      <c r="C489" s="493" t="s">
        <v>2091</v>
      </c>
      <c r="D489" s="493" t="s">
        <v>876</v>
      </c>
      <c r="E489" s="493" t="s">
        <v>1143</v>
      </c>
      <c r="F489" s="493" t="s">
        <v>2</v>
      </c>
      <c r="G489" s="493" t="s">
        <v>878</v>
      </c>
      <c r="H489" s="494">
        <v>2958465</v>
      </c>
      <c r="I489" s="494">
        <v>40179</v>
      </c>
      <c r="J489" s="493" t="s">
        <v>2223</v>
      </c>
      <c r="K489" s="493" t="s">
        <v>2217</v>
      </c>
      <c r="L489" s="493" t="s">
        <v>1353</v>
      </c>
      <c r="M489" s="493" t="s">
        <v>2092</v>
      </c>
      <c r="N489" s="493" t="s">
        <v>1146</v>
      </c>
    </row>
    <row r="490" spans="1:14" x14ac:dyDescent="0.25">
      <c r="A490" s="493" t="s">
        <v>2224</v>
      </c>
      <c r="B490" s="493" t="s">
        <v>1648</v>
      </c>
      <c r="C490" s="493" t="s">
        <v>2091</v>
      </c>
      <c r="D490" s="493" t="s">
        <v>876</v>
      </c>
      <c r="E490" s="493" t="s">
        <v>1143</v>
      </c>
      <c r="F490" s="493" t="s">
        <v>2</v>
      </c>
      <c r="G490" s="493" t="s">
        <v>878</v>
      </c>
      <c r="H490" s="494">
        <v>2958465</v>
      </c>
      <c r="I490" s="494">
        <v>40179</v>
      </c>
      <c r="J490" s="493" t="s">
        <v>1650</v>
      </c>
      <c r="K490" s="493" t="s">
        <v>2217</v>
      </c>
      <c r="L490" s="493" t="s">
        <v>1353</v>
      </c>
      <c r="M490" s="493" t="s">
        <v>2092</v>
      </c>
      <c r="N490" s="493" t="s">
        <v>1146</v>
      </c>
    </row>
    <row r="491" spans="1:14" x14ac:dyDescent="0.25">
      <c r="A491" s="493" t="s">
        <v>2225</v>
      </c>
      <c r="B491" s="493" t="s">
        <v>2119</v>
      </c>
      <c r="C491" s="493" t="s">
        <v>2083</v>
      </c>
      <c r="D491" s="493" t="s">
        <v>876</v>
      </c>
      <c r="E491" s="493" t="s">
        <v>1143</v>
      </c>
      <c r="F491" s="493" t="s">
        <v>2</v>
      </c>
      <c r="G491" s="493" t="s">
        <v>878</v>
      </c>
      <c r="H491" s="494">
        <v>2958465</v>
      </c>
      <c r="I491" s="494">
        <v>40179</v>
      </c>
      <c r="J491" s="493" t="s">
        <v>2119</v>
      </c>
      <c r="K491" s="493" t="s">
        <v>2217</v>
      </c>
      <c r="L491" s="493" t="s">
        <v>1353</v>
      </c>
      <c r="M491" s="493" t="s">
        <v>1145</v>
      </c>
      <c r="N491" s="493" t="s">
        <v>1146</v>
      </c>
    </row>
    <row r="492" spans="1:14" x14ac:dyDescent="0.25">
      <c r="A492" s="493" t="s">
        <v>2226</v>
      </c>
      <c r="B492" s="493" t="s">
        <v>1678</v>
      </c>
      <c r="C492" s="493" t="s">
        <v>1070</v>
      </c>
      <c r="D492" s="493" t="s">
        <v>1678</v>
      </c>
      <c r="E492" s="493" t="s">
        <v>886</v>
      </c>
      <c r="F492" s="493" t="s">
        <v>2</v>
      </c>
      <c r="G492" s="493" t="s">
        <v>878</v>
      </c>
      <c r="H492" s="494">
        <v>2958465</v>
      </c>
      <c r="I492" s="494">
        <v>40179</v>
      </c>
      <c r="J492" s="493" t="s">
        <v>1679</v>
      </c>
      <c r="K492" s="493" t="s">
        <v>2217</v>
      </c>
      <c r="L492" s="493" t="s">
        <v>1353</v>
      </c>
      <c r="M492" s="493" t="s">
        <v>1071</v>
      </c>
      <c r="N492" s="493" t="s">
        <v>890</v>
      </c>
    </row>
    <row r="493" spans="1:14" x14ac:dyDescent="0.25">
      <c r="A493" s="493" t="s">
        <v>2227</v>
      </c>
      <c r="B493" s="493" t="s">
        <v>2139</v>
      </c>
      <c r="C493" s="493" t="s">
        <v>2140</v>
      </c>
      <c r="D493" s="493" t="s">
        <v>876</v>
      </c>
      <c r="E493" s="493" t="s">
        <v>886</v>
      </c>
      <c r="F493" s="493" t="s">
        <v>2</v>
      </c>
      <c r="G493" s="493" t="s">
        <v>878</v>
      </c>
      <c r="H493" s="494">
        <v>2958465</v>
      </c>
      <c r="I493" s="494">
        <v>40179</v>
      </c>
      <c r="J493" s="493" t="s">
        <v>2139</v>
      </c>
      <c r="K493" s="493" t="s">
        <v>2217</v>
      </c>
      <c r="L493" s="493" t="s">
        <v>1353</v>
      </c>
      <c r="M493" s="493" t="s">
        <v>987</v>
      </c>
      <c r="N493" s="493" t="s">
        <v>890</v>
      </c>
    </row>
    <row r="494" spans="1:14" x14ac:dyDescent="0.25">
      <c r="A494" s="493" t="s">
        <v>2228</v>
      </c>
      <c r="B494" s="493" t="s">
        <v>2098</v>
      </c>
      <c r="C494" s="493" t="s">
        <v>2110</v>
      </c>
      <c r="D494" s="493" t="s">
        <v>2099</v>
      </c>
      <c r="E494" s="493" t="s">
        <v>886</v>
      </c>
      <c r="F494" s="493" t="s">
        <v>2</v>
      </c>
      <c r="G494" s="493" t="s">
        <v>878</v>
      </c>
      <c r="H494" s="494">
        <v>2958465</v>
      </c>
      <c r="I494" s="494">
        <v>40179</v>
      </c>
      <c r="J494" s="493" t="s">
        <v>2100</v>
      </c>
      <c r="K494" s="493" t="s">
        <v>2217</v>
      </c>
      <c r="L494" s="493" t="s">
        <v>1353</v>
      </c>
      <c r="M494" s="493" t="s">
        <v>889</v>
      </c>
      <c r="N494" s="493" t="s">
        <v>890</v>
      </c>
    </row>
    <row r="495" spans="1:14" x14ac:dyDescent="0.25">
      <c r="A495" s="493" t="s">
        <v>2229</v>
      </c>
      <c r="B495" s="493" t="s">
        <v>2230</v>
      </c>
      <c r="C495" s="493" t="s">
        <v>2091</v>
      </c>
      <c r="D495" s="493" t="s">
        <v>876</v>
      </c>
      <c r="E495" s="493" t="s">
        <v>1143</v>
      </c>
      <c r="F495" s="493" t="s">
        <v>2</v>
      </c>
      <c r="G495" s="493" t="s">
        <v>878</v>
      </c>
      <c r="H495" s="494">
        <v>42515</v>
      </c>
      <c r="I495" s="494">
        <v>40179</v>
      </c>
      <c r="J495" s="493" t="s">
        <v>2231</v>
      </c>
      <c r="K495" s="493" t="s">
        <v>2217</v>
      </c>
      <c r="L495" s="493" t="s">
        <v>1353</v>
      </c>
      <c r="M495" s="493" t="s">
        <v>1379</v>
      </c>
      <c r="N495" s="493" t="s">
        <v>1146</v>
      </c>
    </row>
    <row r="496" spans="1:14" x14ac:dyDescent="0.25">
      <c r="A496" s="493" t="s">
        <v>2229</v>
      </c>
      <c r="B496" s="493" t="s">
        <v>2230</v>
      </c>
      <c r="C496" s="493" t="s">
        <v>2091</v>
      </c>
      <c r="D496" s="493" t="s">
        <v>876</v>
      </c>
      <c r="E496" s="493" t="s">
        <v>1143</v>
      </c>
      <c r="F496" s="493" t="s">
        <v>2</v>
      </c>
      <c r="G496" s="493" t="s">
        <v>878</v>
      </c>
      <c r="H496" s="494">
        <v>2958465</v>
      </c>
      <c r="I496" s="494">
        <v>42516</v>
      </c>
      <c r="J496" s="493" t="s">
        <v>2231</v>
      </c>
      <c r="K496" s="493" t="s">
        <v>2217</v>
      </c>
      <c r="L496" s="493" t="s">
        <v>1353</v>
      </c>
      <c r="M496" s="493" t="s">
        <v>1379</v>
      </c>
      <c r="N496" s="493" t="s">
        <v>1146</v>
      </c>
    </row>
    <row r="497" spans="1:14" x14ac:dyDescent="0.25">
      <c r="A497" s="493" t="s">
        <v>2232</v>
      </c>
      <c r="B497" s="493" t="s">
        <v>1697</v>
      </c>
      <c r="C497" s="493" t="s">
        <v>2140</v>
      </c>
      <c r="D497" s="493" t="s">
        <v>876</v>
      </c>
      <c r="E497" s="493" t="s">
        <v>0</v>
      </c>
      <c r="F497" s="493" t="s">
        <v>2</v>
      </c>
      <c r="G497" s="493" t="s">
        <v>878</v>
      </c>
      <c r="H497" s="494">
        <v>2958465</v>
      </c>
      <c r="I497" s="494">
        <v>40179</v>
      </c>
      <c r="J497" s="493" t="s">
        <v>1698</v>
      </c>
      <c r="K497" s="493" t="s">
        <v>2217</v>
      </c>
      <c r="L497" s="493" t="s">
        <v>1353</v>
      </c>
      <c r="M497" s="493" t="s">
        <v>1279</v>
      </c>
      <c r="N497" s="493" t="s">
        <v>1140</v>
      </c>
    </row>
    <row r="498" spans="1:14" x14ac:dyDescent="0.25">
      <c r="A498" s="493" t="s">
        <v>2233</v>
      </c>
      <c r="B498" s="493" t="s">
        <v>892</v>
      </c>
      <c r="C498" s="493" t="s">
        <v>183</v>
      </c>
      <c r="D498" s="493" t="s">
        <v>876</v>
      </c>
      <c r="E498" s="493" t="s">
        <v>886</v>
      </c>
      <c r="F498" s="493" t="s">
        <v>636</v>
      </c>
      <c r="G498" s="493" t="s">
        <v>878</v>
      </c>
      <c r="H498" s="494">
        <v>2958465</v>
      </c>
      <c r="I498" s="494">
        <v>40179</v>
      </c>
      <c r="J498" s="493" t="s">
        <v>2234</v>
      </c>
      <c r="K498" s="493" t="s">
        <v>2235</v>
      </c>
      <c r="L498" s="493" t="s">
        <v>894</v>
      </c>
      <c r="M498" s="493" t="s">
        <v>2008</v>
      </c>
      <c r="N498" s="493" t="s">
        <v>890</v>
      </c>
    </row>
    <row r="499" spans="1:14" x14ac:dyDescent="0.25">
      <c r="A499" s="493" t="s">
        <v>2236</v>
      </c>
      <c r="B499" s="493" t="s">
        <v>2237</v>
      </c>
      <c r="C499" s="493" t="s">
        <v>2238</v>
      </c>
      <c r="D499" s="493" t="s">
        <v>876</v>
      </c>
      <c r="E499" s="493" t="s">
        <v>897</v>
      </c>
      <c r="F499" s="493" t="s">
        <v>636</v>
      </c>
      <c r="G499" s="493" t="s">
        <v>878</v>
      </c>
      <c r="H499" s="494">
        <v>2958465</v>
      </c>
      <c r="I499" s="494">
        <v>40179</v>
      </c>
      <c r="J499" s="493" t="s">
        <v>2237</v>
      </c>
      <c r="K499" s="493" t="s">
        <v>2235</v>
      </c>
      <c r="L499" s="493" t="s">
        <v>966</v>
      </c>
      <c r="M499" s="493" t="s">
        <v>2008</v>
      </c>
      <c r="N499" s="493" t="s">
        <v>901</v>
      </c>
    </row>
    <row r="500" spans="1:14" x14ac:dyDescent="0.25">
      <c r="A500" s="493" t="s">
        <v>2239</v>
      </c>
      <c r="B500" s="493" t="s">
        <v>2240</v>
      </c>
      <c r="C500" s="493" t="s">
        <v>1122</v>
      </c>
      <c r="D500" s="493" t="s">
        <v>876</v>
      </c>
      <c r="E500" s="493" t="s">
        <v>897</v>
      </c>
      <c r="F500" s="493" t="s">
        <v>636</v>
      </c>
      <c r="G500" s="493" t="s">
        <v>878</v>
      </c>
      <c r="H500" s="494">
        <v>2958465</v>
      </c>
      <c r="I500" s="494">
        <v>40179</v>
      </c>
      <c r="J500" s="493" t="s">
        <v>2240</v>
      </c>
      <c r="K500" s="493" t="s">
        <v>2235</v>
      </c>
      <c r="L500" s="493" t="s">
        <v>966</v>
      </c>
      <c r="M500" s="493" t="s">
        <v>1124</v>
      </c>
      <c r="N500" s="493" t="s">
        <v>901</v>
      </c>
    </row>
    <row r="501" spans="1:14" x14ac:dyDescent="0.25">
      <c r="A501" s="493" t="s">
        <v>618</v>
      </c>
      <c r="B501" s="493" t="s">
        <v>2241</v>
      </c>
      <c r="C501" s="493" t="s">
        <v>1098</v>
      </c>
      <c r="D501" s="493" t="s">
        <v>876</v>
      </c>
      <c r="E501" s="493" t="s">
        <v>897</v>
      </c>
      <c r="F501" s="493" t="s">
        <v>636</v>
      </c>
      <c r="G501" s="493" t="s">
        <v>878</v>
      </c>
      <c r="H501" s="494">
        <v>2958465</v>
      </c>
      <c r="I501" s="494">
        <v>40179</v>
      </c>
      <c r="J501" s="493" t="s">
        <v>2241</v>
      </c>
      <c r="K501" s="493" t="s">
        <v>2235</v>
      </c>
      <c r="L501" s="493" t="s">
        <v>966</v>
      </c>
      <c r="M501" s="493" t="s">
        <v>2008</v>
      </c>
      <c r="N501" s="493" t="s">
        <v>901</v>
      </c>
    </row>
    <row r="502" spans="1:14" x14ac:dyDescent="0.25">
      <c r="A502" s="493" t="s">
        <v>2242</v>
      </c>
      <c r="B502" s="493" t="s">
        <v>2243</v>
      </c>
      <c r="C502" s="493" t="s">
        <v>2244</v>
      </c>
      <c r="D502" s="493" t="s">
        <v>876</v>
      </c>
      <c r="E502" s="493" t="s">
        <v>897</v>
      </c>
      <c r="F502" s="493" t="s">
        <v>636</v>
      </c>
      <c r="G502" s="493" t="s">
        <v>878</v>
      </c>
      <c r="H502" s="494">
        <v>2958465</v>
      </c>
      <c r="I502" s="494">
        <v>40179</v>
      </c>
      <c r="J502" s="493" t="s">
        <v>2243</v>
      </c>
      <c r="K502" s="493" t="s">
        <v>2235</v>
      </c>
      <c r="L502" s="493" t="s">
        <v>966</v>
      </c>
      <c r="M502" s="493" t="s">
        <v>987</v>
      </c>
      <c r="N502" s="493" t="s">
        <v>901</v>
      </c>
    </row>
    <row r="503" spans="1:14" x14ac:dyDescent="0.25">
      <c r="A503" s="493" t="s">
        <v>2245</v>
      </c>
      <c r="B503" s="493" t="s">
        <v>2246</v>
      </c>
      <c r="C503" s="493" t="s">
        <v>1098</v>
      </c>
      <c r="D503" s="493" t="s">
        <v>876</v>
      </c>
      <c r="E503" s="493" t="s">
        <v>897</v>
      </c>
      <c r="F503" s="493" t="s">
        <v>636</v>
      </c>
      <c r="G503" s="493" t="s">
        <v>878</v>
      </c>
      <c r="H503" s="494">
        <v>2958465</v>
      </c>
      <c r="I503" s="494">
        <v>40179</v>
      </c>
      <c r="J503" s="493" t="s">
        <v>876</v>
      </c>
      <c r="K503" s="493" t="s">
        <v>2235</v>
      </c>
      <c r="L503" s="493" t="s">
        <v>966</v>
      </c>
      <c r="M503" s="493" t="s">
        <v>1099</v>
      </c>
      <c r="N503" s="493" t="s">
        <v>901</v>
      </c>
    </row>
    <row r="504" spans="1:14" x14ac:dyDescent="0.25">
      <c r="A504" s="493" t="s">
        <v>2247</v>
      </c>
      <c r="B504" s="493" t="s">
        <v>2248</v>
      </c>
      <c r="C504" s="493" t="s">
        <v>183</v>
      </c>
      <c r="D504" s="493" t="s">
        <v>876</v>
      </c>
      <c r="E504" s="493" t="s">
        <v>897</v>
      </c>
      <c r="F504" s="493" t="s">
        <v>636</v>
      </c>
      <c r="G504" s="493" t="s">
        <v>878</v>
      </c>
      <c r="H504" s="494">
        <v>2958465</v>
      </c>
      <c r="I504" s="494">
        <v>40179</v>
      </c>
      <c r="J504" s="493" t="s">
        <v>2248</v>
      </c>
      <c r="K504" s="493" t="s">
        <v>2235</v>
      </c>
      <c r="L504" s="493" t="s">
        <v>966</v>
      </c>
      <c r="M504" s="493" t="s">
        <v>2249</v>
      </c>
      <c r="N504" s="493" t="s">
        <v>901</v>
      </c>
    </row>
    <row r="505" spans="1:14" x14ac:dyDescent="0.25">
      <c r="A505" s="493" t="s">
        <v>2250</v>
      </c>
      <c r="B505" s="493" t="s">
        <v>2251</v>
      </c>
      <c r="C505" s="493" t="s">
        <v>2005</v>
      </c>
      <c r="D505" s="493" t="s">
        <v>876</v>
      </c>
      <c r="E505" s="493" t="s">
        <v>897</v>
      </c>
      <c r="F505" s="493" t="s">
        <v>636</v>
      </c>
      <c r="G505" s="493" t="s">
        <v>878</v>
      </c>
      <c r="H505" s="494">
        <v>2958465</v>
      </c>
      <c r="I505" s="494">
        <v>40179</v>
      </c>
      <c r="J505" s="493" t="s">
        <v>2252</v>
      </c>
      <c r="K505" s="493" t="s">
        <v>2235</v>
      </c>
      <c r="L505" s="493" t="s">
        <v>966</v>
      </c>
      <c r="M505" s="493" t="s">
        <v>2253</v>
      </c>
      <c r="N505" s="493" t="s">
        <v>901</v>
      </c>
    </row>
    <row r="506" spans="1:14" x14ac:dyDescent="0.25">
      <c r="A506" s="493" t="s">
        <v>2254</v>
      </c>
      <c r="B506" s="493" t="s">
        <v>2255</v>
      </c>
      <c r="C506" s="493" t="s">
        <v>2005</v>
      </c>
      <c r="D506" s="493" t="s">
        <v>876</v>
      </c>
      <c r="E506" s="493" t="s">
        <v>917</v>
      </c>
      <c r="F506" s="493" t="s">
        <v>636</v>
      </c>
      <c r="G506" s="493" t="s">
        <v>878</v>
      </c>
      <c r="H506" s="494">
        <v>2958465</v>
      </c>
      <c r="I506" s="494">
        <v>40179</v>
      </c>
      <c r="J506" s="493" t="s">
        <v>2256</v>
      </c>
      <c r="K506" s="493" t="s">
        <v>2235</v>
      </c>
      <c r="L506" s="493" t="s">
        <v>966</v>
      </c>
      <c r="M506" s="493" t="s">
        <v>2253</v>
      </c>
      <c r="N506" s="493" t="s">
        <v>919</v>
      </c>
    </row>
    <row r="507" spans="1:14" x14ac:dyDescent="0.25">
      <c r="A507" s="493" t="s">
        <v>2257</v>
      </c>
      <c r="B507" s="493" t="s">
        <v>2258</v>
      </c>
      <c r="C507" s="493" t="s">
        <v>2005</v>
      </c>
      <c r="D507" s="493" t="s">
        <v>876</v>
      </c>
      <c r="E507" s="493" t="s">
        <v>910</v>
      </c>
      <c r="F507" s="493" t="s">
        <v>636</v>
      </c>
      <c r="G507" s="493" t="s">
        <v>878</v>
      </c>
      <c r="H507" s="494">
        <v>2958465</v>
      </c>
      <c r="I507" s="494">
        <v>40179</v>
      </c>
      <c r="J507" s="493" t="s">
        <v>2259</v>
      </c>
      <c r="K507" s="493" t="s">
        <v>2235</v>
      </c>
      <c r="L507" s="493" t="s">
        <v>966</v>
      </c>
      <c r="M507" s="493" t="s">
        <v>2253</v>
      </c>
      <c r="N507" s="493" t="s">
        <v>913</v>
      </c>
    </row>
    <row r="508" spans="1:14" x14ac:dyDescent="0.25">
      <c r="A508" s="493" t="s">
        <v>2260</v>
      </c>
      <c r="B508" s="493" t="s">
        <v>2261</v>
      </c>
      <c r="C508" s="493" t="s">
        <v>2005</v>
      </c>
      <c r="D508" s="493" t="s">
        <v>876</v>
      </c>
      <c r="E508" s="493" t="s">
        <v>886</v>
      </c>
      <c r="F508" s="493" t="s">
        <v>636</v>
      </c>
      <c r="G508" s="493" t="s">
        <v>878</v>
      </c>
      <c r="H508" s="494">
        <v>2958465</v>
      </c>
      <c r="I508" s="494">
        <v>40179</v>
      </c>
      <c r="J508" s="493" t="s">
        <v>2262</v>
      </c>
      <c r="K508" s="493" t="s">
        <v>2235</v>
      </c>
      <c r="L508" s="493" t="s">
        <v>1424</v>
      </c>
      <c r="M508" s="493" t="s">
        <v>2253</v>
      </c>
      <c r="N508" s="493" t="s">
        <v>890</v>
      </c>
    </row>
    <row r="509" spans="1:14" x14ac:dyDescent="0.25">
      <c r="A509" s="493" t="s">
        <v>2263</v>
      </c>
      <c r="B509" s="493" t="s">
        <v>2264</v>
      </c>
      <c r="C509" s="493" t="s">
        <v>2005</v>
      </c>
      <c r="D509" s="493" t="s">
        <v>876</v>
      </c>
      <c r="E509" s="493" t="s">
        <v>1152</v>
      </c>
      <c r="F509" s="493" t="s">
        <v>636</v>
      </c>
      <c r="G509" s="493" t="s">
        <v>878</v>
      </c>
      <c r="H509" s="494">
        <v>2958465</v>
      </c>
      <c r="I509" s="494">
        <v>40179</v>
      </c>
      <c r="J509" s="493" t="s">
        <v>2265</v>
      </c>
      <c r="K509" s="493" t="s">
        <v>2235</v>
      </c>
      <c r="L509" s="493" t="s">
        <v>1424</v>
      </c>
      <c r="M509" s="493" t="s">
        <v>2253</v>
      </c>
      <c r="N509" s="493" t="s">
        <v>1153</v>
      </c>
    </row>
    <row r="510" spans="1:14" x14ac:dyDescent="0.25">
      <c r="A510" s="493" t="s">
        <v>2266</v>
      </c>
      <c r="B510" s="493" t="s">
        <v>2267</v>
      </c>
      <c r="C510" s="493" t="s">
        <v>2005</v>
      </c>
      <c r="D510" s="493" t="s">
        <v>876</v>
      </c>
      <c r="E510" s="493" t="s">
        <v>1143</v>
      </c>
      <c r="F510" s="493" t="s">
        <v>636</v>
      </c>
      <c r="G510" s="493" t="s">
        <v>878</v>
      </c>
      <c r="H510" s="494">
        <v>2958465</v>
      </c>
      <c r="I510" s="494">
        <v>40179</v>
      </c>
      <c r="J510" s="493" t="s">
        <v>2268</v>
      </c>
      <c r="K510" s="493" t="s">
        <v>2235</v>
      </c>
      <c r="L510" s="493" t="s">
        <v>1424</v>
      </c>
      <c r="M510" s="493" t="s">
        <v>2253</v>
      </c>
      <c r="N510" s="493" t="s">
        <v>1146</v>
      </c>
    </row>
    <row r="511" spans="1:14" x14ac:dyDescent="0.25">
      <c r="A511" s="493" t="s">
        <v>2269</v>
      </c>
      <c r="B511" s="493" t="s">
        <v>2270</v>
      </c>
      <c r="C511" s="493" t="s">
        <v>2005</v>
      </c>
      <c r="D511" s="493" t="s">
        <v>876</v>
      </c>
      <c r="E511" s="493" t="s">
        <v>886</v>
      </c>
      <c r="F511" s="493" t="s">
        <v>636</v>
      </c>
      <c r="G511" s="493" t="s">
        <v>878</v>
      </c>
      <c r="H511" s="494">
        <v>2958465</v>
      </c>
      <c r="I511" s="494">
        <v>40179</v>
      </c>
      <c r="J511" s="493" t="s">
        <v>2271</v>
      </c>
      <c r="K511" s="493" t="s">
        <v>2235</v>
      </c>
      <c r="L511" s="493" t="s">
        <v>1236</v>
      </c>
      <c r="M511" s="493" t="s">
        <v>2253</v>
      </c>
      <c r="N511" s="493" t="s">
        <v>890</v>
      </c>
    </row>
    <row r="512" spans="1:14" x14ac:dyDescent="0.25">
      <c r="A512" s="493" t="s">
        <v>2272</v>
      </c>
      <c r="B512" s="493" t="s">
        <v>2273</v>
      </c>
      <c r="C512" s="493" t="s">
        <v>2005</v>
      </c>
      <c r="D512" s="493" t="s">
        <v>876</v>
      </c>
      <c r="E512" s="493" t="s">
        <v>1152</v>
      </c>
      <c r="F512" s="493" t="s">
        <v>636</v>
      </c>
      <c r="G512" s="493" t="s">
        <v>878</v>
      </c>
      <c r="H512" s="494">
        <v>2958465</v>
      </c>
      <c r="I512" s="494">
        <v>40179</v>
      </c>
      <c r="J512" s="493" t="s">
        <v>2274</v>
      </c>
      <c r="K512" s="493" t="s">
        <v>2235</v>
      </c>
      <c r="L512" s="493" t="s">
        <v>1236</v>
      </c>
      <c r="M512" s="493" t="s">
        <v>2253</v>
      </c>
      <c r="N512" s="493" t="s">
        <v>1153</v>
      </c>
    </row>
    <row r="513" spans="1:14" x14ac:dyDescent="0.25">
      <c r="A513" s="493" t="s">
        <v>2275</v>
      </c>
      <c r="B513" s="493" t="s">
        <v>2276</v>
      </c>
      <c r="C513" s="493" t="s">
        <v>2005</v>
      </c>
      <c r="D513" s="493" t="s">
        <v>876</v>
      </c>
      <c r="E513" s="493" t="s">
        <v>1143</v>
      </c>
      <c r="F513" s="493" t="s">
        <v>636</v>
      </c>
      <c r="G513" s="493" t="s">
        <v>878</v>
      </c>
      <c r="H513" s="494">
        <v>2958465</v>
      </c>
      <c r="I513" s="494">
        <v>40179</v>
      </c>
      <c r="J513" s="493" t="s">
        <v>2277</v>
      </c>
      <c r="K513" s="493" t="s">
        <v>2235</v>
      </c>
      <c r="L513" s="493" t="s">
        <v>1236</v>
      </c>
      <c r="M513" s="493" t="s">
        <v>2253</v>
      </c>
      <c r="N513" s="493" t="s">
        <v>1146</v>
      </c>
    </row>
    <row r="514" spans="1:14" x14ac:dyDescent="0.25">
      <c r="A514" s="493" t="s">
        <v>2278</v>
      </c>
      <c r="B514" s="493" t="s">
        <v>2279</v>
      </c>
      <c r="C514" s="493" t="s">
        <v>2005</v>
      </c>
      <c r="D514" s="493" t="s">
        <v>876</v>
      </c>
      <c r="E514" s="493" t="s">
        <v>886</v>
      </c>
      <c r="F514" s="493" t="s">
        <v>636</v>
      </c>
      <c r="G514" s="493" t="s">
        <v>878</v>
      </c>
      <c r="H514" s="494">
        <v>2958465</v>
      </c>
      <c r="I514" s="494">
        <v>40179</v>
      </c>
      <c r="J514" s="493" t="s">
        <v>2280</v>
      </c>
      <c r="K514" s="493" t="s">
        <v>2235</v>
      </c>
      <c r="L514" s="493" t="s">
        <v>2281</v>
      </c>
      <c r="M514" s="493" t="s">
        <v>2253</v>
      </c>
      <c r="N514" s="493" t="s">
        <v>890</v>
      </c>
    </row>
    <row r="515" spans="1:14" x14ac:dyDescent="0.25">
      <c r="A515" s="493" t="s">
        <v>2282</v>
      </c>
      <c r="B515" s="493" t="s">
        <v>2283</v>
      </c>
      <c r="C515" s="493" t="s">
        <v>2005</v>
      </c>
      <c r="D515" s="493" t="s">
        <v>876</v>
      </c>
      <c r="E515" s="493" t="s">
        <v>1152</v>
      </c>
      <c r="F515" s="493" t="s">
        <v>636</v>
      </c>
      <c r="G515" s="493" t="s">
        <v>878</v>
      </c>
      <c r="H515" s="494">
        <v>2958465</v>
      </c>
      <c r="I515" s="494">
        <v>40179</v>
      </c>
      <c r="J515" s="493" t="s">
        <v>2284</v>
      </c>
      <c r="K515" s="493" t="s">
        <v>2235</v>
      </c>
      <c r="L515" s="493" t="s">
        <v>2281</v>
      </c>
      <c r="M515" s="493" t="s">
        <v>2253</v>
      </c>
      <c r="N515" s="493" t="s">
        <v>1153</v>
      </c>
    </row>
    <row r="516" spans="1:14" x14ac:dyDescent="0.25">
      <c r="A516" s="493" t="s">
        <v>2285</v>
      </c>
      <c r="B516" s="493" t="s">
        <v>2286</v>
      </c>
      <c r="C516" s="493" t="s">
        <v>2005</v>
      </c>
      <c r="D516" s="493" t="s">
        <v>876</v>
      </c>
      <c r="E516" s="493" t="s">
        <v>1143</v>
      </c>
      <c r="F516" s="493" t="s">
        <v>636</v>
      </c>
      <c r="G516" s="493" t="s">
        <v>878</v>
      </c>
      <c r="H516" s="494">
        <v>2958465</v>
      </c>
      <c r="I516" s="494">
        <v>40179</v>
      </c>
      <c r="J516" s="493" t="s">
        <v>2287</v>
      </c>
      <c r="K516" s="493" t="s">
        <v>2235</v>
      </c>
      <c r="L516" s="493" t="s">
        <v>2281</v>
      </c>
      <c r="M516" s="493" t="s">
        <v>2253</v>
      </c>
      <c r="N516" s="493" t="s">
        <v>1146</v>
      </c>
    </row>
    <row r="517" spans="1:14" x14ac:dyDescent="0.25">
      <c r="A517" s="493" t="s">
        <v>2288</v>
      </c>
      <c r="B517" s="493" t="s">
        <v>2289</v>
      </c>
      <c r="C517" s="493" t="s">
        <v>2005</v>
      </c>
      <c r="D517" s="493" t="s">
        <v>876</v>
      </c>
      <c r="E517" s="493" t="s">
        <v>897</v>
      </c>
      <c r="F517" s="493" t="s">
        <v>636</v>
      </c>
      <c r="G517" s="493" t="s">
        <v>878</v>
      </c>
      <c r="H517" s="494">
        <v>2958465</v>
      </c>
      <c r="I517" s="494">
        <v>40179</v>
      </c>
      <c r="J517" s="493" t="s">
        <v>2290</v>
      </c>
      <c r="K517" s="493" t="s">
        <v>2235</v>
      </c>
      <c r="L517" s="493" t="s">
        <v>899</v>
      </c>
      <c r="M517" s="493" t="s">
        <v>2253</v>
      </c>
      <c r="N517" s="493" t="s">
        <v>901</v>
      </c>
    </row>
    <row r="518" spans="1:14" x14ac:dyDescent="0.25">
      <c r="A518" s="493" t="s">
        <v>2291</v>
      </c>
      <c r="B518" s="493" t="s">
        <v>2292</v>
      </c>
      <c r="C518" s="493" t="s">
        <v>2005</v>
      </c>
      <c r="D518" s="493" t="s">
        <v>876</v>
      </c>
      <c r="E518" s="493" t="s">
        <v>917</v>
      </c>
      <c r="F518" s="493" t="s">
        <v>636</v>
      </c>
      <c r="G518" s="493" t="s">
        <v>878</v>
      </c>
      <c r="H518" s="494">
        <v>2958465</v>
      </c>
      <c r="I518" s="494">
        <v>40179</v>
      </c>
      <c r="J518" s="493" t="s">
        <v>2293</v>
      </c>
      <c r="K518" s="493" t="s">
        <v>2235</v>
      </c>
      <c r="L518" s="493" t="s">
        <v>899</v>
      </c>
      <c r="M518" s="493" t="s">
        <v>2253</v>
      </c>
      <c r="N518" s="493" t="s">
        <v>919</v>
      </c>
    </row>
    <row r="519" spans="1:14" x14ac:dyDescent="0.25">
      <c r="A519" s="493" t="s">
        <v>2294</v>
      </c>
      <c r="B519" s="493" t="s">
        <v>2295</v>
      </c>
      <c r="C519" s="493" t="s">
        <v>2005</v>
      </c>
      <c r="D519" s="493" t="s">
        <v>876</v>
      </c>
      <c r="E519" s="493" t="s">
        <v>910</v>
      </c>
      <c r="F519" s="493" t="s">
        <v>636</v>
      </c>
      <c r="G519" s="493" t="s">
        <v>878</v>
      </c>
      <c r="H519" s="494">
        <v>2958465</v>
      </c>
      <c r="I519" s="494">
        <v>40179</v>
      </c>
      <c r="J519" s="493" t="s">
        <v>2296</v>
      </c>
      <c r="K519" s="493" t="s">
        <v>2235</v>
      </c>
      <c r="L519" s="493" t="s">
        <v>899</v>
      </c>
      <c r="M519" s="493" t="s">
        <v>2253</v>
      </c>
      <c r="N519" s="493" t="s">
        <v>913</v>
      </c>
    </row>
    <row r="520" spans="1:14" x14ac:dyDescent="0.25">
      <c r="A520" s="493" t="s">
        <v>2297</v>
      </c>
      <c r="B520" s="493" t="s">
        <v>2298</v>
      </c>
      <c r="C520" s="493" t="s">
        <v>2005</v>
      </c>
      <c r="D520" s="493" t="s">
        <v>876</v>
      </c>
      <c r="E520" s="493" t="s">
        <v>886</v>
      </c>
      <c r="F520" s="493" t="s">
        <v>636</v>
      </c>
      <c r="G520" s="493" t="s">
        <v>878</v>
      </c>
      <c r="H520" s="494">
        <v>2958465</v>
      </c>
      <c r="I520" s="494">
        <v>40179</v>
      </c>
      <c r="J520" s="493" t="s">
        <v>2299</v>
      </c>
      <c r="K520" s="493" t="s">
        <v>2235</v>
      </c>
      <c r="L520" s="493" t="s">
        <v>894</v>
      </c>
      <c r="M520" s="493" t="s">
        <v>2253</v>
      </c>
      <c r="N520" s="493" t="s">
        <v>890</v>
      </c>
    </row>
    <row r="521" spans="1:14" x14ac:dyDescent="0.25">
      <c r="A521" s="493" t="s">
        <v>2300</v>
      </c>
      <c r="B521" s="493" t="s">
        <v>2301</v>
      </c>
      <c r="C521" s="493" t="s">
        <v>183</v>
      </c>
      <c r="D521" s="493" t="s">
        <v>876</v>
      </c>
      <c r="E521" s="493" t="s">
        <v>886</v>
      </c>
      <c r="F521" s="493" t="s">
        <v>636</v>
      </c>
      <c r="G521" s="493" t="s">
        <v>878</v>
      </c>
      <c r="H521" s="494">
        <v>2958465</v>
      </c>
      <c r="I521" s="494">
        <v>40179</v>
      </c>
      <c r="J521" s="493" t="s">
        <v>2301</v>
      </c>
      <c r="K521" s="493" t="s">
        <v>2302</v>
      </c>
      <c r="L521" s="493" t="s">
        <v>888</v>
      </c>
      <c r="M521" s="493" t="s">
        <v>889</v>
      </c>
      <c r="N521" s="493" t="s">
        <v>890</v>
      </c>
    </row>
    <row r="522" spans="1:14" x14ac:dyDescent="0.25">
      <c r="A522" s="493" t="s">
        <v>2303</v>
      </c>
      <c r="B522" s="493" t="s">
        <v>2304</v>
      </c>
      <c r="C522" s="493" t="s">
        <v>2305</v>
      </c>
      <c r="D522" s="493" t="s">
        <v>876</v>
      </c>
      <c r="E522" s="493" t="s">
        <v>897</v>
      </c>
      <c r="F522" s="493" t="s">
        <v>636</v>
      </c>
      <c r="G522" s="493" t="s">
        <v>878</v>
      </c>
      <c r="H522" s="494">
        <v>2958465</v>
      </c>
      <c r="I522" s="494">
        <v>40179</v>
      </c>
      <c r="J522" s="493" t="s">
        <v>2304</v>
      </c>
      <c r="K522" s="493" t="s">
        <v>2302</v>
      </c>
      <c r="L522" s="493" t="s">
        <v>966</v>
      </c>
      <c r="M522" s="493" t="s">
        <v>2306</v>
      </c>
      <c r="N522" s="493" t="s">
        <v>901</v>
      </c>
    </row>
    <row r="523" spans="1:14" x14ac:dyDescent="0.25">
      <c r="A523" s="493" t="s">
        <v>2307</v>
      </c>
      <c r="B523" s="493" t="s">
        <v>2308</v>
      </c>
      <c r="C523" s="493" t="s">
        <v>2309</v>
      </c>
      <c r="D523" s="493" t="s">
        <v>876</v>
      </c>
      <c r="E523" s="493" t="s">
        <v>897</v>
      </c>
      <c r="F523" s="493" t="s">
        <v>636</v>
      </c>
      <c r="G523" s="493" t="s">
        <v>878</v>
      </c>
      <c r="H523" s="494">
        <v>2958465</v>
      </c>
      <c r="I523" s="494">
        <v>40179</v>
      </c>
      <c r="J523" s="493" t="s">
        <v>2308</v>
      </c>
      <c r="K523" s="493" t="s">
        <v>2310</v>
      </c>
      <c r="L523" s="493" t="s">
        <v>966</v>
      </c>
      <c r="M523" s="493" t="s">
        <v>2249</v>
      </c>
      <c r="N523" s="493" t="s">
        <v>901</v>
      </c>
    </row>
    <row r="524" spans="1:14" x14ac:dyDescent="0.25">
      <c r="A524" s="493" t="s">
        <v>2311</v>
      </c>
      <c r="B524" s="493" t="s">
        <v>2312</v>
      </c>
      <c r="C524" s="493" t="s">
        <v>2309</v>
      </c>
      <c r="D524" s="493" t="s">
        <v>876</v>
      </c>
      <c r="E524" s="493" t="s">
        <v>897</v>
      </c>
      <c r="F524" s="493" t="s">
        <v>636</v>
      </c>
      <c r="G524" s="493" t="s">
        <v>878</v>
      </c>
      <c r="H524" s="494">
        <v>2958465</v>
      </c>
      <c r="I524" s="494">
        <v>40179</v>
      </c>
      <c r="J524" s="493" t="s">
        <v>2312</v>
      </c>
      <c r="K524" s="493" t="s">
        <v>2313</v>
      </c>
      <c r="L524" s="493" t="s">
        <v>966</v>
      </c>
      <c r="M524" s="493" t="s">
        <v>2306</v>
      </c>
      <c r="N524" s="493" t="s">
        <v>901</v>
      </c>
    </row>
    <row r="525" spans="1:14" x14ac:dyDescent="0.25">
      <c r="A525" s="493" t="s">
        <v>2314</v>
      </c>
      <c r="B525" s="493" t="s">
        <v>2315</v>
      </c>
      <c r="C525" s="493" t="s">
        <v>2309</v>
      </c>
      <c r="D525" s="493" t="s">
        <v>876</v>
      </c>
      <c r="E525" s="493" t="s">
        <v>897</v>
      </c>
      <c r="F525" s="493" t="s">
        <v>636</v>
      </c>
      <c r="G525" s="493" t="s">
        <v>878</v>
      </c>
      <c r="H525" s="494">
        <v>2958465</v>
      </c>
      <c r="I525" s="494">
        <v>40179</v>
      </c>
      <c r="J525" s="493" t="s">
        <v>2315</v>
      </c>
      <c r="K525" s="493" t="s">
        <v>2313</v>
      </c>
      <c r="L525" s="493" t="s">
        <v>966</v>
      </c>
      <c r="M525" s="493" t="s">
        <v>1103</v>
      </c>
      <c r="N525" s="493" t="s">
        <v>901</v>
      </c>
    </row>
    <row r="526" spans="1:14" x14ac:dyDescent="0.25">
      <c r="A526" s="493" t="s">
        <v>2316</v>
      </c>
      <c r="B526" s="493" t="s">
        <v>2317</v>
      </c>
      <c r="C526" s="493" t="s">
        <v>183</v>
      </c>
      <c r="D526" s="493" t="s">
        <v>876</v>
      </c>
      <c r="E526" s="493" t="s">
        <v>897</v>
      </c>
      <c r="F526" s="493" t="s">
        <v>636</v>
      </c>
      <c r="G526" s="493" t="s">
        <v>878</v>
      </c>
      <c r="H526" s="494">
        <v>2958465</v>
      </c>
      <c r="I526" s="494">
        <v>40179</v>
      </c>
      <c r="J526" s="493" t="s">
        <v>2318</v>
      </c>
      <c r="K526" s="493" t="s">
        <v>2319</v>
      </c>
      <c r="L526" s="493" t="s">
        <v>966</v>
      </c>
      <c r="M526" s="493" t="s">
        <v>2306</v>
      </c>
      <c r="N526" s="493" t="s">
        <v>901</v>
      </c>
    </row>
    <row r="527" spans="1:14" x14ac:dyDescent="0.25">
      <c r="A527" s="493" t="s">
        <v>2320</v>
      </c>
      <c r="B527" s="493" t="s">
        <v>2321</v>
      </c>
      <c r="C527" s="493" t="s">
        <v>2309</v>
      </c>
      <c r="D527" s="493" t="s">
        <v>876</v>
      </c>
      <c r="E527" s="493" t="s">
        <v>897</v>
      </c>
      <c r="F527" s="493" t="s">
        <v>636</v>
      </c>
      <c r="G527" s="493" t="s">
        <v>878</v>
      </c>
      <c r="H527" s="494">
        <v>2958465</v>
      </c>
      <c r="I527" s="494">
        <v>40179</v>
      </c>
      <c r="J527" s="493" t="s">
        <v>2322</v>
      </c>
      <c r="K527" s="493" t="s">
        <v>2323</v>
      </c>
      <c r="L527" s="493" t="s">
        <v>966</v>
      </c>
      <c r="M527" s="493" t="s">
        <v>2249</v>
      </c>
      <c r="N527" s="493" t="s">
        <v>901</v>
      </c>
    </row>
    <row r="528" spans="1:14" x14ac:dyDescent="0.25">
      <c r="A528" s="493" t="s">
        <v>2324</v>
      </c>
      <c r="B528" s="493" t="s">
        <v>2325</v>
      </c>
      <c r="C528" s="493" t="s">
        <v>2309</v>
      </c>
      <c r="D528" s="493" t="s">
        <v>876</v>
      </c>
      <c r="E528" s="493" t="s">
        <v>897</v>
      </c>
      <c r="F528" s="493" t="s">
        <v>2</v>
      </c>
      <c r="G528" s="493" t="s">
        <v>878</v>
      </c>
      <c r="H528" s="494">
        <v>2958465</v>
      </c>
      <c r="I528" s="494">
        <v>40179</v>
      </c>
      <c r="J528" s="493" t="s">
        <v>2326</v>
      </c>
      <c r="K528" s="493" t="s">
        <v>2327</v>
      </c>
      <c r="L528" s="493" t="s">
        <v>966</v>
      </c>
      <c r="M528" s="493" t="s">
        <v>889</v>
      </c>
      <c r="N528" s="493" t="s">
        <v>901</v>
      </c>
    </row>
    <row r="529" spans="1:14" x14ac:dyDescent="0.25">
      <c r="A529" s="493" t="s">
        <v>2328</v>
      </c>
      <c r="B529" s="493" t="s">
        <v>2329</v>
      </c>
      <c r="C529" s="493" t="s">
        <v>183</v>
      </c>
      <c r="D529" s="493" t="s">
        <v>876</v>
      </c>
      <c r="E529" s="493" t="s">
        <v>897</v>
      </c>
      <c r="F529" s="493" t="s">
        <v>636</v>
      </c>
      <c r="G529" s="493" t="s">
        <v>878</v>
      </c>
      <c r="H529" s="494">
        <v>2958465</v>
      </c>
      <c r="I529" s="494">
        <v>40179</v>
      </c>
      <c r="J529" s="493" t="s">
        <v>2329</v>
      </c>
      <c r="K529" s="493" t="s">
        <v>2330</v>
      </c>
      <c r="L529" s="493" t="s">
        <v>966</v>
      </c>
      <c r="M529" s="493" t="s">
        <v>2008</v>
      </c>
      <c r="N529" s="493" t="s">
        <v>901</v>
      </c>
    </row>
    <row r="530" spans="1:14" x14ac:dyDescent="0.25">
      <c r="A530" s="493" t="s">
        <v>2331</v>
      </c>
      <c r="B530" s="493" t="s">
        <v>1976</v>
      </c>
      <c r="C530" s="493" t="s">
        <v>183</v>
      </c>
      <c r="D530" s="493" t="s">
        <v>876</v>
      </c>
      <c r="E530" s="493" t="s">
        <v>1152</v>
      </c>
      <c r="F530" s="493" t="s">
        <v>636</v>
      </c>
      <c r="G530" s="493" t="s">
        <v>878</v>
      </c>
      <c r="H530" s="494">
        <v>2958465</v>
      </c>
      <c r="I530" s="494">
        <v>40179</v>
      </c>
      <c r="J530" s="493" t="s">
        <v>1976</v>
      </c>
      <c r="K530" s="493" t="s">
        <v>2330</v>
      </c>
      <c r="L530" s="493" t="s">
        <v>1253</v>
      </c>
      <c r="M530" s="493" t="s">
        <v>950</v>
      </c>
      <c r="N530" s="493" t="s">
        <v>1978</v>
      </c>
    </row>
    <row r="531" spans="1:14" x14ac:dyDescent="0.25">
      <c r="A531" s="493" t="s">
        <v>2332</v>
      </c>
      <c r="B531" s="493" t="s">
        <v>2333</v>
      </c>
      <c r="C531" s="493" t="s">
        <v>2309</v>
      </c>
      <c r="D531" s="493" t="s">
        <v>876</v>
      </c>
      <c r="E531" s="493" t="s">
        <v>897</v>
      </c>
      <c r="F531" s="493" t="s">
        <v>2</v>
      </c>
      <c r="G531" s="493" t="s">
        <v>878</v>
      </c>
      <c r="H531" s="494">
        <v>2958465</v>
      </c>
      <c r="I531" s="494">
        <v>40179</v>
      </c>
      <c r="J531" s="493" t="s">
        <v>2333</v>
      </c>
      <c r="K531" s="493" t="s">
        <v>2334</v>
      </c>
      <c r="L531" s="493" t="s">
        <v>966</v>
      </c>
      <c r="M531" s="493" t="s">
        <v>889</v>
      </c>
      <c r="N531" s="493" t="s">
        <v>901</v>
      </c>
    </row>
    <row r="532" spans="1:14" x14ac:dyDescent="0.25">
      <c r="A532" s="493" t="s">
        <v>2335</v>
      </c>
      <c r="B532" s="493" t="s">
        <v>2336</v>
      </c>
      <c r="C532" s="493" t="s">
        <v>885</v>
      </c>
      <c r="D532" s="493" t="s">
        <v>876</v>
      </c>
      <c r="E532" s="493" t="s">
        <v>897</v>
      </c>
      <c r="F532" s="493" t="s">
        <v>636</v>
      </c>
      <c r="G532" s="493" t="s">
        <v>878</v>
      </c>
      <c r="H532" s="494">
        <v>2958465</v>
      </c>
      <c r="I532" s="494">
        <v>40179</v>
      </c>
      <c r="J532" s="493" t="s">
        <v>2337</v>
      </c>
      <c r="K532" s="493" t="s">
        <v>2338</v>
      </c>
      <c r="L532" s="493" t="s">
        <v>966</v>
      </c>
      <c r="M532" s="493" t="s">
        <v>889</v>
      </c>
      <c r="N532" s="493" t="s">
        <v>901</v>
      </c>
    </row>
    <row r="533" spans="1:14" x14ac:dyDescent="0.25">
      <c r="A533" s="493" t="s">
        <v>2339</v>
      </c>
      <c r="B533" s="493" t="s">
        <v>2340</v>
      </c>
      <c r="C533" s="493" t="s">
        <v>2309</v>
      </c>
      <c r="D533" s="493" t="s">
        <v>876</v>
      </c>
      <c r="E533" s="493" t="s">
        <v>897</v>
      </c>
      <c r="F533" s="493" t="s">
        <v>636</v>
      </c>
      <c r="G533" s="493" t="s">
        <v>878</v>
      </c>
      <c r="H533" s="494">
        <v>2958465</v>
      </c>
      <c r="I533" s="494">
        <v>40179</v>
      </c>
      <c r="J533" s="493" t="s">
        <v>2340</v>
      </c>
      <c r="K533" s="493" t="s">
        <v>2341</v>
      </c>
      <c r="L533" s="493" t="s">
        <v>966</v>
      </c>
      <c r="M533" s="493" t="s">
        <v>2306</v>
      </c>
      <c r="N533" s="493" t="s">
        <v>901</v>
      </c>
    </row>
    <row r="534" spans="1:14" x14ac:dyDescent="0.25">
      <c r="A534" s="493" t="s">
        <v>2342</v>
      </c>
      <c r="B534" s="493" t="s">
        <v>2343</v>
      </c>
      <c r="C534" s="493" t="s">
        <v>2309</v>
      </c>
      <c r="D534" s="493" t="s">
        <v>876</v>
      </c>
      <c r="E534" s="493" t="s">
        <v>897</v>
      </c>
      <c r="F534" s="493" t="s">
        <v>636</v>
      </c>
      <c r="G534" s="493" t="s">
        <v>878</v>
      </c>
      <c r="H534" s="494">
        <v>2958465</v>
      </c>
      <c r="I534" s="494">
        <v>40179</v>
      </c>
      <c r="J534" s="493" t="s">
        <v>2343</v>
      </c>
      <c r="K534" s="493" t="s">
        <v>2344</v>
      </c>
      <c r="L534" s="493" t="s">
        <v>966</v>
      </c>
      <c r="M534" s="493" t="s">
        <v>2306</v>
      </c>
      <c r="N534" s="493" t="s">
        <v>901</v>
      </c>
    </row>
    <row r="535" spans="1:14" x14ac:dyDescent="0.25">
      <c r="A535" s="493" t="s">
        <v>2345</v>
      </c>
      <c r="B535" s="493" t="s">
        <v>2346</v>
      </c>
      <c r="C535" s="493" t="s">
        <v>2309</v>
      </c>
      <c r="D535" s="493" t="s">
        <v>876</v>
      </c>
      <c r="E535" s="493" t="s">
        <v>897</v>
      </c>
      <c r="F535" s="493" t="s">
        <v>636</v>
      </c>
      <c r="G535" s="493" t="s">
        <v>878</v>
      </c>
      <c r="H535" s="494">
        <v>2958465</v>
      </c>
      <c r="I535" s="494">
        <v>40179</v>
      </c>
      <c r="J535" s="493" t="s">
        <v>2346</v>
      </c>
      <c r="K535" s="493" t="s">
        <v>2347</v>
      </c>
      <c r="L535" s="493" t="s">
        <v>966</v>
      </c>
      <c r="M535" s="493" t="s">
        <v>2306</v>
      </c>
      <c r="N535" s="493" t="s">
        <v>901</v>
      </c>
    </row>
    <row r="536" spans="1:14" x14ac:dyDescent="0.25">
      <c r="A536" s="493" t="s">
        <v>2348</v>
      </c>
      <c r="B536" s="493" t="s">
        <v>2349</v>
      </c>
      <c r="C536" s="493" t="s">
        <v>2309</v>
      </c>
      <c r="D536" s="493" t="s">
        <v>876</v>
      </c>
      <c r="E536" s="493" t="s">
        <v>897</v>
      </c>
      <c r="F536" s="493" t="s">
        <v>2</v>
      </c>
      <c r="G536" s="493" t="s">
        <v>878</v>
      </c>
      <c r="H536" s="494">
        <v>2958465</v>
      </c>
      <c r="I536" s="494">
        <v>40179</v>
      </c>
      <c r="J536" s="493" t="s">
        <v>2349</v>
      </c>
      <c r="K536" s="493" t="s">
        <v>2350</v>
      </c>
      <c r="L536" s="493" t="s">
        <v>966</v>
      </c>
      <c r="M536" s="493" t="s">
        <v>889</v>
      </c>
      <c r="N536" s="493" t="s">
        <v>901</v>
      </c>
    </row>
    <row r="537" spans="1:14" x14ac:dyDescent="0.25">
      <c r="A537" s="493" t="s">
        <v>2351</v>
      </c>
      <c r="B537" s="493" t="s">
        <v>2352</v>
      </c>
      <c r="C537" s="493" t="s">
        <v>2309</v>
      </c>
      <c r="D537" s="493" t="s">
        <v>876</v>
      </c>
      <c r="E537" s="493" t="s">
        <v>897</v>
      </c>
      <c r="F537" s="493" t="s">
        <v>636</v>
      </c>
      <c r="G537" s="493" t="s">
        <v>878</v>
      </c>
      <c r="H537" s="494">
        <v>2958465</v>
      </c>
      <c r="I537" s="494">
        <v>40179</v>
      </c>
      <c r="J537" s="493" t="s">
        <v>2352</v>
      </c>
      <c r="K537" s="493" t="s">
        <v>2353</v>
      </c>
      <c r="L537" s="493" t="s">
        <v>966</v>
      </c>
      <c r="M537" s="493" t="s">
        <v>2306</v>
      </c>
      <c r="N537" s="493" t="s">
        <v>901</v>
      </c>
    </row>
    <row r="538" spans="1:14" x14ac:dyDescent="0.25">
      <c r="A538" s="493" t="s">
        <v>2354</v>
      </c>
      <c r="B538" s="493" t="s">
        <v>2329</v>
      </c>
      <c r="C538" s="493" t="s">
        <v>1098</v>
      </c>
      <c r="D538" s="493" t="s">
        <v>876</v>
      </c>
      <c r="E538" s="493" t="s">
        <v>897</v>
      </c>
      <c r="F538" s="493" t="s">
        <v>636</v>
      </c>
      <c r="G538" s="493" t="s">
        <v>878</v>
      </c>
      <c r="H538" s="494">
        <v>2958465</v>
      </c>
      <c r="I538" s="494">
        <v>40179</v>
      </c>
      <c r="J538" s="493" t="s">
        <v>2329</v>
      </c>
      <c r="K538" s="493" t="s">
        <v>2355</v>
      </c>
      <c r="L538" s="493" t="s">
        <v>966</v>
      </c>
      <c r="M538" s="493" t="s">
        <v>2008</v>
      </c>
      <c r="N538" s="493" t="s">
        <v>901</v>
      </c>
    </row>
    <row r="539" spans="1:14" x14ac:dyDescent="0.25">
      <c r="A539" s="493" t="s">
        <v>2356</v>
      </c>
      <c r="B539" s="493" t="s">
        <v>2357</v>
      </c>
      <c r="C539" s="493" t="s">
        <v>2358</v>
      </c>
      <c r="D539" s="493" t="s">
        <v>876</v>
      </c>
      <c r="E539" s="493" t="s">
        <v>897</v>
      </c>
      <c r="F539" s="493" t="s">
        <v>636</v>
      </c>
      <c r="G539" s="493" t="s">
        <v>878</v>
      </c>
      <c r="H539" s="494">
        <v>2958465</v>
      </c>
      <c r="I539" s="494">
        <v>40179</v>
      </c>
      <c r="J539" s="493" t="s">
        <v>2359</v>
      </c>
      <c r="K539" s="493" t="s">
        <v>2360</v>
      </c>
      <c r="L539" s="493" t="s">
        <v>966</v>
      </c>
      <c r="M539" s="493" t="s">
        <v>999</v>
      </c>
      <c r="N539" s="493" t="s">
        <v>901</v>
      </c>
    </row>
    <row r="540" spans="1:14" x14ac:dyDescent="0.25">
      <c r="A540" s="493" t="s">
        <v>2361</v>
      </c>
      <c r="B540" s="493" t="s">
        <v>2362</v>
      </c>
      <c r="C540" s="493" t="s">
        <v>2363</v>
      </c>
      <c r="D540" s="493" t="s">
        <v>876</v>
      </c>
      <c r="E540" s="493" t="s">
        <v>1152</v>
      </c>
      <c r="F540" s="493" t="s">
        <v>636</v>
      </c>
      <c r="G540" s="493" t="s">
        <v>878</v>
      </c>
      <c r="H540" s="494">
        <v>2958465</v>
      </c>
      <c r="I540" s="494">
        <v>40179</v>
      </c>
      <c r="J540" s="493" t="s">
        <v>2364</v>
      </c>
      <c r="K540" s="493" t="s">
        <v>2360</v>
      </c>
      <c r="L540" s="493" t="s">
        <v>1240</v>
      </c>
      <c r="M540" s="493" t="s">
        <v>1062</v>
      </c>
      <c r="N540" s="493" t="s">
        <v>1153</v>
      </c>
    </row>
    <row r="541" spans="1:14" x14ac:dyDescent="0.25">
      <c r="A541" s="493" t="s">
        <v>584</v>
      </c>
      <c r="B541" s="493" t="s">
        <v>2365</v>
      </c>
      <c r="C541" s="493" t="s">
        <v>2363</v>
      </c>
      <c r="D541" s="493" t="s">
        <v>876</v>
      </c>
      <c r="E541" s="493" t="s">
        <v>1152</v>
      </c>
      <c r="F541" s="493" t="s">
        <v>636</v>
      </c>
      <c r="G541" s="493" t="s">
        <v>878</v>
      </c>
      <c r="H541" s="494">
        <v>2958465</v>
      </c>
      <c r="I541" s="494">
        <v>40179</v>
      </c>
      <c r="J541" s="493" t="s">
        <v>2366</v>
      </c>
      <c r="K541" s="493" t="s">
        <v>2360</v>
      </c>
      <c r="L541" s="493" t="s">
        <v>1240</v>
      </c>
      <c r="M541" s="493" t="s">
        <v>1062</v>
      </c>
      <c r="N541" s="493" t="s">
        <v>1153</v>
      </c>
    </row>
    <row r="542" spans="1:14" x14ac:dyDescent="0.25">
      <c r="A542" s="493" t="s">
        <v>2367</v>
      </c>
      <c r="B542" s="493" t="s">
        <v>2368</v>
      </c>
      <c r="C542" s="493" t="s">
        <v>2369</v>
      </c>
      <c r="D542" s="493" t="s">
        <v>876</v>
      </c>
      <c r="E542" s="493" t="s">
        <v>1152</v>
      </c>
      <c r="F542" s="493" t="s">
        <v>636</v>
      </c>
      <c r="G542" s="493" t="s">
        <v>878</v>
      </c>
      <c r="H542" s="494">
        <v>2958465</v>
      </c>
      <c r="I542" s="494">
        <v>40179</v>
      </c>
      <c r="J542" s="493" t="s">
        <v>2370</v>
      </c>
      <c r="K542" s="493" t="s">
        <v>2360</v>
      </c>
      <c r="L542" s="493" t="s">
        <v>1353</v>
      </c>
      <c r="M542" s="493" t="s">
        <v>1062</v>
      </c>
      <c r="N542" s="493" t="s">
        <v>1153</v>
      </c>
    </row>
    <row r="543" spans="1:14" x14ac:dyDescent="0.25">
      <c r="A543" s="493" t="s">
        <v>808</v>
      </c>
      <c r="B543" s="493" t="s">
        <v>2371</v>
      </c>
      <c r="C543" s="493" t="s">
        <v>2369</v>
      </c>
      <c r="D543" s="493" t="s">
        <v>876</v>
      </c>
      <c r="E543" s="493" t="s">
        <v>1152</v>
      </c>
      <c r="F543" s="493" t="s">
        <v>636</v>
      </c>
      <c r="G543" s="493" t="s">
        <v>878</v>
      </c>
      <c r="H543" s="494">
        <v>2958465</v>
      </c>
      <c r="I543" s="494">
        <v>40179</v>
      </c>
      <c r="J543" s="493" t="s">
        <v>2371</v>
      </c>
      <c r="K543" s="493" t="s">
        <v>2360</v>
      </c>
      <c r="L543" s="493" t="s">
        <v>1353</v>
      </c>
      <c r="M543" s="493" t="s">
        <v>1062</v>
      </c>
      <c r="N543" s="493" t="s">
        <v>1153</v>
      </c>
    </row>
    <row r="544" spans="1:14" x14ac:dyDescent="0.25">
      <c r="A544" s="493" t="s">
        <v>2372</v>
      </c>
      <c r="B544" s="493" t="s">
        <v>2373</v>
      </c>
      <c r="C544" s="493" t="s">
        <v>2059</v>
      </c>
      <c r="D544" s="493" t="s">
        <v>876</v>
      </c>
      <c r="E544" s="493" t="s">
        <v>1152</v>
      </c>
      <c r="F544" s="493" t="s">
        <v>636</v>
      </c>
      <c r="G544" s="493" t="s">
        <v>878</v>
      </c>
      <c r="H544" s="494">
        <v>2958465</v>
      </c>
      <c r="I544" s="494">
        <v>40179</v>
      </c>
      <c r="J544" s="493" t="s">
        <v>2374</v>
      </c>
      <c r="K544" s="493" t="s">
        <v>2360</v>
      </c>
      <c r="L544" s="493" t="s">
        <v>1259</v>
      </c>
      <c r="M544" s="493" t="s">
        <v>1062</v>
      </c>
      <c r="N544" s="493" t="s">
        <v>1153</v>
      </c>
    </row>
    <row r="545" spans="1:14" x14ac:dyDescent="0.25">
      <c r="A545" s="493" t="s">
        <v>2375</v>
      </c>
      <c r="B545" s="493" t="s">
        <v>2058</v>
      </c>
      <c r="C545" s="493" t="s">
        <v>2059</v>
      </c>
      <c r="D545" s="493" t="s">
        <v>876</v>
      </c>
      <c r="E545" s="493" t="s">
        <v>1152</v>
      </c>
      <c r="F545" s="493" t="s">
        <v>636</v>
      </c>
      <c r="G545" s="493" t="s">
        <v>878</v>
      </c>
      <c r="H545" s="494">
        <v>2958465</v>
      </c>
      <c r="I545" s="494">
        <v>40179</v>
      </c>
      <c r="J545" s="493" t="s">
        <v>2058</v>
      </c>
      <c r="K545" s="493" t="s">
        <v>2360</v>
      </c>
      <c r="L545" s="493" t="s">
        <v>1259</v>
      </c>
      <c r="M545" s="493" t="s">
        <v>1062</v>
      </c>
      <c r="N545" s="493" t="s">
        <v>1153</v>
      </c>
    </row>
    <row r="546" spans="1:14" x14ac:dyDescent="0.25">
      <c r="A546" s="493" t="s">
        <v>2376</v>
      </c>
      <c r="B546" s="493" t="s">
        <v>2377</v>
      </c>
      <c r="C546" s="493" t="s">
        <v>2378</v>
      </c>
      <c r="D546" s="493" t="s">
        <v>876</v>
      </c>
      <c r="E546" s="493" t="s">
        <v>1152</v>
      </c>
      <c r="F546" s="493" t="s">
        <v>636</v>
      </c>
      <c r="G546" s="493" t="s">
        <v>878</v>
      </c>
      <c r="H546" s="494">
        <v>2958465</v>
      </c>
      <c r="I546" s="494">
        <v>40179</v>
      </c>
      <c r="J546" s="493" t="s">
        <v>2379</v>
      </c>
      <c r="K546" s="493" t="s">
        <v>2360</v>
      </c>
      <c r="L546" s="493" t="s">
        <v>1424</v>
      </c>
      <c r="M546" s="493" t="s">
        <v>1062</v>
      </c>
      <c r="N546" s="493" t="s">
        <v>1153</v>
      </c>
    </row>
    <row r="547" spans="1:14" x14ac:dyDescent="0.25">
      <c r="A547" s="493" t="s">
        <v>2380</v>
      </c>
      <c r="B547" s="493" t="s">
        <v>2381</v>
      </c>
      <c r="C547" s="493" t="s">
        <v>2378</v>
      </c>
      <c r="D547" s="493" t="s">
        <v>876</v>
      </c>
      <c r="E547" s="493" t="s">
        <v>1152</v>
      </c>
      <c r="F547" s="493" t="s">
        <v>636</v>
      </c>
      <c r="G547" s="493" t="s">
        <v>878</v>
      </c>
      <c r="H547" s="494">
        <v>2958465</v>
      </c>
      <c r="I547" s="494">
        <v>40179</v>
      </c>
      <c r="J547" s="493" t="s">
        <v>2382</v>
      </c>
      <c r="K547" s="493" t="s">
        <v>2360</v>
      </c>
      <c r="L547" s="493" t="s">
        <v>1424</v>
      </c>
      <c r="M547" s="493" t="s">
        <v>1058</v>
      </c>
      <c r="N547" s="493" t="s">
        <v>1153</v>
      </c>
    </row>
    <row r="548" spans="1:14" x14ac:dyDescent="0.25">
      <c r="A548" s="493" t="s">
        <v>2383</v>
      </c>
      <c r="B548" s="493" t="s">
        <v>2384</v>
      </c>
      <c r="C548" s="493" t="s">
        <v>2378</v>
      </c>
      <c r="D548" s="493" t="s">
        <v>876</v>
      </c>
      <c r="E548" s="493" t="s">
        <v>1152</v>
      </c>
      <c r="F548" s="493" t="s">
        <v>636</v>
      </c>
      <c r="G548" s="493" t="s">
        <v>878</v>
      </c>
      <c r="H548" s="494">
        <v>2958465</v>
      </c>
      <c r="I548" s="494">
        <v>40179</v>
      </c>
      <c r="J548" s="493" t="s">
        <v>2385</v>
      </c>
      <c r="K548" s="493" t="s">
        <v>2360</v>
      </c>
      <c r="L548" s="493" t="s">
        <v>1439</v>
      </c>
      <c r="M548" s="493" t="s">
        <v>1062</v>
      </c>
      <c r="N548" s="493" t="s">
        <v>1153</v>
      </c>
    </row>
    <row r="549" spans="1:14" x14ac:dyDescent="0.25">
      <c r="A549" s="493" t="s">
        <v>2386</v>
      </c>
      <c r="B549" s="493" t="s">
        <v>2387</v>
      </c>
      <c r="C549" s="493" t="s">
        <v>2388</v>
      </c>
      <c r="D549" s="493" t="s">
        <v>876</v>
      </c>
      <c r="E549" s="493" t="s">
        <v>897</v>
      </c>
      <c r="F549" s="493" t="s">
        <v>636</v>
      </c>
      <c r="G549" s="493" t="s">
        <v>878</v>
      </c>
      <c r="H549" s="494">
        <v>2958465</v>
      </c>
      <c r="I549" s="494">
        <v>40179</v>
      </c>
      <c r="J549" s="493" t="s">
        <v>2387</v>
      </c>
      <c r="K549" s="493" t="s">
        <v>2360</v>
      </c>
      <c r="L549" s="493" t="s">
        <v>899</v>
      </c>
      <c r="M549" s="493" t="s">
        <v>1014</v>
      </c>
      <c r="N549" s="493" t="s">
        <v>901</v>
      </c>
    </row>
    <row r="550" spans="1:14" x14ac:dyDescent="0.25">
      <c r="A550" s="493" t="s">
        <v>2389</v>
      </c>
      <c r="B550" s="493" t="s">
        <v>1654</v>
      </c>
      <c r="C550" s="493" t="s">
        <v>2071</v>
      </c>
      <c r="D550" s="493" t="s">
        <v>876</v>
      </c>
      <c r="E550" s="493" t="s">
        <v>917</v>
      </c>
      <c r="F550" s="493" t="s">
        <v>636</v>
      </c>
      <c r="G550" s="493" t="s">
        <v>878</v>
      </c>
      <c r="H550" s="494">
        <v>2958465</v>
      </c>
      <c r="I550" s="494">
        <v>40179</v>
      </c>
      <c r="J550" s="493" t="s">
        <v>1654</v>
      </c>
      <c r="K550" s="493" t="s">
        <v>2360</v>
      </c>
      <c r="L550" s="493" t="s">
        <v>899</v>
      </c>
      <c r="M550" s="493" t="s">
        <v>918</v>
      </c>
      <c r="N550" s="493" t="s">
        <v>919</v>
      </c>
    </row>
    <row r="551" spans="1:14" x14ac:dyDescent="0.25">
      <c r="A551" s="493" t="s">
        <v>2390</v>
      </c>
      <c r="B551" s="493" t="s">
        <v>2391</v>
      </c>
      <c r="C551" s="493" t="s">
        <v>2392</v>
      </c>
      <c r="D551" s="493" t="s">
        <v>876</v>
      </c>
      <c r="E551" s="493" t="s">
        <v>910</v>
      </c>
      <c r="F551" s="493" t="s">
        <v>636</v>
      </c>
      <c r="G551" s="493" t="s">
        <v>878</v>
      </c>
      <c r="H551" s="494">
        <v>2958465</v>
      </c>
      <c r="I551" s="494">
        <v>40179</v>
      </c>
      <c r="J551" s="493" t="s">
        <v>2393</v>
      </c>
      <c r="K551" s="493" t="s">
        <v>2360</v>
      </c>
      <c r="L551" s="493" t="s">
        <v>899</v>
      </c>
      <c r="M551" s="493" t="s">
        <v>1053</v>
      </c>
      <c r="N551" s="493" t="s">
        <v>913</v>
      </c>
    </row>
    <row r="552" spans="1:14" x14ac:dyDescent="0.25">
      <c r="A552" s="493" t="s">
        <v>2394</v>
      </c>
      <c r="B552" s="493" t="s">
        <v>2395</v>
      </c>
      <c r="C552" s="493" t="s">
        <v>2396</v>
      </c>
      <c r="D552" s="493" t="s">
        <v>876</v>
      </c>
      <c r="E552" s="493" t="s">
        <v>917</v>
      </c>
      <c r="F552" s="493" t="s">
        <v>636</v>
      </c>
      <c r="G552" s="493" t="s">
        <v>878</v>
      </c>
      <c r="H552" s="494">
        <v>2958465</v>
      </c>
      <c r="I552" s="494">
        <v>40179</v>
      </c>
      <c r="J552" s="493" t="s">
        <v>2395</v>
      </c>
      <c r="K552" s="493" t="s">
        <v>2360</v>
      </c>
      <c r="L552" s="493" t="s">
        <v>899</v>
      </c>
      <c r="M552" s="493" t="s">
        <v>1062</v>
      </c>
      <c r="N552" s="493" t="s">
        <v>919</v>
      </c>
    </row>
    <row r="553" spans="1:14" x14ac:dyDescent="0.25">
      <c r="A553" s="493" t="s">
        <v>2397</v>
      </c>
      <c r="B553" s="493" t="s">
        <v>2398</v>
      </c>
      <c r="C553" s="493" t="s">
        <v>2399</v>
      </c>
      <c r="D553" s="493" t="s">
        <v>876</v>
      </c>
      <c r="E553" s="493" t="s">
        <v>1152</v>
      </c>
      <c r="F553" s="493" t="s">
        <v>636</v>
      </c>
      <c r="G553" s="493" t="s">
        <v>878</v>
      </c>
      <c r="H553" s="494">
        <v>2958465</v>
      </c>
      <c r="I553" s="494">
        <v>40179</v>
      </c>
      <c r="J553" s="493" t="s">
        <v>2400</v>
      </c>
      <c r="K553" s="493" t="s">
        <v>2360</v>
      </c>
      <c r="L553" s="493" t="s">
        <v>1236</v>
      </c>
      <c r="M553" s="493" t="s">
        <v>1062</v>
      </c>
      <c r="N553" s="493" t="s">
        <v>1153</v>
      </c>
    </row>
    <row r="554" spans="1:14" x14ac:dyDescent="0.25">
      <c r="A554" s="493" t="s">
        <v>2401</v>
      </c>
      <c r="B554" s="493" t="s">
        <v>2402</v>
      </c>
      <c r="C554" s="493" t="s">
        <v>2378</v>
      </c>
      <c r="D554" s="493" t="s">
        <v>876</v>
      </c>
      <c r="E554" s="493" t="s">
        <v>917</v>
      </c>
      <c r="F554" s="493" t="s">
        <v>636</v>
      </c>
      <c r="G554" s="493" t="s">
        <v>878</v>
      </c>
      <c r="H554" s="494">
        <v>2958465</v>
      </c>
      <c r="I554" s="494">
        <v>40179</v>
      </c>
      <c r="J554" s="493" t="s">
        <v>2402</v>
      </c>
      <c r="K554" s="493" t="s">
        <v>2360</v>
      </c>
      <c r="L554" s="493" t="s">
        <v>899</v>
      </c>
      <c r="M554" s="493" t="s">
        <v>1062</v>
      </c>
      <c r="N554" s="493" t="s">
        <v>919</v>
      </c>
    </row>
    <row r="555" spans="1:14" x14ac:dyDescent="0.25">
      <c r="A555" s="493" t="s">
        <v>614</v>
      </c>
      <c r="B555" s="493" t="s">
        <v>2403</v>
      </c>
      <c r="C555" s="493" t="s">
        <v>2399</v>
      </c>
      <c r="D555" s="493" t="s">
        <v>876</v>
      </c>
      <c r="E555" s="493" t="s">
        <v>917</v>
      </c>
      <c r="F555" s="493" t="s">
        <v>636</v>
      </c>
      <c r="G555" s="493" t="s">
        <v>878</v>
      </c>
      <c r="H555" s="494">
        <v>2958465</v>
      </c>
      <c r="I555" s="494">
        <v>40179</v>
      </c>
      <c r="J555" s="493" t="s">
        <v>2403</v>
      </c>
      <c r="K555" s="493" t="s">
        <v>2360</v>
      </c>
      <c r="L555" s="493" t="s">
        <v>899</v>
      </c>
      <c r="M555" s="493" t="s">
        <v>1062</v>
      </c>
      <c r="N555" s="493" t="s">
        <v>919</v>
      </c>
    </row>
    <row r="556" spans="1:14" x14ac:dyDescent="0.25">
      <c r="A556" s="493" t="s">
        <v>2404</v>
      </c>
      <c r="B556" s="493" t="s">
        <v>2405</v>
      </c>
      <c r="C556" s="493" t="s">
        <v>2406</v>
      </c>
      <c r="D556" s="493" t="s">
        <v>876</v>
      </c>
      <c r="E556" s="493" t="s">
        <v>917</v>
      </c>
      <c r="F556" s="493" t="s">
        <v>636</v>
      </c>
      <c r="G556" s="493" t="s">
        <v>878</v>
      </c>
      <c r="H556" s="494">
        <v>2958465</v>
      </c>
      <c r="I556" s="494">
        <v>40179</v>
      </c>
      <c r="J556" s="493" t="s">
        <v>2405</v>
      </c>
      <c r="K556" s="493" t="s">
        <v>2360</v>
      </c>
      <c r="L556" s="493" t="s">
        <v>899</v>
      </c>
      <c r="M556" s="493" t="s">
        <v>1058</v>
      </c>
      <c r="N556" s="493" t="s">
        <v>919</v>
      </c>
    </row>
    <row r="557" spans="1:14" x14ac:dyDescent="0.25">
      <c r="A557" s="493" t="s">
        <v>2407</v>
      </c>
      <c r="B557" s="493" t="s">
        <v>2408</v>
      </c>
      <c r="C557" s="493" t="s">
        <v>2378</v>
      </c>
      <c r="D557" s="493" t="s">
        <v>876</v>
      </c>
      <c r="E557" s="493" t="s">
        <v>917</v>
      </c>
      <c r="F557" s="493" t="s">
        <v>636</v>
      </c>
      <c r="G557" s="493" t="s">
        <v>878</v>
      </c>
      <c r="H557" s="494">
        <v>2958465</v>
      </c>
      <c r="I557" s="494">
        <v>40179</v>
      </c>
      <c r="J557" s="493" t="s">
        <v>2409</v>
      </c>
      <c r="K557" s="493" t="s">
        <v>2360</v>
      </c>
      <c r="L557" s="493" t="s">
        <v>899</v>
      </c>
      <c r="M557" s="493" t="s">
        <v>1062</v>
      </c>
      <c r="N557" s="493" t="s">
        <v>919</v>
      </c>
    </row>
    <row r="558" spans="1:14" x14ac:dyDescent="0.25">
      <c r="A558" s="493" t="s">
        <v>2410</v>
      </c>
      <c r="B558" s="493" t="s">
        <v>2411</v>
      </c>
      <c r="C558" s="493" t="s">
        <v>2406</v>
      </c>
      <c r="D558" s="493" t="s">
        <v>876</v>
      </c>
      <c r="E558" s="493" t="s">
        <v>917</v>
      </c>
      <c r="F558" s="493" t="s">
        <v>636</v>
      </c>
      <c r="G558" s="493" t="s">
        <v>878</v>
      </c>
      <c r="H558" s="494">
        <v>2958465</v>
      </c>
      <c r="I558" s="494">
        <v>40179</v>
      </c>
      <c r="J558" s="493" t="s">
        <v>2412</v>
      </c>
      <c r="K558" s="493" t="s">
        <v>2360</v>
      </c>
      <c r="L558" s="493" t="s">
        <v>899</v>
      </c>
      <c r="M558" s="493" t="s">
        <v>1058</v>
      </c>
      <c r="N558" s="493" t="s">
        <v>919</v>
      </c>
    </row>
    <row r="559" spans="1:14" x14ac:dyDescent="0.25">
      <c r="A559" s="493" t="s">
        <v>2413</v>
      </c>
      <c r="B559" s="493" t="s">
        <v>2414</v>
      </c>
      <c r="C559" s="493" t="s">
        <v>2406</v>
      </c>
      <c r="D559" s="493" t="s">
        <v>876</v>
      </c>
      <c r="E559" s="493" t="s">
        <v>917</v>
      </c>
      <c r="F559" s="493" t="s">
        <v>636</v>
      </c>
      <c r="G559" s="493" t="s">
        <v>878</v>
      </c>
      <c r="H559" s="494">
        <v>2958465</v>
      </c>
      <c r="I559" s="494">
        <v>40179</v>
      </c>
      <c r="J559" s="493" t="s">
        <v>2415</v>
      </c>
      <c r="K559" s="493" t="s">
        <v>2360</v>
      </c>
      <c r="L559" s="493" t="s">
        <v>966</v>
      </c>
      <c r="M559" s="493" t="s">
        <v>1058</v>
      </c>
      <c r="N559" s="493" t="s">
        <v>919</v>
      </c>
    </row>
    <row r="560" spans="1:14" x14ac:dyDescent="0.25">
      <c r="A560" s="493" t="s">
        <v>2416</v>
      </c>
      <c r="B560" s="493" t="s">
        <v>2417</v>
      </c>
      <c r="C560" s="493" t="s">
        <v>1732</v>
      </c>
      <c r="D560" s="493" t="s">
        <v>876</v>
      </c>
      <c r="E560" s="493" t="s">
        <v>1152</v>
      </c>
      <c r="F560" s="493" t="s">
        <v>636</v>
      </c>
      <c r="G560" s="493" t="s">
        <v>878</v>
      </c>
      <c r="H560" s="494">
        <v>2958465</v>
      </c>
      <c r="I560" s="494">
        <v>40179</v>
      </c>
      <c r="J560" s="493" t="s">
        <v>2417</v>
      </c>
      <c r="K560" s="493" t="s">
        <v>2360</v>
      </c>
      <c r="L560" s="493" t="s">
        <v>1138</v>
      </c>
      <c r="M560" s="493" t="s">
        <v>1058</v>
      </c>
      <c r="N560" s="493" t="s">
        <v>1153</v>
      </c>
    </row>
    <row r="561" spans="1:14" x14ac:dyDescent="0.25">
      <c r="A561" s="493" t="s">
        <v>2418</v>
      </c>
      <c r="B561" s="493" t="s">
        <v>2419</v>
      </c>
      <c r="C561" s="493" t="s">
        <v>2075</v>
      </c>
      <c r="D561" s="493" t="s">
        <v>876</v>
      </c>
      <c r="E561" s="493" t="s">
        <v>917</v>
      </c>
      <c r="F561" s="493" t="s">
        <v>636</v>
      </c>
      <c r="G561" s="493" t="s">
        <v>878</v>
      </c>
      <c r="H561" s="494">
        <v>2958465</v>
      </c>
      <c r="I561" s="494">
        <v>40179</v>
      </c>
      <c r="J561" s="493" t="s">
        <v>2419</v>
      </c>
      <c r="K561" s="493" t="s">
        <v>2360</v>
      </c>
      <c r="L561" s="493" t="s">
        <v>899</v>
      </c>
      <c r="M561" s="493" t="s">
        <v>1062</v>
      </c>
      <c r="N561" s="493" t="s">
        <v>919</v>
      </c>
    </row>
    <row r="562" spans="1:14" x14ac:dyDescent="0.25">
      <c r="A562" s="493" t="s">
        <v>2420</v>
      </c>
      <c r="B562" s="493" t="s">
        <v>2421</v>
      </c>
      <c r="C562" s="493" t="s">
        <v>2422</v>
      </c>
      <c r="D562" s="493" t="s">
        <v>876</v>
      </c>
      <c r="E562" s="493" t="s">
        <v>917</v>
      </c>
      <c r="F562" s="493" t="s">
        <v>636</v>
      </c>
      <c r="G562" s="493" t="s">
        <v>878</v>
      </c>
      <c r="H562" s="494">
        <v>2958465</v>
      </c>
      <c r="I562" s="494">
        <v>40179</v>
      </c>
      <c r="J562" s="493" t="s">
        <v>2421</v>
      </c>
      <c r="K562" s="493" t="s">
        <v>2360</v>
      </c>
      <c r="L562" s="493" t="s">
        <v>899</v>
      </c>
      <c r="M562" s="493" t="s">
        <v>1062</v>
      </c>
      <c r="N562" s="493" t="s">
        <v>919</v>
      </c>
    </row>
    <row r="563" spans="1:14" x14ac:dyDescent="0.25">
      <c r="A563" s="493" t="s">
        <v>2423</v>
      </c>
      <c r="B563" s="493" t="s">
        <v>2424</v>
      </c>
      <c r="C563" s="493" t="s">
        <v>1732</v>
      </c>
      <c r="D563" s="493" t="s">
        <v>876</v>
      </c>
      <c r="E563" s="493" t="s">
        <v>1143</v>
      </c>
      <c r="F563" s="493" t="s">
        <v>636</v>
      </c>
      <c r="G563" s="493" t="s">
        <v>878</v>
      </c>
      <c r="H563" s="494">
        <v>2958465</v>
      </c>
      <c r="I563" s="494">
        <v>40179</v>
      </c>
      <c r="J563" s="493" t="s">
        <v>2424</v>
      </c>
      <c r="K563" s="493" t="s">
        <v>2360</v>
      </c>
      <c r="L563" s="493" t="s">
        <v>1439</v>
      </c>
      <c r="M563" s="493" t="s">
        <v>912</v>
      </c>
      <c r="N563" s="493" t="s">
        <v>1146</v>
      </c>
    </row>
    <row r="564" spans="1:14" x14ac:dyDescent="0.25">
      <c r="A564" s="493" t="s">
        <v>2425</v>
      </c>
      <c r="B564" s="493" t="s">
        <v>2426</v>
      </c>
      <c r="C564" s="493" t="s">
        <v>2059</v>
      </c>
      <c r="D564" s="493" t="s">
        <v>876</v>
      </c>
      <c r="E564" s="493" t="s">
        <v>1152</v>
      </c>
      <c r="F564" s="493" t="s">
        <v>636</v>
      </c>
      <c r="G564" s="493" t="s">
        <v>878</v>
      </c>
      <c r="H564" s="494">
        <v>2958465</v>
      </c>
      <c r="I564" s="494">
        <v>40179</v>
      </c>
      <c r="J564" s="493" t="s">
        <v>2426</v>
      </c>
      <c r="K564" s="493" t="s">
        <v>2360</v>
      </c>
      <c r="L564" s="493" t="s">
        <v>1253</v>
      </c>
      <c r="M564" s="493" t="s">
        <v>1062</v>
      </c>
      <c r="N564" s="493" t="s">
        <v>1153</v>
      </c>
    </row>
    <row r="565" spans="1:14" x14ac:dyDescent="0.25">
      <c r="A565" s="493" t="s">
        <v>2427</v>
      </c>
      <c r="B565" s="493" t="s">
        <v>2428</v>
      </c>
      <c r="C565" s="493" t="s">
        <v>1339</v>
      </c>
      <c r="D565" s="493" t="s">
        <v>876</v>
      </c>
      <c r="E565" s="493" t="s">
        <v>1143</v>
      </c>
      <c r="F565" s="493" t="s">
        <v>636</v>
      </c>
      <c r="G565" s="493" t="s">
        <v>878</v>
      </c>
      <c r="H565" s="494">
        <v>2958465</v>
      </c>
      <c r="I565" s="494">
        <v>40179</v>
      </c>
      <c r="J565" s="493" t="s">
        <v>2428</v>
      </c>
      <c r="K565" s="493" t="s">
        <v>2360</v>
      </c>
      <c r="L565" s="493" t="s">
        <v>1253</v>
      </c>
      <c r="M565" s="493" t="s">
        <v>1145</v>
      </c>
      <c r="N565" s="493" t="s">
        <v>1146</v>
      </c>
    </row>
    <row r="566" spans="1:14" x14ac:dyDescent="0.25">
      <c r="A566" s="493" t="s">
        <v>2429</v>
      </c>
      <c r="B566" s="493" t="s">
        <v>2430</v>
      </c>
      <c r="C566" s="493" t="s">
        <v>2431</v>
      </c>
      <c r="D566" s="493" t="s">
        <v>876</v>
      </c>
      <c r="E566" s="493" t="s">
        <v>1152</v>
      </c>
      <c r="F566" s="493" t="s">
        <v>636</v>
      </c>
      <c r="G566" s="493" t="s">
        <v>878</v>
      </c>
      <c r="H566" s="494">
        <v>2958465</v>
      </c>
      <c r="I566" s="494">
        <v>40179</v>
      </c>
      <c r="J566" s="493" t="s">
        <v>2430</v>
      </c>
      <c r="K566" s="493" t="s">
        <v>2360</v>
      </c>
      <c r="L566" s="493" t="s">
        <v>1424</v>
      </c>
      <c r="M566" s="493" t="s">
        <v>1062</v>
      </c>
      <c r="N566" s="493" t="s">
        <v>1153</v>
      </c>
    </row>
    <row r="567" spans="1:14" x14ac:dyDescent="0.25">
      <c r="A567" s="493" t="s">
        <v>2432</v>
      </c>
      <c r="B567" s="493" t="s">
        <v>2433</v>
      </c>
      <c r="C567" s="493" t="s">
        <v>2431</v>
      </c>
      <c r="D567" s="493" t="s">
        <v>876</v>
      </c>
      <c r="E567" s="493" t="s">
        <v>1152</v>
      </c>
      <c r="F567" s="493" t="s">
        <v>636</v>
      </c>
      <c r="G567" s="493" t="s">
        <v>878</v>
      </c>
      <c r="H567" s="494">
        <v>2958465</v>
      </c>
      <c r="I567" s="494">
        <v>40179</v>
      </c>
      <c r="J567" s="493" t="s">
        <v>2433</v>
      </c>
      <c r="K567" s="493" t="s">
        <v>2360</v>
      </c>
      <c r="L567" s="493" t="s">
        <v>1424</v>
      </c>
      <c r="M567" s="493" t="s">
        <v>1058</v>
      </c>
      <c r="N567" s="493" t="s">
        <v>1153</v>
      </c>
    </row>
    <row r="568" spans="1:14" x14ac:dyDescent="0.25">
      <c r="A568" s="493" t="s">
        <v>2434</v>
      </c>
      <c r="B568" s="493" t="s">
        <v>2435</v>
      </c>
      <c r="C568" s="493" t="s">
        <v>1339</v>
      </c>
      <c r="D568" s="493" t="s">
        <v>876</v>
      </c>
      <c r="E568" s="493" t="s">
        <v>1143</v>
      </c>
      <c r="F568" s="493" t="s">
        <v>636</v>
      </c>
      <c r="G568" s="493" t="s">
        <v>878</v>
      </c>
      <c r="H568" s="494">
        <v>2958465</v>
      </c>
      <c r="I568" s="494">
        <v>40179</v>
      </c>
      <c r="J568" s="493" t="s">
        <v>2435</v>
      </c>
      <c r="K568" s="493" t="s">
        <v>2360</v>
      </c>
      <c r="L568" s="493" t="s">
        <v>2436</v>
      </c>
      <c r="M568" s="493" t="s">
        <v>1145</v>
      </c>
      <c r="N568" s="493" t="s">
        <v>1146</v>
      </c>
    </row>
    <row r="569" spans="1:14" x14ac:dyDescent="0.25">
      <c r="A569" s="493" t="s">
        <v>2437</v>
      </c>
      <c r="B569" s="493" t="s">
        <v>2438</v>
      </c>
      <c r="C569" s="493" t="s">
        <v>1339</v>
      </c>
      <c r="D569" s="493" t="s">
        <v>876</v>
      </c>
      <c r="E569" s="493" t="s">
        <v>1143</v>
      </c>
      <c r="F569" s="493" t="s">
        <v>636</v>
      </c>
      <c r="G569" s="493" t="s">
        <v>878</v>
      </c>
      <c r="H569" s="494">
        <v>2958465</v>
      </c>
      <c r="I569" s="494">
        <v>40179</v>
      </c>
      <c r="J569" s="493" t="s">
        <v>2439</v>
      </c>
      <c r="K569" s="493" t="s">
        <v>2360</v>
      </c>
      <c r="L569" s="493" t="s">
        <v>2281</v>
      </c>
      <c r="M569" s="493" t="s">
        <v>1145</v>
      </c>
      <c r="N569" s="493" t="s">
        <v>1146</v>
      </c>
    </row>
    <row r="570" spans="1:14" x14ac:dyDescent="0.25">
      <c r="A570" s="493" t="s">
        <v>2440</v>
      </c>
      <c r="B570" s="493" t="s">
        <v>2441</v>
      </c>
      <c r="C570" s="493" t="s">
        <v>1732</v>
      </c>
      <c r="D570" s="493" t="s">
        <v>876</v>
      </c>
      <c r="E570" s="493" t="s">
        <v>1143</v>
      </c>
      <c r="F570" s="493" t="s">
        <v>636</v>
      </c>
      <c r="G570" s="493" t="s">
        <v>878</v>
      </c>
      <c r="H570" s="494">
        <v>2958465</v>
      </c>
      <c r="I570" s="494">
        <v>40179</v>
      </c>
      <c r="J570" s="493" t="s">
        <v>2442</v>
      </c>
      <c r="K570" s="493" t="s">
        <v>2360</v>
      </c>
      <c r="L570" s="493" t="s">
        <v>1138</v>
      </c>
      <c r="M570" s="493" t="s">
        <v>912</v>
      </c>
      <c r="N570" s="493" t="s">
        <v>1146</v>
      </c>
    </row>
    <row r="571" spans="1:14" x14ac:dyDescent="0.25">
      <c r="A571" s="493" t="s">
        <v>2443</v>
      </c>
      <c r="B571" s="493" t="s">
        <v>2444</v>
      </c>
      <c r="C571" s="493" t="s">
        <v>1732</v>
      </c>
      <c r="D571" s="493" t="s">
        <v>876</v>
      </c>
      <c r="E571" s="493" t="s">
        <v>1143</v>
      </c>
      <c r="F571" s="493" t="s">
        <v>636</v>
      </c>
      <c r="G571" s="493" t="s">
        <v>878</v>
      </c>
      <c r="H571" s="494">
        <v>2958465</v>
      </c>
      <c r="I571" s="494">
        <v>40179</v>
      </c>
      <c r="J571" s="493" t="s">
        <v>2445</v>
      </c>
      <c r="K571" s="493" t="s">
        <v>2360</v>
      </c>
      <c r="L571" s="493" t="s">
        <v>2446</v>
      </c>
      <c r="M571" s="493" t="s">
        <v>912</v>
      </c>
      <c r="N571" s="493" t="s">
        <v>1146</v>
      </c>
    </row>
    <row r="572" spans="1:14" x14ac:dyDescent="0.25">
      <c r="A572" s="493" t="s">
        <v>2447</v>
      </c>
      <c r="B572" s="493" t="s">
        <v>2448</v>
      </c>
      <c r="C572" s="493" t="s">
        <v>1732</v>
      </c>
      <c r="D572" s="493" t="s">
        <v>876</v>
      </c>
      <c r="E572" s="493" t="s">
        <v>1143</v>
      </c>
      <c r="F572" s="493" t="s">
        <v>636</v>
      </c>
      <c r="G572" s="493" t="s">
        <v>878</v>
      </c>
      <c r="H572" s="494">
        <v>2958465</v>
      </c>
      <c r="I572" s="494">
        <v>40179</v>
      </c>
      <c r="J572" s="493" t="s">
        <v>2449</v>
      </c>
      <c r="K572" s="493" t="s">
        <v>2360</v>
      </c>
      <c r="L572" s="493" t="s">
        <v>1349</v>
      </c>
      <c r="M572" s="493" t="s">
        <v>912</v>
      </c>
      <c r="N572" s="493" t="s">
        <v>1146</v>
      </c>
    </row>
    <row r="573" spans="1:14" x14ac:dyDescent="0.25">
      <c r="A573" s="493" t="s">
        <v>2450</v>
      </c>
      <c r="B573" s="493" t="s">
        <v>2451</v>
      </c>
      <c r="C573" s="493" t="s">
        <v>1732</v>
      </c>
      <c r="D573" s="493" t="s">
        <v>876</v>
      </c>
      <c r="E573" s="493" t="s">
        <v>1143</v>
      </c>
      <c r="F573" s="493" t="s">
        <v>636</v>
      </c>
      <c r="G573" s="493" t="s">
        <v>878</v>
      </c>
      <c r="H573" s="494">
        <v>2958465</v>
      </c>
      <c r="I573" s="494">
        <v>40179</v>
      </c>
      <c r="J573" s="493" t="s">
        <v>2452</v>
      </c>
      <c r="K573" s="493" t="s">
        <v>2360</v>
      </c>
      <c r="L573" s="493" t="s">
        <v>2446</v>
      </c>
      <c r="M573" s="493" t="s">
        <v>912</v>
      </c>
      <c r="N573" s="493" t="s">
        <v>1146</v>
      </c>
    </row>
    <row r="574" spans="1:14" x14ac:dyDescent="0.25">
      <c r="A574" s="493" t="s">
        <v>2453</v>
      </c>
      <c r="B574" s="493" t="s">
        <v>2454</v>
      </c>
      <c r="C574" s="493" t="s">
        <v>1732</v>
      </c>
      <c r="D574" s="493" t="s">
        <v>876</v>
      </c>
      <c r="E574" s="493" t="s">
        <v>1143</v>
      </c>
      <c r="F574" s="493" t="s">
        <v>636</v>
      </c>
      <c r="G574" s="493" t="s">
        <v>878</v>
      </c>
      <c r="H574" s="494">
        <v>2958465</v>
      </c>
      <c r="I574" s="494">
        <v>40179</v>
      </c>
      <c r="J574" s="493" t="s">
        <v>2454</v>
      </c>
      <c r="K574" s="493" t="s">
        <v>2360</v>
      </c>
      <c r="L574" s="493" t="s">
        <v>1259</v>
      </c>
      <c r="M574" s="493" t="s">
        <v>912</v>
      </c>
      <c r="N574" s="493" t="s">
        <v>1146</v>
      </c>
    </row>
    <row r="575" spans="1:14" x14ac:dyDescent="0.25">
      <c r="A575" s="493" t="s">
        <v>2455</v>
      </c>
      <c r="B575" s="493" t="s">
        <v>2456</v>
      </c>
      <c r="C575" s="493" t="s">
        <v>1339</v>
      </c>
      <c r="D575" s="493" t="s">
        <v>876</v>
      </c>
      <c r="E575" s="493" t="s">
        <v>1143</v>
      </c>
      <c r="F575" s="493" t="s">
        <v>636</v>
      </c>
      <c r="G575" s="493" t="s">
        <v>878</v>
      </c>
      <c r="H575" s="494">
        <v>2958465</v>
      </c>
      <c r="I575" s="494">
        <v>40179</v>
      </c>
      <c r="J575" s="493" t="s">
        <v>2456</v>
      </c>
      <c r="K575" s="493" t="s">
        <v>2360</v>
      </c>
      <c r="L575" s="493" t="s">
        <v>1424</v>
      </c>
      <c r="M575" s="493" t="s">
        <v>912</v>
      </c>
      <c r="N575" s="493" t="s">
        <v>1146</v>
      </c>
    </row>
    <row r="576" spans="1:14" x14ac:dyDescent="0.25">
      <c r="A576" s="493" t="s">
        <v>2457</v>
      </c>
      <c r="B576" s="493" t="s">
        <v>2458</v>
      </c>
      <c r="C576" s="493" t="s">
        <v>1732</v>
      </c>
      <c r="D576" s="493" t="s">
        <v>876</v>
      </c>
      <c r="E576" s="493" t="s">
        <v>1143</v>
      </c>
      <c r="F576" s="493" t="s">
        <v>636</v>
      </c>
      <c r="G576" s="493" t="s">
        <v>878</v>
      </c>
      <c r="H576" s="494">
        <v>2958465</v>
      </c>
      <c r="I576" s="494">
        <v>40179</v>
      </c>
      <c r="J576" s="493" t="s">
        <v>2459</v>
      </c>
      <c r="K576" s="493" t="s">
        <v>2360</v>
      </c>
      <c r="L576" s="493" t="s">
        <v>1349</v>
      </c>
      <c r="M576" s="493" t="s">
        <v>912</v>
      </c>
      <c r="N576" s="493" t="s">
        <v>1146</v>
      </c>
    </row>
    <row r="577" spans="1:14" x14ac:dyDescent="0.25">
      <c r="A577" s="493" t="s">
        <v>2460</v>
      </c>
      <c r="B577" s="493" t="s">
        <v>2461</v>
      </c>
      <c r="C577" s="493" t="s">
        <v>1339</v>
      </c>
      <c r="D577" s="493" t="s">
        <v>876</v>
      </c>
      <c r="E577" s="493" t="s">
        <v>1143</v>
      </c>
      <c r="F577" s="493" t="s">
        <v>636</v>
      </c>
      <c r="G577" s="493" t="s">
        <v>878</v>
      </c>
      <c r="H577" s="494">
        <v>2958465</v>
      </c>
      <c r="I577" s="494">
        <v>40179</v>
      </c>
      <c r="J577" s="493" t="s">
        <v>2462</v>
      </c>
      <c r="K577" s="493" t="s">
        <v>2360</v>
      </c>
      <c r="L577" s="493" t="s">
        <v>818</v>
      </c>
      <c r="M577" s="493" t="s">
        <v>1145</v>
      </c>
      <c r="N577" s="493" t="s">
        <v>1146</v>
      </c>
    </row>
    <row r="578" spans="1:14" x14ac:dyDescent="0.25">
      <c r="A578" s="493" t="s">
        <v>2463</v>
      </c>
      <c r="B578" s="493" t="s">
        <v>2464</v>
      </c>
      <c r="C578" s="493" t="s">
        <v>2363</v>
      </c>
      <c r="D578" s="493" t="s">
        <v>876</v>
      </c>
      <c r="E578" s="493" t="s">
        <v>1152</v>
      </c>
      <c r="F578" s="493" t="s">
        <v>636</v>
      </c>
      <c r="G578" s="493" t="s">
        <v>878</v>
      </c>
      <c r="H578" s="494">
        <v>2958465</v>
      </c>
      <c r="I578" s="494">
        <v>40179</v>
      </c>
      <c r="J578" s="493" t="s">
        <v>2464</v>
      </c>
      <c r="K578" s="493" t="s">
        <v>2360</v>
      </c>
      <c r="L578" s="493" t="s">
        <v>1240</v>
      </c>
      <c r="M578" s="493" t="s">
        <v>1062</v>
      </c>
      <c r="N578" s="493" t="s">
        <v>1153</v>
      </c>
    </row>
    <row r="579" spans="1:14" x14ac:dyDescent="0.25">
      <c r="A579" s="493" t="s">
        <v>2465</v>
      </c>
      <c r="B579" s="493" t="s">
        <v>2466</v>
      </c>
      <c r="C579" s="493" t="s">
        <v>2467</v>
      </c>
      <c r="D579" s="493" t="s">
        <v>876</v>
      </c>
      <c r="E579" s="493" t="s">
        <v>1152</v>
      </c>
      <c r="F579" s="493" t="s">
        <v>636</v>
      </c>
      <c r="G579" s="493" t="s">
        <v>878</v>
      </c>
      <c r="H579" s="494">
        <v>2958465</v>
      </c>
      <c r="I579" s="494">
        <v>40179</v>
      </c>
      <c r="J579" s="493" t="s">
        <v>2468</v>
      </c>
      <c r="K579" s="493" t="s">
        <v>2360</v>
      </c>
      <c r="L579" s="493" t="s">
        <v>1353</v>
      </c>
      <c r="M579" s="493" t="s">
        <v>1062</v>
      </c>
      <c r="N579" s="493" t="s">
        <v>1153</v>
      </c>
    </row>
    <row r="580" spans="1:14" x14ac:dyDescent="0.25">
      <c r="A580" s="493" t="s">
        <v>2469</v>
      </c>
      <c r="B580" s="493" t="s">
        <v>2470</v>
      </c>
      <c r="C580" s="493" t="s">
        <v>2431</v>
      </c>
      <c r="D580" s="493" t="s">
        <v>876</v>
      </c>
      <c r="E580" s="493" t="s">
        <v>1152</v>
      </c>
      <c r="F580" s="493" t="s">
        <v>636</v>
      </c>
      <c r="G580" s="493" t="s">
        <v>878</v>
      </c>
      <c r="H580" s="494">
        <v>2958465</v>
      </c>
      <c r="I580" s="494">
        <v>40179</v>
      </c>
      <c r="J580" s="493" t="s">
        <v>2470</v>
      </c>
      <c r="K580" s="493" t="s">
        <v>2360</v>
      </c>
      <c r="L580" s="493" t="s">
        <v>1424</v>
      </c>
      <c r="M580" s="493" t="s">
        <v>1062</v>
      </c>
      <c r="N580" s="493" t="s">
        <v>1153</v>
      </c>
    </row>
    <row r="581" spans="1:14" x14ac:dyDescent="0.25">
      <c r="A581" s="493" t="s">
        <v>2471</v>
      </c>
      <c r="B581" s="493" t="s">
        <v>2472</v>
      </c>
      <c r="C581" s="493" t="s">
        <v>2363</v>
      </c>
      <c r="D581" s="493" t="s">
        <v>876</v>
      </c>
      <c r="E581" s="493" t="s">
        <v>1152</v>
      </c>
      <c r="F581" s="493" t="s">
        <v>636</v>
      </c>
      <c r="G581" s="493" t="s">
        <v>878</v>
      </c>
      <c r="H581" s="494">
        <v>2958465</v>
      </c>
      <c r="I581" s="494">
        <v>40179</v>
      </c>
      <c r="J581" s="493" t="s">
        <v>2473</v>
      </c>
      <c r="K581" s="493" t="s">
        <v>2360</v>
      </c>
      <c r="L581" s="493" t="s">
        <v>1240</v>
      </c>
      <c r="M581" s="493" t="s">
        <v>1062</v>
      </c>
      <c r="N581" s="493" t="s">
        <v>1153</v>
      </c>
    </row>
    <row r="582" spans="1:14" x14ac:dyDescent="0.25">
      <c r="A582" s="493" t="s">
        <v>2474</v>
      </c>
      <c r="B582" s="493" t="s">
        <v>2475</v>
      </c>
      <c r="C582" s="493" t="s">
        <v>2369</v>
      </c>
      <c r="D582" s="493" t="s">
        <v>876</v>
      </c>
      <c r="E582" s="493" t="s">
        <v>1152</v>
      </c>
      <c r="F582" s="493" t="s">
        <v>636</v>
      </c>
      <c r="G582" s="493" t="s">
        <v>878</v>
      </c>
      <c r="H582" s="494">
        <v>2958465</v>
      </c>
      <c r="I582" s="494">
        <v>40179</v>
      </c>
      <c r="J582" s="493" t="s">
        <v>2476</v>
      </c>
      <c r="K582" s="493" t="s">
        <v>2360</v>
      </c>
      <c r="L582" s="493" t="s">
        <v>1138</v>
      </c>
      <c r="M582" s="493" t="s">
        <v>1062</v>
      </c>
      <c r="N582" s="493" t="s">
        <v>1153</v>
      </c>
    </row>
    <row r="583" spans="1:14" x14ac:dyDescent="0.25">
      <c r="A583" s="493" t="s">
        <v>2477</v>
      </c>
      <c r="B583" s="493" t="s">
        <v>2402</v>
      </c>
      <c r="C583" s="493" t="s">
        <v>2075</v>
      </c>
      <c r="D583" s="493" t="s">
        <v>876</v>
      </c>
      <c r="E583" s="493" t="s">
        <v>917</v>
      </c>
      <c r="F583" s="493" t="s">
        <v>2</v>
      </c>
      <c r="G583" s="493" t="s">
        <v>878</v>
      </c>
      <c r="H583" s="494">
        <v>2958465</v>
      </c>
      <c r="I583" s="494">
        <v>40179</v>
      </c>
      <c r="J583" s="493" t="s">
        <v>2402</v>
      </c>
      <c r="K583" s="493" t="s">
        <v>2478</v>
      </c>
      <c r="L583" s="493" t="s">
        <v>899</v>
      </c>
      <c r="M583" s="493" t="s">
        <v>1062</v>
      </c>
      <c r="N583" s="493" t="s">
        <v>919</v>
      </c>
    </row>
    <row r="584" spans="1:14" x14ac:dyDescent="0.25">
      <c r="A584" s="493" t="s">
        <v>2479</v>
      </c>
      <c r="B584" s="493" t="s">
        <v>2480</v>
      </c>
      <c r="C584" s="493" t="s">
        <v>1098</v>
      </c>
      <c r="D584" s="493" t="s">
        <v>876</v>
      </c>
      <c r="E584" s="493" t="s">
        <v>897</v>
      </c>
      <c r="F584" s="493" t="s">
        <v>636</v>
      </c>
      <c r="G584" s="493" t="s">
        <v>878</v>
      </c>
      <c r="H584" s="494">
        <v>2958465</v>
      </c>
      <c r="I584" s="494">
        <v>40179</v>
      </c>
      <c r="J584" s="493" t="s">
        <v>2481</v>
      </c>
      <c r="K584" s="493" t="s">
        <v>2482</v>
      </c>
      <c r="L584" s="493" t="s">
        <v>966</v>
      </c>
      <c r="M584" s="493" t="s">
        <v>2306</v>
      </c>
      <c r="N584" s="493" t="s">
        <v>901</v>
      </c>
    </row>
    <row r="585" spans="1:14" x14ac:dyDescent="0.25">
      <c r="A585" s="493" t="s">
        <v>2483</v>
      </c>
      <c r="B585" s="493" t="s">
        <v>2484</v>
      </c>
      <c r="C585" s="493" t="s">
        <v>1098</v>
      </c>
      <c r="D585" s="493" t="s">
        <v>876</v>
      </c>
      <c r="E585" s="493" t="s">
        <v>897</v>
      </c>
      <c r="F585" s="493" t="s">
        <v>636</v>
      </c>
      <c r="G585" s="493" t="s">
        <v>878</v>
      </c>
      <c r="H585" s="494">
        <v>2958465</v>
      </c>
      <c r="I585" s="494">
        <v>40179</v>
      </c>
      <c r="J585" s="493" t="s">
        <v>2485</v>
      </c>
      <c r="K585" s="493" t="s">
        <v>2486</v>
      </c>
      <c r="L585" s="493" t="s">
        <v>966</v>
      </c>
      <c r="M585" s="493" t="s">
        <v>2306</v>
      </c>
      <c r="N585" s="493" t="s">
        <v>901</v>
      </c>
    </row>
    <row r="586" spans="1:14" x14ac:dyDescent="0.25">
      <c r="A586" s="493" t="s">
        <v>2487</v>
      </c>
      <c r="B586" s="493" t="s">
        <v>2488</v>
      </c>
      <c r="C586" s="493" t="s">
        <v>1098</v>
      </c>
      <c r="D586" s="493" t="s">
        <v>876</v>
      </c>
      <c r="E586" s="493" t="s">
        <v>897</v>
      </c>
      <c r="F586" s="493" t="s">
        <v>636</v>
      </c>
      <c r="G586" s="493" t="s">
        <v>878</v>
      </c>
      <c r="H586" s="494">
        <v>2958465</v>
      </c>
      <c r="I586" s="494">
        <v>40179</v>
      </c>
      <c r="J586" s="493" t="s">
        <v>2489</v>
      </c>
      <c r="K586" s="493" t="s">
        <v>2490</v>
      </c>
      <c r="L586" s="493" t="s">
        <v>966</v>
      </c>
      <c r="M586" s="493" t="s">
        <v>2306</v>
      </c>
      <c r="N586" s="493" t="s">
        <v>901</v>
      </c>
    </row>
    <row r="587" spans="1:14" x14ac:dyDescent="0.25">
      <c r="A587" s="493" t="s">
        <v>2491</v>
      </c>
      <c r="B587" s="493" t="s">
        <v>2492</v>
      </c>
      <c r="C587" s="493" t="s">
        <v>183</v>
      </c>
      <c r="D587" s="493" t="s">
        <v>876</v>
      </c>
      <c r="E587" s="493" t="s">
        <v>1152</v>
      </c>
      <c r="F587" s="493" t="s">
        <v>636</v>
      </c>
      <c r="G587" s="493" t="s">
        <v>878</v>
      </c>
      <c r="H587" s="494">
        <v>2958465</v>
      </c>
      <c r="I587" s="494">
        <v>40179</v>
      </c>
      <c r="J587" s="493" t="s">
        <v>2493</v>
      </c>
      <c r="K587" s="493" t="s">
        <v>2490</v>
      </c>
      <c r="L587" s="493" t="s">
        <v>1240</v>
      </c>
      <c r="M587" s="493" t="s">
        <v>950</v>
      </c>
      <c r="N587" s="493" t="s">
        <v>1978</v>
      </c>
    </row>
    <row r="588" spans="1:14" x14ac:dyDescent="0.25">
      <c r="A588" s="493" t="s">
        <v>2494</v>
      </c>
      <c r="B588" s="493" t="s">
        <v>2495</v>
      </c>
      <c r="C588" s="493" t="s">
        <v>183</v>
      </c>
      <c r="D588" s="493" t="s">
        <v>876</v>
      </c>
      <c r="E588" s="493" t="s">
        <v>1152</v>
      </c>
      <c r="F588" s="493" t="s">
        <v>636</v>
      </c>
      <c r="G588" s="493" t="s">
        <v>878</v>
      </c>
      <c r="H588" s="494">
        <v>2958465</v>
      </c>
      <c r="I588" s="494">
        <v>40179</v>
      </c>
      <c r="J588" s="493" t="s">
        <v>2495</v>
      </c>
      <c r="K588" s="493" t="s">
        <v>2490</v>
      </c>
      <c r="L588" s="493" t="s">
        <v>1259</v>
      </c>
      <c r="M588" s="493" t="s">
        <v>950</v>
      </c>
      <c r="N588" s="493" t="s">
        <v>1978</v>
      </c>
    </row>
    <row r="589" spans="1:14" x14ac:dyDescent="0.25">
      <c r="A589" s="493" t="s">
        <v>2496</v>
      </c>
      <c r="B589" s="493" t="s">
        <v>2497</v>
      </c>
      <c r="C589" s="493" t="s">
        <v>183</v>
      </c>
      <c r="D589" s="493" t="s">
        <v>876</v>
      </c>
      <c r="E589" s="493" t="s">
        <v>1152</v>
      </c>
      <c r="F589" s="493" t="s">
        <v>636</v>
      </c>
      <c r="G589" s="493" t="s">
        <v>878</v>
      </c>
      <c r="H589" s="494">
        <v>2958465</v>
      </c>
      <c r="I589" s="494">
        <v>40179</v>
      </c>
      <c r="J589" s="493" t="s">
        <v>2498</v>
      </c>
      <c r="K589" s="493" t="s">
        <v>2490</v>
      </c>
      <c r="L589" s="493" t="s">
        <v>1366</v>
      </c>
      <c r="M589" s="493" t="s">
        <v>950</v>
      </c>
      <c r="N589" s="493" t="s">
        <v>1978</v>
      </c>
    </row>
    <row r="590" spans="1:14" x14ac:dyDescent="0.25">
      <c r="A590" s="493" t="s">
        <v>2499</v>
      </c>
      <c r="B590" s="493" t="s">
        <v>2500</v>
      </c>
      <c r="C590" s="493" t="s">
        <v>2501</v>
      </c>
      <c r="D590" s="493" t="s">
        <v>876</v>
      </c>
      <c r="E590" s="493" t="s">
        <v>897</v>
      </c>
      <c r="F590" s="493" t="s">
        <v>636</v>
      </c>
      <c r="G590" s="493" t="s">
        <v>878</v>
      </c>
      <c r="H590" s="494">
        <v>2958465</v>
      </c>
      <c r="I590" s="494">
        <v>40179</v>
      </c>
      <c r="J590" s="493" t="s">
        <v>2502</v>
      </c>
      <c r="K590" s="493" t="s">
        <v>2490</v>
      </c>
      <c r="L590" s="493" t="s">
        <v>966</v>
      </c>
      <c r="M590" s="493" t="s">
        <v>999</v>
      </c>
      <c r="N590" s="493" t="s">
        <v>901</v>
      </c>
    </row>
    <row r="591" spans="1:14" x14ac:dyDescent="0.25">
      <c r="A591" s="493" t="s">
        <v>2503</v>
      </c>
      <c r="B591" s="493" t="s">
        <v>2504</v>
      </c>
      <c r="C591" s="493" t="s">
        <v>1098</v>
      </c>
      <c r="D591" s="493" t="s">
        <v>876</v>
      </c>
      <c r="E591" s="493" t="s">
        <v>897</v>
      </c>
      <c r="F591" s="493" t="s">
        <v>636</v>
      </c>
      <c r="G591" s="493" t="s">
        <v>878</v>
      </c>
      <c r="H591" s="494">
        <v>2958465</v>
      </c>
      <c r="I591" s="494">
        <v>40179</v>
      </c>
      <c r="J591" s="493" t="s">
        <v>2504</v>
      </c>
      <c r="K591" s="493" t="s">
        <v>2505</v>
      </c>
      <c r="L591" s="493" t="s">
        <v>966</v>
      </c>
      <c r="M591" s="493" t="s">
        <v>2306</v>
      </c>
      <c r="N591" s="493" t="s">
        <v>901</v>
      </c>
    </row>
    <row r="592" spans="1:14" x14ac:dyDescent="0.25">
      <c r="A592" s="493" t="s">
        <v>2506</v>
      </c>
      <c r="B592" s="493" t="s">
        <v>1980</v>
      </c>
      <c r="C592" s="493" t="s">
        <v>183</v>
      </c>
      <c r="D592" s="493" t="s">
        <v>876</v>
      </c>
      <c r="E592" s="493" t="s">
        <v>1152</v>
      </c>
      <c r="F592" s="493" t="s">
        <v>636</v>
      </c>
      <c r="G592" s="493" t="s">
        <v>878</v>
      </c>
      <c r="H592" s="494">
        <v>2958465</v>
      </c>
      <c r="I592" s="494">
        <v>40179</v>
      </c>
      <c r="J592" s="493" t="s">
        <v>1980</v>
      </c>
      <c r="K592" s="493" t="s">
        <v>2505</v>
      </c>
      <c r="L592" s="493" t="s">
        <v>1439</v>
      </c>
      <c r="M592" s="493" t="s">
        <v>950</v>
      </c>
      <c r="N592" s="493" t="s">
        <v>1978</v>
      </c>
    </row>
    <row r="593" spans="1:14" x14ac:dyDescent="0.25">
      <c r="A593" s="493" t="s">
        <v>2507</v>
      </c>
      <c r="B593" s="493" t="s">
        <v>2508</v>
      </c>
      <c r="C593" s="493" t="s">
        <v>1098</v>
      </c>
      <c r="D593" s="493" t="s">
        <v>876</v>
      </c>
      <c r="E593" s="493" t="s">
        <v>897</v>
      </c>
      <c r="F593" s="493" t="s">
        <v>636</v>
      </c>
      <c r="G593" s="493" t="s">
        <v>878</v>
      </c>
      <c r="H593" s="494">
        <v>2958465</v>
      </c>
      <c r="I593" s="494">
        <v>40179</v>
      </c>
      <c r="J593" s="493" t="s">
        <v>2509</v>
      </c>
      <c r="K593" s="493" t="s">
        <v>2510</v>
      </c>
      <c r="L593" s="493" t="s">
        <v>966</v>
      </c>
      <c r="M593" s="493" t="s">
        <v>2306</v>
      </c>
      <c r="N593" s="493" t="s">
        <v>901</v>
      </c>
    </row>
    <row r="594" spans="1:14" x14ac:dyDescent="0.25">
      <c r="A594" s="493" t="s">
        <v>2511</v>
      </c>
      <c r="B594" s="493" t="s">
        <v>2512</v>
      </c>
      <c r="C594" s="493" t="s">
        <v>183</v>
      </c>
      <c r="D594" s="493" t="s">
        <v>876</v>
      </c>
      <c r="E594" s="493" t="s">
        <v>1152</v>
      </c>
      <c r="F594" s="493" t="s">
        <v>636</v>
      </c>
      <c r="G594" s="493" t="s">
        <v>878</v>
      </c>
      <c r="H594" s="494">
        <v>2958465</v>
      </c>
      <c r="I594" s="494">
        <v>40179</v>
      </c>
      <c r="J594" s="493" t="s">
        <v>2512</v>
      </c>
      <c r="K594" s="493" t="s">
        <v>2510</v>
      </c>
      <c r="L594" s="493" t="s">
        <v>1349</v>
      </c>
      <c r="M594" s="493" t="s">
        <v>950</v>
      </c>
      <c r="N594" s="493" t="s">
        <v>1978</v>
      </c>
    </row>
    <row r="595" spans="1:14" x14ac:dyDescent="0.25">
      <c r="A595" s="493" t="s">
        <v>2513</v>
      </c>
      <c r="B595" s="493" t="s">
        <v>1996</v>
      </c>
      <c r="C595" s="493" t="s">
        <v>183</v>
      </c>
      <c r="D595" s="493" t="s">
        <v>876</v>
      </c>
      <c r="E595" s="493" t="s">
        <v>1152</v>
      </c>
      <c r="F595" s="493" t="s">
        <v>636</v>
      </c>
      <c r="G595" s="493" t="s">
        <v>878</v>
      </c>
      <c r="H595" s="494">
        <v>2958465</v>
      </c>
      <c r="I595" s="494">
        <v>40179</v>
      </c>
      <c r="J595" s="493" t="s">
        <v>1996</v>
      </c>
      <c r="K595" s="493" t="s">
        <v>2510</v>
      </c>
      <c r="L595" s="493" t="s">
        <v>1353</v>
      </c>
      <c r="M595" s="493" t="s">
        <v>950</v>
      </c>
      <c r="N595" s="493" t="s">
        <v>1978</v>
      </c>
    </row>
    <row r="596" spans="1:14" x14ac:dyDescent="0.25">
      <c r="A596" s="493" t="s">
        <v>2514</v>
      </c>
      <c r="B596" s="493" t="s">
        <v>2515</v>
      </c>
      <c r="C596" s="493" t="s">
        <v>183</v>
      </c>
      <c r="D596" s="493" t="s">
        <v>876</v>
      </c>
      <c r="E596" s="493" t="s">
        <v>1143</v>
      </c>
      <c r="F596" s="493" t="s">
        <v>636</v>
      </c>
      <c r="G596" s="493" t="s">
        <v>878</v>
      </c>
      <c r="H596" s="494">
        <v>2958465</v>
      </c>
      <c r="I596" s="494">
        <v>40179</v>
      </c>
      <c r="J596" s="493" t="s">
        <v>2516</v>
      </c>
      <c r="K596" s="493" t="s">
        <v>2510</v>
      </c>
      <c r="L596" s="493" t="s">
        <v>818</v>
      </c>
      <c r="M596" s="493" t="s">
        <v>1145</v>
      </c>
      <c r="N596" s="493" t="s">
        <v>1146</v>
      </c>
    </row>
    <row r="597" spans="1:14" x14ac:dyDescent="0.25">
      <c r="A597" s="493" t="s">
        <v>2517</v>
      </c>
      <c r="B597" s="493" t="s">
        <v>2518</v>
      </c>
      <c r="C597" s="493" t="s">
        <v>1098</v>
      </c>
      <c r="D597" s="493" t="s">
        <v>876</v>
      </c>
      <c r="E597" s="493" t="s">
        <v>897</v>
      </c>
      <c r="F597" s="493" t="s">
        <v>636</v>
      </c>
      <c r="G597" s="493" t="s">
        <v>878</v>
      </c>
      <c r="H597" s="494">
        <v>2958465</v>
      </c>
      <c r="I597" s="494">
        <v>40179</v>
      </c>
      <c r="J597" s="493" t="s">
        <v>2519</v>
      </c>
      <c r="K597" s="493" t="s">
        <v>2520</v>
      </c>
      <c r="L597" s="493" t="s">
        <v>966</v>
      </c>
      <c r="M597" s="493" t="s">
        <v>2306</v>
      </c>
      <c r="N597" s="493" t="s">
        <v>901</v>
      </c>
    </row>
    <row r="598" spans="1:14" x14ac:dyDescent="0.25">
      <c r="A598" s="493" t="s">
        <v>2521</v>
      </c>
      <c r="B598" s="493" t="s">
        <v>2500</v>
      </c>
      <c r="C598" s="493" t="s">
        <v>2501</v>
      </c>
      <c r="D598" s="493" t="s">
        <v>876</v>
      </c>
      <c r="E598" s="493" t="s">
        <v>897</v>
      </c>
      <c r="F598" s="493" t="s">
        <v>636</v>
      </c>
      <c r="G598" s="493" t="s">
        <v>878</v>
      </c>
      <c r="H598" s="494">
        <v>2958465</v>
      </c>
      <c r="I598" s="494">
        <v>40179</v>
      </c>
      <c r="J598" s="493" t="s">
        <v>2500</v>
      </c>
      <c r="K598" s="493" t="s">
        <v>2520</v>
      </c>
      <c r="L598" s="493" t="s">
        <v>966</v>
      </c>
      <c r="M598" s="493" t="s">
        <v>999</v>
      </c>
      <c r="N598" s="493" t="s">
        <v>901</v>
      </c>
    </row>
    <row r="599" spans="1:14" x14ac:dyDescent="0.25">
      <c r="A599" s="493" t="s">
        <v>2522</v>
      </c>
      <c r="B599" s="493" t="s">
        <v>2523</v>
      </c>
      <c r="C599" s="493" t="s">
        <v>183</v>
      </c>
      <c r="D599" s="493" t="s">
        <v>876</v>
      </c>
      <c r="E599" s="493" t="s">
        <v>1143</v>
      </c>
      <c r="F599" s="493" t="s">
        <v>636</v>
      </c>
      <c r="G599" s="493" t="s">
        <v>878</v>
      </c>
      <c r="H599" s="494">
        <v>2958465</v>
      </c>
      <c r="I599" s="494">
        <v>40179</v>
      </c>
      <c r="J599" s="493" t="s">
        <v>2524</v>
      </c>
      <c r="K599" s="493" t="s">
        <v>2525</v>
      </c>
      <c r="L599" s="493" t="s">
        <v>1576</v>
      </c>
      <c r="M599" s="493" t="s">
        <v>1145</v>
      </c>
      <c r="N599" s="493" t="s">
        <v>1146</v>
      </c>
    </row>
    <row r="600" spans="1:14" x14ac:dyDescent="0.25">
      <c r="A600" s="493" t="s">
        <v>2526</v>
      </c>
      <c r="B600" s="493" t="s">
        <v>2527</v>
      </c>
      <c r="C600" s="493" t="s">
        <v>2309</v>
      </c>
      <c r="D600" s="493" t="s">
        <v>876</v>
      </c>
      <c r="E600" s="493" t="s">
        <v>897</v>
      </c>
      <c r="F600" s="493" t="s">
        <v>636</v>
      </c>
      <c r="G600" s="493" t="s">
        <v>878</v>
      </c>
      <c r="H600" s="494">
        <v>2958465</v>
      </c>
      <c r="I600" s="494">
        <v>40179</v>
      </c>
      <c r="J600" s="493" t="s">
        <v>2527</v>
      </c>
      <c r="K600" s="493" t="s">
        <v>2525</v>
      </c>
      <c r="L600" s="493" t="s">
        <v>966</v>
      </c>
      <c r="M600" s="493" t="s">
        <v>2306</v>
      </c>
      <c r="N600" s="493" t="s">
        <v>901</v>
      </c>
    </row>
    <row r="601" spans="1:14" x14ac:dyDescent="0.25">
      <c r="A601" s="493" t="s">
        <v>2528</v>
      </c>
      <c r="B601" s="493" t="s">
        <v>2529</v>
      </c>
      <c r="C601" s="493" t="s">
        <v>2530</v>
      </c>
      <c r="D601" s="493" t="s">
        <v>876</v>
      </c>
      <c r="E601" s="493" t="s">
        <v>917</v>
      </c>
      <c r="F601" s="493" t="s">
        <v>636</v>
      </c>
      <c r="G601" s="493" t="s">
        <v>878</v>
      </c>
      <c r="H601" s="494">
        <v>2958465</v>
      </c>
      <c r="I601" s="494">
        <v>40179</v>
      </c>
      <c r="J601" s="493" t="s">
        <v>2531</v>
      </c>
      <c r="K601" s="493" t="s">
        <v>2532</v>
      </c>
      <c r="L601" s="493" t="s">
        <v>966</v>
      </c>
      <c r="M601" s="493" t="s">
        <v>950</v>
      </c>
      <c r="N601" s="493" t="s">
        <v>919</v>
      </c>
    </row>
    <row r="602" spans="1:14" x14ac:dyDescent="0.25">
      <c r="A602" s="493" t="s">
        <v>2533</v>
      </c>
      <c r="B602" s="493" t="s">
        <v>2534</v>
      </c>
      <c r="C602" s="493" t="s">
        <v>1098</v>
      </c>
      <c r="D602" s="493" t="s">
        <v>876</v>
      </c>
      <c r="E602" s="493" t="s">
        <v>897</v>
      </c>
      <c r="F602" s="493" t="s">
        <v>636</v>
      </c>
      <c r="G602" s="493" t="s">
        <v>878</v>
      </c>
      <c r="H602" s="494">
        <v>2958465</v>
      </c>
      <c r="I602" s="494">
        <v>40179</v>
      </c>
      <c r="J602" s="493" t="s">
        <v>2534</v>
      </c>
      <c r="K602" s="493" t="s">
        <v>2532</v>
      </c>
      <c r="L602" s="493" t="s">
        <v>966</v>
      </c>
      <c r="M602" s="493" t="s">
        <v>2306</v>
      </c>
      <c r="N602" s="493" t="s">
        <v>901</v>
      </c>
    </row>
    <row r="603" spans="1:14" x14ac:dyDescent="0.25">
      <c r="A603" s="493" t="s">
        <v>2535</v>
      </c>
      <c r="B603" s="493" t="s">
        <v>2536</v>
      </c>
      <c r="C603" s="493" t="s">
        <v>183</v>
      </c>
      <c r="D603" s="493" t="s">
        <v>876</v>
      </c>
      <c r="E603" s="493" t="s">
        <v>897</v>
      </c>
      <c r="F603" s="493" t="s">
        <v>636</v>
      </c>
      <c r="G603" s="493" t="s">
        <v>878</v>
      </c>
      <c r="H603" s="494">
        <v>2958465</v>
      </c>
      <c r="I603" s="494">
        <v>40179</v>
      </c>
      <c r="J603" s="493" t="s">
        <v>2536</v>
      </c>
      <c r="K603" s="493" t="s">
        <v>2532</v>
      </c>
      <c r="L603" s="493" t="s">
        <v>966</v>
      </c>
      <c r="M603" s="493" t="s">
        <v>970</v>
      </c>
      <c r="N603" s="493" t="s">
        <v>901</v>
      </c>
    </row>
    <row r="604" spans="1:14" x14ac:dyDescent="0.25">
      <c r="A604" s="493" t="s">
        <v>2537</v>
      </c>
      <c r="B604" s="493" t="s">
        <v>2538</v>
      </c>
      <c r="C604" s="493" t="s">
        <v>885</v>
      </c>
      <c r="D604" s="493" t="s">
        <v>876</v>
      </c>
      <c r="E604" s="493" t="s">
        <v>897</v>
      </c>
      <c r="F604" s="493" t="s">
        <v>636</v>
      </c>
      <c r="G604" s="493" t="s">
        <v>878</v>
      </c>
      <c r="H604" s="494">
        <v>2958465</v>
      </c>
      <c r="I604" s="494">
        <v>40179</v>
      </c>
      <c r="J604" s="493" t="s">
        <v>2539</v>
      </c>
      <c r="K604" s="493" t="s">
        <v>2532</v>
      </c>
      <c r="L604" s="493" t="s">
        <v>966</v>
      </c>
      <c r="M604" s="493" t="s">
        <v>975</v>
      </c>
      <c r="N604" s="493" t="s">
        <v>901</v>
      </c>
    </row>
    <row r="605" spans="1:14" x14ac:dyDescent="0.25">
      <c r="A605" s="493" t="s">
        <v>2540</v>
      </c>
      <c r="B605" s="493" t="s">
        <v>2541</v>
      </c>
      <c r="C605" s="493" t="s">
        <v>183</v>
      </c>
      <c r="D605" s="493" t="s">
        <v>876</v>
      </c>
      <c r="E605" s="493" t="s">
        <v>897</v>
      </c>
      <c r="F605" s="493" t="s">
        <v>636</v>
      </c>
      <c r="G605" s="493" t="s">
        <v>878</v>
      </c>
      <c r="H605" s="494">
        <v>2958465</v>
      </c>
      <c r="I605" s="494">
        <v>40179</v>
      </c>
      <c r="J605" s="493" t="s">
        <v>2541</v>
      </c>
      <c r="K605" s="493" t="s">
        <v>2532</v>
      </c>
      <c r="L605" s="493" t="s">
        <v>966</v>
      </c>
      <c r="M605" s="493" t="s">
        <v>982</v>
      </c>
      <c r="N605" s="493" t="s">
        <v>901</v>
      </c>
    </row>
    <row r="606" spans="1:14" x14ac:dyDescent="0.25">
      <c r="A606" s="493" t="s">
        <v>2542</v>
      </c>
      <c r="B606" s="493" t="s">
        <v>2543</v>
      </c>
      <c r="C606" s="493" t="s">
        <v>1033</v>
      </c>
      <c r="D606" s="493" t="s">
        <v>876</v>
      </c>
      <c r="E606" s="493" t="s">
        <v>897</v>
      </c>
      <c r="F606" s="493" t="s">
        <v>636</v>
      </c>
      <c r="G606" s="493" t="s">
        <v>878</v>
      </c>
      <c r="H606" s="494">
        <v>2958465</v>
      </c>
      <c r="I606" s="494">
        <v>40179</v>
      </c>
      <c r="J606" s="493" t="s">
        <v>2544</v>
      </c>
      <c r="K606" s="493" t="s">
        <v>2532</v>
      </c>
      <c r="L606" s="493" t="s">
        <v>966</v>
      </c>
      <c r="M606" s="493" t="s">
        <v>1034</v>
      </c>
      <c r="N606" s="493" t="s">
        <v>901</v>
      </c>
    </row>
    <row r="607" spans="1:14" x14ac:dyDescent="0.25">
      <c r="A607" s="493" t="s">
        <v>2545</v>
      </c>
      <c r="B607" s="493" t="s">
        <v>2546</v>
      </c>
      <c r="C607" s="493" t="s">
        <v>183</v>
      </c>
      <c r="D607" s="493" t="s">
        <v>876</v>
      </c>
      <c r="E607" s="493" t="s">
        <v>897</v>
      </c>
      <c r="F607" s="493" t="s">
        <v>636</v>
      </c>
      <c r="G607" s="493" t="s">
        <v>878</v>
      </c>
      <c r="H607" s="494">
        <v>2958465</v>
      </c>
      <c r="I607" s="494">
        <v>40179</v>
      </c>
      <c r="J607" s="493" t="s">
        <v>2546</v>
      </c>
      <c r="K607" s="493" t="s">
        <v>2532</v>
      </c>
      <c r="L607" s="493" t="s">
        <v>966</v>
      </c>
      <c r="M607" s="493" t="s">
        <v>1080</v>
      </c>
      <c r="N607" s="493" t="s">
        <v>901</v>
      </c>
    </row>
    <row r="608" spans="1:14" x14ac:dyDescent="0.25">
      <c r="A608" s="493" t="s">
        <v>2547</v>
      </c>
      <c r="B608" s="493" t="s">
        <v>2548</v>
      </c>
      <c r="C608" s="493" t="s">
        <v>2530</v>
      </c>
      <c r="D608" s="493" t="s">
        <v>876</v>
      </c>
      <c r="E608" s="493" t="s">
        <v>917</v>
      </c>
      <c r="F608" s="493" t="s">
        <v>636</v>
      </c>
      <c r="G608" s="493" t="s">
        <v>878</v>
      </c>
      <c r="H608" s="494">
        <v>2958465</v>
      </c>
      <c r="I608" s="494">
        <v>40179</v>
      </c>
      <c r="J608" s="493" t="s">
        <v>2549</v>
      </c>
      <c r="K608" s="493" t="s">
        <v>2532</v>
      </c>
      <c r="L608" s="493" t="s">
        <v>966</v>
      </c>
      <c r="M608" s="493" t="s">
        <v>1062</v>
      </c>
      <c r="N608" s="493" t="s">
        <v>919</v>
      </c>
    </row>
    <row r="609" spans="1:14" x14ac:dyDescent="0.25">
      <c r="A609" s="493" t="s">
        <v>2550</v>
      </c>
      <c r="B609" s="493" t="s">
        <v>2551</v>
      </c>
      <c r="C609" s="493" t="s">
        <v>183</v>
      </c>
      <c r="D609" s="493" t="s">
        <v>876</v>
      </c>
      <c r="E609" s="493" t="s">
        <v>897</v>
      </c>
      <c r="F609" s="493" t="s">
        <v>636</v>
      </c>
      <c r="G609" s="493" t="s">
        <v>878</v>
      </c>
      <c r="H609" s="494">
        <v>2958465</v>
      </c>
      <c r="I609" s="494">
        <v>40179</v>
      </c>
      <c r="J609" s="493" t="s">
        <v>2552</v>
      </c>
      <c r="K609" s="493" t="s">
        <v>2553</v>
      </c>
      <c r="L609" s="493" t="s">
        <v>966</v>
      </c>
      <c r="M609" s="493" t="s">
        <v>2306</v>
      </c>
      <c r="N609" s="493" t="s">
        <v>901</v>
      </c>
    </row>
    <row r="610" spans="1:14" x14ac:dyDescent="0.25">
      <c r="A610" s="493" t="s">
        <v>2554</v>
      </c>
      <c r="B610" s="493" t="s">
        <v>2139</v>
      </c>
      <c r="C610" s="493" t="s">
        <v>183</v>
      </c>
      <c r="D610" s="493" t="s">
        <v>876</v>
      </c>
      <c r="E610" s="493" t="s">
        <v>886</v>
      </c>
      <c r="F610" s="493" t="s">
        <v>636</v>
      </c>
      <c r="G610" s="493" t="s">
        <v>878</v>
      </c>
      <c r="H610" s="494">
        <v>2958465</v>
      </c>
      <c r="I610" s="494">
        <v>40179</v>
      </c>
      <c r="J610" s="493" t="s">
        <v>2555</v>
      </c>
      <c r="K610" s="493" t="s">
        <v>2553</v>
      </c>
      <c r="L610" s="493" t="s">
        <v>1424</v>
      </c>
      <c r="M610" s="493" t="s">
        <v>1038</v>
      </c>
      <c r="N610" s="493" t="s">
        <v>890</v>
      </c>
    </row>
    <row r="611" spans="1:14" x14ac:dyDescent="0.25">
      <c r="A611" s="493" t="s">
        <v>2556</v>
      </c>
      <c r="B611" s="493" t="s">
        <v>2557</v>
      </c>
      <c r="C611" s="493" t="s">
        <v>2431</v>
      </c>
      <c r="D611" s="493" t="s">
        <v>876</v>
      </c>
      <c r="E611" s="493" t="s">
        <v>1152</v>
      </c>
      <c r="F611" s="493" t="s">
        <v>2</v>
      </c>
      <c r="G611" s="493" t="s">
        <v>878</v>
      </c>
      <c r="H611" s="494">
        <v>2958465</v>
      </c>
      <c r="I611" s="494">
        <v>40179</v>
      </c>
      <c r="J611" s="493" t="s">
        <v>2557</v>
      </c>
      <c r="K611" s="493" t="s">
        <v>2558</v>
      </c>
      <c r="L611" s="493" t="s">
        <v>1576</v>
      </c>
      <c r="M611" s="493" t="s">
        <v>1062</v>
      </c>
      <c r="N611" s="493" t="s">
        <v>1153</v>
      </c>
    </row>
    <row r="612" spans="1:14" x14ac:dyDescent="0.25">
      <c r="A612" s="493" t="s">
        <v>619</v>
      </c>
      <c r="B612" s="493" t="s">
        <v>2559</v>
      </c>
      <c r="C612" s="493" t="s">
        <v>2396</v>
      </c>
      <c r="D612" s="493" t="s">
        <v>876</v>
      </c>
      <c r="E612" s="493" t="s">
        <v>886</v>
      </c>
      <c r="F612" s="493" t="s">
        <v>2</v>
      </c>
      <c r="G612" s="493" t="s">
        <v>878</v>
      </c>
      <c r="H612" s="494">
        <v>2958465</v>
      </c>
      <c r="I612" s="494">
        <v>40179</v>
      </c>
      <c r="J612" s="493" t="s">
        <v>2559</v>
      </c>
      <c r="K612" s="493" t="s">
        <v>2558</v>
      </c>
      <c r="L612" s="493" t="s">
        <v>1576</v>
      </c>
      <c r="M612" s="493" t="s">
        <v>900</v>
      </c>
      <c r="N612" s="493" t="s">
        <v>890</v>
      </c>
    </row>
    <row r="613" spans="1:14" x14ac:dyDescent="0.25">
      <c r="A613" s="493" t="s">
        <v>2560</v>
      </c>
      <c r="B613" s="493" t="s">
        <v>2561</v>
      </c>
      <c r="C613" s="493" t="s">
        <v>2399</v>
      </c>
      <c r="D613" s="493" t="s">
        <v>876</v>
      </c>
      <c r="E613" s="493" t="s">
        <v>0</v>
      </c>
      <c r="F613" s="493" t="s">
        <v>2</v>
      </c>
      <c r="G613" s="493" t="s">
        <v>878</v>
      </c>
      <c r="H613" s="494">
        <v>2958465</v>
      </c>
      <c r="I613" s="494">
        <v>40179</v>
      </c>
      <c r="J613" s="493" t="s">
        <v>2561</v>
      </c>
      <c r="K613" s="493" t="s">
        <v>2558</v>
      </c>
      <c r="L613" s="493" t="s">
        <v>1576</v>
      </c>
      <c r="M613" s="493" t="s">
        <v>1139</v>
      </c>
      <c r="N613" s="493" t="s">
        <v>1140</v>
      </c>
    </row>
    <row r="614" spans="1:14" x14ac:dyDescent="0.25">
      <c r="A614" s="493" t="s">
        <v>613</v>
      </c>
      <c r="B614" s="493" t="s">
        <v>2562</v>
      </c>
      <c r="C614" s="493" t="s">
        <v>2399</v>
      </c>
      <c r="D614" s="493" t="s">
        <v>876</v>
      </c>
      <c r="E614" s="493" t="s">
        <v>886</v>
      </c>
      <c r="F614" s="493" t="s">
        <v>2</v>
      </c>
      <c r="G614" s="493" t="s">
        <v>878</v>
      </c>
      <c r="H614" s="494">
        <v>2958465</v>
      </c>
      <c r="I614" s="494">
        <v>40179</v>
      </c>
      <c r="J614" s="493" t="s">
        <v>2562</v>
      </c>
      <c r="K614" s="493" t="s">
        <v>2558</v>
      </c>
      <c r="L614" s="493" t="s">
        <v>1576</v>
      </c>
      <c r="M614" s="493" t="s">
        <v>1034</v>
      </c>
      <c r="N614" s="493" t="s">
        <v>890</v>
      </c>
    </row>
    <row r="615" spans="1:14" x14ac:dyDescent="0.25">
      <c r="A615" s="493" t="s">
        <v>2563</v>
      </c>
      <c r="B615" s="493" t="s">
        <v>2564</v>
      </c>
      <c r="C615" s="493" t="s">
        <v>2396</v>
      </c>
      <c r="D615" s="493" t="s">
        <v>876</v>
      </c>
      <c r="E615" s="493" t="s">
        <v>877</v>
      </c>
      <c r="F615" s="493" t="s">
        <v>2</v>
      </c>
      <c r="G615" s="493" t="s">
        <v>878</v>
      </c>
      <c r="H615" s="494">
        <v>2958465</v>
      </c>
      <c r="I615" s="494">
        <v>40179</v>
      </c>
      <c r="J615" s="493" t="s">
        <v>2564</v>
      </c>
      <c r="K615" s="493" t="s">
        <v>2558</v>
      </c>
      <c r="L615" s="493" t="s">
        <v>1576</v>
      </c>
      <c r="M615" s="493" t="s">
        <v>881</v>
      </c>
      <c r="N615" s="493" t="s">
        <v>882</v>
      </c>
    </row>
    <row r="616" spans="1:14" x14ac:dyDescent="0.25">
      <c r="A616" s="493" t="s">
        <v>2565</v>
      </c>
      <c r="B616" s="493" t="s">
        <v>2566</v>
      </c>
      <c r="C616" s="493" t="s">
        <v>2431</v>
      </c>
      <c r="D616" s="493" t="s">
        <v>876</v>
      </c>
      <c r="E616" s="493" t="s">
        <v>1152</v>
      </c>
      <c r="F616" s="493" t="s">
        <v>2</v>
      </c>
      <c r="G616" s="493" t="s">
        <v>878</v>
      </c>
      <c r="H616" s="494">
        <v>2958465</v>
      </c>
      <c r="I616" s="494">
        <v>40179</v>
      </c>
      <c r="J616" s="493" t="s">
        <v>2566</v>
      </c>
      <c r="K616" s="493" t="s">
        <v>2558</v>
      </c>
      <c r="L616" s="493" t="s">
        <v>1576</v>
      </c>
      <c r="M616" s="493" t="s">
        <v>1058</v>
      </c>
      <c r="N616" s="493" t="s">
        <v>1153</v>
      </c>
    </row>
    <row r="617" spans="1:14" x14ac:dyDescent="0.25">
      <c r="A617" s="493" t="s">
        <v>2567</v>
      </c>
      <c r="B617" s="493" t="s">
        <v>2568</v>
      </c>
      <c r="C617" s="493" t="s">
        <v>2569</v>
      </c>
      <c r="D617" s="493" t="s">
        <v>876</v>
      </c>
      <c r="E617" s="493" t="s">
        <v>569</v>
      </c>
      <c r="F617" s="493" t="s">
        <v>2</v>
      </c>
      <c r="G617" s="493" t="s">
        <v>878</v>
      </c>
      <c r="H617" s="494">
        <v>2958465</v>
      </c>
      <c r="I617" s="494">
        <v>40179</v>
      </c>
      <c r="J617" s="493" t="s">
        <v>2570</v>
      </c>
      <c r="K617" s="493" t="s">
        <v>2558</v>
      </c>
      <c r="L617" s="493" t="s">
        <v>1576</v>
      </c>
      <c r="M617" s="493" t="s">
        <v>1023</v>
      </c>
      <c r="N617" s="493" t="s">
        <v>1024</v>
      </c>
    </row>
    <row r="618" spans="1:14" x14ac:dyDescent="0.25">
      <c r="A618" s="493" t="s">
        <v>2571</v>
      </c>
      <c r="B618" s="493" t="s">
        <v>915</v>
      </c>
      <c r="C618" s="493" t="s">
        <v>2071</v>
      </c>
      <c r="D618" s="493" t="s">
        <v>876</v>
      </c>
      <c r="E618" s="493" t="s">
        <v>1244</v>
      </c>
      <c r="F618" s="493" t="s">
        <v>2</v>
      </c>
      <c r="G618" s="493" t="s">
        <v>878</v>
      </c>
      <c r="H618" s="494">
        <v>2958465</v>
      </c>
      <c r="I618" s="494">
        <v>40179</v>
      </c>
      <c r="J618" s="493" t="s">
        <v>915</v>
      </c>
      <c r="K618" s="493" t="s">
        <v>2558</v>
      </c>
      <c r="L618" s="493" t="s">
        <v>1576</v>
      </c>
      <c r="M618" s="493" t="s">
        <v>918</v>
      </c>
      <c r="N618" s="493" t="s">
        <v>1246</v>
      </c>
    </row>
    <row r="619" spans="1:14" x14ac:dyDescent="0.25">
      <c r="A619" s="493" t="s">
        <v>2572</v>
      </c>
      <c r="B619" s="493" t="s">
        <v>2573</v>
      </c>
      <c r="C619" s="493" t="s">
        <v>2431</v>
      </c>
      <c r="D619" s="493" t="s">
        <v>876</v>
      </c>
      <c r="E619" s="493" t="s">
        <v>1152</v>
      </c>
      <c r="F619" s="493" t="s">
        <v>2</v>
      </c>
      <c r="G619" s="493" t="s">
        <v>878</v>
      </c>
      <c r="H619" s="494">
        <v>2958465</v>
      </c>
      <c r="I619" s="494">
        <v>40179</v>
      </c>
      <c r="J619" s="493" t="s">
        <v>2573</v>
      </c>
      <c r="K619" s="493" t="s">
        <v>2558</v>
      </c>
      <c r="L619" s="493" t="s">
        <v>1576</v>
      </c>
      <c r="M619" s="493" t="s">
        <v>1062</v>
      </c>
      <c r="N619" s="493" t="s">
        <v>1153</v>
      </c>
    </row>
    <row r="620" spans="1:14" x14ac:dyDescent="0.25">
      <c r="A620" s="493" t="s">
        <v>2574</v>
      </c>
      <c r="B620" s="493" t="s">
        <v>2575</v>
      </c>
      <c r="C620" s="493" t="s">
        <v>2569</v>
      </c>
      <c r="D620" s="493" t="s">
        <v>876</v>
      </c>
      <c r="E620" s="493" t="s">
        <v>0</v>
      </c>
      <c r="F620" s="493" t="s">
        <v>2</v>
      </c>
      <c r="G620" s="493" t="s">
        <v>878</v>
      </c>
      <c r="H620" s="494">
        <v>2958465</v>
      </c>
      <c r="I620" s="494">
        <v>40179</v>
      </c>
      <c r="J620" s="493" t="s">
        <v>2576</v>
      </c>
      <c r="K620" s="493" t="s">
        <v>2558</v>
      </c>
      <c r="L620" s="493" t="s">
        <v>1576</v>
      </c>
      <c r="M620" s="493" t="s">
        <v>1279</v>
      </c>
      <c r="N620" s="493" t="s">
        <v>1140</v>
      </c>
    </row>
    <row r="621" spans="1:14" x14ac:dyDescent="0.25">
      <c r="A621" s="493" t="s">
        <v>2577</v>
      </c>
      <c r="B621" s="493" t="s">
        <v>2004</v>
      </c>
      <c r="C621" s="493" t="s">
        <v>183</v>
      </c>
      <c r="D621" s="493" t="s">
        <v>876</v>
      </c>
      <c r="E621" s="493" t="s">
        <v>897</v>
      </c>
      <c r="F621" s="493" t="s">
        <v>636</v>
      </c>
      <c r="G621" s="493" t="s">
        <v>878</v>
      </c>
      <c r="H621" s="494">
        <v>2958465</v>
      </c>
      <c r="I621" s="494">
        <v>40179</v>
      </c>
      <c r="J621" s="493" t="s">
        <v>2004</v>
      </c>
      <c r="K621" s="493" t="s">
        <v>2578</v>
      </c>
      <c r="L621" s="493" t="s">
        <v>966</v>
      </c>
      <c r="M621" s="493" t="s">
        <v>2008</v>
      </c>
      <c r="N621" s="493" t="s">
        <v>901</v>
      </c>
    </row>
    <row r="622" spans="1:14" x14ac:dyDescent="0.25">
      <c r="A622" s="493" t="s">
        <v>2579</v>
      </c>
      <c r="B622" s="493" t="s">
        <v>2580</v>
      </c>
      <c r="C622" s="493" t="s">
        <v>2309</v>
      </c>
      <c r="D622" s="493" t="s">
        <v>876</v>
      </c>
      <c r="E622" s="493" t="s">
        <v>897</v>
      </c>
      <c r="F622" s="493" t="s">
        <v>636</v>
      </c>
      <c r="G622" s="493" t="s">
        <v>878</v>
      </c>
      <c r="H622" s="494">
        <v>2958465</v>
      </c>
      <c r="I622" s="494">
        <v>40179</v>
      </c>
      <c r="J622" s="493" t="s">
        <v>2581</v>
      </c>
      <c r="K622" s="493" t="s">
        <v>2582</v>
      </c>
      <c r="L622" s="493" t="s">
        <v>966</v>
      </c>
      <c r="M622" s="493" t="s">
        <v>2306</v>
      </c>
      <c r="N622" s="493" t="s">
        <v>901</v>
      </c>
    </row>
    <row r="623" spans="1:14" x14ac:dyDescent="0.25">
      <c r="A623" s="493" t="s">
        <v>2583</v>
      </c>
      <c r="B623" s="493" t="s">
        <v>2004</v>
      </c>
      <c r="C623" s="493" t="s">
        <v>1098</v>
      </c>
      <c r="D623" s="493" t="s">
        <v>876</v>
      </c>
      <c r="E623" s="493" t="s">
        <v>897</v>
      </c>
      <c r="F623" s="493" t="s">
        <v>636</v>
      </c>
      <c r="G623" s="493" t="s">
        <v>878</v>
      </c>
      <c r="H623" s="494">
        <v>2958465</v>
      </c>
      <c r="I623" s="494">
        <v>40179</v>
      </c>
      <c r="J623" s="493" t="s">
        <v>2004</v>
      </c>
      <c r="K623" s="493" t="s">
        <v>2584</v>
      </c>
      <c r="L623" s="493" t="s">
        <v>966</v>
      </c>
      <c r="M623" s="493" t="s">
        <v>2008</v>
      </c>
      <c r="N623" s="493" t="s">
        <v>901</v>
      </c>
    </row>
    <row r="624" spans="1:14" x14ac:dyDescent="0.25">
      <c r="A624" s="493" t="s">
        <v>2585</v>
      </c>
      <c r="B624" s="493" t="s">
        <v>2586</v>
      </c>
      <c r="C624" s="493" t="s">
        <v>2309</v>
      </c>
      <c r="D624" s="493" t="s">
        <v>876</v>
      </c>
      <c r="E624" s="493" t="s">
        <v>897</v>
      </c>
      <c r="F624" s="493" t="s">
        <v>636</v>
      </c>
      <c r="G624" s="493" t="s">
        <v>878</v>
      </c>
      <c r="H624" s="494">
        <v>2958465</v>
      </c>
      <c r="I624" s="494">
        <v>40179</v>
      </c>
      <c r="J624" s="493" t="s">
        <v>2587</v>
      </c>
      <c r="K624" s="493" t="s">
        <v>2588</v>
      </c>
      <c r="L624" s="493" t="s">
        <v>966</v>
      </c>
      <c r="M624" s="493" t="s">
        <v>2306</v>
      </c>
      <c r="N624" s="493" t="s">
        <v>901</v>
      </c>
    </row>
    <row r="625" spans="1:14" x14ac:dyDescent="0.25">
      <c r="A625" s="493" t="s">
        <v>2589</v>
      </c>
      <c r="B625" s="493" t="s">
        <v>2590</v>
      </c>
      <c r="C625" s="493" t="s">
        <v>2309</v>
      </c>
      <c r="D625" s="493" t="s">
        <v>876</v>
      </c>
      <c r="E625" s="493" t="s">
        <v>897</v>
      </c>
      <c r="F625" s="493" t="s">
        <v>636</v>
      </c>
      <c r="G625" s="493" t="s">
        <v>878</v>
      </c>
      <c r="H625" s="494">
        <v>2958465</v>
      </c>
      <c r="I625" s="494">
        <v>40179</v>
      </c>
      <c r="J625" s="493" t="s">
        <v>2590</v>
      </c>
      <c r="K625" s="493" t="s">
        <v>2591</v>
      </c>
      <c r="L625" s="493" t="s">
        <v>966</v>
      </c>
      <c r="M625" s="493" t="s">
        <v>2306</v>
      </c>
      <c r="N625" s="493" t="s">
        <v>901</v>
      </c>
    </row>
    <row r="626" spans="1:14" x14ac:dyDescent="0.25">
      <c r="A626" s="493" t="s">
        <v>2592</v>
      </c>
      <c r="B626" s="493" t="s">
        <v>2593</v>
      </c>
      <c r="C626" s="493" t="s">
        <v>183</v>
      </c>
      <c r="D626" s="493" t="s">
        <v>876</v>
      </c>
      <c r="E626" s="493" t="s">
        <v>897</v>
      </c>
      <c r="F626" s="493" t="s">
        <v>636</v>
      </c>
      <c r="G626" s="493" t="s">
        <v>878</v>
      </c>
      <c r="H626" s="494">
        <v>2958465</v>
      </c>
      <c r="I626" s="494">
        <v>40179</v>
      </c>
      <c r="J626" s="493" t="s">
        <v>2594</v>
      </c>
      <c r="K626" s="493" t="s">
        <v>2595</v>
      </c>
      <c r="L626" s="493" t="s">
        <v>966</v>
      </c>
      <c r="M626" s="493" t="s">
        <v>2306</v>
      </c>
      <c r="N626" s="493" t="s">
        <v>901</v>
      </c>
    </row>
    <row r="627" spans="1:14" x14ac:dyDescent="0.25">
      <c r="A627" s="493" t="s">
        <v>2596</v>
      </c>
      <c r="B627" s="493" t="s">
        <v>2597</v>
      </c>
      <c r="C627" s="493" t="s">
        <v>1098</v>
      </c>
      <c r="D627" s="493" t="s">
        <v>876</v>
      </c>
      <c r="E627" s="493" t="s">
        <v>897</v>
      </c>
      <c r="F627" s="493" t="s">
        <v>636</v>
      </c>
      <c r="G627" s="493" t="s">
        <v>878</v>
      </c>
      <c r="H627" s="494">
        <v>2958465</v>
      </c>
      <c r="I627" s="494">
        <v>40179</v>
      </c>
      <c r="J627" s="493" t="s">
        <v>2598</v>
      </c>
      <c r="K627" s="493" t="s">
        <v>2599</v>
      </c>
      <c r="L627" s="493" t="s">
        <v>966</v>
      </c>
      <c r="M627" s="493" t="s">
        <v>2306</v>
      </c>
      <c r="N627" s="493" t="s">
        <v>901</v>
      </c>
    </row>
    <row r="628" spans="1:14" x14ac:dyDescent="0.25">
      <c r="A628" s="493" t="s">
        <v>2600</v>
      </c>
      <c r="B628" s="493" t="s">
        <v>2241</v>
      </c>
      <c r="C628" s="493" t="s">
        <v>1098</v>
      </c>
      <c r="D628" s="493" t="s">
        <v>876</v>
      </c>
      <c r="E628" s="493" t="s">
        <v>897</v>
      </c>
      <c r="F628" s="493" t="s">
        <v>636</v>
      </c>
      <c r="G628" s="493" t="s">
        <v>878</v>
      </c>
      <c r="H628" s="494">
        <v>2958465</v>
      </c>
      <c r="I628" s="494">
        <v>40179</v>
      </c>
      <c r="J628" s="493" t="s">
        <v>2241</v>
      </c>
      <c r="K628" s="493" t="s">
        <v>2601</v>
      </c>
      <c r="L628" s="493" t="s">
        <v>966</v>
      </c>
      <c r="M628" s="493" t="s">
        <v>2306</v>
      </c>
      <c r="N628" s="493" t="s">
        <v>901</v>
      </c>
    </row>
    <row r="629" spans="1:14" x14ac:dyDescent="0.25">
      <c r="A629" s="493" t="s">
        <v>2602</v>
      </c>
      <c r="B629" s="493" t="s">
        <v>2603</v>
      </c>
      <c r="C629" s="493" t="s">
        <v>1033</v>
      </c>
      <c r="D629" s="493" t="s">
        <v>876</v>
      </c>
      <c r="E629" s="493" t="s">
        <v>886</v>
      </c>
      <c r="F629" s="493" t="s">
        <v>2</v>
      </c>
      <c r="G629" s="493" t="s">
        <v>878</v>
      </c>
      <c r="H629" s="494">
        <v>2958465</v>
      </c>
      <c r="I629" s="494">
        <v>40179</v>
      </c>
      <c r="J629" s="493" t="s">
        <v>2603</v>
      </c>
      <c r="K629" s="493" t="s">
        <v>2604</v>
      </c>
      <c r="L629" s="493" t="s">
        <v>1138</v>
      </c>
      <c r="M629" s="493" t="s">
        <v>1034</v>
      </c>
      <c r="N629" s="493" t="s">
        <v>890</v>
      </c>
    </row>
    <row r="630" spans="1:14" x14ac:dyDescent="0.25">
      <c r="A630" s="493" t="s">
        <v>2605</v>
      </c>
      <c r="B630" s="493" t="s">
        <v>2606</v>
      </c>
      <c r="C630" s="493" t="s">
        <v>183</v>
      </c>
      <c r="D630" s="493" t="s">
        <v>876</v>
      </c>
      <c r="E630" s="493" t="s">
        <v>0</v>
      </c>
      <c r="F630" s="493" t="s">
        <v>2</v>
      </c>
      <c r="G630" s="493" t="s">
        <v>878</v>
      </c>
      <c r="H630" s="494">
        <v>2958465</v>
      </c>
      <c r="I630" s="494">
        <v>40179</v>
      </c>
      <c r="J630" s="493" t="s">
        <v>2607</v>
      </c>
      <c r="K630" s="493" t="s">
        <v>2604</v>
      </c>
      <c r="L630" s="493" t="s">
        <v>2281</v>
      </c>
      <c r="M630" s="493" t="s">
        <v>1279</v>
      </c>
      <c r="N630" s="493" t="s">
        <v>1140</v>
      </c>
    </row>
    <row r="631" spans="1:14" x14ac:dyDescent="0.25">
      <c r="A631" s="493" t="s">
        <v>2608</v>
      </c>
      <c r="B631" s="493" t="s">
        <v>1055</v>
      </c>
      <c r="C631" s="493" t="s">
        <v>183</v>
      </c>
      <c r="D631" s="493" t="s">
        <v>876</v>
      </c>
      <c r="E631" s="493" t="s">
        <v>1152</v>
      </c>
      <c r="F631" s="493" t="s">
        <v>2</v>
      </c>
      <c r="G631" s="493" t="s">
        <v>878</v>
      </c>
      <c r="H631" s="494">
        <v>2958465</v>
      </c>
      <c r="I631" s="494">
        <v>40179</v>
      </c>
      <c r="J631" s="493" t="s">
        <v>2609</v>
      </c>
      <c r="K631" s="493" t="s">
        <v>2604</v>
      </c>
      <c r="L631" s="493" t="s">
        <v>2281</v>
      </c>
      <c r="M631" s="493" t="s">
        <v>1058</v>
      </c>
      <c r="N631" s="493" t="s">
        <v>1153</v>
      </c>
    </row>
    <row r="632" spans="1:14" x14ac:dyDescent="0.25">
      <c r="A632" s="493" t="s">
        <v>2610</v>
      </c>
      <c r="B632" s="493" t="s">
        <v>2611</v>
      </c>
      <c r="C632" s="493" t="s">
        <v>2392</v>
      </c>
      <c r="D632" s="493" t="s">
        <v>876</v>
      </c>
      <c r="E632" s="493" t="s">
        <v>1143</v>
      </c>
      <c r="F632" s="493" t="s">
        <v>2</v>
      </c>
      <c r="G632" s="493" t="s">
        <v>878</v>
      </c>
      <c r="H632" s="494">
        <v>2958465</v>
      </c>
      <c r="I632" s="494">
        <v>40179</v>
      </c>
      <c r="J632" s="493" t="s">
        <v>2612</v>
      </c>
      <c r="K632" s="493" t="s">
        <v>2604</v>
      </c>
      <c r="L632" s="493" t="s">
        <v>1138</v>
      </c>
      <c r="M632" s="493" t="s">
        <v>1053</v>
      </c>
      <c r="N632" s="493" t="s">
        <v>1146</v>
      </c>
    </row>
    <row r="633" spans="1:14" x14ac:dyDescent="0.25">
      <c r="A633" s="493" t="s">
        <v>2613</v>
      </c>
      <c r="B633" s="493" t="s">
        <v>2614</v>
      </c>
      <c r="C633" s="493" t="s">
        <v>2615</v>
      </c>
      <c r="D633" s="493" t="s">
        <v>2616</v>
      </c>
      <c r="E633" s="493" t="s">
        <v>886</v>
      </c>
      <c r="F633" s="493" t="s">
        <v>2617</v>
      </c>
      <c r="G633" s="493" t="s">
        <v>878</v>
      </c>
      <c r="H633" s="494">
        <v>2958465</v>
      </c>
      <c r="I633" s="494">
        <v>40179</v>
      </c>
      <c r="J633" s="493" t="s">
        <v>2614</v>
      </c>
      <c r="K633" s="493" t="s">
        <v>2618</v>
      </c>
      <c r="L633" s="493" t="s">
        <v>818</v>
      </c>
      <c r="M633" s="493" t="s">
        <v>950</v>
      </c>
      <c r="N633" s="493" t="s">
        <v>890</v>
      </c>
    </row>
    <row r="634" spans="1:14" x14ac:dyDescent="0.25">
      <c r="A634" s="493" t="s">
        <v>2619</v>
      </c>
      <c r="B634" s="493" t="s">
        <v>2620</v>
      </c>
      <c r="C634" s="493" t="s">
        <v>1880</v>
      </c>
      <c r="D634" s="493" t="s">
        <v>2621</v>
      </c>
      <c r="E634" s="493" t="s">
        <v>1143</v>
      </c>
      <c r="F634" s="493" t="s">
        <v>2617</v>
      </c>
      <c r="G634" s="493" t="s">
        <v>878</v>
      </c>
      <c r="H634" s="494">
        <v>2958465</v>
      </c>
      <c r="I634" s="494">
        <v>40179</v>
      </c>
      <c r="J634" s="493" t="s">
        <v>2620</v>
      </c>
      <c r="K634" s="493" t="s">
        <v>2618</v>
      </c>
      <c r="L634" s="493" t="s">
        <v>1349</v>
      </c>
      <c r="M634" s="493" t="s">
        <v>1379</v>
      </c>
      <c r="N634" s="493" t="s">
        <v>1146</v>
      </c>
    </row>
    <row r="635" spans="1:14" x14ac:dyDescent="0.25">
      <c r="A635" s="493" t="s">
        <v>2622</v>
      </c>
      <c r="B635" s="493" t="s">
        <v>1716</v>
      </c>
      <c r="C635" s="493" t="s">
        <v>2623</v>
      </c>
      <c r="D635" s="493" t="s">
        <v>2624</v>
      </c>
      <c r="E635" s="493" t="s">
        <v>0</v>
      </c>
      <c r="F635" s="493" t="s">
        <v>2617</v>
      </c>
      <c r="G635" s="493" t="s">
        <v>878</v>
      </c>
      <c r="H635" s="494">
        <v>2958465</v>
      </c>
      <c r="I635" s="494">
        <v>40179</v>
      </c>
      <c r="J635" s="493" t="s">
        <v>1717</v>
      </c>
      <c r="K635" s="493" t="s">
        <v>2618</v>
      </c>
      <c r="L635" s="493" t="s">
        <v>1349</v>
      </c>
      <c r="M635" s="493" t="s">
        <v>1279</v>
      </c>
      <c r="N635" s="493" t="s">
        <v>1140</v>
      </c>
    </row>
    <row r="636" spans="1:14" x14ac:dyDescent="0.25">
      <c r="A636" s="493" t="s">
        <v>2625</v>
      </c>
      <c r="B636" s="493" t="s">
        <v>1879</v>
      </c>
      <c r="C636" s="493" t="s">
        <v>1880</v>
      </c>
      <c r="D636" s="493" t="s">
        <v>2626</v>
      </c>
      <c r="E636" s="493" t="s">
        <v>877</v>
      </c>
      <c r="F636" s="493" t="s">
        <v>2617</v>
      </c>
      <c r="G636" s="493" t="s">
        <v>878</v>
      </c>
      <c r="H636" s="494">
        <v>2958465</v>
      </c>
      <c r="I636" s="494">
        <v>40179</v>
      </c>
      <c r="J636" s="493" t="s">
        <v>1879</v>
      </c>
      <c r="K636" s="493" t="s">
        <v>2618</v>
      </c>
      <c r="L636" s="493" t="s">
        <v>1349</v>
      </c>
      <c r="M636" s="493" t="s">
        <v>881</v>
      </c>
      <c r="N636" s="493" t="s">
        <v>882</v>
      </c>
    </row>
    <row r="637" spans="1:14" x14ac:dyDescent="0.25">
      <c r="A637" s="493" t="s">
        <v>2627</v>
      </c>
      <c r="B637" s="493" t="s">
        <v>1843</v>
      </c>
      <c r="C637" s="493" t="s">
        <v>1837</v>
      </c>
      <c r="D637" s="493" t="s">
        <v>1843</v>
      </c>
      <c r="E637" s="493" t="s">
        <v>0</v>
      </c>
      <c r="F637" s="493" t="s">
        <v>2628</v>
      </c>
      <c r="G637" s="493" t="s">
        <v>878</v>
      </c>
      <c r="H637" s="494">
        <v>2958465</v>
      </c>
      <c r="I637" s="494">
        <v>40179</v>
      </c>
      <c r="J637" s="493" t="s">
        <v>1844</v>
      </c>
      <c r="K637" s="493" t="s">
        <v>2629</v>
      </c>
      <c r="L637" s="493" t="s">
        <v>1349</v>
      </c>
      <c r="M637" s="493" t="s">
        <v>1279</v>
      </c>
      <c r="N637" s="493" t="s">
        <v>1140</v>
      </c>
    </row>
    <row r="638" spans="1:14" x14ac:dyDescent="0.25">
      <c r="A638" s="493" t="s">
        <v>2630</v>
      </c>
      <c r="B638" s="493" t="s">
        <v>1843</v>
      </c>
      <c r="C638" s="493" t="s">
        <v>1837</v>
      </c>
      <c r="D638" s="493" t="s">
        <v>876</v>
      </c>
      <c r="E638" s="493" t="s">
        <v>0</v>
      </c>
      <c r="F638" s="493" t="s">
        <v>2628</v>
      </c>
      <c r="G638" s="493" t="s">
        <v>878</v>
      </c>
      <c r="H638" s="494">
        <v>2958465</v>
      </c>
      <c r="I638" s="494">
        <v>40179</v>
      </c>
      <c r="J638" s="493" t="s">
        <v>2631</v>
      </c>
      <c r="K638" s="493" t="s">
        <v>2632</v>
      </c>
      <c r="L638" s="493" t="s">
        <v>1349</v>
      </c>
      <c r="M638" s="493" t="s">
        <v>1279</v>
      </c>
      <c r="N638" s="493" t="s">
        <v>1140</v>
      </c>
    </row>
    <row r="639" spans="1:14" x14ac:dyDescent="0.25">
      <c r="A639" s="493" t="s">
        <v>2633</v>
      </c>
      <c r="B639" s="493" t="s">
        <v>2634</v>
      </c>
      <c r="C639" s="493" t="s">
        <v>1837</v>
      </c>
      <c r="D639" s="493" t="s">
        <v>876</v>
      </c>
      <c r="E639" s="493" t="s">
        <v>886</v>
      </c>
      <c r="F639" s="493" t="s">
        <v>2628</v>
      </c>
      <c r="G639" s="493" t="s">
        <v>878</v>
      </c>
      <c r="H639" s="494">
        <v>2958465</v>
      </c>
      <c r="I639" s="494">
        <v>40179</v>
      </c>
      <c r="J639" s="493" t="s">
        <v>2635</v>
      </c>
      <c r="K639" s="493" t="s">
        <v>2632</v>
      </c>
      <c r="L639" s="493" t="s">
        <v>1349</v>
      </c>
      <c r="M639" s="493" t="s">
        <v>889</v>
      </c>
      <c r="N639" s="493" t="s">
        <v>890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C59"/>
  <sheetViews>
    <sheetView topLeftCell="A42" workbookViewId="0">
      <selection activeCell="K29" sqref="K29"/>
    </sheetView>
  </sheetViews>
  <sheetFormatPr defaultRowHeight="15" x14ac:dyDescent="0.25"/>
  <cols>
    <col min="1" max="1" width="17.140625" customWidth="1"/>
    <col min="2" max="2" width="33.28515625" customWidth="1"/>
    <col min="3" max="3" width="26.28515625" customWidth="1"/>
  </cols>
  <sheetData>
    <row r="1" spans="1:3" ht="14.45" x14ac:dyDescent="0.3">
      <c r="A1" s="495" t="s">
        <v>861</v>
      </c>
      <c r="B1" s="495" t="s">
        <v>107</v>
      </c>
      <c r="C1" s="495" t="s">
        <v>115</v>
      </c>
    </row>
    <row r="2" spans="1:3" ht="14.45" x14ac:dyDescent="0.3">
      <c r="A2" s="22" t="s">
        <v>2636</v>
      </c>
      <c r="B2" s="22" t="s">
        <v>2637</v>
      </c>
      <c r="C2" s="22" t="s">
        <v>2638</v>
      </c>
    </row>
    <row r="3" spans="1:3" ht="14.45" x14ac:dyDescent="0.3">
      <c r="A3" s="22" t="s">
        <v>2639</v>
      </c>
      <c r="B3" s="22" t="s">
        <v>821</v>
      </c>
      <c r="C3" s="22" t="s">
        <v>2640</v>
      </c>
    </row>
    <row r="4" spans="1:3" ht="14.45" x14ac:dyDescent="0.3">
      <c r="A4" s="22" t="s">
        <v>2641</v>
      </c>
      <c r="B4" s="22"/>
      <c r="C4" s="22" t="s">
        <v>2642</v>
      </c>
    </row>
    <row r="5" spans="1:3" ht="14.45" x14ac:dyDescent="0.3">
      <c r="A5" s="22" t="s">
        <v>2643</v>
      </c>
      <c r="B5" s="22" t="s">
        <v>2644</v>
      </c>
      <c r="C5" s="22" t="s">
        <v>2638</v>
      </c>
    </row>
    <row r="6" spans="1:3" ht="14.45" x14ac:dyDescent="0.3">
      <c r="A6" s="22" t="s">
        <v>2645</v>
      </c>
      <c r="B6" s="22" t="s">
        <v>2646</v>
      </c>
      <c r="C6" s="22" t="s">
        <v>2638</v>
      </c>
    </row>
    <row r="7" spans="1:3" ht="14.45" x14ac:dyDescent="0.3">
      <c r="A7" s="22" t="s">
        <v>2647</v>
      </c>
      <c r="B7" s="22" t="s">
        <v>2648</v>
      </c>
      <c r="C7" s="22" t="s">
        <v>2649</v>
      </c>
    </row>
    <row r="8" spans="1:3" ht="14.45" x14ac:dyDescent="0.3">
      <c r="A8" s="22" t="s">
        <v>2650</v>
      </c>
      <c r="B8" s="22" t="s">
        <v>2651</v>
      </c>
      <c r="C8" s="22" t="s">
        <v>2652</v>
      </c>
    </row>
    <row r="9" spans="1:3" ht="14.45" x14ac:dyDescent="0.3">
      <c r="A9" s="22" t="s">
        <v>2653</v>
      </c>
      <c r="B9" s="22" t="s">
        <v>772</v>
      </c>
      <c r="C9" s="22" t="s">
        <v>2654</v>
      </c>
    </row>
    <row r="10" spans="1:3" ht="14.45" x14ac:dyDescent="0.3">
      <c r="A10" s="22" t="s">
        <v>2655</v>
      </c>
      <c r="B10" s="22" t="s">
        <v>831</v>
      </c>
      <c r="C10" s="22" t="s">
        <v>2638</v>
      </c>
    </row>
    <row r="11" spans="1:3" ht="14.45" x14ac:dyDescent="0.3">
      <c r="A11" s="22" t="s">
        <v>2656</v>
      </c>
      <c r="B11" s="22" t="s">
        <v>2657</v>
      </c>
      <c r="C11" s="22" t="s">
        <v>2658</v>
      </c>
    </row>
    <row r="12" spans="1:3" ht="14.45" x14ac:dyDescent="0.3">
      <c r="A12" s="22" t="s">
        <v>2659</v>
      </c>
      <c r="B12" s="22"/>
      <c r="C12" s="22" t="s">
        <v>2638</v>
      </c>
    </row>
    <row r="13" spans="1:3" ht="14.45" x14ac:dyDescent="0.3">
      <c r="A13" s="22" t="s">
        <v>2660</v>
      </c>
      <c r="B13" s="22"/>
      <c r="C13" s="22" t="s">
        <v>2661</v>
      </c>
    </row>
    <row r="14" spans="1:3" ht="14.45" x14ac:dyDescent="0.3">
      <c r="A14" s="22" t="s">
        <v>2662</v>
      </c>
      <c r="B14" s="22" t="s">
        <v>2657</v>
      </c>
      <c r="C14" s="22" t="s">
        <v>2658</v>
      </c>
    </row>
    <row r="15" spans="1:3" ht="14.45" x14ac:dyDescent="0.3">
      <c r="A15" s="22" t="s">
        <v>2663</v>
      </c>
      <c r="B15" s="22" t="s">
        <v>2664</v>
      </c>
      <c r="C15" s="22" t="s">
        <v>2658</v>
      </c>
    </row>
    <row r="16" spans="1:3" ht="14.45" x14ac:dyDescent="0.3">
      <c r="A16" s="22" t="s">
        <v>2665</v>
      </c>
      <c r="B16" s="22" t="s">
        <v>2666</v>
      </c>
      <c r="C16" s="22" t="s">
        <v>2667</v>
      </c>
    </row>
    <row r="17" spans="1:3" ht="14.45" x14ac:dyDescent="0.3">
      <c r="A17" s="22" t="s">
        <v>2668</v>
      </c>
      <c r="B17" s="22"/>
      <c r="C17" s="22" t="s">
        <v>2669</v>
      </c>
    </row>
    <row r="18" spans="1:3" ht="14.45" x14ac:dyDescent="0.3">
      <c r="A18" s="22" t="s">
        <v>2670</v>
      </c>
      <c r="B18" s="22" t="s">
        <v>772</v>
      </c>
      <c r="C18" s="22" t="s">
        <v>844</v>
      </c>
    </row>
    <row r="19" spans="1:3" ht="14.45" x14ac:dyDescent="0.3">
      <c r="A19" s="22" t="s">
        <v>2671</v>
      </c>
      <c r="B19" s="22" t="s">
        <v>772</v>
      </c>
      <c r="C19" s="22" t="s">
        <v>844</v>
      </c>
    </row>
    <row r="20" spans="1:3" ht="14.45" x14ac:dyDescent="0.3">
      <c r="A20" s="22" t="s">
        <v>2672</v>
      </c>
      <c r="B20" s="22" t="s">
        <v>772</v>
      </c>
      <c r="C20" s="22" t="s">
        <v>844</v>
      </c>
    </row>
    <row r="21" spans="1:3" ht="14.45" x14ac:dyDescent="0.3">
      <c r="A21" s="22" t="s">
        <v>2673</v>
      </c>
      <c r="B21" s="22" t="s">
        <v>772</v>
      </c>
      <c r="C21" s="22" t="s">
        <v>844</v>
      </c>
    </row>
    <row r="22" spans="1:3" ht="14.45" x14ac:dyDescent="0.3">
      <c r="A22" s="22" t="s">
        <v>2674</v>
      </c>
      <c r="B22" s="22"/>
      <c r="C22" s="22" t="s">
        <v>2675</v>
      </c>
    </row>
    <row r="23" spans="1:3" ht="14.45" x14ac:dyDescent="0.3">
      <c r="A23" s="22" t="s">
        <v>2676</v>
      </c>
      <c r="B23" s="22" t="s">
        <v>2677</v>
      </c>
      <c r="C23" s="22" t="s">
        <v>2638</v>
      </c>
    </row>
    <row r="24" spans="1:3" ht="14.45" x14ac:dyDescent="0.3">
      <c r="A24" s="22" t="s">
        <v>2678</v>
      </c>
      <c r="B24" s="22" t="s">
        <v>2679</v>
      </c>
      <c r="C24" s="22" t="s">
        <v>2680</v>
      </c>
    </row>
    <row r="25" spans="1:3" ht="14.45" x14ac:dyDescent="0.3">
      <c r="A25" s="22" t="s">
        <v>2681</v>
      </c>
      <c r="B25" s="22" t="s">
        <v>2682</v>
      </c>
      <c r="C25" s="22" t="s">
        <v>2638</v>
      </c>
    </row>
    <row r="26" spans="1:3" ht="14.45" x14ac:dyDescent="0.3">
      <c r="A26" s="22" t="s">
        <v>2683</v>
      </c>
      <c r="B26" s="22"/>
      <c r="C26" s="22" t="s">
        <v>2638</v>
      </c>
    </row>
    <row r="27" spans="1:3" x14ac:dyDescent="0.25">
      <c r="A27" s="22" t="s">
        <v>2684</v>
      </c>
      <c r="B27" s="22"/>
      <c r="C27" s="22" t="s">
        <v>2638</v>
      </c>
    </row>
    <row r="28" spans="1:3" x14ac:dyDescent="0.25">
      <c r="A28" s="22" t="s">
        <v>2685</v>
      </c>
      <c r="B28" s="22"/>
      <c r="C28" s="22" t="s">
        <v>2638</v>
      </c>
    </row>
    <row r="29" spans="1:3" x14ac:dyDescent="0.25">
      <c r="A29" s="22" t="s">
        <v>2686</v>
      </c>
      <c r="B29" s="22"/>
      <c r="C29" s="22" t="s">
        <v>2638</v>
      </c>
    </row>
    <row r="30" spans="1:3" x14ac:dyDescent="0.25">
      <c r="A30" s="22" t="s">
        <v>2687</v>
      </c>
      <c r="B30" s="22" t="s">
        <v>2688</v>
      </c>
      <c r="C30" s="22" t="s">
        <v>2689</v>
      </c>
    </row>
    <row r="31" spans="1:3" x14ac:dyDescent="0.25">
      <c r="A31" s="22" t="s">
        <v>2690</v>
      </c>
      <c r="B31" s="22"/>
      <c r="C31" s="22" t="s">
        <v>2638</v>
      </c>
    </row>
    <row r="32" spans="1:3" x14ac:dyDescent="0.25">
      <c r="A32" s="22" t="s">
        <v>2691</v>
      </c>
      <c r="B32" s="22"/>
      <c r="C32" s="22" t="s">
        <v>2692</v>
      </c>
    </row>
    <row r="33" spans="1:3" x14ac:dyDescent="0.25">
      <c r="A33" s="22" t="s">
        <v>2693</v>
      </c>
      <c r="B33" s="22"/>
      <c r="C33" s="22" t="s">
        <v>2694</v>
      </c>
    </row>
    <row r="34" spans="1:3" x14ac:dyDescent="0.25">
      <c r="A34" s="22" t="s">
        <v>2695</v>
      </c>
      <c r="B34" s="22"/>
      <c r="C34" s="22" t="s">
        <v>2696</v>
      </c>
    </row>
    <row r="35" spans="1:3" x14ac:dyDescent="0.25">
      <c r="A35" s="22" t="s">
        <v>2697</v>
      </c>
      <c r="B35" s="22" t="s">
        <v>826</v>
      </c>
      <c r="C35" s="22" t="s">
        <v>2638</v>
      </c>
    </row>
    <row r="36" spans="1:3" x14ac:dyDescent="0.25">
      <c r="A36" s="22" t="s">
        <v>2698</v>
      </c>
      <c r="B36" s="22" t="s">
        <v>2699</v>
      </c>
      <c r="C36" s="22" t="s">
        <v>2638</v>
      </c>
    </row>
    <row r="37" spans="1:3" x14ac:dyDescent="0.25">
      <c r="A37" s="22" t="s">
        <v>2700</v>
      </c>
      <c r="B37" s="22" t="s">
        <v>2701</v>
      </c>
      <c r="C37" s="22" t="s">
        <v>2638</v>
      </c>
    </row>
    <row r="38" spans="1:3" x14ac:dyDescent="0.25">
      <c r="A38" s="22" t="s">
        <v>2702</v>
      </c>
      <c r="B38" s="22" t="s">
        <v>2703</v>
      </c>
      <c r="C38" s="22" t="s">
        <v>2704</v>
      </c>
    </row>
    <row r="39" spans="1:3" x14ac:dyDescent="0.25">
      <c r="A39" s="22" t="s">
        <v>2705</v>
      </c>
      <c r="B39" s="22" t="s">
        <v>2706</v>
      </c>
      <c r="C39" s="22" t="s">
        <v>2638</v>
      </c>
    </row>
    <row r="40" spans="1:3" x14ac:dyDescent="0.25">
      <c r="A40" s="22" t="s">
        <v>2707</v>
      </c>
      <c r="B40" s="22" t="s">
        <v>2708</v>
      </c>
      <c r="C40" s="22" t="s">
        <v>2638</v>
      </c>
    </row>
    <row r="41" spans="1:3" x14ac:dyDescent="0.25">
      <c r="A41" s="22" t="s">
        <v>2709</v>
      </c>
      <c r="B41" s="22" t="s">
        <v>2664</v>
      </c>
      <c r="C41" s="22" t="s">
        <v>2658</v>
      </c>
    </row>
    <row r="42" spans="1:3" x14ac:dyDescent="0.25">
      <c r="A42" s="22" t="s">
        <v>2710</v>
      </c>
      <c r="B42" s="22" t="s">
        <v>2711</v>
      </c>
      <c r="C42" s="22" t="s">
        <v>2638</v>
      </c>
    </row>
    <row r="43" spans="1:3" x14ac:dyDescent="0.25">
      <c r="A43" s="22" t="s">
        <v>2712</v>
      </c>
      <c r="B43" s="22" t="s">
        <v>2713</v>
      </c>
      <c r="C43" s="22" t="s">
        <v>2638</v>
      </c>
    </row>
    <row r="44" spans="1:3" x14ac:dyDescent="0.25">
      <c r="A44" s="22" t="s">
        <v>2714</v>
      </c>
      <c r="B44" s="22" t="s">
        <v>2711</v>
      </c>
      <c r="C44" s="22" t="s">
        <v>2638</v>
      </c>
    </row>
    <row r="45" spans="1:3" x14ac:dyDescent="0.25">
      <c r="A45" s="22" t="s">
        <v>2715</v>
      </c>
      <c r="B45" s="22" t="s">
        <v>2716</v>
      </c>
      <c r="C45" s="22" t="s">
        <v>2638</v>
      </c>
    </row>
    <row r="46" spans="1:3" x14ac:dyDescent="0.25">
      <c r="A46" s="22" t="s">
        <v>2717</v>
      </c>
      <c r="B46" s="22" t="s">
        <v>354</v>
      </c>
      <c r="C46" s="22" t="s">
        <v>2718</v>
      </c>
    </row>
    <row r="47" spans="1:3" x14ac:dyDescent="0.25">
      <c r="A47" s="22" t="s">
        <v>2719</v>
      </c>
      <c r="B47" s="22" t="s">
        <v>2720</v>
      </c>
      <c r="C47" s="22" t="s">
        <v>2638</v>
      </c>
    </row>
    <row r="48" spans="1:3" x14ac:dyDescent="0.25">
      <c r="A48" s="22" t="s">
        <v>2721</v>
      </c>
      <c r="B48" s="22" t="s">
        <v>2722</v>
      </c>
      <c r="C48" s="22" t="s">
        <v>2638</v>
      </c>
    </row>
    <row r="49" spans="1:3" x14ac:dyDescent="0.25">
      <c r="A49" s="22" t="s">
        <v>2723</v>
      </c>
      <c r="B49" s="22" t="s">
        <v>2722</v>
      </c>
      <c r="C49" s="22" t="s">
        <v>2638</v>
      </c>
    </row>
    <row r="50" spans="1:3" x14ac:dyDescent="0.25">
      <c r="A50" s="22" t="s">
        <v>2724</v>
      </c>
      <c r="B50" s="22" t="s">
        <v>2725</v>
      </c>
      <c r="C50" s="22" t="s">
        <v>2638</v>
      </c>
    </row>
    <row r="51" spans="1:3" x14ac:dyDescent="0.25">
      <c r="A51" s="22" t="s">
        <v>2726</v>
      </c>
      <c r="B51" s="22" t="s">
        <v>845</v>
      </c>
      <c r="C51" s="22" t="s">
        <v>2727</v>
      </c>
    </row>
    <row r="52" spans="1:3" x14ac:dyDescent="0.25">
      <c r="A52" s="22" t="s">
        <v>2728</v>
      </c>
      <c r="B52" s="22" t="s">
        <v>2729</v>
      </c>
      <c r="C52" s="22" t="s">
        <v>2638</v>
      </c>
    </row>
    <row r="53" spans="1:3" x14ac:dyDescent="0.25">
      <c r="A53" s="22" t="s">
        <v>2730</v>
      </c>
      <c r="B53" s="22" t="s">
        <v>2706</v>
      </c>
      <c r="C53" s="22" t="s">
        <v>2638</v>
      </c>
    </row>
    <row r="54" spans="1:3" x14ac:dyDescent="0.25">
      <c r="A54" s="22" t="s">
        <v>2731</v>
      </c>
      <c r="B54" s="22" t="s">
        <v>2732</v>
      </c>
      <c r="C54" s="22" t="s">
        <v>2638</v>
      </c>
    </row>
    <row r="55" spans="1:3" x14ac:dyDescent="0.25">
      <c r="A55" s="22" t="s">
        <v>2733</v>
      </c>
      <c r="B55" s="22" t="s">
        <v>2734</v>
      </c>
      <c r="C55" s="22" t="s">
        <v>2735</v>
      </c>
    </row>
    <row r="56" spans="1:3" x14ac:dyDescent="0.25">
      <c r="A56" s="22" t="s">
        <v>2736</v>
      </c>
      <c r="B56" s="22" t="s">
        <v>2737</v>
      </c>
      <c r="C56" s="22" t="s">
        <v>2638</v>
      </c>
    </row>
    <row r="57" spans="1:3" x14ac:dyDescent="0.25">
      <c r="A57" s="22" t="s">
        <v>2738</v>
      </c>
      <c r="B57" s="22" t="s">
        <v>2739</v>
      </c>
      <c r="C57" s="22" t="s">
        <v>2638</v>
      </c>
    </row>
    <row r="58" spans="1:3" x14ac:dyDescent="0.25">
      <c r="A58" s="22" t="s">
        <v>2740</v>
      </c>
      <c r="B58" s="22" t="s">
        <v>2708</v>
      </c>
      <c r="C58" s="22" t="s">
        <v>2741</v>
      </c>
    </row>
    <row r="59" spans="1:3" x14ac:dyDescent="0.25">
      <c r="A59" s="22" t="s">
        <v>2742</v>
      </c>
      <c r="B59" s="22" t="s">
        <v>2664</v>
      </c>
      <c r="C59" s="22" t="s">
        <v>2743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21</vt:i4>
      </vt:variant>
      <vt:variant>
        <vt:lpstr>Named Ranges</vt:lpstr>
      </vt:variant>
      <vt:variant>
        <vt:i4>19</vt:i4>
      </vt:variant>
    </vt:vector>
  </HeadingPairs>
  <TitlesOfParts>
    <vt:vector size="40" baseType="lpstr">
      <vt:lpstr>Project Team</vt:lpstr>
      <vt:lpstr>Timeline</vt:lpstr>
      <vt:lpstr>LocationFile</vt:lpstr>
      <vt:lpstr>Carrier File</vt:lpstr>
      <vt:lpstr>Carrier AP#s</vt:lpstr>
      <vt:lpstr>Parcel file</vt:lpstr>
      <vt:lpstr>Account Codes</vt:lpstr>
      <vt:lpstr>freight Internal Orders</vt:lpstr>
      <vt:lpstr>Users Access</vt:lpstr>
      <vt:lpstr>Notes</vt:lpstr>
      <vt:lpstr>Rules </vt:lpstr>
      <vt:lpstr>Customer-Vendor File</vt:lpstr>
      <vt:lpstr>Reports &amp; Files</vt:lpstr>
      <vt:lpstr>Payment Instruction File</vt:lpstr>
      <vt:lpstr>Parcel Contracts</vt:lpstr>
      <vt:lpstr>Parcel Template</vt:lpstr>
      <vt:lpstr>History Load</vt:lpstr>
      <vt:lpstr>EDI Carriers</vt:lpstr>
      <vt:lpstr>GL required data</vt:lpstr>
      <vt:lpstr>Cost Center 7-18-2017</vt:lpstr>
      <vt:lpstr>Plant ID 7-18-2017</vt:lpstr>
      <vt:lpstr>'History Load'!_Toc125956400</vt:lpstr>
      <vt:lpstr>'History Load'!_Toc125956401</vt:lpstr>
      <vt:lpstr>'Parcel file'!ParcelAccount</vt:lpstr>
      <vt:lpstr>'Parcel file'!ParcelAccount_1</vt:lpstr>
      <vt:lpstr>'Parcel file'!ParcelAccount_10</vt:lpstr>
      <vt:lpstr>'Parcel file'!ParcelAccount_11</vt:lpstr>
      <vt:lpstr>'Parcel file'!ParcelAccount_12</vt:lpstr>
      <vt:lpstr>'Parcel file'!ParcelAccount_13</vt:lpstr>
      <vt:lpstr>'Parcel file'!ParcelAccount_14</vt:lpstr>
      <vt:lpstr>'Parcel file'!ParcelAccount_15</vt:lpstr>
      <vt:lpstr>'Parcel file'!ParcelAccount_2</vt:lpstr>
      <vt:lpstr>'Parcel file'!ParcelAccount_3</vt:lpstr>
      <vt:lpstr>'Parcel file'!ParcelAccount_4</vt:lpstr>
      <vt:lpstr>'Parcel file'!ParcelAccount_5</vt:lpstr>
      <vt:lpstr>'Parcel file'!ParcelAccount_6</vt:lpstr>
      <vt:lpstr>'Parcel file'!ParcelAccount_7</vt:lpstr>
      <vt:lpstr>'Parcel file'!ParcelAccount_8</vt:lpstr>
      <vt:lpstr>'Parcel file'!ParcelAccount_9</vt:lpstr>
      <vt:lpstr>'Payment Instruction File'!Print_Titles</vt:lpstr>
    </vt:vector>
  </TitlesOfParts>
  <Company>Tranzact Technologies,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nealjohn</dc:creator>
  <cp:lastModifiedBy>sheridan.postier</cp:lastModifiedBy>
  <cp:lastPrinted>2017-08-23T14:49:39Z</cp:lastPrinted>
  <dcterms:created xsi:type="dcterms:W3CDTF">2010-02-25T20:16:47Z</dcterms:created>
  <dcterms:modified xsi:type="dcterms:W3CDTF">2017-08-23T14:49:42Z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ies>
</file>