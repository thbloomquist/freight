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chindra.jha\Documents\Juul\Logistics\"/>
    </mc:Choice>
  </mc:AlternateContent>
  <xr:revisionPtr revIDLastSave="0" documentId="13_ncr:1_{F4454731-273B-49C9-A561-0326C13EA848}" xr6:coauthVersionLast="36" xr6:coauthVersionMax="36" xr10:uidLastSave="{00000000-0000-0000-0000-000000000000}"/>
  <bookViews>
    <workbookView xWindow="0" yWindow="0" windowWidth="23040" windowHeight="8808" firstSheet="1" activeTab="1" xr2:uid="{6D5486C4-B71C-49F3-878D-0E9DBD374EA5}"/>
  </bookViews>
  <sheets>
    <sheet name="Pivot" sheetId="3" state="hidden" r:id="rId1"/>
    <sheet name="Data" sheetId="1" r:id="rId2"/>
  </sheets>
  <calcPr calcId="191029"/>
  <pivotCaches>
    <pivotCache cacheId="5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39" i="1" l="1"/>
  <c r="T42" i="1"/>
  <c r="S44" i="1"/>
  <c r="S43" i="1"/>
  <c r="S42" i="1"/>
  <c r="P44" i="1"/>
  <c r="P43" i="1"/>
  <c r="P42" i="1"/>
  <c r="O44" i="1"/>
  <c r="O43" i="1"/>
  <c r="O42" i="1"/>
  <c r="N43" i="1"/>
  <c r="N42" i="1"/>
  <c r="E42" i="1"/>
  <c r="F42" i="1"/>
  <c r="G42" i="1"/>
  <c r="H42" i="1" s="1"/>
  <c r="E43" i="1"/>
  <c r="F43" i="1"/>
  <c r="G43" i="1"/>
  <c r="E44" i="1"/>
  <c r="F44" i="1"/>
  <c r="G44" i="1"/>
  <c r="H44" i="1" s="1"/>
  <c r="D42" i="1"/>
  <c r="D44" i="1"/>
  <c r="D43" i="1"/>
  <c r="I43" i="1" l="1"/>
  <c r="H43" i="1"/>
  <c r="I44" i="1"/>
  <c r="I42" i="1"/>
  <c r="S39" i="1"/>
  <c r="P39" i="1"/>
  <c r="O39" i="1"/>
  <c r="G39" i="1"/>
  <c r="E39" i="1"/>
  <c r="N31" i="1" l="1"/>
  <c r="N32" i="1"/>
  <c r="N34" i="1"/>
  <c r="N33" i="1"/>
  <c r="N44" i="1" s="1"/>
  <c r="N39" i="1" l="1"/>
  <c r="AA39" i="1"/>
  <c r="AB39" i="1"/>
  <c r="Q12" i="1"/>
  <c r="Q13" i="1"/>
  <c r="AC13" i="1" s="1"/>
  <c r="Q25" i="1"/>
  <c r="Q37" i="1"/>
  <c r="V12" i="1" l="1"/>
  <c r="AC12" i="1"/>
  <c r="R13" i="1"/>
  <c r="U37" i="1"/>
  <c r="AC37" i="1"/>
  <c r="U13" i="1"/>
  <c r="W13" i="1"/>
  <c r="V13" i="1"/>
  <c r="AC25" i="1"/>
  <c r="W25" i="1"/>
  <c r="R25" i="1"/>
  <c r="V25" i="1"/>
  <c r="U25" i="1"/>
  <c r="W12" i="1"/>
  <c r="R12" i="1"/>
  <c r="Y12" i="1" s="1"/>
  <c r="U12" i="1"/>
  <c r="V37" i="1"/>
  <c r="W37" i="1"/>
  <c r="R37" i="1"/>
  <c r="X25" i="1" l="1"/>
  <c r="Z25" i="1"/>
  <c r="Y25" i="1"/>
  <c r="T25" i="1"/>
  <c r="X13" i="1"/>
  <c r="Z13" i="1"/>
  <c r="Y13" i="1"/>
  <c r="X12" i="1"/>
  <c r="Z12" i="1"/>
  <c r="Z37" i="1"/>
  <c r="Y37" i="1"/>
  <c r="X37" i="1"/>
  <c r="T37" i="1"/>
  <c r="Q3" i="1" l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Q10" i="1"/>
  <c r="AC10" i="1" s="1"/>
  <c r="Q11" i="1"/>
  <c r="Q14" i="1"/>
  <c r="Q15" i="1"/>
  <c r="Q16" i="1"/>
  <c r="Q17" i="1"/>
  <c r="Q18" i="1"/>
  <c r="Q19" i="1"/>
  <c r="Q20" i="1"/>
  <c r="Q21" i="1"/>
  <c r="Q22" i="1"/>
  <c r="AC22" i="1" s="1"/>
  <c r="Q23" i="1"/>
  <c r="AC23" i="1" s="1"/>
  <c r="Q24" i="1"/>
  <c r="Q26" i="1"/>
  <c r="Q27" i="1"/>
  <c r="Q28" i="1"/>
  <c r="Q29" i="1"/>
  <c r="Q30" i="1"/>
  <c r="Q31" i="1"/>
  <c r="Q32" i="1"/>
  <c r="Q33" i="1"/>
  <c r="Q34" i="1"/>
  <c r="AC34" i="1" s="1"/>
  <c r="Q35" i="1"/>
  <c r="AC35" i="1" s="1"/>
  <c r="Q36" i="1"/>
  <c r="Q2" i="1"/>
  <c r="Q44" i="1" l="1"/>
  <c r="U44" i="1"/>
  <c r="V44" i="1"/>
  <c r="W44" i="1"/>
  <c r="AC21" i="1"/>
  <c r="Q43" i="1"/>
  <c r="Q42" i="1"/>
  <c r="R16" i="1"/>
  <c r="T16" i="1" s="1"/>
  <c r="AC16" i="1"/>
  <c r="R14" i="1"/>
  <c r="T14" i="1" s="1"/>
  <c r="AC14" i="1"/>
  <c r="R28" i="1"/>
  <c r="T28" i="1" s="1"/>
  <c r="AC28" i="1"/>
  <c r="R27" i="1"/>
  <c r="T27" i="1" s="1"/>
  <c r="AC27" i="1"/>
  <c r="R11" i="1"/>
  <c r="AC11" i="1"/>
  <c r="AC24" i="1"/>
  <c r="W24" i="1"/>
  <c r="AC36" i="1"/>
  <c r="W36" i="1"/>
  <c r="R29" i="1"/>
  <c r="X29" i="1" s="1"/>
  <c r="AC29" i="1"/>
  <c r="R15" i="1"/>
  <c r="T15" i="1" s="1"/>
  <c r="AC15" i="1"/>
  <c r="R26" i="1"/>
  <c r="T26" i="1" s="1"/>
  <c r="AC26" i="1"/>
  <c r="R2" i="1"/>
  <c r="Q39" i="1"/>
  <c r="R9" i="1"/>
  <c r="AC9" i="1"/>
  <c r="R33" i="1"/>
  <c r="T33" i="1" s="1"/>
  <c r="AC33" i="1"/>
  <c r="R20" i="1"/>
  <c r="T20" i="1" s="1"/>
  <c r="AC20" i="1"/>
  <c r="R18" i="1"/>
  <c r="T18" i="1" s="1"/>
  <c r="AC18" i="1"/>
  <c r="R32" i="1"/>
  <c r="T32" i="1" s="1"/>
  <c r="AC32" i="1"/>
  <c r="R19" i="1"/>
  <c r="T19" i="1" s="1"/>
  <c r="AC19" i="1"/>
  <c r="R31" i="1"/>
  <c r="T31" i="1" s="1"/>
  <c r="AC31" i="1"/>
  <c r="R30" i="1"/>
  <c r="T30" i="1" s="1"/>
  <c r="AC30" i="1"/>
  <c r="R17" i="1"/>
  <c r="T17" i="1" s="1"/>
  <c r="AC17" i="1"/>
  <c r="V24" i="1"/>
  <c r="R24" i="1"/>
  <c r="U24" i="1"/>
  <c r="U21" i="1"/>
  <c r="V21" i="1"/>
  <c r="W21" i="1"/>
  <c r="U36" i="1"/>
  <c r="V36" i="1"/>
  <c r="U10" i="1"/>
  <c r="V10" i="1"/>
  <c r="W10" i="1"/>
  <c r="U35" i="1"/>
  <c r="W35" i="1"/>
  <c r="V35" i="1"/>
  <c r="U33" i="1"/>
  <c r="V33" i="1"/>
  <c r="W33" i="1"/>
  <c r="Z16" i="1"/>
  <c r="U34" i="1"/>
  <c r="V34" i="1"/>
  <c r="W34" i="1"/>
  <c r="Z30" i="1"/>
  <c r="X30" i="1"/>
  <c r="Y30" i="1"/>
  <c r="Y27" i="1"/>
  <c r="X27" i="1"/>
  <c r="Z27" i="1"/>
  <c r="W23" i="1"/>
  <c r="V23" i="1"/>
  <c r="U23" i="1"/>
  <c r="X19" i="1"/>
  <c r="Y19" i="1"/>
  <c r="V32" i="1"/>
  <c r="U32" i="1"/>
  <c r="W32" i="1"/>
  <c r="U17" i="1"/>
  <c r="V17" i="1"/>
  <c r="W17" i="1"/>
  <c r="U28" i="1"/>
  <c r="V28" i="1"/>
  <c r="W28" i="1"/>
  <c r="Z11" i="1"/>
  <c r="Y11" i="1"/>
  <c r="X11" i="1"/>
  <c r="W22" i="1"/>
  <c r="U22" i="1"/>
  <c r="V22" i="1"/>
  <c r="V20" i="1"/>
  <c r="W20" i="1"/>
  <c r="U20" i="1"/>
  <c r="U19" i="1"/>
  <c r="V19" i="1"/>
  <c r="W19" i="1"/>
  <c r="U31" i="1"/>
  <c r="V31" i="1"/>
  <c r="W31" i="1"/>
  <c r="U30" i="1"/>
  <c r="V30" i="1"/>
  <c r="W30" i="1"/>
  <c r="U15" i="1"/>
  <c r="V15" i="1"/>
  <c r="W15" i="1"/>
  <c r="W27" i="1"/>
  <c r="U27" i="1"/>
  <c r="V27" i="1"/>
  <c r="V14" i="1"/>
  <c r="U14" i="1"/>
  <c r="W14" i="1"/>
  <c r="R36" i="1"/>
  <c r="R23" i="1"/>
  <c r="T23" i="1" s="1"/>
  <c r="R10" i="1"/>
  <c r="V16" i="1"/>
  <c r="W16" i="1"/>
  <c r="U16" i="1"/>
  <c r="U26" i="1"/>
  <c r="W26" i="1"/>
  <c r="V26" i="1"/>
  <c r="R22" i="1"/>
  <c r="T22" i="1" s="1"/>
  <c r="T29" i="1"/>
  <c r="W9" i="1"/>
  <c r="U9" i="1"/>
  <c r="V9" i="1"/>
  <c r="W18" i="1"/>
  <c r="V18" i="1"/>
  <c r="U18" i="1"/>
  <c r="U29" i="1"/>
  <c r="V29" i="1"/>
  <c r="W29" i="1"/>
  <c r="W11" i="1"/>
  <c r="V11" i="1"/>
  <c r="U11" i="1"/>
  <c r="R34" i="1"/>
  <c r="X34" i="1" s="1"/>
  <c r="R21" i="1"/>
  <c r="X33" i="1"/>
  <c r="Z33" i="1"/>
  <c r="X32" i="1"/>
  <c r="Z32" i="1"/>
  <c r="Y32" i="1"/>
  <c r="Z19" i="1" l="1"/>
  <c r="X16" i="1"/>
  <c r="Y33" i="1"/>
  <c r="Y18" i="1"/>
  <c r="Z14" i="1"/>
  <c r="Y28" i="1"/>
  <c r="Y15" i="1"/>
  <c r="W42" i="1"/>
  <c r="V42" i="1"/>
  <c r="U42" i="1"/>
  <c r="Z28" i="1"/>
  <c r="Y9" i="1"/>
  <c r="R42" i="1"/>
  <c r="U43" i="1"/>
  <c r="V43" i="1"/>
  <c r="W43" i="1"/>
  <c r="Y16" i="1"/>
  <c r="X18" i="1"/>
  <c r="X28" i="1"/>
  <c r="Z15" i="1"/>
  <c r="Y17" i="1"/>
  <c r="T21" i="1"/>
  <c r="T43" i="1" s="1"/>
  <c r="R43" i="1"/>
  <c r="X20" i="1"/>
  <c r="Z29" i="1"/>
  <c r="X15" i="1"/>
  <c r="Y14" i="1"/>
  <c r="Y20" i="1"/>
  <c r="X14" i="1"/>
  <c r="Y29" i="1"/>
  <c r="X9" i="1"/>
  <c r="Z9" i="1"/>
  <c r="Y31" i="1"/>
  <c r="Z31" i="1"/>
  <c r="X26" i="1"/>
  <c r="AC39" i="1"/>
  <c r="AD39" i="1" s="1"/>
  <c r="T36" i="1"/>
  <c r="X36" i="1"/>
  <c r="Y36" i="1"/>
  <c r="Z36" i="1"/>
  <c r="T24" i="1"/>
  <c r="Y24" i="1"/>
  <c r="Z24" i="1"/>
  <c r="X24" i="1"/>
  <c r="X31" i="1"/>
  <c r="Z26" i="1"/>
  <c r="X17" i="1"/>
  <c r="W39" i="1"/>
  <c r="V39" i="1"/>
  <c r="U39" i="1"/>
  <c r="Y26" i="1"/>
  <c r="Z18" i="1"/>
  <c r="Z20" i="1"/>
  <c r="Z17" i="1"/>
  <c r="Y34" i="1"/>
  <c r="Z34" i="1"/>
  <c r="T34" i="1"/>
  <c r="Z23" i="1"/>
  <c r="Y23" i="1"/>
  <c r="X23" i="1"/>
  <c r="Y22" i="1"/>
  <c r="X22" i="1"/>
  <c r="Z22" i="1"/>
  <c r="X21" i="1"/>
  <c r="Y21" i="1"/>
  <c r="Z21" i="1"/>
  <c r="X10" i="1"/>
  <c r="Z10" i="1"/>
  <c r="Y10" i="1"/>
  <c r="Y42" i="1" l="1"/>
  <c r="X42" i="1"/>
  <c r="Z42" i="1"/>
  <c r="Z43" i="1"/>
  <c r="Y43" i="1"/>
  <c r="X43" i="1"/>
  <c r="R35" i="1"/>
  <c r="R39" i="1" l="1"/>
  <c r="R44" i="1"/>
  <c r="Z39" i="1"/>
  <c r="X39" i="1"/>
  <c r="Y39" i="1"/>
  <c r="Z35" i="1"/>
  <c r="T35" i="1"/>
  <c r="Y35" i="1"/>
  <c r="X35" i="1"/>
  <c r="T39" i="1" l="1"/>
  <c r="T44" i="1"/>
  <c r="Z44" i="1"/>
  <c r="X44" i="1"/>
  <c r="Y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Sachin Jha</author>
  </authors>
  <commentList>
    <comment ref="AA35" authorId="0" shapeId="0" xr:uid="{943723E8-FF0B-46DF-8AE3-CC13F0F4C090}">
      <text>
        <r>
          <rPr>
            <b/>
            <sz val="9"/>
            <color indexed="81"/>
            <rFont val="Tahoma"/>
            <family val="2"/>
          </rPr>
          <t>Sachin Jha:</t>
        </r>
        <r>
          <rPr>
            <sz val="9"/>
            <color indexed="81"/>
            <rFont val="Tahoma"/>
            <family val="2"/>
          </rPr>
          <t xml:space="preserve">
This amount was corrected from original invoice.  We only paid correct amount.  Cost Avoidance.</t>
        </r>
      </text>
    </comment>
  </commentList>
</comments>
</file>

<file path=xl/sharedStrings.xml><?xml version="1.0" encoding="utf-8"?>
<sst xmlns="http://schemas.openxmlformats.org/spreadsheetml/2006/main" count="192" uniqueCount="60">
  <si>
    <t>Shipment Country</t>
  </si>
  <si>
    <t>Channel (E-Comm/Wholesale/D2R)</t>
  </si>
  <si>
    <t>Month of Shipment Date</t>
  </si>
  <si>
    <t>Count of Shipment</t>
  </si>
  <si>
    <t>Units Shipped</t>
  </si>
  <si>
    <t>Revenue (Local Curr.)</t>
  </si>
  <si>
    <t>Avg. Revenue/Unit (Local Curr.)</t>
  </si>
  <si>
    <t>Avg. Revenue/Shipment (Local Curr.)</t>
  </si>
  <si>
    <t>United States of America</t>
  </si>
  <si>
    <t>D2R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</si>
  <si>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</si>
  <si>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</si>
  <si>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</si>
  <si>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</si>
  <si>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</si>
  <si>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</si>
  <si>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</si>
  <si>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</si>
  <si>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</si>
  <si>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</si>
  <si>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</si>
  <si>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Ecommerce</t>
  </si>
  <si>
    <t>Wholesale</t>
  </si>
  <si>
    <t>Grand Total</t>
  </si>
  <si>
    <t>Values</t>
  </si>
  <si>
    <t>D2R Total</t>
  </si>
  <si>
    <t>Ecommerce Total</t>
  </si>
  <si>
    <t>Wholesale Total</t>
  </si>
  <si>
    <t>WH</t>
  </si>
  <si>
    <t>Trans</t>
  </si>
  <si>
    <t>Avg Units Per Shipment</t>
  </si>
  <si>
    <t xml:space="preserve">  Avg Units Per Shipment</t>
  </si>
  <si>
    <t>EMPTY 1</t>
  </si>
  <si>
    <t>Empty 2</t>
  </si>
  <si>
    <t>Empty 3</t>
  </si>
  <si>
    <t>Empty 4</t>
  </si>
  <si>
    <t>DCL Total</t>
  </si>
  <si>
    <t>DCL freight 2</t>
  </si>
  <si>
    <t>DCL Freight 1</t>
  </si>
  <si>
    <t>Total Freight</t>
  </si>
  <si>
    <t>Total Fulfilment</t>
  </si>
  <si>
    <t>Fulfilment Materia</t>
  </si>
  <si>
    <t>Fulfilment</t>
  </si>
  <si>
    <t>Total Freight/Shipment</t>
  </si>
  <si>
    <t>Total Freight/Unit</t>
  </si>
  <si>
    <t>Total FF/Shipment</t>
  </si>
  <si>
    <t>Total FF/Unit</t>
  </si>
  <si>
    <t>Total Freight % of Rev</t>
  </si>
  <si>
    <t>Total FF % of Rev</t>
  </si>
  <si>
    <t>DCL Adjustments</t>
  </si>
  <si>
    <t>December 2018</t>
  </si>
  <si>
    <t>DCL Pallets Adjustment</t>
  </si>
  <si>
    <t>Total</t>
  </si>
  <si>
    <t>No of Shipment</t>
  </si>
  <si>
    <t xml:space="preserve"> Units Shipped</t>
  </si>
  <si>
    <t xml:space="preserve"> Revenue (Local Curr.)</t>
  </si>
  <si>
    <t>Freight markup</t>
  </si>
  <si>
    <t>D2R (Aug-Dec)</t>
  </si>
  <si>
    <t>B2C (Aug-Dec)</t>
  </si>
  <si>
    <t>B2B (Aug-Dec)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</si>
</sst>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&quot;$&quot;#,##0;\(&quot;$&quot;#,##0\)"/>
    <numFmt numFmtId="165" formatCode="&quot;$&quot;#,##0.0;\(&quot;$&quot;#,##0.0\)"/>
    <numFmt numFmtId="166" formatCode="#,##0.0;\-#,##0.0"/>
    <numFmt numFmtId="167" formatCode="#,##0.0"/>
    <numFmt numFmtId="168" formatCode="_(&quot;$&quot;* #,##0_);_(&quot;$&quot;* \(#,##0\);_(&quot;$&quot;* &quot;-&quot;??_);_(@_)"/>
    <numFmt numFmtId="169" formatCode="_(&quot;$&quot;* #,##0.00000_);_(&quot;$&quot;* \(#,##0.00000\);_(&quot;$&quot;* &quot;-&quot;??_);_(@_)"/>
    <numFmt numFmtId="170" formatCode="0.0%"/>
  </numFmts>
  <fonts count="8" x14ac:knownFonts="1">
    <font>
      <sz val="11"/>
      <color theme="1"/>
      <name val="Calibri"/>
      <family val="2"/>
      <scheme val="minor"/>
    </font>
    <font>
      <sz val="9"/>
      <color rgb="FF666666"/>
      <name val="Arial"/>
      <family val="2"/>
    </font>
    <font>
      <sz val="9"/>
      <color rgb="FF333333"/>
      <name val="Arial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rgb="FF666666"/>
      <name val="Arial"/>
      <family val="2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5">
    <xf numFmtId="0" fontId="0" fillId="0" borderId="0" xfId="0"/>
    <xf numFmtId="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top"/>
    </xf>
    <xf numFmtId="0" fontId="0" fillId="0" borderId="0" xfId="0" pivotButton="1"/>
    <xf numFmtId="0" fontId="1" fillId="0" borderId="0" xfId="0" quotePrefix="1" applyFont="1" applyAlignment="1">
      <alignment horizontal="left" vertical="top"/>
    </xf>
    <xf numFmtId="166" fontId="2" fillId="0" borderId="0" xfId="0" applyNumberFormat="1" applyFont="1" applyAlignment="1">
      <alignment vertical="center"/>
    </xf>
    <xf numFmtId="167" fontId="0" fillId="0" borderId="0" xfId="0" applyNumberFormat="1"/>
    <xf numFmtId="168" fontId="0" fillId="0" borderId="0" xfId="1" applyNumberFormat="1" applyFont="1"/>
    <xf numFmtId="168" fontId="0" fillId="2" borderId="0" xfId="1" applyNumberFormat="1" applyFont="1" applyFill="1"/>
    <xf numFmtId="168" fontId="0" fillId="0" borderId="0" xfId="0" applyNumberFormat="1"/>
    <xf numFmtId="44" fontId="0" fillId="0" borderId="0" xfId="0" applyNumberFormat="1"/>
    <xf numFmtId="169" fontId="0" fillId="0" borderId="0" xfId="0" applyNumberFormat="1"/>
    <xf numFmtId="10" fontId="0" fillId="0" borderId="0" xfId="2" applyNumberFormat="1" applyFont="1"/>
    <xf numFmtId="168" fontId="0" fillId="4" borderId="0" xfId="1" applyNumberFormat="1" applyFont="1" applyFill="1"/>
    <xf numFmtId="168" fontId="0" fillId="2" borderId="0" xfId="0" applyNumberFormat="1" applyFill="1"/>
    <xf numFmtId="0" fontId="0" fillId="2" borderId="0" xfId="0" applyFill="1"/>
    <xf numFmtId="0" fontId="2" fillId="3" borderId="0" xfId="0" quotePrefix="1" applyFont="1" applyFill="1" applyAlignment="1">
      <alignment horizontal="left" wrapText="1"/>
    </xf>
    <xf numFmtId="0" fontId="1" fillId="3" borderId="0" xfId="0" quotePrefix="1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168" fontId="1" fillId="4" borderId="0" xfId="1" applyNumberFormat="1" applyFont="1" applyFill="1" applyAlignment="1">
      <alignment horizontal="center" wrapText="1"/>
    </xf>
    <xf numFmtId="168" fontId="1" fillId="5" borderId="0" xfId="1" applyNumberFormat="1" applyFont="1" applyFill="1" applyAlignment="1">
      <alignment horizontal="center" wrapText="1"/>
    </xf>
    <xf numFmtId="168" fontId="1" fillId="2" borderId="0" xfId="1" applyNumberFormat="1" applyFont="1" applyFill="1" applyAlignment="1">
      <alignment horizontal="center" wrapText="1"/>
    </xf>
    <xf numFmtId="0" fontId="6" fillId="0" borderId="0" xfId="0" applyFont="1" applyAlignment="1">
      <alignment horizontal="left" vertical="top"/>
    </xf>
    <xf numFmtId="3" fontId="7" fillId="0" borderId="0" xfId="0" applyNumberFormat="1" applyFont="1"/>
    <xf numFmtId="0" fontId="7" fillId="0" borderId="0" xfId="0" applyFont="1"/>
    <xf numFmtId="44" fontId="7" fillId="0" borderId="0" xfId="0" applyNumberFormat="1" applyFont="1"/>
    <xf numFmtId="169" fontId="7" fillId="0" borderId="0" xfId="0" applyNumberFormat="1" applyFont="1"/>
    <xf numFmtId="10" fontId="7" fillId="0" borderId="0" xfId="2" applyNumberFormat="1" applyFont="1"/>
    <xf numFmtId="9" fontId="0" fillId="0" borderId="0" xfId="2" applyFont="1"/>
    <xf numFmtId="170" fontId="0" fillId="0" borderId="0" xfId="2" applyNumberFormat="1" applyFont="1"/>
    <xf numFmtId="10" fontId="0" fillId="0" borderId="0" xfId="0" applyNumberFormat="1"/>
    <xf numFmtId="169" fontId="0" fillId="2" borderId="0" xfId="0" applyNumberFormat="1" applyFill="1"/>
    <xf numFmtId="169" fontId="7" fillId="2" borderId="0" xfId="0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n Jha" refreshedDate="43475.265382407408" createdVersion="6" refreshedVersion="6" minRefreshableVersion="3" recordCount="35" xr:uid="{7155728B-40FC-43A4-8299-D3EBB4347BB0}">
  <cacheSource type="worksheet">
    <worksheetSource ref="A1:I36" sheet="Data"/>
  </cacheSource>
  <cacheFields count="9">
    <cacheField name="Shipment Country" numFmtId="0">
      <sharedItems/>
    </cacheField>
    <cacheField name="Channel (E-Comm/Wholesale/D2R)" numFmtId="0">
      <sharedItems count="3">
        <s v="D2R"/>
        <s v="Ecommerce"/>
        <s v="Wholesale"/>
      </sharedItems>
    </cacheField>
    <cacheField name="Month of Shipment Date" numFmtId="0">
      <sharedItems count="12">
        <s v="January 2018"/>
        <s v="February 2018"/>
        <s v="March 2018"/>
        <s v="April 2018"/>
        <s v="May 2018"/>
        <s v="June 2018"/>
        <s v="July 2018"/>
        <s v="August 2018"/>
        <s v="September 2018"/>
        <s v="October 2018"/>
        <s v="November 2018"/>
        <s v="December 2018"/>
      </sharedItems>
    </cacheField>
    <cacheField name="Count of Shipment" numFmtId="3">
      <sharedItems containsSemiMixedTypes="0" containsString="0" containsNumber="1" containsInteger="1" minValue="402" maxValue="166424"/>
    </cacheField>
    <cacheField name="Units Shipped" numFmtId="3">
      <sharedItems containsSemiMixedTypes="0" containsString="0" containsNumber="1" containsInteger="1" minValue="126379" maxValue="17914588"/>
    </cacheField>
    <cacheField name="Avg Units Per Shipment" numFmtId="166">
      <sharedItems containsSemiMixedTypes="0" containsString="0" containsNumber="1" minValue="3.5039125308178796" maxValue="16970.57113821138"/>
    </cacheField>
    <cacheField name="Revenue (Local Curr.)" numFmtId="164">
      <sharedItems containsSemiMixedTypes="0" containsString="0" containsNumber="1" minValue="1547315.9799999914" maxValue="170926812.86000067"/>
    </cacheField>
    <cacheField name="Avg. Revenue/Unit (Local Curr.)" numFmtId="165">
      <sharedItems containsSemiMixedTypes="0" containsString="0" containsNumber="1" minValue="8.4825659140116425" maxValue="17.578137604010809"/>
    </cacheField>
    <cacheField name="Avg. Revenue/Shipment (Local Curr.)" numFmtId="165">
      <sharedItems containsSemiMixedTypes="0" containsString="0" containsNumber="1" minValue="59.003408825173608" maxValue="152823.355863820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United States of America"/>
    <x v="0"/>
    <x v="0"/>
    <n v="2022"/>
    <n v="448459"/>
    <n v="221.78981206726013"/>
    <n v="5012396.7799999332"/>
    <n v="11.176934301686293"/>
    <n v="2478.9301582591165"/>
  </r>
  <r>
    <s v="United States of America"/>
    <x v="0"/>
    <x v="1"/>
    <n v="1699"/>
    <n v="353197"/>
    <n v="207.88522660388463"/>
    <n v="3783050.7199999625"/>
    <n v="10.710880103738035"/>
    <n v="2226.6337374926206"/>
  </r>
  <r>
    <s v="United States of America"/>
    <x v="0"/>
    <x v="2"/>
    <n v="2317"/>
    <n v="415984"/>
    <n v="179.53560638757014"/>
    <n v="4144770.3899999498"/>
    <n v="9.963773582637673"/>
    <n v="1788.8521320673067"/>
  </r>
  <r>
    <s v="United States of America"/>
    <x v="0"/>
    <x v="3"/>
    <n v="1945"/>
    <n v="363567"/>
    <n v="186.92390745501285"/>
    <n v="3752194.6299999603"/>
    <n v="10.320503868612828"/>
    <n v="1929.1489100256865"/>
  </r>
  <r>
    <s v="United States of America"/>
    <x v="0"/>
    <x v="4"/>
    <n v="1890"/>
    <n v="368443"/>
    <n v="194.94338624338624"/>
    <n v="3959400.5099999513"/>
    <n v="10.746304068743202"/>
    <n v="2094.9209047618792"/>
  </r>
  <r>
    <s v="United States of America"/>
    <x v="0"/>
    <x v="5"/>
    <n v="2789"/>
    <n v="526845"/>
    <n v="188.90103979921119"/>
    <n v="5528287.0599999214"/>
    <n v="10.493194506923139"/>
    <n v="1982.1753531731522"/>
  </r>
  <r>
    <s v="United States of America"/>
    <x v="0"/>
    <x v="6"/>
    <n v="2850"/>
    <n v="387838"/>
    <n v="136.08350877192981"/>
    <n v="4091398.589999944"/>
    <n v="10.549246309025788"/>
    <n v="1435.5784526315592"/>
  </r>
  <r>
    <s v="United States of America"/>
    <x v="0"/>
    <x v="7"/>
    <n v="2059"/>
    <n v="322922"/>
    <n v="156.83438562408935"/>
    <n v="3505755.5599999577"/>
    <n v="10.856354042152462"/>
    <n v="1702.6496163185807"/>
  </r>
  <r>
    <s v="United States of America"/>
    <x v="0"/>
    <x v="8"/>
    <n v="2520"/>
    <n v="346878"/>
    <n v="137.65"/>
    <n v="4011552.8199999556"/>
    <n v="11.564736939211929"/>
    <n v="1591.8860396825221"/>
  </r>
  <r>
    <s v="United States of America"/>
    <x v="0"/>
    <x v="9"/>
    <n v="2594"/>
    <n v="391336"/>
    <n v="150.86198920585969"/>
    <n v="4546162.7599999141"/>
    <n v="11.617031808982343"/>
    <n v="1752.5685273708227"/>
  </r>
  <r>
    <s v="United States of America"/>
    <x v="0"/>
    <x v="10"/>
    <n v="1613"/>
    <n v="318265"/>
    <n v="197.31246125232485"/>
    <n v="3501928.5099999746"/>
    <n v="11.003184484627511"/>
    <n v="2171.0654122752476"/>
  </r>
  <r>
    <s v="United States of America"/>
    <x v="0"/>
    <x v="11"/>
    <n v="1308"/>
    <n v="126379"/>
    <n v="96.620030581039757"/>
    <n v="1547315.9799999914"/>
    <n v="12.243458011220151"/>
    <n v="1182.9632874617671"/>
  </r>
  <r>
    <s v="United States of America"/>
    <x v="1"/>
    <x v="0"/>
    <n v="62114"/>
    <n v="246695"/>
    <n v="3.9716489036288114"/>
    <n v="4060070.620000104"/>
    <n v="16.457855327429026"/>
    <n v="65.364823067265093"/>
  </r>
  <r>
    <s v="United States of America"/>
    <x v="1"/>
    <x v="1"/>
    <n v="58325"/>
    <n v="235587"/>
    <n v="4.0392113159022713"/>
    <n v="3817711.5200002906"/>
    <n v="16.205102658467109"/>
    <n v="65.455834033438336"/>
  </r>
  <r>
    <s v="United States of America"/>
    <x v="1"/>
    <x v="2"/>
    <n v="73098"/>
    <n v="277415"/>
    <n v="3.7951106733426361"/>
    <n v="4670811.5199995656"/>
    <n v="16.836910477081503"/>
    <n v="63.897938657686467"/>
  </r>
  <r>
    <s v="United States of America"/>
    <x v="1"/>
    <x v="3"/>
    <n v="93290"/>
    <n v="326880"/>
    <n v="3.5039125308178796"/>
    <n v="5745941.6199990539"/>
    <n v="17.578137604010809"/>
    <n v="61.59225661913446"/>
  </r>
  <r>
    <s v="United States of America"/>
    <x v="1"/>
    <x v="4"/>
    <n v="94359"/>
    <n v="340746"/>
    <n v="3.6111658665310147"/>
    <n v="5682959.2799990503"/>
    <n v="16.677992639676035"/>
    <n v="60.226997742653595"/>
  </r>
  <r>
    <s v="United States of America"/>
    <x v="1"/>
    <x v="5"/>
    <n v="89961"/>
    <n v="333309"/>
    <n v="3.7050388501684064"/>
    <n v="5488393.5599991595"/>
    <n v="16.466382725936473"/>
    <n v="61.008587721336575"/>
  </r>
  <r>
    <s v="United States of America"/>
    <x v="1"/>
    <x v="6"/>
    <n v="101716"/>
    <n v="377932"/>
    <n v="3.7155609736914545"/>
    <n v="6467713.3399988106"/>
    <n v="17.113431358018932"/>
    <n v="63.585997679802688"/>
  </r>
  <r>
    <s v="United States of America"/>
    <x v="1"/>
    <x v="7"/>
    <n v="95382"/>
    <n v="376332"/>
    <n v="3.9455243127634145"/>
    <n v="5937125.2799991407"/>
    <n v="15.776296674210911"/>
    <n v="62.245762093467746"/>
  </r>
  <r>
    <s v="United States of America"/>
    <x v="1"/>
    <x v="8"/>
    <n v="90454"/>
    <n v="360075"/>
    <n v="3.98075264775466"/>
    <n v="5601194.7199993934"/>
    <n v="15.55563346524861"/>
    <n v="61.923129104289401"/>
  </r>
  <r>
    <s v="United States of America"/>
    <x v="1"/>
    <x v="9"/>
    <n v="124162"/>
    <n v="458795"/>
    <n v="3.6951321660411396"/>
    <n v="7636745.3499985375"/>
    <n v="16.645223574796013"/>
    <n v="61.506301042175039"/>
  </r>
  <r>
    <s v="United States of America"/>
    <x v="1"/>
    <x v="10"/>
    <n v="152246"/>
    <n v="539209"/>
    <n v="3.5416956767337071"/>
    <n v="8983032.9799973816"/>
    <n v="16.659649560740608"/>
    <n v="59.003408825173608"/>
  </r>
  <r>
    <s v="United States of America"/>
    <x v="1"/>
    <x v="11"/>
    <n v="166424"/>
    <n v="636127"/>
    <n v="3.822327308561265"/>
    <n v="9893244.369997168"/>
    <n v="15.552310104738783"/>
    <n v="59.446019624556364"/>
  </r>
  <r>
    <s v="United States of America"/>
    <x v="2"/>
    <x v="0"/>
    <n v="531"/>
    <n v="5733553"/>
    <n v="10797.651600753295"/>
    <n v="51465780.949999988"/>
    <n v="8.9762457851178823"/>
    <n v="96922.374670433128"/>
  </r>
  <r>
    <s v="United States of America"/>
    <x v="2"/>
    <x v="1"/>
    <n v="402"/>
    <n v="5506200"/>
    <n v="13697.014925373134"/>
    <n v="48977093.629999988"/>
    <n v="8.8948991373360915"/>
    <n v="121833.56624378107"/>
  </r>
  <r>
    <s v="United States of America"/>
    <x v="2"/>
    <x v="2"/>
    <n v="543"/>
    <n v="6724329"/>
    <n v="12383.662983425414"/>
    <n v="57039563.969999991"/>
    <n v="8.4825659140116425"/>
    <n v="105045.23751381214"/>
  </r>
  <r>
    <s v="United States of America"/>
    <x v="2"/>
    <x v="3"/>
    <n v="580"/>
    <n v="7584371"/>
    <n v="13076.501724137932"/>
    <n v="68330987.490000024"/>
    <n v="9.0094468598648483"/>
    <n v="117812.04739655176"/>
  </r>
  <r>
    <s v="United States of America"/>
    <x v="2"/>
    <x v="4"/>
    <n v="562"/>
    <n v="7549933"/>
    <n v="13434.044483985765"/>
    <n v="67588118.940000027"/>
    <n v="8.9521481766791879"/>
    <n v="120263.55683274026"/>
  </r>
  <r>
    <s v="United States of America"/>
    <x v="2"/>
    <x v="5"/>
    <n v="874"/>
    <n v="11723495"/>
    <n v="13413.609839816934"/>
    <n v="106506625.59000003"/>
    <n v="9.0848868524275428"/>
    <n v="121861.12767734558"/>
  </r>
  <r>
    <s v="United States of America"/>
    <x v="2"/>
    <x v="6"/>
    <n v="1067"/>
    <n v="13968772"/>
    <n v="13091.632614807873"/>
    <n v="129251823.4299996"/>
    <n v="9.2529123841379626"/>
    <n v="121135.72955014021"/>
  </r>
  <r>
    <s v="United States of America"/>
    <x v="2"/>
    <x v="7"/>
    <n v="984"/>
    <n v="16699042"/>
    <n v="16970.57113821138"/>
    <n v="150378182.16999972"/>
    <n v="9.0051981526844305"/>
    <n v="152823.35586382085"/>
  </r>
  <r>
    <s v="United States of America"/>
    <x v="2"/>
    <x v="8"/>
    <n v="1140"/>
    <n v="13241302"/>
    <n v="11615.177192982455"/>
    <n v="120625509.25999995"/>
    <n v="9.1097921684740637"/>
    <n v="105811.85022807012"/>
  </r>
  <r>
    <s v="United States of America"/>
    <x v="2"/>
    <x v="9"/>
    <n v="1451"/>
    <n v="15043498"/>
    <n v="10367.676085458304"/>
    <n v="139515806.83999962"/>
    <n v="9.2741599619981745"/>
    <n v="96151.486450723372"/>
  </r>
  <r>
    <s v="United States of America"/>
    <x v="2"/>
    <x v="10"/>
    <n v="1165"/>
    <n v="17914588"/>
    <n v="15377.328755364806"/>
    <n v="170926812.86000067"/>
    <n v="9.5412081405389095"/>
    <n v="146718.294300429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5D7E6-3B3E-4BB6-BF6E-0EF9C40839DE}" name="PivotTable4" cacheId="5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F43" firstHeaderRow="1" firstDataRow="2" firstDataCol="2"/>
  <pivotFields count="9"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numFmtId="3" outline="0" showAll="0"/>
    <pivotField dataField="1" compact="0" numFmtId="3" outline="0" showAll="0"/>
    <pivotField dataField="1" compact="0" numFmtId="166" outline="0" showAll="0"/>
    <pivotField dataField="1" compact="0" numFmtId="164" outline="0" showAll="0"/>
    <pivotField compact="0" numFmtId="165" outline="0" showAll="0"/>
    <pivotField compact="0" numFmtId="165" outline="0" showAll="0"/>
  </pivotFields>
  <rowFields count="2">
    <field x="1"/>
    <field x="2"/>
  </rowFields>
  <rowItems count="3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o of Shipment" fld="3" showDataAs="percentOfCol" baseField="2" baseItem="5" numFmtId="10"/>
    <dataField name=" Units Shipped" fld="4" showDataAs="percentOfCol" baseField="2" baseItem="5" numFmtId="10"/>
    <dataField name="  Avg Units Per Shipment" fld="5" subtotal="average" baseField="2" baseItem="4" numFmtId="167"/>
    <dataField name=" Revenue (Local Curr.)" fld="6" showDataAs="percentOfCol" baseField="2" baseItem="6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EF69-C63B-408E-9885-B594E577389B}">
  <dimension ref="A3:J43"/>
  <sheetViews>
    <sheetView workbookViewId="0">
      <selection activeCell="F17" sqref="F17"/>
    </sheetView>
  </sheetViews>
  <sheetFormatPr defaultRowHeight="14.4" x14ac:dyDescent="0.3"/>
  <cols>
    <col min="1" max="1" width="17.44140625" bestFit="1" customWidth="1"/>
    <col min="2" max="2" width="24.44140625" bestFit="1" customWidth="1"/>
    <col min="3" max="3" width="14.33203125" bestFit="1" customWidth="1"/>
    <col min="4" max="4" width="13.21875" bestFit="1" customWidth="1"/>
    <col min="5" max="5" width="22" bestFit="1" customWidth="1"/>
    <col min="6" max="6" width="19.6640625" bestFit="1" customWidth="1"/>
  </cols>
  <sheetData>
    <row r="3" spans="1:10" x14ac:dyDescent="0.3">
      <c r="C3" s="5" t="s">
        <v>24</v>
      </c>
    </row>
    <row r="4" spans="1:10" x14ac:dyDescent="0.3">
      <c r="A4" s="5" t="s">
        <v>1</v>
      </c>
      <c r="B4" s="5" t="s">
        <v>2</v>
      </c>
      <c r="C4" t="s">
        <v>53</v>
      </c>
      <c r="D4" t="s">
        <v>54</v>
      </c>
      <c r="E4" t="s">
        <v>31</v>
      </c>
      <c r="F4" t="s">
        <v>55</v>
      </c>
      <c r="I4" t="s">
        <v>28</v>
      </c>
      <c r="J4" t="s">
        <v>29</v>
      </c>
    </row>
    <row r="5" spans="1:10" x14ac:dyDescent="0.3">
      <c r="A5" t="s">
        <v>9</v>
      </c>
      <c r="B5" t="s">
        <v>10</v>
      </c>
      <c r="C5" s="32">
        <v>1.6353454606627435E-3</v>
      </c>
      <c r="D5" s="32">
        <v>3.4346698767567605E-3</v>
      </c>
      <c r="E5" s="8">
        <v>221.78981206726013</v>
      </c>
      <c r="F5" s="32">
        <v>4.0685849094373051E-3</v>
      </c>
    </row>
    <row r="6" spans="1:10" x14ac:dyDescent="0.3">
      <c r="B6" t="s">
        <v>11</v>
      </c>
      <c r="C6" s="32">
        <v>1.3741107505766575E-3</v>
      </c>
      <c r="D6" s="32">
        <v>2.7050747035088103E-3</v>
      </c>
      <c r="E6" s="8">
        <v>207.88522660388463</v>
      </c>
      <c r="F6" s="32">
        <v>3.0707192081126473E-3</v>
      </c>
    </row>
    <row r="7" spans="1:10" x14ac:dyDescent="0.3">
      <c r="B7" t="s">
        <v>12</v>
      </c>
      <c r="C7" s="32">
        <v>1.8739344373667542E-3</v>
      </c>
      <c r="D7" s="32">
        <v>3.1859494714406096E-3</v>
      </c>
      <c r="E7" s="8">
        <v>179.53560638757014</v>
      </c>
      <c r="F7" s="32">
        <v>3.3643286838590208E-3</v>
      </c>
    </row>
    <row r="8" spans="1:10" x14ac:dyDescent="0.3">
      <c r="B8" t="s">
        <v>13</v>
      </c>
      <c r="C8" s="32">
        <v>1.5730696938620358E-3</v>
      </c>
      <c r="D8" s="32">
        <v>2.7844967390170008E-3</v>
      </c>
      <c r="E8" s="8">
        <v>186.92390745501285</v>
      </c>
      <c r="F8" s="32">
        <v>3.045673181700858E-3</v>
      </c>
    </row>
    <row r="9" spans="1:10" x14ac:dyDescent="0.3">
      <c r="B9" t="s">
        <v>14</v>
      </c>
      <c r="C9" s="32">
        <v>1.5285870032901016E-3</v>
      </c>
      <c r="D9" s="32">
        <v>2.8218411792424528E-3</v>
      </c>
      <c r="E9" s="8">
        <v>194.94338624338624</v>
      </c>
      <c r="F9" s="32">
        <v>3.2138631222655093E-3</v>
      </c>
    </row>
    <row r="10" spans="1:10" x14ac:dyDescent="0.3">
      <c r="B10" t="s">
        <v>15</v>
      </c>
      <c r="C10" s="32">
        <v>2.2556768000931708E-3</v>
      </c>
      <c r="D10" s="32">
        <v>4.0350146863368016E-3</v>
      </c>
      <c r="E10" s="8">
        <v>188.90103979921119</v>
      </c>
      <c r="F10" s="32">
        <v>4.4873353596228084E-3</v>
      </c>
    </row>
    <row r="11" spans="1:10" x14ac:dyDescent="0.3">
      <c r="B11" t="s">
        <v>16</v>
      </c>
      <c r="C11" s="32">
        <v>2.3050121478184072E-3</v>
      </c>
      <c r="D11" s="32">
        <v>2.9703841280063251E-3</v>
      </c>
      <c r="E11" s="8">
        <v>136.08350877192981</v>
      </c>
      <c r="F11" s="32">
        <v>3.3210065548256659E-3</v>
      </c>
    </row>
    <row r="12" spans="1:10" x14ac:dyDescent="0.3">
      <c r="B12" t="s">
        <v>17</v>
      </c>
      <c r="C12" s="32">
        <v>1.6652701797747721E-3</v>
      </c>
      <c r="D12" s="32">
        <v>2.4732037174904431E-3</v>
      </c>
      <c r="E12" s="8">
        <v>156.83438562408935</v>
      </c>
      <c r="F12" s="32">
        <v>2.8456374851457684E-3</v>
      </c>
    </row>
    <row r="13" spans="1:10" x14ac:dyDescent="0.3">
      <c r="B13" t="s">
        <v>18</v>
      </c>
      <c r="C13" s="32">
        <v>2.0381160043868021E-3</v>
      </c>
      <c r="D13" s="32">
        <v>2.6566785759894029E-3</v>
      </c>
      <c r="E13" s="8">
        <v>137.65</v>
      </c>
      <c r="F13" s="32">
        <v>3.256195385805571E-3</v>
      </c>
    </row>
    <row r="14" spans="1:10" x14ac:dyDescent="0.3">
      <c r="B14" t="s">
        <v>19</v>
      </c>
      <c r="C14" s="32">
        <v>2.0979654426108588E-3</v>
      </c>
      <c r="D14" s="32">
        <v>2.9971747046898013E-3</v>
      </c>
      <c r="E14" s="8">
        <v>150.86198920585969</v>
      </c>
      <c r="F14" s="32">
        <v>3.6901406678307189E-3</v>
      </c>
    </row>
    <row r="15" spans="1:10" x14ac:dyDescent="0.3">
      <c r="B15" t="s">
        <v>20</v>
      </c>
      <c r="C15" s="32">
        <v>1.3045559980459968E-3</v>
      </c>
      <c r="D15" s="32">
        <v>2.4375365603678161E-3</v>
      </c>
      <c r="E15" s="8">
        <v>197.31246125232485</v>
      </c>
      <c r="F15" s="32">
        <v>2.8425310515250856E-3</v>
      </c>
    </row>
    <row r="16" spans="1:10" x14ac:dyDescent="0.3">
      <c r="B16" t="s">
        <v>50</v>
      </c>
      <c r="C16" s="32">
        <v>1.0578792594198162E-3</v>
      </c>
      <c r="D16" s="32">
        <v>9.6791489156119656E-4</v>
      </c>
      <c r="E16" s="8">
        <v>96.620030581039757</v>
      </c>
      <c r="F16" s="32">
        <v>1.2559633091056379E-3</v>
      </c>
    </row>
    <row r="17" spans="1:6" x14ac:dyDescent="0.3">
      <c r="A17" t="s">
        <v>25</v>
      </c>
      <c r="C17" s="32">
        <v>2.0709523177908116E-2</v>
      </c>
      <c r="D17" s="32">
        <v>3.3469939234407421E-2</v>
      </c>
      <c r="E17" s="8">
        <v>171.27844616596406</v>
      </c>
      <c r="F17" s="32">
        <v>3.8461978919236597E-2</v>
      </c>
    </row>
    <row r="18" spans="1:6" x14ac:dyDescent="0.3">
      <c r="A18" t="s">
        <v>21</v>
      </c>
      <c r="B18" t="s">
        <v>10</v>
      </c>
      <c r="C18" s="32">
        <v>5.0236324403365805E-2</v>
      </c>
      <c r="D18" s="32">
        <v>1.8893943153030913E-3</v>
      </c>
      <c r="E18" s="8">
        <v>3.9716489036288114</v>
      </c>
      <c r="F18" s="32">
        <v>3.2955775013051554E-3</v>
      </c>
    </row>
    <row r="19" spans="1:6" x14ac:dyDescent="0.3">
      <c r="B19" t="s">
        <v>11</v>
      </c>
      <c r="C19" s="32">
        <v>4.7171871411055645E-2</v>
      </c>
      <c r="D19" s="32">
        <v>1.8043200655031898E-3</v>
      </c>
      <c r="E19" s="8">
        <v>4.0392113159022713</v>
      </c>
      <c r="F19" s="32">
        <v>3.0988535346673702E-3</v>
      </c>
    </row>
    <row r="20" spans="1:6" x14ac:dyDescent="0.3">
      <c r="B20" t="s">
        <v>12</v>
      </c>
      <c r="C20" s="32">
        <v>5.9119922098677169E-2</v>
      </c>
      <c r="D20" s="32">
        <v>2.1246734793157829E-3</v>
      </c>
      <c r="E20" s="8">
        <v>3.7951106733426361</v>
      </c>
      <c r="F20" s="32">
        <v>3.7913186244398645E-3</v>
      </c>
    </row>
    <row r="21" spans="1:6" x14ac:dyDescent="0.3">
      <c r="B21" t="s">
        <v>13</v>
      </c>
      <c r="C21" s="32">
        <v>7.5450730971922522E-2</v>
      </c>
      <c r="D21" s="32">
        <v>2.5035173545725473E-3</v>
      </c>
      <c r="E21" s="8">
        <v>3.5039125308178796</v>
      </c>
      <c r="F21" s="32">
        <v>4.6640065405269462E-3</v>
      </c>
    </row>
    <row r="22" spans="1:6" x14ac:dyDescent="0.3">
      <c r="B22" t="s">
        <v>14</v>
      </c>
      <c r="C22" s="32">
        <v>7.631531272140249E-2</v>
      </c>
      <c r="D22" s="32">
        <v>2.6097146491103071E-3</v>
      </c>
      <c r="E22" s="8">
        <v>3.6111658665310147</v>
      </c>
      <c r="F22" s="32">
        <v>4.612883493144199E-3</v>
      </c>
    </row>
    <row r="23" spans="1:6" x14ac:dyDescent="0.3">
      <c r="B23" t="s">
        <v>15</v>
      </c>
      <c r="C23" s="32">
        <v>7.2758315028032178E-2</v>
      </c>
      <c r="D23" s="32">
        <v>2.5527559530568438E-3</v>
      </c>
      <c r="E23" s="8">
        <v>3.7050388501684064</v>
      </c>
      <c r="F23" s="32">
        <v>4.4549536270482096E-3</v>
      </c>
    </row>
    <row r="24" spans="1:6" x14ac:dyDescent="0.3">
      <c r="B24" t="s">
        <v>16</v>
      </c>
      <c r="C24" s="32">
        <v>8.2265479167542843E-2</v>
      </c>
      <c r="D24" s="32">
        <v>2.8945157882045761E-3</v>
      </c>
      <c r="E24" s="8">
        <v>3.7155609736914545</v>
      </c>
      <c r="F24" s="32">
        <v>5.2498718773987124E-3</v>
      </c>
    </row>
    <row r="25" spans="1:6" x14ac:dyDescent="0.3">
      <c r="B25" t="s">
        <v>17</v>
      </c>
      <c r="C25" s="32">
        <v>7.7142690766040453E-2</v>
      </c>
      <c r="D25" s="32">
        <v>2.8822616650789152E-3</v>
      </c>
      <c r="E25" s="8">
        <v>3.9455243127634145</v>
      </c>
      <c r="F25" s="32">
        <v>4.8191911733778507E-3</v>
      </c>
    </row>
    <row r="26" spans="1:6" x14ac:dyDescent="0.3">
      <c r="B26" t="s">
        <v>18</v>
      </c>
      <c r="C26" s="32">
        <v>7.3157041690795163E-2</v>
      </c>
      <c r="D26" s="32">
        <v>2.7577521152952456E-3</v>
      </c>
      <c r="E26" s="8">
        <v>3.98075264775466</v>
      </c>
      <c r="F26" s="32">
        <v>4.546514833689951E-3</v>
      </c>
    </row>
    <row r="27" spans="1:6" x14ac:dyDescent="0.3">
      <c r="B27" t="s">
        <v>19</v>
      </c>
      <c r="C27" s="32">
        <v>0.10041926957804528</v>
      </c>
      <c r="D27" s="32">
        <v>3.5138315121485309E-3</v>
      </c>
      <c r="E27" s="8">
        <v>3.6951321660411396</v>
      </c>
      <c r="F27" s="32">
        <v>6.1987803942807522E-3</v>
      </c>
    </row>
    <row r="28" spans="1:6" x14ac:dyDescent="0.3">
      <c r="B28" t="s">
        <v>20</v>
      </c>
      <c r="C28" s="32">
        <v>0.12313294016026709</v>
      </c>
      <c r="D28" s="32">
        <v>4.1297084227903472E-3</v>
      </c>
      <c r="E28" s="8">
        <v>3.5416956767337071</v>
      </c>
      <c r="F28" s="32">
        <v>7.2915680915818194E-3</v>
      </c>
    </row>
    <row r="29" spans="1:6" x14ac:dyDescent="0.3">
      <c r="B29" t="s">
        <v>50</v>
      </c>
      <c r="C29" s="32">
        <v>0.1345997690135195</v>
      </c>
      <c r="D29" s="32">
        <v>4.8719866134733563E-3</v>
      </c>
      <c r="E29" s="8">
        <v>3.822327308561265</v>
      </c>
      <c r="F29" s="32">
        <v>8.0303907523351717E-3</v>
      </c>
    </row>
    <row r="30" spans="1:6" x14ac:dyDescent="0.3">
      <c r="A30" t="s">
        <v>26</v>
      </c>
      <c r="C30" s="32">
        <v>0.97176966701066614</v>
      </c>
      <c r="D30" s="32">
        <v>3.4534431933852736E-2</v>
      </c>
      <c r="E30" s="8">
        <v>3.7772567688280549</v>
      </c>
      <c r="F30" s="32">
        <v>6.0053910443796016E-2</v>
      </c>
    </row>
    <row r="31" spans="1:6" x14ac:dyDescent="0.3">
      <c r="A31" t="s">
        <v>22</v>
      </c>
      <c r="B31" t="s">
        <v>10</v>
      </c>
      <c r="C31" s="32">
        <v>4.2946015806721903E-4</v>
      </c>
      <c r="D31" s="32">
        <v>4.3912290255939464E-2</v>
      </c>
      <c r="E31" s="8">
        <v>10797.651600753295</v>
      </c>
      <c r="F31" s="32">
        <v>4.177500483622501E-2</v>
      </c>
    </row>
    <row r="32" spans="1:6" x14ac:dyDescent="0.3">
      <c r="B32" t="s">
        <v>11</v>
      </c>
      <c r="C32" s="32">
        <v>3.2512802927122796E-4</v>
      </c>
      <c r="D32" s="32">
        <v>4.2171032971571709E-2</v>
      </c>
      <c r="E32" s="8">
        <v>13697.014925373134</v>
      </c>
      <c r="F32" s="32">
        <v>3.9754926195431514E-2</v>
      </c>
    </row>
    <row r="33" spans="1:6" x14ac:dyDescent="0.3">
      <c r="B33" t="s">
        <v>12</v>
      </c>
      <c r="C33" s="32">
        <v>4.3916547237382282E-4</v>
      </c>
      <c r="D33" s="32">
        <v>5.150047218965817E-2</v>
      </c>
      <c r="E33" s="8">
        <v>12383.662983425414</v>
      </c>
      <c r="F33" s="32">
        <v>4.6299269470288999E-2</v>
      </c>
    </row>
    <row r="34" spans="1:6" x14ac:dyDescent="0.3">
      <c r="B34" t="s">
        <v>13</v>
      </c>
      <c r="C34" s="32">
        <v>4.6909019148585129E-4</v>
      </c>
      <c r="D34" s="32">
        <v>5.8087385040433016E-2</v>
      </c>
      <c r="E34" s="8">
        <v>13076.501724137932</v>
      </c>
      <c r="F34" s="32">
        <v>5.5464568499057863E-2</v>
      </c>
    </row>
    <row r="35" spans="1:6" x14ac:dyDescent="0.3">
      <c r="B35" t="s">
        <v>14</v>
      </c>
      <c r="C35" s="32">
        <v>4.5453222002594555E-4</v>
      </c>
      <c r="D35" s="32">
        <v>5.782363035780707E-2</v>
      </c>
      <c r="E35" s="8">
        <v>13434.044483985765</v>
      </c>
      <c r="F35" s="32">
        <v>5.4861578770813407E-2</v>
      </c>
    </row>
    <row r="36" spans="1:6" x14ac:dyDescent="0.3">
      <c r="B36" t="s">
        <v>15</v>
      </c>
      <c r="C36" s="32">
        <v>7.0687039199764481E-4</v>
      </c>
      <c r="D36" s="32">
        <v>8.9788219495669619E-2</v>
      </c>
      <c r="E36" s="8">
        <v>13413.609839816934</v>
      </c>
      <c r="F36" s="32">
        <v>8.6451904877045474E-2</v>
      </c>
    </row>
    <row r="37" spans="1:6" x14ac:dyDescent="0.3">
      <c r="B37" t="s">
        <v>16</v>
      </c>
      <c r="C37" s="32">
        <v>8.6296419709552298E-4</v>
      </c>
      <c r="D37" s="32">
        <v>0.10698440750142887</v>
      </c>
      <c r="E37" s="8">
        <v>13091.632614807873</v>
      </c>
      <c r="F37" s="32">
        <v>0.10491428380587191</v>
      </c>
    </row>
    <row r="38" spans="1:6" x14ac:dyDescent="0.3">
      <c r="B38" t="s">
        <v>17</v>
      </c>
      <c r="C38" s="32">
        <v>7.9583577314151321E-4</v>
      </c>
      <c r="D38" s="32">
        <v>0.12789507296786545</v>
      </c>
      <c r="E38" s="8">
        <v>16970.57113821138</v>
      </c>
      <c r="F38" s="32">
        <v>0.12206264378884288</v>
      </c>
    </row>
    <row r="39" spans="1:6" x14ac:dyDescent="0.3">
      <c r="B39" t="s">
        <v>18</v>
      </c>
      <c r="C39" s="32">
        <v>9.2200485912736282E-4</v>
      </c>
      <c r="D39" s="32">
        <v>0.10141284065753847</v>
      </c>
      <c r="E39" s="8">
        <v>11615.177192982455</v>
      </c>
      <c r="F39" s="32">
        <v>9.7912265969581164E-2</v>
      </c>
    </row>
    <row r="40" spans="1:6" x14ac:dyDescent="0.3">
      <c r="B40" t="s">
        <v>19</v>
      </c>
      <c r="C40" s="32">
        <v>1.1735342549068451E-3</v>
      </c>
      <c r="D40" s="32">
        <v>0.1152155479578971</v>
      </c>
      <c r="E40" s="8">
        <v>10367.676085458304</v>
      </c>
      <c r="F40" s="32">
        <v>0.11324560509696918</v>
      </c>
    </row>
    <row r="41" spans="1:6" x14ac:dyDescent="0.3">
      <c r="B41" t="s">
        <v>20</v>
      </c>
      <c r="C41" s="32">
        <v>9.4222426393278749E-4</v>
      </c>
      <c r="D41" s="32">
        <v>0.13720472943593093</v>
      </c>
      <c r="E41" s="8">
        <v>15377.328755364806</v>
      </c>
      <c r="F41" s="32">
        <v>0.13874205932684011</v>
      </c>
    </row>
    <row r="42" spans="1:6" x14ac:dyDescent="0.3">
      <c r="A42" t="s">
        <v>27</v>
      </c>
      <c r="C42" s="32">
        <v>7.5208098114257433E-3</v>
      </c>
      <c r="D42" s="32">
        <v>0.93199562883173981</v>
      </c>
      <c r="E42" s="8">
        <v>13111.351940392482</v>
      </c>
      <c r="F42" s="32">
        <v>0.90148411063696754</v>
      </c>
    </row>
    <row r="43" spans="1:6" x14ac:dyDescent="0.3">
      <c r="A43" t="s">
        <v>23</v>
      </c>
      <c r="C43" s="32">
        <v>1</v>
      </c>
      <c r="D43" s="32">
        <v>1</v>
      </c>
      <c r="E43" s="8">
        <v>4180.7297079867094</v>
      </c>
      <c r="F43" s="32">
        <v>1</v>
      </c>
    </row>
  </sheetData>
  <sheetProtection algorithmName="SHA-512" hashValue="3H1z13dbHU9uhFhu9GqOnckk3x0qOHg/K5FFyCqHdXAdzzwzytqqXBgAhV9FiAT5zRNYUPHwf26n660BpSf+6w==" saltValue="MVPwp9cS240B3vwXqs1Ch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B6FF-6F8B-40AC-B1D8-B7AD1A3181B9}">
  <dimension ref="A1:AD44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3" sqref="D23"/>
    </sheetView>
  </sheetViews>
  <sheetFormatPr defaultRowHeight="14.4" x14ac:dyDescent="0.3"/>
  <cols>
    <col min="1" max="1" width="18" bestFit="1" customWidth="1"/>
    <col min="2" max="2" width="11.33203125" customWidth="1"/>
    <col min="3" max="3" width="15.33203125" customWidth="1"/>
    <col min="4" max="4" width="11" customWidth="1"/>
    <col min="5" max="5" width="11.109375" customWidth="1"/>
    <col min="6" max="6" width="8.77734375" customWidth="1"/>
    <col min="7" max="7" width="13" customWidth="1"/>
    <col min="8" max="8" width="10.77734375" customWidth="1"/>
    <col min="9" max="9" width="11.21875" customWidth="1"/>
    <col min="10" max="13" width="0" hidden="1" customWidth="1"/>
    <col min="14" max="14" width="13.33203125" style="9" hidden="1" customWidth="1"/>
    <col min="15" max="15" width="11.77734375" style="9" hidden="1" customWidth="1"/>
    <col min="16" max="16" width="10" style="9" hidden="1" customWidth="1"/>
    <col min="17" max="17" width="10.5546875" hidden="1" customWidth="1"/>
    <col min="18" max="18" width="12.44140625" hidden="1" customWidth="1"/>
    <col min="19" max="19" width="14.21875" hidden="1" customWidth="1"/>
    <col min="20" max="20" width="11.5546875" hidden="1" customWidth="1"/>
    <col min="21" max="21" width="13.109375" hidden="1" customWidth="1"/>
    <col min="22" max="22" width="11.21875" hidden="1" customWidth="1"/>
    <col min="23" max="23" width="11" hidden="1" customWidth="1"/>
    <col min="24" max="24" width="11.33203125" hidden="1" customWidth="1"/>
    <col min="25" max="25" width="10.77734375" style="17" bestFit="1" customWidth="1"/>
    <col min="26" max="26" width="14.33203125" bestFit="1" customWidth="1"/>
    <col min="27" max="27" width="14" hidden="1" customWidth="1"/>
    <col min="28" max="28" width="19.33203125" hidden="1" customWidth="1"/>
    <col min="29" max="29" width="14.44140625" hidden="1" customWidth="1"/>
    <col min="30" max="30" width="0" hidden="1" customWidth="1"/>
  </cols>
  <sheetData>
    <row r="1" spans="1:30" ht="46.8" x14ac:dyDescent="0.3">
      <c r="A1" s="18" t="s">
        <v>0</v>
      </c>
      <c r="B1" s="18" t="s">
        <v>1</v>
      </c>
      <c r="C1" s="18" t="s">
        <v>2</v>
      </c>
      <c r="D1" s="19" t="s">
        <v>3</v>
      </c>
      <c r="E1" s="19" t="s">
        <v>4</v>
      </c>
      <c r="F1" s="19" t="s">
        <v>30</v>
      </c>
      <c r="G1" s="19" t="s">
        <v>5</v>
      </c>
      <c r="H1" s="19" t="s">
        <v>6</v>
      </c>
      <c r="I1" s="19" t="s">
        <v>7</v>
      </c>
      <c r="J1" s="20" t="s">
        <v>32</v>
      </c>
      <c r="K1" s="20" t="s">
        <v>33</v>
      </c>
      <c r="L1" s="20" t="s">
        <v>34</v>
      </c>
      <c r="M1" s="20" t="s">
        <v>35</v>
      </c>
      <c r="N1" s="21" t="s">
        <v>36</v>
      </c>
      <c r="O1" s="21" t="s">
        <v>38</v>
      </c>
      <c r="P1" s="21" t="s">
        <v>37</v>
      </c>
      <c r="Q1" s="21" t="s">
        <v>39</v>
      </c>
      <c r="R1" s="21" t="s">
        <v>40</v>
      </c>
      <c r="S1" s="21" t="s">
        <v>41</v>
      </c>
      <c r="T1" s="21" t="s">
        <v>42</v>
      </c>
      <c r="U1" s="22" t="s">
        <v>43</v>
      </c>
      <c r="V1" s="22" t="s">
        <v>44</v>
      </c>
      <c r="W1" s="22" t="s">
        <v>47</v>
      </c>
      <c r="X1" s="22" t="s">
        <v>45</v>
      </c>
      <c r="Y1" s="23" t="s">
        <v>46</v>
      </c>
      <c r="Z1" s="22" t="s">
        <v>48</v>
      </c>
      <c r="AA1" s="23" t="s">
        <v>49</v>
      </c>
      <c r="AB1" s="23" t="s">
        <v>51</v>
      </c>
      <c r="AC1" s="22" t="s">
        <v>56</v>
      </c>
    </row>
    <row r="2" spans="1:30" x14ac:dyDescent="0.3">
      <c r="A2" s="4" t="s">
        <v>8</v>
      </c>
      <c r="B2" s="4" t="s">
        <v>9</v>
      </c>
      <c r="C2" s="6" t="s">
        <v>10</v>
      </c>
      <c r="D2" s="1">
        <v>2022</v>
      </c>
      <c r="E2" s="1">
        <v>448459</v>
      </c>
      <c r="F2" s="7">
        <v>221.78981206726013</v>
      </c>
      <c r="G2" s="2">
        <v>5012396.7799999332</v>
      </c>
      <c r="H2" s="3">
        <v>11.176934301686293</v>
      </c>
      <c r="I2" s="3">
        <v>2478.9301582591165</v>
      </c>
      <c r="Q2" s="11">
        <f>O2+P2</f>
        <v>0</v>
      </c>
      <c r="R2" s="11">
        <f>N2-Q2</f>
        <v>0</v>
      </c>
    </row>
    <row r="3" spans="1:30" x14ac:dyDescent="0.3">
      <c r="A3" s="4" t="s">
        <v>8</v>
      </c>
      <c r="B3" s="4" t="s">
        <v>9</v>
      </c>
      <c r="C3" s="6" t="s">
        <v>11</v>
      </c>
      <c r="D3" s="1">
        <v>1699</v>
      </c>
      <c r="E3" s="1">
        <v>353197</v>
      </c>
      <c r="F3" s="7">
        <v>207.88522660388463</v>
      </c>
      <c r="G3" s="2">
        <v>3783050.7199999625</v>
      </c>
      <c r="H3" s="3">
        <v>10.710880103738035</v>
      </c>
      <c r="I3" s="3">
        <v>2226.6337374926206</v>
      </c>
      <c r="Q3" s="11">
        <f t="shared" ref="Q3:Q37" si="0">O3+P3</f>
        <v>0</v>
      </c>
      <c r="R3" s="11">
        <f t="shared" ref="R3:R37" si="1">N3-Q3</f>
        <v>0</v>
      </c>
    </row>
    <row r="4" spans="1:30" x14ac:dyDescent="0.3">
      <c r="A4" s="4" t="s">
        <v>8</v>
      </c>
      <c r="B4" s="4" t="s">
        <v>9</v>
      </c>
      <c r="C4" s="6" t="s">
        <v>12</v>
      </c>
      <c r="D4" s="1">
        <v>2317</v>
      </c>
      <c r="E4" s="1">
        <v>415984</v>
      </c>
      <c r="F4" s="7">
        <v>179.53560638757014</v>
      </c>
      <c r="G4" s="2">
        <v>4144770.3899999498</v>
      </c>
      <c r="H4" s="3">
        <v>9.963773582637673</v>
      </c>
      <c r="I4" s="3">
        <v>1788.8521320673067</v>
      </c>
      <c r="Q4" s="11">
        <f t="shared" si="0"/>
        <v>0</v>
      </c>
      <c r="R4" s="11">
        <f t="shared" si="1"/>
        <v>0</v>
      </c>
    </row>
    <row r="5" spans="1:30" x14ac:dyDescent="0.3">
      <c r="A5" s="4" t="s">
        <v>8</v>
      </c>
      <c r="B5" s="4" t="s">
        <v>9</v>
      </c>
      <c r="C5" s="6" t="s">
        <v>13</v>
      </c>
      <c r="D5" s="1">
        <v>1945</v>
      </c>
      <c r="E5" s="1">
        <v>363567</v>
      </c>
      <c r="F5" s="7">
        <v>186.92390745501285</v>
      </c>
      <c r="G5" s="2">
        <v>3752194.6299999603</v>
      </c>
      <c r="H5" s="3">
        <v>10.320503868612828</v>
      </c>
      <c r="I5" s="3">
        <v>1929.1489100256865</v>
      </c>
      <c r="Q5" s="11">
        <f t="shared" si="0"/>
        <v>0</v>
      </c>
      <c r="R5" s="11">
        <f t="shared" si="1"/>
        <v>0</v>
      </c>
    </row>
    <row r="6" spans="1:30" x14ac:dyDescent="0.3">
      <c r="A6" s="4" t="s">
        <v>8</v>
      </c>
      <c r="B6" s="4" t="s">
        <v>9</v>
      </c>
      <c r="C6" s="6" t="s">
        <v>14</v>
      </c>
      <c r="D6" s="1">
        <v>1890</v>
      </c>
      <c r="E6" s="1">
        <v>368443</v>
      </c>
      <c r="F6" s="7">
        <v>194.94338624338624</v>
      </c>
      <c r="G6" s="2">
        <v>3959400.5099999513</v>
      </c>
      <c r="H6" s="3">
        <v>10.746304068743202</v>
      </c>
      <c r="I6" s="3">
        <v>2094.9209047618792</v>
      </c>
      <c r="Q6" s="11">
        <f t="shared" si="0"/>
        <v>0</v>
      </c>
      <c r="R6" s="11">
        <f t="shared" si="1"/>
        <v>0</v>
      </c>
    </row>
    <row r="7" spans="1:30" x14ac:dyDescent="0.3">
      <c r="A7" s="4" t="s">
        <v>8</v>
      </c>
      <c r="B7" s="4" t="s">
        <v>9</v>
      </c>
      <c r="C7" s="6" t="s">
        <v>15</v>
      </c>
      <c r="D7" s="1">
        <v>2789</v>
      </c>
      <c r="E7" s="1">
        <v>526845</v>
      </c>
      <c r="F7" s="7">
        <v>188.90103979921119</v>
      </c>
      <c r="G7" s="2">
        <v>5528287.0599999214</v>
      </c>
      <c r="H7" s="3">
        <v>10.493194506923139</v>
      </c>
      <c r="I7" s="3">
        <v>1982.1753531731522</v>
      </c>
      <c r="Q7" s="11">
        <f t="shared" si="0"/>
        <v>0</v>
      </c>
      <c r="R7" s="11">
        <f t="shared" si="1"/>
        <v>0</v>
      </c>
    </row>
    <row r="8" spans="1:30" x14ac:dyDescent="0.3">
      <c r="A8" s="4" t="s">
        <v>8</v>
      </c>
      <c r="B8" s="4" t="s">
        <v>9</v>
      </c>
      <c r="C8" s="6" t="s">
        <v>16</v>
      </c>
      <c r="D8" s="1">
        <v>2850</v>
      </c>
      <c r="E8" s="1">
        <v>387838</v>
      </c>
      <c r="F8" s="7">
        <v>136.08350877192981</v>
      </c>
      <c r="G8" s="2">
        <v>4091398.589999944</v>
      </c>
      <c r="H8" s="3">
        <v>10.549246309025788</v>
      </c>
      <c r="I8" s="3">
        <v>1435.5784526315592</v>
      </c>
      <c r="N8" s="9">
        <v>3000</v>
      </c>
      <c r="O8" s="9">
        <v>2000</v>
      </c>
      <c r="Q8" s="11">
        <f t="shared" si="0"/>
        <v>2000</v>
      </c>
      <c r="R8" s="11">
        <f t="shared" si="1"/>
        <v>1000</v>
      </c>
      <c r="U8" s="12"/>
      <c r="V8" s="13"/>
      <c r="W8" s="14"/>
      <c r="X8" s="12"/>
      <c r="Y8" s="33"/>
    </row>
    <row r="9" spans="1:30" x14ac:dyDescent="0.3">
      <c r="A9" s="4" t="s">
        <v>8</v>
      </c>
      <c r="B9" s="4" t="s">
        <v>9</v>
      </c>
      <c r="C9" s="6" t="s">
        <v>17</v>
      </c>
      <c r="D9" s="1">
        <v>2059</v>
      </c>
      <c r="E9" s="1">
        <v>322922</v>
      </c>
      <c r="F9" s="7">
        <v>156.83438562408935</v>
      </c>
      <c r="G9" s="2">
        <v>3505755.5599999577</v>
      </c>
      <c r="H9" s="3">
        <v>10.856354042152462</v>
      </c>
      <c r="I9" s="3">
        <v>1702.6496163185807</v>
      </c>
      <c r="N9" s="9">
        <v>64000</v>
      </c>
      <c r="O9" s="9">
        <v>32000</v>
      </c>
      <c r="P9" s="9">
        <v>1000</v>
      </c>
      <c r="Q9" s="11">
        <f t="shared" si="0"/>
        <v>33000</v>
      </c>
      <c r="R9" s="11">
        <f t="shared" si="1"/>
        <v>31000</v>
      </c>
      <c r="U9" s="12">
        <f t="shared" ref="U9:U11" si="2">Q9/D9</f>
        <v>16.027197668771247</v>
      </c>
      <c r="V9" s="13">
        <f t="shared" ref="V9:V11" si="3">Q9/E9</f>
        <v>0.1021918605731415</v>
      </c>
      <c r="W9" s="14">
        <f t="shared" ref="W9:W11" si="4">Q9/G9</f>
        <v>9.4130921095937434E-3</v>
      </c>
      <c r="X9" s="12">
        <f t="shared" ref="X9:X11" si="5">R9/D9</f>
        <v>15.055852355512384</v>
      </c>
      <c r="Y9" s="33">
        <f t="shared" ref="Y9:Y11" si="6">R9/E9</f>
        <v>9.5998414477799596E-2</v>
      </c>
      <c r="Z9" s="14">
        <f t="shared" ref="Z9:Z11" si="7">R9/G9</f>
        <v>8.8426016787092748E-3</v>
      </c>
      <c r="AC9" s="12">
        <f>AD9*Q9</f>
        <v>4620</v>
      </c>
      <c r="AD9" s="30">
        <v>0.14000000000000001</v>
      </c>
    </row>
    <row r="10" spans="1:30" x14ac:dyDescent="0.3">
      <c r="A10" s="4" t="s">
        <v>8</v>
      </c>
      <c r="B10" s="4" t="s">
        <v>9</v>
      </c>
      <c r="C10" s="6" t="s">
        <v>18</v>
      </c>
      <c r="D10" s="1">
        <v>2520</v>
      </c>
      <c r="E10" s="1">
        <v>346878</v>
      </c>
      <c r="F10" s="7">
        <v>137.65</v>
      </c>
      <c r="G10" s="2">
        <v>4011552.8199999556</v>
      </c>
      <c r="H10" s="3">
        <v>11.564736939211929</v>
      </c>
      <c r="I10" s="3">
        <v>1591.8860396825221</v>
      </c>
      <c r="N10" s="9">
        <v>76000</v>
      </c>
      <c r="O10" s="9">
        <v>39000</v>
      </c>
      <c r="P10" s="9">
        <v>4000</v>
      </c>
      <c r="Q10" s="11">
        <f t="shared" si="0"/>
        <v>43000</v>
      </c>
      <c r="R10" s="11">
        <f t="shared" si="1"/>
        <v>33000</v>
      </c>
      <c r="U10" s="12">
        <f t="shared" si="2"/>
        <v>17.063492063492063</v>
      </c>
      <c r="V10" s="13">
        <f t="shared" si="3"/>
        <v>0.12396289185246687</v>
      </c>
      <c r="W10" s="14">
        <f t="shared" si="4"/>
        <v>1.0719041211577634E-2</v>
      </c>
      <c r="X10" s="12">
        <f t="shared" si="5"/>
        <v>13.095238095238095</v>
      </c>
      <c r="Y10" s="33">
        <f t="shared" si="6"/>
        <v>9.5134312351893166E-2</v>
      </c>
      <c r="Z10" s="14">
        <f t="shared" si="7"/>
        <v>8.2262409298153941E-3</v>
      </c>
      <c r="AC10" s="12">
        <f t="shared" ref="AC10:AC37" si="8">AD10*Q10</f>
        <v>6020.0000000000009</v>
      </c>
      <c r="AD10" s="30">
        <v>0.14000000000000001</v>
      </c>
    </row>
    <row r="11" spans="1:30" x14ac:dyDescent="0.3">
      <c r="A11" s="4" t="s">
        <v>8</v>
      </c>
      <c r="B11" s="4" t="s">
        <v>9</v>
      </c>
      <c r="C11" s="6" t="s">
        <v>19</v>
      </c>
      <c r="D11" s="1">
        <v>2594</v>
      </c>
      <c r="E11" s="1">
        <v>391336</v>
      </c>
      <c r="F11" s="7">
        <v>150.86198920585969</v>
      </c>
      <c r="G11" s="2">
        <v>4546162.7599999141</v>
      </c>
      <c r="H11" s="3">
        <v>11.617031808982343</v>
      </c>
      <c r="I11" s="3">
        <v>1752.5685273708227</v>
      </c>
      <c r="N11" s="9">
        <v>84000</v>
      </c>
      <c r="O11" s="9">
        <v>40000</v>
      </c>
      <c r="P11" s="9">
        <v>4000</v>
      </c>
      <c r="Q11" s="11">
        <f t="shared" si="0"/>
        <v>44000</v>
      </c>
      <c r="R11" s="11">
        <f t="shared" si="1"/>
        <v>40000</v>
      </c>
      <c r="U11" s="12">
        <f t="shared" si="2"/>
        <v>16.962220508866615</v>
      </c>
      <c r="V11" s="13">
        <f t="shared" si="3"/>
        <v>0.11243534967393748</v>
      </c>
      <c r="W11" s="14">
        <f t="shared" si="4"/>
        <v>9.6784920212581275E-3</v>
      </c>
      <c r="X11" s="12">
        <f t="shared" si="5"/>
        <v>15.420200462606013</v>
      </c>
      <c r="Y11" s="33">
        <f t="shared" si="6"/>
        <v>0.10221395424903408</v>
      </c>
      <c r="Z11" s="14">
        <f t="shared" si="7"/>
        <v>8.7986291102346622E-3</v>
      </c>
      <c r="AC11" s="12">
        <f t="shared" si="8"/>
        <v>6160.0000000000009</v>
      </c>
      <c r="AD11" s="30">
        <v>0.14000000000000001</v>
      </c>
    </row>
    <row r="12" spans="1:30" x14ac:dyDescent="0.3">
      <c r="A12" s="4" t="s">
        <v>8</v>
      </c>
      <c r="B12" s="4" t="s">
        <v>9</v>
      </c>
      <c r="C12" s="6" t="s">
        <v>20</v>
      </c>
      <c r="D12" s="1">
        <v>1613</v>
      </c>
      <c r="E12" s="1">
        <v>318265</v>
      </c>
      <c r="F12" s="7">
        <v>197.31246125232485</v>
      </c>
      <c r="G12" s="2">
        <v>3501928.5099999746</v>
      </c>
      <c r="H12" s="3">
        <v>11.003184484627511</v>
      </c>
      <c r="I12" s="3">
        <v>2171.0654122752476</v>
      </c>
      <c r="N12" s="9">
        <v>47979</v>
      </c>
      <c r="O12" s="9">
        <v>25756</v>
      </c>
      <c r="P12" s="9">
        <v>1508</v>
      </c>
      <c r="Q12" s="11">
        <f t="shared" si="0"/>
        <v>27264</v>
      </c>
      <c r="R12" s="11">
        <f t="shared" si="1"/>
        <v>20715</v>
      </c>
      <c r="S12" s="11">
        <v>2582</v>
      </c>
      <c r="U12" s="12">
        <f t="shared" ref="U12:U13" si="9">Q12/D12</f>
        <v>16.902665840049597</v>
      </c>
      <c r="V12" s="13">
        <f t="shared" ref="V12:V13" si="10">Q12/E12</f>
        <v>8.5664462004932995E-2</v>
      </c>
      <c r="W12" s="14">
        <f t="shared" ref="W12:W13" si="11">Q12/G12</f>
        <v>7.7854244945737621E-3</v>
      </c>
      <c r="X12" s="12">
        <f t="shared" ref="X12:X13" si="12">R12/D12</f>
        <v>12.842529448233106</v>
      </c>
      <c r="Y12" s="33">
        <f t="shared" ref="Y12:Y13" si="13">R12/E12</f>
        <v>6.5087270042260378E-2</v>
      </c>
      <c r="Z12" s="14">
        <f t="shared" ref="Z12:Z13" si="14">R12/G12</f>
        <v>5.9153120747174109E-3</v>
      </c>
      <c r="AC12" s="12">
        <f t="shared" si="8"/>
        <v>3816.9600000000005</v>
      </c>
      <c r="AD12" s="30">
        <v>0.14000000000000001</v>
      </c>
    </row>
    <row r="13" spans="1:30" x14ac:dyDescent="0.3">
      <c r="A13" s="4" t="s">
        <v>8</v>
      </c>
      <c r="B13" s="4" t="s">
        <v>9</v>
      </c>
      <c r="C13" s="6" t="s">
        <v>50</v>
      </c>
      <c r="D13" s="1">
        <v>1308</v>
      </c>
      <c r="E13" s="1">
        <v>126379</v>
      </c>
      <c r="F13" s="7">
        <v>96.620030581039757</v>
      </c>
      <c r="G13" s="2">
        <v>1547315.9799999914</v>
      </c>
      <c r="H13" s="3">
        <v>12.243458011220151</v>
      </c>
      <c r="I13" s="3">
        <v>1182.9632874617671</v>
      </c>
      <c r="N13" s="9">
        <v>29245</v>
      </c>
      <c r="O13" s="9">
        <v>15646</v>
      </c>
      <c r="P13" s="9">
        <v>661</v>
      </c>
      <c r="Q13" s="11">
        <f t="shared" si="0"/>
        <v>16307</v>
      </c>
      <c r="R13" s="11">
        <f t="shared" si="1"/>
        <v>12938</v>
      </c>
      <c r="S13" s="11">
        <v>1065</v>
      </c>
      <c r="U13" s="12">
        <f t="shared" si="9"/>
        <v>12.467125382262997</v>
      </c>
      <c r="V13" s="13">
        <f t="shared" si="10"/>
        <v>0.12903251331312957</v>
      </c>
      <c r="W13" s="14">
        <f t="shared" si="11"/>
        <v>1.0538894583121988E-2</v>
      </c>
      <c r="X13" s="12">
        <f t="shared" si="12"/>
        <v>9.8914373088685021</v>
      </c>
      <c r="Y13" s="33">
        <f t="shared" si="13"/>
        <v>0.10237460337556081</v>
      </c>
      <c r="Z13" s="14">
        <f t="shared" si="14"/>
        <v>8.361575894795626E-3</v>
      </c>
      <c r="AC13" s="12">
        <f t="shared" si="8"/>
        <v>2282.98</v>
      </c>
      <c r="AD13" s="30">
        <v>0.14000000000000001</v>
      </c>
    </row>
    <row r="14" spans="1:30" x14ac:dyDescent="0.3">
      <c r="A14" s="4" t="s">
        <v>8</v>
      </c>
      <c r="B14" s="4" t="s">
        <v>21</v>
      </c>
      <c r="C14" s="6" t="s">
        <v>10</v>
      </c>
      <c r="D14" s="1">
        <v>62114</v>
      </c>
      <c r="E14" s="1">
        <v>246695</v>
      </c>
      <c r="F14" s="7">
        <v>3.9716489036288114</v>
      </c>
      <c r="G14" s="2">
        <v>4060070.620000104</v>
      </c>
      <c r="H14" s="3">
        <v>16.457855327429026</v>
      </c>
      <c r="I14" s="3">
        <v>65.364823067265093</v>
      </c>
      <c r="N14" s="9">
        <v>1050000</v>
      </c>
      <c r="O14" s="9">
        <v>740000</v>
      </c>
      <c r="P14" s="9">
        <v>0</v>
      </c>
      <c r="Q14" s="11">
        <f t="shared" si="0"/>
        <v>740000</v>
      </c>
      <c r="R14" s="11">
        <f t="shared" si="1"/>
        <v>310000</v>
      </c>
      <c r="S14" s="11">
        <v>4000</v>
      </c>
      <c r="T14" s="11">
        <f t="shared" ref="T14:T25" si="15">R14-S14</f>
        <v>306000</v>
      </c>
      <c r="U14" s="12">
        <f t="shared" ref="U14:U22" si="16">Q14/D14</f>
        <v>11.91357825932962</v>
      </c>
      <c r="V14" s="13">
        <f t="shared" ref="V14:V22" si="17">Q14/E14</f>
        <v>2.9996554449826709</v>
      </c>
      <c r="W14" s="14">
        <f t="shared" ref="W14:W22" si="18">Q14/G14</f>
        <v>0.18226283955621961</v>
      </c>
      <c r="X14" s="12">
        <f t="shared" ref="X14:X22" si="19">R14/D14</f>
        <v>4.9908233248543006</v>
      </c>
      <c r="Y14" s="33">
        <f t="shared" ref="Y14:Y22" si="20">R14/E14</f>
        <v>1.2566124161413892</v>
      </c>
      <c r="Z14" s="14">
        <f t="shared" ref="Z14:Z22" si="21">R14/G14</f>
        <v>7.6353351705983882E-2</v>
      </c>
      <c r="AC14" s="12">
        <f t="shared" si="8"/>
        <v>59200</v>
      </c>
      <c r="AD14" s="30">
        <v>0.08</v>
      </c>
    </row>
    <row r="15" spans="1:30" x14ac:dyDescent="0.3">
      <c r="A15" s="4" t="s">
        <v>8</v>
      </c>
      <c r="B15" s="4" t="s">
        <v>21</v>
      </c>
      <c r="C15" s="6" t="s">
        <v>11</v>
      </c>
      <c r="D15" s="1">
        <v>58325</v>
      </c>
      <c r="E15" s="1">
        <v>235587</v>
      </c>
      <c r="F15" s="7">
        <v>4.0392113159022713</v>
      </c>
      <c r="G15" s="2">
        <v>3817711.5200002906</v>
      </c>
      <c r="H15" s="3">
        <v>16.205102658467109</v>
      </c>
      <c r="I15" s="3">
        <v>65.455834033438336</v>
      </c>
      <c r="N15" s="9">
        <v>808000</v>
      </c>
      <c r="O15" s="9">
        <v>559000</v>
      </c>
      <c r="P15" s="9">
        <v>1000</v>
      </c>
      <c r="Q15" s="11">
        <f t="shared" si="0"/>
        <v>560000</v>
      </c>
      <c r="R15" s="11">
        <f t="shared" si="1"/>
        <v>248000</v>
      </c>
      <c r="S15" s="11">
        <v>3000</v>
      </c>
      <c r="T15" s="11">
        <f t="shared" si="15"/>
        <v>245000</v>
      </c>
      <c r="U15" s="12">
        <f t="shared" si="16"/>
        <v>9.6013716245177889</v>
      </c>
      <c r="V15" s="13">
        <f t="shared" si="17"/>
        <v>2.3770411779936924</v>
      </c>
      <c r="W15" s="14">
        <f t="shared" si="18"/>
        <v>0.1466847343143301</v>
      </c>
      <c r="X15" s="12">
        <f t="shared" si="19"/>
        <v>4.2520360051435917</v>
      </c>
      <c r="Y15" s="33">
        <f t="shared" si="20"/>
        <v>1.0526896645400639</v>
      </c>
      <c r="Z15" s="14">
        <f t="shared" si="21"/>
        <v>6.4960382339203329E-2</v>
      </c>
      <c r="AC15" s="12">
        <f t="shared" si="8"/>
        <v>44800</v>
      </c>
      <c r="AD15" s="30">
        <v>0.08</v>
      </c>
    </row>
    <row r="16" spans="1:30" x14ac:dyDescent="0.3">
      <c r="A16" s="4" t="s">
        <v>8</v>
      </c>
      <c r="B16" s="4" t="s">
        <v>21</v>
      </c>
      <c r="C16" s="6" t="s">
        <v>12</v>
      </c>
      <c r="D16" s="1">
        <v>73098</v>
      </c>
      <c r="E16" s="1">
        <v>277415</v>
      </c>
      <c r="F16" s="7">
        <v>3.7951106733426361</v>
      </c>
      <c r="G16" s="2">
        <v>4670811.5199995656</v>
      </c>
      <c r="H16" s="3">
        <v>16.836910477081503</v>
      </c>
      <c r="I16" s="3">
        <v>63.897938657686467</v>
      </c>
      <c r="N16" s="9">
        <v>790000</v>
      </c>
      <c r="O16" s="9">
        <v>483000</v>
      </c>
      <c r="P16" s="9">
        <v>7000</v>
      </c>
      <c r="Q16" s="11">
        <f t="shared" si="0"/>
        <v>490000</v>
      </c>
      <c r="R16" s="11">
        <f t="shared" si="1"/>
        <v>300000</v>
      </c>
      <c r="S16" s="11">
        <v>3000</v>
      </c>
      <c r="T16" s="11">
        <f t="shared" si="15"/>
        <v>297000</v>
      </c>
      <c r="U16" s="12">
        <f t="shared" si="16"/>
        <v>6.7033297764644724</v>
      </c>
      <c r="V16" s="13">
        <f t="shared" si="17"/>
        <v>1.7663067966764594</v>
      </c>
      <c r="W16" s="14">
        <f t="shared" si="18"/>
        <v>0.10490682355772848</v>
      </c>
      <c r="X16" s="12">
        <f t="shared" si="19"/>
        <v>4.1040794549782484</v>
      </c>
      <c r="Y16" s="33">
        <f t="shared" si="20"/>
        <v>1.0814123244957916</v>
      </c>
      <c r="Z16" s="14">
        <f t="shared" si="21"/>
        <v>6.4228667484323557E-2</v>
      </c>
      <c r="AC16" s="12">
        <f t="shared" si="8"/>
        <v>39200</v>
      </c>
      <c r="AD16" s="30">
        <v>0.08</v>
      </c>
    </row>
    <row r="17" spans="1:30" x14ac:dyDescent="0.3">
      <c r="A17" s="4" t="s">
        <v>8</v>
      </c>
      <c r="B17" s="4" t="s">
        <v>21</v>
      </c>
      <c r="C17" s="6" t="s">
        <v>13</v>
      </c>
      <c r="D17" s="1">
        <v>93290</v>
      </c>
      <c r="E17" s="1">
        <v>326880</v>
      </c>
      <c r="F17" s="7">
        <v>3.5039125308178796</v>
      </c>
      <c r="G17" s="2">
        <v>5745941.6199990539</v>
      </c>
      <c r="H17" s="3">
        <v>17.578137604010809</v>
      </c>
      <c r="I17" s="3">
        <v>61.59225661913446</v>
      </c>
      <c r="N17" s="9">
        <v>847000</v>
      </c>
      <c r="O17" s="9">
        <v>511000</v>
      </c>
      <c r="P17" s="9">
        <v>6000</v>
      </c>
      <c r="Q17" s="11">
        <f t="shared" si="0"/>
        <v>517000</v>
      </c>
      <c r="R17" s="11">
        <f t="shared" si="1"/>
        <v>330000</v>
      </c>
      <c r="S17" s="11">
        <v>3000</v>
      </c>
      <c r="T17" s="11">
        <f t="shared" si="15"/>
        <v>327000</v>
      </c>
      <c r="U17" s="12">
        <f t="shared" si="16"/>
        <v>5.5418587201200555</v>
      </c>
      <c r="V17" s="13">
        <f t="shared" si="17"/>
        <v>1.5816201664219285</v>
      </c>
      <c r="W17" s="14">
        <f t="shared" si="18"/>
        <v>8.997654939628244E-2</v>
      </c>
      <c r="X17" s="12">
        <f t="shared" si="19"/>
        <v>3.5373566298638655</v>
      </c>
      <c r="Y17" s="33">
        <f t="shared" si="20"/>
        <v>1.0095447870778267</v>
      </c>
      <c r="Z17" s="14">
        <f t="shared" si="21"/>
        <v>5.7431840040180281E-2</v>
      </c>
      <c r="AC17" s="12">
        <f t="shared" si="8"/>
        <v>41360</v>
      </c>
      <c r="AD17" s="30">
        <v>0.08</v>
      </c>
    </row>
    <row r="18" spans="1:30" x14ac:dyDescent="0.3">
      <c r="A18" s="4" t="s">
        <v>8</v>
      </c>
      <c r="B18" s="4" t="s">
        <v>21</v>
      </c>
      <c r="C18" s="6" t="s">
        <v>14</v>
      </c>
      <c r="D18" s="1">
        <v>94359</v>
      </c>
      <c r="E18" s="1">
        <v>340746</v>
      </c>
      <c r="F18" s="7">
        <v>3.6111658665310147</v>
      </c>
      <c r="G18" s="2">
        <v>5682959.2799990503</v>
      </c>
      <c r="H18" s="3">
        <v>16.677992639676035</v>
      </c>
      <c r="I18" s="3">
        <v>60.226997742653595</v>
      </c>
      <c r="N18" s="9">
        <v>849000</v>
      </c>
      <c r="O18" s="9">
        <v>540000</v>
      </c>
      <c r="P18" s="9">
        <v>5000</v>
      </c>
      <c r="Q18" s="11">
        <f t="shared" si="0"/>
        <v>545000</v>
      </c>
      <c r="R18" s="11">
        <f t="shared" si="1"/>
        <v>304000</v>
      </c>
      <c r="S18" s="11">
        <v>3000</v>
      </c>
      <c r="T18" s="11">
        <f t="shared" si="15"/>
        <v>301000</v>
      </c>
      <c r="U18" s="12">
        <f t="shared" si="16"/>
        <v>5.7758136478767259</v>
      </c>
      <c r="V18" s="13">
        <f t="shared" si="17"/>
        <v>1.599431834856462</v>
      </c>
      <c r="W18" s="14">
        <f t="shared" si="18"/>
        <v>9.5900739939859481E-2</v>
      </c>
      <c r="X18" s="12">
        <f t="shared" si="19"/>
        <v>3.2217382549624309</v>
      </c>
      <c r="Y18" s="33">
        <f t="shared" si="20"/>
        <v>0.89216014274562283</v>
      </c>
      <c r="Z18" s="14">
        <f t="shared" si="21"/>
        <v>5.3493256773793178E-2</v>
      </c>
      <c r="AC18" s="12">
        <f t="shared" si="8"/>
        <v>43600</v>
      </c>
      <c r="AD18" s="30">
        <v>0.08</v>
      </c>
    </row>
    <row r="19" spans="1:30" x14ac:dyDescent="0.3">
      <c r="A19" s="4" t="s">
        <v>8</v>
      </c>
      <c r="B19" s="4" t="s">
        <v>21</v>
      </c>
      <c r="C19" s="6" t="s">
        <v>15</v>
      </c>
      <c r="D19" s="1">
        <v>89961</v>
      </c>
      <c r="E19" s="1">
        <v>333309</v>
      </c>
      <c r="F19" s="7">
        <v>3.7050388501684064</v>
      </c>
      <c r="G19" s="2">
        <v>5488393.5599991595</v>
      </c>
      <c r="H19" s="3">
        <v>16.466382725936473</v>
      </c>
      <c r="I19" s="3">
        <v>61.008587721336575</v>
      </c>
      <c r="N19" s="9">
        <v>845000</v>
      </c>
      <c r="O19" s="9">
        <v>507000</v>
      </c>
      <c r="P19" s="9">
        <v>7000</v>
      </c>
      <c r="Q19" s="11">
        <f t="shared" si="0"/>
        <v>514000</v>
      </c>
      <c r="R19" s="11">
        <f t="shared" si="1"/>
        <v>331000</v>
      </c>
      <c r="S19" s="11">
        <v>8000</v>
      </c>
      <c r="T19" s="11">
        <f t="shared" si="15"/>
        <v>323000</v>
      </c>
      <c r="U19" s="12">
        <f t="shared" si="16"/>
        <v>5.7135869988105954</v>
      </c>
      <c r="V19" s="13">
        <f t="shared" si="17"/>
        <v>1.5421125742179178</v>
      </c>
      <c r="W19" s="14">
        <f t="shared" si="18"/>
        <v>9.3652176065901274E-2</v>
      </c>
      <c r="X19" s="12">
        <f t="shared" si="19"/>
        <v>3.6793721723858117</v>
      </c>
      <c r="Y19" s="33">
        <f t="shared" si="20"/>
        <v>0.99307249429208333</v>
      </c>
      <c r="Z19" s="14">
        <f t="shared" si="21"/>
        <v>6.0309086143605688E-2</v>
      </c>
      <c r="AC19" s="12">
        <f t="shared" si="8"/>
        <v>41120</v>
      </c>
      <c r="AD19" s="30">
        <v>0.08</v>
      </c>
    </row>
    <row r="20" spans="1:30" x14ac:dyDescent="0.3">
      <c r="A20" s="4" t="s">
        <v>8</v>
      </c>
      <c r="B20" s="4" t="s">
        <v>21</v>
      </c>
      <c r="C20" s="6" t="s">
        <v>16</v>
      </c>
      <c r="D20" s="1">
        <v>101716</v>
      </c>
      <c r="E20" s="1">
        <v>377932</v>
      </c>
      <c r="F20" s="7">
        <v>3.7155609736914545</v>
      </c>
      <c r="G20" s="2">
        <v>6467713.3399988106</v>
      </c>
      <c r="H20" s="3">
        <v>17.113431358018932</v>
      </c>
      <c r="I20" s="3">
        <v>63.585997679802688</v>
      </c>
      <c r="N20" s="9">
        <v>840000</v>
      </c>
      <c r="O20" s="9">
        <v>497000</v>
      </c>
      <c r="P20" s="9">
        <v>8000</v>
      </c>
      <c r="Q20" s="11">
        <f t="shared" si="0"/>
        <v>505000</v>
      </c>
      <c r="R20" s="11">
        <f t="shared" si="1"/>
        <v>335000</v>
      </c>
      <c r="S20" s="11">
        <v>6000</v>
      </c>
      <c r="T20" s="11">
        <f t="shared" si="15"/>
        <v>329000</v>
      </c>
      <c r="U20" s="12">
        <f t="shared" si="16"/>
        <v>4.9648039639781354</v>
      </c>
      <c r="V20" s="13">
        <f t="shared" si="17"/>
        <v>1.3362192140385043</v>
      </c>
      <c r="W20" s="14">
        <f t="shared" si="18"/>
        <v>7.8080145710368309E-2</v>
      </c>
      <c r="X20" s="12">
        <f t="shared" si="19"/>
        <v>3.293483817688466</v>
      </c>
      <c r="Y20" s="33">
        <f t="shared" si="20"/>
        <v>0.88640284495623556</v>
      </c>
      <c r="Z20" s="14">
        <f t="shared" si="21"/>
        <v>5.1795740223709669E-2</v>
      </c>
      <c r="AC20" s="12">
        <f t="shared" si="8"/>
        <v>40400</v>
      </c>
      <c r="AD20" s="30">
        <v>0.08</v>
      </c>
    </row>
    <row r="21" spans="1:30" x14ac:dyDescent="0.3">
      <c r="A21" s="4" t="s">
        <v>8</v>
      </c>
      <c r="B21" s="4" t="s">
        <v>21</v>
      </c>
      <c r="C21" s="6" t="s">
        <v>17</v>
      </c>
      <c r="D21" s="1">
        <v>95382</v>
      </c>
      <c r="E21" s="1">
        <v>376332</v>
      </c>
      <c r="F21" s="7">
        <v>3.9455243127634145</v>
      </c>
      <c r="G21" s="2">
        <v>5937125.2799991407</v>
      </c>
      <c r="H21" s="3">
        <v>15.776296674210911</v>
      </c>
      <c r="I21" s="3">
        <v>62.245762093467746</v>
      </c>
      <c r="N21" s="9">
        <v>872000</v>
      </c>
      <c r="O21" s="9">
        <v>458000</v>
      </c>
      <c r="P21" s="9">
        <v>9000</v>
      </c>
      <c r="Q21" s="11">
        <f t="shared" si="0"/>
        <v>467000</v>
      </c>
      <c r="R21" s="11">
        <f t="shared" si="1"/>
        <v>405000</v>
      </c>
      <c r="S21" s="11">
        <v>6000</v>
      </c>
      <c r="T21" s="11">
        <f t="shared" si="15"/>
        <v>399000</v>
      </c>
      <c r="U21" s="12">
        <f t="shared" si="16"/>
        <v>4.8961019898932712</v>
      </c>
      <c r="V21" s="13">
        <f t="shared" si="17"/>
        <v>1.240925565723882</v>
      </c>
      <c r="W21" s="14">
        <f t="shared" si="18"/>
        <v>7.8657595717782733E-2</v>
      </c>
      <c r="X21" s="12">
        <f t="shared" si="19"/>
        <v>4.2460841668239286</v>
      </c>
      <c r="Y21" s="33">
        <f t="shared" si="20"/>
        <v>1.0761774178119321</v>
      </c>
      <c r="Z21" s="14">
        <f t="shared" si="21"/>
        <v>6.821483140407282E-2</v>
      </c>
      <c r="AC21" s="12">
        <f t="shared" si="8"/>
        <v>37360</v>
      </c>
      <c r="AD21" s="30">
        <v>0.08</v>
      </c>
    </row>
    <row r="22" spans="1:30" x14ac:dyDescent="0.3">
      <c r="A22" s="4" t="s">
        <v>8</v>
      </c>
      <c r="B22" s="4" t="s">
        <v>21</v>
      </c>
      <c r="C22" s="6" t="s">
        <v>18</v>
      </c>
      <c r="D22" s="1">
        <v>90454</v>
      </c>
      <c r="E22" s="1">
        <v>360075</v>
      </c>
      <c r="F22" s="7">
        <v>3.98075264775466</v>
      </c>
      <c r="G22" s="2">
        <v>5601194.7199993934</v>
      </c>
      <c r="H22" s="3">
        <v>15.55563346524861</v>
      </c>
      <c r="I22" s="3">
        <v>61.923129104289401</v>
      </c>
      <c r="N22" s="9">
        <v>821000</v>
      </c>
      <c r="O22" s="9">
        <v>447000</v>
      </c>
      <c r="P22" s="9">
        <v>9000</v>
      </c>
      <c r="Q22" s="11">
        <f t="shared" si="0"/>
        <v>456000</v>
      </c>
      <c r="R22" s="11">
        <f t="shared" si="1"/>
        <v>365000</v>
      </c>
      <c r="S22" s="11">
        <v>14000</v>
      </c>
      <c r="T22" s="11">
        <f t="shared" si="15"/>
        <v>351000</v>
      </c>
      <c r="U22" s="12">
        <f t="shared" si="16"/>
        <v>5.0412364295664096</v>
      </c>
      <c r="V22" s="13">
        <f t="shared" si="17"/>
        <v>1.2664028327431784</v>
      </c>
      <c r="W22" s="14">
        <f t="shared" si="18"/>
        <v>8.1411202929943735E-2</v>
      </c>
      <c r="X22" s="12">
        <f t="shared" si="19"/>
        <v>4.0352002122625867</v>
      </c>
      <c r="Y22" s="33">
        <f t="shared" si="20"/>
        <v>1.0136777060334652</v>
      </c>
      <c r="Z22" s="14">
        <f t="shared" si="21"/>
        <v>6.516466901190672E-2</v>
      </c>
      <c r="AC22" s="12">
        <f t="shared" si="8"/>
        <v>36480</v>
      </c>
      <c r="AD22" s="30">
        <v>0.08</v>
      </c>
    </row>
    <row r="23" spans="1:30" x14ac:dyDescent="0.3">
      <c r="A23" s="4" t="s">
        <v>8</v>
      </c>
      <c r="B23" s="4" t="s">
        <v>21</v>
      </c>
      <c r="C23" s="6" t="s">
        <v>19</v>
      </c>
      <c r="D23" s="1">
        <v>124162</v>
      </c>
      <c r="E23" s="1">
        <v>458795</v>
      </c>
      <c r="F23" s="7">
        <v>3.6951321660411396</v>
      </c>
      <c r="G23" s="2">
        <v>7636745.3499985375</v>
      </c>
      <c r="H23" s="3">
        <v>16.645223574796013</v>
      </c>
      <c r="I23" s="3">
        <v>61.506301042175039</v>
      </c>
      <c r="N23" s="9">
        <v>1039000</v>
      </c>
      <c r="O23" s="9">
        <v>582000</v>
      </c>
      <c r="P23" s="9">
        <v>9000</v>
      </c>
      <c r="Q23" s="11">
        <f t="shared" si="0"/>
        <v>591000</v>
      </c>
      <c r="R23" s="11">
        <f t="shared" si="1"/>
        <v>448000</v>
      </c>
      <c r="S23" s="11">
        <v>10000</v>
      </c>
      <c r="T23" s="11">
        <f t="shared" si="15"/>
        <v>438000</v>
      </c>
      <c r="U23" s="12">
        <f>Q23/D23</f>
        <v>4.7599104395869913</v>
      </c>
      <c r="V23" s="13">
        <f>Q23/E23</f>
        <v>1.2881570200198347</v>
      </c>
      <c r="W23" s="14">
        <f>Q23/G23</f>
        <v>7.7388988752926421E-2</v>
      </c>
      <c r="X23" s="12">
        <f>R23/D23</f>
        <v>3.6081893010744026</v>
      </c>
      <c r="Y23" s="33">
        <f>R23/E23</f>
        <v>0.97647097287459539</v>
      </c>
      <c r="Z23" s="14">
        <f>R23/G23</f>
        <v>5.8663734283098207E-2</v>
      </c>
      <c r="AC23" s="12">
        <f t="shared" si="8"/>
        <v>47280</v>
      </c>
      <c r="AD23" s="30">
        <v>0.08</v>
      </c>
    </row>
    <row r="24" spans="1:30" x14ac:dyDescent="0.3">
      <c r="A24" s="4" t="s">
        <v>8</v>
      </c>
      <c r="B24" s="4" t="s">
        <v>21</v>
      </c>
      <c r="C24" s="6" t="s">
        <v>20</v>
      </c>
      <c r="D24" s="1">
        <v>152246</v>
      </c>
      <c r="E24" s="1">
        <v>539209</v>
      </c>
      <c r="F24" s="7">
        <v>3.5416956767337071</v>
      </c>
      <c r="G24" s="2">
        <v>8983032.9799973816</v>
      </c>
      <c r="H24" s="3">
        <v>16.659649560740608</v>
      </c>
      <c r="I24" s="3">
        <v>59.003408825173608</v>
      </c>
      <c r="N24" s="9">
        <v>1176102</v>
      </c>
      <c r="O24" s="9">
        <v>701583</v>
      </c>
      <c r="P24" s="9">
        <v>7334</v>
      </c>
      <c r="Q24" s="11">
        <f t="shared" si="0"/>
        <v>708917</v>
      </c>
      <c r="R24" s="11">
        <f t="shared" si="1"/>
        <v>467185</v>
      </c>
      <c r="S24" s="11">
        <v>19872</v>
      </c>
      <c r="T24" s="11">
        <f t="shared" si="15"/>
        <v>447313</v>
      </c>
      <c r="U24" s="12">
        <f t="shared" ref="U24:U25" si="22">Q24/D24</f>
        <v>4.6563916293367313</v>
      </c>
      <c r="V24" s="13">
        <f t="shared" ref="V24:V25" si="23">Q24/E24</f>
        <v>1.3147351027152736</v>
      </c>
      <c r="W24" s="14">
        <f t="shared" ref="W24:W25" si="24">Q24/G24</f>
        <v>7.8917332439784341E-2</v>
      </c>
      <c r="X24" s="12">
        <f t="shared" ref="X24:X25" si="25">R24/D24</f>
        <v>3.0686192083864272</v>
      </c>
      <c r="Y24" s="33">
        <f t="shared" ref="Y24:Y25" si="26">R24/E24</f>
        <v>0.86642656187118539</v>
      </c>
      <c r="Z24" s="14">
        <f t="shared" ref="Z24:Z25" si="27">R24/G24</f>
        <v>5.2007490236347341E-2</v>
      </c>
      <c r="AC24" s="12">
        <f t="shared" si="8"/>
        <v>56713.36</v>
      </c>
      <c r="AD24" s="30">
        <v>0.08</v>
      </c>
    </row>
    <row r="25" spans="1:30" x14ac:dyDescent="0.3">
      <c r="A25" s="4" t="s">
        <v>8</v>
      </c>
      <c r="B25" s="4" t="s">
        <v>21</v>
      </c>
      <c r="C25" s="6" t="s">
        <v>50</v>
      </c>
      <c r="D25" s="1">
        <v>166424</v>
      </c>
      <c r="E25" s="1">
        <v>636127</v>
      </c>
      <c r="F25" s="7">
        <v>3.822327308561265</v>
      </c>
      <c r="G25" s="2">
        <v>9893244.369997168</v>
      </c>
      <c r="H25" s="3">
        <v>15.552310104738783</v>
      </c>
      <c r="I25" s="3">
        <v>59.446019624556364</v>
      </c>
      <c r="N25" s="9">
        <v>1263493</v>
      </c>
      <c r="O25" s="9">
        <v>833778</v>
      </c>
      <c r="P25" s="9">
        <v>18116</v>
      </c>
      <c r="Q25" s="11">
        <f t="shared" si="0"/>
        <v>851894</v>
      </c>
      <c r="R25" s="11">
        <f t="shared" si="1"/>
        <v>411599</v>
      </c>
      <c r="S25" s="11">
        <v>6860</v>
      </c>
      <c r="T25" s="11">
        <f t="shared" si="15"/>
        <v>404739</v>
      </c>
      <c r="U25" s="12">
        <f t="shared" si="22"/>
        <v>5.1188169975484303</v>
      </c>
      <c r="V25" s="13">
        <f t="shared" si="23"/>
        <v>1.3391885582595928</v>
      </c>
      <c r="W25" s="14">
        <f t="shared" si="24"/>
        <v>8.610865840770128E-2</v>
      </c>
      <c r="X25" s="12">
        <f t="shared" si="25"/>
        <v>2.4731949718790558</v>
      </c>
      <c r="Y25" s="33">
        <f t="shared" si="26"/>
        <v>0.64703903465817358</v>
      </c>
      <c r="Z25" s="14">
        <f t="shared" si="27"/>
        <v>4.1604046620766715E-2</v>
      </c>
      <c r="AC25" s="12">
        <f t="shared" si="8"/>
        <v>68151.520000000004</v>
      </c>
      <c r="AD25" s="30">
        <v>0.08</v>
      </c>
    </row>
    <row r="26" spans="1:30" x14ac:dyDescent="0.3">
      <c r="A26" s="4" t="s">
        <v>8</v>
      </c>
      <c r="B26" s="4" t="s">
        <v>22</v>
      </c>
      <c r="C26" s="6" t="s">
        <v>10</v>
      </c>
      <c r="D26" s="1">
        <v>531</v>
      </c>
      <c r="E26" s="1">
        <v>5733553</v>
      </c>
      <c r="F26" s="7">
        <v>10797.651600753295</v>
      </c>
      <c r="G26" s="2">
        <v>51465780.949999988</v>
      </c>
      <c r="H26" s="3">
        <v>8.9762457851178823</v>
      </c>
      <c r="I26" s="3">
        <v>96922.374670433128</v>
      </c>
      <c r="N26" s="9">
        <v>420000</v>
      </c>
      <c r="O26" s="9">
        <v>337000</v>
      </c>
      <c r="P26" s="9">
        <v>11000</v>
      </c>
      <c r="Q26" s="11">
        <f t="shared" si="0"/>
        <v>348000</v>
      </c>
      <c r="R26" s="11">
        <f t="shared" si="1"/>
        <v>72000</v>
      </c>
      <c r="S26" s="11">
        <v>12000</v>
      </c>
      <c r="T26" s="11">
        <f>R26-S26</f>
        <v>60000</v>
      </c>
      <c r="U26" s="12">
        <f>Q26/D26</f>
        <v>655.36723163841805</v>
      </c>
      <c r="V26" s="13">
        <f>Q26/E26</f>
        <v>6.0695348939828413E-2</v>
      </c>
      <c r="W26" s="14">
        <f>Q26/G26</f>
        <v>6.7617743979847267E-3</v>
      </c>
      <c r="X26" s="12">
        <f>R26/D26</f>
        <v>135.59322033898306</v>
      </c>
      <c r="Y26" s="33">
        <f>R26/E26</f>
        <v>1.2557658401343808E-2</v>
      </c>
      <c r="Z26" s="14">
        <f>R26/G26</f>
        <v>1.3989878064795988E-3</v>
      </c>
      <c r="AA26" s="10"/>
      <c r="AB26" s="10">
        <v>8220</v>
      </c>
      <c r="AC26" s="12">
        <f t="shared" si="8"/>
        <v>69600</v>
      </c>
      <c r="AD26" s="30">
        <v>0.2</v>
      </c>
    </row>
    <row r="27" spans="1:30" x14ac:dyDescent="0.3">
      <c r="A27" s="4" t="s">
        <v>8</v>
      </c>
      <c r="B27" s="4" t="s">
        <v>22</v>
      </c>
      <c r="C27" s="6" t="s">
        <v>11</v>
      </c>
      <c r="D27" s="1">
        <v>402</v>
      </c>
      <c r="E27" s="1">
        <v>5506200</v>
      </c>
      <c r="F27" s="7">
        <v>13697.014925373134</v>
      </c>
      <c r="G27" s="2">
        <v>48977093.629999988</v>
      </c>
      <c r="H27" s="3">
        <v>8.8948991373360915</v>
      </c>
      <c r="I27" s="3">
        <v>121833.56624378107</v>
      </c>
      <c r="N27" s="9">
        <v>300000</v>
      </c>
      <c r="O27" s="9">
        <v>205000</v>
      </c>
      <c r="P27" s="9">
        <v>39000</v>
      </c>
      <c r="Q27" s="11">
        <f t="shared" si="0"/>
        <v>244000</v>
      </c>
      <c r="R27" s="11">
        <f t="shared" si="1"/>
        <v>56000</v>
      </c>
      <c r="S27" s="11">
        <v>8000</v>
      </c>
      <c r="T27" s="11">
        <f t="shared" ref="T27:T37" si="28">R27-S27</f>
        <v>48000</v>
      </c>
      <c r="U27" s="12">
        <f t="shared" ref="U27:U35" si="29">Q27/D27</f>
        <v>606.96517412935327</v>
      </c>
      <c r="V27" s="13">
        <f t="shared" ref="V27:V35" si="30">Q27/E27</f>
        <v>4.4313682757618683E-2</v>
      </c>
      <c r="W27" s="14">
        <f t="shared" ref="W27:W35" si="31">Q27/G27</f>
        <v>4.981920769805386E-3</v>
      </c>
      <c r="X27" s="12">
        <f t="shared" ref="X27:X35" si="32">R27/D27</f>
        <v>139.30348258706468</v>
      </c>
      <c r="Y27" s="33">
        <f t="shared" ref="Y27:Y35" si="33">R27/E27</f>
        <v>1.0170353419781338E-2</v>
      </c>
      <c r="Z27" s="14">
        <f t="shared" ref="Z27:Z35" si="34">R27/G27</f>
        <v>1.1433916520864819E-3</v>
      </c>
      <c r="AA27" s="10">
        <v>452</v>
      </c>
      <c r="AB27" s="10">
        <v>4730</v>
      </c>
      <c r="AC27" s="12">
        <f t="shared" si="8"/>
        <v>48800</v>
      </c>
      <c r="AD27" s="30">
        <v>0.2</v>
      </c>
    </row>
    <row r="28" spans="1:30" x14ac:dyDescent="0.3">
      <c r="A28" s="4" t="s">
        <v>8</v>
      </c>
      <c r="B28" s="4" t="s">
        <v>22</v>
      </c>
      <c r="C28" s="6" t="s">
        <v>12</v>
      </c>
      <c r="D28" s="1">
        <v>543</v>
      </c>
      <c r="E28" s="1">
        <v>6724329</v>
      </c>
      <c r="F28" s="7">
        <v>12383.662983425414</v>
      </c>
      <c r="G28" s="2">
        <v>57039563.969999991</v>
      </c>
      <c r="H28" s="3">
        <v>8.4825659140116425</v>
      </c>
      <c r="I28" s="3">
        <v>105045.23751381214</v>
      </c>
      <c r="N28" s="9">
        <v>410000</v>
      </c>
      <c r="O28" s="9">
        <v>307000</v>
      </c>
      <c r="P28" s="9">
        <v>23000</v>
      </c>
      <c r="Q28" s="11">
        <f t="shared" si="0"/>
        <v>330000</v>
      </c>
      <c r="R28" s="11">
        <f t="shared" si="1"/>
        <v>80000</v>
      </c>
      <c r="S28" s="11">
        <v>11000</v>
      </c>
      <c r="T28" s="11">
        <f t="shared" si="28"/>
        <v>69000</v>
      </c>
      <c r="U28" s="12">
        <f t="shared" si="29"/>
        <v>607.73480662983422</v>
      </c>
      <c r="V28" s="13">
        <f t="shared" si="30"/>
        <v>4.9075528576903359E-2</v>
      </c>
      <c r="W28" s="14">
        <f t="shared" si="31"/>
        <v>5.7854579704284519E-3</v>
      </c>
      <c r="X28" s="12">
        <f t="shared" si="32"/>
        <v>147.32965009208104</v>
      </c>
      <c r="Y28" s="33">
        <f t="shared" si="33"/>
        <v>1.1897097836825058E-2</v>
      </c>
      <c r="Z28" s="14">
        <f t="shared" si="34"/>
        <v>1.4025352655584126E-3</v>
      </c>
      <c r="AA28" s="10">
        <v>516</v>
      </c>
      <c r="AB28" s="10">
        <v>7510</v>
      </c>
      <c r="AC28" s="12">
        <f t="shared" si="8"/>
        <v>66000</v>
      </c>
      <c r="AD28" s="30">
        <v>0.2</v>
      </c>
    </row>
    <row r="29" spans="1:30" x14ac:dyDescent="0.3">
      <c r="A29" s="4" t="s">
        <v>8</v>
      </c>
      <c r="B29" s="4" t="s">
        <v>22</v>
      </c>
      <c r="C29" s="6" t="s">
        <v>13</v>
      </c>
      <c r="D29" s="1">
        <v>580</v>
      </c>
      <c r="E29" s="1">
        <v>7584371</v>
      </c>
      <c r="F29" s="7">
        <v>13076.501724137932</v>
      </c>
      <c r="G29" s="2">
        <v>68330987.490000024</v>
      </c>
      <c r="H29" s="3">
        <v>9.0094468598648483</v>
      </c>
      <c r="I29" s="3">
        <v>117812.04739655176</v>
      </c>
      <c r="N29" s="9">
        <v>384000</v>
      </c>
      <c r="O29" s="9">
        <v>279000</v>
      </c>
      <c r="P29" s="9">
        <v>26000</v>
      </c>
      <c r="Q29" s="11">
        <f t="shared" si="0"/>
        <v>305000</v>
      </c>
      <c r="R29" s="11">
        <f t="shared" si="1"/>
        <v>79000</v>
      </c>
      <c r="S29" s="11">
        <v>10000</v>
      </c>
      <c r="T29" s="11">
        <f t="shared" si="28"/>
        <v>69000</v>
      </c>
      <c r="U29" s="12">
        <f t="shared" si="29"/>
        <v>525.86206896551721</v>
      </c>
      <c r="V29" s="13">
        <f t="shared" si="30"/>
        <v>4.0214277492490805E-2</v>
      </c>
      <c r="W29" s="14">
        <f t="shared" si="31"/>
        <v>4.4635678658183535E-3</v>
      </c>
      <c r="X29" s="12">
        <f t="shared" si="32"/>
        <v>136.20689655172413</v>
      </c>
      <c r="Y29" s="33">
        <f t="shared" si="33"/>
        <v>1.0416157121005815E-2</v>
      </c>
      <c r="Z29" s="14">
        <f t="shared" si="34"/>
        <v>1.1561372504906554E-3</v>
      </c>
      <c r="AA29" s="10">
        <v>5636</v>
      </c>
      <c r="AB29" s="10">
        <v>6450</v>
      </c>
      <c r="AC29" s="12">
        <f t="shared" si="8"/>
        <v>61000</v>
      </c>
      <c r="AD29" s="30">
        <v>0.2</v>
      </c>
    </row>
    <row r="30" spans="1:30" x14ac:dyDescent="0.3">
      <c r="A30" s="4" t="s">
        <v>8</v>
      </c>
      <c r="B30" s="4" t="s">
        <v>22</v>
      </c>
      <c r="C30" s="6" t="s">
        <v>14</v>
      </c>
      <c r="D30" s="1">
        <v>562</v>
      </c>
      <c r="E30" s="1">
        <v>7549933</v>
      </c>
      <c r="F30" s="7">
        <v>13434.044483985765</v>
      </c>
      <c r="G30" s="2">
        <v>67588118.940000027</v>
      </c>
      <c r="H30" s="3">
        <v>8.9521481766791879</v>
      </c>
      <c r="I30" s="3">
        <v>120263.55683274026</v>
      </c>
      <c r="N30" s="9">
        <v>364000</v>
      </c>
      <c r="O30" s="9">
        <v>261000</v>
      </c>
      <c r="P30" s="9">
        <v>25000</v>
      </c>
      <c r="Q30" s="11">
        <f t="shared" si="0"/>
        <v>286000</v>
      </c>
      <c r="R30" s="11">
        <f t="shared" si="1"/>
        <v>78000</v>
      </c>
      <c r="S30" s="11">
        <v>14000</v>
      </c>
      <c r="T30" s="11">
        <f t="shared" si="28"/>
        <v>64000</v>
      </c>
      <c r="U30" s="12">
        <f t="shared" si="29"/>
        <v>508.89679715302492</v>
      </c>
      <c r="V30" s="13">
        <f t="shared" si="30"/>
        <v>3.7881130865664636E-2</v>
      </c>
      <c r="W30" s="14">
        <f t="shared" si="31"/>
        <v>4.2315129417034181E-3</v>
      </c>
      <c r="X30" s="12">
        <f t="shared" si="32"/>
        <v>138.79003558718861</v>
      </c>
      <c r="Y30" s="33">
        <f t="shared" si="33"/>
        <v>1.0331217508817627E-2</v>
      </c>
      <c r="Z30" s="14">
        <f t="shared" si="34"/>
        <v>1.154048984100932E-3</v>
      </c>
      <c r="AA30" s="10">
        <v>207</v>
      </c>
      <c r="AB30" s="10">
        <v>10580</v>
      </c>
      <c r="AC30" s="12">
        <f t="shared" si="8"/>
        <v>57200</v>
      </c>
      <c r="AD30" s="30">
        <v>0.2</v>
      </c>
    </row>
    <row r="31" spans="1:30" x14ac:dyDescent="0.3">
      <c r="A31" s="4" t="s">
        <v>8</v>
      </c>
      <c r="B31" s="4" t="s">
        <v>22</v>
      </c>
      <c r="C31" s="6" t="s">
        <v>15</v>
      </c>
      <c r="D31" s="1">
        <v>874</v>
      </c>
      <c r="E31" s="1">
        <v>11723495</v>
      </c>
      <c r="F31" s="7">
        <v>13413.609839816934</v>
      </c>
      <c r="G31" s="2">
        <v>106506625.59000003</v>
      </c>
      <c r="H31" s="3">
        <v>9.0848868524275428</v>
      </c>
      <c r="I31" s="3">
        <v>121861.12767734558</v>
      </c>
      <c r="N31" s="10">
        <f>792000-AA31-AB31</f>
        <v>780100</v>
      </c>
      <c r="O31" s="9">
        <v>643000</v>
      </c>
      <c r="P31" s="9">
        <v>27000</v>
      </c>
      <c r="Q31" s="11">
        <f t="shared" si="0"/>
        <v>670000</v>
      </c>
      <c r="R31" s="11">
        <f t="shared" si="1"/>
        <v>110100</v>
      </c>
      <c r="S31" s="11">
        <v>17000</v>
      </c>
      <c r="T31" s="11">
        <f t="shared" si="28"/>
        <v>93100</v>
      </c>
      <c r="U31" s="12">
        <f t="shared" si="29"/>
        <v>766.59038901601832</v>
      </c>
      <c r="V31" s="13">
        <f t="shared" si="30"/>
        <v>5.7150192839251435E-2</v>
      </c>
      <c r="W31" s="14">
        <f t="shared" si="31"/>
        <v>6.2906884551875864E-3</v>
      </c>
      <c r="X31" s="12">
        <f t="shared" si="32"/>
        <v>125.97254004576659</v>
      </c>
      <c r="Y31" s="33">
        <f t="shared" si="33"/>
        <v>9.3913973605993777E-3</v>
      </c>
      <c r="Z31" s="14">
        <f t="shared" si="34"/>
        <v>1.033738505845005E-3</v>
      </c>
      <c r="AA31" s="10">
        <v>1840</v>
      </c>
      <c r="AB31" s="10">
        <v>10060</v>
      </c>
      <c r="AC31" s="12">
        <f t="shared" si="8"/>
        <v>134000</v>
      </c>
      <c r="AD31" s="30">
        <v>0.2</v>
      </c>
    </row>
    <row r="32" spans="1:30" x14ac:dyDescent="0.3">
      <c r="A32" s="4" t="s">
        <v>8</v>
      </c>
      <c r="B32" s="4" t="s">
        <v>22</v>
      </c>
      <c r="C32" s="6" t="s">
        <v>16</v>
      </c>
      <c r="D32" s="1">
        <v>1067</v>
      </c>
      <c r="E32" s="1">
        <v>13968772</v>
      </c>
      <c r="F32" s="7">
        <v>13091.632614807873</v>
      </c>
      <c r="G32" s="2">
        <v>129251823.4299996</v>
      </c>
      <c r="H32" s="3">
        <v>9.2529123841379626</v>
      </c>
      <c r="I32" s="3">
        <v>121135.72955014021</v>
      </c>
      <c r="N32" s="10">
        <f t="shared" ref="N32" si="35">792000-AA32-AB32</f>
        <v>774132</v>
      </c>
      <c r="O32" s="9">
        <v>487000</v>
      </c>
      <c r="P32" s="9">
        <v>41000</v>
      </c>
      <c r="Q32" s="11">
        <f t="shared" si="0"/>
        <v>528000</v>
      </c>
      <c r="R32" s="11">
        <f t="shared" si="1"/>
        <v>246132</v>
      </c>
      <c r="S32" s="11">
        <v>17000</v>
      </c>
      <c r="T32" s="11">
        <f t="shared" si="28"/>
        <v>229132</v>
      </c>
      <c r="U32" s="12">
        <f t="shared" si="29"/>
        <v>494.84536082474227</v>
      </c>
      <c r="V32" s="13">
        <f t="shared" si="30"/>
        <v>3.7798598187442675E-2</v>
      </c>
      <c r="W32" s="14">
        <f t="shared" si="31"/>
        <v>4.0850487520275106E-3</v>
      </c>
      <c r="X32" s="12">
        <f t="shared" si="32"/>
        <v>230.67666354264293</v>
      </c>
      <c r="Y32" s="33">
        <f t="shared" si="33"/>
        <v>1.7620160168696289E-2</v>
      </c>
      <c r="Z32" s="14">
        <f t="shared" si="34"/>
        <v>1.9042826125644605E-3</v>
      </c>
      <c r="AA32" s="10">
        <v>7048</v>
      </c>
      <c r="AB32" s="10">
        <v>10820</v>
      </c>
      <c r="AC32" s="12">
        <f t="shared" si="8"/>
        <v>105600</v>
      </c>
      <c r="AD32" s="30">
        <v>0.2</v>
      </c>
    </row>
    <row r="33" spans="1:30" x14ac:dyDescent="0.3">
      <c r="A33" s="4" t="s">
        <v>8</v>
      </c>
      <c r="B33" s="4" t="s">
        <v>22</v>
      </c>
      <c r="C33" s="6" t="s">
        <v>17</v>
      </c>
      <c r="D33" s="1">
        <v>984</v>
      </c>
      <c r="E33" s="1">
        <v>16699042</v>
      </c>
      <c r="F33" s="7">
        <v>16970.57113821138</v>
      </c>
      <c r="G33" s="2">
        <v>150378182.16999972</v>
      </c>
      <c r="H33" s="3">
        <v>9.0051981526844305</v>
      </c>
      <c r="I33" s="3">
        <v>152823.35586382085</v>
      </c>
      <c r="N33" s="10">
        <f>792000-AB33</f>
        <v>769100</v>
      </c>
      <c r="O33" s="9">
        <v>561000</v>
      </c>
      <c r="P33" s="9">
        <v>79000</v>
      </c>
      <c r="Q33" s="11">
        <f t="shared" si="0"/>
        <v>640000</v>
      </c>
      <c r="R33" s="11">
        <f t="shared" si="1"/>
        <v>129100</v>
      </c>
      <c r="S33" s="11">
        <v>24000</v>
      </c>
      <c r="T33" s="11">
        <f t="shared" si="28"/>
        <v>105100</v>
      </c>
      <c r="U33" s="12">
        <f t="shared" si="29"/>
        <v>650.40650406504062</v>
      </c>
      <c r="V33" s="13">
        <f t="shared" si="30"/>
        <v>3.8325551849022241E-2</v>
      </c>
      <c r="W33" s="14">
        <f t="shared" si="31"/>
        <v>4.2559365378981107E-3</v>
      </c>
      <c r="X33" s="12">
        <f t="shared" si="32"/>
        <v>131.19918699186991</v>
      </c>
      <c r="Y33" s="33">
        <f t="shared" si="33"/>
        <v>7.7309824120449545E-3</v>
      </c>
      <c r="Z33" s="14">
        <f t="shared" si="34"/>
        <v>8.5850219850413449E-4</v>
      </c>
      <c r="AA33" s="10">
        <v>114171</v>
      </c>
      <c r="AB33" s="10">
        <v>22900</v>
      </c>
      <c r="AC33" s="12">
        <f t="shared" si="8"/>
        <v>128000</v>
      </c>
      <c r="AD33" s="30">
        <v>0.2</v>
      </c>
    </row>
    <row r="34" spans="1:30" x14ac:dyDescent="0.3">
      <c r="A34" s="4" t="s">
        <v>8</v>
      </c>
      <c r="B34" s="4" t="s">
        <v>22</v>
      </c>
      <c r="C34" s="6" t="s">
        <v>18</v>
      </c>
      <c r="D34" s="1">
        <v>1140</v>
      </c>
      <c r="E34" s="1">
        <v>13241302</v>
      </c>
      <c r="F34" s="7">
        <v>11615.177192982455</v>
      </c>
      <c r="G34" s="2">
        <v>120625509.25999995</v>
      </c>
      <c r="H34" s="3">
        <v>9.1097921684740637</v>
      </c>
      <c r="I34" s="3">
        <v>105811.85022807012</v>
      </c>
      <c r="N34" s="10">
        <f>792000-AB34</f>
        <v>773410</v>
      </c>
      <c r="O34" s="9">
        <v>634000</v>
      </c>
      <c r="P34" s="9">
        <v>63000</v>
      </c>
      <c r="Q34" s="11">
        <f t="shared" si="0"/>
        <v>697000</v>
      </c>
      <c r="R34" s="11">
        <f t="shared" si="1"/>
        <v>76410</v>
      </c>
      <c r="S34" s="11">
        <v>22000</v>
      </c>
      <c r="T34" s="11">
        <f t="shared" si="28"/>
        <v>54410</v>
      </c>
      <c r="U34" s="12">
        <f t="shared" si="29"/>
        <v>611.40350877192986</v>
      </c>
      <c r="V34" s="13">
        <f t="shared" si="30"/>
        <v>5.2638328164405584E-2</v>
      </c>
      <c r="W34" s="14">
        <f t="shared" si="31"/>
        <v>5.7782139472477975E-3</v>
      </c>
      <c r="X34" s="12">
        <f>R34/D34</f>
        <v>67.026315789473685</v>
      </c>
      <c r="Y34" s="33">
        <f t="shared" si="33"/>
        <v>5.77058056677508E-3</v>
      </c>
      <c r="Z34" s="14">
        <f t="shared" si="34"/>
        <v>6.3344810288264587E-4</v>
      </c>
      <c r="AA34" s="10">
        <v>291244</v>
      </c>
      <c r="AB34" s="10">
        <v>18590</v>
      </c>
      <c r="AC34" s="12">
        <f t="shared" si="8"/>
        <v>139400</v>
      </c>
      <c r="AD34" s="30">
        <v>0.2</v>
      </c>
    </row>
    <row r="35" spans="1:30" x14ac:dyDescent="0.3">
      <c r="A35" s="4" t="s">
        <v>8</v>
      </c>
      <c r="B35" s="4" t="s">
        <v>22</v>
      </c>
      <c r="C35" s="6" t="s">
        <v>19</v>
      </c>
      <c r="D35" s="1">
        <v>1451</v>
      </c>
      <c r="E35" s="1">
        <v>15043498</v>
      </c>
      <c r="F35" s="7">
        <v>10367.676085458304</v>
      </c>
      <c r="G35" s="2">
        <v>139515806.83999962</v>
      </c>
      <c r="H35" s="3">
        <v>9.2741599619981745</v>
      </c>
      <c r="I35" s="3">
        <v>96151.486450723372</v>
      </c>
      <c r="N35" s="10">
        <v>697291</v>
      </c>
      <c r="O35" s="9">
        <v>522373</v>
      </c>
      <c r="P35" s="9">
        <v>64750</v>
      </c>
      <c r="Q35" s="11">
        <f t="shared" si="0"/>
        <v>587123</v>
      </c>
      <c r="R35" s="11">
        <f t="shared" si="1"/>
        <v>110168</v>
      </c>
      <c r="S35" s="11">
        <v>24000</v>
      </c>
      <c r="T35" s="11">
        <f t="shared" si="28"/>
        <v>86168</v>
      </c>
      <c r="U35" s="12">
        <f t="shared" si="29"/>
        <v>404.63335630599585</v>
      </c>
      <c r="V35" s="13">
        <f t="shared" si="30"/>
        <v>3.9028356303833056E-2</v>
      </c>
      <c r="W35" s="14">
        <f t="shared" si="31"/>
        <v>4.2082901808633633E-3</v>
      </c>
      <c r="X35" s="12">
        <f t="shared" si="32"/>
        <v>75.925568573397655</v>
      </c>
      <c r="Y35" s="33">
        <f t="shared" si="33"/>
        <v>7.3232967492002192E-3</v>
      </c>
      <c r="Z35" s="14">
        <f t="shared" si="34"/>
        <v>7.8964529177932895E-4</v>
      </c>
      <c r="AA35" s="15">
        <v>392298</v>
      </c>
      <c r="AB35" s="9"/>
      <c r="AC35" s="12">
        <f t="shared" si="8"/>
        <v>117424.6</v>
      </c>
      <c r="AD35" s="30">
        <v>0.2</v>
      </c>
    </row>
    <row r="36" spans="1:30" x14ac:dyDescent="0.3">
      <c r="A36" s="4" t="s">
        <v>8</v>
      </c>
      <c r="B36" s="4" t="s">
        <v>22</v>
      </c>
      <c r="C36" s="6" t="s">
        <v>20</v>
      </c>
      <c r="D36" s="1">
        <v>1165</v>
      </c>
      <c r="E36" s="1">
        <v>17914588</v>
      </c>
      <c r="F36" s="7">
        <v>15377.328755364806</v>
      </c>
      <c r="G36" s="2">
        <v>170926812.86000067</v>
      </c>
      <c r="H36" s="3">
        <v>9.5412081405389095</v>
      </c>
      <c r="I36" s="3">
        <v>146718.29430042976</v>
      </c>
      <c r="N36" s="9">
        <v>637403</v>
      </c>
      <c r="O36" s="9">
        <v>511391</v>
      </c>
      <c r="P36" s="9">
        <v>40306</v>
      </c>
      <c r="Q36" s="11">
        <f t="shared" si="0"/>
        <v>551697</v>
      </c>
      <c r="R36" s="11">
        <f t="shared" si="1"/>
        <v>85706</v>
      </c>
      <c r="S36" s="11">
        <v>2606</v>
      </c>
      <c r="T36" s="11">
        <f t="shared" si="28"/>
        <v>83100</v>
      </c>
      <c r="U36" s="12">
        <f t="shared" ref="U36:U37" si="36">Q36/D36</f>
        <v>473.5596566523605</v>
      </c>
      <c r="V36" s="13">
        <f t="shared" ref="V36:V37" si="37">Q36/E36</f>
        <v>3.0795963602400458E-2</v>
      </c>
      <c r="W36" s="14">
        <f t="shared" ref="W36" si="38">Q36/G36</f>
        <v>3.2276796762826963E-3</v>
      </c>
      <c r="X36" s="12">
        <f t="shared" ref="X36" si="39">R36/D36</f>
        <v>73.567381974248931</v>
      </c>
      <c r="Y36" s="33">
        <f t="shared" ref="Y36" si="40">R36/E36</f>
        <v>4.7841457475885016E-3</v>
      </c>
      <c r="Z36" s="14">
        <f t="shared" ref="Z36" si="41">R36/G36</f>
        <v>5.0141928329406325E-4</v>
      </c>
      <c r="AC36" s="12">
        <f t="shared" si="8"/>
        <v>110339.40000000001</v>
      </c>
      <c r="AD36" s="30">
        <v>0.2</v>
      </c>
    </row>
    <row r="37" spans="1:30" x14ac:dyDescent="0.3">
      <c r="A37" s="4" t="s">
        <v>8</v>
      </c>
      <c r="B37" s="4" t="s">
        <v>22</v>
      </c>
      <c r="C37" s="6" t="s">
        <v>50</v>
      </c>
      <c r="D37" s="1">
        <v>852</v>
      </c>
      <c r="E37" s="1">
        <v>7950690</v>
      </c>
      <c r="F37" s="7">
        <v>9331.7957746478878</v>
      </c>
      <c r="G37" s="2">
        <v>75224621.879999906</v>
      </c>
      <c r="H37" s="3">
        <v>9.4613954109643199</v>
      </c>
      <c r="I37" s="3">
        <v>88291.809718309742</v>
      </c>
      <c r="N37" s="9">
        <v>735637</v>
      </c>
      <c r="O37" s="9">
        <v>479433</v>
      </c>
      <c r="P37" s="9">
        <v>72397</v>
      </c>
      <c r="Q37" s="11">
        <f t="shared" si="0"/>
        <v>551830</v>
      </c>
      <c r="R37" s="11">
        <f t="shared" si="1"/>
        <v>183807</v>
      </c>
      <c r="S37" s="11">
        <v>6313</v>
      </c>
      <c r="T37" s="11">
        <f t="shared" si="28"/>
        <v>177494</v>
      </c>
      <c r="U37" s="12">
        <f t="shared" si="36"/>
        <v>647.68779342723008</v>
      </c>
      <c r="V37" s="13">
        <f t="shared" si="37"/>
        <v>6.9406554651231522E-2</v>
      </c>
      <c r="W37" s="14">
        <f t="shared" ref="W37" si="42">Q37/G37</f>
        <v>7.3357630282315312E-3</v>
      </c>
      <c r="X37" s="12">
        <f t="shared" ref="X37" si="43">R37/D37</f>
        <v>215.73591549295776</v>
      </c>
      <c r="Y37" s="33">
        <f t="shared" ref="Y37" si="44">R37/E37</f>
        <v>2.3118370858378329E-2</v>
      </c>
      <c r="Z37" s="14">
        <f t="shared" ref="Z37" si="45">R37/G37</f>
        <v>2.4434419928785187E-3</v>
      </c>
      <c r="AC37" s="12">
        <f t="shared" si="8"/>
        <v>110366</v>
      </c>
      <c r="AD37" s="30">
        <v>0.2</v>
      </c>
    </row>
    <row r="39" spans="1:30" x14ac:dyDescent="0.3">
      <c r="C39" s="24" t="s">
        <v>52</v>
      </c>
      <c r="D39" s="25">
        <f>SUM(D2:D37)</f>
        <v>1237288</v>
      </c>
      <c r="E39" s="25">
        <f>SUM(E2:E37)</f>
        <v>138518988</v>
      </c>
      <c r="F39" s="26"/>
      <c r="G39" s="25">
        <f>SUM(G2:G37)</f>
        <v>1307200085.4799864</v>
      </c>
      <c r="H39" s="26"/>
      <c r="I39" s="26"/>
      <c r="J39" s="26"/>
      <c r="K39" s="26"/>
      <c r="L39" s="26"/>
      <c r="M39" s="26"/>
      <c r="N39" s="25">
        <f t="shared" ref="N39:T39" si="46">SUM(N2:N37)</f>
        <v>18549892</v>
      </c>
      <c r="O39" s="25">
        <f t="shared" si="46"/>
        <v>12240960</v>
      </c>
      <c r="P39" s="25">
        <f t="shared" si="46"/>
        <v>609072</v>
      </c>
      <c r="Q39" s="25">
        <f t="shared" si="46"/>
        <v>12850032</v>
      </c>
      <c r="R39" s="25">
        <f t="shared" si="46"/>
        <v>5699860</v>
      </c>
      <c r="S39" s="25">
        <f t="shared" si="46"/>
        <v>258298</v>
      </c>
      <c r="T39" s="25">
        <f t="shared" si="46"/>
        <v>5306556</v>
      </c>
      <c r="U39" s="27">
        <f t="shared" ref="U39" si="47">Q39/D39</f>
        <v>10.385643439522569</v>
      </c>
      <c r="V39" s="28">
        <f t="shared" ref="V39" si="48">Q39/E39</f>
        <v>9.276729627854341E-2</v>
      </c>
      <c r="W39" s="29">
        <f t="shared" ref="W39" si="49">Q39/G39</f>
        <v>9.8301951956204468E-3</v>
      </c>
      <c r="X39" s="27">
        <f t="shared" ref="X39" si="50">R39/D39</f>
        <v>4.6067366692314158</v>
      </c>
      <c r="Y39" s="34">
        <f t="shared" ref="Y39" si="51">R39/E39</f>
        <v>4.1148582460045116E-2</v>
      </c>
      <c r="Z39" s="29">
        <f t="shared" ref="Z39" si="52">R39/G39</f>
        <v>4.3603577320048045E-3</v>
      </c>
      <c r="AA39" s="16">
        <f>SUM(AA26:AA34)</f>
        <v>421114</v>
      </c>
      <c r="AB39" s="16">
        <f>SUM(AB26:AB37)</f>
        <v>99860</v>
      </c>
      <c r="AC39" s="12">
        <f>SUM(AC9:AC37)</f>
        <v>1726294.8199999998</v>
      </c>
      <c r="AD39" s="31">
        <f>AC39/Q39</f>
        <v>0.13434167479116005</v>
      </c>
    </row>
    <row r="42" spans="1:30" x14ac:dyDescent="0.3">
      <c r="A42" s="4"/>
      <c r="B42" s="4" t="s">
        <v>57</v>
      </c>
      <c r="C42" s="6"/>
      <c r="D42" s="1">
        <f>SUM(D9:D13)</f>
        <v>10094</v>
      </c>
      <c r="E42" s="1">
        <f>SUM(E9:E13)</f>
        <v>1505780</v>
      </c>
      <c r="F42" s="1">
        <f>SUM(F9:F13)</f>
        <v>739.27886666331358</v>
      </c>
      <c r="G42" s="1">
        <f>SUM(G9:G13)</f>
        <v>17112715.629999794</v>
      </c>
      <c r="H42" s="3">
        <f>G42/E42</f>
        <v>11.364685166491649</v>
      </c>
      <c r="I42" s="3">
        <f>G42/D42</f>
        <v>1695.33541014462</v>
      </c>
      <c r="N42" s="1">
        <f>SUM(N9:N13)</f>
        <v>301224</v>
      </c>
      <c r="O42" s="1">
        <f>SUM(O9:O13)</f>
        <v>152402</v>
      </c>
      <c r="P42" s="1">
        <f>SUM(P9:P13)</f>
        <v>11169</v>
      </c>
      <c r="Q42" s="1">
        <f>SUM(Q9:Q13)</f>
        <v>163571</v>
      </c>
      <c r="R42" s="1">
        <f>SUM(R9:R13)</f>
        <v>137653</v>
      </c>
      <c r="S42" s="1">
        <f>SUM(S9:S13)</f>
        <v>3647</v>
      </c>
      <c r="T42" s="1">
        <f>SUM(T9:T13)</f>
        <v>0</v>
      </c>
      <c r="U42" s="12">
        <f>Q42/D42</f>
        <v>16.204775113929067</v>
      </c>
      <c r="V42" s="13">
        <f>Q42/E42</f>
        <v>0.1086287505478888</v>
      </c>
      <c r="W42" s="14">
        <f>Q42/G42</f>
        <v>9.5584478546028393E-3</v>
      </c>
      <c r="X42" s="12">
        <f>R42/D42</f>
        <v>13.637111155141667</v>
      </c>
      <c r="Y42" s="33">
        <f t="shared" ref="Y42" si="53">R42/E42</f>
        <v>9.1416408771533689E-2</v>
      </c>
      <c r="Z42" s="14">
        <f t="shared" ref="Z42" si="54">R42/G42</f>
        <v>8.043901562805416E-3</v>
      </c>
      <c r="AA42" s="10"/>
      <c r="AB42" s="10"/>
      <c r="AC42" s="12"/>
      <c r="AD42" s="30"/>
    </row>
    <row r="43" spans="1:30" x14ac:dyDescent="0.3">
      <c r="A43" s="4"/>
      <c r="B43" s="4" t="s">
        <v>58</v>
      </c>
      <c r="C43" s="6"/>
      <c r="D43" s="1">
        <f>SUM(D21:D25)</f>
        <v>628668</v>
      </c>
      <c r="E43" s="1">
        <f>SUM(E21:E25)</f>
        <v>2370538</v>
      </c>
      <c r="F43" s="1">
        <f>SUM(F21:F25)</f>
        <v>18.985432111854188</v>
      </c>
      <c r="G43" s="1">
        <f>SUM(G21:G25)</f>
        <v>38051342.699991621</v>
      </c>
      <c r="H43" s="3">
        <f t="shared" ref="H43:H44" si="55">G43/E43</f>
        <v>16.051775040092849</v>
      </c>
      <c r="I43" s="3">
        <f t="shared" ref="I43:I44" si="56">G43/D43</f>
        <v>60.526927885611514</v>
      </c>
      <c r="N43" s="1">
        <f>SUM(N21:N25)</f>
        <v>5171595</v>
      </c>
      <c r="O43" s="1">
        <f>SUM(O21:O25)</f>
        <v>3022361</v>
      </c>
      <c r="P43" s="1">
        <f>SUM(P21:P25)</f>
        <v>52450</v>
      </c>
      <c r="Q43" s="1">
        <f>SUM(Q21:Q25)</f>
        <v>3074811</v>
      </c>
      <c r="R43" s="1">
        <f>SUM(R21:R25)</f>
        <v>2096784</v>
      </c>
      <c r="S43" s="1">
        <f>SUM(S21:S25)</f>
        <v>56732</v>
      </c>
      <c r="T43" s="1">
        <f>SUM(T21:T25)</f>
        <v>2040052</v>
      </c>
      <c r="U43" s="12">
        <f t="shared" ref="U43:U44" si="57">Q43/D43</f>
        <v>4.890993338296207</v>
      </c>
      <c r="V43" s="13">
        <f t="shared" ref="V43:V44" si="58">Q43/E43</f>
        <v>1.2970941617472489</v>
      </c>
      <c r="W43" s="14">
        <f t="shared" ref="W43:W44" si="59">Q43/G43</f>
        <v>8.0806898832526008E-2</v>
      </c>
      <c r="X43" s="12">
        <f t="shared" ref="X43:X44" si="60">R43/D43</f>
        <v>3.3352803069346617</v>
      </c>
      <c r="Y43" s="33">
        <f t="shared" ref="Y43:Y44" si="61">R43/E43</f>
        <v>0.88451819797868669</v>
      </c>
      <c r="Z43" s="14">
        <f t="shared" ref="Z43:Z44" si="62">R43/G43</f>
        <v>5.5104073896463622E-2</v>
      </c>
      <c r="AA43" s="10"/>
      <c r="AB43" s="10"/>
      <c r="AC43" s="12"/>
      <c r="AD43" s="30"/>
    </row>
    <row r="44" spans="1:30" x14ac:dyDescent="0.3">
      <c r="A44" s="4"/>
      <c r="B44" s="4" t="s">
        <v>59</v>
      </c>
      <c r="C44" s="6"/>
      <c r="D44" s="1">
        <f>SUM(D33:D37)</f>
        <v>5592</v>
      </c>
      <c r="E44" s="1">
        <f>SUM(E33:E37)</f>
        <v>70849120</v>
      </c>
      <c r="F44" s="1">
        <f>SUM(F33:F37)</f>
        <v>63662.548946664829</v>
      </c>
      <c r="G44" s="1">
        <f>SUM(G33:G37)</f>
        <v>656670933.00999975</v>
      </c>
      <c r="H44" s="3">
        <f t="shared" si="55"/>
        <v>9.2685827715291271</v>
      </c>
      <c r="I44" s="3">
        <f t="shared" si="56"/>
        <v>117430.4243580114</v>
      </c>
      <c r="N44" s="1">
        <f>SUM(N33:N37)</f>
        <v>3612841</v>
      </c>
      <c r="O44" s="1">
        <f>SUM(O33:O37)</f>
        <v>2708197</v>
      </c>
      <c r="P44" s="1">
        <f>SUM(P33:P37)</f>
        <v>319453</v>
      </c>
      <c r="Q44" s="1">
        <f>SUM(Q33:Q37)</f>
        <v>3027650</v>
      </c>
      <c r="R44" s="1">
        <f>SUM(R33:R37)</f>
        <v>585191</v>
      </c>
      <c r="S44" s="1">
        <f>SUM(S33:S37)</f>
        <v>78919</v>
      </c>
      <c r="T44" s="1">
        <f>SUM(T33:T37)</f>
        <v>506272</v>
      </c>
      <c r="U44" s="12">
        <f t="shared" si="57"/>
        <v>541.42525035765379</v>
      </c>
      <c r="V44" s="13">
        <f t="shared" si="58"/>
        <v>4.273377001718582E-2</v>
      </c>
      <c r="W44" s="14">
        <f t="shared" si="59"/>
        <v>4.6106045628090788E-3</v>
      </c>
      <c r="X44" s="12">
        <f t="shared" si="60"/>
        <v>104.64788984263234</v>
      </c>
      <c r="Y44" s="33">
        <f t="shared" si="61"/>
        <v>8.2596791604468769E-3</v>
      </c>
      <c r="Z44" s="14">
        <f t="shared" si="62"/>
        <v>8.9114801734507224E-4</v>
      </c>
      <c r="AA44" s="10"/>
      <c r="AB44" s="10"/>
      <c r="AC44" s="12"/>
      <c r="AD44" s="30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Shachindra Jha</dc:creator>
  <cp:lastModifiedBy>Sachin Jha</cp:lastModifiedBy>
  <dcterms:created xsi:type="dcterms:W3CDTF">2018-11-29T15:51:12Z</dcterms:created>
  <dcterms:modified xsi:type="dcterms:W3CDTF">2019-01-23T01:41:59Z</dcterms:modified>
</cp:coreProperties>
</file>