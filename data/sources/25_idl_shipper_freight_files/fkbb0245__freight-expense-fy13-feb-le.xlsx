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30" windowWidth="15480" windowHeight="11640" activeTab="4"/>
  </bookViews>
  <sheets>
    <sheet name="Pharm Demand" sheetId="1" r:id="rId1"/>
    <sheet name="Pharm Demand b4" sheetId="6" state="hidden" r:id="rId2"/>
    <sheet name="Upload to COV" sheetId="2" r:id="rId3"/>
    <sheet name="Download COV Act" sheetId="7" state="hidden" r:id="rId4"/>
    <sheet name="Download COV" sheetId="8" r:id="rId5"/>
  </sheets>
  <definedNames>
    <definedName name="EssAliasTable" localSheetId="4">"Default"</definedName>
    <definedName name="EssAliasTable" localSheetId="3">"Default"</definedName>
    <definedName name="EssAliasTable" localSheetId="0">"Default"</definedName>
    <definedName name="EssAliasTable" localSheetId="1">"Default"</definedName>
    <definedName name="EssAliasTable" localSheetId="2">"Misc Alias"</definedName>
    <definedName name="EssLatest" localSheetId="4">"Oct"</definedName>
    <definedName name="EssLatest" localSheetId="3">"Oct"</definedName>
    <definedName name="EssLatest" localSheetId="0">"Oct"</definedName>
    <definedName name="EssLatest" localSheetId="1">"Oct"</definedName>
    <definedName name="EssLatest" localSheetId="2">"Oct"</definedName>
    <definedName name="EssOptions" localSheetId="4">"A3100000000111000011001100020_08#missing00"</definedName>
    <definedName name="EssOptions" localSheetId="3">"A1100000000110000011001100020_08#missing00"</definedName>
    <definedName name="EssOptions" localSheetId="0">"A1100000000110000011001100020_08#missing00"</definedName>
    <definedName name="EssOptions" localSheetId="1">"A1100000000110000011001100020_08#missing00"</definedName>
    <definedName name="EssOptions" localSheetId="2">"A1100000000111001000001100020_08#missing00"</definedName>
    <definedName name="EssSamplingValue" localSheetId="4">100</definedName>
    <definedName name="EssSamplingValue" localSheetId="3">100</definedName>
    <definedName name="EssSamplingValue" localSheetId="0">100</definedName>
    <definedName name="EssSamplingValue" localSheetId="1">100</definedName>
    <definedName name="EssSamplingValue" localSheetId="2">100</definedName>
    <definedName name="_xlnm.Print_Area" localSheetId="4">'Download COV'!$D$1:$BC$46</definedName>
    <definedName name="_xlnm.Print_Area" localSheetId="3">'Download COV Act'!$A$1:$G$63</definedName>
    <definedName name="_xlnm.Print_Area" localSheetId="0">'Pharm Demand'!$A$1:$BB$63</definedName>
    <definedName name="_xlnm.Print_Area" localSheetId="1">'Pharm Demand b4'!$A$1:$P$59</definedName>
    <definedName name="_xlnm.Print_Area" localSheetId="2">'Upload to COV'!$A$2:$BB$42</definedName>
    <definedName name="_xlnm.Print_Titles" localSheetId="4">'Download COV'!$A:$B</definedName>
    <definedName name="_xlnm.Print_Titles" localSheetId="0">'Pharm Demand'!$A:$B,'Pharm Demand'!$1:$3</definedName>
  </definedNames>
  <calcPr calcId="125725"/>
</workbook>
</file>

<file path=xl/calcChain.xml><?xml version="1.0" encoding="utf-8"?>
<calcChain xmlns="http://schemas.openxmlformats.org/spreadsheetml/2006/main">
  <c r="AP46" i="8"/>
  <c r="AO46"/>
  <c r="AN46"/>
  <c r="AM46"/>
  <c r="AL46"/>
  <c r="AK46"/>
  <c r="AJ46"/>
  <c r="AI46"/>
  <c r="AH46"/>
  <c r="AG46"/>
  <c r="AF46"/>
  <c r="AE46"/>
  <c r="AD46"/>
  <c r="AC46"/>
  <c r="AB46"/>
  <c r="AA46"/>
  <c r="Z46"/>
  <c r="Y46"/>
  <c r="X46"/>
  <c r="W46"/>
  <c r="V46"/>
  <c r="U46"/>
  <c r="T46"/>
  <c r="S46"/>
  <c r="R46"/>
  <c r="Q46"/>
  <c r="P46"/>
  <c r="O46"/>
  <c r="N46"/>
  <c r="M46"/>
  <c r="L46"/>
  <c r="K46"/>
  <c r="J46"/>
  <c r="I46"/>
  <c r="H46"/>
  <c r="G46"/>
  <c r="F46"/>
  <c r="E46"/>
  <c r="D46"/>
  <c r="N45" i="2"/>
  <c r="M45"/>
  <c r="L45"/>
  <c r="K45"/>
  <c r="J45"/>
  <c r="I45"/>
  <c r="G45"/>
  <c r="AB38"/>
  <c r="AA38"/>
  <c r="Z38"/>
  <c r="Y38"/>
  <c r="X38"/>
  <c r="W38"/>
  <c r="V38"/>
  <c r="U38"/>
  <c r="T38"/>
  <c r="S38"/>
  <c r="R38"/>
  <c r="Q38"/>
  <c r="P38"/>
  <c r="N19"/>
  <c r="N38" s="1"/>
  <c r="M19"/>
  <c r="M38" s="1"/>
  <c r="L19"/>
  <c r="L38" s="1"/>
  <c r="K19"/>
  <c r="K38" s="1"/>
  <c r="J19"/>
  <c r="J38" s="1"/>
  <c r="I19"/>
  <c r="I38" s="1"/>
  <c r="H19"/>
  <c r="H38" s="1"/>
  <c r="G19"/>
  <c r="G38" s="1"/>
  <c r="H45" l="1"/>
  <c r="F38"/>
  <c r="E38"/>
  <c r="D38"/>
  <c r="C38"/>
  <c r="O38" l="1"/>
  <c r="F44" i="1"/>
  <c r="F62" s="1"/>
  <c r="F43"/>
  <c r="F61" s="1"/>
  <c r="F42"/>
  <c r="F60" s="1"/>
  <c r="F41"/>
  <c r="F59" s="1"/>
  <c r="F39"/>
  <c r="F57" s="1"/>
  <c r="F37"/>
  <c r="F55" s="1"/>
  <c r="F36"/>
  <c r="F54" s="1"/>
  <c r="F35"/>
  <c r="F53" s="1"/>
  <c r="F34"/>
  <c r="F52" s="1"/>
  <c r="F32"/>
  <c r="F50" s="1"/>
  <c r="F31"/>
  <c r="F49" s="1"/>
  <c r="F42" i="2"/>
  <c r="F41"/>
  <c r="F40"/>
  <c r="F39"/>
  <c r="F37"/>
  <c r="F36"/>
  <c r="F34"/>
  <c r="F32"/>
  <c r="F31"/>
  <c r="F30"/>
  <c r="F29"/>
  <c r="F27"/>
  <c r="F26"/>
  <c r="F23"/>
  <c r="F22"/>
  <c r="F19"/>
  <c r="F17"/>
  <c r="F15"/>
  <c r="F13"/>
  <c r="F12"/>
  <c r="F11"/>
  <c r="F10"/>
  <c r="F8"/>
  <c r="F7"/>
  <c r="F45" i="1" l="1"/>
  <c r="F63" s="1"/>
  <c r="BB40" i="2"/>
  <c r="BB39"/>
  <c r="BB21"/>
  <c r="BB20"/>
  <c r="AO40"/>
  <c r="AO39"/>
  <c r="AO21"/>
  <c r="AO20"/>
  <c r="AB40"/>
  <c r="AB39"/>
  <c r="AB21"/>
  <c r="AB20"/>
  <c r="O21"/>
  <c r="O20"/>
  <c r="AQ37"/>
  <c r="AR37" s="1"/>
  <c r="AS37" s="1"/>
  <c r="AT37" s="1"/>
  <c r="AU37" s="1"/>
  <c r="AV37" s="1"/>
  <c r="AW37" s="1"/>
  <c r="AX37" s="1"/>
  <c r="AY37" s="1"/>
  <c r="AZ37" s="1"/>
  <c r="BA37" s="1"/>
  <c r="AD37"/>
  <c r="AE37" s="1"/>
  <c r="AF37" s="1"/>
  <c r="AG37" s="1"/>
  <c r="AH37" s="1"/>
  <c r="AI37" s="1"/>
  <c r="AJ37" s="1"/>
  <c r="AK37" s="1"/>
  <c r="AL37" s="1"/>
  <c r="AM37" s="1"/>
  <c r="AN37" s="1"/>
  <c r="E40"/>
  <c r="D40"/>
  <c r="E39"/>
  <c r="D39"/>
  <c r="E37"/>
  <c r="D37"/>
  <c r="C40"/>
  <c r="C39"/>
  <c r="C37"/>
  <c r="E42"/>
  <c r="E41"/>
  <c r="E36"/>
  <c r="E34"/>
  <c r="E32"/>
  <c r="E31"/>
  <c r="E30"/>
  <c r="E29"/>
  <c r="E27"/>
  <c r="E26"/>
  <c r="E42" i="1"/>
  <c r="E19" i="2" s="1"/>
  <c r="D42" i="1"/>
  <c r="C42"/>
  <c r="E44"/>
  <c r="E23" i="2" s="1"/>
  <c r="E43" i="1"/>
  <c r="E22" i="2" s="1"/>
  <c r="E41" i="1"/>
  <c r="E17" i="2" s="1"/>
  <c r="E39" i="1"/>
  <c r="E15" i="2" s="1"/>
  <c r="E37" i="1"/>
  <c r="E13" i="2" s="1"/>
  <c r="E36" i="1"/>
  <c r="E12" i="2" s="1"/>
  <c r="E35" i="1"/>
  <c r="E11" i="2" s="1"/>
  <c r="E34" i="1"/>
  <c r="E10" i="2" s="1"/>
  <c r="E32" i="1"/>
  <c r="E8" i="2" s="1"/>
  <c r="E31" i="1"/>
  <c r="E7" i="2" s="1"/>
  <c r="O40" l="1"/>
  <c r="O39"/>
  <c r="BB37"/>
  <c r="AO37"/>
  <c r="O37"/>
  <c r="E45" i="1"/>
  <c r="BB23"/>
  <c r="AO23"/>
  <c r="AB23"/>
  <c r="O23"/>
  <c r="AB37" i="2" l="1"/>
  <c r="D42"/>
  <c r="D41"/>
  <c r="D36"/>
  <c r="D34"/>
  <c r="D32"/>
  <c r="D31"/>
  <c r="D30"/>
  <c r="D29"/>
  <c r="D27"/>
  <c r="D26"/>
  <c r="D44" i="1" l="1"/>
  <c r="D23" i="2" s="1"/>
  <c r="D43" i="1"/>
  <c r="D22" i="2" s="1"/>
  <c r="D19"/>
  <c r="D41" i="1"/>
  <c r="D17" i="2" s="1"/>
  <c r="D39" i="1"/>
  <c r="D15" i="2" s="1"/>
  <c r="D37" i="1"/>
  <c r="D13" i="2" s="1"/>
  <c r="D36" i="1"/>
  <c r="D12" i="2" s="1"/>
  <c r="D35" i="1"/>
  <c r="D11" i="2" s="1"/>
  <c r="D34" i="1"/>
  <c r="D10" i="2" s="1"/>
  <c r="D32" i="1"/>
  <c r="D8" i="2" s="1"/>
  <c r="D31" i="1"/>
  <c r="D45" l="1"/>
  <c r="D7" i="2"/>
  <c r="BB48" i="1"/>
  <c r="AO48"/>
  <c r="AB48"/>
  <c r="N44"/>
  <c r="M44"/>
  <c r="L44"/>
  <c r="K44"/>
  <c r="J44"/>
  <c r="I44"/>
  <c r="H44"/>
  <c r="G44"/>
  <c r="N43"/>
  <c r="M43"/>
  <c r="L43"/>
  <c r="K43"/>
  <c r="J43"/>
  <c r="I43"/>
  <c r="H43"/>
  <c r="G43"/>
  <c r="N41"/>
  <c r="M41"/>
  <c r="L41"/>
  <c r="K41"/>
  <c r="J41"/>
  <c r="I41"/>
  <c r="H41"/>
  <c r="G41"/>
  <c r="N39"/>
  <c r="M39"/>
  <c r="L39"/>
  <c r="K39"/>
  <c r="J39"/>
  <c r="I39"/>
  <c r="H39"/>
  <c r="G39"/>
  <c r="N37"/>
  <c r="M37"/>
  <c r="L37"/>
  <c r="K37"/>
  <c r="J37"/>
  <c r="I37"/>
  <c r="H37"/>
  <c r="G37"/>
  <c r="N36"/>
  <c r="M36"/>
  <c r="L36"/>
  <c r="K36"/>
  <c r="J36"/>
  <c r="I36"/>
  <c r="H36"/>
  <c r="G36"/>
  <c r="N35"/>
  <c r="M35"/>
  <c r="L35"/>
  <c r="K35"/>
  <c r="J35"/>
  <c r="I35"/>
  <c r="H35"/>
  <c r="G35"/>
  <c r="N34"/>
  <c r="M34"/>
  <c r="L34"/>
  <c r="K34"/>
  <c r="J34"/>
  <c r="I34"/>
  <c r="H34"/>
  <c r="G34"/>
  <c r="N32"/>
  <c r="M32"/>
  <c r="L32"/>
  <c r="K32"/>
  <c r="J32"/>
  <c r="I32"/>
  <c r="H32"/>
  <c r="G32"/>
  <c r="N31"/>
  <c r="M31"/>
  <c r="L31"/>
  <c r="K31"/>
  <c r="J31"/>
  <c r="I31"/>
  <c r="H31"/>
  <c r="G31"/>
  <c r="BA42"/>
  <c r="BA19" i="2" s="1"/>
  <c r="AZ42" i="1"/>
  <c r="AZ19" i="2" s="1"/>
  <c r="AY42" i="1"/>
  <c r="AY60" s="1"/>
  <c r="AX42"/>
  <c r="AX19" i="2" s="1"/>
  <c r="AW42" i="1"/>
  <c r="AW19" i="2" s="1"/>
  <c r="AV42" i="1"/>
  <c r="AV19" i="2" s="1"/>
  <c r="AU42" i="1"/>
  <c r="AU60" s="1"/>
  <c r="AT42"/>
  <c r="AT19" i="2" s="1"/>
  <c r="AS42" i="1"/>
  <c r="AS19" i="2" s="1"/>
  <c r="AR42" i="1"/>
  <c r="AR19" i="2" s="1"/>
  <c r="AQ42" i="1"/>
  <c r="AQ60" s="1"/>
  <c r="AP42"/>
  <c r="AP60" s="1"/>
  <c r="AN42"/>
  <c r="AN19" i="2" s="1"/>
  <c r="AM42" i="1"/>
  <c r="AM60" s="1"/>
  <c r="AL42"/>
  <c r="AL19" i="2" s="1"/>
  <c r="AK42" i="1"/>
  <c r="AK60" s="1"/>
  <c r="AJ42"/>
  <c r="AJ19" i="2" s="1"/>
  <c r="AI42" i="1"/>
  <c r="AI60" s="1"/>
  <c r="AH42"/>
  <c r="AH19" i="2" s="1"/>
  <c r="AG42" i="1"/>
  <c r="AG60" s="1"/>
  <c r="AF42"/>
  <c r="AF19" i="2" s="1"/>
  <c r="AE42" i="1"/>
  <c r="AE60" s="1"/>
  <c r="AD42"/>
  <c r="AD19" i="2" s="1"/>
  <c r="AC42" i="1"/>
  <c r="AC19" i="2" s="1"/>
  <c r="AA60" i="1"/>
  <c r="Z19" i="2"/>
  <c r="Y19"/>
  <c r="X19"/>
  <c r="W60" i="1"/>
  <c r="V19" i="2"/>
  <c r="U19"/>
  <c r="T19"/>
  <c r="S60" i="1"/>
  <c r="R19" i="2"/>
  <c r="Q19"/>
  <c r="P60" i="1"/>
  <c r="C19" i="2"/>
  <c r="O19" l="1"/>
  <c r="I45" i="1"/>
  <c r="M45"/>
  <c r="J45"/>
  <c r="N45"/>
  <c r="H45"/>
  <c r="L45"/>
  <c r="G45"/>
  <c r="K45"/>
  <c r="AZ60"/>
  <c r="AR60"/>
  <c r="R60"/>
  <c r="Z60"/>
  <c r="AV60"/>
  <c r="AE19" i="2"/>
  <c r="AM19"/>
  <c r="X60" i="1"/>
  <c r="AT60"/>
  <c r="AK19" i="2"/>
  <c r="V60" i="1"/>
  <c r="AI19" i="2"/>
  <c r="T60" i="1"/>
  <c r="AX60"/>
  <c r="AG19" i="2"/>
  <c r="AD60" i="1"/>
  <c r="AH60"/>
  <c r="AL60"/>
  <c r="S19" i="2"/>
  <c r="W19"/>
  <c r="AA19"/>
  <c r="AQ19"/>
  <c r="AU19"/>
  <c r="AY19"/>
  <c r="AB42" i="1"/>
  <c r="AO42"/>
  <c r="BB42"/>
  <c r="Q60"/>
  <c r="U60"/>
  <c r="Y60"/>
  <c r="AC60"/>
  <c r="AS60"/>
  <c r="AW60"/>
  <c r="BA60"/>
  <c r="AP19" i="2"/>
  <c r="AF60" i="1"/>
  <c r="AJ60"/>
  <c r="AN60"/>
  <c r="P19" i="2"/>
  <c r="C60" i="1"/>
  <c r="G60"/>
  <c r="K60"/>
  <c r="O60"/>
  <c r="J60"/>
  <c r="N60"/>
  <c r="E60"/>
  <c r="I60"/>
  <c r="M60"/>
  <c r="D60"/>
  <c r="H60"/>
  <c r="L60"/>
  <c r="O42"/>
  <c r="AB19" i="2" l="1"/>
  <c r="BB19"/>
  <c r="AO19"/>
  <c r="AO60" i="1"/>
  <c r="BB60"/>
  <c r="AB60"/>
  <c r="N48"/>
  <c r="N23" i="2"/>
  <c r="N42" s="1"/>
  <c r="N61" i="1"/>
  <c r="N59"/>
  <c r="N57"/>
  <c r="N55"/>
  <c r="N54"/>
  <c r="N11" i="2"/>
  <c r="N30" s="1"/>
  <c r="N52" i="1"/>
  <c r="N50"/>
  <c r="N49"/>
  <c r="BA39"/>
  <c r="AZ39"/>
  <c r="AY39"/>
  <c r="AX39"/>
  <c r="AW39"/>
  <c r="AV39"/>
  <c r="AU39"/>
  <c r="AT39"/>
  <c r="AS39"/>
  <c r="AR39"/>
  <c r="AQ39"/>
  <c r="AP39"/>
  <c r="BA37"/>
  <c r="AZ37"/>
  <c r="AY37"/>
  <c r="AX37"/>
  <c r="AW37"/>
  <c r="AV37"/>
  <c r="AU37"/>
  <c r="AT37"/>
  <c r="AS37"/>
  <c r="AR37"/>
  <c r="AQ37"/>
  <c r="AP37"/>
  <c r="AN39"/>
  <c r="AM39"/>
  <c r="AL39"/>
  <c r="AK39"/>
  <c r="AJ39"/>
  <c r="AI39"/>
  <c r="AH39"/>
  <c r="AG39"/>
  <c r="AF39"/>
  <c r="AE39"/>
  <c r="AD39"/>
  <c r="AC39"/>
  <c r="AN37"/>
  <c r="AM37"/>
  <c r="AL37"/>
  <c r="AK37"/>
  <c r="AJ37"/>
  <c r="AI37"/>
  <c r="AH37"/>
  <c r="AG37"/>
  <c r="AF37"/>
  <c r="AE37"/>
  <c r="AD37"/>
  <c r="AC37"/>
  <c r="AA39"/>
  <c r="Z39"/>
  <c r="Y39"/>
  <c r="X39"/>
  <c r="W39"/>
  <c r="V39"/>
  <c r="U39"/>
  <c r="T39"/>
  <c r="S39"/>
  <c r="R39"/>
  <c r="Q39"/>
  <c r="P39"/>
  <c r="AA37"/>
  <c r="Z37"/>
  <c r="Y37"/>
  <c r="X37"/>
  <c r="W37"/>
  <c r="V37"/>
  <c r="U37"/>
  <c r="T37"/>
  <c r="S37"/>
  <c r="R37"/>
  <c r="Q37"/>
  <c r="P37"/>
  <c r="C36" i="2"/>
  <c r="M48" i="1"/>
  <c r="M62"/>
  <c r="M61"/>
  <c r="M17" i="2"/>
  <c r="M36" s="1"/>
  <c r="M57" i="1"/>
  <c r="M55"/>
  <c r="M54"/>
  <c r="M53"/>
  <c r="M52"/>
  <c r="M50"/>
  <c r="BA41"/>
  <c r="AZ41"/>
  <c r="AY41"/>
  <c r="AX41"/>
  <c r="AW41"/>
  <c r="AV41"/>
  <c r="AU41"/>
  <c r="AT41"/>
  <c r="AS41"/>
  <c r="AR41"/>
  <c r="AQ41"/>
  <c r="AP41"/>
  <c r="AN41"/>
  <c r="AM41"/>
  <c r="AL41"/>
  <c r="AK41"/>
  <c r="AJ41"/>
  <c r="AI41"/>
  <c r="AH41"/>
  <c r="AG41"/>
  <c r="AF41"/>
  <c r="AE41"/>
  <c r="AD41"/>
  <c r="AC41"/>
  <c r="AA41"/>
  <c r="Z41"/>
  <c r="Y41"/>
  <c r="X41"/>
  <c r="W41"/>
  <c r="V41"/>
  <c r="U41"/>
  <c r="T41"/>
  <c r="S41"/>
  <c r="R41"/>
  <c r="Q41"/>
  <c r="P41"/>
  <c r="L17" i="2"/>
  <c r="L36" s="1"/>
  <c r="K17"/>
  <c r="K36" s="1"/>
  <c r="J17"/>
  <c r="J36" s="1"/>
  <c r="I17"/>
  <c r="I36" s="1"/>
  <c r="H17"/>
  <c r="H36" s="1"/>
  <c r="G17"/>
  <c r="G36" s="1"/>
  <c r="C41" i="1"/>
  <c r="L48"/>
  <c r="L62"/>
  <c r="L61"/>
  <c r="L57"/>
  <c r="L55"/>
  <c r="L54"/>
  <c r="L53"/>
  <c r="L52"/>
  <c r="L50"/>
  <c r="K48"/>
  <c r="K62"/>
  <c r="K61"/>
  <c r="K57"/>
  <c r="K13" i="2"/>
  <c r="K32" s="1"/>
  <c r="K54" i="1"/>
  <c r="K53"/>
  <c r="K52"/>
  <c r="K50"/>
  <c r="J23" i="2"/>
  <c r="J42" s="1"/>
  <c r="J22"/>
  <c r="J41" s="1"/>
  <c r="J15"/>
  <c r="J34" s="1"/>
  <c r="J13"/>
  <c r="J32" s="1"/>
  <c r="J12"/>
  <c r="J31" s="1"/>
  <c r="J11"/>
  <c r="J30" s="1"/>
  <c r="J10"/>
  <c r="J29" s="1"/>
  <c r="J8"/>
  <c r="J27" s="1"/>
  <c r="J7"/>
  <c r="J26" s="1"/>
  <c r="I62" i="1"/>
  <c r="I61"/>
  <c r="I57"/>
  <c r="I55"/>
  <c r="I54"/>
  <c r="I53"/>
  <c r="I52"/>
  <c r="I50"/>
  <c r="I49"/>
  <c r="H62"/>
  <c r="H61"/>
  <c r="H57"/>
  <c r="H55"/>
  <c r="H54"/>
  <c r="H53"/>
  <c r="H52"/>
  <c r="H50"/>
  <c r="H49"/>
  <c r="G23" i="2"/>
  <c r="G42" s="1"/>
  <c r="G22"/>
  <c r="G41" s="1"/>
  <c r="G15"/>
  <c r="G34" s="1"/>
  <c r="G13"/>
  <c r="G32" s="1"/>
  <c r="G12"/>
  <c r="G31" s="1"/>
  <c r="G11"/>
  <c r="G30" s="1"/>
  <c r="G10"/>
  <c r="G29" s="1"/>
  <c r="G8"/>
  <c r="G27" s="1"/>
  <c r="G49" i="1"/>
  <c r="M63" l="1"/>
  <c r="R17" i="2"/>
  <c r="R36" s="1"/>
  <c r="R59" i="1"/>
  <c r="V17" i="2"/>
  <c r="V36" s="1"/>
  <c r="V59" i="1"/>
  <c r="Z17" i="2"/>
  <c r="Z36" s="1"/>
  <c r="Z59" i="1"/>
  <c r="AE17" i="2"/>
  <c r="AE36" s="1"/>
  <c r="AE59" i="1"/>
  <c r="AI17" i="2"/>
  <c r="AI36" s="1"/>
  <c r="AI59" i="1"/>
  <c r="AM17" i="2"/>
  <c r="AM36" s="1"/>
  <c r="AM59" i="1"/>
  <c r="AR17" i="2"/>
  <c r="AR36" s="1"/>
  <c r="AR59" i="1"/>
  <c r="AV17" i="2"/>
  <c r="AV36" s="1"/>
  <c r="AV59" i="1"/>
  <c r="AZ17" i="2"/>
  <c r="AZ36" s="1"/>
  <c r="AZ59" i="1"/>
  <c r="Q17" i="2"/>
  <c r="Q36" s="1"/>
  <c r="Q59" i="1"/>
  <c r="U17" i="2"/>
  <c r="U36" s="1"/>
  <c r="U59" i="1"/>
  <c r="Y17" i="2"/>
  <c r="Y36" s="1"/>
  <c r="Y59" i="1"/>
  <c r="AD17" i="2"/>
  <c r="AD36" s="1"/>
  <c r="AD59" i="1"/>
  <c r="AH17" i="2"/>
  <c r="AH36" s="1"/>
  <c r="AH59" i="1"/>
  <c r="AL17" i="2"/>
  <c r="AL36" s="1"/>
  <c r="AL59" i="1"/>
  <c r="AQ17" i="2"/>
  <c r="AQ36" s="1"/>
  <c r="AQ59" i="1"/>
  <c r="AU17" i="2"/>
  <c r="AU36" s="1"/>
  <c r="AU59" i="1"/>
  <c r="AY17" i="2"/>
  <c r="AY36" s="1"/>
  <c r="AY59" i="1"/>
  <c r="AB41"/>
  <c r="P59"/>
  <c r="T17" i="2"/>
  <c r="T36" s="1"/>
  <c r="T59" i="1"/>
  <c r="X17" i="2"/>
  <c r="X36" s="1"/>
  <c r="X59" i="1"/>
  <c r="AO41"/>
  <c r="AC59"/>
  <c r="AG17" i="2"/>
  <c r="AG36" s="1"/>
  <c r="AG59" i="1"/>
  <c r="AK17" i="2"/>
  <c r="AK36" s="1"/>
  <c r="AK59" i="1"/>
  <c r="BB41"/>
  <c r="AP59"/>
  <c r="AT17" i="2"/>
  <c r="AT36" s="1"/>
  <c r="AT59" i="1"/>
  <c r="AX17" i="2"/>
  <c r="AX36" s="1"/>
  <c r="AX59" i="1"/>
  <c r="S17" i="2"/>
  <c r="S36" s="1"/>
  <c r="S59" i="1"/>
  <c r="W17" i="2"/>
  <c r="W36" s="1"/>
  <c r="W59" i="1"/>
  <c r="AA17" i="2"/>
  <c r="AA36" s="1"/>
  <c r="AA59" i="1"/>
  <c r="AF17" i="2"/>
  <c r="AF36" s="1"/>
  <c r="AF59" i="1"/>
  <c r="AJ17" i="2"/>
  <c r="AJ36" s="1"/>
  <c r="AJ59" i="1"/>
  <c r="AN17" i="2"/>
  <c r="AN36" s="1"/>
  <c r="AN59" i="1"/>
  <c r="AS17" i="2"/>
  <c r="AS36" s="1"/>
  <c r="AS59" i="1"/>
  <c r="AW17" i="2"/>
  <c r="AW36" s="1"/>
  <c r="AW59" i="1"/>
  <c r="BA17" i="2"/>
  <c r="BA36" s="1"/>
  <c r="BA59" i="1"/>
  <c r="C17" i="2"/>
  <c r="O59" i="1"/>
  <c r="N62"/>
  <c r="N8" i="2"/>
  <c r="N27" s="1"/>
  <c r="N10"/>
  <c r="N29" s="1"/>
  <c r="N12"/>
  <c r="N31" s="1"/>
  <c r="N15"/>
  <c r="N34" s="1"/>
  <c r="N22"/>
  <c r="N41" s="1"/>
  <c r="M8"/>
  <c r="M27" s="1"/>
  <c r="M10"/>
  <c r="M29" s="1"/>
  <c r="M12"/>
  <c r="M31" s="1"/>
  <c r="M15"/>
  <c r="M34" s="1"/>
  <c r="M22"/>
  <c r="M41" s="1"/>
  <c r="N53" i="1"/>
  <c r="N7" i="2"/>
  <c r="N26" s="1"/>
  <c r="N13"/>
  <c r="N32" s="1"/>
  <c r="N17"/>
  <c r="N36" s="1"/>
  <c r="O36" s="1"/>
  <c r="M7"/>
  <c r="M26" s="1"/>
  <c r="M11"/>
  <c r="M30" s="1"/>
  <c r="M13"/>
  <c r="M32" s="1"/>
  <c r="M23"/>
  <c r="M42" s="1"/>
  <c r="N63" i="1"/>
  <c r="AP17" i="2"/>
  <c r="AC17"/>
  <c r="P17"/>
  <c r="J59" i="1"/>
  <c r="M59"/>
  <c r="E59"/>
  <c r="I59"/>
  <c r="O41"/>
  <c r="D59"/>
  <c r="H59"/>
  <c r="L59"/>
  <c r="M49"/>
  <c r="C59"/>
  <c r="G59"/>
  <c r="K59"/>
  <c r="L63"/>
  <c r="L10" i="2"/>
  <c r="L29" s="1"/>
  <c r="L23"/>
  <c r="L42" s="1"/>
  <c r="L13"/>
  <c r="L32" s="1"/>
  <c r="L22"/>
  <c r="L41" s="1"/>
  <c r="L8"/>
  <c r="L27" s="1"/>
  <c r="L12"/>
  <c r="L31" s="1"/>
  <c r="L7"/>
  <c r="L26" s="1"/>
  <c r="L11"/>
  <c r="L30" s="1"/>
  <c r="L15"/>
  <c r="L34" s="1"/>
  <c r="L49" i="1"/>
  <c r="K63"/>
  <c r="K55"/>
  <c r="K7" i="2"/>
  <c r="K26" s="1"/>
  <c r="K11"/>
  <c r="K30" s="1"/>
  <c r="K15"/>
  <c r="K34" s="1"/>
  <c r="K10"/>
  <c r="K29" s="1"/>
  <c r="K23"/>
  <c r="K42" s="1"/>
  <c r="K22"/>
  <c r="K41" s="1"/>
  <c r="K8"/>
  <c r="K27" s="1"/>
  <c r="K12"/>
  <c r="K31" s="1"/>
  <c r="K49" i="1"/>
  <c r="I7" i="2"/>
  <c r="I26" s="1"/>
  <c r="I11"/>
  <c r="I30" s="1"/>
  <c r="I13"/>
  <c r="I32" s="1"/>
  <c r="I15"/>
  <c r="I34" s="1"/>
  <c r="I22"/>
  <c r="I41" s="1"/>
  <c r="H7"/>
  <c r="H26" s="1"/>
  <c r="H11"/>
  <c r="H30" s="1"/>
  <c r="H13"/>
  <c r="H32" s="1"/>
  <c r="H15"/>
  <c r="H34" s="1"/>
  <c r="H22"/>
  <c r="H41" s="1"/>
  <c r="I8"/>
  <c r="I27" s="1"/>
  <c r="I10"/>
  <c r="I29" s="1"/>
  <c r="I12"/>
  <c r="I31" s="1"/>
  <c r="I23"/>
  <c r="I42" s="1"/>
  <c r="H8"/>
  <c r="H27" s="1"/>
  <c r="H10"/>
  <c r="H29" s="1"/>
  <c r="H12"/>
  <c r="H31" s="1"/>
  <c r="H23"/>
  <c r="H42" s="1"/>
  <c r="G57" i="1"/>
  <c r="G53"/>
  <c r="G50"/>
  <c r="G54"/>
  <c r="G55"/>
  <c r="G61"/>
  <c r="G52"/>
  <c r="G62"/>
  <c r="I63"/>
  <c r="H63"/>
  <c r="G63"/>
  <c r="G7" i="2"/>
  <c r="G26" s="1"/>
  <c r="E61" i="1"/>
  <c r="D61"/>
  <c r="C43"/>
  <c r="C22" i="2" s="1"/>
  <c r="E57" i="1"/>
  <c r="D57"/>
  <c r="C39"/>
  <c r="C15" i="2" s="1"/>
  <c r="E55" i="1"/>
  <c r="D55"/>
  <c r="C37"/>
  <c r="C13" i="2" s="1"/>
  <c r="E54" i="1"/>
  <c r="D54"/>
  <c r="C36"/>
  <c r="C12" i="2" s="1"/>
  <c r="E53" i="1"/>
  <c r="D53"/>
  <c r="C35"/>
  <c r="C11" i="2" s="1"/>
  <c r="E52" i="1"/>
  <c r="D52"/>
  <c r="C34"/>
  <c r="C10" i="2" s="1"/>
  <c r="E50" i="1"/>
  <c r="D50"/>
  <c r="C32"/>
  <c r="C8" i="2" s="1"/>
  <c r="C42"/>
  <c r="C41"/>
  <c r="C34"/>
  <c r="C32"/>
  <c r="C31"/>
  <c r="C30"/>
  <c r="C29"/>
  <c r="C27"/>
  <c r="O30" l="1"/>
  <c r="O41"/>
  <c r="AP36"/>
  <c r="BB36" s="1"/>
  <c r="BB17"/>
  <c r="O34"/>
  <c r="O32"/>
  <c r="O31"/>
  <c r="AC36"/>
  <c r="AO36" s="1"/>
  <c r="AO17"/>
  <c r="P36"/>
  <c r="AB36" s="1"/>
  <c r="AB17"/>
  <c r="O17"/>
  <c r="O29"/>
  <c r="O27"/>
  <c r="O8"/>
  <c r="O10"/>
  <c r="O11"/>
  <c r="O12"/>
  <c r="O13"/>
  <c r="O15"/>
  <c r="O22"/>
  <c r="BB59" i="1"/>
  <c r="AB59"/>
  <c r="AO59"/>
  <c r="O50"/>
  <c r="O52"/>
  <c r="O53"/>
  <c r="O54"/>
  <c r="O55"/>
  <c r="O57"/>
  <c r="O61"/>
  <c r="C50"/>
  <c r="C52"/>
  <c r="C53"/>
  <c r="C54"/>
  <c r="C55"/>
  <c r="C57"/>
  <c r="C61"/>
  <c r="O42" i="2"/>
  <c r="J49" i="1"/>
  <c r="J53"/>
  <c r="J54"/>
  <c r="J50"/>
  <c r="J55"/>
  <c r="J52"/>
  <c r="C26" i="2"/>
  <c r="E62" i="1"/>
  <c r="D62"/>
  <c r="E49"/>
  <c r="D49"/>
  <c r="C44"/>
  <c r="C23" i="2" s="1"/>
  <c r="C31" i="1"/>
  <c r="O23" i="2" l="1"/>
  <c r="O26"/>
  <c r="O62" i="1"/>
  <c r="O49"/>
  <c r="C62"/>
  <c r="C49"/>
  <c r="J62"/>
  <c r="J57"/>
  <c r="J61"/>
  <c r="BB24" l="1"/>
  <c r="AO24"/>
  <c r="AB24"/>
  <c r="O24" l="1"/>
  <c r="C7" i="2" l="1"/>
  <c r="O7" s="1"/>
  <c r="O45" s="1"/>
  <c r="A23"/>
  <c r="A8"/>
  <c r="A7"/>
  <c r="B31" i="7"/>
  <c r="B35" s="1"/>
  <c r="O27" i="6"/>
  <c r="B29"/>
  <c r="D33" s="1"/>
  <c r="B30"/>
  <c r="C54" s="1"/>
  <c r="K38"/>
  <c r="D43"/>
  <c r="E43"/>
  <c r="F43"/>
  <c r="G43"/>
  <c r="H43"/>
  <c r="I43"/>
  <c r="J43"/>
  <c r="K43"/>
  <c r="L43"/>
  <c r="M43"/>
  <c r="N43"/>
  <c r="I44"/>
  <c r="J44"/>
  <c r="K44"/>
  <c r="L44"/>
  <c r="M44"/>
  <c r="N44"/>
  <c r="N49"/>
  <c r="F54"/>
  <c r="O55"/>
  <c r="C56"/>
  <c r="D56"/>
  <c r="E56"/>
  <c r="F56"/>
  <c r="G56"/>
  <c r="H56"/>
  <c r="I56"/>
  <c r="J56"/>
  <c r="K56"/>
  <c r="L56"/>
  <c r="M56"/>
  <c r="N56"/>
  <c r="O57"/>
  <c r="C58"/>
  <c r="D58"/>
  <c r="E58"/>
  <c r="F58"/>
  <c r="G58"/>
  <c r="H58"/>
  <c r="I58"/>
  <c r="J58"/>
  <c r="K58"/>
  <c r="L58"/>
  <c r="M58"/>
  <c r="N58"/>
  <c r="P59"/>
  <c r="F51" l="1"/>
  <c r="N45"/>
  <c r="C40"/>
  <c r="J52"/>
  <c r="F47"/>
  <c r="G41"/>
  <c r="G35"/>
  <c r="N53"/>
  <c r="J48"/>
  <c r="K42"/>
  <c r="G37"/>
  <c r="N52"/>
  <c r="J51"/>
  <c r="F50"/>
  <c r="N48"/>
  <c r="J47"/>
  <c r="F46"/>
  <c r="K41"/>
  <c r="G40"/>
  <c r="C39"/>
  <c r="K37"/>
  <c r="C36"/>
  <c r="F53"/>
  <c r="N51"/>
  <c r="J50"/>
  <c r="F49"/>
  <c r="N47"/>
  <c r="J46"/>
  <c r="F45"/>
  <c r="C42"/>
  <c r="K40"/>
  <c r="G39"/>
  <c r="C38"/>
  <c r="I36"/>
  <c r="M33"/>
  <c r="J53"/>
  <c r="F52"/>
  <c r="N50"/>
  <c r="J49"/>
  <c r="F48"/>
  <c r="N46"/>
  <c r="J45"/>
  <c r="G42"/>
  <c r="C41"/>
  <c r="K39"/>
  <c r="G38"/>
  <c r="N36"/>
  <c r="L34"/>
  <c r="K53"/>
  <c r="G53"/>
  <c r="C53"/>
  <c r="K52"/>
  <c r="G52"/>
  <c r="C52"/>
  <c r="K51"/>
  <c r="G51"/>
  <c r="C51"/>
  <c r="K50"/>
  <c r="G50"/>
  <c r="C50"/>
  <c r="K49"/>
  <c r="G49"/>
  <c r="C49"/>
  <c r="K48"/>
  <c r="G48"/>
  <c r="C48"/>
  <c r="K47"/>
  <c r="G47"/>
  <c r="C47"/>
  <c r="K46"/>
  <c r="G46"/>
  <c r="C46"/>
  <c r="K45"/>
  <c r="G45"/>
  <c r="C45"/>
  <c r="L42"/>
  <c r="H42"/>
  <c r="D42"/>
  <c r="L41"/>
  <c r="H41"/>
  <c r="D41"/>
  <c r="L40"/>
  <c r="H40"/>
  <c r="D40"/>
  <c r="L39"/>
  <c r="H39"/>
  <c r="D39"/>
  <c r="L38"/>
  <c r="H38"/>
  <c r="D38"/>
  <c r="L37"/>
  <c r="H37"/>
  <c r="D37"/>
  <c r="J36"/>
  <c r="E36"/>
  <c r="H35"/>
  <c r="M34"/>
  <c r="D34"/>
  <c r="L53"/>
  <c r="H53"/>
  <c r="D53"/>
  <c r="L52"/>
  <c r="H52"/>
  <c r="D52"/>
  <c r="L51"/>
  <c r="H51"/>
  <c r="D51"/>
  <c r="L50"/>
  <c r="H50"/>
  <c r="D50"/>
  <c r="L49"/>
  <c r="H49"/>
  <c r="D49"/>
  <c r="L48"/>
  <c r="H48"/>
  <c r="D48"/>
  <c r="L47"/>
  <c r="H47"/>
  <c r="D47"/>
  <c r="L46"/>
  <c r="H46"/>
  <c r="D46"/>
  <c r="L45"/>
  <c r="H45"/>
  <c r="D45"/>
  <c r="M42"/>
  <c r="I42"/>
  <c r="E42"/>
  <c r="M41"/>
  <c r="I41"/>
  <c r="E41"/>
  <c r="M40"/>
  <c r="I40"/>
  <c r="E40"/>
  <c r="M39"/>
  <c r="I39"/>
  <c r="E39"/>
  <c r="M38"/>
  <c r="I38"/>
  <c r="E38"/>
  <c r="M37"/>
  <c r="I37"/>
  <c r="E37"/>
  <c r="K36"/>
  <c r="F36"/>
  <c r="K35"/>
  <c r="C35"/>
  <c r="H34"/>
  <c r="E33"/>
  <c r="M53"/>
  <c r="I53"/>
  <c r="E53"/>
  <c r="M52"/>
  <c r="I52"/>
  <c r="E52"/>
  <c r="M51"/>
  <c r="I51"/>
  <c r="E51"/>
  <c r="M50"/>
  <c r="I50"/>
  <c r="E50"/>
  <c r="M49"/>
  <c r="I49"/>
  <c r="E49"/>
  <c r="M48"/>
  <c r="I48"/>
  <c r="E48"/>
  <c r="M47"/>
  <c r="I47"/>
  <c r="E47"/>
  <c r="M46"/>
  <c r="I46"/>
  <c r="E46"/>
  <c r="M45"/>
  <c r="I45"/>
  <c r="E45"/>
  <c r="N42"/>
  <c r="J42"/>
  <c r="F42"/>
  <c r="N41"/>
  <c r="J41"/>
  <c r="F41"/>
  <c r="N40"/>
  <c r="J40"/>
  <c r="F40"/>
  <c r="N39"/>
  <c r="J39"/>
  <c r="F39"/>
  <c r="N38"/>
  <c r="J38"/>
  <c r="F38"/>
  <c r="N37"/>
  <c r="J37"/>
  <c r="F37"/>
  <c r="M36"/>
  <c r="G36"/>
  <c r="L35"/>
  <c r="D35"/>
  <c r="I34"/>
  <c r="I33"/>
  <c r="J54"/>
  <c r="N54"/>
  <c r="O43"/>
  <c r="O56"/>
  <c r="D63" i="1"/>
  <c r="C45"/>
  <c r="J63"/>
  <c r="G54" i="6"/>
  <c r="O52"/>
  <c r="L54"/>
  <c r="H54"/>
  <c r="D54"/>
  <c r="O45"/>
  <c r="E63" i="1"/>
  <c r="K54" i="6"/>
  <c r="M54"/>
  <c r="I54"/>
  <c r="E54"/>
  <c r="O48"/>
  <c r="O44"/>
  <c r="O42"/>
  <c r="E34"/>
  <c r="N33"/>
  <c r="J33"/>
  <c r="F33"/>
  <c r="C37"/>
  <c r="L36"/>
  <c r="H36"/>
  <c r="D36"/>
  <c r="M35"/>
  <c r="I35"/>
  <c r="E35"/>
  <c r="N34"/>
  <c r="J34"/>
  <c r="F34"/>
  <c r="K33"/>
  <c r="G33"/>
  <c r="C33"/>
  <c r="N35"/>
  <c r="J35"/>
  <c r="F35"/>
  <c r="K34"/>
  <c r="G34"/>
  <c r="C34"/>
  <c r="L33"/>
  <c r="H33"/>
  <c r="O63" i="1" l="1"/>
  <c r="C63"/>
  <c r="O53" i="6"/>
  <c r="O38"/>
  <c r="O40"/>
  <c r="O47"/>
  <c r="O51"/>
  <c r="O41"/>
  <c r="O37"/>
  <c r="O50"/>
  <c r="O39"/>
  <c r="O46"/>
  <c r="O49"/>
  <c r="D59"/>
  <c r="H59"/>
  <c r="M59"/>
  <c r="J59"/>
  <c r="I59"/>
  <c r="O54"/>
  <c r="G59"/>
  <c r="C59"/>
  <c r="O33"/>
  <c r="L59"/>
  <c r="N59"/>
  <c r="K59"/>
  <c r="O35"/>
  <c r="F59"/>
  <c r="O34"/>
  <c r="O36"/>
  <c r="E59"/>
  <c r="O59" l="1"/>
  <c r="AS32" i="1"/>
  <c r="AS8" i="2" s="1"/>
  <c r="AS27" s="1"/>
  <c r="AD34" i="1"/>
  <c r="AD10" i="2" s="1"/>
  <c r="AD29" s="1"/>
  <c r="AV44" i="1"/>
  <c r="AV23" i="2" s="1"/>
  <c r="AV42" s="1"/>
  <c r="S13"/>
  <c r="S32" s="1"/>
  <c r="S44" i="1"/>
  <c r="S62" s="1"/>
  <c r="AA55"/>
  <c r="AA13" i="2"/>
  <c r="AA32" s="1"/>
  <c r="BA55" i="1"/>
  <c r="BA13" i="2"/>
  <c r="BA32" s="1"/>
  <c r="AG34" i="1"/>
  <c r="AG52" s="1"/>
  <c r="V57"/>
  <c r="Z43"/>
  <c r="Z22" i="2" s="1"/>
  <c r="Z41" s="1"/>
  <c r="AX32" i="1"/>
  <c r="AX8" i="2" s="1"/>
  <c r="AX27" s="1"/>
  <c r="W43" i="1"/>
  <c r="W22" i="2" s="1"/>
  <c r="W41" s="1"/>
  <c r="X34" i="1"/>
  <c r="X52" s="1"/>
  <c r="AJ35"/>
  <c r="AJ53" s="1"/>
  <c r="V43"/>
  <c r="V22" i="2" s="1"/>
  <c r="V41" s="1"/>
  <c r="AF13"/>
  <c r="AF32" s="1"/>
  <c r="S15"/>
  <c r="S34" s="1"/>
  <c r="AJ34" i="1"/>
  <c r="AJ52" s="1"/>
  <c r="X36"/>
  <c r="X54" s="1"/>
  <c r="AD35"/>
  <c r="AD53" s="1"/>
  <c r="AI15" i="2"/>
  <c r="AI34" s="1"/>
  <c r="S34" i="1"/>
  <c r="S52" s="1"/>
  <c r="R35"/>
  <c r="R53" s="1"/>
  <c r="AG43"/>
  <c r="AG22" i="2" s="1"/>
  <c r="AG41" s="1"/>
  <c r="AW57" i="1"/>
  <c r="AV31"/>
  <c r="AV49" s="1"/>
  <c r="AE34"/>
  <c r="AE10" i="2" s="1"/>
  <c r="AE29" s="1"/>
  <c r="AU35" i="1"/>
  <c r="AU11" i="2" s="1"/>
  <c r="AU30" s="1"/>
  <c r="AI31" i="1"/>
  <c r="AI49" s="1"/>
  <c r="AI32"/>
  <c r="AI8" i="2" s="1"/>
  <c r="AI27" s="1"/>
  <c r="AD36" i="1"/>
  <c r="AD54" s="1"/>
  <c r="W57"/>
  <c r="AX44"/>
  <c r="AX62" s="1"/>
  <c r="AS36"/>
  <c r="AS54" s="1"/>
  <c r="Q36"/>
  <c r="Q12" i="2" s="1"/>
  <c r="Q31" s="1"/>
  <c r="AL32" i="1"/>
  <c r="AL50" s="1"/>
  <c r="AA43"/>
  <c r="AA61" s="1"/>
  <c r="AW43"/>
  <c r="AW22" i="2" s="1"/>
  <c r="AW41" s="1"/>
  <c r="AR35" i="1"/>
  <c r="AR53" s="1"/>
  <c r="AQ31"/>
  <c r="AQ7" i="2" s="1"/>
  <c r="AQ26" s="1"/>
  <c r="AR32" i="1"/>
  <c r="AR8" i="2" s="1"/>
  <c r="AR27" s="1"/>
  <c r="AF57" i="1"/>
  <c r="T44"/>
  <c r="T23" i="2" s="1"/>
  <c r="T42" s="1"/>
  <c r="BA31" i="1"/>
  <c r="BA49" s="1"/>
  <c r="AL35"/>
  <c r="AL11" i="2" s="1"/>
  <c r="AL30" s="1"/>
  <c r="AY36" i="1"/>
  <c r="AY54" s="1"/>
  <c r="BA36"/>
  <c r="BA54" s="1"/>
  <c r="V34"/>
  <c r="V10" i="2" s="1"/>
  <c r="V29" s="1"/>
  <c r="AV34" i="1"/>
  <c r="AV10" i="2" s="1"/>
  <c r="AV29" s="1"/>
  <c r="R44" i="1"/>
  <c r="R62" s="1"/>
  <c r="U35"/>
  <c r="U53" s="1"/>
  <c r="T32"/>
  <c r="T50" s="1"/>
  <c r="AU44"/>
  <c r="AU23" i="2" s="1"/>
  <c r="AU42" s="1"/>
  <c r="W34" i="1"/>
  <c r="W52" s="1"/>
  <c r="AI34"/>
  <c r="AI52" s="1"/>
  <c r="AD31"/>
  <c r="AV32"/>
  <c r="AV50" s="1"/>
  <c r="Q43"/>
  <c r="Q22" i="2" s="1"/>
  <c r="Q41" s="1"/>
  <c r="AM34" i="1"/>
  <c r="AM52" s="1"/>
  <c r="AL44"/>
  <c r="AL62" s="1"/>
  <c r="AT57"/>
  <c r="Z34"/>
  <c r="Z10" i="2" s="1"/>
  <c r="Z29" s="1"/>
  <c r="AX55" i="1"/>
  <c r="AT36"/>
  <c r="AT12" i="2" s="1"/>
  <c r="AT31" s="1"/>
  <c r="AH44" i="1"/>
  <c r="AH23" i="2" s="1"/>
  <c r="AH42" s="1"/>
  <c r="AJ36" i="1"/>
  <c r="AJ12" i="2" s="1"/>
  <c r="AJ31" s="1"/>
  <c r="AZ35" i="1"/>
  <c r="AZ53" s="1"/>
  <c r="U55"/>
  <c r="T36"/>
  <c r="T12" i="2" s="1"/>
  <c r="T31" s="1"/>
  <c r="AQ15"/>
  <c r="AQ34" s="1"/>
  <c r="AV43" i="1"/>
  <c r="AV61" s="1"/>
  <c r="AN15" i="2"/>
  <c r="AN34" s="1"/>
  <c r="AL36" i="1"/>
  <c r="AL54" s="1"/>
  <c r="AM36"/>
  <c r="AM12" i="2" s="1"/>
  <c r="AM31" s="1"/>
  <c r="AV55" i="1"/>
  <c r="AW31"/>
  <c r="AW49" s="1"/>
  <c r="R43"/>
  <c r="R61" s="1"/>
  <c r="AS31"/>
  <c r="AS7" i="2" s="1"/>
  <c r="AS26" s="1"/>
  <c r="R36" i="1"/>
  <c r="R54" s="1"/>
  <c r="V32"/>
  <c r="V8" i="2" s="1"/>
  <c r="V27" s="1"/>
  <c r="AT43" i="1"/>
  <c r="AT61" s="1"/>
  <c r="AK34"/>
  <c r="AK52" s="1"/>
  <c r="AY32"/>
  <c r="AY50" s="1"/>
  <c r="V31"/>
  <c r="V49" s="1"/>
  <c r="BA43"/>
  <c r="BA61" s="1"/>
  <c r="AS35"/>
  <c r="AS11" i="2" s="1"/>
  <c r="AS30" s="1"/>
  <c r="T13"/>
  <c r="T32" s="1"/>
  <c r="AT32" i="1"/>
  <c r="AT50" s="1"/>
  <c r="AE44"/>
  <c r="AE62" s="1"/>
  <c r="AX36"/>
  <c r="AX54" s="1"/>
  <c r="BA44"/>
  <c r="BA62" s="1"/>
  <c r="S36"/>
  <c r="S54" s="1"/>
  <c r="AJ31"/>
  <c r="AJ49" s="1"/>
  <c r="AZ32"/>
  <c r="AZ50" s="1"/>
  <c r="AH57"/>
  <c r="AF36"/>
  <c r="AF12" i="2" s="1"/>
  <c r="AF31" s="1"/>
  <c r="AN44" i="1"/>
  <c r="AN62" s="1"/>
  <c r="AG32"/>
  <c r="AG50" s="1"/>
  <c r="AT44"/>
  <c r="AT62" s="1"/>
  <c r="AW34"/>
  <c r="AW52" s="1"/>
  <c r="AG35"/>
  <c r="AG53" s="1"/>
  <c r="S35"/>
  <c r="S11" i="2" s="1"/>
  <c r="S30" s="1"/>
  <c r="AR43" i="1"/>
  <c r="AR61" s="1"/>
  <c r="AE31"/>
  <c r="AE7" i="2" s="1"/>
  <c r="AE26" s="1"/>
  <c r="AM44" i="1"/>
  <c r="AM62" s="1"/>
  <c r="AK36"/>
  <c r="AK54" s="1"/>
  <c r="AS15" i="2"/>
  <c r="AS34" s="1"/>
  <c r="AD57" i="1"/>
  <c r="U31"/>
  <c r="U49" s="1"/>
  <c r="AK31"/>
  <c r="AK7" i="2" s="1"/>
  <c r="AK26" s="1"/>
  <c r="AY55" i="1"/>
  <c r="AH36"/>
  <c r="AH54" s="1"/>
  <c r="AL55"/>
  <c r="AH55"/>
  <c r="Z32"/>
  <c r="Z50" s="1"/>
  <c r="AW44"/>
  <c r="AW62" s="1"/>
  <c r="AY31"/>
  <c r="AX43"/>
  <c r="AX61" s="1"/>
  <c r="AU31"/>
  <c r="AU49" s="1"/>
  <c r="AJ43"/>
  <c r="AJ61" s="1"/>
  <c r="U32"/>
  <c r="U50" s="1"/>
  <c r="Q44"/>
  <c r="Q23" i="2" s="1"/>
  <c r="Q42" s="1"/>
  <c r="AX35" i="1"/>
  <c r="AX53" s="1"/>
  <c r="AY44"/>
  <c r="AY62" s="1"/>
  <c r="AL15" i="2"/>
  <c r="AL34" s="1"/>
  <c r="AZ44" i="1"/>
  <c r="AZ62" s="1"/>
  <c r="AG36"/>
  <c r="AG12" i="2" s="1"/>
  <c r="AG31" s="1"/>
  <c r="AL31" i="1"/>
  <c r="AL7" i="2" s="1"/>
  <c r="AL26" s="1"/>
  <c r="U43" i="1"/>
  <c r="U61" s="1"/>
  <c r="BA32"/>
  <c r="BA50" s="1"/>
  <c r="AS44"/>
  <c r="AS23" i="2" s="1"/>
  <c r="AS42" s="1"/>
  <c r="AT34" i="1"/>
  <c r="AT52" s="1"/>
  <c r="Y55"/>
  <c r="BA34"/>
  <c r="BA52" s="1"/>
  <c r="U57"/>
  <c r="AF34"/>
  <c r="AF10" i="2" s="1"/>
  <c r="AF29" s="1"/>
  <c r="AN43" i="1"/>
  <c r="AN22" i="2" s="1"/>
  <c r="AN41" s="1"/>
  <c r="U36" i="1"/>
  <c r="U54" s="1"/>
  <c r="W31"/>
  <c r="W49" s="1"/>
  <c r="AZ34"/>
  <c r="AZ52" s="1"/>
  <c r="AV35"/>
  <c r="AV53" s="1"/>
  <c r="AI36"/>
  <c r="AI54" s="1"/>
  <c r="AZ36"/>
  <c r="AZ54" s="1"/>
  <c r="Y35"/>
  <c r="Y53" s="1"/>
  <c r="Y43"/>
  <c r="Y61" s="1"/>
  <c r="Y31"/>
  <c r="Y49" s="1"/>
  <c r="Q35"/>
  <c r="Q53" s="1"/>
  <c r="S31"/>
  <c r="T57"/>
  <c r="AR34"/>
  <c r="AR52" s="1"/>
  <c r="AH32"/>
  <c r="AH50" s="1"/>
  <c r="U34"/>
  <c r="U52" s="1"/>
  <c r="Y34"/>
  <c r="Y52" s="1"/>
  <c r="AW35"/>
  <c r="AW11" i="2" s="1"/>
  <c r="AW30" s="1"/>
  <c r="AQ44" i="1"/>
  <c r="AQ62" s="1"/>
  <c r="AR31"/>
  <c r="AR49" s="1"/>
  <c r="AI13" i="2"/>
  <c r="AI32" s="1"/>
  <c r="AJ32" i="1"/>
  <c r="AU43"/>
  <c r="AU61" s="1"/>
  <c r="R34"/>
  <c r="R52" s="1"/>
  <c r="AZ43"/>
  <c r="AZ61" s="1"/>
  <c r="AX15" i="2"/>
  <c r="AX34" s="1"/>
  <c r="X44" i="1"/>
  <c r="X62" s="1"/>
  <c r="AA57"/>
  <c r="Q34"/>
  <c r="Q52" s="1"/>
  <c r="W35"/>
  <c r="W11" i="2" s="1"/>
  <c r="W30" s="1"/>
  <c r="AL43" i="1"/>
  <c r="AL61" s="1"/>
  <c r="Z35"/>
  <c r="Z53" s="1"/>
  <c r="R55"/>
  <c r="AU55"/>
  <c r="Z31"/>
  <c r="Z49" s="1"/>
  <c r="AP36"/>
  <c r="Z57"/>
  <c r="AY35"/>
  <c r="AY11" i="2" s="1"/>
  <c r="AY30" s="1"/>
  <c r="AM13"/>
  <c r="AM32" s="1"/>
  <c r="AF32" i="1"/>
  <c r="AF50" s="1"/>
  <c r="X57"/>
  <c r="AJ57"/>
  <c r="AG57"/>
  <c r="V44"/>
  <c r="V62" s="1"/>
  <c r="AJ55"/>
  <c r="AN36"/>
  <c r="AN54" s="1"/>
  <c r="AE36"/>
  <c r="AE54" s="1"/>
  <c r="AY43"/>
  <c r="AY61" s="1"/>
  <c r="AR57"/>
  <c r="AA35"/>
  <c r="AA53" s="1"/>
  <c r="AK55"/>
  <c r="AU32"/>
  <c r="AU50" s="1"/>
  <c r="V35"/>
  <c r="V53" s="1"/>
  <c r="AM31"/>
  <c r="AM7" i="2" s="1"/>
  <c r="AM26" s="1"/>
  <c r="AT35" i="1"/>
  <c r="AT11" i="2" s="1"/>
  <c r="AT30" s="1"/>
  <c r="AD32" i="1"/>
  <c r="AD50" s="1"/>
  <c r="AU15" i="2"/>
  <c r="AU34" s="1"/>
  <c r="AN34" i="1"/>
  <c r="AN52" s="1"/>
  <c r="AC31"/>
  <c r="AT55"/>
  <c r="Y36"/>
  <c r="Y54" s="1"/>
  <c r="AF44"/>
  <c r="AF62" s="1"/>
  <c r="AH31"/>
  <c r="AN31"/>
  <c r="AH43"/>
  <c r="AH22" i="2" s="1"/>
  <c r="AH41" s="1"/>
  <c r="R31" i="1"/>
  <c r="AE55"/>
  <c r="AE15" i="2"/>
  <c r="AE34" s="1"/>
  <c r="AW32" i="1"/>
  <c r="AW50" s="1"/>
  <c r="T31"/>
  <c r="T7" i="2" s="1"/>
  <c r="T26" s="1"/>
  <c r="AM32" i="1"/>
  <c r="AM50" s="1"/>
  <c r="AC13" i="2"/>
  <c r="AM57" i="1"/>
  <c r="AN55"/>
  <c r="AI43"/>
  <c r="AI61" s="1"/>
  <c r="X35"/>
  <c r="X53" s="1"/>
  <c r="AD55"/>
  <c r="AL34"/>
  <c r="AL52" s="1"/>
  <c r="AA36"/>
  <c r="AA54" s="1"/>
  <c r="AS34"/>
  <c r="AS10" i="2" s="1"/>
  <c r="AS29" s="1"/>
  <c r="P43" i="1"/>
  <c r="P61" s="1"/>
  <c r="AQ35"/>
  <c r="AQ53" s="1"/>
  <c r="Y44"/>
  <c r="Y62" s="1"/>
  <c r="Q57"/>
  <c r="X32"/>
  <c r="X8" i="2" s="1"/>
  <c r="X27" s="1"/>
  <c r="AK57" i="1"/>
  <c r="P35"/>
  <c r="P53" s="1"/>
  <c r="BA35"/>
  <c r="BA53" s="1"/>
  <c r="AI35"/>
  <c r="AI53" s="1"/>
  <c r="AH35"/>
  <c r="AH53" s="1"/>
  <c r="AP44"/>
  <c r="AP62" s="1"/>
  <c r="T34"/>
  <c r="T52" s="1"/>
  <c r="AQ32"/>
  <c r="AV36"/>
  <c r="AV54" s="1"/>
  <c r="Z44"/>
  <c r="Z62" s="1"/>
  <c r="X31"/>
  <c r="X7" i="2" s="1"/>
  <c r="X26" s="1"/>
  <c r="AG31" i="1"/>
  <c r="T43"/>
  <c r="T61" s="1"/>
  <c r="AT31"/>
  <c r="AT7" i="2" s="1"/>
  <c r="AT26" s="1"/>
  <c r="V55" i="1"/>
  <c r="AG44"/>
  <c r="AG62" s="1"/>
  <c r="AK43"/>
  <c r="AK22" i="2" s="1"/>
  <c r="AK41" s="1"/>
  <c r="Y15"/>
  <c r="Y34" s="1"/>
  <c r="AQ55" i="1"/>
  <c r="AC36"/>
  <c r="AQ36"/>
  <c r="AQ54" s="1"/>
  <c r="Z36"/>
  <c r="Z54" s="1"/>
  <c r="AR44"/>
  <c r="AR62" s="1"/>
  <c r="AA32"/>
  <c r="AA50" s="1"/>
  <c r="AC44"/>
  <c r="AC23" i="2" s="1"/>
  <c r="AY34" i="1"/>
  <c r="AY52" s="1"/>
  <c r="R32"/>
  <c r="R50" s="1"/>
  <c r="R57"/>
  <c r="S43"/>
  <c r="S61" s="1"/>
  <c r="AY57"/>
  <c r="AZ31"/>
  <c r="Q55"/>
  <c r="AP43"/>
  <c r="AP61" s="1"/>
  <c r="AI44"/>
  <c r="AI62" s="1"/>
  <c r="AU36"/>
  <c r="AU54" s="1"/>
  <c r="U44"/>
  <c r="U62" s="1"/>
  <c r="P31"/>
  <c r="AA34"/>
  <c r="AA52" s="1"/>
  <c r="AS55"/>
  <c r="AF43"/>
  <c r="AF61" s="1"/>
  <c r="AQ43"/>
  <c r="AQ61" s="1"/>
  <c r="Q32"/>
  <c r="Q50" s="1"/>
  <c r="AK44"/>
  <c r="AK62" s="1"/>
  <c r="P36"/>
  <c r="P54" s="1"/>
  <c r="AK32"/>
  <c r="AK8" i="2" s="1"/>
  <c r="AK27" s="1"/>
  <c r="AC15"/>
  <c r="AD44" i="1"/>
  <c r="AD62" s="1"/>
  <c r="AG55"/>
  <c r="AF31"/>
  <c r="AF49" s="1"/>
  <c r="AJ44"/>
  <c r="AJ23" i="2" s="1"/>
  <c r="AJ42" s="1"/>
  <c r="W36" i="1"/>
  <c r="W54" s="1"/>
  <c r="AZ13" i="2"/>
  <c r="AZ32" s="1"/>
  <c r="P32" i="1"/>
  <c r="P50" s="1"/>
  <c r="AC43"/>
  <c r="AC61" s="1"/>
  <c r="AM43"/>
  <c r="AM61" s="1"/>
  <c r="AU34"/>
  <c r="AU10" i="2" s="1"/>
  <c r="AU29" s="1"/>
  <c r="X55" i="1"/>
  <c r="BA57"/>
  <c r="W55"/>
  <c r="AX31"/>
  <c r="AX49" s="1"/>
  <c r="AD43"/>
  <c r="AD61" s="1"/>
  <c r="AP34"/>
  <c r="AP10" i="2" s="1"/>
  <c r="W32" i="1"/>
  <c r="W8" i="2" s="1"/>
  <c r="W27" s="1"/>
  <c r="AW55" i="1"/>
  <c r="AN35"/>
  <c r="AN53" s="1"/>
  <c r="AE35"/>
  <c r="AE53" s="1"/>
  <c r="AP35"/>
  <c r="AP11" i="2" s="1"/>
  <c r="S32" i="1"/>
  <c r="S50" s="1"/>
  <c r="AE43"/>
  <c r="AE61" s="1"/>
  <c r="AC34"/>
  <c r="AC52" s="1"/>
  <c r="AP55"/>
  <c r="P34"/>
  <c r="Z13" i="2"/>
  <c r="Z32" s="1"/>
  <c r="AA31" i="1"/>
  <c r="AR36"/>
  <c r="AR54" s="1"/>
  <c r="Q31"/>
  <c r="Q49" s="1"/>
  <c r="AV15" i="2"/>
  <c r="AV34" s="1"/>
  <c r="AQ34" i="1"/>
  <c r="AQ52" s="1"/>
  <c r="AC35"/>
  <c r="AC53" s="1"/>
  <c r="Y32"/>
  <c r="Y50" s="1"/>
  <c r="AN32"/>
  <c r="AN8" i="2" s="1"/>
  <c r="AN27" s="1"/>
  <c r="AW36" i="1"/>
  <c r="AW54" s="1"/>
  <c r="AP31"/>
  <c r="AP7" i="2" s="1"/>
  <c r="AM35" i="1"/>
  <c r="T35"/>
  <c r="T53" s="1"/>
  <c r="AF35"/>
  <c r="AF53" s="1"/>
  <c r="W44"/>
  <c r="W62" s="1"/>
  <c r="AR13" i="2"/>
  <c r="AR32" s="1"/>
  <c r="AS43" i="1"/>
  <c r="AS61" s="1"/>
  <c r="X43"/>
  <c r="X61" s="1"/>
  <c r="AK35"/>
  <c r="AK53" s="1"/>
  <c r="V36"/>
  <c r="V54" s="1"/>
  <c r="AZ57"/>
  <c r="AH34"/>
  <c r="AH52" s="1"/>
  <c r="AA44"/>
  <c r="AA23" i="2" s="1"/>
  <c r="AA42" s="1"/>
  <c r="AE32" i="1"/>
  <c r="AE50" s="1"/>
  <c r="P55"/>
  <c r="O39"/>
  <c r="AC32"/>
  <c r="AC8" i="2" s="1"/>
  <c r="AP32" i="1"/>
  <c r="AP8" i="2" s="1"/>
  <c r="AX34" i="1"/>
  <c r="AX52" s="1"/>
  <c r="P44"/>
  <c r="P62" s="1"/>
  <c r="AP26" i="2" l="1"/>
  <c r="AC42"/>
  <c r="AP29"/>
  <c r="AC34"/>
  <c r="AP30"/>
  <c r="AC32"/>
  <c r="AC27"/>
  <c r="AP27"/>
  <c r="AM45" i="1"/>
  <c r="AM63" s="1"/>
  <c r="AO36"/>
  <c r="AB34"/>
  <c r="AH12" i="2"/>
  <c r="AH31" s="1"/>
  <c r="X13"/>
  <c r="X32" s="1"/>
  <c r="AM23"/>
  <c r="AM42" s="1"/>
  <c r="AF55" i="1"/>
  <c r="AY15" i="2"/>
  <c r="AY34" s="1"/>
  <c r="Z23"/>
  <c r="Z42" s="1"/>
  <c r="AR10"/>
  <c r="AR29" s="1"/>
  <c r="U22"/>
  <c r="U41" s="1"/>
  <c r="R22"/>
  <c r="R41" s="1"/>
  <c r="Q61" i="1"/>
  <c r="O31"/>
  <c r="T49"/>
  <c r="AY8" i="2"/>
  <c r="AY27" s="1"/>
  <c r="AV8"/>
  <c r="AV27" s="1"/>
  <c r="V52" i="1"/>
  <c r="V61"/>
  <c r="AE52"/>
  <c r="AX10" i="2"/>
  <c r="AX29" s="1"/>
  <c r="AE8"/>
  <c r="AE27" s="1"/>
  <c r="AE22"/>
  <c r="AE41" s="1"/>
  <c r="Q13"/>
  <c r="Q32" s="1"/>
  <c r="AI55" i="1"/>
  <c r="AG10" i="2"/>
  <c r="AG29" s="1"/>
  <c r="AQ10"/>
  <c r="AQ29" s="1"/>
  <c r="AW12"/>
  <c r="AW31" s="1"/>
  <c r="AR12"/>
  <c r="AR31" s="1"/>
  <c r="T22"/>
  <c r="T41" s="1"/>
  <c r="AI22"/>
  <c r="AI41" s="1"/>
  <c r="AF23"/>
  <c r="AF42" s="1"/>
  <c r="AD8"/>
  <c r="AD27" s="1"/>
  <c r="AQ23"/>
  <c r="AQ42" s="1"/>
  <c r="AX22"/>
  <c r="AX41" s="1"/>
  <c r="AA22"/>
  <c r="AA41" s="1"/>
  <c r="S10"/>
  <c r="S29" s="1"/>
  <c r="AN11"/>
  <c r="AN30" s="1"/>
  <c r="P12"/>
  <c r="AJ15"/>
  <c r="AJ34" s="1"/>
  <c r="AL22"/>
  <c r="AL41" s="1"/>
  <c r="Q10"/>
  <c r="Q29" s="1"/>
  <c r="AE23"/>
  <c r="AE42" s="1"/>
  <c r="AT8"/>
  <c r="AT27" s="1"/>
  <c r="AD12"/>
  <c r="AD31" s="1"/>
  <c r="W23"/>
  <c r="W42" s="1"/>
  <c r="AJ62" i="1"/>
  <c r="AG13" i="2"/>
  <c r="AG32" s="1"/>
  <c r="P22"/>
  <c r="AA12"/>
  <c r="AA31" s="1"/>
  <c r="AU57" i="1"/>
  <c r="Z15" i="2"/>
  <c r="Z34" s="1"/>
  <c r="AR7"/>
  <c r="AR26" s="1"/>
  <c r="U12"/>
  <c r="U31" s="1"/>
  <c r="AT10"/>
  <c r="AT29" s="1"/>
  <c r="AJ22"/>
  <c r="AJ41" s="1"/>
  <c r="U13"/>
  <c r="U32" s="1"/>
  <c r="AY12"/>
  <c r="AY31" s="1"/>
  <c r="W15"/>
  <c r="W34" s="1"/>
  <c r="X10"/>
  <c r="X29" s="1"/>
  <c r="S23"/>
  <c r="S42" s="1"/>
  <c r="V12"/>
  <c r="V31" s="1"/>
  <c r="P10"/>
  <c r="W13"/>
  <c r="W32" s="1"/>
  <c r="S22"/>
  <c r="S41" s="1"/>
  <c r="AR23"/>
  <c r="AR42" s="1"/>
  <c r="AQ12"/>
  <c r="AQ31" s="1"/>
  <c r="BA11"/>
  <c r="BA30" s="1"/>
  <c r="AE57" i="1"/>
  <c r="AC45"/>
  <c r="AC63" s="1"/>
  <c r="AT53"/>
  <c r="AK13" i="2"/>
  <c r="AK32" s="1"/>
  <c r="AJ13"/>
  <c r="AJ32" s="1"/>
  <c r="V23"/>
  <c r="V42" s="1"/>
  <c r="U10"/>
  <c r="U29" s="1"/>
  <c r="AZ12"/>
  <c r="AZ31" s="1"/>
  <c r="AZ8"/>
  <c r="AZ27" s="1"/>
  <c r="AL12"/>
  <c r="AL31" s="1"/>
  <c r="AL23"/>
  <c r="AL42" s="1"/>
  <c r="W10"/>
  <c r="W29" s="1"/>
  <c r="AW61" i="1"/>
  <c r="AL8" i="2"/>
  <c r="AL27" s="1"/>
  <c r="AI50" i="1"/>
  <c r="AG61"/>
  <c r="AJ10" i="2"/>
  <c r="AJ29" s="1"/>
  <c r="AX50" i="1"/>
  <c r="R45"/>
  <c r="R63" s="1"/>
  <c r="AS50"/>
  <c r="BB39"/>
  <c r="BB57" s="1"/>
  <c r="AP13" i="2"/>
  <c r="AW13"/>
  <c r="AW32" s="1"/>
  <c r="AC22"/>
  <c r="AK23"/>
  <c r="AK42" s="1"/>
  <c r="AF22"/>
  <c r="AF41" s="1"/>
  <c r="AU12"/>
  <c r="AU31" s="1"/>
  <c r="R15"/>
  <c r="R34" s="1"/>
  <c r="AA8"/>
  <c r="AA27" s="1"/>
  <c r="Z12"/>
  <c r="Z31" s="1"/>
  <c r="AV12"/>
  <c r="AV31" s="1"/>
  <c r="AP23"/>
  <c r="AL10"/>
  <c r="AL29" s="1"/>
  <c r="AN13"/>
  <c r="AN32" s="1"/>
  <c r="AE12"/>
  <c r="AE31" s="1"/>
  <c r="X15"/>
  <c r="X34" s="1"/>
  <c r="AU13"/>
  <c r="AU32" s="1"/>
  <c r="Y7"/>
  <c r="Y26" s="1"/>
  <c r="Y11"/>
  <c r="Y30" s="1"/>
  <c r="AX11"/>
  <c r="AX30" s="1"/>
  <c r="AU7"/>
  <c r="AU26" s="1"/>
  <c r="AL13"/>
  <c r="AL32" s="1"/>
  <c r="AT23"/>
  <c r="AT42" s="1"/>
  <c r="AF54" i="1"/>
  <c r="AJ7" i="2"/>
  <c r="AJ26" s="1"/>
  <c r="BA23"/>
  <c r="BA42" s="1"/>
  <c r="AV13"/>
  <c r="AV32" s="1"/>
  <c r="AX13"/>
  <c r="AX32" s="1"/>
  <c r="AM10"/>
  <c r="AM29" s="1"/>
  <c r="AI10"/>
  <c r="AI29" s="1"/>
  <c r="AU62" i="1"/>
  <c r="BA12" i="2"/>
  <c r="BA31" s="1"/>
  <c r="AR50" i="1"/>
  <c r="AR11" i="2"/>
  <c r="AR30" s="1"/>
  <c r="AS12"/>
  <c r="AS31" s="1"/>
  <c r="X12"/>
  <c r="X31" s="1"/>
  <c r="AC11"/>
  <c r="AP15"/>
  <c r="AC10"/>
  <c r="AE11"/>
  <c r="AE30" s="1"/>
  <c r="AD23"/>
  <c r="AD42" s="1"/>
  <c r="AY10"/>
  <c r="AY29" s="1"/>
  <c r="AQ13"/>
  <c r="AQ32" s="1"/>
  <c r="V13"/>
  <c r="V32" s="1"/>
  <c r="Y23"/>
  <c r="Y42" s="1"/>
  <c r="AE13"/>
  <c r="AE32" s="1"/>
  <c r="AN10"/>
  <c r="AN29" s="1"/>
  <c r="AM49" i="1"/>
  <c r="AN12" i="2"/>
  <c r="AN31" s="1"/>
  <c r="AG15"/>
  <c r="AG34" s="1"/>
  <c r="AZ22"/>
  <c r="AZ41" s="1"/>
  <c r="AH8"/>
  <c r="AH27" s="1"/>
  <c r="T15"/>
  <c r="T34" s="1"/>
  <c r="AZ10"/>
  <c r="AZ29" s="1"/>
  <c r="U15"/>
  <c r="U34" s="1"/>
  <c r="Y13"/>
  <c r="Y32" s="1"/>
  <c r="Z8"/>
  <c r="Z27" s="1"/>
  <c r="AS57" i="1"/>
  <c r="AR22" i="2"/>
  <c r="AR41" s="1"/>
  <c r="AH15"/>
  <c r="AH34" s="1"/>
  <c r="V7"/>
  <c r="V26" s="1"/>
  <c r="T8"/>
  <c r="T27" s="1"/>
  <c r="AV52" i="1"/>
  <c r="BA7" i="2"/>
  <c r="BA26" s="1"/>
  <c r="AQ49" i="1"/>
  <c r="Q54"/>
  <c r="AD52"/>
  <c r="AO54"/>
  <c r="AB52"/>
  <c r="AP49"/>
  <c r="AP45"/>
  <c r="AP63" s="1"/>
  <c r="AA49"/>
  <c r="AA7" i="2"/>
  <c r="AA26" s="1"/>
  <c r="AP52" i="1"/>
  <c r="BB34"/>
  <c r="AC57"/>
  <c r="AO39"/>
  <c r="AC62"/>
  <c r="AO44"/>
  <c r="AH7" i="2"/>
  <c r="AH26" s="1"/>
  <c r="AH49" i="1"/>
  <c r="AS22" i="2"/>
  <c r="AS41" s="1"/>
  <c r="AF11"/>
  <c r="AF30" s="1"/>
  <c r="Q45" i="1"/>
  <c r="Q63" s="1"/>
  <c r="P23" i="2"/>
  <c r="P13"/>
  <c r="AH10"/>
  <c r="AH29" s="1"/>
  <c r="X22"/>
  <c r="X41" s="1"/>
  <c r="AM11"/>
  <c r="AM30" s="1"/>
  <c r="Y8"/>
  <c r="Y27" s="1"/>
  <c r="AX45" i="1"/>
  <c r="AX63" s="1"/>
  <c r="AO43"/>
  <c r="AB32"/>
  <c r="AZ55"/>
  <c r="AA10" i="2"/>
  <c r="AA29" s="1"/>
  <c r="AP22"/>
  <c r="P8"/>
  <c r="Y57" i="1"/>
  <c r="T10" i="2"/>
  <c r="T29" s="1"/>
  <c r="AI11"/>
  <c r="AI30" s="1"/>
  <c r="Q15"/>
  <c r="Q34" s="1"/>
  <c r="AN50" i="1"/>
  <c r="X11" i="2"/>
  <c r="X30" s="1"/>
  <c r="AO37" i="1"/>
  <c r="AM8" i="2"/>
  <c r="AM27" s="1"/>
  <c r="R49" i="1"/>
  <c r="AO35"/>
  <c r="V11" i="2"/>
  <c r="V30" s="1"/>
  <c r="AX7"/>
  <c r="AX26" s="1"/>
  <c r="AK61" i="1"/>
  <c r="O44"/>
  <c r="AB35"/>
  <c r="AB39"/>
  <c r="Z45"/>
  <c r="Z63" s="1"/>
  <c r="AI45"/>
  <c r="AI63" s="1"/>
  <c r="AP50"/>
  <c r="BB32"/>
  <c r="O32"/>
  <c r="O34"/>
  <c r="P49"/>
  <c r="P45"/>
  <c r="P63" s="1"/>
  <c r="O37"/>
  <c r="AG7" i="2"/>
  <c r="AG26" s="1"/>
  <c r="AG49" i="1"/>
  <c r="AQ50"/>
  <c r="AQ45"/>
  <c r="AQ63" s="1"/>
  <c r="AA45"/>
  <c r="AA63" s="1"/>
  <c r="AU52"/>
  <c r="W12" i="2"/>
  <c r="W31" s="1"/>
  <c r="AF45" i="1"/>
  <c r="AF63" s="1"/>
  <c r="O36"/>
  <c r="AV57"/>
  <c r="AK15" i="2"/>
  <c r="AK34" s="1"/>
  <c r="X45" i="1"/>
  <c r="X63" s="1"/>
  <c r="AA62"/>
  <c r="X50"/>
  <c r="R7" i="2"/>
  <c r="R26" s="1"/>
  <c r="AH61" i="1"/>
  <c r="AH45"/>
  <c r="AH63" s="1"/>
  <c r="AC54"/>
  <c r="AA11" i="2"/>
  <c r="AA30" s="1"/>
  <c r="AR15"/>
  <c r="AR34" s="1"/>
  <c r="AB36" i="1"/>
  <c r="AM55"/>
  <c r="AY53"/>
  <c r="AF7" i="2"/>
  <c r="AF26" s="1"/>
  <c r="AJ45" i="1"/>
  <c r="AJ63" s="1"/>
  <c r="S45"/>
  <c r="S63" s="1"/>
  <c r="AL45"/>
  <c r="AL63" s="1"/>
  <c r="AZ49"/>
  <c r="AZ45"/>
  <c r="AZ63" s="1"/>
  <c r="AN49"/>
  <c r="AN7" i="2"/>
  <c r="AN26" s="1"/>
  <c r="AP12"/>
  <c r="AP54" i="1"/>
  <c r="Q7" i="2"/>
  <c r="Q26" s="1"/>
  <c r="AD22"/>
  <c r="AD41" s="1"/>
  <c r="Q8"/>
  <c r="Q27" s="1"/>
  <c r="P7"/>
  <c r="U23"/>
  <c r="U42" s="1"/>
  <c r="AI23"/>
  <c r="AI42" s="1"/>
  <c r="AM53" i="1"/>
  <c r="AC12" i="2"/>
  <c r="BB31" i="1"/>
  <c r="AP57"/>
  <c r="AG45"/>
  <c r="AG63" s="1"/>
  <c r="AQ8" i="2"/>
  <c r="AQ27" s="1"/>
  <c r="AQ11"/>
  <c r="AQ30" s="1"/>
  <c r="X49" i="1"/>
  <c r="AC55"/>
  <c r="P52"/>
  <c r="T45"/>
  <c r="T63" s="1"/>
  <c r="AU8" i="2"/>
  <c r="AU27" s="1"/>
  <c r="Z55" i="1"/>
  <c r="AO34"/>
  <c r="AB37"/>
  <c r="BB37"/>
  <c r="AB31"/>
  <c r="BB43"/>
  <c r="AR55"/>
  <c r="AC49"/>
  <c r="Z7" i="2"/>
  <c r="Z26" s="1"/>
  <c r="Z11"/>
  <c r="Z30" s="1"/>
  <c r="AY45" i="1"/>
  <c r="AY63" s="1"/>
  <c r="AC50"/>
  <c r="AO32"/>
  <c r="AP53"/>
  <c r="BB35"/>
  <c r="W45"/>
  <c r="W63" s="1"/>
  <c r="W50"/>
  <c r="AK50"/>
  <c r="AK45"/>
  <c r="AK63" s="1"/>
  <c r="AT45"/>
  <c r="AT63" s="1"/>
  <c r="AT49"/>
  <c r="AS45"/>
  <c r="AS63" s="1"/>
  <c r="AS52"/>
  <c r="P57"/>
  <c r="P15" i="2"/>
  <c r="AZ15"/>
  <c r="AZ34" s="1"/>
  <c r="AK11"/>
  <c r="AK30" s="1"/>
  <c r="T11"/>
  <c r="T30" s="1"/>
  <c r="S8"/>
  <c r="S27" s="1"/>
  <c r="BA15"/>
  <c r="BA34" s="1"/>
  <c r="AM22"/>
  <c r="AM41" s="1"/>
  <c r="AQ22"/>
  <c r="AQ41" s="1"/>
  <c r="AS13"/>
  <c r="AS32" s="1"/>
  <c r="AZ7"/>
  <c r="AZ26" s="1"/>
  <c r="R8"/>
  <c r="R27" s="1"/>
  <c r="AG23"/>
  <c r="AG42" s="1"/>
  <c r="AH11"/>
  <c r="AH30" s="1"/>
  <c r="P11"/>
  <c r="BB44" i="1"/>
  <c r="AD13" i="2"/>
  <c r="AD32" s="1"/>
  <c r="AM15"/>
  <c r="AM34" s="1"/>
  <c r="AW8"/>
  <c r="AW27" s="1"/>
  <c r="AN45" i="1"/>
  <c r="AN63" s="1"/>
  <c r="Y12" i="2"/>
  <c r="Y31" s="1"/>
  <c r="AT13"/>
  <c r="AT32" s="1"/>
  <c r="AO31" i="1"/>
  <c r="AB44"/>
  <c r="AY22" i="2"/>
  <c r="AY41" s="1"/>
  <c r="O35" i="1"/>
  <c r="AB43"/>
  <c r="AC7" i="2"/>
  <c r="AF8"/>
  <c r="AF27" s="1"/>
  <c r="BB36" i="1"/>
  <c r="R13" i="2"/>
  <c r="R32" s="1"/>
  <c r="AD45" i="1"/>
  <c r="AD63" s="1"/>
  <c r="AA15" i="2"/>
  <c r="AA34" s="1"/>
  <c r="AX57" i="1"/>
  <c r="R10" i="2"/>
  <c r="R29" s="1"/>
  <c r="AU22"/>
  <c r="AU41" s="1"/>
  <c r="AJ8"/>
  <c r="AJ27" s="1"/>
  <c r="Q11"/>
  <c r="Q30" s="1"/>
  <c r="Y22"/>
  <c r="Y41" s="1"/>
  <c r="AV11"/>
  <c r="AV30" s="1"/>
  <c r="BA8"/>
  <c r="BA27" s="1"/>
  <c r="AZ23"/>
  <c r="AZ42" s="1"/>
  <c r="AY23"/>
  <c r="AY42" s="1"/>
  <c r="AW23"/>
  <c r="AW42" s="1"/>
  <c r="AD15"/>
  <c r="AD34" s="1"/>
  <c r="AK12"/>
  <c r="AK31" s="1"/>
  <c r="AW10"/>
  <c r="AW29" s="1"/>
  <c r="AN23"/>
  <c r="AN42" s="1"/>
  <c r="S12"/>
  <c r="S31" s="1"/>
  <c r="BA22"/>
  <c r="BA41" s="1"/>
  <c r="AK10"/>
  <c r="AK29" s="1"/>
  <c r="AT22"/>
  <c r="AT41" s="1"/>
  <c r="R12"/>
  <c r="R31" s="1"/>
  <c r="Y45" i="1"/>
  <c r="Y63" s="1"/>
  <c r="AW53"/>
  <c r="AH62"/>
  <c r="AT15" i="2"/>
  <c r="AT34" s="1"/>
  <c r="AS49" i="1"/>
  <c r="AF15" i="2"/>
  <c r="AF34" s="1"/>
  <c r="AI7"/>
  <c r="AI26" s="1"/>
  <c r="AV7"/>
  <c r="AV26" s="1"/>
  <c r="AW15"/>
  <c r="AW34" s="1"/>
  <c r="AQ57" i="1"/>
  <c r="V15" i="2"/>
  <c r="V34" s="1"/>
  <c r="W7"/>
  <c r="W26" s="1"/>
  <c r="AS62" i="1"/>
  <c r="AL49"/>
  <c r="AM54"/>
  <c r="T62"/>
  <c r="AY49"/>
  <c r="AT54"/>
  <c r="S53"/>
  <c r="AW45"/>
  <c r="AW63" s="1"/>
  <c r="Z61"/>
  <c r="Y10" i="2"/>
  <c r="Y29" s="1"/>
  <c r="AR45" i="1"/>
  <c r="AR63" s="1"/>
  <c r="AS53"/>
  <c r="AV22" i="2"/>
  <c r="AV41" s="1"/>
  <c r="V50" i="1"/>
  <c r="T54"/>
  <c r="U11" i="2"/>
  <c r="U30" s="1"/>
  <c r="U7"/>
  <c r="U26" s="1"/>
  <c r="AX23"/>
  <c r="AX42" s="1"/>
  <c r="AJ54" i="1"/>
  <c r="AU53"/>
  <c r="AI57"/>
  <c r="AD11" i="2"/>
  <c r="AD30" s="1"/>
  <c r="V45" i="1"/>
  <c r="V63" s="1"/>
  <c r="S57"/>
  <c r="AJ11" i="2"/>
  <c r="AJ30" s="1"/>
  <c r="W61" i="1"/>
  <c r="AN61"/>
  <c r="AG54"/>
  <c r="AN57"/>
  <c r="Q62"/>
  <c r="AV62"/>
  <c r="T55"/>
  <c r="W53"/>
  <c r="S49"/>
  <c r="AL53"/>
  <c r="X23" i="2"/>
  <c r="X42" s="1"/>
  <c r="AJ50" i="1"/>
  <c r="O43"/>
  <c r="BA10" i="2"/>
  <c r="BA29" s="1"/>
  <c r="AY7"/>
  <c r="AY26" s="1"/>
  <c r="AH13"/>
  <c r="AH32" s="1"/>
  <c r="U45" i="1"/>
  <c r="U63" s="1"/>
  <c r="S7" i="2"/>
  <c r="S26" s="1"/>
  <c r="AU45" i="1"/>
  <c r="AU63" s="1"/>
  <c r="AE49"/>
  <c r="AZ11" i="2"/>
  <c r="AZ30" s="1"/>
  <c r="AD49" i="1"/>
  <c r="AV45"/>
  <c r="AV63" s="1"/>
  <c r="AF52"/>
  <c r="AL57"/>
  <c r="Z52"/>
  <c r="BA45"/>
  <c r="BA63" s="1"/>
  <c r="S55"/>
  <c r="AK49"/>
  <c r="AI12" i="2"/>
  <c r="AI31" s="1"/>
  <c r="U8"/>
  <c r="U27" s="1"/>
  <c r="AY13"/>
  <c r="AY32" s="1"/>
  <c r="AE45" i="1"/>
  <c r="AE63" s="1"/>
  <c r="AG11" i="2"/>
  <c r="AG30" s="1"/>
  <c r="AG8"/>
  <c r="AG27" s="1"/>
  <c r="AX12"/>
  <c r="AX31" s="1"/>
  <c r="AW7"/>
  <c r="AW26" s="1"/>
  <c r="AD7"/>
  <c r="AD26" s="1"/>
  <c r="R23"/>
  <c r="R42" s="1"/>
  <c r="R11"/>
  <c r="R30" s="1"/>
  <c r="P27" l="1"/>
  <c r="AB27" s="1"/>
  <c r="AB8"/>
  <c r="P42"/>
  <c r="AB42" s="1"/>
  <c r="AB23"/>
  <c r="AC30"/>
  <c r="AO30" s="1"/>
  <c r="AO11"/>
  <c r="P41"/>
  <c r="AB41" s="1"/>
  <c r="AB22"/>
  <c r="AO27"/>
  <c r="BB30"/>
  <c r="BB29"/>
  <c r="BB26"/>
  <c r="P34"/>
  <c r="AB34" s="1"/>
  <c r="AB15"/>
  <c r="AP31"/>
  <c r="BB31" s="1"/>
  <c r="BB12"/>
  <c r="P32"/>
  <c r="AB32" s="1"/>
  <c r="AB13"/>
  <c r="AP34"/>
  <c r="BB34" s="1"/>
  <c r="BB15"/>
  <c r="AP32"/>
  <c r="BB32" s="1"/>
  <c r="BB13"/>
  <c r="AO8"/>
  <c r="BB11"/>
  <c r="BB10"/>
  <c r="BB7"/>
  <c r="P30"/>
  <c r="AB30" s="1"/>
  <c r="AB11"/>
  <c r="AC31"/>
  <c r="AO31" s="1"/>
  <c r="AO12"/>
  <c r="P26"/>
  <c r="AB26" s="1"/>
  <c r="AB7"/>
  <c r="AC29"/>
  <c r="AO29" s="1"/>
  <c r="AO10"/>
  <c r="P29"/>
  <c r="AB29" s="1"/>
  <c r="AB10"/>
  <c r="P31"/>
  <c r="AB31" s="1"/>
  <c r="AB12"/>
  <c r="BB27"/>
  <c r="AO32"/>
  <c r="AO34"/>
  <c r="AO42"/>
  <c r="AC26"/>
  <c r="AO26" s="1"/>
  <c r="AO7"/>
  <c r="AP41"/>
  <c r="BB41" s="1"/>
  <c r="BB22"/>
  <c r="AP42"/>
  <c r="BB42" s="1"/>
  <c r="BB23"/>
  <c r="AC41"/>
  <c r="AO41" s="1"/>
  <c r="AO22"/>
  <c r="BB8"/>
  <c r="AO13"/>
  <c r="AO15"/>
  <c r="AO23"/>
  <c r="O45" i="1"/>
  <c r="BB53"/>
  <c r="AO50"/>
  <c r="BB61"/>
  <c r="AO52"/>
  <c r="AB53"/>
  <c r="AB50"/>
  <c r="BB52"/>
  <c r="AB55"/>
  <c r="BB49"/>
  <c r="BB45"/>
  <c r="BB63" s="1"/>
  <c r="AB54"/>
  <c r="AO53"/>
  <c r="BB54"/>
  <c r="AO49"/>
  <c r="AO45"/>
  <c r="AO63" s="1"/>
  <c r="BB62"/>
  <c r="BB55"/>
  <c r="AO55"/>
  <c r="AO62"/>
  <c r="AO57"/>
  <c r="AB61"/>
  <c r="AB62"/>
  <c r="AB45"/>
  <c r="AB63" s="1"/>
  <c r="AB49"/>
  <c r="BB50"/>
  <c r="AB57"/>
  <c r="AO61"/>
</calcChain>
</file>

<file path=xl/sharedStrings.xml><?xml version="1.0" encoding="utf-8"?>
<sst xmlns="http://schemas.openxmlformats.org/spreadsheetml/2006/main" count="974" uniqueCount="146">
  <si>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</si>
  <si>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</si>
  <si>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</si>
  <si>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</si>
  <si>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</si>
  <si>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</si>
  <si>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</si>
  <si>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</si>
  <si>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</si>
  <si>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</si>
  <si>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</si>
  <si>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</si>
  <si>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Sales Volume</t>
  </si>
  <si>
    <t>Annual</t>
  </si>
  <si>
    <t>7171i</t>
  </si>
  <si>
    <t>157001150211 Frt Exp-Hydrocodone Products</t>
  </si>
  <si>
    <t>157001150210 Frt Exp-Oxycodone Products</t>
  </si>
  <si>
    <t>157001150244 Oxycodone APAP-Frt Exp</t>
  </si>
  <si>
    <t>157001150222 Frt Exp-ADHD</t>
  </si>
  <si>
    <t>157001150227 Oxycodone ER Products Freight</t>
  </si>
  <si>
    <t>157001150229 Morphine ER-Frt Exp</t>
  </si>
  <si>
    <t>157001150230 Hydromorphone-Frt Exp</t>
  </si>
  <si>
    <t>157001150231 Methadone Generics-Frt Exp</t>
  </si>
  <si>
    <t>157001150232 APAP Codeine-Frt Exp</t>
  </si>
  <si>
    <t>157001150233 APAP Propoxyphene-Frt Exp</t>
  </si>
  <si>
    <t>157001150209 FREIGHT</t>
  </si>
  <si>
    <t>157001150226 Zydus Freight Expense</t>
  </si>
  <si>
    <t>157001150246 Restoril/Temazepam Frt Expense</t>
  </si>
  <si>
    <t>157001150245 Tofranil-PM/ImipraPam Frt Exp</t>
  </si>
  <si>
    <t>157001150225 Frt Exp-CNS Non-Promoted Prod</t>
  </si>
  <si>
    <t>157001150224 Frt Exp-Other Brand Products</t>
  </si>
  <si>
    <t>157001150235 Tussicaps-Frt Exp</t>
  </si>
  <si>
    <t>157001150221 Frt Exp-ADDICTION TREATMENT</t>
  </si>
  <si>
    <t>161001151654 China Export Dosage Narc</t>
  </si>
  <si>
    <t>Restoril Promoted</t>
  </si>
  <si>
    <t>Tofranil PM/IP</t>
  </si>
  <si>
    <t>Freight per bottle, except AT</t>
  </si>
  <si>
    <t>Freight per bottle for AT</t>
  </si>
  <si>
    <t>Total</t>
  </si>
  <si>
    <t>Outfreight Expense - 7171</t>
  </si>
  <si>
    <t>FY10</t>
  </si>
  <si>
    <t>FY10 Working Forecast</t>
  </si>
  <si>
    <t>Full Year</t>
  </si>
  <si>
    <t>FYI only</t>
  </si>
  <si>
    <t>Dollars</t>
  </si>
  <si>
    <t>157001000211 Hydrocodone Products</t>
  </si>
  <si>
    <t>157001000210 Oxycodone Products</t>
  </si>
  <si>
    <t>157001000244 Oxycodone APAP Products</t>
  </si>
  <si>
    <t>157001000222 ADHD</t>
  </si>
  <si>
    <t>157001000227 Oxycodone ER</t>
  </si>
  <si>
    <t>Morphine ER</t>
  </si>
  <si>
    <t>Hydromorphone</t>
  </si>
  <si>
    <t>Methadone Generic</t>
  </si>
  <si>
    <t>APAP/Codeine</t>
  </si>
  <si>
    <t>APAP/Propoxyphene</t>
  </si>
  <si>
    <t>157001000209 DOS FORM NARC</t>
  </si>
  <si>
    <t>157001000226 ZyPharma</t>
  </si>
  <si>
    <t>157001000225 CNS Non-Promoted Products</t>
  </si>
  <si>
    <t>157001000224 Other Brand Products</t>
  </si>
  <si>
    <t>Tussicaps</t>
  </si>
  <si>
    <t>157001000221 ADDICTION TREATMENT</t>
  </si>
  <si>
    <t>International</t>
  </si>
  <si>
    <t>166012150000 Hobart Production Freight</t>
  </si>
  <si>
    <t>(FY09 forecast = .09 + 7% inflation increase + 5% addl per JC)</t>
  </si>
  <si>
    <t>(FY09 forecast = 3.45 + 7% inflation increase + 5% addl per JC)</t>
  </si>
  <si>
    <t>7171i Out-freight Expense</t>
  </si>
  <si>
    <t>161001151632 DOSAGE NARC Freight</t>
  </si>
  <si>
    <t>FY09</t>
  </si>
  <si>
    <t>161001151653 Europe Export Dosage Narc</t>
  </si>
  <si>
    <t>Fentanyl Lozenge</t>
  </si>
  <si>
    <t>Fentanyl Patch</t>
  </si>
  <si>
    <t>157001150234 Fentanyl Lozenge-Frt Exp</t>
  </si>
  <si>
    <t>157001150236 Fentanyl Patch-Frt Exp</t>
  </si>
  <si>
    <t>157001150251 Pennsaid Frt Expense</t>
  </si>
  <si>
    <t>157001150252 Exalgo Freight Exp</t>
  </si>
  <si>
    <t>Freight for Fentanyl Lozenge and Patch</t>
  </si>
  <si>
    <t>50% of bgt</t>
  </si>
  <si>
    <t>(estimate)</t>
  </si>
  <si>
    <t>Pennsaid</t>
  </si>
  <si>
    <t>Exalgo</t>
  </si>
  <si>
    <t>Freight per bottle for INTL</t>
  </si>
  <si>
    <t>(FY10 forecast estimate)</t>
  </si>
  <si>
    <t>157001150253 Temazepam-Frt Exp</t>
  </si>
  <si>
    <t>Calculated Forecast</t>
  </si>
  <si>
    <t>Freight Expense</t>
  </si>
  <si>
    <t>7165i In-freight Expense</t>
  </si>
  <si>
    <t>WW Spec Pharma - CYR</t>
  </si>
  <si>
    <t>2011 Actuals</t>
  </si>
  <si>
    <t>Working Forecast</t>
  </si>
  <si>
    <t>157001150239 Triancinolone Inj-Frt Exp</t>
  </si>
  <si>
    <t>Hydrocodone/APAP GR</t>
  </si>
  <si>
    <t>Oxycodone/APAP GR</t>
  </si>
  <si>
    <t>157001150249 Hydrocodone/APAP GR</t>
  </si>
  <si>
    <t>157001150250 Oxyocodone/APAP GR</t>
  </si>
  <si>
    <t>7165i</t>
  </si>
  <si>
    <t>Branded Pharmaceuticals</t>
  </si>
  <si>
    <t>Working Forecast Y2</t>
  </si>
  <si>
    <t>Brand Pharmaceuticals</t>
  </si>
  <si>
    <t>Tofranil PM</t>
  </si>
  <si>
    <t>157001000235 Tussicaps</t>
  </si>
  <si>
    <t>157001000251 Pennsaid</t>
  </si>
  <si>
    <t>157001000252 Exalgo</t>
  </si>
  <si>
    <t>Outfreight Expense object 7171</t>
  </si>
  <si>
    <t>Freight per bottle (from RMeisner/CGidcumb 3/29/11)</t>
  </si>
  <si>
    <t>NoCustomer</t>
  </si>
  <si>
    <t>Brands</t>
  </si>
  <si>
    <t>US Branded Pharmaceuticals - CYR</t>
  </si>
  <si>
    <t>Pennsaid 2% Pump</t>
  </si>
  <si>
    <t>Diclofenac 2% Pump</t>
  </si>
  <si>
    <t>Exalgo 32</t>
  </si>
  <si>
    <t>Hydromorphone ER</t>
  </si>
  <si>
    <t>Hydromorphone ER 32</t>
  </si>
  <si>
    <t>157001150255 Pennsaid 2% Pump Frt Expense</t>
  </si>
  <si>
    <t>157001150256 Diclofenac 2% Pump Frt Exp</t>
  </si>
  <si>
    <t>157001150257 Exalgo 32 Frt Exp</t>
  </si>
  <si>
    <t>157001150258 Hydromorphone ER Frt Exp</t>
  </si>
  <si>
    <t>157001150259 Hydromorphone ER 32 Frt Exp</t>
  </si>
  <si>
    <t>Working Forecast Y3</t>
  </si>
  <si>
    <t>Working Forecast Y4</t>
  </si>
  <si>
    <t>WF FY14</t>
  </si>
  <si>
    <t>WF FY15</t>
  </si>
  <si>
    <t>Calculated Freight per Bottle</t>
  </si>
  <si>
    <t>LC</t>
  </si>
  <si>
    <t>Input</t>
  </si>
  <si>
    <t>FY 2013</t>
  </si>
  <si>
    <t>FY 2014</t>
  </si>
  <si>
    <t>FY 2015</t>
  </si>
  <si>
    <t>Local Cur Total</t>
  </si>
  <si>
    <t>Roxicodone</t>
  </si>
  <si>
    <t>157001150268 Roxicodone-Freight</t>
  </si>
  <si>
    <t>Freight per bottle - use FY12 Actual average</t>
  </si>
  <si>
    <t>Intrathecal Products</t>
  </si>
  <si>
    <t>157001150269 Intrathecal-Freight</t>
  </si>
  <si>
    <t>FY 2016</t>
  </si>
  <si>
    <t>FY13-16 Working Forecast</t>
  </si>
  <si>
    <t>FY13 Actuals</t>
  </si>
  <si>
    <t>FY13</t>
  </si>
  <si>
    <t>WF FY16</t>
  </si>
  <si>
    <t>YTD FY13</t>
  </si>
  <si>
    <t>FY12Act</t>
  </si>
  <si>
    <t>168210151269 Intrathecal-Freight-General</t>
  </si>
  <si>
    <t>168210152000 Intrathecal-2000 mcg/mi</t>
  </si>
  <si>
    <t>Brands Goaling/Corporate Adj</t>
  </si>
  <si>
    <t>FY 2012</t>
  </si>
  <si>
    <t>Actuals</t>
  </si>
  <si>
    <t>157210151269 Intrathecal-Freight-General</t>
  </si>
</sst>
</file>

<file path=xl/styles.xml><?xml version="1.0" encoding="utf-8"?>
<styleSheet xmlns="http://schemas.openxmlformats.org/spreadsheetml/2006/main">
  <numFmts count="4">
    <numFmt numFmtId="43" formatCode="_(* #,##0.00_);_(* \(#,##0.00\);_(* &quot;-&quot;??_);_(@_)"/>
    <numFmt numFmtId="164" formatCode="_(* #,##0_);_(* \(#,##0\);_(* &quot;-&quot;??_);_(@_)"/>
    <numFmt numFmtId="165" formatCode="0.0000"/>
    <numFmt numFmtId="166" formatCode="_(* #,##0.0000_);_(* \(#,##0.0000\);_(* &quot;-&quot;??_);_(@_)"/>
  </numFmts>
  <fonts count="1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u/>
      <sz val="10"/>
      <name val="Arial"/>
      <family val="2"/>
    </font>
    <font>
      <u/>
      <sz val="10"/>
      <name val="Arial"/>
      <family val="2"/>
    </font>
    <font>
      <sz val="10"/>
      <color indexed="53"/>
      <name val="Arial"/>
      <family val="2"/>
    </font>
    <font>
      <sz val="9"/>
      <name val="Arial"/>
      <family val="2"/>
    </font>
    <font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5">
    <xf numFmtId="0" fontId="0" fillId="0" borderId="0" xfId="0"/>
    <xf numFmtId="0" fontId="0" fillId="0" borderId="0" xfId="0" quotePrefix="1"/>
    <xf numFmtId="37" fontId="0" fillId="0" borderId="0" xfId="0" quotePrefix="1" applyNumberFormat="1"/>
    <xf numFmtId="37" fontId="0" fillId="0" borderId="0" xfId="0" applyNumberFormat="1"/>
    <xf numFmtId="0" fontId="3" fillId="0" borderId="0" xfId="0" applyFont="1" applyFill="1" applyBorder="1"/>
    <xf numFmtId="164" fontId="3" fillId="0" borderId="0" xfId="1" applyNumberFormat="1" applyFont="1" applyFill="1" applyBorder="1"/>
    <xf numFmtId="164" fontId="3" fillId="0" borderId="0" xfId="1" quotePrefix="1" applyNumberFormat="1" applyFont="1" applyFill="1" applyBorder="1"/>
    <xf numFmtId="164" fontId="4" fillId="0" borderId="0" xfId="1" applyNumberFormat="1" applyFont="1" applyBorder="1"/>
    <xf numFmtId="0" fontId="3" fillId="0" borderId="0" xfId="0" quotePrefix="1" applyFont="1" applyFill="1" applyBorder="1"/>
    <xf numFmtId="0" fontId="4" fillId="0" borderId="0" xfId="0" quotePrefix="1" applyFont="1"/>
    <xf numFmtId="37" fontId="0" fillId="0" borderId="1" xfId="0" applyNumberFormat="1" applyBorder="1"/>
    <xf numFmtId="0" fontId="4" fillId="0" borderId="0" xfId="0" applyFont="1"/>
    <xf numFmtId="164" fontId="0" fillId="0" borderId="0" xfId="1" applyNumberFormat="1" applyFont="1"/>
    <xf numFmtId="164" fontId="0" fillId="0" borderId="0" xfId="1" quotePrefix="1" applyNumberFormat="1" applyFont="1"/>
    <xf numFmtId="164" fontId="5" fillId="0" borderId="0" xfId="1" applyNumberFormat="1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164" fontId="1" fillId="0" borderId="0" xfId="1" applyNumberFormat="1"/>
    <xf numFmtId="164" fontId="1" fillId="0" borderId="1" xfId="1" applyNumberFormat="1" applyBorder="1"/>
    <xf numFmtId="165" fontId="4" fillId="2" borderId="0" xfId="0" quotePrefix="1" applyNumberFormat="1" applyFont="1" applyFill="1"/>
    <xf numFmtId="164" fontId="5" fillId="3" borderId="0" xfId="1" applyNumberFormat="1" applyFont="1" applyFill="1" applyAlignment="1">
      <alignment horizontal="center"/>
    </xf>
    <xf numFmtId="164" fontId="4" fillId="0" borderId="1" xfId="1" applyNumberFormat="1" applyFont="1" applyBorder="1"/>
    <xf numFmtId="0" fontId="3" fillId="4" borderId="0" xfId="0" applyFont="1" applyFill="1"/>
    <xf numFmtId="164" fontId="3" fillId="4" borderId="0" xfId="1" applyNumberFormat="1" applyFont="1" applyFill="1" applyBorder="1"/>
    <xf numFmtId="0" fontId="0" fillId="0" borderId="0" xfId="0" quotePrefix="1" applyFill="1" applyBorder="1"/>
    <xf numFmtId="37" fontId="0" fillId="5" borderId="0" xfId="0" applyNumberFormat="1" applyFill="1"/>
    <xf numFmtId="0" fontId="0" fillId="5" borderId="0" xfId="0" applyFill="1"/>
    <xf numFmtId="165" fontId="4" fillId="5" borderId="0" xfId="0" applyNumberFormat="1" applyFont="1" applyFill="1" applyAlignment="1">
      <alignment horizontal="right"/>
    </xf>
    <xf numFmtId="37" fontId="0" fillId="0" borderId="0" xfId="0" applyNumberFormat="1" applyFill="1"/>
    <xf numFmtId="0" fontId="0" fillId="0" borderId="0" xfId="0" quotePrefix="1" applyFill="1"/>
    <xf numFmtId="164" fontId="1" fillId="0" borderId="0" xfId="1" quotePrefix="1" applyNumberFormat="1"/>
    <xf numFmtId="164" fontId="1" fillId="3" borderId="0" xfId="1" applyNumberFormat="1" applyFill="1"/>
    <xf numFmtId="164" fontId="1" fillId="3" borderId="0" xfId="1" applyNumberFormat="1" applyFill="1" applyBorder="1"/>
    <xf numFmtId="164" fontId="1" fillId="3" borderId="1" xfId="1" applyNumberFormat="1" applyFill="1" applyBorder="1"/>
    <xf numFmtId="0" fontId="6" fillId="0" borderId="0" xfId="0" applyFont="1"/>
    <xf numFmtId="0" fontId="0" fillId="0" borderId="0" xfId="0" applyFill="1"/>
    <xf numFmtId="165" fontId="4" fillId="0" borderId="0" xfId="0" applyNumberFormat="1" applyFont="1" applyFill="1" applyAlignment="1">
      <alignment horizontal="right"/>
    </xf>
    <xf numFmtId="0" fontId="3" fillId="0" borderId="0" xfId="0" quotePrefix="1" applyFont="1"/>
    <xf numFmtId="164" fontId="3" fillId="0" borderId="0" xfId="1" applyNumberFormat="1" applyFont="1" applyBorder="1"/>
    <xf numFmtId="164" fontId="3" fillId="0" borderId="0" xfId="1" applyNumberFormat="1" applyFont="1"/>
    <xf numFmtId="164" fontId="8" fillId="0" borderId="0" xfId="1" applyNumberFormat="1" applyFont="1" applyFill="1" applyBorder="1"/>
    <xf numFmtId="164" fontId="3" fillId="0" borderId="0" xfId="1" quotePrefix="1" applyNumberFormat="1" applyFont="1" applyFill="1" applyBorder="1" applyAlignment="1">
      <alignment wrapText="1"/>
    </xf>
    <xf numFmtId="164" fontId="0" fillId="0" borderId="0" xfId="1" quotePrefix="1" applyNumberFormat="1" applyFont="1" applyFill="1" applyBorder="1"/>
    <xf numFmtId="164" fontId="3" fillId="0" borderId="0" xfId="1" quotePrefix="1" applyNumberFormat="1" applyFont="1"/>
    <xf numFmtId="164" fontId="3" fillId="0" borderId="0" xfId="1" applyNumberFormat="1" applyFont="1" applyFill="1"/>
    <xf numFmtId="164" fontId="0" fillId="0" borderId="0" xfId="1" applyNumberFormat="1" applyFont="1" applyFill="1"/>
    <xf numFmtId="164" fontId="0" fillId="0" borderId="1" xfId="1" applyNumberFormat="1" applyFont="1" applyFill="1" applyBorder="1"/>
    <xf numFmtId="164" fontId="1" fillId="2" borderId="0" xfId="1" quotePrefix="1" applyNumberFormat="1" applyFill="1"/>
    <xf numFmtId="0" fontId="4" fillId="0" borderId="0" xfId="0" applyFont="1" applyFill="1" applyAlignment="1">
      <alignment horizontal="right"/>
    </xf>
    <xf numFmtId="0" fontId="4" fillId="0" borderId="0" xfId="0" applyFont="1" applyFill="1"/>
    <xf numFmtId="37" fontId="0" fillId="0" borderId="0" xfId="0" quotePrefix="1" applyNumberFormat="1" applyFill="1"/>
    <xf numFmtId="0" fontId="1" fillId="0" borderId="0" xfId="0" quotePrefix="1" applyFont="1" applyFill="1"/>
    <xf numFmtId="37" fontId="5" fillId="0" borderId="0" xfId="0" quotePrefix="1" applyNumberFormat="1" applyFont="1" applyFill="1" applyBorder="1" applyAlignment="1">
      <alignment horizontal="center"/>
    </xf>
    <xf numFmtId="37" fontId="5" fillId="0" borderId="0" xfId="0" quotePrefix="1" applyNumberFormat="1" applyFont="1" applyAlignment="1">
      <alignment horizontal="center"/>
    </xf>
    <xf numFmtId="164" fontId="5" fillId="6" borderId="0" xfId="1" applyNumberFormat="1" applyFont="1" applyFill="1" applyAlignment="1">
      <alignment horizontal="center"/>
    </xf>
    <xf numFmtId="164" fontId="5" fillId="7" borderId="0" xfId="1" applyNumberFormat="1" applyFont="1" applyFill="1" applyAlignment="1">
      <alignment horizontal="center"/>
    </xf>
    <xf numFmtId="43" fontId="1" fillId="0" borderId="0" xfId="1" quotePrefix="1" applyFont="1" applyFill="1" applyBorder="1"/>
    <xf numFmtId="43" fontId="1" fillId="0" borderId="0" xfId="1" quotePrefix="1" applyFont="1" applyFill="1"/>
    <xf numFmtId="43" fontId="1" fillId="0" borderId="0" xfId="1" quotePrefix="1" applyFont="1"/>
    <xf numFmtId="164" fontId="0" fillId="0" borderId="0" xfId="1" applyNumberFormat="1" applyFont="1" applyFill="1" applyBorder="1"/>
    <xf numFmtId="164" fontId="5" fillId="8" borderId="0" xfId="1" applyNumberFormat="1" applyFont="1" applyFill="1" applyAlignment="1">
      <alignment horizontal="center"/>
    </xf>
    <xf numFmtId="0" fontId="1" fillId="0" borderId="0" xfId="0" quotePrefix="1" applyFont="1" applyFill="1" applyBorder="1"/>
    <xf numFmtId="164" fontId="1" fillId="0" borderId="0" xfId="1" quotePrefix="1" applyNumberFormat="1" applyFont="1" applyFill="1" applyBorder="1" applyAlignment="1">
      <alignment wrapText="1"/>
    </xf>
    <xf numFmtId="37" fontId="1" fillId="0" borderId="0" xfId="0" quotePrefix="1" applyNumberFormat="1" applyFont="1"/>
    <xf numFmtId="0" fontId="4" fillId="0" borderId="0" xfId="0" applyFont="1" applyFill="1" applyAlignment="1"/>
    <xf numFmtId="37" fontId="7" fillId="9" borderId="0" xfId="0" quotePrefix="1" applyNumberFormat="1" applyFont="1" applyFill="1" applyBorder="1" applyAlignment="1">
      <alignment horizontal="center"/>
    </xf>
    <xf numFmtId="164" fontId="0" fillId="9" borderId="0" xfId="1" applyNumberFormat="1" applyFont="1" applyFill="1"/>
    <xf numFmtId="164" fontId="0" fillId="9" borderId="1" xfId="1" applyNumberFormat="1" applyFont="1" applyFill="1" applyBorder="1"/>
    <xf numFmtId="43" fontId="1" fillId="0" borderId="0" xfId="1" applyFont="1" applyBorder="1"/>
    <xf numFmtId="0" fontId="1" fillId="10" borderId="0" xfId="0" applyFont="1" applyFill="1"/>
    <xf numFmtId="165" fontId="4" fillId="10" borderId="0" xfId="0" quotePrefix="1" applyNumberFormat="1" applyFont="1" applyFill="1"/>
    <xf numFmtId="43" fontId="0" fillId="0" borderId="0" xfId="1" applyFont="1"/>
    <xf numFmtId="0" fontId="9" fillId="0" borderId="0" xfId="0" quotePrefix="1" applyFont="1" applyFill="1"/>
    <xf numFmtId="37" fontId="9" fillId="0" borderId="0" xfId="0" applyNumberFormat="1" applyFont="1"/>
    <xf numFmtId="0" fontId="9" fillId="0" borderId="0" xfId="0" quotePrefix="1" applyFont="1" applyFill="1" applyBorder="1"/>
    <xf numFmtId="0" fontId="9" fillId="0" borderId="0" xfId="0" quotePrefix="1" applyFont="1"/>
    <xf numFmtId="0" fontId="9" fillId="0" borderId="0" xfId="0" applyFont="1"/>
    <xf numFmtId="0" fontId="9" fillId="0" borderId="0" xfId="0" applyFont="1" applyFill="1"/>
    <xf numFmtId="43" fontId="9" fillId="0" borderId="0" xfId="1" applyFont="1"/>
    <xf numFmtId="166" fontId="9" fillId="0" borderId="0" xfId="1" applyNumberFormat="1" applyFont="1"/>
    <xf numFmtId="166" fontId="9" fillId="0" borderId="0" xfId="1" applyNumberFormat="1" applyFont="1" applyFill="1" applyBorder="1"/>
    <xf numFmtId="166" fontId="0" fillId="9" borderId="0" xfId="1" applyNumberFormat="1" applyFont="1" applyFill="1"/>
    <xf numFmtId="166" fontId="0" fillId="9" borderId="1" xfId="1" applyNumberFormat="1" applyFont="1" applyFill="1" applyBorder="1"/>
    <xf numFmtId="166" fontId="0" fillId="0" borderId="0" xfId="1" applyNumberFormat="1" applyFont="1" applyFill="1"/>
    <xf numFmtId="166" fontId="0" fillId="0" borderId="1" xfId="1" applyNumberFormat="1" applyFont="1" applyFill="1" applyBorder="1"/>
    <xf numFmtId="164" fontId="5" fillId="0" borderId="0" xfId="1" applyNumberFormat="1" applyFont="1" applyFill="1" applyAlignment="1">
      <alignment horizontal="center"/>
    </xf>
    <xf numFmtId="37" fontId="5" fillId="0" borderId="0" xfId="0" quotePrefix="1" applyNumberFormat="1" applyFont="1" applyFill="1" applyAlignment="1">
      <alignment horizontal="center"/>
    </xf>
    <xf numFmtId="43" fontId="1" fillId="0" borderId="0" xfId="1" quotePrefix="1" applyFont="1" applyBorder="1"/>
    <xf numFmtId="43" fontId="1" fillId="0" borderId="0" xfId="1" applyFont="1" applyFill="1" applyBorder="1"/>
    <xf numFmtId="43" fontId="0" fillId="0" borderId="0" xfId="1" quotePrefix="1" applyFont="1" applyFill="1"/>
    <xf numFmtId="43" fontId="0" fillId="0" borderId="0" xfId="1" applyFont="1" applyFill="1" applyBorder="1"/>
    <xf numFmtId="43" fontId="1" fillId="9" borderId="0" xfId="1" quotePrefix="1" applyFont="1" applyFill="1" applyBorder="1"/>
    <xf numFmtId="164" fontId="1" fillId="0" borderId="0" xfId="1" applyNumberFormat="1" applyFont="1" applyFill="1" applyBorder="1"/>
    <xf numFmtId="164" fontId="1" fillId="0" borderId="0" xfId="1" applyNumberFormat="1" applyFont="1" applyFill="1" applyBorder="1" applyAlignment="1">
      <alignment horizontal="center"/>
    </xf>
    <xf numFmtId="164" fontId="1" fillId="9" borderId="0" xfId="1" applyNumberFormat="1" applyFont="1" applyFill="1" applyBorder="1"/>
    <xf numFmtId="37" fontId="7" fillId="0" borderId="0" xfId="0" quotePrefix="1" applyNumberFormat="1" applyFont="1" applyFill="1" applyAlignment="1">
      <alignment horizontal="center"/>
    </xf>
    <xf numFmtId="37" fontId="5" fillId="9" borderId="0" xfId="0" quotePrefix="1" applyNumberFormat="1" applyFont="1" applyFill="1" applyBorder="1" applyAlignment="1">
      <alignment horizontal="center"/>
    </xf>
    <xf numFmtId="37" fontId="7" fillId="9" borderId="0" xfId="0" quotePrefix="1" applyNumberFormat="1" applyFont="1" applyFill="1" applyAlignment="1">
      <alignment horizontal="center"/>
    </xf>
    <xf numFmtId="164" fontId="10" fillId="0" borderId="0" xfId="1" quotePrefix="1" applyNumberFormat="1" applyFont="1" applyFill="1" applyBorder="1"/>
    <xf numFmtId="164" fontId="1" fillId="0" borderId="0" xfId="1" quotePrefix="1" applyNumberFormat="1" applyFont="1" applyFill="1" applyBorder="1"/>
    <xf numFmtId="164" fontId="0" fillId="0" borderId="0" xfId="1" quotePrefix="1" applyNumberFormat="1" applyFont="1" applyFill="1"/>
    <xf numFmtId="164" fontId="0" fillId="0" borderId="0" xfId="0" quotePrefix="1" applyNumberFormat="1" applyFill="1"/>
    <xf numFmtId="164" fontId="1" fillId="0" borderId="0" xfId="1" quotePrefix="1" applyNumberFormat="1" applyFont="1" applyFill="1"/>
    <xf numFmtId="37" fontId="5" fillId="9" borderId="0" xfId="0" quotePrefix="1" applyNumberFormat="1" applyFont="1" applyFill="1" applyAlignment="1">
      <alignment horizontal="center"/>
    </xf>
    <xf numFmtId="164" fontId="0" fillId="11" borderId="0" xfId="1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B72"/>
  <sheetViews>
    <sheetView zoomScale="95" workbookViewId="0">
      <pane xSplit="2" ySplit="6" topLeftCell="C7" activePane="bottomRight" state="frozen"/>
      <selection pane="topRight"/>
      <selection pane="bottomLeft"/>
      <selection pane="bottomRight" activeCell="H43" sqref="H43"/>
    </sheetView>
  </sheetViews>
  <sheetFormatPr defaultRowHeight="12.75"/>
  <cols>
    <col min="1" max="1" width="46.7109375" customWidth="1"/>
    <col min="2" max="2" width="14.42578125" customWidth="1"/>
    <col min="3" max="14" width="11.7109375" style="3" customWidth="1"/>
    <col min="15" max="15" width="11.7109375" style="12" customWidth="1"/>
    <col min="16" max="27" width="11.7109375" style="3" customWidth="1"/>
    <col min="28" max="28" width="11.7109375" style="12" customWidth="1"/>
    <col min="29" max="40" width="11.7109375" style="3" customWidth="1"/>
    <col min="41" max="41" width="11.7109375" style="12" customWidth="1"/>
    <col min="42" max="53" width="11.7109375" style="3" customWidth="1"/>
    <col min="54" max="54" width="11.7109375" style="12" customWidth="1"/>
  </cols>
  <sheetData>
    <row r="1" spans="1:54" ht="12.75" customHeight="1">
      <c r="A1" s="11" t="s">
        <v>95</v>
      </c>
    </row>
    <row r="2" spans="1:54" ht="12.75" customHeight="1">
      <c r="A2" s="49" t="s">
        <v>134</v>
      </c>
      <c r="B2" s="35"/>
    </row>
    <row r="3" spans="1:54" ht="12.75" customHeight="1">
      <c r="A3" s="49" t="s">
        <v>102</v>
      </c>
    </row>
    <row r="4" spans="1:54" ht="12.75" customHeight="1">
      <c r="A4" s="49"/>
      <c r="C4" s="63" t="s">
        <v>104</v>
      </c>
      <c r="D4" s="63" t="s">
        <v>104</v>
      </c>
      <c r="E4" s="63" t="s">
        <v>104</v>
      </c>
      <c r="F4" s="63" t="s">
        <v>104</v>
      </c>
      <c r="G4" s="63" t="s">
        <v>104</v>
      </c>
      <c r="H4" s="63" t="s">
        <v>104</v>
      </c>
      <c r="I4" s="63" t="s">
        <v>104</v>
      </c>
      <c r="J4" s="63" t="s">
        <v>104</v>
      </c>
      <c r="K4" s="63" t="s">
        <v>104</v>
      </c>
      <c r="L4" s="63" t="s">
        <v>104</v>
      </c>
      <c r="M4" s="63" t="s">
        <v>104</v>
      </c>
      <c r="N4" s="63" t="s">
        <v>104</v>
      </c>
      <c r="O4" s="63" t="s">
        <v>104</v>
      </c>
      <c r="P4" s="63" t="s">
        <v>104</v>
      </c>
      <c r="Q4" s="63" t="s">
        <v>104</v>
      </c>
      <c r="R4" s="63" t="s">
        <v>104</v>
      </c>
      <c r="S4" s="63" t="s">
        <v>104</v>
      </c>
      <c r="T4" s="63" t="s">
        <v>104</v>
      </c>
      <c r="U4" s="63" t="s">
        <v>104</v>
      </c>
      <c r="V4" s="63" t="s">
        <v>104</v>
      </c>
      <c r="W4" s="63" t="s">
        <v>104</v>
      </c>
      <c r="X4" s="63" t="s">
        <v>104</v>
      </c>
      <c r="Y4" s="63" t="s">
        <v>104</v>
      </c>
      <c r="Z4" s="63" t="s">
        <v>104</v>
      </c>
      <c r="AA4" s="63" t="s">
        <v>104</v>
      </c>
      <c r="AB4" s="63" t="s">
        <v>104</v>
      </c>
      <c r="AC4" s="63" t="s">
        <v>104</v>
      </c>
      <c r="AD4" s="63" t="s">
        <v>104</v>
      </c>
      <c r="AE4" s="63" t="s">
        <v>104</v>
      </c>
      <c r="AF4" s="63" t="s">
        <v>104</v>
      </c>
      <c r="AG4" s="63" t="s">
        <v>104</v>
      </c>
      <c r="AH4" s="63" t="s">
        <v>104</v>
      </c>
      <c r="AI4" s="63" t="s">
        <v>104</v>
      </c>
      <c r="AJ4" s="63" t="s">
        <v>104</v>
      </c>
      <c r="AK4" s="63" t="s">
        <v>104</v>
      </c>
      <c r="AL4" s="63" t="s">
        <v>104</v>
      </c>
      <c r="AM4" s="63" t="s">
        <v>104</v>
      </c>
      <c r="AN4" s="63" t="s">
        <v>104</v>
      </c>
      <c r="AO4" s="63" t="s">
        <v>104</v>
      </c>
      <c r="AP4" s="63" t="s">
        <v>104</v>
      </c>
      <c r="AQ4" s="63" t="s">
        <v>104</v>
      </c>
      <c r="AR4" s="63" t="s">
        <v>104</v>
      </c>
      <c r="AS4" s="63" t="s">
        <v>104</v>
      </c>
      <c r="AT4" s="63" t="s">
        <v>104</v>
      </c>
      <c r="AU4" s="63" t="s">
        <v>104</v>
      </c>
      <c r="AV4" s="63" t="s">
        <v>104</v>
      </c>
      <c r="AW4" s="63" t="s">
        <v>104</v>
      </c>
      <c r="AX4" s="63" t="s">
        <v>104</v>
      </c>
      <c r="AY4" s="63" t="s">
        <v>104</v>
      </c>
      <c r="AZ4" s="63" t="s">
        <v>104</v>
      </c>
      <c r="BA4" s="63" t="s">
        <v>104</v>
      </c>
      <c r="BB4" s="63" t="s">
        <v>104</v>
      </c>
    </row>
    <row r="5" spans="1:54" ht="25.5">
      <c r="B5" s="1"/>
      <c r="C5" s="62" t="s">
        <v>135</v>
      </c>
      <c r="D5" s="62" t="s">
        <v>135</v>
      </c>
      <c r="E5" s="62" t="s">
        <v>135</v>
      </c>
      <c r="F5" s="62" t="s">
        <v>135</v>
      </c>
      <c r="G5" s="62" t="s">
        <v>88</v>
      </c>
      <c r="H5" s="62" t="s">
        <v>88</v>
      </c>
      <c r="I5" s="62" t="s">
        <v>88</v>
      </c>
      <c r="J5" s="62" t="s">
        <v>88</v>
      </c>
      <c r="K5" s="62" t="s">
        <v>88</v>
      </c>
      <c r="L5" s="62" t="s">
        <v>88</v>
      </c>
      <c r="M5" s="62" t="s">
        <v>88</v>
      </c>
      <c r="N5" s="62" t="s">
        <v>88</v>
      </c>
      <c r="O5" s="62" t="s">
        <v>88</v>
      </c>
      <c r="P5" s="62" t="s">
        <v>96</v>
      </c>
      <c r="Q5" s="62" t="s">
        <v>96</v>
      </c>
      <c r="R5" s="62" t="s">
        <v>96</v>
      </c>
      <c r="S5" s="62" t="s">
        <v>96</v>
      </c>
      <c r="T5" s="62" t="s">
        <v>96</v>
      </c>
      <c r="U5" s="62" t="s">
        <v>96</v>
      </c>
      <c r="V5" s="62" t="s">
        <v>96</v>
      </c>
      <c r="W5" s="62" t="s">
        <v>96</v>
      </c>
      <c r="X5" s="62" t="s">
        <v>96</v>
      </c>
      <c r="Y5" s="62" t="s">
        <v>96</v>
      </c>
      <c r="Z5" s="62" t="s">
        <v>96</v>
      </c>
      <c r="AA5" s="62" t="s">
        <v>96</v>
      </c>
      <c r="AB5" s="62" t="s">
        <v>96</v>
      </c>
      <c r="AC5" s="62" t="s">
        <v>117</v>
      </c>
      <c r="AD5" s="62" t="s">
        <v>117</v>
      </c>
      <c r="AE5" s="62" t="s">
        <v>117</v>
      </c>
      <c r="AF5" s="62" t="s">
        <v>117</v>
      </c>
      <c r="AG5" s="62" t="s">
        <v>117</v>
      </c>
      <c r="AH5" s="62" t="s">
        <v>117</v>
      </c>
      <c r="AI5" s="62" t="s">
        <v>117</v>
      </c>
      <c r="AJ5" s="62" t="s">
        <v>117</v>
      </c>
      <c r="AK5" s="62" t="s">
        <v>117</v>
      </c>
      <c r="AL5" s="62" t="s">
        <v>117</v>
      </c>
      <c r="AM5" s="62" t="s">
        <v>117</v>
      </c>
      <c r="AN5" s="62" t="s">
        <v>117</v>
      </c>
      <c r="AO5" s="62" t="s">
        <v>117</v>
      </c>
      <c r="AP5" s="62" t="s">
        <v>118</v>
      </c>
      <c r="AQ5" s="62" t="s">
        <v>118</v>
      </c>
      <c r="AR5" s="62" t="s">
        <v>118</v>
      </c>
      <c r="AS5" s="62" t="s">
        <v>118</v>
      </c>
      <c r="AT5" s="62" t="s">
        <v>118</v>
      </c>
      <c r="AU5" s="62" t="s">
        <v>118</v>
      </c>
      <c r="AV5" s="62" t="s">
        <v>118</v>
      </c>
      <c r="AW5" s="62" t="s">
        <v>118</v>
      </c>
      <c r="AX5" s="62" t="s">
        <v>118</v>
      </c>
      <c r="AY5" s="62" t="s">
        <v>118</v>
      </c>
      <c r="AZ5" s="62" t="s">
        <v>118</v>
      </c>
      <c r="BA5" s="62" t="s">
        <v>118</v>
      </c>
      <c r="BB5" s="62" t="s">
        <v>118</v>
      </c>
    </row>
    <row r="6" spans="1:54">
      <c r="B6" s="1"/>
      <c r="C6" s="2" t="s">
        <v>0</v>
      </c>
      <c r="D6" s="2" t="s">
        <v>1</v>
      </c>
      <c r="E6" s="2" t="s">
        <v>2</v>
      </c>
      <c r="F6" s="2" t="s">
        <v>3</v>
      </c>
      <c r="G6" s="2" t="s">
        <v>4</v>
      </c>
      <c r="H6" s="2" t="s">
        <v>5</v>
      </c>
      <c r="I6" s="2" t="s">
        <v>6</v>
      </c>
      <c r="J6" s="2" t="s">
        <v>7</v>
      </c>
      <c r="K6" s="2" t="s">
        <v>8</v>
      </c>
      <c r="L6" s="2" t="s">
        <v>9</v>
      </c>
      <c r="M6" s="2" t="s">
        <v>10</v>
      </c>
      <c r="N6" s="2" t="s">
        <v>11</v>
      </c>
      <c r="O6" s="13" t="s">
        <v>42</v>
      </c>
      <c r="P6" s="2" t="s">
        <v>0</v>
      </c>
      <c r="Q6" s="2" t="s">
        <v>1</v>
      </c>
      <c r="R6" s="2" t="s">
        <v>2</v>
      </c>
      <c r="S6" s="2" t="s">
        <v>3</v>
      </c>
      <c r="T6" s="2" t="s">
        <v>4</v>
      </c>
      <c r="U6" s="2" t="s">
        <v>5</v>
      </c>
      <c r="V6" s="2" t="s">
        <v>6</v>
      </c>
      <c r="W6" s="2" t="s">
        <v>7</v>
      </c>
      <c r="X6" s="2" t="s">
        <v>8</v>
      </c>
      <c r="Y6" s="2" t="s">
        <v>9</v>
      </c>
      <c r="Z6" s="2" t="s">
        <v>10</v>
      </c>
      <c r="AA6" s="2" t="s">
        <v>11</v>
      </c>
      <c r="AB6" s="13" t="s">
        <v>42</v>
      </c>
      <c r="AC6" s="2" t="s">
        <v>0</v>
      </c>
      <c r="AD6" s="2" t="s">
        <v>1</v>
      </c>
      <c r="AE6" s="2" t="s">
        <v>2</v>
      </c>
      <c r="AF6" s="2" t="s">
        <v>3</v>
      </c>
      <c r="AG6" s="2" t="s">
        <v>4</v>
      </c>
      <c r="AH6" s="2" t="s">
        <v>5</v>
      </c>
      <c r="AI6" s="2" t="s">
        <v>6</v>
      </c>
      <c r="AJ6" s="2" t="s">
        <v>7</v>
      </c>
      <c r="AK6" s="2" t="s">
        <v>8</v>
      </c>
      <c r="AL6" s="2" t="s">
        <v>9</v>
      </c>
      <c r="AM6" s="2" t="s">
        <v>10</v>
      </c>
      <c r="AN6" s="2" t="s">
        <v>11</v>
      </c>
      <c r="AO6" s="13" t="s">
        <v>42</v>
      </c>
      <c r="AP6" s="2" t="s">
        <v>0</v>
      </c>
      <c r="AQ6" s="2" t="s">
        <v>1</v>
      </c>
      <c r="AR6" s="2" t="s">
        <v>2</v>
      </c>
      <c r="AS6" s="2" t="s">
        <v>3</v>
      </c>
      <c r="AT6" s="2" t="s">
        <v>4</v>
      </c>
      <c r="AU6" s="2" t="s">
        <v>5</v>
      </c>
      <c r="AV6" s="2" t="s">
        <v>6</v>
      </c>
      <c r="AW6" s="2" t="s">
        <v>7</v>
      </c>
      <c r="AX6" s="2" t="s">
        <v>8</v>
      </c>
      <c r="AY6" s="2" t="s">
        <v>9</v>
      </c>
      <c r="AZ6" s="2" t="s">
        <v>10</v>
      </c>
      <c r="BA6" s="2" t="s">
        <v>11</v>
      </c>
      <c r="BB6" s="13" t="s">
        <v>42</v>
      </c>
    </row>
    <row r="7" spans="1:54">
      <c r="A7" s="51" t="s">
        <v>98</v>
      </c>
      <c r="B7" s="29" t="s">
        <v>12</v>
      </c>
      <c r="C7" s="50">
        <v>318.00200000000001</v>
      </c>
      <c r="D7" s="50">
        <v>366</v>
      </c>
      <c r="E7" s="50">
        <v>534.00199999999995</v>
      </c>
      <c r="F7" s="50">
        <v>240.001</v>
      </c>
      <c r="G7" s="50">
        <v>550</v>
      </c>
      <c r="H7" s="50">
        <v>427</v>
      </c>
      <c r="I7" s="50">
        <v>458</v>
      </c>
      <c r="J7" s="50">
        <v>519</v>
      </c>
      <c r="K7" s="50">
        <v>408</v>
      </c>
      <c r="L7" s="50">
        <v>417</v>
      </c>
      <c r="M7" s="50">
        <v>494</v>
      </c>
      <c r="N7" s="50">
        <v>409</v>
      </c>
      <c r="O7" s="45">
        <v>5140.0050000000001</v>
      </c>
      <c r="P7" s="50">
        <v>397</v>
      </c>
      <c r="Q7" s="50">
        <v>458</v>
      </c>
      <c r="R7" s="50">
        <v>369</v>
      </c>
      <c r="S7" s="50">
        <v>361</v>
      </c>
      <c r="T7" s="50">
        <v>455</v>
      </c>
      <c r="U7" s="50">
        <v>371</v>
      </c>
      <c r="V7" s="50">
        <v>363</v>
      </c>
      <c r="W7" s="50">
        <v>416</v>
      </c>
      <c r="X7" s="50">
        <v>372</v>
      </c>
      <c r="Y7" s="50">
        <v>328</v>
      </c>
      <c r="Z7" s="50">
        <v>433</v>
      </c>
      <c r="AA7" s="50">
        <v>338</v>
      </c>
      <c r="AB7" s="45">
        <v>4661</v>
      </c>
      <c r="AC7" s="50">
        <v>337</v>
      </c>
      <c r="AD7" s="50">
        <v>397</v>
      </c>
      <c r="AE7" s="50">
        <v>315</v>
      </c>
      <c r="AF7" s="50">
        <v>304</v>
      </c>
      <c r="AG7" s="50">
        <v>400</v>
      </c>
      <c r="AH7" s="50">
        <v>344</v>
      </c>
      <c r="AI7" s="50">
        <v>328</v>
      </c>
      <c r="AJ7" s="50">
        <v>394</v>
      </c>
      <c r="AK7" s="50">
        <v>340</v>
      </c>
      <c r="AL7" s="50">
        <v>306</v>
      </c>
      <c r="AM7" s="50">
        <v>420</v>
      </c>
      <c r="AN7" s="50">
        <v>305</v>
      </c>
      <c r="AO7" s="45">
        <v>4190</v>
      </c>
      <c r="AP7" s="50">
        <v>366</v>
      </c>
      <c r="AQ7" s="50">
        <v>288</v>
      </c>
      <c r="AR7" s="28">
        <v>333</v>
      </c>
      <c r="AS7" s="28">
        <v>318</v>
      </c>
      <c r="AT7" s="28">
        <v>319.89999999999998</v>
      </c>
      <c r="AU7" s="28">
        <v>0</v>
      </c>
      <c r="AV7" s="28">
        <v>0</v>
      </c>
      <c r="AW7" s="28">
        <v>0</v>
      </c>
      <c r="AX7" s="28">
        <v>0</v>
      </c>
      <c r="AY7" s="28">
        <v>0</v>
      </c>
      <c r="AZ7" s="28">
        <v>0</v>
      </c>
      <c r="BA7" s="28">
        <v>0</v>
      </c>
      <c r="BB7" s="45">
        <v>1624.9</v>
      </c>
    </row>
    <row r="8" spans="1:54">
      <c r="A8" s="29" t="s">
        <v>57</v>
      </c>
      <c r="B8" s="29" t="s">
        <v>12</v>
      </c>
      <c r="C8" s="28">
        <v>4560.0010000000002</v>
      </c>
      <c r="D8" s="28">
        <v>5586</v>
      </c>
      <c r="E8" s="28">
        <v>7842.0070000000014</v>
      </c>
      <c r="F8" s="28">
        <v>3906.0020000000004</v>
      </c>
      <c r="G8" s="28">
        <v>6854.3664210810512</v>
      </c>
      <c r="H8" s="28">
        <v>5216.790673792746</v>
      </c>
      <c r="I8" s="28">
        <v>5372.0601535666647</v>
      </c>
      <c r="J8" s="28">
        <v>5657</v>
      </c>
      <c r="K8" s="28">
        <v>4658</v>
      </c>
      <c r="L8" s="28">
        <v>4404.9778304848169</v>
      </c>
      <c r="M8" s="28">
        <v>4726.2285828913027</v>
      </c>
      <c r="N8" s="28">
        <v>4379.6066080970877</v>
      </c>
      <c r="O8" s="45">
        <v>63163.040269913676</v>
      </c>
      <c r="P8" s="28">
        <v>5149.4472417204579</v>
      </c>
      <c r="Q8" s="28">
        <v>5250</v>
      </c>
      <c r="R8" s="28">
        <v>4490</v>
      </c>
      <c r="S8" s="28">
        <v>4883.2163988985012</v>
      </c>
      <c r="T8" s="28">
        <v>5406</v>
      </c>
      <c r="U8" s="28">
        <v>4653</v>
      </c>
      <c r="V8" s="28">
        <v>4929.7047791502828</v>
      </c>
      <c r="W8" s="28">
        <v>5143</v>
      </c>
      <c r="X8" s="28">
        <v>4685</v>
      </c>
      <c r="Y8" s="28">
        <v>4817.4550467591216</v>
      </c>
      <c r="Z8" s="28">
        <v>5354</v>
      </c>
      <c r="AA8" s="28">
        <v>4703</v>
      </c>
      <c r="AB8" s="45">
        <v>59463.82346652836</v>
      </c>
      <c r="AC8" s="28">
        <v>4487.7787614743665</v>
      </c>
      <c r="AD8" s="28">
        <v>5192</v>
      </c>
      <c r="AE8" s="28">
        <v>4395</v>
      </c>
      <c r="AF8" s="28">
        <v>4240.511129796404</v>
      </c>
      <c r="AG8" s="28">
        <v>5214</v>
      </c>
      <c r="AH8" s="28">
        <v>4679</v>
      </c>
      <c r="AI8" s="28">
        <v>4479.0792708182153</v>
      </c>
      <c r="AJ8" s="28">
        <v>5135</v>
      </c>
      <c r="AK8" s="28">
        <v>4615</v>
      </c>
      <c r="AL8" s="28">
        <v>4263.8079922532688</v>
      </c>
      <c r="AM8" s="28">
        <v>5339</v>
      </c>
      <c r="AN8" s="28">
        <v>4307</v>
      </c>
      <c r="AO8" s="45">
        <v>56347.177154342251</v>
      </c>
      <c r="AP8" s="28">
        <v>4697.0260096123338</v>
      </c>
      <c r="AQ8" s="28">
        <v>4136</v>
      </c>
      <c r="AR8" s="28">
        <v>4428.6753365374443</v>
      </c>
      <c r="AS8" s="28">
        <v>4407.6753365374443</v>
      </c>
      <c r="AT8" s="28">
        <v>4580.5420032041102</v>
      </c>
      <c r="AU8" s="28">
        <v>0</v>
      </c>
      <c r="AV8" s="28">
        <v>0</v>
      </c>
      <c r="AW8" s="28">
        <v>0</v>
      </c>
      <c r="AX8" s="28">
        <v>0</v>
      </c>
      <c r="AY8" s="28">
        <v>0</v>
      </c>
      <c r="AZ8" s="28">
        <v>0</v>
      </c>
      <c r="BA8" s="28">
        <v>0</v>
      </c>
      <c r="BB8" s="45">
        <v>22249.918685891331</v>
      </c>
    </row>
    <row r="9" spans="1:54">
      <c r="A9" s="29" t="s">
        <v>99</v>
      </c>
      <c r="B9" s="29" t="s">
        <v>12</v>
      </c>
      <c r="C9" s="28">
        <v>3.0000000000000001E-3</v>
      </c>
      <c r="D9" s="28">
        <v>3.0000000000000001E-3</v>
      </c>
      <c r="E9" s="28">
        <v>4.0000000000000001E-3</v>
      </c>
      <c r="F9" s="28">
        <v>3.0000000000000001E-3</v>
      </c>
      <c r="G9" s="28">
        <v>0</v>
      </c>
      <c r="H9" s="28">
        <v>0</v>
      </c>
      <c r="I9" s="28">
        <v>0</v>
      </c>
      <c r="J9" s="28">
        <v>0</v>
      </c>
      <c r="K9" s="28">
        <v>0</v>
      </c>
      <c r="L9" s="28">
        <v>0</v>
      </c>
      <c r="M9" s="28">
        <v>0</v>
      </c>
      <c r="N9" s="28">
        <v>0</v>
      </c>
      <c r="O9" s="45">
        <v>1.3000000000000001E-2</v>
      </c>
      <c r="P9" s="28">
        <v>0</v>
      </c>
      <c r="Q9" s="28">
        <v>0</v>
      </c>
      <c r="R9" s="28">
        <v>0</v>
      </c>
      <c r="S9" s="28">
        <v>0</v>
      </c>
      <c r="T9" s="28">
        <v>0</v>
      </c>
      <c r="U9" s="28">
        <v>0</v>
      </c>
      <c r="V9" s="28">
        <v>0</v>
      </c>
      <c r="W9" s="28">
        <v>0</v>
      </c>
      <c r="X9" s="28">
        <v>0</v>
      </c>
      <c r="Y9" s="28">
        <v>0</v>
      </c>
      <c r="Z9" s="28">
        <v>0</v>
      </c>
      <c r="AA9" s="28">
        <v>0</v>
      </c>
      <c r="AB9" s="45">
        <v>0</v>
      </c>
      <c r="AC9" s="28">
        <v>0</v>
      </c>
      <c r="AD9" s="28">
        <v>0</v>
      </c>
      <c r="AE9" s="28">
        <v>0</v>
      </c>
      <c r="AF9" s="28">
        <v>0</v>
      </c>
      <c r="AG9" s="28">
        <v>0</v>
      </c>
      <c r="AH9" s="28">
        <v>0</v>
      </c>
      <c r="AI9" s="28">
        <v>0</v>
      </c>
      <c r="AJ9" s="28">
        <v>0</v>
      </c>
      <c r="AK9" s="28">
        <v>0</v>
      </c>
      <c r="AL9" s="28">
        <v>0</v>
      </c>
      <c r="AM9" s="28">
        <v>0</v>
      </c>
      <c r="AN9" s="28">
        <v>0</v>
      </c>
      <c r="AO9" s="45">
        <v>0</v>
      </c>
      <c r="AP9" s="28">
        <v>0</v>
      </c>
      <c r="AQ9" s="28">
        <v>0</v>
      </c>
      <c r="AR9" s="28">
        <v>0</v>
      </c>
      <c r="AS9" s="28">
        <v>0</v>
      </c>
      <c r="AT9" s="28">
        <v>0</v>
      </c>
      <c r="AU9" s="28">
        <v>0</v>
      </c>
      <c r="AV9" s="28">
        <v>0</v>
      </c>
      <c r="AW9" s="28">
        <v>0</v>
      </c>
      <c r="AX9" s="28">
        <v>0</v>
      </c>
      <c r="AY9" s="28">
        <v>0</v>
      </c>
      <c r="AZ9" s="28">
        <v>0</v>
      </c>
      <c r="BA9" s="28">
        <v>0</v>
      </c>
      <c r="BB9" s="45">
        <v>0</v>
      </c>
    </row>
    <row r="10" spans="1:54">
      <c r="A10" s="61" t="s">
        <v>100</v>
      </c>
      <c r="B10" s="29" t="s">
        <v>12</v>
      </c>
      <c r="C10" s="28">
        <v>11375</v>
      </c>
      <c r="D10" s="28">
        <v>14904</v>
      </c>
      <c r="E10" s="28">
        <v>20832</v>
      </c>
      <c r="F10" s="28">
        <v>12336</v>
      </c>
      <c r="G10" s="28">
        <v>24822.335727855883</v>
      </c>
      <c r="H10" s="28">
        <v>18185.66983975939</v>
      </c>
      <c r="I10" s="28">
        <v>28840.782861135416</v>
      </c>
      <c r="J10" s="28">
        <v>37678.115532782096</v>
      </c>
      <c r="K10" s="28">
        <v>23860.656819415668</v>
      </c>
      <c r="L10" s="28">
        <v>23733.018175368896</v>
      </c>
      <c r="M10" s="28">
        <v>24234.106741843068</v>
      </c>
      <c r="N10" s="28">
        <v>24178.989597532982</v>
      </c>
      <c r="O10" s="45">
        <v>264980.67529569339</v>
      </c>
      <c r="P10" s="28">
        <v>19865.442116244547</v>
      </c>
      <c r="Q10" s="28">
        <v>13206.048639783818</v>
      </c>
      <c r="R10" s="28">
        <v>8752.9775900405966</v>
      </c>
      <c r="S10" s="28">
        <v>5680.6479955371778</v>
      </c>
      <c r="T10" s="28">
        <v>3720.4747970790518</v>
      </c>
      <c r="U10" s="28">
        <v>2374.1937275711143</v>
      </c>
      <c r="V10" s="28">
        <v>2378.3199077404834</v>
      </c>
      <c r="W10" s="28">
        <v>2404.566162832878</v>
      </c>
      <c r="X10" s="28">
        <v>2432.8002635157827</v>
      </c>
      <c r="Y10" s="28">
        <v>2447.6957967331068</v>
      </c>
      <c r="Z10" s="28">
        <v>2471.9682442457906</v>
      </c>
      <c r="AA10" s="28">
        <v>2483.7957300762005</v>
      </c>
      <c r="AB10" s="45">
        <v>68218.93097140055</v>
      </c>
      <c r="AC10" s="28">
        <v>2501.4440470521681</v>
      </c>
      <c r="AD10" s="28">
        <v>2148.9835912129734</v>
      </c>
      <c r="AE10" s="28">
        <v>1355.2981620961309</v>
      </c>
      <c r="AF10" s="28">
        <v>812.23331897112303</v>
      </c>
      <c r="AG10" s="28">
        <v>461.23795285237827</v>
      </c>
      <c r="AH10" s="28">
        <v>219.71458744615379</v>
      </c>
      <c r="AI10" s="28">
        <v>54.786626657363541</v>
      </c>
      <c r="AJ10" s="28">
        <v>0</v>
      </c>
      <c r="AK10" s="28">
        <v>0</v>
      </c>
      <c r="AL10" s="28">
        <v>0</v>
      </c>
      <c r="AM10" s="28">
        <v>0</v>
      </c>
      <c r="AN10" s="28">
        <v>0</v>
      </c>
      <c r="AO10" s="45">
        <v>7553.6982862882915</v>
      </c>
      <c r="AP10" s="28">
        <v>0</v>
      </c>
      <c r="AQ10" s="28">
        <v>0</v>
      </c>
      <c r="AR10" s="28">
        <v>0</v>
      </c>
      <c r="AS10" s="28">
        <v>0</v>
      </c>
      <c r="AT10" s="28">
        <v>0</v>
      </c>
      <c r="AU10" s="28">
        <v>0</v>
      </c>
      <c r="AV10" s="28">
        <v>0</v>
      </c>
      <c r="AW10" s="28">
        <v>0</v>
      </c>
      <c r="AX10" s="28">
        <v>0</v>
      </c>
      <c r="AY10" s="28">
        <v>0</v>
      </c>
      <c r="AZ10" s="28">
        <v>0</v>
      </c>
      <c r="BA10" s="28">
        <v>0</v>
      </c>
      <c r="BB10" s="45">
        <v>0</v>
      </c>
    </row>
    <row r="11" spans="1:54">
      <c r="A11" s="61" t="s">
        <v>107</v>
      </c>
      <c r="B11" s="29" t="s">
        <v>12</v>
      </c>
      <c r="C11" s="28">
        <v>0</v>
      </c>
      <c r="D11" s="28">
        <v>0</v>
      </c>
      <c r="E11" s="28">
        <v>0</v>
      </c>
      <c r="F11" s="28">
        <v>0</v>
      </c>
      <c r="G11" s="28">
        <v>0</v>
      </c>
      <c r="H11" s="28">
        <v>0</v>
      </c>
      <c r="I11" s="28">
        <v>0</v>
      </c>
      <c r="J11" s="28">
        <v>0</v>
      </c>
      <c r="K11" s="28">
        <v>0</v>
      </c>
      <c r="L11" s="28">
        <v>0</v>
      </c>
      <c r="M11" s="28">
        <v>0</v>
      </c>
      <c r="N11" s="28">
        <v>0</v>
      </c>
      <c r="O11" s="45">
        <v>0</v>
      </c>
      <c r="P11" s="28">
        <v>21739</v>
      </c>
      <c r="Q11" s="28">
        <v>15021.427581175085</v>
      </c>
      <c r="R11" s="28">
        <v>13201</v>
      </c>
      <c r="S11" s="28">
        <v>21265</v>
      </c>
      <c r="T11" s="28">
        <v>24150.479275168895</v>
      </c>
      <c r="U11" s="28">
        <v>18521</v>
      </c>
      <c r="V11" s="28">
        <v>22696</v>
      </c>
      <c r="W11" s="28">
        <v>24869.095465495906</v>
      </c>
      <c r="X11" s="28">
        <v>19158</v>
      </c>
      <c r="Y11" s="28">
        <v>22395</v>
      </c>
      <c r="Z11" s="28">
        <v>26196</v>
      </c>
      <c r="AA11" s="28">
        <v>24197</v>
      </c>
      <c r="AB11" s="45">
        <v>253409.00232183986</v>
      </c>
      <c r="AC11" s="28">
        <v>22513</v>
      </c>
      <c r="AD11" s="28">
        <v>22754.428746149555</v>
      </c>
      <c r="AE11" s="28">
        <v>18905</v>
      </c>
      <c r="AF11" s="28">
        <v>16021</v>
      </c>
      <c r="AG11" s="28">
        <v>14294.978618288878</v>
      </c>
      <c r="AH11" s="28">
        <v>13040</v>
      </c>
      <c r="AI11" s="28">
        <v>12113</v>
      </c>
      <c r="AJ11" s="28">
        <v>11582.387465336637</v>
      </c>
      <c r="AK11" s="28">
        <v>11814</v>
      </c>
      <c r="AL11" s="28">
        <v>11977</v>
      </c>
      <c r="AM11" s="28">
        <v>12191.546167150693</v>
      </c>
      <c r="AN11" s="28">
        <v>12340</v>
      </c>
      <c r="AO11" s="45">
        <v>179546.34099692578</v>
      </c>
      <c r="AP11" s="28">
        <v>12360</v>
      </c>
      <c r="AQ11" s="28">
        <v>12890</v>
      </c>
      <c r="AR11" s="28">
        <v>12960</v>
      </c>
      <c r="AS11" s="28">
        <v>13336.666666666701</v>
      </c>
      <c r="AT11" s="28">
        <v>13636.666666666701</v>
      </c>
      <c r="AU11" s="28">
        <v>0</v>
      </c>
      <c r="AV11" s="28">
        <v>0</v>
      </c>
      <c r="AW11" s="28">
        <v>0</v>
      </c>
      <c r="AX11" s="28">
        <v>0</v>
      </c>
      <c r="AY11" s="28">
        <v>0</v>
      </c>
      <c r="AZ11" s="28">
        <v>0</v>
      </c>
      <c r="BA11" s="28">
        <v>0</v>
      </c>
      <c r="BB11" s="45">
        <v>65183.333333333401</v>
      </c>
    </row>
    <row r="12" spans="1:54">
      <c r="A12" s="61" t="s">
        <v>108</v>
      </c>
      <c r="B12" s="29" t="s">
        <v>12</v>
      </c>
      <c r="C12" s="28">
        <v>0</v>
      </c>
      <c r="D12" s="28">
        <v>0</v>
      </c>
      <c r="E12" s="28">
        <v>0</v>
      </c>
      <c r="F12" s="28">
        <v>0</v>
      </c>
      <c r="G12" s="28">
        <v>0</v>
      </c>
      <c r="H12" s="28">
        <v>0</v>
      </c>
      <c r="I12" s="28">
        <v>0</v>
      </c>
      <c r="J12" s="28">
        <v>0</v>
      </c>
      <c r="K12" s="28">
        <v>0</v>
      </c>
      <c r="L12" s="28">
        <v>0</v>
      </c>
      <c r="M12" s="28">
        <v>0</v>
      </c>
      <c r="N12" s="28">
        <v>0</v>
      </c>
      <c r="O12" s="45">
        <v>0</v>
      </c>
      <c r="P12" s="28">
        <v>0</v>
      </c>
      <c r="Q12" s="28">
        <v>0</v>
      </c>
      <c r="R12" s="28">
        <v>0</v>
      </c>
      <c r="S12" s="28">
        <v>0</v>
      </c>
      <c r="T12" s="28">
        <v>0</v>
      </c>
      <c r="U12" s="28">
        <v>0</v>
      </c>
      <c r="V12" s="28">
        <v>0</v>
      </c>
      <c r="W12" s="28">
        <v>0</v>
      </c>
      <c r="X12" s="28">
        <v>0</v>
      </c>
      <c r="Y12" s="28">
        <v>0</v>
      </c>
      <c r="Z12" s="28">
        <v>0</v>
      </c>
      <c r="AA12" s="28">
        <v>0</v>
      </c>
      <c r="AB12" s="45">
        <v>0</v>
      </c>
      <c r="AC12" s="28">
        <v>0</v>
      </c>
      <c r="AD12" s="28">
        <v>0</v>
      </c>
      <c r="AE12" s="28">
        <v>0</v>
      </c>
      <c r="AF12" s="28">
        <v>0</v>
      </c>
      <c r="AG12" s="28">
        <v>0</v>
      </c>
      <c r="AH12" s="28">
        <v>0</v>
      </c>
      <c r="AI12" s="28">
        <v>0</v>
      </c>
      <c r="AJ12" s="28">
        <v>0</v>
      </c>
      <c r="AK12" s="28">
        <v>0</v>
      </c>
      <c r="AL12" s="28">
        <v>0</v>
      </c>
      <c r="AM12" s="28">
        <v>0</v>
      </c>
      <c r="AN12" s="28">
        <v>0</v>
      </c>
      <c r="AO12" s="45">
        <v>0</v>
      </c>
      <c r="AP12" s="28">
        <v>0</v>
      </c>
      <c r="AQ12" s="28">
        <v>0</v>
      </c>
      <c r="AR12" s="28">
        <v>0</v>
      </c>
      <c r="AS12" s="28">
        <v>0</v>
      </c>
      <c r="AT12" s="28">
        <v>0</v>
      </c>
      <c r="AU12" s="28">
        <v>0</v>
      </c>
      <c r="AV12" s="28">
        <v>0</v>
      </c>
      <c r="AW12" s="28">
        <v>0</v>
      </c>
      <c r="AX12" s="28">
        <v>0</v>
      </c>
      <c r="AY12" s="28">
        <v>0</v>
      </c>
      <c r="AZ12" s="28">
        <v>0</v>
      </c>
      <c r="BA12" s="28">
        <v>0</v>
      </c>
      <c r="BB12" s="45">
        <v>0</v>
      </c>
    </row>
    <row r="13" spans="1:54">
      <c r="A13" s="61" t="s">
        <v>101</v>
      </c>
      <c r="B13" s="29" t="s">
        <v>12</v>
      </c>
      <c r="C13" s="28">
        <v>7524</v>
      </c>
      <c r="D13" s="28">
        <v>9864</v>
      </c>
      <c r="E13" s="28">
        <v>9396</v>
      </c>
      <c r="F13" s="28">
        <v>6120</v>
      </c>
      <c r="G13" s="28">
        <v>11671.249424073983</v>
      </c>
      <c r="H13" s="28">
        <v>8920.1262558830913</v>
      </c>
      <c r="I13" s="28">
        <v>7297</v>
      </c>
      <c r="J13" s="28">
        <v>9875</v>
      </c>
      <c r="K13" s="28">
        <v>6544</v>
      </c>
      <c r="L13" s="28">
        <v>6533.701960698083</v>
      </c>
      <c r="M13" s="28">
        <v>10546.388368102309</v>
      </c>
      <c r="N13" s="28">
        <v>8045.3200363106953</v>
      </c>
      <c r="O13" s="45">
        <v>102336.78604506816</v>
      </c>
      <c r="P13" s="28">
        <v>7876</v>
      </c>
      <c r="Q13" s="28">
        <v>11616</v>
      </c>
      <c r="R13" s="28">
        <v>1936</v>
      </c>
      <c r="S13" s="28">
        <v>581</v>
      </c>
      <c r="T13" s="28">
        <v>1111</v>
      </c>
      <c r="U13" s="28">
        <v>466</v>
      </c>
      <c r="V13" s="28">
        <v>500</v>
      </c>
      <c r="W13" s="28">
        <v>660</v>
      </c>
      <c r="X13" s="28">
        <v>415</v>
      </c>
      <c r="Y13" s="28">
        <v>464</v>
      </c>
      <c r="Z13" s="28">
        <v>794</v>
      </c>
      <c r="AA13" s="28">
        <v>475</v>
      </c>
      <c r="AB13" s="45">
        <v>26894</v>
      </c>
      <c r="AC13" s="28">
        <v>517</v>
      </c>
      <c r="AD13" s="28">
        <v>809</v>
      </c>
      <c r="AE13" s="28">
        <v>516</v>
      </c>
      <c r="AF13" s="28">
        <v>511</v>
      </c>
      <c r="AG13" s="28">
        <v>829</v>
      </c>
      <c r="AH13" s="28">
        <v>555</v>
      </c>
      <c r="AI13" s="28">
        <v>606</v>
      </c>
      <c r="AJ13" s="28">
        <v>877</v>
      </c>
      <c r="AK13" s="28">
        <v>560</v>
      </c>
      <c r="AL13" s="28">
        <v>586</v>
      </c>
      <c r="AM13" s="28">
        <v>1021</v>
      </c>
      <c r="AN13" s="28">
        <v>562</v>
      </c>
      <c r="AO13" s="45">
        <v>7949</v>
      </c>
      <c r="AP13" s="28">
        <v>738</v>
      </c>
      <c r="AQ13" s="28">
        <v>833</v>
      </c>
      <c r="AR13" s="28">
        <v>710</v>
      </c>
      <c r="AS13" s="28">
        <v>799</v>
      </c>
      <c r="AT13" s="28">
        <v>746.66666666666606</v>
      </c>
      <c r="AU13" s="28">
        <v>0</v>
      </c>
      <c r="AV13" s="28">
        <v>0</v>
      </c>
      <c r="AW13" s="28">
        <v>0</v>
      </c>
      <c r="AX13" s="28">
        <v>0</v>
      </c>
      <c r="AY13" s="28">
        <v>0</v>
      </c>
      <c r="AZ13" s="28">
        <v>0</v>
      </c>
      <c r="BA13" s="28">
        <v>0</v>
      </c>
      <c r="BB13" s="45">
        <v>3826.6666666666661</v>
      </c>
    </row>
    <row r="14" spans="1:54">
      <c r="A14" s="61" t="s">
        <v>109</v>
      </c>
      <c r="B14" s="29" t="s">
        <v>12</v>
      </c>
      <c r="C14" s="28">
        <v>408</v>
      </c>
      <c r="D14" s="28">
        <v>816</v>
      </c>
      <c r="E14" s="28">
        <v>1008</v>
      </c>
      <c r="F14" s="28">
        <v>660</v>
      </c>
      <c r="G14" s="28">
        <v>1204</v>
      </c>
      <c r="H14" s="28">
        <v>939</v>
      </c>
      <c r="I14" s="28">
        <v>1312</v>
      </c>
      <c r="J14" s="28">
        <v>2014</v>
      </c>
      <c r="K14" s="28">
        <v>1987</v>
      </c>
      <c r="L14" s="28">
        <v>2350</v>
      </c>
      <c r="M14" s="28">
        <v>3661</v>
      </c>
      <c r="N14" s="28">
        <v>3315</v>
      </c>
      <c r="O14" s="45">
        <v>19674</v>
      </c>
      <c r="P14" s="28">
        <v>3977</v>
      </c>
      <c r="Q14" s="28">
        <v>5070</v>
      </c>
      <c r="R14" s="28">
        <v>2018</v>
      </c>
      <c r="S14" s="28">
        <v>1817</v>
      </c>
      <c r="T14" s="28">
        <v>3074</v>
      </c>
      <c r="U14" s="28">
        <v>2173</v>
      </c>
      <c r="V14" s="28">
        <v>2299</v>
      </c>
      <c r="W14" s="28">
        <v>3095</v>
      </c>
      <c r="X14" s="28">
        <v>2289</v>
      </c>
      <c r="Y14" s="28">
        <v>2185</v>
      </c>
      <c r="Z14" s="28">
        <v>1555</v>
      </c>
      <c r="AA14" s="28">
        <v>330</v>
      </c>
      <c r="AB14" s="45">
        <v>29882</v>
      </c>
      <c r="AC14" s="28">
        <v>233</v>
      </c>
      <c r="AD14" s="28">
        <v>164</v>
      </c>
      <c r="AE14" s="28">
        <v>113</v>
      </c>
      <c r="AF14" s="28">
        <v>113</v>
      </c>
      <c r="AG14" s="28">
        <v>175</v>
      </c>
      <c r="AH14" s="28">
        <v>121</v>
      </c>
      <c r="AI14" s="28">
        <v>128</v>
      </c>
      <c r="AJ14" s="28">
        <v>179</v>
      </c>
      <c r="AK14" s="28">
        <v>119</v>
      </c>
      <c r="AL14" s="28">
        <v>121</v>
      </c>
      <c r="AM14" s="28">
        <v>202</v>
      </c>
      <c r="AN14" s="28">
        <v>116</v>
      </c>
      <c r="AO14" s="45">
        <v>1784</v>
      </c>
      <c r="AP14" s="28">
        <v>148</v>
      </c>
      <c r="AQ14" s="28">
        <v>161</v>
      </c>
      <c r="AR14" s="28">
        <v>145</v>
      </c>
      <c r="AS14" s="28">
        <v>157</v>
      </c>
      <c r="AT14" s="28">
        <v>150.333333333333</v>
      </c>
      <c r="AU14" s="28">
        <v>0</v>
      </c>
      <c r="AV14" s="28">
        <v>0</v>
      </c>
      <c r="AW14" s="28">
        <v>0</v>
      </c>
      <c r="AX14" s="28">
        <v>0</v>
      </c>
      <c r="AY14" s="28">
        <v>0</v>
      </c>
      <c r="AZ14" s="28">
        <v>0</v>
      </c>
      <c r="BA14" s="28">
        <v>0</v>
      </c>
      <c r="BB14" s="45">
        <v>761.33333333333303</v>
      </c>
    </row>
    <row r="15" spans="1:54">
      <c r="A15" s="61" t="s">
        <v>110</v>
      </c>
      <c r="B15" s="29" t="s">
        <v>12</v>
      </c>
      <c r="C15" s="28">
        <v>0</v>
      </c>
      <c r="D15" s="28">
        <v>0</v>
      </c>
      <c r="E15" s="28">
        <v>0</v>
      </c>
      <c r="F15" s="28">
        <v>0</v>
      </c>
      <c r="G15" s="28">
        <v>0</v>
      </c>
      <c r="H15" s="28">
        <v>0</v>
      </c>
      <c r="I15" s="28">
        <v>0</v>
      </c>
      <c r="J15" s="28">
        <v>0</v>
      </c>
      <c r="K15" s="28">
        <v>0</v>
      </c>
      <c r="L15" s="28">
        <v>0</v>
      </c>
      <c r="M15" s="28">
        <v>0</v>
      </c>
      <c r="N15" s="28">
        <v>0</v>
      </c>
      <c r="O15" s="45">
        <v>0</v>
      </c>
      <c r="P15" s="28">
        <v>0</v>
      </c>
      <c r="Q15" s="28">
        <v>0</v>
      </c>
      <c r="R15" s="28">
        <v>0</v>
      </c>
      <c r="S15" s="28">
        <v>0</v>
      </c>
      <c r="T15" s="28">
        <v>0</v>
      </c>
      <c r="U15" s="28">
        <v>0</v>
      </c>
      <c r="V15" s="28">
        <v>1093</v>
      </c>
      <c r="W15" s="28">
        <v>925</v>
      </c>
      <c r="X15" s="28">
        <v>1280</v>
      </c>
      <c r="Y15" s="28">
        <v>2144</v>
      </c>
      <c r="Z15" s="28">
        <v>1957</v>
      </c>
      <c r="AA15" s="28">
        <v>2544</v>
      </c>
      <c r="AB15" s="45">
        <v>9943</v>
      </c>
      <c r="AC15" s="28">
        <v>3164</v>
      </c>
      <c r="AD15" s="28">
        <v>3919</v>
      </c>
      <c r="AE15" s="28">
        <v>3213</v>
      </c>
      <c r="AF15" s="28">
        <v>4192</v>
      </c>
      <c r="AG15" s="28">
        <v>3598</v>
      </c>
      <c r="AH15" s="28">
        <v>4390</v>
      </c>
      <c r="AI15" s="28">
        <v>4996</v>
      </c>
      <c r="AJ15" s="28">
        <v>3605</v>
      </c>
      <c r="AK15" s="28">
        <v>4253</v>
      </c>
      <c r="AL15" s="28">
        <v>5530</v>
      </c>
      <c r="AM15" s="28">
        <v>3797</v>
      </c>
      <c r="AN15" s="28">
        <v>3797</v>
      </c>
      <c r="AO15" s="45">
        <v>48454</v>
      </c>
      <c r="AP15" s="28">
        <v>3797</v>
      </c>
      <c r="AQ15" s="28">
        <v>4295.6727272727303</v>
      </c>
      <c r="AR15" s="28">
        <v>4327.2545454545498</v>
      </c>
      <c r="AS15" s="28">
        <v>4358.8363636363702</v>
      </c>
      <c r="AT15" s="28">
        <v>4623.96363636365</v>
      </c>
      <c r="AU15" s="28">
        <v>0</v>
      </c>
      <c r="AV15" s="28">
        <v>0</v>
      </c>
      <c r="AW15" s="28">
        <v>0</v>
      </c>
      <c r="AX15" s="28">
        <v>0</v>
      </c>
      <c r="AY15" s="28">
        <v>0</v>
      </c>
      <c r="AZ15" s="28">
        <v>0</v>
      </c>
      <c r="BA15" s="28">
        <v>0</v>
      </c>
      <c r="BB15" s="45">
        <v>21402.727272727301</v>
      </c>
    </row>
    <row r="16" spans="1:54">
      <c r="A16" s="61" t="s">
        <v>111</v>
      </c>
      <c r="B16" s="29" t="s">
        <v>12</v>
      </c>
      <c r="C16" s="28">
        <v>0</v>
      </c>
      <c r="D16" s="28">
        <v>0</v>
      </c>
      <c r="E16" s="28">
        <v>0</v>
      </c>
      <c r="F16" s="28">
        <v>0</v>
      </c>
      <c r="G16" s="28">
        <v>0</v>
      </c>
      <c r="H16" s="28">
        <v>0</v>
      </c>
      <c r="I16" s="28">
        <v>0</v>
      </c>
      <c r="J16" s="28">
        <v>0</v>
      </c>
      <c r="K16" s="28">
        <v>0</v>
      </c>
      <c r="L16" s="28">
        <v>0</v>
      </c>
      <c r="M16" s="28">
        <v>0</v>
      </c>
      <c r="N16" s="28">
        <v>0</v>
      </c>
      <c r="O16" s="45">
        <v>0</v>
      </c>
      <c r="P16" s="28">
        <v>0</v>
      </c>
      <c r="Q16" s="28">
        <v>0</v>
      </c>
      <c r="R16" s="28">
        <v>0</v>
      </c>
      <c r="S16" s="28">
        <v>0</v>
      </c>
      <c r="T16" s="28">
        <v>0</v>
      </c>
      <c r="U16" s="28">
        <v>0</v>
      </c>
      <c r="V16" s="28">
        <v>0</v>
      </c>
      <c r="W16" s="28">
        <v>0</v>
      </c>
      <c r="X16" s="28">
        <v>0</v>
      </c>
      <c r="Y16" s="28">
        <v>439</v>
      </c>
      <c r="Z16" s="28">
        <v>401</v>
      </c>
      <c r="AA16" s="28">
        <v>521</v>
      </c>
      <c r="AB16" s="45">
        <v>1361</v>
      </c>
      <c r="AC16" s="28">
        <v>648</v>
      </c>
      <c r="AD16" s="28">
        <v>-304</v>
      </c>
      <c r="AE16" s="28">
        <v>710</v>
      </c>
      <c r="AF16" s="28">
        <v>883</v>
      </c>
      <c r="AG16" s="28">
        <v>784</v>
      </c>
      <c r="AH16" s="28">
        <v>929</v>
      </c>
      <c r="AI16" s="28">
        <v>1013</v>
      </c>
      <c r="AJ16" s="28">
        <v>768</v>
      </c>
      <c r="AK16" s="28">
        <v>882</v>
      </c>
      <c r="AL16" s="28">
        <v>1085</v>
      </c>
      <c r="AM16" s="28">
        <v>784</v>
      </c>
      <c r="AN16" s="28">
        <v>784</v>
      </c>
      <c r="AO16" s="45">
        <v>8966</v>
      </c>
      <c r="AP16" s="28">
        <v>784</v>
      </c>
      <c r="AQ16" s="28">
        <v>863.54545454545496</v>
      </c>
      <c r="AR16" s="28">
        <v>864.95454545454504</v>
      </c>
      <c r="AS16" s="28">
        <v>866.36363636363603</v>
      </c>
      <c r="AT16" s="28">
        <v>906.84090909090901</v>
      </c>
      <c r="AU16" s="28">
        <v>0</v>
      </c>
      <c r="AV16" s="28">
        <v>0</v>
      </c>
      <c r="AW16" s="28">
        <v>0</v>
      </c>
      <c r="AX16" s="28">
        <v>0</v>
      </c>
      <c r="AY16" s="28">
        <v>0</v>
      </c>
      <c r="AZ16" s="28">
        <v>0</v>
      </c>
      <c r="BA16" s="28">
        <v>0</v>
      </c>
      <c r="BB16" s="45">
        <v>4285.704545454545</v>
      </c>
    </row>
    <row r="17" spans="1:54">
      <c r="A17" s="61" t="s">
        <v>128</v>
      </c>
      <c r="B17" s="29" t="s">
        <v>12</v>
      </c>
      <c r="C17" s="28">
        <v>3660.0010000000002</v>
      </c>
      <c r="D17" s="28">
        <v>3168.0020000000004</v>
      </c>
      <c r="E17" s="28">
        <v>2856.0030000000002</v>
      </c>
      <c r="F17" s="28">
        <v>3360.0020000000004</v>
      </c>
      <c r="G17" s="28">
        <v>4296.3876907829772</v>
      </c>
      <c r="H17" s="28">
        <v>3440.6208191135042</v>
      </c>
      <c r="I17" s="28">
        <v>4050</v>
      </c>
      <c r="J17" s="28">
        <v>3713</v>
      </c>
      <c r="K17" s="28">
        <v>3183</v>
      </c>
      <c r="L17" s="28">
        <v>4644.4125814857316</v>
      </c>
      <c r="M17" s="28">
        <v>3796.2723281382632</v>
      </c>
      <c r="N17" s="28">
        <v>3504.4050995150715</v>
      </c>
      <c r="O17" s="45">
        <v>43672.106519035544</v>
      </c>
      <c r="P17" s="28">
        <v>4673.0539011200008</v>
      </c>
      <c r="Q17" s="28">
        <v>3384</v>
      </c>
      <c r="R17" s="28">
        <v>3266</v>
      </c>
      <c r="S17" s="28">
        <v>4478.0539011200008</v>
      </c>
      <c r="T17" s="28">
        <v>3602</v>
      </c>
      <c r="U17" s="28">
        <v>3438</v>
      </c>
      <c r="V17" s="28">
        <v>4306.0539011200008</v>
      </c>
      <c r="W17" s="28">
        <v>3602</v>
      </c>
      <c r="X17" s="28">
        <v>3266</v>
      </c>
      <c r="Y17" s="28">
        <v>4658.0539011200008</v>
      </c>
      <c r="Z17" s="28">
        <v>3422</v>
      </c>
      <c r="AA17" s="28">
        <v>3782</v>
      </c>
      <c r="AB17" s="45">
        <v>45877.215604480007</v>
      </c>
      <c r="AC17" s="28">
        <v>3782.0539011200008</v>
      </c>
      <c r="AD17" s="28">
        <v>3782</v>
      </c>
      <c r="AE17" s="28">
        <v>3782</v>
      </c>
      <c r="AF17" s="28">
        <v>3782.0539011200008</v>
      </c>
      <c r="AG17" s="28">
        <v>3782</v>
      </c>
      <c r="AH17" s="28">
        <v>3782</v>
      </c>
      <c r="AI17" s="28">
        <v>3782.0539011200008</v>
      </c>
      <c r="AJ17" s="28">
        <v>3782</v>
      </c>
      <c r="AK17" s="28">
        <v>3782</v>
      </c>
      <c r="AL17" s="28">
        <v>3782.0539011200008</v>
      </c>
      <c r="AM17" s="28">
        <v>3782</v>
      </c>
      <c r="AN17" s="28">
        <v>3782</v>
      </c>
      <c r="AO17" s="45">
        <v>45384.215604480007</v>
      </c>
      <c r="AP17" s="28">
        <v>3782.0539011200008</v>
      </c>
      <c r="AQ17" s="28">
        <v>3782</v>
      </c>
      <c r="AR17" s="28">
        <v>3782</v>
      </c>
      <c r="AS17" s="28">
        <v>3825</v>
      </c>
      <c r="AT17" s="28">
        <v>3960.4</v>
      </c>
      <c r="AU17" s="28">
        <v>0</v>
      </c>
      <c r="AV17" s="28">
        <v>0</v>
      </c>
      <c r="AW17" s="28">
        <v>0</v>
      </c>
      <c r="AX17" s="28">
        <v>0</v>
      </c>
      <c r="AY17" s="28">
        <v>0</v>
      </c>
      <c r="AZ17" s="28">
        <v>0</v>
      </c>
      <c r="BA17" s="28">
        <v>0</v>
      </c>
      <c r="BB17" s="45">
        <v>19131.453901120003</v>
      </c>
    </row>
    <row r="18" spans="1:54">
      <c r="A18" s="61" t="s">
        <v>131</v>
      </c>
      <c r="B18" s="29" t="s">
        <v>12</v>
      </c>
      <c r="C18" s="28">
        <v>7250</v>
      </c>
      <c r="D18" s="28">
        <v>10491</v>
      </c>
      <c r="E18" s="28">
        <v>9054</v>
      </c>
      <c r="F18" s="28">
        <v>6636</v>
      </c>
      <c r="G18" s="28">
        <v>17083.557466686925</v>
      </c>
      <c r="H18" s="28">
        <v>14938.891661766091</v>
      </c>
      <c r="I18" s="28">
        <v>11629.425492829054</v>
      </c>
      <c r="J18" s="28">
        <v>15474.275921301743</v>
      </c>
      <c r="K18" s="28">
        <v>13551.781320529824</v>
      </c>
      <c r="L18" s="28">
        <v>11930.897813424306</v>
      </c>
      <c r="M18" s="28">
        <v>15774.678283054767</v>
      </c>
      <c r="N18" s="28">
        <v>13890.919094020735</v>
      </c>
      <c r="O18" s="45">
        <v>147705.42705361344</v>
      </c>
      <c r="P18" s="28">
        <v>7070.429880571598</v>
      </c>
      <c r="Q18" s="28">
        <v>8793.7911394184466</v>
      </c>
      <c r="R18" s="28">
        <v>7108.9911953507926</v>
      </c>
      <c r="S18" s="28">
        <v>7144.950618253617</v>
      </c>
      <c r="T18" s="28">
        <v>8902.3882244674551</v>
      </c>
      <c r="U18" s="28">
        <v>7268.5968639144121</v>
      </c>
      <c r="V18" s="28">
        <v>7285.6559012002062</v>
      </c>
      <c r="W18" s="28">
        <v>9017.4814800526547</v>
      </c>
      <c r="X18" s="28">
        <v>7262.5928714299516</v>
      </c>
      <c r="Y18" s="28">
        <v>7307.3012564354285</v>
      </c>
      <c r="Z18" s="28">
        <v>9032.6987922526496</v>
      </c>
      <c r="AA18" s="28">
        <v>7303.1217766527861</v>
      </c>
      <c r="AB18" s="45">
        <v>93498</v>
      </c>
      <c r="AC18" s="28">
        <v>7288.9912508314419</v>
      </c>
      <c r="AD18" s="28">
        <v>8594.4716016989078</v>
      </c>
      <c r="AE18" s="28">
        <v>7288.9912508314419</v>
      </c>
      <c r="AF18" s="28">
        <v>7552.7212729812172</v>
      </c>
      <c r="AG18" s="28">
        <v>8891.1678766174045</v>
      </c>
      <c r="AH18" s="28">
        <v>7617.7760729812171</v>
      </c>
      <c r="AI18" s="28">
        <v>7974.9675135349016</v>
      </c>
      <c r="AJ18" s="28">
        <v>9521.379714728082</v>
      </c>
      <c r="AK18" s="28">
        <v>8277.0076563920447</v>
      </c>
      <c r="AL18" s="28">
        <v>8685.154228790665</v>
      </c>
      <c r="AM18" s="28">
        <v>10249.17375283876</v>
      </c>
      <c r="AN18" s="28">
        <v>8945.3734287906645</v>
      </c>
      <c r="AO18" s="45">
        <v>100887.17562101675</v>
      </c>
      <c r="AP18" s="28">
        <v>0</v>
      </c>
      <c r="AQ18" s="28">
        <v>0</v>
      </c>
      <c r="AR18" s="28">
        <v>0</v>
      </c>
      <c r="AS18" s="28">
        <v>0</v>
      </c>
      <c r="AT18" s="28">
        <v>0</v>
      </c>
      <c r="AU18" s="28">
        <v>0</v>
      </c>
      <c r="AV18" s="28">
        <v>0</v>
      </c>
      <c r="AW18" s="28">
        <v>0</v>
      </c>
      <c r="AX18" s="28">
        <v>0</v>
      </c>
      <c r="AY18" s="28">
        <v>0</v>
      </c>
      <c r="AZ18" s="28">
        <v>0</v>
      </c>
      <c r="BA18" s="28">
        <v>0</v>
      </c>
      <c r="BB18" s="45">
        <v>0</v>
      </c>
    </row>
    <row r="19" spans="1:54">
      <c r="A19" s="29" t="s">
        <v>90</v>
      </c>
      <c r="B19" s="29" t="s">
        <v>12</v>
      </c>
      <c r="C19" s="28">
        <v>0</v>
      </c>
      <c r="D19" s="28">
        <v>0</v>
      </c>
      <c r="E19" s="28">
        <v>0</v>
      </c>
      <c r="F19" s="28">
        <v>0</v>
      </c>
      <c r="G19" s="28">
        <v>0</v>
      </c>
      <c r="H19" s="28">
        <v>0</v>
      </c>
      <c r="I19" s="28">
        <v>0</v>
      </c>
      <c r="J19" s="28">
        <v>0</v>
      </c>
      <c r="K19" s="28">
        <v>0</v>
      </c>
      <c r="L19" s="28">
        <v>0</v>
      </c>
      <c r="M19" s="28">
        <v>0</v>
      </c>
      <c r="N19" s="28">
        <v>0</v>
      </c>
      <c r="O19" s="45">
        <v>0</v>
      </c>
      <c r="P19" s="28">
        <v>0</v>
      </c>
      <c r="Q19" s="28">
        <v>0</v>
      </c>
      <c r="R19" s="28">
        <v>0</v>
      </c>
      <c r="S19" s="28">
        <v>0</v>
      </c>
      <c r="T19" s="28">
        <v>0</v>
      </c>
      <c r="U19" s="28">
        <v>0</v>
      </c>
      <c r="V19" s="28">
        <v>0</v>
      </c>
      <c r="W19" s="28">
        <v>0</v>
      </c>
      <c r="X19" s="28">
        <v>0</v>
      </c>
      <c r="Y19" s="28">
        <v>0</v>
      </c>
      <c r="Z19" s="28">
        <v>0</v>
      </c>
      <c r="AA19" s="28">
        <v>0</v>
      </c>
      <c r="AB19" s="45">
        <v>0</v>
      </c>
      <c r="AC19" s="28">
        <v>0</v>
      </c>
      <c r="AD19" s="28">
        <v>0</v>
      </c>
      <c r="AE19" s="28">
        <v>0</v>
      </c>
      <c r="AF19" s="28">
        <v>24341</v>
      </c>
      <c r="AG19" s="28">
        <v>48683</v>
      </c>
      <c r="AH19" s="28">
        <v>73024</v>
      </c>
      <c r="AI19" s="28">
        <v>85792</v>
      </c>
      <c r="AJ19" s="28">
        <v>98560</v>
      </c>
      <c r="AK19" s="28">
        <v>111328</v>
      </c>
      <c r="AL19" s="28">
        <v>130491</v>
      </c>
      <c r="AM19" s="28">
        <v>149654</v>
      </c>
      <c r="AN19" s="28">
        <v>168818</v>
      </c>
      <c r="AO19" s="45">
        <v>890691</v>
      </c>
      <c r="AP19" s="28">
        <v>181016</v>
      </c>
      <c r="AQ19" s="28">
        <v>197209</v>
      </c>
      <c r="AR19" s="28">
        <v>213402</v>
      </c>
      <c r="AS19" s="28">
        <v>229899</v>
      </c>
      <c r="AT19" s="28">
        <v>246193.33333333299</v>
      </c>
      <c r="AU19" s="28">
        <v>0</v>
      </c>
      <c r="AV19" s="28">
        <v>0</v>
      </c>
      <c r="AW19" s="28">
        <v>0</v>
      </c>
      <c r="AX19" s="28">
        <v>0</v>
      </c>
      <c r="AY19" s="28">
        <v>0</v>
      </c>
      <c r="AZ19" s="28">
        <v>0</v>
      </c>
      <c r="BA19" s="28">
        <v>0</v>
      </c>
      <c r="BB19" s="45">
        <v>1067719.333333333</v>
      </c>
    </row>
    <row r="20" spans="1:54">
      <c r="A20" s="29" t="s">
        <v>91</v>
      </c>
      <c r="B20" s="29" t="s">
        <v>12</v>
      </c>
      <c r="C20" s="28">
        <v>0</v>
      </c>
      <c r="D20" s="28">
        <v>0</v>
      </c>
      <c r="E20" s="28">
        <v>0</v>
      </c>
      <c r="F20" s="28">
        <v>0</v>
      </c>
      <c r="G20" s="28">
        <v>0</v>
      </c>
      <c r="H20" s="28">
        <v>0</v>
      </c>
      <c r="I20" s="28">
        <v>0</v>
      </c>
      <c r="J20" s="28">
        <v>0</v>
      </c>
      <c r="K20" s="28">
        <v>0</v>
      </c>
      <c r="L20" s="28">
        <v>0</v>
      </c>
      <c r="M20" s="28">
        <v>0</v>
      </c>
      <c r="N20" s="28">
        <v>0</v>
      </c>
      <c r="O20" s="45">
        <v>0</v>
      </c>
      <c r="P20" s="28">
        <v>0</v>
      </c>
      <c r="Q20" s="28">
        <v>0</v>
      </c>
      <c r="R20" s="28">
        <v>0</v>
      </c>
      <c r="S20" s="28">
        <v>0</v>
      </c>
      <c r="T20" s="28">
        <v>0</v>
      </c>
      <c r="U20" s="28">
        <v>0</v>
      </c>
      <c r="V20" s="28">
        <v>13155.886751637881</v>
      </c>
      <c r="W20" s="28">
        <v>26312.773503275763</v>
      </c>
      <c r="X20" s="28">
        <v>39468.660254913644</v>
      </c>
      <c r="Y20" s="28">
        <v>46400.717595544811</v>
      </c>
      <c r="Z20" s="28">
        <v>53333.774936175985</v>
      </c>
      <c r="AA20" s="28">
        <v>60265.832276807159</v>
      </c>
      <c r="AB20" s="45">
        <v>238937.64531835524</v>
      </c>
      <c r="AC20" s="28">
        <v>68880.677931903556</v>
      </c>
      <c r="AD20" s="28">
        <v>79022.344076566063</v>
      </c>
      <c r="AE20" s="28">
        <v>89165.010221228571</v>
      </c>
      <c r="AF20" s="28">
        <v>97974.174220241548</v>
      </c>
      <c r="AG20" s="28">
        <v>106783.33821925451</v>
      </c>
      <c r="AH20" s="28">
        <v>115593.50221826747</v>
      </c>
      <c r="AI20" s="28">
        <v>125434.74902147699</v>
      </c>
      <c r="AJ20" s="28">
        <v>135277.99582468648</v>
      </c>
      <c r="AK20" s="28">
        <v>145120.24262789602</v>
      </c>
      <c r="AL20" s="28">
        <v>154820.20812319027</v>
      </c>
      <c r="AM20" s="28">
        <v>164521.17361848455</v>
      </c>
      <c r="AN20" s="28">
        <v>174221.13911377883</v>
      </c>
      <c r="AO20" s="45">
        <v>1456814.555216975</v>
      </c>
      <c r="AP20" s="28">
        <v>170978.64586541647</v>
      </c>
      <c r="AQ20" s="28">
        <v>171367.93965833655</v>
      </c>
      <c r="AR20" s="28">
        <v>171814.23345125662</v>
      </c>
      <c r="AS20" s="28">
        <v>192431.37873630977</v>
      </c>
      <c r="AT20" s="28">
        <v>199675.19068802989</v>
      </c>
      <c r="AU20" s="28">
        <v>0</v>
      </c>
      <c r="AV20" s="28">
        <v>0</v>
      </c>
      <c r="AW20" s="28">
        <v>0</v>
      </c>
      <c r="AX20" s="28">
        <v>0</v>
      </c>
      <c r="AY20" s="28">
        <v>0</v>
      </c>
      <c r="AZ20" s="28">
        <v>0</v>
      </c>
      <c r="BA20" s="28">
        <v>0</v>
      </c>
      <c r="BB20" s="45">
        <v>906267.38839934929</v>
      </c>
    </row>
    <row r="21" spans="1:54" ht="15">
      <c r="A21" s="98" t="s">
        <v>142</v>
      </c>
      <c r="B21" s="29" t="s">
        <v>12</v>
      </c>
      <c r="C21" s="28">
        <v>0</v>
      </c>
      <c r="D21" s="28">
        <v>0</v>
      </c>
      <c r="E21" s="28">
        <v>0</v>
      </c>
      <c r="F21" s="28">
        <v>0</v>
      </c>
      <c r="G21" s="28">
        <v>0</v>
      </c>
      <c r="H21" s="28">
        <v>0</v>
      </c>
      <c r="I21" s="28">
        <v>0</v>
      </c>
      <c r="J21" s="28">
        <v>0</v>
      </c>
      <c r="K21" s="28">
        <v>0</v>
      </c>
      <c r="L21" s="28">
        <v>0</v>
      </c>
      <c r="M21" s="28">
        <v>0</v>
      </c>
      <c r="N21" s="28">
        <v>0</v>
      </c>
      <c r="O21" s="45">
        <v>0</v>
      </c>
      <c r="P21" s="28">
        <v>0</v>
      </c>
      <c r="Q21" s="28">
        <v>0</v>
      </c>
      <c r="R21" s="28">
        <v>0</v>
      </c>
      <c r="S21" s="28">
        <v>0</v>
      </c>
      <c r="T21" s="28">
        <v>0</v>
      </c>
      <c r="U21" s="28">
        <v>0</v>
      </c>
      <c r="V21" s="28">
        <v>0</v>
      </c>
      <c r="W21" s="28">
        <v>0</v>
      </c>
      <c r="X21" s="28">
        <v>0</v>
      </c>
      <c r="Y21" s="28">
        <v>0</v>
      </c>
      <c r="Z21" s="28">
        <v>0</v>
      </c>
      <c r="AA21" s="28">
        <v>0</v>
      </c>
      <c r="AB21" s="45">
        <v>0</v>
      </c>
      <c r="AC21" s="28">
        <v>0</v>
      </c>
      <c r="AD21" s="28">
        <v>0</v>
      </c>
      <c r="AE21" s="28">
        <v>0</v>
      </c>
      <c r="AF21" s="28">
        <v>0</v>
      </c>
      <c r="AG21" s="28">
        <v>0</v>
      </c>
      <c r="AH21" s="28">
        <v>0</v>
      </c>
      <c r="AI21" s="28">
        <v>0</v>
      </c>
      <c r="AJ21" s="28">
        <v>0</v>
      </c>
      <c r="AK21" s="28">
        <v>0</v>
      </c>
      <c r="AL21" s="28">
        <v>0</v>
      </c>
      <c r="AM21" s="28">
        <v>0</v>
      </c>
      <c r="AN21" s="28">
        <v>0</v>
      </c>
      <c r="AO21" s="45">
        <v>0</v>
      </c>
      <c r="AP21" s="28">
        <v>0</v>
      </c>
      <c r="AQ21" s="28">
        <v>0</v>
      </c>
      <c r="AR21" s="28">
        <v>0</v>
      </c>
      <c r="AS21" s="28">
        <v>0</v>
      </c>
      <c r="AT21" s="28">
        <v>0</v>
      </c>
      <c r="AU21" s="28">
        <v>0</v>
      </c>
      <c r="AV21" s="28">
        <v>0</v>
      </c>
      <c r="AW21" s="28">
        <v>0</v>
      </c>
      <c r="AX21" s="28">
        <v>0</v>
      </c>
      <c r="AY21" s="28">
        <v>0</v>
      </c>
      <c r="AZ21" s="28">
        <v>0</v>
      </c>
      <c r="BA21" s="28">
        <v>0</v>
      </c>
      <c r="BB21" s="45">
        <v>0</v>
      </c>
    </row>
    <row r="22" spans="1:54">
      <c r="A22" s="1" t="s">
        <v>97</v>
      </c>
      <c r="B22" s="1" t="s">
        <v>12</v>
      </c>
      <c r="C22" s="28">
        <v>35095.008000000002</v>
      </c>
      <c r="D22" s="28">
        <v>45195.006000000001</v>
      </c>
      <c r="E22" s="28">
        <v>51522.017999999996</v>
      </c>
      <c r="F22" s="28">
        <v>33258.009000000005</v>
      </c>
      <c r="G22" s="28">
        <v>66481.896730480817</v>
      </c>
      <c r="H22" s="28">
        <v>52068.099250314815</v>
      </c>
      <c r="I22" s="28">
        <v>58959.268507531138</v>
      </c>
      <c r="J22" s="28">
        <v>74930.391454083845</v>
      </c>
      <c r="K22" s="28">
        <v>54192.438139945494</v>
      </c>
      <c r="L22" s="28">
        <v>54014.008361461834</v>
      </c>
      <c r="M22" s="28">
        <v>63232.674304029708</v>
      </c>
      <c r="N22" s="28">
        <v>57723.240435476568</v>
      </c>
      <c r="O22" s="45">
        <v>646672.05818332429</v>
      </c>
      <c r="P22" s="28">
        <v>70747.373139656615</v>
      </c>
      <c r="Q22" s="28">
        <v>62799.267360377351</v>
      </c>
      <c r="R22" s="28">
        <v>41141.968785391386</v>
      </c>
      <c r="S22" s="28">
        <v>46210.868913809289</v>
      </c>
      <c r="T22" s="28">
        <v>50421.342296715397</v>
      </c>
      <c r="U22" s="28">
        <v>39264.790591485522</v>
      </c>
      <c r="V22" s="28">
        <v>59006.62124084885</v>
      </c>
      <c r="W22" s="28">
        <v>76444.916611657201</v>
      </c>
      <c r="X22" s="28">
        <v>80629.053389859386</v>
      </c>
      <c r="Y22" s="28">
        <v>93586.223596592463</v>
      </c>
      <c r="Z22" s="28">
        <v>104950.44197267442</v>
      </c>
      <c r="AA22" s="28">
        <v>106942.74978353614</v>
      </c>
      <c r="AB22" s="45">
        <v>832145.61768260412</v>
      </c>
      <c r="AC22" s="28">
        <v>114352.94589238154</v>
      </c>
      <c r="AD22" s="28">
        <v>126479.22801562751</v>
      </c>
      <c r="AE22" s="28">
        <v>129758.29963415615</v>
      </c>
      <c r="AF22" s="28">
        <v>160726.69384311032</v>
      </c>
      <c r="AG22" s="28">
        <v>193895.72266701318</v>
      </c>
      <c r="AH22" s="28">
        <v>224294.99287869484</v>
      </c>
      <c r="AI22" s="28">
        <v>246701.63633360749</v>
      </c>
      <c r="AJ22" s="28">
        <v>269681.76300475124</v>
      </c>
      <c r="AK22" s="28">
        <v>291090.25028428808</v>
      </c>
      <c r="AL22" s="28">
        <v>321647.22424535418</v>
      </c>
      <c r="AM22" s="28">
        <v>351960.89353847399</v>
      </c>
      <c r="AN22" s="28">
        <v>377977.51254256949</v>
      </c>
      <c r="AO22" s="45">
        <v>2808567.1628800281</v>
      </c>
      <c r="AP22" s="28">
        <v>378666.72577614884</v>
      </c>
      <c r="AQ22" s="28">
        <v>395826.15784015472</v>
      </c>
      <c r="AR22" s="28">
        <v>412767.11787870317</v>
      </c>
      <c r="AS22" s="28">
        <v>450398.92073951394</v>
      </c>
      <c r="AT22" s="28">
        <v>474793.83723668824</v>
      </c>
      <c r="AU22" s="28">
        <v>0</v>
      </c>
      <c r="AV22" s="28">
        <v>0</v>
      </c>
      <c r="AW22" s="28">
        <v>0</v>
      </c>
      <c r="AX22" s="28">
        <v>0</v>
      </c>
      <c r="AY22" s="28">
        <v>0</v>
      </c>
      <c r="AZ22" s="28">
        <v>0</v>
      </c>
      <c r="BA22" s="28">
        <v>0</v>
      </c>
      <c r="BB22" s="45">
        <v>2112452.7594712088</v>
      </c>
    </row>
    <row r="23" spans="1:54" ht="13.5" thickBot="1">
      <c r="A23" s="1"/>
      <c r="B23" s="1"/>
      <c r="O23" s="21">
        <f>SUM(O7:O21)</f>
        <v>646672.05318332429</v>
      </c>
      <c r="AB23" s="21">
        <f>SUM(AB7:AB21)</f>
        <v>832145.61768260389</v>
      </c>
      <c r="AO23" s="21">
        <f>SUM(AO7:AO21)</f>
        <v>2808567.1628800281</v>
      </c>
      <c r="BB23" s="21">
        <f>SUM(BB7:BB21)</f>
        <v>2112452.7594712088</v>
      </c>
    </row>
    <row r="24" spans="1:54" ht="13.5" thickTop="1">
      <c r="A24" s="1"/>
      <c r="B24" s="1"/>
      <c r="O24" s="7">
        <f>O23-O22</f>
        <v>-5.0000000046566129E-3</v>
      </c>
      <c r="AB24" s="7">
        <f>AB23-AB22</f>
        <v>0</v>
      </c>
      <c r="AO24" s="7">
        <f>AO23-AO22</f>
        <v>0</v>
      </c>
      <c r="BB24" s="7">
        <f>BB23-BB22</f>
        <v>0</v>
      </c>
    </row>
    <row r="25" spans="1:54">
      <c r="A25" s="69" t="s">
        <v>130</v>
      </c>
      <c r="B25" s="70">
        <v>0.13650000000000001</v>
      </c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45"/>
      <c r="P25" s="2"/>
      <c r="AC25" s="2"/>
      <c r="AP25" s="2"/>
    </row>
    <row r="26" spans="1:54">
      <c r="A26" s="16" t="s">
        <v>103</v>
      </c>
      <c r="B26" s="19">
        <v>0.11</v>
      </c>
      <c r="C26" s="50"/>
      <c r="D26" s="28"/>
      <c r="E26" s="28"/>
      <c r="F26" s="28"/>
      <c r="G26" s="28"/>
      <c r="P26" s="50"/>
      <c r="AC26" s="50"/>
      <c r="AP26" s="50"/>
    </row>
    <row r="27" spans="1:54">
      <c r="A27" s="35"/>
      <c r="B27" s="36"/>
      <c r="C27" s="28"/>
      <c r="P27" s="28"/>
      <c r="AC27" s="28"/>
      <c r="AP27" s="28"/>
    </row>
    <row r="28" spans="1:54">
      <c r="A28" s="35"/>
      <c r="B28" s="36"/>
      <c r="C28" s="28"/>
      <c r="P28" s="28"/>
      <c r="AC28" s="28"/>
      <c r="AP28" s="28"/>
    </row>
    <row r="29" spans="1:54">
      <c r="A29" s="35"/>
      <c r="B29" s="36"/>
      <c r="C29" s="28"/>
      <c r="P29" s="28"/>
      <c r="AC29" s="28"/>
      <c r="AP29" s="28"/>
    </row>
    <row r="30" spans="1:54">
      <c r="A30" s="34" t="s">
        <v>83</v>
      </c>
      <c r="B30" s="9"/>
      <c r="C30" s="65" t="s">
        <v>0</v>
      </c>
      <c r="D30" s="96" t="s">
        <v>1</v>
      </c>
      <c r="E30" s="96" t="s">
        <v>2</v>
      </c>
      <c r="F30" s="96" t="s">
        <v>3</v>
      </c>
      <c r="G30" s="86" t="s">
        <v>4</v>
      </c>
      <c r="H30" s="86" t="s">
        <v>5</v>
      </c>
      <c r="I30" s="86" t="s">
        <v>6</v>
      </c>
      <c r="J30" s="86" t="s">
        <v>7</v>
      </c>
      <c r="K30" s="86" t="s">
        <v>8</v>
      </c>
      <c r="L30" s="86" t="s">
        <v>9</v>
      </c>
      <c r="M30" s="86" t="s">
        <v>10</v>
      </c>
      <c r="N30" s="86" t="s">
        <v>11</v>
      </c>
      <c r="O30" s="85" t="s">
        <v>136</v>
      </c>
      <c r="P30" s="52" t="s">
        <v>0</v>
      </c>
      <c r="Q30" s="53" t="s">
        <v>1</v>
      </c>
      <c r="R30" s="53" t="s">
        <v>2</v>
      </c>
      <c r="S30" s="53" t="s">
        <v>3</v>
      </c>
      <c r="T30" s="53" t="s">
        <v>4</v>
      </c>
      <c r="U30" s="53" t="s">
        <v>5</v>
      </c>
      <c r="V30" s="53" t="s">
        <v>6</v>
      </c>
      <c r="W30" s="53" t="s">
        <v>7</v>
      </c>
      <c r="X30" s="53" t="s">
        <v>8</v>
      </c>
      <c r="Y30" s="53" t="s">
        <v>9</v>
      </c>
      <c r="Z30" s="53" t="s">
        <v>10</v>
      </c>
      <c r="AA30" s="53" t="s">
        <v>11</v>
      </c>
      <c r="AB30" s="54" t="s">
        <v>119</v>
      </c>
      <c r="AC30" s="52" t="s">
        <v>0</v>
      </c>
      <c r="AD30" s="53" t="s">
        <v>1</v>
      </c>
      <c r="AE30" s="53" t="s">
        <v>2</v>
      </c>
      <c r="AF30" s="53" t="s">
        <v>3</v>
      </c>
      <c r="AG30" s="53" t="s">
        <v>4</v>
      </c>
      <c r="AH30" s="53" t="s">
        <v>5</v>
      </c>
      <c r="AI30" s="53" t="s">
        <v>6</v>
      </c>
      <c r="AJ30" s="53" t="s">
        <v>7</v>
      </c>
      <c r="AK30" s="53" t="s">
        <v>8</v>
      </c>
      <c r="AL30" s="53" t="s">
        <v>9</v>
      </c>
      <c r="AM30" s="53" t="s">
        <v>10</v>
      </c>
      <c r="AN30" s="53" t="s">
        <v>11</v>
      </c>
      <c r="AO30" s="55" t="s">
        <v>120</v>
      </c>
      <c r="AP30" s="52" t="s">
        <v>0</v>
      </c>
      <c r="AQ30" s="53" t="s">
        <v>1</v>
      </c>
      <c r="AR30" s="53" t="s">
        <v>2</v>
      </c>
      <c r="AS30" s="53" t="s">
        <v>3</v>
      </c>
      <c r="AT30" s="53" t="s">
        <v>4</v>
      </c>
      <c r="AU30" s="53" t="s">
        <v>5</v>
      </c>
      <c r="AV30" s="53" t="s">
        <v>6</v>
      </c>
      <c r="AW30" s="53" t="s">
        <v>7</v>
      </c>
      <c r="AX30" s="53" t="s">
        <v>8</v>
      </c>
      <c r="AY30" s="53" t="s">
        <v>9</v>
      </c>
      <c r="AZ30" s="53" t="s">
        <v>10</v>
      </c>
      <c r="BA30" s="53" t="s">
        <v>11</v>
      </c>
      <c r="BB30" s="60" t="s">
        <v>137</v>
      </c>
    </row>
    <row r="31" spans="1:54">
      <c r="A31" s="29" t="s">
        <v>28</v>
      </c>
      <c r="B31" s="35"/>
      <c r="C31" s="66">
        <f>'Download COV'!D7</f>
        <v>0</v>
      </c>
      <c r="D31" s="66">
        <f>'Download COV'!E7</f>
        <v>0</v>
      </c>
      <c r="E31" s="66">
        <f>'Download COV'!F7</f>
        <v>42</v>
      </c>
      <c r="F31" s="66">
        <f>'Download COV'!G7</f>
        <v>46</v>
      </c>
      <c r="G31" s="45">
        <f t="shared" ref="G31:N31" si="0">G7*$B$25</f>
        <v>75.075000000000003</v>
      </c>
      <c r="H31" s="45">
        <f t="shared" si="0"/>
        <v>58.285500000000006</v>
      </c>
      <c r="I31" s="45">
        <f t="shared" si="0"/>
        <v>62.517000000000003</v>
      </c>
      <c r="J31" s="45">
        <f t="shared" si="0"/>
        <v>70.843500000000006</v>
      </c>
      <c r="K31" s="45">
        <f t="shared" si="0"/>
        <v>55.692000000000007</v>
      </c>
      <c r="L31" s="45">
        <f t="shared" si="0"/>
        <v>56.920500000000004</v>
      </c>
      <c r="M31" s="45">
        <f t="shared" si="0"/>
        <v>67.431000000000012</v>
      </c>
      <c r="N31" s="45">
        <f t="shared" si="0"/>
        <v>55.828500000000005</v>
      </c>
      <c r="O31" s="45">
        <f t="shared" ref="O31:O44" si="1">SUM(C31:N31)</f>
        <v>590.59299999999996</v>
      </c>
      <c r="P31" s="45">
        <f t="shared" ref="P31:AA31" si="2">P7*$B$25</f>
        <v>54.190500000000007</v>
      </c>
      <c r="Q31" s="45">
        <f t="shared" si="2"/>
        <v>62.517000000000003</v>
      </c>
      <c r="R31" s="45">
        <f t="shared" si="2"/>
        <v>50.368500000000004</v>
      </c>
      <c r="S31" s="45">
        <f t="shared" si="2"/>
        <v>49.276500000000006</v>
      </c>
      <c r="T31" s="45">
        <f t="shared" si="2"/>
        <v>62.107500000000002</v>
      </c>
      <c r="U31" s="45">
        <f t="shared" si="2"/>
        <v>50.641500000000001</v>
      </c>
      <c r="V31" s="45">
        <f t="shared" si="2"/>
        <v>49.549500000000002</v>
      </c>
      <c r="W31" s="45">
        <f t="shared" si="2"/>
        <v>56.784000000000006</v>
      </c>
      <c r="X31" s="45">
        <f t="shared" si="2"/>
        <v>50.778000000000006</v>
      </c>
      <c r="Y31" s="45">
        <f t="shared" si="2"/>
        <v>44.772000000000006</v>
      </c>
      <c r="Z31" s="45">
        <f t="shared" si="2"/>
        <v>59.104500000000002</v>
      </c>
      <c r="AA31" s="45">
        <f t="shared" si="2"/>
        <v>46.137</v>
      </c>
      <c r="AB31" s="45">
        <f t="shared" ref="AB31:AB44" si="3">SUM(P31:AA31)</f>
        <v>636.22650000000021</v>
      </c>
      <c r="AC31" s="45">
        <f t="shared" ref="AC31:AN31" si="4">AC7*$B$25</f>
        <v>46.000500000000002</v>
      </c>
      <c r="AD31" s="45">
        <f t="shared" si="4"/>
        <v>54.190500000000007</v>
      </c>
      <c r="AE31" s="45">
        <f t="shared" si="4"/>
        <v>42.997500000000002</v>
      </c>
      <c r="AF31" s="45">
        <f t="shared" si="4"/>
        <v>41.496000000000002</v>
      </c>
      <c r="AG31" s="45">
        <f t="shared" si="4"/>
        <v>54.6</v>
      </c>
      <c r="AH31" s="45">
        <f t="shared" si="4"/>
        <v>46.956000000000003</v>
      </c>
      <c r="AI31" s="45">
        <f t="shared" si="4"/>
        <v>44.772000000000006</v>
      </c>
      <c r="AJ31" s="45">
        <f t="shared" si="4"/>
        <v>53.781000000000006</v>
      </c>
      <c r="AK31" s="45">
        <f t="shared" si="4"/>
        <v>46.410000000000004</v>
      </c>
      <c r="AL31" s="45">
        <f t="shared" si="4"/>
        <v>41.769000000000005</v>
      </c>
      <c r="AM31" s="45">
        <f t="shared" si="4"/>
        <v>57.330000000000005</v>
      </c>
      <c r="AN31" s="45">
        <f t="shared" si="4"/>
        <v>41.6325</v>
      </c>
      <c r="AO31" s="45">
        <f t="shared" ref="AO31:AO44" si="5">SUM(AC31:AN31)</f>
        <v>571.93500000000006</v>
      </c>
      <c r="AP31" s="45">
        <f t="shared" ref="AP31:BA31" si="6">AP7*$B$25</f>
        <v>49.959000000000003</v>
      </c>
      <c r="AQ31" s="45">
        <f t="shared" si="6"/>
        <v>39.312000000000005</v>
      </c>
      <c r="AR31" s="45">
        <f t="shared" si="6"/>
        <v>45.454500000000003</v>
      </c>
      <c r="AS31" s="45">
        <f t="shared" si="6"/>
        <v>43.407000000000004</v>
      </c>
      <c r="AT31" s="45">
        <f t="shared" si="6"/>
        <v>43.666350000000001</v>
      </c>
      <c r="AU31" s="45">
        <f t="shared" si="6"/>
        <v>0</v>
      </c>
      <c r="AV31" s="45">
        <f t="shared" si="6"/>
        <v>0</v>
      </c>
      <c r="AW31" s="45">
        <f t="shared" si="6"/>
        <v>0</v>
      </c>
      <c r="AX31" s="45">
        <f t="shared" si="6"/>
        <v>0</v>
      </c>
      <c r="AY31" s="45">
        <f t="shared" si="6"/>
        <v>0</v>
      </c>
      <c r="AZ31" s="45">
        <f t="shared" si="6"/>
        <v>0</v>
      </c>
      <c r="BA31" s="45">
        <f t="shared" si="6"/>
        <v>0</v>
      </c>
      <c r="BB31" s="45">
        <f t="shared" ref="BB31:BB44" si="7">SUM(AP31:BA31)</f>
        <v>221.79885000000002</v>
      </c>
    </row>
    <row r="32" spans="1:54">
      <c r="A32" s="4" t="s">
        <v>29</v>
      </c>
      <c r="B32" s="35"/>
      <c r="C32" s="66">
        <f>'Download COV'!D8</f>
        <v>890</v>
      </c>
      <c r="D32" s="66">
        <f>'Download COV'!E8</f>
        <v>1055</v>
      </c>
      <c r="E32" s="66">
        <f>'Download COV'!F8</f>
        <v>605</v>
      </c>
      <c r="F32" s="66">
        <f>'Download COV'!G8</f>
        <v>751</v>
      </c>
      <c r="G32" s="45">
        <f t="shared" ref="G32:N32" si="8">G8*$B$25</f>
        <v>935.62101647756356</v>
      </c>
      <c r="H32" s="45">
        <f t="shared" si="8"/>
        <v>712.09192697270987</v>
      </c>
      <c r="I32" s="45">
        <f t="shared" si="8"/>
        <v>733.28621096184975</v>
      </c>
      <c r="J32" s="45">
        <f t="shared" si="8"/>
        <v>772.18050000000005</v>
      </c>
      <c r="K32" s="45">
        <f t="shared" si="8"/>
        <v>635.81700000000001</v>
      </c>
      <c r="L32" s="45">
        <f t="shared" si="8"/>
        <v>601.27947386117751</v>
      </c>
      <c r="M32" s="45">
        <f t="shared" si="8"/>
        <v>645.13020156466291</v>
      </c>
      <c r="N32" s="45">
        <f t="shared" si="8"/>
        <v>597.81630200525251</v>
      </c>
      <c r="O32" s="45">
        <f t="shared" ref="O32:O43" si="9">SUM(C32:N32)</f>
        <v>8934.2226318432167</v>
      </c>
      <c r="P32" s="45">
        <f t="shared" ref="P32:AA32" si="10">P8*$B$25</f>
        <v>702.89954849484252</v>
      </c>
      <c r="Q32" s="45">
        <f t="shared" si="10"/>
        <v>716.625</v>
      </c>
      <c r="R32" s="45">
        <f t="shared" si="10"/>
        <v>612.88499999999999</v>
      </c>
      <c r="S32" s="45">
        <f t="shared" si="10"/>
        <v>666.55903844964541</v>
      </c>
      <c r="T32" s="45">
        <f t="shared" si="10"/>
        <v>737.9190000000001</v>
      </c>
      <c r="U32" s="45">
        <f t="shared" si="10"/>
        <v>635.1345</v>
      </c>
      <c r="V32" s="45">
        <f t="shared" si="10"/>
        <v>672.90470235401369</v>
      </c>
      <c r="W32" s="45">
        <f t="shared" si="10"/>
        <v>702.01950000000011</v>
      </c>
      <c r="X32" s="45">
        <f t="shared" si="10"/>
        <v>639.50250000000005</v>
      </c>
      <c r="Y32" s="45">
        <f t="shared" si="10"/>
        <v>657.58261388262019</v>
      </c>
      <c r="Z32" s="45">
        <f t="shared" si="10"/>
        <v>730.82100000000003</v>
      </c>
      <c r="AA32" s="45">
        <f t="shared" si="10"/>
        <v>641.95950000000005</v>
      </c>
      <c r="AB32" s="45">
        <f t="shared" ref="AB32:AB43" si="11">SUM(P32:AA32)</f>
        <v>8116.811903181122</v>
      </c>
      <c r="AC32" s="45">
        <f t="shared" ref="AC32:AN32" si="12">AC8*$B$25</f>
        <v>612.58180094125112</v>
      </c>
      <c r="AD32" s="45">
        <f t="shared" si="12"/>
        <v>708.70800000000008</v>
      </c>
      <c r="AE32" s="45">
        <f t="shared" si="12"/>
        <v>599.91750000000002</v>
      </c>
      <c r="AF32" s="45">
        <f t="shared" si="12"/>
        <v>578.82976921720922</v>
      </c>
      <c r="AG32" s="45">
        <f t="shared" si="12"/>
        <v>711.71100000000001</v>
      </c>
      <c r="AH32" s="45">
        <f t="shared" si="12"/>
        <v>638.68350000000009</v>
      </c>
      <c r="AI32" s="45">
        <f t="shared" si="12"/>
        <v>611.39432046668639</v>
      </c>
      <c r="AJ32" s="45">
        <f t="shared" si="12"/>
        <v>700.92750000000001</v>
      </c>
      <c r="AK32" s="45">
        <f t="shared" si="12"/>
        <v>629.94749999999999</v>
      </c>
      <c r="AL32" s="45">
        <f t="shared" si="12"/>
        <v>582.00979094257127</v>
      </c>
      <c r="AM32" s="45">
        <f t="shared" si="12"/>
        <v>728.77350000000001</v>
      </c>
      <c r="AN32" s="45">
        <f t="shared" si="12"/>
        <v>587.90550000000007</v>
      </c>
      <c r="AO32" s="45">
        <f t="shared" ref="AO32:AO43" si="13">SUM(AC32:AN32)</f>
        <v>7691.3896815677181</v>
      </c>
      <c r="AP32" s="45">
        <f t="shared" ref="AP32:BA32" si="14">AP8*$B$25</f>
        <v>641.14405031208366</v>
      </c>
      <c r="AQ32" s="45">
        <f t="shared" si="14"/>
        <v>564.56400000000008</v>
      </c>
      <c r="AR32" s="45">
        <f t="shared" si="14"/>
        <v>604.51418343736123</v>
      </c>
      <c r="AS32" s="45">
        <f t="shared" si="14"/>
        <v>601.64768343736114</v>
      </c>
      <c r="AT32" s="45">
        <f t="shared" si="14"/>
        <v>625.24398343736107</v>
      </c>
      <c r="AU32" s="45">
        <f t="shared" si="14"/>
        <v>0</v>
      </c>
      <c r="AV32" s="45">
        <f t="shared" si="14"/>
        <v>0</v>
      </c>
      <c r="AW32" s="45">
        <f t="shared" si="14"/>
        <v>0</v>
      </c>
      <c r="AX32" s="45">
        <f t="shared" si="14"/>
        <v>0</v>
      </c>
      <c r="AY32" s="45">
        <f t="shared" si="14"/>
        <v>0</v>
      </c>
      <c r="AZ32" s="45">
        <f t="shared" si="14"/>
        <v>0</v>
      </c>
      <c r="BA32" s="45">
        <f t="shared" si="14"/>
        <v>0</v>
      </c>
      <c r="BB32" s="45">
        <f t="shared" ref="BB32:BB43" si="15">SUM(AP32:BA32)</f>
        <v>3037.1139006241674</v>
      </c>
    </row>
    <row r="33" spans="1:54">
      <c r="A33" s="29"/>
      <c r="B33" s="35"/>
      <c r="C33" s="66"/>
      <c r="D33" s="66"/>
      <c r="E33" s="66"/>
      <c r="F33" s="66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45"/>
      <c r="AK33" s="45"/>
      <c r="AL33" s="45"/>
      <c r="AM33" s="45"/>
      <c r="AN33" s="45"/>
      <c r="AO33" s="45"/>
      <c r="AP33" s="45"/>
      <c r="AQ33" s="45"/>
      <c r="AR33" s="45"/>
      <c r="AS33" s="45"/>
      <c r="AT33" s="45"/>
      <c r="AU33" s="45"/>
      <c r="AV33" s="45"/>
      <c r="AW33" s="45"/>
      <c r="AX33" s="45"/>
      <c r="AY33" s="45"/>
      <c r="AZ33" s="45"/>
      <c r="BA33" s="45"/>
      <c r="BB33" s="45"/>
    </row>
    <row r="34" spans="1:54">
      <c r="A34" s="29" t="s">
        <v>73</v>
      </c>
      <c r="B34" s="35"/>
      <c r="C34" s="66">
        <f>'Download COV'!D10</f>
        <v>2075</v>
      </c>
      <c r="D34" s="66">
        <f>'Download COV'!E10</f>
        <v>2641</v>
      </c>
      <c r="E34" s="66">
        <f>'Download COV'!F10</f>
        <v>1565</v>
      </c>
      <c r="F34" s="66">
        <f>'Download COV'!G10</f>
        <v>2371</v>
      </c>
      <c r="G34" s="45">
        <f t="shared" ref="G34:N34" si="16">G10*$B$25</f>
        <v>3388.2488268523284</v>
      </c>
      <c r="H34" s="45">
        <f t="shared" si="16"/>
        <v>2482.343933127157</v>
      </c>
      <c r="I34" s="45">
        <f t="shared" si="16"/>
        <v>3936.7668605449844</v>
      </c>
      <c r="J34" s="45">
        <f t="shared" si="16"/>
        <v>5143.0627702247566</v>
      </c>
      <c r="K34" s="45">
        <f t="shared" si="16"/>
        <v>3256.9796558502389</v>
      </c>
      <c r="L34" s="45">
        <f t="shared" si="16"/>
        <v>3239.5569809378544</v>
      </c>
      <c r="M34" s="45">
        <f t="shared" si="16"/>
        <v>3307.9555702615789</v>
      </c>
      <c r="N34" s="45">
        <f t="shared" si="16"/>
        <v>3300.4320800632522</v>
      </c>
      <c r="O34" s="45">
        <f t="shared" si="9"/>
        <v>36707.346677862151</v>
      </c>
      <c r="P34" s="45">
        <f t="shared" ref="P34:AA34" si="17">P10*$B$25</f>
        <v>2711.6328488673807</v>
      </c>
      <c r="Q34" s="45">
        <f t="shared" si="17"/>
        <v>1802.6256393304911</v>
      </c>
      <c r="R34" s="45">
        <f t="shared" si="17"/>
        <v>1194.7814410405415</v>
      </c>
      <c r="S34" s="45">
        <f t="shared" si="17"/>
        <v>775.40845139082478</v>
      </c>
      <c r="T34" s="45">
        <f t="shared" si="17"/>
        <v>507.84480980129058</v>
      </c>
      <c r="U34" s="45">
        <f t="shared" si="17"/>
        <v>324.07744381345714</v>
      </c>
      <c r="V34" s="45">
        <f t="shared" si="17"/>
        <v>324.64066740657603</v>
      </c>
      <c r="W34" s="45">
        <f t="shared" si="17"/>
        <v>328.2232812266879</v>
      </c>
      <c r="X34" s="45">
        <f t="shared" si="17"/>
        <v>332.07723596990439</v>
      </c>
      <c r="Y34" s="45">
        <f t="shared" si="17"/>
        <v>334.11047625406911</v>
      </c>
      <c r="Z34" s="45">
        <f t="shared" si="17"/>
        <v>337.42366533955044</v>
      </c>
      <c r="AA34" s="45">
        <f t="shared" si="17"/>
        <v>339.03811715540138</v>
      </c>
      <c r="AB34" s="45">
        <f t="shared" si="11"/>
        <v>9311.8840775961744</v>
      </c>
      <c r="AC34" s="45">
        <f t="shared" ref="AC34:AN34" si="18">AC10*$B$25</f>
        <v>341.44711242262099</v>
      </c>
      <c r="AD34" s="45">
        <f t="shared" si="18"/>
        <v>293.3362602005709</v>
      </c>
      <c r="AE34" s="45">
        <f t="shared" si="18"/>
        <v>184.99819912612188</v>
      </c>
      <c r="AF34" s="45">
        <f t="shared" si="18"/>
        <v>110.86984803955831</v>
      </c>
      <c r="AG34" s="45">
        <f t="shared" si="18"/>
        <v>62.958980564349638</v>
      </c>
      <c r="AH34" s="45">
        <f t="shared" si="18"/>
        <v>29.991041186399993</v>
      </c>
      <c r="AI34" s="45">
        <f t="shared" si="18"/>
        <v>7.4783745387301241</v>
      </c>
      <c r="AJ34" s="45">
        <f t="shared" si="18"/>
        <v>0</v>
      </c>
      <c r="AK34" s="45">
        <f t="shared" si="18"/>
        <v>0</v>
      </c>
      <c r="AL34" s="45">
        <f t="shared" si="18"/>
        <v>0</v>
      </c>
      <c r="AM34" s="45">
        <f t="shared" si="18"/>
        <v>0</v>
      </c>
      <c r="AN34" s="45">
        <f t="shared" si="18"/>
        <v>0</v>
      </c>
      <c r="AO34" s="45">
        <f t="shared" si="13"/>
        <v>1031.079816078352</v>
      </c>
      <c r="AP34" s="45">
        <f t="shared" ref="AP34:BA34" si="19">AP10*$B$25</f>
        <v>0</v>
      </c>
      <c r="AQ34" s="45">
        <f t="shared" si="19"/>
        <v>0</v>
      </c>
      <c r="AR34" s="45">
        <f t="shared" si="19"/>
        <v>0</v>
      </c>
      <c r="AS34" s="45">
        <f t="shared" si="19"/>
        <v>0</v>
      </c>
      <c r="AT34" s="45">
        <f t="shared" si="19"/>
        <v>0</v>
      </c>
      <c r="AU34" s="45">
        <f t="shared" si="19"/>
        <v>0</v>
      </c>
      <c r="AV34" s="45">
        <f t="shared" si="19"/>
        <v>0</v>
      </c>
      <c r="AW34" s="45">
        <f t="shared" si="19"/>
        <v>0</v>
      </c>
      <c r="AX34" s="45">
        <f t="shared" si="19"/>
        <v>0</v>
      </c>
      <c r="AY34" s="45">
        <f t="shared" si="19"/>
        <v>0</v>
      </c>
      <c r="AZ34" s="45">
        <f t="shared" si="19"/>
        <v>0</v>
      </c>
      <c r="BA34" s="45">
        <f t="shared" si="19"/>
        <v>0</v>
      </c>
      <c r="BB34" s="45">
        <f t="shared" si="15"/>
        <v>0</v>
      </c>
    </row>
    <row r="35" spans="1:54">
      <c r="A35" s="29" t="s">
        <v>112</v>
      </c>
      <c r="B35" s="35"/>
      <c r="C35" s="66">
        <f>'Download COV'!D11</f>
        <v>0</v>
      </c>
      <c r="D35" s="66">
        <f>'Download COV'!E11</f>
        <v>0</v>
      </c>
      <c r="E35" s="66">
        <f>'Download COV'!F11</f>
        <v>0</v>
      </c>
      <c r="F35" s="66">
        <f>'Download COV'!G11</f>
        <v>0</v>
      </c>
      <c r="G35" s="45">
        <f t="shared" ref="G35:N35" si="20">G11*$B$25</f>
        <v>0</v>
      </c>
      <c r="H35" s="45">
        <f t="shared" si="20"/>
        <v>0</v>
      </c>
      <c r="I35" s="45">
        <f t="shared" si="20"/>
        <v>0</v>
      </c>
      <c r="J35" s="45">
        <f t="shared" si="20"/>
        <v>0</v>
      </c>
      <c r="K35" s="45">
        <f t="shared" si="20"/>
        <v>0</v>
      </c>
      <c r="L35" s="45">
        <f t="shared" si="20"/>
        <v>0</v>
      </c>
      <c r="M35" s="45">
        <f t="shared" si="20"/>
        <v>0</v>
      </c>
      <c r="N35" s="45">
        <f t="shared" si="20"/>
        <v>0</v>
      </c>
      <c r="O35" s="45">
        <f t="shared" si="9"/>
        <v>0</v>
      </c>
      <c r="P35" s="45">
        <f t="shared" ref="P35:AA35" si="21">P11*$B$25</f>
        <v>2967.3735000000001</v>
      </c>
      <c r="Q35" s="45">
        <f t="shared" si="21"/>
        <v>2050.4248648303992</v>
      </c>
      <c r="R35" s="45">
        <f t="shared" si="21"/>
        <v>1801.9365</v>
      </c>
      <c r="S35" s="45">
        <f t="shared" si="21"/>
        <v>2902.6725000000001</v>
      </c>
      <c r="T35" s="45">
        <f t="shared" si="21"/>
        <v>3296.5404210605543</v>
      </c>
      <c r="U35" s="45">
        <f t="shared" si="21"/>
        <v>2528.1165000000001</v>
      </c>
      <c r="V35" s="45">
        <f t="shared" si="21"/>
        <v>3098.0040000000004</v>
      </c>
      <c r="W35" s="45">
        <f t="shared" si="21"/>
        <v>3394.6315310401915</v>
      </c>
      <c r="X35" s="45">
        <f t="shared" si="21"/>
        <v>2615.067</v>
      </c>
      <c r="Y35" s="45">
        <f t="shared" si="21"/>
        <v>3056.9175</v>
      </c>
      <c r="Z35" s="45">
        <f t="shared" si="21"/>
        <v>3575.7540000000004</v>
      </c>
      <c r="AA35" s="45">
        <f t="shared" si="21"/>
        <v>3302.8905000000004</v>
      </c>
      <c r="AB35" s="45">
        <f t="shared" si="11"/>
        <v>34590.328816931142</v>
      </c>
      <c r="AC35" s="45">
        <f t="shared" ref="AC35:AN35" si="22">AC11*$B$25</f>
        <v>3073.0245000000004</v>
      </c>
      <c r="AD35" s="45">
        <f t="shared" si="22"/>
        <v>3105.9795238494144</v>
      </c>
      <c r="AE35" s="45">
        <f t="shared" si="22"/>
        <v>2580.5325000000003</v>
      </c>
      <c r="AF35" s="45">
        <f t="shared" si="22"/>
        <v>2186.8665000000001</v>
      </c>
      <c r="AG35" s="45">
        <f t="shared" si="22"/>
        <v>1951.264581396432</v>
      </c>
      <c r="AH35" s="45">
        <f t="shared" si="22"/>
        <v>1779.96</v>
      </c>
      <c r="AI35" s="45">
        <f t="shared" si="22"/>
        <v>1653.4245000000001</v>
      </c>
      <c r="AJ35" s="45">
        <f t="shared" si="22"/>
        <v>1580.995889018451</v>
      </c>
      <c r="AK35" s="45">
        <f t="shared" si="22"/>
        <v>1612.6110000000001</v>
      </c>
      <c r="AL35" s="45">
        <f t="shared" si="22"/>
        <v>1634.8605000000002</v>
      </c>
      <c r="AM35" s="45">
        <f t="shared" si="22"/>
        <v>1664.1460518160698</v>
      </c>
      <c r="AN35" s="45">
        <f t="shared" si="22"/>
        <v>1684.41</v>
      </c>
      <c r="AO35" s="45">
        <f t="shared" si="13"/>
        <v>24508.07554608037</v>
      </c>
      <c r="AP35" s="45">
        <f t="shared" ref="AP35:BA35" si="23">AP11*$B$25</f>
        <v>1687.14</v>
      </c>
      <c r="AQ35" s="45">
        <f t="shared" si="23"/>
        <v>1759.4850000000001</v>
      </c>
      <c r="AR35" s="45">
        <f t="shared" si="23"/>
        <v>1769.0400000000002</v>
      </c>
      <c r="AS35" s="45">
        <f t="shared" si="23"/>
        <v>1820.4550000000047</v>
      </c>
      <c r="AT35" s="45">
        <f t="shared" si="23"/>
        <v>1861.4050000000047</v>
      </c>
      <c r="AU35" s="45">
        <f t="shared" si="23"/>
        <v>0</v>
      </c>
      <c r="AV35" s="45">
        <f t="shared" si="23"/>
        <v>0</v>
      </c>
      <c r="AW35" s="45">
        <f t="shared" si="23"/>
        <v>0</v>
      </c>
      <c r="AX35" s="45">
        <f t="shared" si="23"/>
        <v>0</v>
      </c>
      <c r="AY35" s="45">
        <f t="shared" si="23"/>
        <v>0</v>
      </c>
      <c r="AZ35" s="45">
        <f t="shared" si="23"/>
        <v>0</v>
      </c>
      <c r="BA35" s="45">
        <f t="shared" si="23"/>
        <v>0</v>
      </c>
      <c r="BB35" s="45">
        <f t="shared" si="15"/>
        <v>8897.5250000000087</v>
      </c>
    </row>
    <row r="36" spans="1:54">
      <c r="A36" s="29" t="s">
        <v>113</v>
      </c>
      <c r="B36" s="35"/>
      <c r="C36" s="66">
        <f>'Download COV'!D12</f>
        <v>0</v>
      </c>
      <c r="D36" s="66">
        <f>'Download COV'!E12</f>
        <v>0</v>
      </c>
      <c r="E36" s="66">
        <f>'Download COV'!F12</f>
        <v>0</v>
      </c>
      <c r="F36" s="66">
        <f>'Download COV'!G12</f>
        <v>0</v>
      </c>
      <c r="G36" s="45">
        <f t="shared" ref="G36:N36" si="24">G12*$B$25</f>
        <v>0</v>
      </c>
      <c r="H36" s="45">
        <f t="shared" si="24"/>
        <v>0</v>
      </c>
      <c r="I36" s="45">
        <f t="shared" si="24"/>
        <v>0</v>
      </c>
      <c r="J36" s="45">
        <f t="shared" si="24"/>
        <v>0</v>
      </c>
      <c r="K36" s="45">
        <f t="shared" si="24"/>
        <v>0</v>
      </c>
      <c r="L36" s="45">
        <f t="shared" si="24"/>
        <v>0</v>
      </c>
      <c r="M36" s="45">
        <f t="shared" si="24"/>
        <v>0</v>
      </c>
      <c r="N36" s="45">
        <f t="shared" si="24"/>
        <v>0</v>
      </c>
      <c r="O36" s="45">
        <f t="shared" si="9"/>
        <v>0</v>
      </c>
      <c r="P36" s="45">
        <f t="shared" ref="P36:AA36" si="25">P12*$B$25</f>
        <v>0</v>
      </c>
      <c r="Q36" s="45">
        <f t="shared" si="25"/>
        <v>0</v>
      </c>
      <c r="R36" s="45">
        <f t="shared" si="25"/>
        <v>0</v>
      </c>
      <c r="S36" s="45">
        <f t="shared" si="25"/>
        <v>0</v>
      </c>
      <c r="T36" s="45">
        <f t="shared" si="25"/>
        <v>0</v>
      </c>
      <c r="U36" s="45">
        <f t="shared" si="25"/>
        <v>0</v>
      </c>
      <c r="V36" s="45">
        <f t="shared" si="25"/>
        <v>0</v>
      </c>
      <c r="W36" s="45">
        <f t="shared" si="25"/>
        <v>0</v>
      </c>
      <c r="X36" s="45">
        <f t="shared" si="25"/>
        <v>0</v>
      </c>
      <c r="Y36" s="45">
        <f t="shared" si="25"/>
        <v>0</v>
      </c>
      <c r="Z36" s="45">
        <f t="shared" si="25"/>
        <v>0</v>
      </c>
      <c r="AA36" s="45">
        <f t="shared" si="25"/>
        <v>0</v>
      </c>
      <c r="AB36" s="45">
        <f t="shared" si="11"/>
        <v>0</v>
      </c>
      <c r="AC36" s="45">
        <f t="shared" ref="AC36:AN36" si="26">AC12*$B$25</f>
        <v>0</v>
      </c>
      <c r="AD36" s="45">
        <f t="shared" si="26"/>
        <v>0</v>
      </c>
      <c r="AE36" s="45">
        <f t="shared" si="26"/>
        <v>0</v>
      </c>
      <c r="AF36" s="45">
        <f t="shared" si="26"/>
        <v>0</v>
      </c>
      <c r="AG36" s="45">
        <f t="shared" si="26"/>
        <v>0</v>
      </c>
      <c r="AH36" s="45">
        <f t="shared" si="26"/>
        <v>0</v>
      </c>
      <c r="AI36" s="45">
        <f t="shared" si="26"/>
        <v>0</v>
      </c>
      <c r="AJ36" s="45">
        <f t="shared" si="26"/>
        <v>0</v>
      </c>
      <c r="AK36" s="45">
        <f t="shared" si="26"/>
        <v>0</v>
      </c>
      <c r="AL36" s="45">
        <f t="shared" si="26"/>
        <v>0</v>
      </c>
      <c r="AM36" s="45">
        <f t="shared" si="26"/>
        <v>0</v>
      </c>
      <c r="AN36" s="45">
        <f t="shared" si="26"/>
        <v>0</v>
      </c>
      <c r="AO36" s="45">
        <f t="shared" si="13"/>
        <v>0</v>
      </c>
      <c r="AP36" s="45">
        <f t="shared" ref="AP36:BA36" si="27">AP12*$B$25</f>
        <v>0</v>
      </c>
      <c r="AQ36" s="45">
        <f t="shared" si="27"/>
        <v>0</v>
      </c>
      <c r="AR36" s="45">
        <f t="shared" si="27"/>
        <v>0</v>
      </c>
      <c r="AS36" s="45">
        <f t="shared" si="27"/>
        <v>0</v>
      </c>
      <c r="AT36" s="45">
        <f t="shared" si="27"/>
        <v>0</v>
      </c>
      <c r="AU36" s="45">
        <f t="shared" si="27"/>
        <v>0</v>
      </c>
      <c r="AV36" s="45">
        <f t="shared" si="27"/>
        <v>0</v>
      </c>
      <c r="AW36" s="45">
        <f t="shared" si="27"/>
        <v>0</v>
      </c>
      <c r="AX36" s="45">
        <f t="shared" si="27"/>
        <v>0</v>
      </c>
      <c r="AY36" s="45">
        <f t="shared" si="27"/>
        <v>0</v>
      </c>
      <c r="AZ36" s="45">
        <f t="shared" si="27"/>
        <v>0</v>
      </c>
      <c r="BA36" s="45">
        <f t="shared" si="27"/>
        <v>0</v>
      </c>
      <c r="BB36" s="45">
        <f t="shared" si="15"/>
        <v>0</v>
      </c>
    </row>
    <row r="37" spans="1:54">
      <c r="A37" s="29" t="s">
        <v>74</v>
      </c>
      <c r="B37" s="35"/>
      <c r="C37" s="66">
        <f>'Download COV'!D13</f>
        <v>1447</v>
      </c>
      <c r="D37" s="66">
        <f>'Download COV'!E13</f>
        <v>1893</v>
      </c>
      <c r="E37" s="66">
        <f>'Download COV'!F13</f>
        <v>705</v>
      </c>
      <c r="F37" s="66">
        <f>'Download COV'!G13</f>
        <v>1303</v>
      </c>
      <c r="G37" s="45">
        <f t="shared" ref="G37:N37" si="28">SUM(G13:G14)*$B$25</f>
        <v>1757.4715463860989</v>
      </c>
      <c r="H37" s="45">
        <f t="shared" si="28"/>
        <v>1345.7707339280421</v>
      </c>
      <c r="I37" s="45">
        <f t="shared" si="28"/>
        <v>1175.1285</v>
      </c>
      <c r="J37" s="45">
        <f t="shared" si="28"/>
        <v>1622.8485000000001</v>
      </c>
      <c r="K37" s="45">
        <f t="shared" si="28"/>
        <v>1164.4815000000001</v>
      </c>
      <c r="L37" s="45">
        <f t="shared" si="28"/>
        <v>1212.6253176352884</v>
      </c>
      <c r="M37" s="45">
        <f t="shared" si="28"/>
        <v>1939.3085122459654</v>
      </c>
      <c r="N37" s="45">
        <f t="shared" si="28"/>
        <v>1550.6836849564099</v>
      </c>
      <c r="O37" s="45">
        <f t="shared" si="9"/>
        <v>17116.318295151807</v>
      </c>
      <c r="P37" s="45">
        <f t="shared" ref="P37:AA37" si="29">SUM(P13:P14)*$B$25</f>
        <v>1617.9345000000001</v>
      </c>
      <c r="Q37" s="45">
        <f t="shared" si="29"/>
        <v>2277.6390000000001</v>
      </c>
      <c r="R37" s="45">
        <f t="shared" si="29"/>
        <v>539.721</v>
      </c>
      <c r="S37" s="45">
        <f t="shared" si="29"/>
        <v>327.327</v>
      </c>
      <c r="T37" s="45">
        <f t="shared" si="29"/>
        <v>571.25250000000005</v>
      </c>
      <c r="U37" s="45">
        <f t="shared" si="29"/>
        <v>360.2235</v>
      </c>
      <c r="V37" s="45">
        <f t="shared" si="29"/>
        <v>382.06350000000003</v>
      </c>
      <c r="W37" s="45">
        <f t="shared" si="29"/>
        <v>512.5575</v>
      </c>
      <c r="X37" s="45">
        <f t="shared" si="29"/>
        <v>369.096</v>
      </c>
      <c r="Y37" s="45">
        <f t="shared" si="29"/>
        <v>361.58850000000001</v>
      </c>
      <c r="Z37" s="45">
        <f t="shared" si="29"/>
        <v>320.63850000000002</v>
      </c>
      <c r="AA37" s="45">
        <f t="shared" si="29"/>
        <v>109.88250000000001</v>
      </c>
      <c r="AB37" s="45">
        <f t="shared" si="11"/>
        <v>7749.924</v>
      </c>
      <c r="AC37" s="45">
        <f t="shared" ref="AC37:AN37" si="30">SUM(AC13:AC14)*$B$25</f>
        <v>102.37500000000001</v>
      </c>
      <c r="AD37" s="45">
        <f t="shared" si="30"/>
        <v>132.81450000000001</v>
      </c>
      <c r="AE37" s="45">
        <f t="shared" si="30"/>
        <v>85.858500000000006</v>
      </c>
      <c r="AF37" s="45">
        <f t="shared" si="30"/>
        <v>85.176000000000002</v>
      </c>
      <c r="AG37" s="45">
        <f t="shared" si="30"/>
        <v>137.04600000000002</v>
      </c>
      <c r="AH37" s="45">
        <f t="shared" si="30"/>
        <v>92.274000000000001</v>
      </c>
      <c r="AI37" s="45">
        <f t="shared" si="30"/>
        <v>100.191</v>
      </c>
      <c r="AJ37" s="45">
        <f t="shared" si="30"/>
        <v>144.14400000000001</v>
      </c>
      <c r="AK37" s="45">
        <f t="shared" si="30"/>
        <v>92.683500000000009</v>
      </c>
      <c r="AL37" s="45">
        <f t="shared" si="30"/>
        <v>96.505500000000012</v>
      </c>
      <c r="AM37" s="45">
        <f t="shared" si="30"/>
        <v>166.93950000000001</v>
      </c>
      <c r="AN37" s="45">
        <f t="shared" si="30"/>
        <v>92.547000000000011</v>
      </c>
      <c r="AO37" s="45">
        <f t="shared" si="13"/>
        <v>1328.5545</v>
      </c>
      <c r="AP37" s="45">
        <f t="shared" ref="AP37:BA37" si="31">SUM(AP13:AP14)*$B$25</f>
        <v>120.93900000000001</v>
      </c>
      <c r="AQ37" s="45">
        <f t="shared" si="31"/>
        <v>135.68100000000001</v>
      </c>
      <c r="AR37" s="45">
        <f t="shared" si="31"/>
        <v>116.70750000000001</v>
      </c>
      <c r="AS37" s="45">
        <f t="shared" si="31"/>
        <v>130.494</v>
      </c>
      <c r="AT37" s="45">
        <f t="shared" si="31"/>
        <v>122.44049999999989</v>
      </c>
      <c r="AU37" s="45">
        <f t="shared" si="31"/>
        <v>0</v>
      </c>
      <c r="AV37" s="45">
        <f t="shared" si="31"/>
        <v>0</v>
      </c>
      <c r="AW37" s="45">
        <f t="shared" si="31"/>
        <v>0</v>
      </c>
      <c r="AX37" s="45">
        <f t="shared" si="31"/>
        <v>0</v>
      </c>
      <c r="AY37" s="45">
        <f t="shared" si="31"/>
        <v>0</v>
      </c>
      <c r="AZ37" s="45">
        <f t="shared" si="31"/>
        <v>0</v>
      </c>
      <c r="BA37" s="45">
        <f t="shared" si="31"/>
        <v>0</v>
      </c>
      <c r="BB37" s="45">
        <f t="shared" si="15"/>
        <v>626.26199999999994</v>
      </c>
    </row>
    <row r="38" spans="1:54">
      <c r="A38" s="29"/>
      <c r="B38" s="35"/>
      <c r="C38" s="66"/>
      <c r="D38" s="66"/>
      <c r="E38" s="66"/>
      <c r="F38" s="66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45"/>
      <c r="AI38" s="45"/>
      <c r="AJ38" s="45"/>
      <c r="AK38" s="45"/>
      <c r="AL38" s="45"/>
      <c r="AM38" s="45"/>
      <c r="AN38" s="45"/>
      <c r="AO38" s="45"/>
      <c r="AP38" s="45"/>
      <c r="AQ38" s="45"/>
      <c r="AR38" s="45"/>
      <c r="AS38" s="45"/>
      <c r="AT38" s="45"/>
      <c r="AU38" s="45"/>
      <c r="AV38" s="45"/>
      <c r="AW38" s="45"/>
      <c r="AX38" s="45"/>
      <c r="AY38" s="45"/>
      <c r="AZ38" s="45"/>
      <c r="BA38" s="45"/>
      <c r="BB38" s="45"/>
    </row>
    <row r="39" spans="1:54">
      <c r="A39" s="29" t="s">
        <v>115</v>
      </c>
      <c r="B39" s="35"/>
      <c r="C39" s="66">
        <f>'Download COV'!D15</f>
        <v>0</v>
      </c>
      <c r="D39" s="66">
        <f>'Download COV'!E15</f>
        <v>0</v>
      </c>
      <c r="E39" s="66">
        <f>'Download COV'!F15</f>
        <v>0</v>
      </c>
      <c r="F39" s="66">
        <f>'Download COV'!G15</f>
        <v>0</v>
      </c>
      <c r="G39" s="45">
        <f t="shared" ref="G39:N39" si="32">SUM(G15:G16)*$B$25</f>
        <v>0</v>
      </c>
      <c r="H39" s="45">
        <f t="shared" si="32"/>
        <v>0</v>
      </c>
      <c r="I39" s="45">
        <f t="shared" si="32"/>
        <v>0</v>
      </c>
      <c r="J39" s="45">
        <f t="shared" si="32"/>
        <v>0</v>
      </c>
      <c r="K39" s="45">
        <f t="shared" si="32"/>
        <v>0</v>
      </c>
      <c r="L39" s="45">
        <f t="shared" si="32"/>
        <v>0</v>
      </c>
      <c r="M39" s="45">
        <f t="shared" si="32"/>
        <v>0</v>
      </c>
      <c r="N39" s="45">
        <f t="shared" si="32"/>
        <v>0</v>
      </c>
      <c r="O39" s="45">
        <f t="shared" si="9"/>
        <v>0</v>
      </c>
      <c r="P39" s="45">
        <f t="shared" ref="P39:AA39" si="33">SUM(P15:P16)*$B$25</f>
        <v>0</v>
      </c>
      <c r="Q39" s="45">
        <f t="shared" si="33"/>
        <v>0</v>
      </c>
      <c r="R39" s="45">
        <f t="shared" si="33"/>
        <v>0</v>
      </c>
      <c r="S39" s="45">
        <f t="shared" si="33"/>
        <v>0</v>
      </c>
      <c r="T39" s="45">
        <f t="shared" si="33"/>
        <v>0</v>
      </c>
      <c r="U39" s="45">
        <f t="shared" si="33"/>
        <v>0</v>
      </c>
      <c r="V39" s="45">
        <f t="shared" si="33"/>
        <v>149.19450000000001</v>
      </c>
      <c r="W39" s="45">
        <f t="shared" si="33"/>
        <v>126.2625</v>
      </c>
      <c r="X39" s="45">
        <f t="shared" si="33"/>
        <v>174.72000000000003</v>
      </c>
      <c r="Y39" s="45">
        <f t="shared" si="33"/>
        <v>352.57950000000005</v>
      </c>
      <c r="Z39" s="45">
        <f t="shared" si="33"/>
        <v>321.86700000000002</v>
      </c>
      <c r="AA39" s="45">
        <f t="shared" si="33"/>
        <v>418.37250000000006</v>
      </c>
      <c r="AB39" s="45">
        <f t="shared" si="11"/>
        <v>1542.9960000000001</v>
      </c>
      <c r="AC39" s="45">
        <f t="shared" ref="AC39:AN39" si="34">SUM(AC15:AC16)*$B$25</f>
        <v>520.33800000000008</v>
      </c>
      <c r="AD39" s="45">
        <f t="shared" si="34"/>
        <v>493.44750000000005</v>
      </c>
      <c r="AE39" s="45">
        <f t="shared" si="34"/>
        <v>535.48950000000002</v>
      </c>
      <c r="AF39" s="45">
        <f t="shared" si="34"/>
        <v>692.73750000000007</v>
      </c>
      <c r="AG39" s="45">
        <f t="shared" si="34"/>
        <v>598.14300000000003</v>
      </c>
      <c r="AH39" s="45">
        <f t="shared" si="34"/>
        <v>726.04350000000011</v>
      </c>
      <c r="AI39" s="45">
        <f t="shared" si="34"/>
        <v>820.22850000000005</v>
      </c>
      <c r="AJ39" s="45">
        <f t="shared" si="34"/>
        <v>596.91450000000009</v>
      </c>
      <c r="AK39" s="45">
        <f t="shared" si="34"/>
        <v>700.92750000000001</v>
      </c>
      <c r="AL39" s="45">
        <f t="shared" si="34"/>
        <v>902.9475000000001</v>
      </c>
      <c r="AM39" s="45">
        <f t="shared" si="34"/>
        <v>625.30650000000003</v>
      </c>
      <c r="AN39" s="45">
        <f t="shared" si="34"/>
        <v>625.30650000000003</v>
      </c>
      <c r="AO39" s="45">
        <f t="shared" si="13"/>
        <v>7837.83</v>
      </c>
      <c r="AP39" s="45">
        <f t="shared" ref="AP39:BA39" si="35">SUM(AP15:AP16)*$B$25</f>
        <v>625.30650000000003</v>
      </c>
      <c r="AQ39" s="45">
        <f t="shared" si="35"/>
        <v>704.23328181818238</v>
      </c>
      <c r="AR39" s="45">
        <f t="shared" si="35"/>
        <v>708.73654090909145</v>
      </c>
      <c r="AS39" s="45">
        <f t="shared" si="35"/>
        <v>713.23980000000086</v>
      </c>
      <c r="AT39" s="45">
        <f t="shared" si="35"/>
        <v>754.95482045454742</v>
      </c>
      <c r="AU39" s="45">
        <f t="shared" si="35"/>
        <v>0</v>
      </c>
      <c r="AV39" s="45">
        <f t="shared" si="35"/>
        <v>0</v>
      </c>
      <c r="AW39" s="45">
        <f t="shared" si="35"/>
        <v>0</v>
      </c>
      <c r="AX39" s="45">
        <f t="shared" si="35"/>
        <v>0</v>
      </c>
      <c r="AY39" s="45">
        <f t="shared" si="35"/>
        <v>0</v>
      </c>
      <c r="AZ39" s="45">
        <f t="shared" si="35"/>
        <v>0</v>
      </c>
      <c r="BA39" s="45">
        <f t="shared" si="35"/>
        <v>0</v>
      </c>
      <c r="BB39" s="45">
        <f t="shared" si="15"/>
        <v>3506.4709431818219</v>
      </c>
    </row>
    <row r="40" spans="1:54">
      <c r="A40" s="29"/>
      <c r="B40" s="35"/>
      <c r="C40" s="66"/>
      <c r="D40" s="66"/>
      <c r="E40" s="66"/>
      <c r="F40" s="66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  <c r="AK40" s="45"/>
      <c r="AL40" s="45"/>
      <c r="AM40" s="45"/>
      <c r="AN40" s="45"/>
      <c r="AO40" s="45"/>
      <c r="AP40" s="45"/>
      <c r="AQ40" s="45"/>
      <c r="AR40" s="45"/>
      <c r="AS40" s="45"/>
      <c r="AT40" s="45"/>
      <c r="AU40" s="45"/>
      <c r="AV40" s="45"/>
      <c r="AW40" s="45"/>
      <c r="AX40" s="45"/>
      <c r="AY40" s="45"/>
      <c r="AZ40" s="45"/>
      <c r="BA40" s="45"/>
      <c r="BB40" s="45"/>
    </row>
    <row r="41" spans="1:54">
      <c r="A41" s="29" t="s">
        <v>129</v>
      </c>
      <c r="B41" s="35"/>
      <c r="C41" s="66">
        <f>'Download COV'!D17</f>
        <v>668</v>
      </c>
      <c r="D41" s="66">
        <f>'Download COV'!E17</f>
        <v>561</v>
      </c>
      <c r="E41" s="66">
        <f>'Download COV'!F17</f>
        <v>209</v>
      </c>
      <c r="F41" s="66">
        <f>'Download COV'!G17</f>
        <v>646</v>
      </c>
      <c r="G41" s="45">
        <f t="shared" ref="G41:N41" si="36">G17*$B$25</f>
        <v>586.45691979187643</v>
      </c>
      <c r="H41" s="45">
        <f t="shared" si="36"/>
        <v>469.64474180899339</v>
      </c>
      <c r="I41" s="45">
        <f t="shared" si="36"/>
        <v>552.82500000000005</v>
      </c>
      <c r="J41" s="45">
        <f t="shared" si="36"/>
        <v>506.82450000000006</v>
      </c>
      <c r="K41" s="45">
        <f t="shared" si="36"/>
        <v>434.47950000000003</v>
      </c>
      <c r="L41" s="45">
        <f t="shared" si="36"/>
        <v>633.96231737280243</v>
      </c>
      <c r="M41" s="45">
        <f t="shared" si="36"/>
        <v>518.191172790873</v>
      </c>
      <c r="N41" s="45">
        <f t="shared" si="36"/>
        <v>478.35129608380731</v>
      </c>
      <c r="O41" s="45">
        <f t="shared" ref="O41" si="37">SUM(C41:N41)</f>
        <v>6264.7354478483521</v>
      </c>
      <c r="P41" s="45">
        <f t="shared" ref="P41:AA41" si="38">P17*$B$25</f>
        <v>637.87185750288018</v>
      </c>
      <c r="Q41" s="45">
        <f t="shared" si="38"/>
        <v>461.91600000000005</v>
      </c>
      <c r="R41" s="45">
        <f t="shared" si="38"/>
        <v>445.80900000000003</v>
      </c>
      <c r="S41" s="45">
        <f t="shared" si="38"/>
        <v>611.25435750288011</v>
      </c>
      <c r="T41" s="45">
        <f t="shared" si="38"/>
        <v>491.67300000000006</v>
      </c>
      <c r="U41" s="45">
        <f t="shared" si="38"/>
        <v>469.28700000000003</v>
      </c>
      <c r="V41" s="45">
        <f t="shared" si="38"/>
        <v>587.77635750288016</v>
      </c>
      <c r="W41" s="45">
        <f t="shared" si="38"/>
        <v>491.67300000000006</v>
      </c>
      <c r="X41" s="45">
        <f t="shared" si="38"/>
        <v>445.80900000000003</v>
      </c>
      <c r="Y41" s="45">
        <f t="shared" si="38"/>
        <v>635.82435750288016</v>
      </c>
      <c r="Z41" s="45">
        <f t="shared" si="38"/>
        <v>467.10300000000001</v>
      </c>
      <c r="AA41" s="45">
        <f t="shared" si="38"/>
        <v>516.24300000000005</v>
      </c>
      <c r="AB41" s="45">
        <f t="shared" ref="AB41" si="39">SUM(P41:AA41)</f>
        <v>6262.2399300115212</v>
      </c>
      <c r="AC41" s="45">
        <f t="shared" ref="AC41:AN42" si="40">AC17*$B$25</f>
        <v>516.25035750288009</v>
      </c>
      <c r="AD41" s="45">
        <f t="shared" si="40"/>
        <v>516.24300000000005</v>
      </c>
      <c r="AE41" s="45">
        <f t="shared" si="40"/>
        <v>516.24300000000005</v>
      </c>
      <c r="AF41" s="45">
        <f t="shared" si="40"/>
        <v>516.25035750288009</v>
      </c>
      <c r="AG41" s="45">
        <f t="shared" si="40"/>
        <v>516.24300000000005</v>
      </c>
      <c r="AH41" s="45">
        <f t="shared" si="40"/>
        <v>516.24300000000005</v>
      </c>
      <c r="AI41" s="45">
        <f t="shared" si="40"/>
        <v>516.25035750288009</v>
      </c>
      <c r="AJ41" s="45">
        <f t="shared" si="40"/>
        <v>516.24300000000005</v>
      </c>
      <c r="AK41" s="45">
        <f t="shared" si="40"/>
        <v>516.24300000000005</v>
      </c>
      <c r="AL41" s="45">
        <f t="shared" si="40"/>
        <v>516.25035750288009</v>
      </c>
      <c r="AM41" s="45">
        <f t="shared" si="40"/>
        <v>516.24300000000005</v>
      </c>
      <c r="AN41" s="45">
        <f t="shared" si="40"/>
        <v>516.24300000000005</v>
      </c>
      <c r="AO41" s="45">
        <f t="shared" ref="AO41" si="41">SUM(AC41:AN41)</f>
        <v>6194.9454300115221</v>
      </c>
      <c r="AP41" s="45">
        <f t="shared" ref="AP41:BA42" si="42">AP17*$B$25</f>
        <v>516.25035750288009</v>
      </c>
      <c r="AQ41" s="45">
        <f t="shared" si="42"/>
        <v>516.24300000000005</v>
      </c>
      <c r="AR41" s="45">
        <f t="shared" si="42"/>
        <v>516.24300000000005</v>
      </c>
      <c r="AS41" s="45">
        <f t="shared" si="42"/>
        <v>522.11250000000007</v>
      </c>
      <c r="AT41" s="45">
        <f t="shared" si="42"/>
        <v>540.59460000000001</v>
      </c>
      <c r="AU41" s="45">
        <f t="shared" si="42"/>
        <v>0</v>
      </c>
      <c r="AV41" s="45">
        <f t="shared" si="42"/>
        <v>0</v>
      </c>
      <c r="AW41" s="45">
        <f t="shared" si="42"/>
        <v>0</v>
      </c>
      <c r="AX41" s="45">
        <f t="shared" si="42"/>
        <v>0</v>
      </c>
      <c r="AY41" s="45">
        <f t="shared" si="42"/>
        <v>0</v>
      </c>
      <c r="AZ41" s="45">
        <f t="shared" si="42"/>
        <v>0</v>
      </c>
      <c r="BA41" s="45">
        <f t="shared" si="42"/>
        <v>0</v>
      </c>
      <c r="BB41" s="45">
        <f t="shared" ref="BB41" si="43">SUM(AP41:BA41)</f>
        <v>2611.4434575028804</v>
      </c>
    </row>
    <row r="42" spans="1:54">
      <c r="A42" s="99" t="s">
        <v>145</v>
      </c>
      <c r="B42" s="35"/>
      <c r="C42" s="66">
        <f>SUM('Download COV'!D18:D21)</f>
        <v>0</v>
      </c>
      <c r="D42" s="66">
        <f>SUM('Download COV'!E18:E21)</f>
        <v>0</v>
      </c>
      <c r="E42" s="66">
        <f>SUM('Download COV'!F18:F21)</f>
        <v>0</v>
      </c>
      <c r="F42" s="66">
        <f>SUM('Download COV'!G18:G21)</f>
        <v>25854.04</v>
      </c>
      <c r="G42" s="104">
        <v>3300</v>
      </c>
      <c r="H42" s="104">
        <v>2750</v>
      </c>
      <c r="I42" s="104">
        <v>2500</v>
      </c>
      <c r="J42" s="104">
        <v>2500</v>
      </c>
      <c r="K42" s="104">
        <v>2500</v>
      </c>
      <c r="L42" s="104">
        <v>2500</v>
      </c>
      <c r="M42" s="104">
        <v>2500</v>
      </c>
      <c r="N42" s="104">
        <v>2500</v>
      </c>
      <c r="O42" s="45">
        <f t="shared" ref="O42" si="44">SUM(C42:N42)</f>
        <v>46904.04</v>
      </c>
      <c r="P42" s="104">
        <v>5000</v>
      </c>
      <c r="Q42" s="104">
        <v>5000</v>
      </c>
      <c r="R42" s="104">
        <v>5000</v>
      </c>
      <c r="S42" s="104">
        <v>5000</v>
      </c>
      <c r="T42" s="104">
        <v>5000</v>
      </c>
      <c r="U42" s="104">
        <v>5000</v>
      </c>
      <c r="V42" s="104">
        <v>5000</v>
      </c>
      <c r="W42" s="104">
        <v>5000</v>
      </c>
      <c r="X42" s="104">
        <v>5000</v>
      </c>
      <c r="Y42" s="104">
        <v>5000</v>
      </c>
      <c r="Z42" s="104">
        <v>5000</v>
      </c>
      <c r="AA42" s="104">
        <v>5000</v>
      </c>
      <c r="AB42" s="45">
        <f t="shared" ref="AB42" si="45">SUM(P42:AA42)</f>
        <v>60000</v>
      </c>
      <c r="AC42" s="45">
        <f t="shared" si="40"/>
        <v>994.94730573849188</v>
      </c>
      <c r="AD42" s="45">
        <f t="shared" si="40"/>
        <v>1173.1453736319011</v>
      </c>
      <c r="AE42" s="45">
        <f t="shared" si="40"/>
        <v>994.94730573849188</v>
      </c>
      <c r="AF42" s="45">
        <f t="shared" si="40"/>
        <v>1030.9464537619363</v>
      </c>
      <c r="AG42" s="45">
        <f t="shared" si="40"/>
        <v>1213.6444151582757</v>
      </c>
      <c r="AH42" s="45">
        <f t="shared" si="40"/>
        <v>1039.8264339619361</v>
      </c>
      <c r="AI42" s="45">
        <f t="shared" si="40"/>
        <v>1088.5830655975142</v>
      </c>
      <c r="AJ42" s="45">
        <f t="shared" si="40"/>
        <v>1299.6683310603833</v>
      </c>
      <c r="AK42" s="45">
        <f t="shared" si="40"/>
        <v>1129.8115450975142</v>
      </c>
      <c r="AL42" s="45">
        <f t="shared" si="40"/>
        <v>1185.5235522299258</v>
      </c>
      <c r="AM42" s="45">
        <f t="shared" si="40"/>
        <v>1399.0122172624908</v>
      </c>
      <c r="AN42" s="45">
        <f t="shared" si="40"/>
        <v>1221.0434730299257</v>
      </c>
      <c r="AO42" s="45">
        <f t="shared" ref="AO42" si="46">SUM(AC42:AN42)</f>
        <v>13771.099472268788</v>
      </c>
      <c r="AP42" s="45">
        <f t="shared" si="42"/>
        <v>0</v>
      </c>
      <c r="AQ42" s="45">
        <f t="shared" si="42"/>
        <v>0</v>
      </c>
      <c r="AR42" s="45">
        <f t="shared" si="42"/>
        <v>0</v>
      </c>
      <c r="AS42" s="45">
        <f t="shared" si="42"/>
        <v>0</v>
      </c>
      <c r="AT42" s="45">
        <f t="shared" si="42"/>
        <v>0</v>
      </c>
      <c r="AU42" s="45">
        <f t="shared" si="42"/>
        <v>0</v>
      </c>
      <c r="AV42" s="45">
        <f t="shared" si="42"/>
        <v>0</v>
      </c>
      <c r="AW42" s="45">
        <f t="shared" si="42"/>
        <v>0</v>
      </c>
      <c r="AX42" s="45">
        <f t="shared" si="42"/>
        <v>0</v>
      </c>
      <c r="AY42" s="45">
        <f t="shared" si="42"/>
        <v>0</v>
      </c>
      <c r="AZ42" s="45">
        <f t="shared" si="42"/>
        <v>0</v>
      </c>
      <c r="BA42" s="45">
        <f t="shared" si="42"/>
        <v>0</v>
      </c>
      <c r="BB42" s="45">
        <f t="shared" ref="BB42" si="47">SUM(AP42:BA42)</f>
        <v>0</v>
      </c>
    </row>
    <row r="43" spans="1:54">
      <c r="A43" s="29" t="s">
        <v>92</v>
      </c>
      <c r="B43" s="35"/>
      <c r="C43" s="66">
        <f>'Download COV'!D22</f>
        <v>0</v>
      </c>
      <c r="D43" s="66">
        <f>'Download COV'!E22</f>
        <v>0</v>
      </c>
      <c r="E43" s="66">
        <f>'Download COV'!F22</f>
        <v>0</v>
      </c>
      <c r="F43" s="66">
        <f>'Download COV'!G22</f>
        <v>0</v>
      </c>
      <c r="G43" s="45">
        <f t="shared" ref="G43:N43" si="48">G19*$B$25</f>
        <v>0</v>
      </c>
      <c r="H43" s="45">
        <f t="shared" si="48"/>
        <v>0</v>
      </c>
      <c r="I43" s="45">
        <f t="shared" si="48"/>
        <v>0</v>
      </c>
      <c r="J43" s="45">
        <f t="shared" si="48"/>
        <v>0</v>
      </c>
      <c r="K43" s="45">
        <f t="shared" si="48"/>
        <v>0</v>
      </c>
      <c r="L43" s="45">
        <f t="shared" si="48"/>
        <v>0</v>
      </c>
      <c r="M43" s="45">
        <f t="shared" si="48"/>
        <v>0</v>
      </c>
      <c r="N43" s="45">
        <f t="shared" si="48"/>
        <v>0</v>
      </c>
      <c r="O43" s="45">
        <f t="shared" si="9"/>
        <v>0</v>
      </c>
      <c r="P43" s="45">
        <f t="shared" ref="P43:AA43" si="49">P19*$B$25</f>
        <v>0</v>
      </c>
      <c r="Q43" s="45">
        <f t="shared" si="49"/>
        <v>0</v>
      </c>
      <c r="R43" s="45">
        <f t="shared" si="49"/>
        <v>0</v>
      </c>
      <c r="S43" s="45">
        <f t="shared" si="49"/>
        <v>0</v>
      </c>
      <c r="T43" s="45">
        <f t="shared" si="49"/>
        <v>0</v>
      </c>
      <c r="U43" s="45">
        <f t="shared" si="49"/>
        <v>0</v>
      </c>
      <c r="V43" s="45">
        <f t="shared" si="49"/>
        <v>0</v>
      </c>
      <c r="W43" s="45">
        <f t="shared" si="49"/>
        <v>0</v>
      </c>
      <c r="X43" s="45">
        <f t="shared" si="49"/>
        <v>0</v>
      </c>
      <c r="Y43" s="45">
        <f t="shared" si="49"/>
        <v>0</v>
      </c>
      <c r="Z43" s="45">
        <f t="shared" si="49"/>
        <v>0</v>
      </c>
      <c r="AA43" s="45">
        <f t="shared" si="49"/>
        <v>0</v>
      </c>
      <c r="AB43" s="45">
        <f t="shared" si="11"/>
        <v>0</v>
      </c>
      <c r="AC43" s="45">
        <f t="shared" ref="AC43:AN43" si="50">AC19*$B$25</f>
        <v>0</v>
      </c>
      <c r="AD43" s="45">
        <f t="shared" si="50"/>
        <v>0</v>
      </c>
      <c r="AE43" s="45">
        <f t="shared" si="50"/>
        <v>0</v>
      </c>
      <c r="AF43" s="45">
        <f t="shared" si="50"/>
        <v>3322.5465000000004</v>
      </c>
      <c r="AG43" s="45">
        <f t="shared" si="50"/>
        <v>6645.2295000000004</v>
      </c>
      <c r="AH43" s="45">
        <f t="shared" si="50"/>
        <v>9967.7759999999998</v>
      </c>
      <c r="AI43" s="45">
        <f t="shared" si="50"/>
        <v>11710.608</v>
      </c>
      <c r="AJ43" s="45">
        <f t="shared" si="50"/>
        <v>13453.44</v>
      </c>
      <c r="AK43" s="45">
        <f t="shared" si="50"/>
        <v>15196.272000000001</v>
      </c>
      <c r="AL43" s="45">
        <f t="shared" si="50"/>
        <v>17812.021500000003</v>
      </c>
      <c r="AM43" s="45">
        <f t="shared" si="50"/>
        <v>20427.771000000001</v>
      </c>
      <c r="AN43" s="45">
        <f t="shared" si="50"/>
        <v>23043.657000000003</v>
      </c>
      <c r="AO43" s="45">
        <f t="shared" si="13"/>
        <v>121579.32150000002</v>
      </c>
      <c r="AP43" s="45">
        <f t="shared" ref="AP43:BA43" si="51">AP19*$B$25</f>
        <v>24708.684000000001</v>
      </c>
      <c r="AQ43" s="45">
        <f t="shared" si="51"/>
        <v>26919.0285</v>
      </c>
      <c r="AR43" s="45">
        <f t="shared" si="51"/>
        <v>29129.373000000003</v>
      </c>
      <c r="AS43" s="45">
        <f t="shared" si="51"/>
        <v>31381.213500000002</v>
      </c>
      <c r="AT43" s="45">
        <f t="shared" si="51"/>
        <v>33605.389999999956</v>
      </c>
      <c r="AU43" s="45">
        <f t="shared" si="51"/>
        <v>0</v>
      </c>
      <c r="AV43" s="45">
        <f t="shared" si="51"/>
        <v>0</v>
      </c>
      <c r="AW43" s="45">
        <f t="shared" si="51"/>
        <v>0</v>
      </c>
      <c r="AX43" s="45">
        <f t="shared" si="51"/>
        <v>0</v>
      </c>
      <c r="AY43" s="45">
        <f t="shared" si="51"/>
        <v>0</v>
      </c>
      <c r="AZ43" s="45">
        <f t="shared" si="51"/>
        <v>0</v>
      </c>
      <c r="BA43" s="45">
        <f t="shared" si="51"/>
        <v>0</v>
      </c>
      <c r="BB43" s="45">
        <f t="shared" si="15"/>
        <v>145743.68899999995</v>
      </c>
    </row>
    <row r="44" spans="1:54">
      <c r="A44" s="29" t="s">
        <v>93</v>
      </c>
      <c r="B44" s="35"/>
      <c r="C44" s="66">
        <f>'Download COV'!D23</f>
        <v>0</v>
      </c>
      <c r="D44" s="66">
        <f>'Download COV'!E23</f>
        <v>0</v>
      </c>
      <c r="E44" s="66">
        <f>'Download COV'!F23</f>
        <v>0</v>
      </c>
      <c r="F44" s="66">
        <f>'Download COV'!G23</f>
        <v>0</v>
      </c>
      <c r="G44" s="45">
        <f t="shared" ref="G44:N44" si="52">G20*$B$25</f>
        <v>0</v>
      </c>
      <c r="H44" s="45">
        <f t="shared" si="52"/>
        <v>0</v>
      </c>
      <c r="I44" s="45">
        <f t="shared" si="52"/>
        <v>0</v>
      </c>
      <c r="J44" s="45">
        <f t="shared" si="52"/>
        <v>0</v>
      </c>
      <c r="K44" s="45">
        <f t="shared" si="52"/>
        <v>0</v>
      </c>
      <c r="L44" s="45">
        <f t="shared" si="52"/>
        <v>0</v>
      </c>
      <c r="M44" s="45">
        <f t="shared" si="52"/>
        <v>0</v>
      </c>
      <c r="N44" s="45">
        <f t="shared" si="52"/>
        <v>0</v>
      </c>
      <c r="O44" s="45">
        <f t="shared" si="1"/>
        <v>0</v>
      </c>
      <c r="P44" s="45">
        <f t="shared" ref="P44:AA44" si="53">P20*$B$25</f>
        <v>0</v>
      </c>
      <c r="Q44" s="45">
        <f t="shared" si="53"/>
        <v>0</v>
      </c>
      <c r="R44" s="45">
        <f t="shared" si="53"/>
        <v>0</v>
      </c>
      <c r="S44" s="45">
        <f t="shared" si="53"/>
        <v>0</v>
      </c>
      <c r="T44" s="45">
        <f t="shared" si="53"/>
        <v>0</v>
      </c>
      <c r="U44" s="45">
        <f t="shared" si="53"/>
        <v>0</v>
      </c>
      <c r="V44" s="45">
        <f t="shared" si="53"/>
        <v>1795.7785415985709</v>
      </c>
      <c r="W44" s="45">
        <f t="shared" si="53"/>
        <v>3591.6935831971418</v>
      </c>
      <c r="X44" s="45">
        <f t="shared" si="53"/>
        <v>5387.4721247957132</v>
      </c>
      <c r="Y44" s="45">
        <f t="shared" si="53"/>
        <v>6333.6979517918671</v>
      </c>
      <c r="Z44" s="45">
        <f t="shared" si="53"/>
        <v>7280.0602787880225</v>
      </c>
      <c r="AA44" s="45">
        <f t="shared" si="53"/>
        <v>8226.2861057841783</v>
      </c>
      <c r="AB44" s="45">
        <f t="shared" si="3"/>
        <v>32614.988585955492</v>
      </c>
      <c r="AC44" s="45">
        <f t="shared" ref="AC44:AN44" si="54">AC20*$B$25</f>
        <v>9402.212537704836</v>
      </c>
      <c r="AD44" s="45">
        <f t="shared" si="54"/>
        <v>10786.549966451268</v>
      </c>
      <c r="AE44" s="45">
        <f t="shared" si="54"/>
        <v>12171.023895197701</v>
      </c>
      <c r="AF44" s="45">
        <f t="shared" si="54"/>
        <v>13373.474781062972</v>
      </c>
      <c r="AG44" s="45">
        <f t="shared" si="54"/>
        <v>14575.925666928242</v>
      </c>
      <c r="AH44" s="45">
        <f t="shared" si="54"/>
        <v>15778.513052793511</v>
      </c>
      <c r="AI44" s="45">
        <f t="shared" si="54"/>
        <v>17121.843241431612</v>
      </c>
      <c r="AJ44" s="45">
        <f t="shared" si="54"/>
        <v>18465.446430069707</v>
      </c>
      <c r="AK44" s="45">
        <f t="shared" si="54"/>
        <v>19808.913118707809</v>
      </c>
      <c r="AL44" s="45">
        <f t="shared" si="54"/>
        <v>21132.958408815473</v>
      </c>
      <c r="AM44" s="45">
        <f t="shared" si="54"/>
        <v>22457.140198923142</v>
      </c>
      <c r="AN44" s="45">
        <f t="shared" si="54"/>
        <v>23781.185489030813</v>
      </c>
      <c r="AO44" s="45">
        <f t="shared" si="5"/>
        <v>198855.1867871171</v>
      </c>
      <c r="AP44" s="45">
        <f t="shared" ref="AP44:BA44" si="55">AP20*$B$25</f>
        <v>23338.585160629351</v>
      </c>
      <c r="AQ44" s="45">
        <f t="shared" si="55"/>
        <v>23391.723763362941</v>
      </c>
      <c r="AR44" s="45">
        <f t="shared" si="55"/>
        <v>23452.642866096528</v>
      </c>
      <c r="AS44" s="45">
        <f t="shared" si="55"/>
        <v>26266.883197506286</v>
      </c>
      <c r="AT44" s="45">
        <f t="shared" si="55"/>
        <v>27255.663528916084</v>
      </c>
      <c r="AU44" s="45">
        <f t="shared" si="55"/>
        <v>0</v>
      </c>
      <c r="AV44" s="45">
        <f t="shared" si="55"/>
        <v>0</v>
      </c>
      <c r="AW44" s="45">
        <f t="shared" si="55"/>
        <v>0</v>
      </c>
      <c r="AX44" s="45">
        <f t="shared" si="55"/>
        <v>0</v>
      </c>
      <c r="AY44" s="45">
        <f t="shared" si="55"/>
        <v>0</v>
      </c>
      <c r="AZ44" s="45">
        <f t="shared" si="55"/>
        <v>0</v>
      </c>
      <c r="BA44" s="45">
        <f t="shared" si="55"/>
        <v>0</v>
      </c>
      <c r="BB44" s="45">
        <f t="shared" si="7"/>
        <v>123705.49851651117</v>
      </c>
    </row>
    <row r="45" spans="1:54" ht="13.5" thickBot="1">
      <c r="A45" s="64" t="s">
        <v>105</v>
      </c>
      <c r="B45" s="49" t="s">
        <v>38</v>
      </c>
      <c r="C45" s="67">
        <f t="shared" ref="C45:AO45" si="56">SUM(C31:C44)</f>
        <v>5080</v>
      </c>
      <c r="D45" s="67">
        <f t="shared" ref="D45:E45" si="57">SUM(D31:D44)</f>
        <v>6150</v>
      </c>
      <c r="E45" s="67">
        <f t="shared" si="57"/>
        <v>3126</v>
      </c>
      <c r="F45" s="67">
        <f t="shared" ref="F45" si="58">SUM(F31:F44)</f>
        <v>30971.040000000001</v>
      </c>
      <c r="G45" s="46">
        <f t="shared" ref="G45:N45" si="59">SUM(G31:G44)</f>
        <v>10042.873309507868</v>
      </c>
      <c r="H45" s="46">
        <f t="shared" si="59"/>
        <v>7818.1368358369027</v>
      </c>
      <c r="I45" s="46">
        <f t="shared" si="59"/>
        <v>8960.5235715068338</v>
      </c>
      <c r="J45" s="46">
        <f t="shared" si="59"/>
        <v>10615.759770224757</v>
      </c>
      <c r="K45" s="46">
        <f t="shared" si="59"/>
        <v>8047.4496558502397</v>
      </c>
      <c r="L45" s="46">
        <f t="shared" si="59"/>
        <v>8244.3445898071222</v>
      </c>
      <c r="M45" s="46">
        <f t="shared" si="59"/>
        <v>8978.0164568630789</v>
      </c>
      <c r="N45" s="46">
        <f t="shared" si="59"/>
        <v>8483.1118631087229</v>
      </c>
      <c r="O45" s="46">
        <f t="shared" si="56"/>
        <v>116517.25605270552</v>
      </c>
      <c r="P45" s="46">
        <f t="shared" si="56"/>
        <v>13691.902754865105</v>
      </c>
      <c r="Q45" s="46">
        <f t="shared" si="56"/>
        <v>12371.74750416089</v>
      </c>
      <c r="R45" s="46">
        <f t="shared" si="56"/>
        <v>9645.501441040542</v>
      </c>
      <c r="S45" s="46">
        <f t="shared" si="56"/>
        <v>10332.497847343351</v>
      </c>
      <c r="T45" s="46">
        <f t="shared" si="56"/>
        <v>10667.337230861845</v>
      </c>
      <c r="U45" s="46">
        <f t="shared" si="56"/>
        <v>9367.4804438134561</v>
      </c>
      <c r="V45" s="46">
        <f t="shared" si="56"/>
        <v>12059.911768862041</v>
      </c>
      <c r="W45" s="46">
        <f t="shared" si="56"/>
        <v>14203.844895464023</v>
      </c>
      <c r="X45" s="46">
        <f t="shared" si="56"/>
        <v>15014.521860765617</v>
      </c>
      <c r="Y45" s="46">
        <f t="shared" si="56"/>
        <v>16777.072899431438</v>
      </c>
      <c r="Z45" s="46">
        <f t="shared" si="56"/>
        <v>18092.771944127573</v>
      </c>
      <c r="AA45" s="46">
        <f t="shared" si="56"/>
        <v>18600.809222939581</v>
      </c>
      <c r="AB45" s="46">
        <f t="shared" si="56"/>
        <v>160825.39981367544</v>
      </c>
      <c r="AC45" s="46">
        <f t="shared" si="56"/>
        <v>15609.177114310081</v>
      </c>
      <c r="AD45" s="46">
        <f t="shared" si="56"/>
        <v>17264.414624133155</v>
      </c>
      <c r="AE45" s="46">
        <f t="shared" si="56"/>
        <v>17712.007900062315</v>
      </c>
      <c r="AF45" s="46">
        <f t="shared" si="56"/>
        <v>21939.193709584557</v>
      </c>
      <c r="AG45" s="46">
        <f t="shared" si="56"/>
        <v>26466.766144047302</v>
      </c>
      <c r="AH45" s="46">
        <f t="shared" si="56"/>
        <v>30616.266527941847</v>
      </c>
      <c r="AI45" s="46">
        <f t="shared" si="56"/>
        <v>33674.773359537423</v>
      </c>
      <c r="AJ45" s="46">
        <f t="shared" si="56"/>
        <v>36811.560650148545</v>
      </c>
      <c r="AK45" s="46">
        <f t="shared" si="56"/>
        <v>39733.819163805325</v>
      </c>
      <c r="AL45" s="46">
        <f t="shared" si="56"/>
        <v>43904.846109490856</v>
      </c>
      <c r="AM45" s="46">
        <f t="shared" si="56"/>
        <v>48042.661968001703</v>
      </c>
      <c r="AN45" s="46">
        <f t="shared" si="56"/>
        <v>51593.930462060744</v>
      </c>
      <c r="AO45" s="46">
        <f t="shared" si="56"/>
        <v>383369.41773312388</v>
      </c>
      <c r="AP45" s="46">
        <f t="shared" ref="AP45:BB45" si="60">SUM(AP31:AP44)</f>
        <v>51688.008068444316</v>
      </c>
      <c r="AQ45" s="46">
        <f t="shared" si="60"/>
        <v>54030.27054518112</v>
      </c>
      <c r="AR45" s="46">
        <f t="shared" si="60"/>
        <v>56342.711590442981</v>
      </c>
      <c r="AS45" s="46">
        <f t="shared" si="60"/>
        <v>61479.452680943657</v>
      </c>
      <c r="AT45" s="46">
        <f t="shared" si="60"/>
        <v>64809.358782807954</v>
      </c>
      <c r="AU45" s="46">
        <f t="shared" si="60"/>
        <v>0</v>
      </c>
      <c r="AV45" s="46">
        <f t="shared" si="60"/>
        <v>0</v>
      </c>
      <c r="AW45" s="46">
        <f t="shared" si="60"/>
        <v>0</v>
      </c>
      <c r="AX45" s="46">
        <f t="shared" si="60"/>
        <v>0</v>
      </c>
      <c r="AY45" s="46">
        <f t="shared" si="60"/>
        <v>0</v>
      </c>
      <c r="AZ45" s="46">
        <f t="shared" si="60"/>
        <v>0</v>
      </c>
      <c r="BA45" s="46">
        <f t="shared" si="60"/>
        <v>0</v>
      </c>
      <c r="BB45" s="46">
        <f t="shared" si="60"/>
        <v>288349.80166781996</v>
      </c>
    </row>
    <row r="46" spans="1:54" ht="13.5" thickTop="1">
      <c r="A46" s="48"/>
      <c r="B46" s="49"/>
      <c r="C46" s="59"/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  <c r="AA46" s="59"/>
      <c r="AB46" s="59"/>
      <c r="AC46" s="59"/>
      <c r="AD46" s="59"/>
      <c r="AE46" s="59"/>
      <c r="AF46" s="59"/>
      <c r="AG46" s="59"/>
      <c r="AH46" s="59"/>
      <c r="AI46" s="59"/>
      <c r="AJ46" s="59"/>
      <c r="AK46" s="59"/>
      <c r="AL46" s="59"/>
      <c r="AM46" s="59"/>
      <c r="AN46" s="59"/>
      <c r="AO46" s="59"/>
      <c r="AP46" s="59"/>
      <c r="AQ46" s="59"/>
      <c r="AR46" s="59"/>
      <c r="AS46" s="59"/>
      <c r="AT46" s="59"/>
      <c r="AU46" s="59"/>
      <c r="AV46" s="59"/>
      <c r="AW46" s="59"/>
      <c r="AX46" s="59"/>
      <c r="AY46" s="59"/>
      <c r="AZ46" s="59"/>
      <c r="BA46" s="59"/>
      <c r="BB46" s="59"/>
    </row>
    <row r="47" spans="1:54">
      <c r="A47" s="48"/>
      <c r="B47" s="49"/>
      <c r="C47" s="59"/>
      <c r="D47" s="59"/>
      <c r="E47" s="59"/>
      <c r="F47" s="59"/>
      <c r="G47" s="59"/>
      <c r="H47" s="59"/>
      <c r="I47" s="59"/>
      <c r="J47" s="59"/>
      <c r="K47" s="59"/>
      <c r="L47" s="93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  <c r="AA47" s="59"/>
      <c r="AB47" s="59"/>
      <c r="AC47" s="59"/>
      <c r="AD47" s="59"/>
      <c r="AE47" s="59"/>
      <c r="AF47" s="59"/>
      <c r="AG47" s="59"/>
      <c r="AH47" s="59"/>
      <c r="AI47" s="59"/>
      <c r="AJ47" s="59"/>
      <c r="AK47" s="59"/>
      <c r="AL47" s="59"/>
      <c r="AM47" s="59"/>
      <c r="AN47" s="59"/>
      <c r="AO47" s="59"/>
      <c r="AP47" s="59"/>
      <c r="AQ47" s="59"/>
      <c r="AR47" s="59"/>
      <c r="AS47" s="59"/>
      <c r="AT47" s="59"/>
      <c r="AU47" s="59"/>
      <c r="AV47" s="59"/>
      <c r="AW47" s="59"/>
      <c r="AX47" s="59"/>
      <c r="AY47" s="59"/>
      <c r="AZ47" s="59"/>
      <c r="BA47" s="59"/>
      <c r="BB47" s="59"/>
    </row>
    <row r="48" spans="1:54">
      <c r="A48" s="34" t="s">
        <v>121</v>
      </c>
      <c r="B48" s="9"/>
      <c r="C48" s="65" t="s">
        <v>0</v>
      </c>
      <c r="D48" s="97" t="s">
        <v>1</v>
      </c>
      <c r="E48" s="97" t="s">
        <v>2</v>
      </c>
      <c r="F48" s="103" t="s">
        <v>3</v>
      </c>
      <c r="G48" s="86" t="s">
        <v>4</v>
      </c>
      <c r="H48" s="86" t="s">
        <v>5</v>
      </c>
      <c r="I48" s="86" t="s">
        <v>6</v>
      </c>
      <c r="J48" s="95" t="s">
        <v>7</v>
      </c>
      <c r="K48" s="95" t="str">
        <f>K30</f>
        <v>Jun</v>
      </c>
      <c r="L48" s="95" t="str">
        <f>L30</f>
        <v>Jul</v>
      </c>
      <c r="M48" s="95" t="str">
        <f>M30</f>
        <v>Aug</v>
      </c>
      <c r="N48" s="95" t="str">
        <f>N30</f>
        <v>Sep</v>
      </c>
      <c r="O48" s="85" t="s">
        <v>138</v>
      </c>
      <c r="P48" s="52" t="s">
        <v>0</v>
      </c>
      <c r="Q48" s="86" t="s">
        <v>1</v>
      </c>
      <c r="R48" s="86" t="s">
        <v>2</v>
      </c>
      <c r="S48" s="86" t="s">
        <v>3</v>
      </c>
      <c r="T48" s="86" t="s">
        <v>4</v>
      </c>
      <c r="U48" s="86" t="s">
        <v>5</v>
      </c>
      <c r="V48" s="86" t="s">
        <v>6</v>
      </c>
      <c r="W48" s="86" t="s">
        <v>7</v>
      </c>
      <c r="X48" s="86" t="s">
        <v>8</v>
      </c>
      <c r="Y48" s="86" t="s">
        <v>9</v>
      </c>
      <c r="Z48" s="86" t="s">
        <v>10</v>
      </c>
      <c r="AA48" s="86" t="s">
        <v>11</v>
      </c>
      <c r="AB48" s="85" t="str">
        <f>AB30</f>
        <v>WF FY14</v>
      </c>
      <c r="AC48" s="52" t="s">
        <v>0</v>
      </c>
      <c r="AD48" s="86" t="s">
        <v>1</v>
      </c>
      <c r="AE48" s="86" t="s">
        <v>2</v>
      </c>
      <c r="AF48" s="86" t="s">
        <v>3</v>
      </c>
      <c r="AG48" s="86" t="s">
        <v>4</v>
      </c>
      <c r="AH48" s="86" t="s">
        <v>5</v>
      </c>
      <c r="AI48" s="86" t="s">
        <v>6</v>
      </c>
      <c r="AJ48" s="86" t="s">
        <v>7</v>
      </c>
      <c r="AK48" s="86" t="s">
        <v>8</v>
      </c>
      <c r="AL48" s="86" t="s">
        <v>9</v>
      </c>
      <c r="AM48" s="86" t="s">
        <v>10</v>
      </c>
      <c r="AN48" s="86" t="s">
        <v>11</v>
      </c>
      <c r="AO48" s="85" t="str">
        <f>AO30</f>
        <v>WF FY15</v>
      </c>
      <c r="AP48" s="52" t="s">
        <v>0</v>
      </c>
      <c r="AQ48" s="86" t="s">
        <v>1</v>
      </c>
      <c r="AR48" s="86" t="s">
        <v>2</v>
      </c>
      <c r="AS48" s="86" t="s">
        <v>3</v>
      </c>
      <c r="AT48" s="86" t="s">
        <v>4</v>
      </c>
      <c r="AU48" s="86" t="s">
        <v>5</v>
      </c>
      <c r="AV48" s="86" t="s">
        <v>6</v>
      </c>
      <c r="AW48" s="86" t="s">
        <v>7</v>
      </c>
      <c r="AX48" s="86" t="s">
        <v>8</v>
      </c>
      <c r="AY48" s="86" t="s">
        <v>9</v>
      </c>
      <c r="AZ48" s="86" t="s">
        <v>10</v>
      </c>
      <c r="BA48" s="86" t="s">
        <v>11</v>
      </c>
      <c r="BB48" s="85" t="str">
        <f>BB30</f>
        <v>WF FY16</v>
      </c>
    </row>
    <row r="49" spans="1:54">
      <c r="A49" s="29" t="s">
        <v>28</v>
      </c>
      <c r="B49" s="35"/>
      <c r="C49" s="81">
        <f t="shared" ref="C49:M49" si="61">IF(ISERROR(C31/C7)=TRUE,0,(C31/C7))</f>
        <v>0</v>
      </c>
      <c r="D49" s="81">
        <f t="shared" si="61"/>
        <v>0</v>
      </c>
      <c r="E49" s="81">
        <f t="shared" si="61"/>
        <v>7.8651390818760991E-2</v>
      </c>
      <c r="F49" s="81">
        <f t="shared" ref="F49" si="62">IF(ISERROR(F31/F7)=TRUE,0,(F31/F7))</f>
        <v>0.19166586805888308</v>
      </c>
      <c r="G49" s="83">
        <f t="shared" si="61"/>
        <v>0.13650000000000001</v>
      </c>
      <c r="H49" s="83">
        <f t="shared" si="61"/>
        <v>0.13650000000000001</v>
      </c>
      <c r="I49" s="83">
        <f t="shared" si="61"/>
        <v>0.13650000000000001</v>
      </c>
      <c r="J49" s="83">
        <f t="shared" si="61"/>
        <v>0.13650000000000001</v>
      </c>
      <c r="K49" s="83">
        <f t="shared" si="61"/>
        <v>0.13650000000000001</v>
      </c>
      <c r="L49" s="83">
        <f t="shared" si="61"/>
        <v>0.13650000000000001</v>
      </c>
      <c r="M49" s="83">
        <f t="shared" si="61"/>
        <v>0.13650000000000001</v>
      </c>
      <c r="N49" s="83">
        <f t="shared" ref="N49" si="63">IF(ISERROR(N31/N7)=TRUE,0,(N31/N7))</f>
        <v>0.13650000000000001</v>
      </c>
      <c r="O49" s="83">
        <f>IF(ISERROR(SUM(C31:N31)/(SUM(C7:N7)))=TRUE,0,(SUM(C31:N31)/(SUM(C7:N7))))</f>
        <v>0.11490125009606021</v>
      </c>
      <c r="P49" s="83">
        <f t="shared" ref="P49:BB49" si="64">IF(ISERROR(P31/P7)=TRUE,0,(P31/P7))</f>
        <v>0.13650000000000001</v>
      </c>
      <c r="Q49" s="83">
        <f t="shared" si="64"/>
        <v>0.13650000000000001</v>
      </c>
      <c r="R49" s="83">
        <f t="shared" si="64"/>
        <v>0.13650000000000001</v>
      </c>
      <c r="S49" s="83">
        <f t="shared" si="64"/>
        <v>0.13650000000000001</v>
      </c>
      <c r="T49" s="83">
        <f t="shared" si="64"/>
        <v>0.13650000000000001</v>
      </c>
      <c r="U49" s="83">
        <f t="shared" si="64"/>
        <v>0.13650000000000001</v>
      </c>
      <c r="V49" s="83">
        <f t="shared" si="64"/>
        <v>0.13650000000000001</v>
      </c>
      <c r="W49" s="83">
        <f t="shared" si="64"/>
        <v>0.13650000000000001</v>
      </c>
      <c r="X49" s="83">
        <f t="shared" si="64"/>
        <v>0.13650000000000001</v>
      </c>
      <c r="Y49" s="83">
        <f t="shared" si="64"/>
        <v>0.13650000000000001</v>
      </c>
      <c r="Z49" s="83">
        <f t="shared" si="64"/>
        <v>0.13650000000000001</v>
      </c>
      <c r="AA49" s="83">
        <f t="shared" si="64"/>
        <v>0.13650000000000001</v>
      </c>
      <c r="AB49" s="83">
        <f t="shared" si="64"/>
        <v>0.13650000000000004</v>
      </c>
      <c r="AC49" s="83">
        <f t="shared" si="64"/>
        <v>0.13650000000000001</v>
      </c>
      <c r="AD49" s="83">
        <f t="shared" si="64"/>
        <v>0.13650000000000001</v>
      </c>
      <c r="AE49" s="83">
        <f t="shared" si="64"/>
        <v>0.13650000000000001</v>
      </c>
      <c r="AF49" s="83">
        <f t="shared" si="64"/>
        <v>0.13650000000000001</v>
      </c>
      <c r="AG49" s="83">
        <f t="shared" si="64"/>
        <v>0.13650000000000001</v>
      </c>
      <c r="AH49" s="83">
        <f t="shared" si="64"/>
        <v>0.13650000000000001</v>
      </c>
      <c r="AI49" s="83">
        <f t="shared" si="64"/>
        <v>0.13650000000000001</v>
      </c>
      <c r="AJ49" s="83">
        <f t="shared" si="64"/>
        <v>0.13650000000000001</v>
      </c>
      <c r="AK49" s="83">
        <f t="shared" si="64"/>
        <v>0.13650000000000001</v>
      </c>
      <c r="AL49" s="83">
        <f t="shared" si="64"/>
        <v>0.13650000000000001</v>
      </c>
      <c r="AM49" s="83">
        <f t="shared" si="64"/>
        <v>0.13650000000000001</v>
      </c>
      <c r="AN49" s="83">
        <f t="shared" si="64"/>
        <v>0.13650000000000001</v>
      </c>
      <c r="AO49" s="83">
        <f t="shared" si="64"/>
        <v>0.13650000000000001</v>
      </c>
      <c r="AP49" s="83">
        <f t="shared" si="64"/>
        <v>0.13650000000000001</v>
      </c>
      <c r="AQ49" s="83">
        <f t="shared" si="64"/>
        <v>0.13650000000000001</v>
      </c>
      <c r="AR49" s="83">
        <f t="shared" si="64"/>
        <v>0.13650000000000001</v>
      </c>
      <c r="AS49" s="83">
        <f t="shared" si="64"/>
        <v>0.13650000000000001</v>
      </c>
      <c r="AT49" s="83">
        <f t="shared" si="64"/>
        <v>0.13650000000000001</v>
      </c>
      <c r="AU49" s="83">
        <f t="shared" si="64"/>
        <v>0</v>
      </c>
      <c r="AV49" s="83">
        <f t="shared" si="64"/>
        <v>0</v>
      </c>
      <c r="AW49" s="83">
        <f t="shared" si="64"/>
        <v>0</v>
      </c>
      <c r="AX49" s="83">
        <f t="shared" si="64"/>
        <v>0</v>
      </c>
      <c r="AY49" s="83">
        <f t="shared" si="64"/>
        <v>0</v>
      </c>
      <c r="AZ49" s="83">
        <f t="shared" si="64"/>
        <v>0</v>
      </c>
      <c r="BA49" s="83">
        <f t="shared" si="64"/>
        <v>0</v>
      </c>
      <c r="BB49" s="83">
        <f t="shared" si="64"/>
        <v>0.13650000000000001</v>
      </c>
    </row>
    <row r="50" spans="1:54">
      <c r="A50" s="4" t="s">
        <v>29</v>
      </c>
      <c r="B50" s="35"/>
      <c r="C50" s="81">
        <f t="shared" ref="C50:J50" si="65">IF(ISERROR(C32/C8)=TRUE,0,(C32/C8))</f>
        <v>0.19517539579486934</v>
      </c>
      <c r="D50" s="81">
        <f t="shared" si="65"/>
        <v>0.18886501969208735</v>
      </c>
      <c r="E50" s="81">
        <f t="shared" si="65"/>
        <v>7.7148617694424382E-2</v>
      </c>
      <c r="F50" s="81">
        <f t="shared" ref="F50" si="66">IF(ISERROR(F32/F8)=TRUE,0,(F32/F8))</f>
        <v>0.19226820672390846</v>
      </c>
      <c r="G50" s="83">
        <f t="shared" si="65"/>
        <v>0.13650000000000001</v>
      </c>
      <c r="H50" s="83">
        <f t="shared" si="65"/>
        <v>0.13650000000000001</v>
      </c>
      <c r="I50" s="83">
        <f t="shared" si="65"/>
        <v>0.13650000000000001</v>
      </c>
      <c r="J50" s="83">
        <f t="shared" si="65"/>
        <v>0.13650000000000001</v>
      </c>
      <c r="K50" s="83">
        <f t="shared" ref="K50:L50" si="67">IF(ISERROR(K32/K8)=TRUE,0,(K32/K8))</f>
        <v>0.13650000000000001</v>
      </c>
      <c r="L50" s="83">
        <f t="shared" si="67"/>
        <v>0.13650000000000001</v>
      </c>
      <c r="M50" s="83">
        <f t="shared" ref="M50:N50" si="68">IF(ISERROR(M32/M8)=TRUE,0,(M32/M8))</f>
        <v>0.13650000000000001</v>
      </c>
      <c r="N50" s="83">
        <f t="shared" si="68"/>
        <v>0.13650000000000001</v>
      </c>
      <c r="O50" s="83">
        <f>IF(ISERROR(SUM(C32:N32)/(SUM(C8:N8)))=TRUE,0,(SUM(C32:N32)/(SUM(C8:N8))))</f>
        <v>0.14144700118399522</v>
      </c>
      <c r="P50" s="83">
        <f t="shared" ref="P50:BB50" si="69">IF(ISERROR(P32/P8)=TRUE,0,(P32/P8))</f>
        <v>0.13650000000000001</v>
      </c>
      <c r="Q50" s="83">
        <f t="shared" si="69"/>
        <v>0.13650000000000001</v>
      </c>
      <c r="R50" s="83">
        <f t="shared" si="69"/>
        <v>0.13650000000000001</v>
      </c>
      <c r="S50" s="83">
        <f t="shared" si="69"/>
        <v>0.13650000000000001</v>
      </c>
      <c r="T50" s="83">
        <f t="shared" si="69"/>
        <v>0.13650000000000001</v>
      </c>
      <c r="U50" s="83">
        <f t="shared" si="69"/>
        <v>0.13650000000000001</v>
      </c>
      <c r="V50" s="83">
        <f t="shared" si="69"/>
        <v>0.13650000000000001</v>
      </c>
      <c r="W50" s="83">
        <f t="shared" si="69"/>
        <v>0.13650000000000001</v>
      </c>
      <c r="X50" s="83">
        <f t="shared" si="69"/>
        <v>0.13650000000000001</v>
      </c>
      <c r="Y50" s="83">
        <f t="shared" si="69"/>
        <v>0.13650000000000001</v>
      </c>
      <c r="Z50" s="83">
        <f t="shared" si="69"/>
        <v>0.13650000000000001</v>
      </c>
      <c r="AA50" s="83">
        <f t="shared" si="69"/>
        <v>0.13650000000000001</v>
      </c>
      <c r="AB50" s="83">
        <f t="shared" si="69"/>
        <v>0.13650000000000001</v>
      </c>
      <c r="AC50" s="83">
        <f t="shared" si="69"/>
        <v>0.13650000000000001</v>
      </c>
      <c r="AD50" s="83">
        <f t="shared" si="69"/>
        <v>0.13650000000000001</v>
      </c>
      <c r="AE50" s="83">
        <f t="shared" si="69"/>
        <v>0.13650000000000001</v>
      </c>
      <c r="AF50" s="83">
        <f t="shared" si="69"/>
        <v>0.13650000000000001</v>
      </c>
      <c r="AG50" s="83">
        <f t="shared" si="69"/>
        <v>0.13650000000000001</v>
      </c>
      <c r="AH50" s="83">
        <f t="shared" si="69"/>
        <v>0.13650000000000001</v>
      </c>
      <c r="AI50" s="83">
        <f t="shared" si="69"/>
        <v>0.13650000000000001</v>
      </c>
      <c r="AJ50" s="83">
        <f t="shared" si="69"/>
        <v>0.13650000000000001</v>
      </c>
      <c r="AK50" s="83">
        <f t="shared" si="69"/>
        <v>0.13650000000000001</v>
      </c>
      <c r="AL50" s="83">
        <f t="shared" si="69"/>
        <v>0.13650000000000001</v>
      </c>
      <c r="AM50" s="83">
        <f t="shared" si="69"/>
        <v>0.13650000000000001</v>
      </c>
      <c r="AN50" s="83">
        <f t="shared" si="69"/>
        <v>0.13650000000000001</v>
      </c>
      <c r="AO50" s="83">
        <f t="shared" si="69"/>
        <v>0.13650000000000001</v>
      </c>
      <c r="AP50" s="83">
        <f t="shared" si="69"/>
        <v>0.13650000000000001</v>
      </c>
      <c r="AQ50" s="83">
        <f t="shared" si="69"/>
        <v>0.13650000000000001</v>
      </c>
      <c r="AR50" s="83">
        <f t="shared" si="69"/>
        <v>0.13650000000000001</v>
      </c>
      <c r="AS50" s="83">
        <f t="shared" si="69"/>
        <v>0.13650000000000001</v>
      </c>
      <c r="AT50" s="83">
        <f t="shared" si="69"/>
        <v>0.13650000000000001</v>
      </c>
      <c r="AU50" s="83">
        <f t="shared" si="69"/>
        <v>0</v>
      </c>
      <c r="AV50" s="83">
        <f t="shared" si="69"/>
        <v>0</v>
      </c>
      <c r="AW50" s="83">
        <f t="shared" si="69"/>
        <v>0</v>
      </c>
      <c r="AX50" s="83">
        <f t="shared" si="69"/>
        <v>0</v>
      </c>
      <c r="AY50" s="83">
        <f t="shared" si="69"/>
        <v>0</v>
      </c>
      <c r="AZ50" s="83">
        <f t="shared" si="69"/>
        <v>0</v>
      </c>
      <c r="BA50" s="83">
        <f t="shared" si="69"/>
        <v>0</v>
      </c>
      <c r="BB50" s="83">
        <f t="shared" si="69"/>
        <v>0.13650000000000004</v>
      </c>
    </row>
    <row r="51" spans="1:54">
      <c r="A51" s="29"/>
      <c r="B51" s="35"/>
      <c r="C51" s="81"/>
      <c r="D51" s="81"/>
      <c r="E51" s="81"/>
      <c r="F51" s="81"/>
      <c r="G51" s="83"/>
      <c r="H51" s="83"/>
      <c r="I51" s="83"/>
      <c r="J51" s="83"/>
      <c r="K51" s="83"/>
      <c r="L51" s="83"/>
      <c r="M51" s="83"/>
      <c r="N51" s="83"/>
      <c r="O51" s="83"/>
      <c r="P51" s="83"/>
      <c r="Q51" s="83"/>
      <c r="R51" s="83"/>
      <c r="S51" s="83"/>
      <c r="T51" s="83"/>
      <c r="U51" s="83"/>
      <c r="V51" s="83"/>
      <c r="W51" s="83"/>
      <c r="X51" s="83"/>
      <c r="Y51" s="83"/>
      <c r="Z51" s="83"/>
      <c r="AA51" s="83"/>
      <c r="AB51" s="83"/>
      <c r="AC51" s="83"/>
      <c r="AD51" s="83"/>
      <c r="AE51" s="83"/>
      <c r="AF51" s="83"/>
      <c r="AG51" s="83"/>
      <c r="AH51" s="83"/>
      <c r="AI51" s="83"/>
      <c r="AJ51" s="83"/>
      <c r="AK51" s="83"/>
      <c r="AL51" s="83"/>
      <c r="AM51" s="83"/>
      <c r="AN51" s="83"/>
      <c r="AO51" s="83"/>
      <c r="AP51" s="83"/>
      <c r="AQ51" s="83"/>
      <c r="AR51" s="83"/>
      <c r="AS51" s="83"/>
      <c r="AT51" s="83"/>
      <c r="AU51" s="83"/>
      <c r="AV51" s="83"/>
      <c r="AW51" s="83"/>
      <c r="AX51" s="83"/>
      <c r="AY51" s="83"/>
      <c r="AZ51" s="83"/>
      <c r="BA51" s="83"/>
      <c r="BB51" s="83"/>
    </row>
    <row r="52" spans="1:54">
      <c r="A52" s="29" t="s">
        <v>73</v>
      </c>
      <c r="B52" s="35"/>
      <c r="C52" s="81">
        <f t="shared" ref="C52:M52" si="70">IF(ISERROR(C34/C10)=TRUE,0,(C34/C10))</f>
        <v>0.18241758241758241</v>
      </c>
      <c r="D52" s="81">
        <f t="shared" si="70"/>
        <v>0.1772007514761138</v>
      </c>
      <c r="E52" s="81">
        <f t="shared" si="70"/>
        <v>7.512480798771122E-2</v>
      </c>
      <c r="F52" s="81">
        <f t="shared" ref="F52" si="71">IF(ISERROR(F34/F10)=TRUE,0,(F34/F10))</f>
        <v>0.1922016861219196</v>
      </c>
      <c r="G52" s="83">
        <f t="shared" si="70"/>
        <v>0.13650000000000001</v>
      </c>
      <c r="H52" s="83">
        <f t="shared" si="70"/>
        <v>0.13650000000000001</v>
      </c>
      <c r="I52" s="83">
        <f t="shared" si="70"/>
        <v>0.13650000000000001</v>
      </c>
      <c r="J52" s="83">
        <f t="shared" si="70"/>
        <v>0.13650000000000001</v>
      </c>
      <c r="K52" s="83">
        <f t="shared" si="70"/>
        <v>0.13650000000000001</v>
      </c>
      <c r="L52" s="83">
        <f t="shared" si="70"/>
        <v>0.13650000000000001</v>
      </c>
      <c r="M52" s="83">
        <f t="shared" si="70"/>
        <v>0.13650000000000001</v>
      </c>
      <c r="N52" s="83">
        <f t="shared" ref="N52" si="72">IF(ISERROR(N34/N10)=TRUE,0,(N34/N10))</f>
        <v>0.13650000000000001</v>
      </c>
      <c r="O52" s="83">
        <f>IF(ISERROR(SUM(C34:N34)/(SUM(C10:N10)))=TRUE,0,(SUM(C34:N34)/(SUM(C10:N10))))</f>
        <v>0.13852839131344286</v>
      </c>
      <c r="P52" s="83">
        <f t="shared" ref="P52:BB52" si="73">IF(ISERROR(P34/P10)=TRUE,0,(P34/P10))</f>
        <v>0.13650000000000001</v>
      </c>
      <c r="Q52" s="83">
        <f t="shared" si="73"/>
        <v>0.13650000000000001</v>
      </c>
      <c r="R52" s="83">
        <f t="shared" si="73"/>
        <v>0.13650000000000001</v>
      </c>
      <c r="S52" s="83">
        <f t="shared" si="73"/>
        <v>0.13650000000000001</v>
      </c>
      <c r="T52" s="83">
        <f t="shared" si="73"/>
        <v>0.13650000000000001</v>
      </c>
      <c r="U52" s="83">
        <f t="shared" si="73"/>
        <v>0.13650000000000001</v>
      </c>
      <c r="V52" s="83">
        <f t="shared" si="73"/>
        <v>0.13650000000000001</v>
      </c>
      <c r="W52" s="83">
        <f t="shared" si="73"/>
        <v>0.13650000000000001</v>
      </c>
      <c r="X52" s="83">
        <f t="shared" si="73"/>
        <v>0.13650000000000001</v>
      </c>
      <c r="Y52" s="83">
        <f t="shared" si="73"/>
        <v>0.13650000000000001</v>
      </c>
      <c r="Z52" s="83">
        <f t="shared" si="73"/>
        <v>0.13650000000000001</v>
      </c>
      <c r="AA52" s="83">
        <f t="shared" si="73"/>
        <v>0.13650000000000001</v>
      </c>
      <c r="AB52" s="83">
        <f t="shared" si="73"/>
        <v>0.13649999999999998</v>
      </c>
      <c r="AC52" s="83">
        <f t="shared" si="73"/>
        <v>0.13650000000000001</v>
      </c>
      <c r="AD52" s="83">
        <f t="shared" si="73"/>
        <v>0.13650000000000001</v>
      </c>
      <c r="AE52" s="83">
        <f t="shared" si="73"/>
        <v>0.13650000000000001</v>
      </c>
      <c r="AF52" s="83">
        <f t="shared" si="73"/>
        <v>0.13650000000000001</v>
      </c>
      <c r="AG52" s="83">
        <f t="shared" si="73"/>
        <v>0.13650000000000001</v>
      </c>
      <c r="AH52" s="83">
        <f t="shared" si="73"/>
        <v>0.13650000000000001</v>
      </c>
      <c r="AI52" s="83">
        <f t="shared" si="73"/>
        <v>0.13650000000000001</v>
      </c>
      <c r="AJ52" s="83">
        <f t="shared" si="73"/>
        <v>0</v>
      </c>
      <c r="AK52" s="83">
        <f t="shared" si="73"/>
        <v>0</v>
      </c>
      <c r="AL52" s="83">
        <f t="shared" si="73"/>
        <v>0</v>
      </c>
      <c r="AM52" s="83">
        <f t="shared" si="73"/>
        <v>0</v>
      </c>
      <c r="AN52" s="83">
        <f t="shared" si="73"/>
        <v>0</v>
      </c>
      <c r="AO52" s="83">
        <f t="shared" si="73"/>
        <v>0.13650000000000004</v>
      </c>
      <c r="AP52" s="83">
        <f t="shared" si="73"/>
        <v>0</v>
      </c>
      <c r="AQ52" s="83">
        <f t="shared" si="73"/>
        <v>0</v>
      </c>
      <c r="AR52" s="83">
        <f t="shared" si="73"/>
        <v>0</v>
      </c>
      <c r="AS52" s="83">
        <f t="shared" si="73"/>
        <v>0</v>
      </c>
      <c r="AT52" s="83">
        <f t="shared" si="73"/>
        <v>0</v>
      </c>
      <c r="AU52" s="83">
        <f t="shared" si="73"/>
        <v>0</v>
      </c>
      <c r="AV52" s="83">
        <f t="shared" si="73"/>
        <v>0</v>
      </c>
      <c r="AW52" s="83">
        <f t="shared" si="73"/>
        <v>0</v>
      </c>
      <c r="AX52" s="83">
        <f t="shared" si="73"/>
        <v>0</v>
      </c>
      <c r="AY52" s="83">
        <f t="shared" si="73"/>
        <v>0</v>
      </c>
      <c r="AZ52" s="83">
        <f t="shared" si="73"/>
        <v>0</v>
      </c>
      <c r="BA52" s="83">
        <f t="shared" si="73"/>
        <v>0</v>
      </c>
      <c r="BB52" s="83">
        <f t="shared" si="73"/>
        <v>0</v>
      </c>
    </row>
    <row r="53" spans="1:54">
      <c r="A53" s="29" t="s">
        <v>112</v>
      </c>
      <c r="B53" s="35"/>
      <c r="C53" s="81">
        <f t="shared" ref="C53:M53" si="74">IF(ISERROR(C35/C11)=TRUE,0,(C35/C11))</f>
        <v>0</v>
      </c>
      <c r="D53" s="81">
        <f t="shared" si="74"/>
        <v>0</v>
      </c>
      <c r="E53" s="81">
        <f t="shared" si="74"/>
        <v>0</v>
      </c>
      <c r="F53" s="81">
        <f t="shared" ref="F53" si="75">IF(ISERROR(F35/F11)=TRUE,0,(F35/F11))</f>
        <v>0</v>
      </c>
      <c r="G53" s="83">
        <f t="shared" si="74"/>
        <v>0</v>
      </c>
      <c r="H53" s="83">
        <f t="shared" si="74"/>
        <v>0</v>
      </c>
      <c r="I53" s="83">
        <f t="shared" si="74"/>
        <v>0</v>
      </c>
      <c r="J53" s="83">
        <f t="shared" si="74"/>
        <v>0</v>
      </c>
      <c r="K53" s="83">
        <f t="shared" si="74"/>
        <v>0</v>
      </c>
      <c r="L53" s="83">
        <f t="shared" si="74"/>
        <v>0</v>
      </c>
      <c r="M53" s="83">
        <f t="shared" si="74"/>
        <v>0</v>
      </c>
      <c r="N53" s="83">
        <f t="shared" ref="N53" si="76">IF(ISERROR(N35/N11)=TRUE,0,(N35/N11))</f>
        <v>0</v>
      </c>
      <c r="O53" s="83">
        <f>IF(ISERROR(SUM(C35:N35)/(SUM(C11:N11)))=TRUE,0,(SUM(C35:N35)/(SUM(C11:N11))))</f>
        <v>0</v>
      </c>
      <c r="P53" s="83">
        <f t="shared" ref="P53:BB53" si="77">IF(ISERROR(P35/P11)=TRUE,0,(P35/P11))</f>
        <v>0.13650000000000001</v>
      </c>
      <c r="Q53" s="83">
        <f t="shared" si="77"/>
        <v>0.13650000000000001</v>
      </c>
      <c r="R53" s="83">
        <f t="shared" si="77"/>
        <v>0.13650000000000001</v>
      </c>
      <c r="S53" s="83">
        <f t="shared" si="77"/>
        <v>0.13650000000000001</v>
      </c>
      <c r="T53" s="83">
        <f t="shared" si="77"/>
        <v>0.13650000000000001</v>
      </c>
      <c r="U53" s="83">
        <f t="shared" si="77"/>
        <v>0.13650000000000001</v>
      </c>
      <c r="V53" s="83">
        <f t="shared" si="77"/>
        <v>0.13650000000000001</v>
      </c>
      <c r="W53" s="83">
        <f t="shared" si="77"/>
        <v>0.13650000000000001</v>
      </c>
      <c r="X53" s="83">
        <f t="shared" si="77"/>
        <v>0.13650000000000001</v>
      </c>
      <c r="Y53" s="83">
        <f t="shared" si="77"/>
        <v>0.13650000000000001</v>
      </c>
      <c r="Z53" s="83">
        <f t="shared" si="77"/>
        <v>0.13650000000000001</v>
      </c>
      <c r="AA53" s="83">
        <f t="shared" si="77"/>
        <v>0.13650000000000001</v>
      </c>
      <c r="AB53" s="83">
        <f t="shared" si="77"/>
        <v>0.13650000000000001</v>
      </c>
      <c r="AC53" s="83">
        <f t="shared" si="77"/>
        <v>0.13650000000000001</v>
      </c>
      <c r="AD53" s="83">
        <f t="shared" si="77"/>
        <v>0.13650000000000001</v>
      </c>
      <c r="AE53" s="83">
        <f t="shared" si="77"/>
        <v>0.13650000000000001</v>
      </c>
      <c r="AF53" s="83">
        <f t="shared" si="77"/>
        <v>0.13650000000000001</v>
      </c>
      <c r="AG53" s="83">
        <f t="shared" si="77"/>
        <v>0.13650000000000001</v>
      </c>
      <c r="AH53" s="83">
        <f t="shared" si="77"/>
        <v>0.13650000000000001</v>
      </c>
      <c r="AI53" s="83">
        <f t="shared" si="77"/>
        <v>0.13650000000000001</v>
      </c>
      <c r="AJ53" s="83">
        <f t="shared" si="77"/>
        <v>0.13650000000000001</v>
      </c>
      <c r="AK53" s="83">
        <f t="shared" si="77"/>
        <v>0.13650000000000001</v>
      </c>
      <c r="AL53" s="83">
        <f t="shared" si="77"/>
        <v>0.13650000000000001</v>
      </c>
      <c r="AM53" s="83">
        <f t="shared" si="77"/>
        <v>0.13650000000000001</v>
      </c>
      <c r="AN53" s="83">
        <f t="shared" si="77"/>
        <v>0.13650000000000001</v>
      </c>
      <c r="AO53" s="83">
        <f t="shared" si="77"/>
        <v>0.13650000000000001</v>
      </c>
      <c r="AP53" s="83">
        <f t="shared" si="77"/>
        <v>0.13650000000000001</v>
      </c>
      <c r="AQ53" s="83">
        <f t="shared" si="77"/>
        <v>0.13650000000000001</v>
      </c>
      <c r="AR53" s="83">
        <f t="shared" si="77"/>
        <v>0.13650000000000001</v>
      </c>
      <c r="AS53" s="83">
        <f t="shared" si="77"/>
        <v>0.13650000000000001</v>
      </c>
      <c r="AT53" s="83">
        <f t="shared" si="77"/>
        <v>0.13650000000000001</v>
      </c>
      <c r="AU53" s="83">
        <f t="shared" si="77"/>
        <v>0</v>
      </c>
      <c r="AV53" s="83">
        <f t="shared" si="77"/>
        <v>0</v>
      </c>
      <c r="AW53" s="83">
        <f t="shared" si="77"/>
        <v>0</v>
      </c>
      <c r="AX53" s="83">
        <f t="shared" si="77"/>
        <v>0</v>
      </c>
      <c r="AY53" s="83">
        <f t="shared" si="77"/>
        <v>0</v>
      </c>
      <c r="AZ53" s="83">
        <f t="shared" si="77"/>
        <v>0</v>
      </c>
      <c r="BA53" s="83">
        <f t="shared" si="77"/>
        <v>0</v>
      </c>
      <c r="BB53" s="83">
        <f t="shared" si="77"/>
        <v>0.13649999999999998</v>
      </c>
    </row>
    <row r="54" spans="1:54">
      <c r="A54" s="29" t="s">
        <v>113</v>
      </c>
      <c r="B54" s="35"/>
      <c r="C54" s="81">
        <f t="shared" ref="C54:M54" si="78">IF(ISERROR(C36/C12)=TRUE,0,(C36/C12))</f>
        <v>0</v>
      </c>
      <c r="D54" s="81">
        <f t="shared" si="78"/>
        <v>0</v>
      </c>
      <c r="E54" s="81">
        <f t="shared" si="78"/>
        <v>0</v>
      </c>
      <c r="F54" s="81">
        <f t="shared" ref="F54" si="79">IF(ISERROR(F36/F12)=TRUE,0,(F36/F12))</f>
        <v>0</v>
      </c>
      <c r="G54" s="83">
        <f t="shared" si="78"/>
        <v>0</v>
      </c>
      <c r="H54" s="83">
        <f t="shared" si="78"/>
        <v>0</v>
      </c>
      <c r="I54" s="83">
        <f t="shared" si="78"/>
        <v>0</v>
      </c>
      <c r="J54" s="83">
        <f t="shared" si="78"/>
        <v>0</v>
      </c>
      <c r="K54" s="83">
        <f t="shared" si="78"/>
        <v>0</v>
      </c>
      <c r="L54" s="83">
        <f t="shared" si="78"/>
        <v>0</v>
      </c>
      <c r="M54" s="83">
        <f t="shared" si="78"/>
        <v>0</v>
      </c>
      <c r="N54" s="83">
        <f t="shared" ref="N54" si="80">IF(ISERROR(N36/N12)=TRUE,0,(N36/N12))</f>
        <v>0</v>
      </c>
      <c r="O54" s="83">
        <f>IF(ISERROR(SUM(C36:N36)/(SUM(C12:N12)))=TRUE,0,(SUM(C36:N36)/(SUM(C12:N12))))</f>
        <v>0</v>
      </c>
      <c r="P54" s="83">
        <f t="shared" ref="P54:BB54" si="81">IF(ISERROR(P36/P12)=TRUE,0,(P36/P12))</f>
        <v>0</v>
      </c>
      <c r="Q54" s="83">
        <f t="shared" si="81"/>
        <v>0</v>
      </c>
      <c r="R54" s="83">
        <f t="shared" si="81"/>
        <v>0</v>
      </c>
      <c r="S54" s="83">
        <f t="shared" si="81"/>
        <v>0</v>
      </c>
      <c r="T54" s="83">
        <f t="shared" si="81"/>
        <v>0</v>
      </c>
      <c r="U54" s="83">
        <f t="shared" si="81"/>
        <v>0</v>
      </c>
      <c r="V54" s="83">
        <f t="shared" si="81"/>
        <v>0</v>
      </c>
      <c r="W54" s="83">
        <f t="shared" si="81"/>
        <v>0</v>
      </c>
      <c r="X54" s="83">
        <f t="shared" si="81"/>
        <v>0</v>
      </c>
      <c r="Y54" s="83">
        <f t="shared" si="81"/>
        <v>0</v>
      </c>
      <c r="Z54" s="83">
        <f t="shared" si="81"/>
        <v>0</v>
      </c>
      <c r="AA54" s="83">
        <f t="shared" si="81"/>
        <v>0</v>
      </c>
      <c r="AB54" s="83">
        <f t="shared" si="81"/>
        <v>0</v>
      </c>
      <c r="AC54" s="83">
        <f t="shared" si="81"/>
        <v>0</v>
      </c>
      <c r="AD54" s="83">
        <f t="shared" si="81"/>
        <v>0</v>
      </c>
      <c r="AE54" s="83">
        <f t="shared" si="81"/>
        <v>0</v>
      </c>
      <c r="AF54" s="83">
        <f t="shared" si="81"/>
        <v>0</v>
      </c>
      <c r="AG54" s="83">
        <f t="shared" si="81"/>
        <v>0</v>
      </c>
      <c r="AH54" s="83">
        <f t="shared" si="81"/>
        <v>0</v>
      </c>
      <c r="AI54" s="83">
        <f t="shared" si="81"/>
        <v>0</v>
      </c>
      <c r="AJ54" s="83">
        <f t="shared" si="81"/>
        <v>0</v>
      </c>
      <c r="AK54" s="83">
        <f t="shared" si="81"/>
        <v>0</v>
      </c>
      <c r="AL54" s="83">
        <f t="shared" si="81"/>
        <v>0</v>
      </c>
      <c r="AM54" s="83">
        <f t="shared" si="81"/>
        <v>0</v>
      </c>
      <c r="AN54" s="83">
        <f t="shared" si="81"/>
        <v>0</v>
      </c>
      <c r="AO54" s="83">
        <f t="shared" si="81"/>
        <v>0</v>
      </c>
      <c r="AP54" s="83">
        <f t="shared" si="81"/>
        <v>0</v>
      </c>
      <c r="AQ54" s="83">
        <f t="shared" si="81"/>
        <v>0</v>
      </c>
      <c r="AR54" s="83">
        <f t="shared" si="81"/>
        <v>0</v>
      </c>
      <c r="AS54" s="83">
        <f t="shared" si="81"/>
        <v>0</v>
      </c>
      <c r="AT54" s="83">
        <f t="shared" si="81"/>
        <v>0</v>
      </c>
      <c r="AU54" s="83">
        <f t="shared" si="81"/>
        <v>0</v>
      </c>
      <c r="AV54" s="83">
        <f t="shared" si="81"/>
        <v>0</v>
      </c>
      <c r="AW54" s="83">
        <f t="shared" si="81"/>
        <v>0</v>
      </c>
      <c r="AX54" s="83">
        <f t="shared" si="81"/>
        <v>0</v>
      </c>
      <c r="AY54" s="83">
        <f t="shared" si="81"/>
        <v>0</v>
      </c>
      <c r="AZ54" s="83">
        <f t="shared" si="81"/>
        <v>0</v>
      </c>
      <c r="BA54" s="83">
        <f t="shared" si="81"/>
        <v>0</v>
      </c>
      <c r="BB54" s="83">
        <f t="shared" si="81"/>
        <v>0</v>
      </c>
    </row>
    <row r="55" spans="1:54">
      <c r="A55" s="29" t="s">
        <v>74</v>
      </c>
      <c r="B55" s="35"/>
      <c r="C55" s="81">
        <f t="shared" ref="C55:M55" si="82">IF(ISERROR(C37/C13)=TRUE,0,(C37/C13))</f>
        <v>0.19231791600212653</v>
      </c>
      <c r="D55" s="81">
        <f t="shared" si="82"/>
        <v>0.19190997566909976</v>
      </c>
      <c r="E55" s="81">
        <f t="shared" si="82"/>
        <v>7.5031928480204346E-2</v>
      </c>
      <c r="F55" s="81">
        <f t="shared" ref="F55" si="83">IF(ISERROR(F37/F13)=TRUE,0,(F37/F13))</f>
        <v>0.21290849673202614</v>
      </c>
      <c r="G55" s="83">
        <f t="shared" si="82"/>
        <v>0.15058126876810704</v>
      </c>
      <c r="H55" s="83">
        <f t="shared" si="82"/>
        <v>0.1508690230746976</v>
      </c>
      <c r="I55" s="83">
        <f t="shared" si="82"/>
        <v>0.16104268877620939</v>
      </c>
      <c r="J55" s="83">
        <f t="shared" si="82"/>
        <v>0.16433908860759494</v>
      </c>
      <c r="K55" s="83">
        <f t="shared" si="82"/>
        <v>0.17794643948655259</v>
      </c>
      <c r="L55" s="83">
        <f t="shared" si="82"/>
        <v>0.18559544419527324</v>
      </c>
      <c r="M55" s="83">
        <f t="shared" si="82"/>
        <v>0.18388366183360264</v>
      </c>
      <c r="N55" s="83">
        <f t="shared" ref="N55" si="84">IF(ISERROR(N37/N13)=TRUE,0,(N37/N13))</f>
        <v>0.19274356743519921</v>
      </c>
      <c r="O55" s="83">
        <f>IF(ISERROR(SUM(C37:N37)/(SUM(C13:N13)))=TRUE,0,(SUM(C37:N37)/(SUM(C13:N13))))</f>
        <v>0.16725479621388478</v>
      </c>
      <c r="P55" s="83">
        <f t="shared" ref="P55:BB55" si="85">IF(ISERROR(P37/P13)=TRUE,0,(P37/P13))</f>
        <v>0.20542591416962927</v>
      </c>
      <c r="Q55" s="83">
        <f t="shared" si="85"/>
        <v>0.1960777376033058</v>
      </c>
      <c r="R55" s="83">
        <f t="shared" si="85"/>
        <v>0.2787815082644628</v>
      </c>
      <c r="S55" s="83">
        <f t="shared" si="85"/>
        <v>0.56338554216867465</v>
      </c>
      <c r="T55" s="83">
        <f t="shared" si="85"/>
        <v>0.51417866786678668</v>
      </c>
      <c r="U55" s="83">
        <f t="shared" si="85"/>
        <v>0.77301180257510727</v>
      </c>
      <c r="V55" s="83">
        <f t="shared" si="85"/>
        <v>0.76412700000000011</v>
      </c>
      <c r="W55" s="83">
        <f t="shared" si="85"/>
        <v>0.77660227272727278</v>
      </c>
      <c r="X55" s="83">
        <f t="shared" si="85"/>
        <v>0.88938795180722896</v>
      </c>
      <c r="Y55" s="83">
        <f t="shared" si="85"/>
        <v>0.77928556034482765</v>
      </c>
      <c r="Z55" s="83">
        <f t="shared" si="85"/>
        <v>0.40382682619647359</v>
      </c>
      <c r="AA55" s="83">
        <f t="shared" si="85"/>
        <v>0.23133157894736844</v>
      </c>
      <c r="AB55" s="83">
        <f t="shared" si="85"/>
        <v>0.28816553878188444</v>
      </c>
      <c r="AC55" s="83">
        <f t="shared" si="85"/>
        <v>0.19801740812379112</v>
      </c>
      <c r="AD55" s="83">
        <f t="shared" si="85"/>
        <v>0.16417119901112487</v>
      </c>
      <c r="AE55" s="83">
        <f t="shared" si="85"/>
        <v>0.16639244186046512</v>
      </c>
      <c r="AF55" s="83">
        <f t="shared" si="85"/>
        <v>0.16668493150684932</v>
      </c>
      <c r="AG55" s="83">
        <f t="shared" si="85"/>
        <v>0.16531483715319664</v>
      </c>
      <c r="AH55" s="83">
        <f t="shared" si="85"/>
        <v>0.16625945945945947</v>
      </c>
      <c r="AI55" s="83">
        <f t="shared" si="85"/>
        <v>0.16533168316831684</v>
      </c>
      <c r="AJ55" s="83">
        <f t="shared" si="85"/>
        <v>0.16436031927023945</v>
      </c>
      <c r="AK55" s="83">
        <f t="shared" si="85"/>
        <v>0.16550625000000002</v>
      </c>
      <c r="AL55" s="83">
        <f t="shared" si="85"/>
        <v>0.16468515358361777</v>
      </c>
      <c r="AM55" s="83">
        <f t="shared" si="85"/>
        <v>0.16350587659157689</v>
      </c>
      <c r="AN55" s="83">
        <f t="shared" si="85"/>
        <v>0.16467437722419931</v>
      </c>
      <c r="AO55" s="83">
        <f t="shared" si="85"/>
        <v>0.16713479682978991</v>
      </c>
      <c r="AP55" s="83">
        <f t="shared" si="85"/>
        <v>0.16387398373983741</v>
      </c>
      <c r="AQ55" s="83">
        <f t="shared" si="85"/>
        <v>0.16288235294117648</v>
      </c>
      <c r="AR55" s="83">
        <f t="shared" si="85"/>
        <v>0.1643767605633803</v>
      </c>
      <c r="AS55" s="83">
        <f t="shared" si="85"/>
        <v>0.16332165206508134</v>
      </c>
      <c r="AT55" s="83">
        <f t="shared" si="85"/>
        <v>0.16398281249999999</v>
      </c>
      <c r="AU55" s="83">
        <f t="shared" si="85"/>
        <v>0</v>
      </c>
      <c r="AV55" s="83">
        <f t="shared" si="85"/>
        <v>0</v>
      </c>
      <c r="AW55" s="83">
        <f t="shared" si="85"/>
        <v>0</v>
      </c>
      <c r="AX55" s="83">
        <f t="shared" si="85"/>
        <v>0</v>
      </c>
      <c r="AY55" s="83">
        <f t="shared" si="85"/>
        <v>0</v>
      </c>
      <c r="AZ55" s="83">
        <f t="shared" si="85"/>
        <v>0</v>
      </c>
      <c r="BA55" s="83">
        <f t="shared" si="85"/>
        <v>0</v>
      </c>
      <c r="BB55" s="83">
        <f t="shared" si="85"/>
        <v>0.16365731707317074</v>
      </c>
    </row>
    <row r="56" spans="1:54">
      <c r="A56" s="29"/>
      <c r="B56" s="35"/>
      <c r="C56" s="81"/>
      <c r="D56" s="81"/>
      <c r="E56" s="81"/>
      <c r="F56" s="81"/>
      <c r="G56" s="83"/>
      <c r="H56" s="83"/>
      <c r="I56" s="83"/>
      <c r="J56" s="83"/>
      <c r="K56" s="83"/>
      <c r="L56" s="83"/>
      <c r="M56" s="83"/>
      <c r="N56" s="83"/>
      <c r="O56" s="83"/>
      <c r="P56" s="83"/>
      <c r="Q56" s="83"/>
      <c r="R56" s="83"/>
      <c r="S56" s="83"/>
      <c r="T56" s="83"/>
      <c r="U56" s="83"/>
      <c r="V56" s="83"/>
      <c r="W56" s="83"/>
      <c r="X56" s="83"/>
      <c r="Y56" s="83"/>
      <c r="Z56" s="83"/>
      <c r="AA56" s="83"/>
      <c r="AB56" s="83"/>
      <c r="AC56" s="83"/>
      <c r="AD56" s="83"/>
      <c r="AE56" s="83"/>
      <c r="AF56" s="83"/>
      <c r="AG56" s="83"/>
      <c r="AH56" s="83"/>
      <c r="AI56" s="83"/>
      <c r="AJ56" s="83"/>
      <c r="AK56" s="83"/>
      <c r="AL56" s="83"/>
      <c r="AM56" s="83"/>
      <c r="AN56" s="83"/>
      <c r="AO56" s="83"/>
      <c r="AP56" s="83"/>
      <c r="AQ56" s="83"/>
      <c r="AR56" s="83"/>
      <c r="AS56" s="83"/>
      <c r="AT56" s="83"/>
      <c r="AU56" s="83"/>
      <c r="AV56" s="83"/>
      <c r="AW56" s="83"/>
      <c r="AX56" s="83"/>
      <c r="AY56" s="83"/>
      <c r="AZ56" s="83"/>
      <c r="BA56" s="83"/>
      <c r="BB56" s="83"/>
    </row>
    <row r="57" spans="1:54">
      <c r="A57" s="29" t="s">
        <v>115</v>
      </c>
      <c r="B57" s="35"/>
      <c r="C57" s="81">
        <f t="shared" ref="C57:M57" si="86">IF(ISERROR(C39/C15)=TRUE,0,(C39/C15))</f>
        <v>0</v>
      </c>
      <c r="D57" s="81">
        <f t="shared" si="86"/>
        <v>0</v>
      </c>
      <c r="E57" s="81">
        <f t="shared" si="86"/>
        <v>0</v>
      </c>
      <c r="F57" s="81">
        <f t="shared" ref="F57" si="87">IF(ISERROR(F39/F15)=TRUE,0,(F39/F15))</f>
        <v>0</v>
      </c>
      <c r="G57" s="83">
        <f t="shared" si="86"/>
        <v>0</v>
      </c>
      <c r="H57" s="83">
        <f t="shared" si="86"/>
        <v>0</v>
      </c>
      <c r="I57" s="83">
        <f t="shared" si="86"/>
        <v>0</v>
      </c>
      <c r="J57" s="83">
        <f t="shared" si="86"/>
        <v>0</v>
      </c>
      <c r="K57" s="83">
        <f t="shared" si="86"/>
        <v>0</v>
      </c>
      <c r="L57" s="83">
        <f t="shared" si="86"/>
        <v>0</v>
      </c>
      <c r="M57" s="83">
        <f t="shared" si="86"/>
        <v>0</v>
      </c>
      <c r="N57" s="83">
        <f t="shared" ref="N57" si="88">IF(ISERROR(N39/N15)=TRUE,0,(N39/N15))</f>
        <v>0</v>
      </c>
      <c r="O57" s="83">
        <f>IF(ISERROR(SUM(C39:N39)/(SUM(C15:N15)))=TRUE,0,(SUM(C39:N39)/(SUM(C15:N15))))</f>
        <v>0</v>
      </c>
      <c r="P57" s="83">
        <f t="shared" ref="P57:BB57" si="89">IF(ISERROR(P39/P15)=TRUE,0,(P39/P15))</f>
        <v>0</v>
      </c>
      <c r="Q57" s="83">
        <f t="shared" si="89"/>
        <v>0</v>
      </c>
      <c r="R57" s="83">
        <f t="shared" si="89"/>
        <v>0</v>
      </c>
      <c r="S57" s="83">
        <f t="shared" si="89"/>
        <v>0</v>
      </c>
      <c r="T57" s="83">
        <f t="shared" si="89"/>
        <v>0</v>
      </c>
      <c r="U57" s="83">
        <f t="shared" si="89"/>
        <v>0</v>
      </c>
      <c r="V57" s="83">
        <f t="shared" si="89"/>
        <v>0.13650000000000001</v>
      </c>
      <c r="W57" s="83">
        <f t="shared" si="89"/>
        <v>0.13650000000000001</v>
      </c>
      <c r="X57" s="83">
        <f t="shared" si="89"/>
        <v>0.13650000000000001</v>
      </c>
      <c r="Y57" s="83">
        <f t="shared" si="89"/>
        <v>0.16444939365671643</v>
      </c>
      <c r="Z57" s="83">
        <f t="shared" si="89"/>
        <v>0.16446959632089936</v>
      </c>
      <c r="AA57" s="83">
        <f t="shared" si="89"/>
        <v>0.16445459905660378</v>
      </c>
      <c r="AB57" s="83">
        <f t="shared" si="89"/>
        <v>0.15518414965302224</v>
      </c>
      <c r="AC57" s="83">
        <f t="shared" si="89"/>
        <v>0.16445575221238939</v>
      </c>
      <c r="AD57" s="83">
        <f t="shared" si="89"/>
        <v>0.12591158458790508</v>
      </c>
      <c r="AE57" s="83">
        <f t="shared" si="89"/>
        <v>0.16666339869281047</v>
      </c>
      <c r="AF57" s="83">
        <f t="shared" si="89"/>
        <v>0.16525226622137407</v>
      </c>
      <c r="AG57" s="83">
        <f t="shared" si="89"/>
        <v>0.16624319066147861</v>
      </c>
      <c r="AH57" s="83">
        <f t="shared" si="89"/>
        <v>0.16538576309794992</v>
      </c>
      <c r="AI57" s="83">
        <f t="shared" si="89"/>
        <v>0.16417704163330665</v>
      </c>
      <c r="AJ57" s="83">
        <f t="shared" si="89"/>
        <v>0.16557961165048546</v>
      </c>
      <c r="AK57" s="83">
        <f t="shared" si="89"/>
        <v>0.16480778274159416</v>
      </c>
      <c r="AL57" s="83">
        <f t="shared" si="89"/>
        <v>0.16328164556962027</v>
      </c>
      <c r="AM57" s="83">
        <f t="shared" si="89"/>
        <v>0.16468435607058204</v>
      </c>
      <c r="AN57" s="83">
        <f t="shared" si="89"/>
        <v>0.16468435607058204</v>
      </c>
      <c r="AO57" s="83">
        <f t="shared" si="89"/>
        <v>0.16175816238081478</v>
      </c>
      <c r="AP57" s="83">
        <f t="shared" si="89"/>
        <v>0.16468435607058204</v>
      </c>
      <c r="AQ57" s="83">
        <f t="shared" si="89"/>
        <v>0.16394016176956092</v>
      </c>
      <c r="AR57" s="83">
        <f t="shared" si="89"/>
        <v>0.16378434258127131</v>
      </c>
      <c r="AS57" s="83">
        <f t="shared" si="89"/>
        <v>0.16363078135949541</v>
      </c>
      <c r="AT57" s="83">
        <f t="shared" si="89"/>
        <v>0.16327006002327787</v>
      </c>
      <c r="AU57" s="83">
        <f t="shared" si="89"/>
        <v>0</v>
      </c>
      <c r="AV57" s="83">
        <f t="shared" si="89"/>
        <v>0</v>
      </c>
      <c r="AW57" s="83">
        <f t="shared" si="89"/>
        <v>0</v>
      </c>
      <c r="AX57" s="83">
        <f t="shared" si="89"/>
        <v>0</v>
      </c>
      <c r="AY57" s="83">
        <f t="shared" si="89"/>
        <v>0</v>
      </c>
      <c r="AZ57" s="83">
        <f t="shared" si="89"/>
        <v>0</v>
      </c>
      <c r="BA57" s="83">
        <f t="shared" si="89"/>
        <v>0</v>
      </c>
      <c r="BB57" s="83">
        <f t="shared" si="89"/>
        <v>0.16383290309221421</v>
      </c>
    </row>
    <row r="58" spans="1:54">
      <c r="A58" s="29"/>
      <c r="B58" s="35"/>
      <c r="C58" s="81"/>
      <c r="D58" s="81"/>
      <c r="E58" s="81"/>
      <c r="F58" s="81"/>
      <c r="G58" s="83"/>
      <c r="H58" s="83"/>
      <c r="I58" s="83"/>
      <c r="J58" s="83"/>
      <c r="K58" s="83"/>
      <c r="L58" s="83"/>
      <c r="M58" s="83"/>
      <c r="N58" s="83"/>
      <c r="O58" s="83"/>
      <c r="P58" s="83"/>
      <c r="Q58" s="83"/>
      <c r="R58" s="83"/>
      <c r="S58" s="83"/>
      <c r="T58" s="83"/>
      <c r="U58" s="83"/>
      <c r="V58" s="83"/>
      <c r="W58" s="83"/>
      <c r="X58" s="83"/>
      <c r="Y58" s="83"/>
      <c r="Z58" s="83"/>
      <c r="AA58" s="83"/>
      <c r="AB58" s="83"/>
      <c r="AC58" s="83"/>
      <c r="AD58" s="83"/>
      <c r="AE58" s="83"/>
      <c r="AF58" s="83"/>
      <c r="AG58" s="83"/>
      <c r="AH58" s="83"/>
      <c r="AI58" s="83"/>
      <c r="AJ58" s="83"/>
      <c r="AK58" s="83"/>
      <c r="AL58" s="83"/>
      <c r="AM58" s="83"/>
      <c r="AN58" s="83"/>
      <c r="AO58" s="83"/>
      <c r="AP58" s="83"/>
      <c r="AQ58" s="83"/>
      <c r="AR58" s="83"/>
      <c r="AS58" s="83"/>
      <c r="AT58" s="83"/>
      <c r="AU58" s="83"/>
      <c r="AV58" s="83"/>
      <c r="AW58" s="83"/>
      <c r="AX58" s="83"/>
      <c r="AY58" s="83"/>
      <c r="AZ58" s="83"/>
      <c r="BA58" s="83"/>
      <c r="BB58" s="83"/>
    </row>
    <row r="59" spans="1:54">
      <c r="A59" s="29" t="s">
        <v>129</v>
      </c>
      <c r="B59" s="35"/>
      <c r="C59" s="81">
        <f t="shared" ref="C59:M59" si="90">IF(ISERROR(C41/C17)=TRUE,0,(C41/C17))</f>
        <v>0.18251361133507887</v>
      </c>
      <c r="D59" s="81">
        <f t="shared" si="90"/>
        <v>0.17708322153837022</v>
      </c>
      <c r="E59" s="81">
        <f t="shared" si="90"/>
        <v>7.3179194839781331E-2</v>
      </c>
      <c r="F59" s="81">
        <f t="shared" ref="F59" si="91">IF(ISERROR(F41/F17)=TRUE,0,(F41/F17))</f>
        <v>0.19226179032036289</v>
      </c>
      <c r="G59" s="83">
        <f t="shared" si="90"/>
        <v>0.13650000000000001</v>
      </c>
      <c r="H59" s="83">
        <f t="shared" si="90"/>
        <v>0.13650000000000001</v>
      </c>
      <c r="I59" s="83">
        <f t="shared" si="90"/>
        <v>0.13650000000000001</v>
      </c>
      <c r="J59" s="83">
        <f t="shared" si="90"/>
        <v>0.13650000000000001</v>
      </c>
      <c r="K59" s="83">
        <f t="shared" si="90"/>
        <v>0.13650000000000001</v>
      </c>
      <c r="L59" s="83">
        <f t="shared" si="90"/>
        <v>0.13650000000000001</v>
      </c>
      <c r="M59" s="83">
        <f t="shared" si="90"/>
        <v>0.13650000000000001</v>
      </c>
      <c r="N59" s="83">
        <f>IF(ISERROR(N41/N17)=TRUE,0,(N41/N17))</f>
        <v>0.13650000000000001</v>
      </c>
      <c r="O59" s="83">
        <f>IF(ISERROR(SUM(C41:N41)/(SUM(C17:N17)))=TRUE,0,(SUM(C41:N41)/(SUM(C17:N17))))</f>
        <v>0.14344935353914554</v>
      </c>
      <c r="P59" s="83">
        <f t="shared" ref="P59:BB59" si="92">IF(ISERROR(P41/P17)=TRUE,0,(P41/P17))</f>
        <v>0.13650000000000001</v>
      </c>
      <c r="Q59" s="83">
        <f t="shared" si="92"/>
        <v>0.13650000000000001</v>
      </c>
      <c r="R59" s="83">
        <f t="shared" si="92"/>
        <v>0.13650000000000001</v>
      </c>
      <c r="S59" s="83">
        <f t="shared" si="92"/>
        <v>0.13650000000000001</v>
      </c>
      <c r="T59" s="83">
        <f t="shared" si="92"/>
        <v>0.13650000000000001</v>
      </c>
      <c r="U59" s="83">
        <f t="shared" si="92"/>
        <v>0.13650000000000001</v>
      </c>
      <c r="V59" s="83">
        <f t="shared" si="92"/>
        <v>0.13650000000000001</v>
      </c>
      <c r="W59" s="83">
        <f t="shared" si="92"/>
        <v>0.13650000000000001</v>
      </c>
      <c r="X59" s="83">
        <f t="shared" si="92"/>
        <v>0.13650000000000001</v>
      </c>
      <c r="Y59" s="83">
        <f t="shared" si="92"/>
        <v>0.13650000000000001</v>
      </c>
      <c r="Z59" s="83">
        <f t="shared" si="92"/>
        <v>0.13650000000000001</v>
      </c>
      <c r="AA59" s="83">
        <f t="shared" si="92"/>
        <v>0.13650000000000001</v>
      </c>
      <c r="AB59" s="83">
        <f t="shared" si="92"/>
        <v>0.13650000000000001</v>
      </c>
      <c r="AC59" s="83">
        <f t="shared" si="92"/>
        <v>0.13650000000000001</v>
      </c>
      <c r="AD59" s="83">
        <f t="shared" si="92"/>
        <v>0.13650000000000001</v>
      </c>
      <c r="AE59" s="83">
        <f t="shared" si="92"/>
        <v>0.13650000000000001</v>
      </c>
      <c r="AF59" s="83">
        <f t="shared" si="92"/>
        <v>0.13650000000000001</v>
      </c>
      <c r="AG59" s="83">
        <f t="shared" si="92"/>
        <v>0.13650000000000001</v>
      </c>
      <c r="AH59" s="83">
        <f t="shared" si="92"/>
        <v>0.13650000000000001</v>
      </c>
      <c r="AI59" s="83">
        <f t="shared" si="92"/>
        <v>0.13650000000000001</v>
      </c>
      <c r="AJ59" s="83">
        <f t="shared" si="92"/>
        <v>0.13650000000000001</v>
      </c>
      <c r="AK59" s="83">
        <f t="shared" si="92"/>
        <v>0.13650000000000001</v>
      </c>
      <c r="AL59" s="83">
        <f t="shared" si="92"/>
        <v>0.13650000000000001</v>
      </c>
      <c r="AM59" s="83">
        <f t="shared" si="92"/>
        <v>0.13650000000000001</v>
      </c>
      <c r="AN59" s="83">
        <f t="shared" si="92"/>
        <v>0.13650000000000001</v>
      </c>
      <c r="AO59" s="83">
        <f t="shared" si="92"/>
        <v>0.13650000000000004</v>
      </c>
      <c r="AP59" s="83">
        <f t="shared" si="92"/>
        <v>0.13650000000000001</v>
      </c>
      <c r="AQ59" s="83">
        <f t="shared" si="92"/>
        <v>0.13650000000000001</v>
      </c>
      <c r="AR59" s="83">
        <f t="shared" si="92"/>
        <v>0.13650000000000001</v>
      </c>
      <c r="AS59" s="83">
        <f t="shared" si="92"/>
        <v>0.13650000000000001</v>
      </c>
      <c r="AT59" s="83">
        <f t="shared" si="92"/>
        <v>0.13650000000000001</v>
      </c>
      <c r="AU59" s="83">
        <f t="shared" si="92"/>
        <v>0</v>
      </c>
      <c r="AV59" s="83">
        <f t="shared" si="92"/>
        <v>0</v>
      </c>
      <c r="AW59" s="83">
        <f t="shared" si="92"/>
        <v>0</v>
      </c>
      <c r="AX59" s="83">
        <f t="shared" si="92"/>
        <v>0</v>
      </c>
      <c r="AY59" s="83">
        <f t="shared" si="92"/>
        <v>0</v>
      </c>
      <c r="AZ59" s="83">
        <f t="shared" si="92"/>
        <v>0</v>
      </c>
      <c r="BA59" s="83">
        <f t="shared" si="92"/>
        <v>0</v>
      </c>
      <c r="BB59" s="83">
        <f t="shared" si="92"/>
        <v>0.13650000000000001</v>
      </c>
    </row>
    <row r="60" spans="1:54">
      <c r="A60" s="99" t="s">
        <v>145</v>
      </c>
      <c r="B60" s="35"/>
      <c r="C60" s="81">
        <f t="shared" ref="C60:M60" si="93">IF(ISERROR(C42/C18)=TRUE,0,(C42/C18))</f>
        <v>0</v>
      </c>
      <c r="D60" s="81">
        <f t="shared" si="93"/>
        <v>0</v>
      </c>
      <c r="E60" s="81">
        <f t="shared" si="93"/>
        <v>0</v>
      </c>
      <c r="F60" s="81">
        <f t="shared" ref="F60" si="94">IF(ISERROR(F42/F18)=TRUE,0,(F42/F18))</f>
        <v>3.896027727546715</v>
      </c>
      <c r="G60" s="83">
        <f t="shared" si="93"/>
        <v>0.19316819734033891</v>
      </c>
      <c r="H60" s="83">
        <f t="shared" si="93"/>
        <v>0.18408326817432</v>
      </c>
      <c r="I60" s="83">
        <f t="shared" si="93"/>
        <v>0.21497192630380169</v>
      </c>
      <c r="J60" s="83">
        <f t="shared" si="93"/>
        <v>0.16155844788566315</v>
      </c>
      <c r="K60" s="83">
        <f t="shared" si="93"/>
        <v>0.1844775930831106</v>
      </c>
      <c r="L60" s="83">
        <f t="shared" si="93"/>
        <v>0.20953997252302933</v>
      </c>
      <c r="M60" s="83">
        <f t="shared" si="93"/>
        <v>0.15848183748289255</v>
      </c>
      <c r="N60" s="83">
        <f>IF(ISERROR(N42/N18)=TRUE,0,(N42/N18))</f>
        <v>0.17997369238700053</v>
      </c>
      <c r="O60" s="83">
        <f>IF(ISERROR(SUM(C42:N42)/(SUM(C18:N18)))=TRUE,0,(SUM(C42:N42)/(SUM(C18:N18))))</f>
        <v>0.31755122973900607</v>
      </c>
      <c r="P60" s="83">
        <f t="shared" ref="P60:BB60" si="95">IF(ISERROR(P42/P18)=TRUE,0,(P42/P18))</f>
        <v>0.70717058007168621</v>
      </c>
      <c r="Q60" s="83">
        <f t="shared" si="95"/>
        <v>0.5685829832354492</v>
      </c>
      <c r="R60" s="83">
        <f t="shared" si="95"/>
        <v>0.70333467331763599</v>
      </c>
      <c r="S60" s="83">
        <f t="shared" si="95"/>
        <v>0.69979489952333773</v>
      </c>
      <c r="T60" s="83">
        <f t="shared" si="95"/>
        <v>0.56164704053884396</v>
      </c>
      <c r="U60" s="83">
        <f t="shared" si="95"/>
        <v>0.6878906745843808</v>
      </c>
      <c r="V60" s="83">
        <f t="shared" si="95"/>
        <v>0.68628000935047218</v>
      </c>
      <c r="W60" s="83">
        <f t="shared" si="95"/>
        <v>0.55447854382183925</v>
      </c>
      <c r="X60" s="83">
        <f t="shared" si="95"/>
        <v>0.68845935446406714</v>
      </c>
      <c r="Y60" s="83">
        <f t="shared" si="95"/>
        <v>0.68424714193856129</v>
      </c>
      <c r="Z60" s="83">
        <f t="shared" si="95"/>
        <v>0.55354441845093993</v>
      </c>
      <c r="AA60" s="83">
        <f t="shared" si="95"/>
        <v>0.68463872750751698</v>
      </c>
      <c r="AB60" s="83">
        <f t="shared" si="95"/>
        <v>0.64172495668356544</v>
      </c>
      <c r="AC60" s="83">
        <f t="shared" si="95"/>
        <v>0.13650000000000001</v>
      </c>
      <c r="AD60" s="83">
        <f t="shared" si="95"/>
        <v>0.13650000000000001</v>
      </c>
      <c r="AE60" s="83">
        <f t="shared" si="95"/>
        <v>0.13650000000000001</v>
      </c>
      <c r="AF60" s="83">
        <f t="shared" si="95"/>
        <v>0.13650000000000001</v>
      </c>
      <c r="AG60" s="83">
        <f t="shared" si="95"/>
        <v>0.13650000000000001</v>
      </c>
      <c r="AH60" s="83">
        <f t="shared" si="95"/>
        <v>0.13650000000000001</v>
      </c>
      <c r="AI60" s="83">
        <f t="shared" si="95"/>
        <v>0.13650000000000001</v>
      </c>
      <c r="AJ60" s="83">
        <f t="shared" si="95"/>
        <v>0.13650000000000001</v>
      </c>
      <c r="AK60" s="83">
        <f t="shared" si="95"/>
        <v>0.13650000000000001</v>
      </c>
      <c r="AL60" s="83">
        <f t="shared" si="95"/>
        <v>0.13650000000000001</v>
      </c>
      <c r="AM60" s="83">
        <f t="shared" si="95"/>
        <v>0.13650000000000001</v>
      </c>
      <c r="AN60" s="83">
        <f t="shared" si="95"/>
        <v>0.13650000000000001</v>
      </c>
      <c r="AO60" s="83">
        <f t="shared" si="95"/>
        <v>0.13650000000000001</v>
      </c>
      <c r="AP60" s="83">
        <f t="shared" si="95"/>
        <v>0</v>
      </c>
      <c r="AQ60" s="83">
        <f t="shared" si="95"/>
        <v>0</v>
      </c>
      <c r="AR60" s="83">
        <f t="shared" si="95"/>
        <v>0</v>
      </c>
      <c r="AS60" s="83">
        <f t="shared" si="95"/>
        <v>0</v>
      </c>
      <c r="AT60" s="83">
        <f t="shared" si="95"/>
        <v>0</v>
      </c>
      <c r="AU60" s="83">
        <f t="shared" si="95"/>
        <v>0</v>
      </c>
      <c r="AV60" s="83">
        <f t="shared" si="95"/>
        <v>0</v>
      </c>
      <c r="AW60" s="83">
        <f t="shared" si="95"/>
        <v>0</v>
      </c>
      <c r="AX60" s="83">
        <f t="shared" si="95"/>
        <v>0</v>
      </c>
      <c r="AY60" s="83">
        <f t="shared" si="95"/>
        <v>0</v>
      </c>
      <c r="AZ60" s="83">
        <f t="shared" si="95"/>
        <v>0</v>
      </c>
      <c r="BA60" s="83">
        <f t="shared" si="95"/>
        <v>0</v>
      </c>
      <c r="BB60" s="83">
        <f t="shared" si="95"/>
        <v>0</v>
      </c>
    </row>
    <row r="61" spans="1:54">
      <c r="A61" s="29" t="s">
        <v>92</v>
      </c>
      <c r="B61" s="35"/>
      <c r="C61" s="81">
        <f t="shared" ref="C61:M61" si="96">IF(ISERROR(C43/C19)=TRUE,0,(C43/C19))</f>
        <v>0</v>
      </c>
      <c r="D61" s="81">
        <f t="shared" si="96"/>
        <v>0</v>
      </c>
      <c r="E61" s="81">
        <f t="shared" si="96"/>
        <v>0</v>
      </c>
      <c r="F61" s="81">
        <f t="shared" ref="F61" si="97">IF(ISERROR(F43/F19)=TRUE,0,(F43/F19))</f>
        <v>0</v>
      </c>
      <c r="G61" s="83">
        <f t="shared" si="96"/>
        <v>0</v>
      </c>
      <c r="H61" s="83">
        <f t="shared" si="96"/>
        <v>0</v>
      </c>
      <c r="I61" s="83">
        <f t="shared" si="96"/>
        <v>0</v>
      </c>
      <c r="J61" s="83">
        <f t="shared" si="96"/>
        <v>0</v>
      </c>
      <c r="K61" s="83">
        <f t="shared" si="96"/>
        <v>0</v>
      </c>
      <c r="L61" s="83">
        <f t="shared" si="96"/>
        <v>0</v>
      </c>
      <c r="M61" s="83">
        <f t="shared" si="96"/>
        <v>0</v>
      </c>
      <c r="N61" s="83">
        <f t="shared" ref="N61" si="98">IF(ISERROR(N43/N19)=TRUE,0,(N43/N19))</f>
        <v>0</v>
      </c>
      <c r="O61" s="83">
        <f>IF(ISERROR(SUM(C43:N43)/(SUM(C19:N19)))=TRUE,0,(SUM(C43:N43)/(SUM(C19:N19))))</f>
        <v>0</v>
      </c>
      <c r="P61" s="83">
        <f t="shared" ref="P61:BB61" si="99">IF(ISERROR(P43/P19)=TRUE,0,(P43/P19))</f>
        <v>0</v>
      </c>
      <c r="Q61" s="83">
        <f t="shared" si="99"/>
        <v>0</v>
      </c>
      <c r="R61" s="83">
        <f t="shared" si="99"/>
        <v>0</v>
      </c>
      <c r="S61" s="83">
        <f t="shared" si="99"/>
        <v>0</v>
      </c>
      <c r="T61" s="83">
        <f t="shared" si="99"/>
        <v>0</v>
      </c>
      <c r="U61" s="83">
        <f t="shared" si="99"/>
        <v>0</v>
      </c>
      <c r="V61" s="83">
        <f t="shared" si="99"/>
        <v>0</v>
      </c>
      <c r="W61" s="83">
        <f t="shared" si="99"/>
        <v>0</v>
      </c>
      <c r="X61" s="83">
        <f t="shared" si="99"/>
        <v>0</v>
      </c>
      <c r="Y61" s="83">
        <f t="shared" si="99"/>
        <v>0</v>
      </c>
      <c r="Z61" s="83">
        <f t="shared" si="99"/>
        <v>0</v>
      </c>
      <c r="AA61" s="83">
        <f t="shared" si="99"/>
        <v>0</v>
      </c>
      <c r="AB61" s="83">
        <f t="shared" si="99"/>
        <v>0</v>
      </c>
      <c r="AC61" s="83">
        <f t="shared" si="99"/>
        <v>0</v>
      </c>
      <c r="AD61" s="83">
        <f t="shared" si="99"/>
        <v>0</v>
      </c>
      <c r="AE61" s="83">
        <f t="shared" si="99"/>
        <v>0</v>
      </c>
      <c r="AF61" s="83">
        <f t="shared" si="99"/>
        <v>0.13650000000000001</v>
      </c>
      <c r="AG61" s="83">
        <f t="shared" si="99"/>
        <v>0.13650000000000001</v>
      </c>
      <c r="AH61" s="83">
        <f t="shared" si="99"/>
        <v>0.13650000000000001</v>
      </c>
      <c r="AI61" s="83">
        <f t="shared" si="99"/>
        <v>0.13650000000000001</v>
      </c>
      <c r="AJ61" s="83">
        <f t="shared" si="99"/>
        <v>0.13650000000000001</v>
      </c>
      <c r="AK61" s="83">
        <f t="shared" si="99"/>
        <v>0.13650000000000001</v>
      </c>
      <c r="AL61" s="83">
        <f t="shared" si="99"/>
        <v>0.13650000000000001</v>
      </c>
      <c r="AM61" s="83">
        <f t="shared" si="99"/>
        <v>0.13650000000000001</v>
      </c>
      <c r="AN61" s="83">
        <f t="shared" si="99"/>
        <v>0.13650000000000001</v>
      </c>
      <c r="AO61" s="83">
        <f t="shared" si="99"/>
        <v>0.13650000000000001</v>
      </c>
      <c r="AP61" s="83">
        <f t="shared" si="99"/>
        <v>0.13650000000000001</v>
      </c>
      <c r="AQ61" s="83">
        <f t="shared" si="99"/>
        <v>0.13650000000000001</v>
      </c>
      <c r="AR61" s="83">
        <f t="shared" si="99"/>
        <v>0.13650000000000001</v>
      </c>
      <c r="AS61" s="83">
        <f t="shared" si="99"/>
        <v>0.13650000000000001</v>
      </c>
      <c r="AT61" s="83">
        <f t="shared" si="99"/>
        <v>0.13650000000000001</v>
      </c>
      <c r="AU61" s="83">
        <f t="shared" si="99"/>
        <v>0</v>
      </c>
      <c r="AV61" s="83">
        <f t="shared" si="99"/>
        <v>0</v>
      </c>
      <c r="AW61" s="83">
        <f t="shared" si="99"/>
        <v>0</v>
      </c>
      <c r="AX61" s="83">
        <f t="shared" si="99"/>
        <v>0</v>
      </c>
      <c r="AY61" s="83">
        <f t="shared" si="99"/>
        <v>0</v>
      </c>
      <c r="AZ61" s="83">
        <f t="shared" si="99"/>
        <v>0</v>
      </c>
      <c r="BA61" s="83">
        <f t="shared" si="99"/>
        <v>0</v>
      </c>
      <c r="BB61" s="83">
        <f t="shared" si="99"/>
        <v>0.13650000000000001</v>
      </c>
    </row>
    <row r="62" spans="1:54">
      <c r="A62" s="29" t="s">
        <v>93</v>
      </c>
      <c r="B62" s="35"/>
      <c r="C62" s="81">
        <f t="shared" ref="C62:M62" si="100">IF(ISERROR(C44/C20)=TRUE,0,(C44/C20))</f>
        <v>0</v>
      </c>
      <c r="D62" s="81">
        <f t="shared" si="100"/>
        <v>0</v>
      </c>
      <c r="E62" s="81">
        <f t="shared" si="100"/>
        <v>0</v>
      </c>
      <c r="F62" s="81">
        <f t="shared" ref="F62" si="101">IF(ISERROR(F44/F20)=TRUE,0,(F44/F20))</f>
        <v>0</v>
      </c>
      <c r="G62" s="83">
        <f t="shared" si="100"/>
        <v>0</v>
      </c>
      <c r="H62" s="83">
        <f t="shared" si="100"/>
        <v>0</v>
      </c>
      <c r="I62" s="83">
        <f t="shared" si="100"/>
        <v>0</v>
      </c>
      <c r="J62" s="83">
        <f t="shared" si="100"/>
        <v>0</v>
      </c>
      <c r="K62" s="83">
        <f t="shared" si="100"/>
        <v>0</v>
      </c>
      <c r="L62" s="83">
        <f t="shared" si="100"/>
        <v>0</v>
      </c>
      <c r="M62" s="83">
        <f t="shared" si="100"/>
        <v>0</v>
      </c>
      <c r="N62" s="83">
        <f t="shared" ref="N62" si="102">IF(ISERROR(N44/N20)=TRUE,0,(N44/N20))</f>
        <v>0</v>
      </c>
      <c r="O62" s="83">
        <f>IF(ISERROR(SUM(C44:N44)/(SUM(C20:N20)))=TRUE,0,(SUM(C44:N44)/(SUM(C20:N20))))</f>
        <v>0</v>
      </c>
      <c r="P62" s="83">
        <f t="shared" ref="P62:BB62" si="103">IF(ISERROR(P44/P20)=TRUE,0,(P44/P20))</f>
        <v>0</v>
      </c>
      <c r="Q62" s="83">
        <f t="shared" si="103"/>
        <v>0</v>
      </c>
      <c r="R62" s="83">
        <f t="shared" si="103"/>
        <v>0</v>
      </c>
      <c r="S62" s="83">
        <f t="shared" si="103"/>
        <v>0</v>
      </c>
      <c r="T62" s="83">
        <f t="shared" si="103"/>
        <v>0</v>
      </c>
      <c r="U62" s="83">
        <f t="shared" si="103"/>
        <v>0</v>
      </c>
      <c r="V62" s="83">
        <f t="shared" si="103"/>
        <v>0.13650000000000001</v>
      </c>
      <c r="W62" s="83">
        <f t="shared" si="103"/>
        <v>0.13650000000000001</v>
      </c>
      <c r="X62" s="83">
        <f t="shared" si="103"/>
        <v>0.13650000000000001</v>
      </c>
      <c r="Y62" s="83">
        <f t="shared" si="103"/>
        <v>0.13650000000000001</v>
      </c>
      <c r="Z62" s="83">
        <f t="shared" si="103"/>
        <v>0.13650000000000001</v>
      </c>
      <c r="AA62" s="83">
        <f t="shared" si="103"/>
        <v>0.13650000000000001</v>
      </c>
      <c r="AB62" s="83">
        <f t="shared" si="103"/>
        <v>0.13650000000000001</v>
      </c>
      <c r="AC62" s="83">
        <f t="shared" si="103"/>
        <v>0.13650000000000001</v>
      </c>
      <c r="AD62" s="83">
        <f t="shared" si="103"/>
        <v>0.13650000000000001</v>
      </c>
      <c r="AE62" s="83">
        <f t="shared" si="103"/>
        <v>0.13650000000000001</v>
      </c>
      <c r="AF62" s="83">
        <f t="shared" si="103"/>
        <v>0.13650000000000001</v>
      </c>
      <c r="AG62" s="83">
        <f t="shared" si="103"/>
        <v>0.13650000000000001</v>
      </c>
      <c r="AH62" s="83">
        <f t="shared" si="103"/>
        <v>0.13650000000000001</v>
      </c>
      <c r="AI62" s="83">
        <f t="shared" si="103"/>
        <v>0.13650000000000001</v>
      </c>
      <c r="AJ62" s="83">
        <f t="shared" si="103"/>
        <v>0.13650000000000001</v>
      </c>
      <c r="AK62" s="83">
        <f t="shared" si="103"/>
        <v>0.13650000000000001</v>
      </c>
      <c r="AL62" s="83">
        <f t="shared" si="103"/>
        <v>0.13650000000000001</v>
      </c>
      <c r="AM62" s="83">
        <f t="shared" si="103"/>
        <v>0.13650000000000001</v>
      </c>
      <c r="AN62" s="83">
        <f t="shared" si="103"/>
        <v>0.13650000000000001</v>
      </c>
      <c r="AO62" s="83">
        <f t="shared" si="103"/>
        <v>0.13650000000000001</v>
      </c>
      <c r="AP62" s="83">
        <f t="shared" si="103"/>
        <v>0.13650000000000001</v>
      </c>
      <c r="AQ62" s="83">
        <f t="shared" si="103"/>
        <v>0.13650000000000001</v>
      </c>
      <c r="AR62" s="83">
        <f t="shared" si="103"/>
        <v>0.13650000000000001</v>
      </c>
      <c r="AS62" s="83">
        <f t="shared" si="103"/>
        <v>0.13650000000000001</v>
      </c>
      <c r="AT62" s="83">
        <f t="shared" si="103"/>
        <v>0.13650000000000001</v>
      </c>
      <c r="AU62" s="83">
        <f t="shared" si="103"/>
        <v>0</v>
      </c>
      <c r="AV62" s="83">
        <f t="shared" si="103"/>
        <v>0</v>
      </c>
      <c r="AW62" s="83">
        <f t="shared" si="103"/>
        <v>0</v>
      </c>
      <c r="AX62" s="83">
        <f t="shared" si="103"/>
        <v>0</v>
      </c>
      <c r="AY62" s="83">
        <f t="shared" si="103"/>
        <v>0</v>
      </c>
      <c r="AZ62" s="83">
        <f t="shared" si="103"/>
        <v>0</v>
      </c>
      <c r="BA62" s="83">
        <f t="shared" si="103"/>
        <v>0</v>
      </c>
      <c r="BB62" s="83">
        <f t="shared" si="103"/>
        <v>0.13649999999999998</v>
      </c>
    </row>
    <row r="63" spans="1:54" ht="13.5" thickBot="1">
      <c r="A63" s="64" t="s">
        <v>105</v>
      </c>
      <c r="B63" s="49" t="s">
        <v>38</v>
      </c>
      <c r="C63" s="82">
        <f t="shared" ref="C63:M63" si="104">IF(ISERROR(C45/C22)=TRUE,0,(C45/C22))</f>
        <v>0.144749931386253</v>
      </c>
      <c r="D63" s="82">
        <f t="shared" si="104"/>
        <v>0.13607698160279036</v>
      </c>
      <c r="E63" s="82">
        <f t="shared" si="104"/>
        <v>6.0673089318822884E-2</v>
      </c>
      <c r="F63" s="82">
        <f t="shared" ref="F63" si="105">IF(ISERROR(F45/F22)=TRUE,0,(F45/F22))</f>
        <v>0.93123554088881255</v>
      </c>
      <c r="G63" s="84">
        <f t="shared" si="104"/>
        <v>0.15106177475985552</v>
      </c>
      <c r="H63" s="84">
        <f t="shared" si="104"/>
        <v>0.15015214590898732</v>
      </c>
      <c r="I63" s="84">
        <f t="shared" si="104"/>
        <v>0.15197820119430866</v>
      </c>
      <c r="J63" s="84">
        <f t="shared" si="104"/>
        <v>0.14167495410363531</v>
      </c>
      <c r="K63" s="84">
        <f t="shared" si="104"/>
        <v>0.14849764897214374</v>
      </c>
      <c r="L63" s="84">
        <f t="shared" si="104"/>
        <v>0.15263345268945705</v>
      </c>
      <c r="M63" s="84">
        <f t="shared" si="104"/>
        <v>0.14198381700093499</v>
      </c>
      <c r="N63" s="84">
        <f t="shared" ref="N63" si="106">IF(ISERROR(N45/N22)=TRUE,0,(N45/N22))</f>
        <v>0.14696180947414419</v>
      </c>
      <c r="O63" s="84">
        <f>IF(ISERROR(SUM(C45:N45)/(SUM(C22:N22)))=TRUE,0,(SUM(C45:N45)/(SUM(C22:N22))))</f>
        <v>0.18017982156215914</v>
      </c>
      <c r="P63" s="84">
        <f t="shared" ref="P63:BB63" si="107">IF(ISERROR(P45/P22)=TRUE,0,(P45/P22))</f>
        <v>0.19353231289361142</v>
      </c>
      <c r="Q63" s="84">
        <f t="shared" si="107"/>
        <v>0.19700464709508278</v>
      </c>
      <c r="R63" s="84">
        <f t="shared" si="107"/>
        <v>0.23444433326354205</v>
      </c>
      <c r="S63" s="84">
        <f t="shared" si="107"/>
        <v>0.2235945371772845</v>
      </c>
      <c r="T63" s="84">
        <f t="shared" si="107"/>
        <v>0.2115639279908014</v>
      </c>
      <c r="U63" s="84">
        <f t="shared" si="107"/>
        <v>0.23857202095571017</v>
      </c>
      <c r="V63" s="84">
        <f t="shared" si="107"/>
        <v>0.20438234752735268</v>
      </c>
      <c r="W63" s="84">
        <f t="shared" si="107"/>
        <v>0.18580496290708304</v>
      </c>
      <c r="X63" s="84">
        <f t="shared" si="107"/>
        <v>0.18621726573133718</v>
      </c>
      <c r="Y63" s="84">
        <f t="shared" si="107"/>
        <v>0.17926861726732077</v>
      </c>
      <c r="Z63" s="84">
        <f t="shared" si="107"/>
        <v>0.17239348023744697</v>
      </c>
      <c r="AA63" s="84">
        <f t="shared" si="107"/>
        <v>0.17393240084615047</v>
      </c>
      <c r="AB63" s="84">
        <f t="shared" si="107"/>
        <v>0.19326593374552536</v>
      </c>
      <c r="AC63" s="84">
        <f t="shared" si="107"/>
        <v>0.13650000000000001</v>
      </c>
      <c r="AD63" s="84">
        <f t="shared" si="107"/>
        <v>0.13650000000000001</v>
      </c>
      <c r="AE63" s="84">
        <f t="shared" si="107"/>
        <v>0.13650000000000001</v>
      </c>
      <c r="AF63" s="84">
        <f t="shared" si="107"/>
        <v>0.13649999999999998</v>
      </c>
      <c r="AG63" s="84">
        <f t="shared" si="107"/>
        <v>0.13650000000000001</v>
      </c>
      <c r="AH63" s="84">
        <f t="shared" si="107"/>
        <v>0.13650000000000001</v>
      </c>
      <c r="AI63" s="84">
        <f t="shared" si="107"/>
        <v>0.13650000000000001</v>
      </c>
      <c r="AJ63" s="84">
        <f t="shared" si="107"/>
        <v>0.13650000000000001</v>
      </c>
      <c r="AK63" s="84">
        <f t="shared" si="107"/>
        <v>0.13650000000000001</v>
      </c>
      <c r="AL63" s="84">
        <f t="shared" si="107"/>
        <v>0.13650000000000004</v>
      </c>
      <c r="AM63" s="84">
        <f t="shared" si="107"/>
        <v>0.13650000000000001</v>
      </c>
      <c r="AN63" s="84">
        <f t="shared" si="107"/>
        <v>0.13650000000000001</v>
      </c>
      <c r="AO63" s="84">
        <f t="shared" si="107"/>
        <v>0.13650000000000001</v>
      </c>
      <c r="AP63" s="84">
        <f t="shared" si="107"/>
        <v>0.13650000000000001</v>
      </c>
      <c r="AQ63" s="84">
        <f t="shared" si="107"/>
        <v>0.13650000000000001</v>
      </c>
      <c r="AR63" s="84">
        <f t="shared" si="107"/>
        <v>0.13650000000000001</v>
      </c>
      <c r="AS63" s="84">
        <f t="shared" si="107"/>
        <v>0.13650000000000001</v>
      </c>
      <c r="AT63" s="84">
        <f t="shared" si="107"/>
        <v>0.13650000000000001</v>
      </c>
      <c r="AU63" s="84">
        <f t="shared" si="107"/>
        <v>0</v>
      </c>
      <c r="AV63" s="84">
        <f t="shared" si="107"/>
        <v>0</v>
      </c>
      <c r="AW63" s="84">
        <f t="shared" si="107"/>
        <v>0</v>
      </c>
      <c r="AX63" s="84">
        <f t="shared" si="107"/>
        <v>0</v>
      </c>
      <c r="AY63" s="84">
        <f t="shared" si="107"/>
        <v>0</v>
      </c>
      <c r="AZ63" s="84">
        <f t="shared" si="107"/>
        <v>0</v>
      </c>
      <c r="BA63" s="84">
        <f t="shared" si="107"/>
        <v>0</v>
      </c>
      <c r="BB63" s="84">
        <f t="shared" si="107"/>
        <v>0.13649999999999998</v>
      </c>
    </row>
    <row r="64" spans="1:54" ht="13.5" thickTop="1">
      <c r="A64" s="48"/>
      <c r="B64" s="49"/>
      <c r="C64" s="59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  <c r="AA64" s="59"/>
      <c r="AB64" s="59"/>
      <c r="AC64" s="59"/>
      <c r="AD64" s="59"/>
      <c r="AE64" s="59"/>
      <c r="AF64" s="59"/>
      <c r="AG64" s="59"/>
      <c r="AH64" s="59"/>
      <c r="AI64" s="59"/>
      <c r="AJ64" s="59"/>
      <c r="AK64" s="59"/>
      <c r="AL64" s="59"/>
      <c r="AM64" s="59"/>
      <c r="AN64" s="59"/>
      <c r="AO64" s="59"/>
      <c r="AP64" s="59"/>
      <c r="AQ64" s="59"/>
      <c r="AR64" s="59"/>
      <c r="AS64" s="59"/>
      <c r="AT64" s="59"/>
      <c r="AU64" s="59"/>
      <c r="AV64" s="59"/>
      <c r="AW64" s="59"/>
      <c r="AX64" s="59"/>
      <c r="AY64" s="59"/>
      <c r="AZ64" s="59"/>
      <c r="BA64" s="59"/>
      <c r="BB64" s="59"/>
    </row>
    <row r="65" spans="5:10">
      <c r="E65" s="74"/>
      <c r="F65" s="73"/>
      <c r="G65" s="77"/>
      <c r="H65" s="79"/>
      <c r="I65" s="79"/>
      <c r="J65" s="80"/>
    </row>
    <row r="66" spans="5:10">
      <c r="E66" s="74"/>
      <c r="F66" s="73"/>
      <c r="G66" s="77"/>
      <c r="H66" s="79"/>
      <c r="I66" s="79"/>
      <c r="J66" s="80"/>
    </row>
    <row r="67" spans="5:10">
      <c r="E67" s="72"/>
      <c r="F67" s="73"/>
      <c r="G67" s="77"/>
      <c r="H67" s="79"/>
      <c r="I67" s="79"/>
      <c r="J67" s="80"/>
    </row>
    <row r="68" spans="5:10">
      <c r="E68" s="72"/>
      <c r="F68" s="73"/>
      <c r="G68" s="77"/>
      <c r="H68" s="79"/>
      <c r="I68" s="79"/>
      <c r="J68" s="80"/>
    </row>
    <row r="69" spans="5:10">
      <c r="E69" s="75"/>
      <c r="F69" s="73"/>
      <c r="G69" s="77"/>
      <c r="H69" s="79"/>
      <c r="I69" s="79"/>
      <c r="J69" s="80"/>
    </row>
    <row r="70" spans="5:10">
      <c r="E70" s="76"/>
      <c r="F70" s="73"/>
      <c r="G70" s="76"/>
      <c r="H70" s="78"/>
      <c r="I70" s="73"/>
      <c r="J70" s="73"/>
    </row>
    <row r="71" spans="5:10">
      <c r="G71"/>
      <c r="H71" s="71"/>
    </row>
    <row r="72" spans="5:10">
      <c r="G72"/>
    </row>
  </sheetData>
  <phoneticPr fontId="2" type="noConversion"/>
  <pageMargins left="0.25" right="0.25" top="0.25" bottom="0.25" header="0" footer="0"/>
  <pageSetup scale="64" orientation="landscape" r:id="rId1"/>
  <headerFooter alignWithMargins="0">
    <oddFooter>&amp;R&amp;D  &amp;Z&amp;F</oddFooter>
  </headerFooter>
  <colBreaks count="2" manualBreakCount="2">
    <brk id="15" max="1048575" man="1"/>
    <brk id="2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>
  <dimension ref="A1:P60"/>
  <sheetViews>
    <sheetView workbookViewId="0">
      <pane xSplit="2" ySplit="3" topLeftCell="I46" activePane="bottomRight" state="frozen"/>
      <selection pane="topRight" activeCell="C1" sqref="C1"/>
      <selection pane="bottomLeft" activeCell="A4" sqref="A4"/>
      <selection pane="bottomRight" activeCell="P46" sqref="P46"/>
    </sheetView>
  </sheetViews>
  <sheetFormatPr defaultRowHeight="12.75"/>
  <cols>
    <col min="1" max="1" width="41.7109375" customWidth="1"/>
    <col min="2" max="2" width="12.5703125" bestFit="1" customWidth="1"/>
    <col min="3" max="14" width="9.7109375" style="3" bestFit="1" customWidth="1"/>
    <col min="15" max="15" width="11.7109375" style="17" customWidth="1"/>
    <col min="16" max="16" width="12.5703125" customWidth="1"/>
  </cols>
  <sheetData>
    <row r="1" spans="1:15">
      <c r="A1" s="11" t="s">
        <v>39</v>
      </c>
    </row>
    <row r="2" spans="1:15">
      <c r="B2" s="1"/>
      <c r="C2" s="2" t="s">
        <v>41</v>
      </c>
    </row>
    <row r="3" spans="1:15">
      <c r="B3" s="1"/>
      <c r="C3" s="2" t="s">
        <v>0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5</v>
      </c>
      <c r="I3" s="2" t="s">
        <v>6</v>
      </c>
      <c r="J3" s="2" t="s">
        <v>7</v>
      </c>
      <c r="K3" s="2" t="s">
        <v>8</v>
      </c>
      <c r="L3" s="2" t="s">
        <v>9</v>
      </c>
      <c r="M3" s="2" t="s">
        <v>10</v>
      </c>
      <c r="N3" s="2" t="s">
        <v>11</v>
      </c>
      <c r="O3" s="30" t="s">
        <v>42</v>
      </c>
    </row>
    <row r="4" spans="1:15">
      <c r="A4" s="1" t="s">
        <v>45</v>
      </c>
      <c r="B4" s="1" t="s">
        <v>12</v>
      </c>
      <c r="C4" s="3">
        <v>1345130</v>
      </c>
      <c r="D4" s="3">
        <v>1471821</v>
      </c>
      <c r="E4" s="3">
        <v>1346264</v>
      </c>
      <c r="F4" s="3">
        <v>1200818</v>
      </c>
      <c r="G4" s="3">
        <v>1728087</v>
      </c>
      <c r="H4" s="3">
        <v>1336101</v>
      </c>
      <c r="I4" s="3">
        <v>1408275</v>
      </c>
      <c r="J4" s="3">
        <v>1720179</v>
      </c>
      <c r="K4" s="3">
        <v>1431618</v>
      </c>
      <c r="L4" s="3">
        <v>1436689</v>
      </c>
      <c r="M4" s="3">
        <v>1701222</v>
      </c>
      <c r="N4" s="3">
        <v>1472273</v>
      </c>
      <c r="O4" s="17">
        <v>17598477</v>
      </c>
    </row>
    <row r="5" spans="1:15">
      <c r="A5" s="1" t="s">
        <v>46</v>
      </c>
      <c r="B5" s="1" t="s">
        <v>12</v>
      </c>
      <c r="C5" s="3">
        <v>568180.11218693934</v>
      </c>
      <c r="D5" s="3">
        <v>724518.11218693934</v>
      </c>
      <c r="E5" s="3">
        <v>557520.11218693934</v>
      </c>
      <c r="F5" s="3">
        <v>477505.0717185369</v>
      </c>
      <c r="G5" s="3">
        <v>697911.0717185369</v>
      </c>
      <c r="H5" s="3">
        <v>477342.0717185369</v>
      </c>
      <c r="I5" s="3">
        <v>516738.48240418348</v>
      </c>
      <c r="J5" s="3">
        <v>690798.48240418348</v>
      </c>
      <c r="K5" s="3">
        <v>520504.48240418348</v>
      </c>
      <c r="L5" s="3">
        <v>537789.10838598432</v>
      </c>
      <c r="M5" s="3">
        <v>689765.10838598432</v>
      </c>
      <c r="N5" s="3">
        <v>565202.10838598432</v>
      </c>
      <c r="O5" s="17">
        <v>7023774.3240869325</v>
      </c>
    </row>
    <row r="6" spans="1:15">
      <c r="A6" s="1" t="s">
        <v>47</v>
      </c>
      <c r="B6" s="1" t="s">
        <v>12</v>
      </c>
      <c r="C6" s="3">
        <v>817000</v>
      </c>
      <c r="D6" s="3">
        <v>903185</v>
      </c>
      <c r="E6" s="3">
        <v>791936</v>
      </c>
      <c r="F6" s="3">
        <v>724054</v>
      </c>
      <c r="G6" s="3">
        <v>1015560</v>
      </c>
      <c r="H6" s="3">
        <v>783302</v>
      </c>
      <c r="I6" s="3">
        <v>826298</v>
      </c>
      <c r="J6" s="3">
        <v>1027937</v>
      </c>
      <c r="K6" s="3">
        <v>839548</v>
      </c>
      <c r="L6" s="3">
        <v>842285</v>
      </c>
      <c r="M6" s="3">
        <v>995584</v>
      </c>
      <c r="N6" s="3">
        <v>860878</v>
      </c>
      <c r="O6" s="17">
        <v>10427567</v>
      </c>
    </row>
    <row r="7" spans="1:15">
      <c r="A7" s="1" t="s">
        <v>48</v>
      </c>
      <c r="B7" s="1" t="s">
        <v>12</v>
      </c>
      <c r="C7" s="3">
        <v>147710</v>
      </c>
      <c r="D7" s="3">
        <v>157485</v>
      </c>
      <c r="E7" s="3">
        <v>139903</v>
      </c>
      <c r="F7" s="3">
        <v>120838</v>
      </c>
      <c r="G7" s="3">
        <v>174345</v>
      </c>
      <c r="H7" s="3">
        <v>135215</v>
      </c>
      <c r="I7" s="3">
        <v>141377</v>
      </c>
      <c r="J7" s="3">
        <v>169676</v>
      </c>
      <c r="K7" s="3">
        <v>141415</v>
      </c>
      <c r="L7" s="3">
        <v>140762</v>
      </c>
      <c r="M7" s="3">
        <v>163700</v>
      </c>
      <c r="N7" s="3">
        <v>141123</v>
      </c>
      <c r="O7" s="17">
        <v>1773549</v>
      </c>
    </row>
    <row r="8" spans="1:15">
      <c r="A8" s="1" t="s">
        <v>49</v>
      </c>
      <c r="B8" s="1" t="s">
        <v>12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17">
        <v>0</v>
      </c>
    </row>
    <row r="9" spans="1:15">
      <c r="A9" s="1" t="s">
        <v>50</v>
      </c>
      <c r="B9" s="1" t="s">
        <v>12</v>
      </c>
      <c r="C9" s="3">
        <v>129558</v>
      </c>
      <c r="D9" s="3">
        <v>171034</v>
      </c>
      <c r="E9" s="3">
        <v>130265</v>
      </c>
      <c r="F9" s="3">
        <v>131991</v>
      </c>
      <c r="G9" s="3">
        <v>180135</v>
      </c>
      <c r="H9" s="3">
        <v>128773</v>
      </c>
      <c r="I9" s="3">
        <v>135659</v>
      </c>
      <c r="J9" s="3">
        <v>177744</v>
      </c>
      <c r="K9" s="3">
        <v>137777</v>
      </c>
      <c r="L9" s="3">
        <v>138205</v>
      </c>
      <c r="M9" s="3">
        <v>176268</v>
      </c>
      <c r="N9" s="3">
        <v>147382</v>
      </c>
      <c r="O9" s="17">
        <v>1784791</v>
      </c>
    </row>
    <row r="10" spans="1:15">
      <c r="A10" s="1" t="s">
        <v>51</v>
      </c>
      <c r="B10" s="1" t="s">
        <v>12</v>
      </c>
      <c r="C10" s="3">
        <v>66453.709354102612</v>
      </c>
      <c r="D10" s="3">
        <v>94070.588392802252</v>
      </c>
      <c r="E10" s="3">
        <v>253332.41160719775</v>
      </c>
      <c r="F10" s="3">
        <v>152406</v>
      </c>
      <c r="G10" s="3">
        <v>208176</v>
      </c>
      <c r="H10" s="3">
        <v>148950</v>
      </c>
      <c r="I10" s="3">
        <v>157051</v>
      </c>
      <c r="J10" s="3">
        <v>205966</v>
      </c>
      <c r="K10" s="3">
        <v>159794</v>
      </c>
      <c r="L10" s="3">
        <v>160438</v>
      </c>
      <c r="M10" s="3">
        <v>204801</v>
      </c>
      <c r="N10" s="3">
        <v>171401</v>
      </c>
      <c r="O10" s="17">
        <v>1982839.7093541026</v>
      </c>
    </row>
    <row r="11" spans="1:15">
      <c r="A11" s="1" t="s">
        <v>52</v>
      </c>
      <c r="B11" s="1" t="s">
        <v>12</v>
      </c>
      <c r="C11" s="3">
        <v>386382</v>
      </c>
      <c r="D11" s="3">
        <v>503539</v>
      </c>
      <c r="E11" s="3">
        <v>380155</v>
      </c>
      <c r="F11" s="3">
        <v>380399</v>
      </c>
      <c r="G11" s="3">
        <v>514297</v>
      </c>
      <c r="H11" s="3">
        <v>364256</v>
      </c>
      <c r="I11" s="3">
        <v>379759</v>
      </c>
      <c r="J11" s="3">
        <v>491787</v>
      </c>
      <c r="K11" s="3">
        <v>377625</v>
      </c>
      <c r="L11" s="3">
        <v>374752</v>
      </c>
      <c r="M11" s="3">
        <v>472544</v>
      </c>
      <c r="N11" s="3">
        <v>391042</v>
      </c>
      <c r="O11" s="17">
        <v>5016537</v>
      </c>
    </row>
    <row r="12" spans="1:15">
      <c r="A12" s="1" t="s">
        <v>53</v>
      </c>
      <c r="B12" s="1" t="s">
        <v>12</v>
      </c>
      <c r="C12" s="3">
        <v>87117</v>
      </c>
      <c r="D12" s="3">
        <v>93644</v>
      </c>
      <c r="E12" s="3">
        <v>80868</v>
      </c>
      <c r="F12" s="3">
        <v>71566</v>
      </c>
      <c r="G12" s="3">
        <v>100949</v>
      </c>
      <c r="H12" s="3">
        <v>77147</v>
      </c>
      <c r="I12" s="3">
        <v>80078</v>
      </c>
      <c r="J12" s="3">
        <v>95666</v>
      </c>
      <c r="K12" s="3">
        <v>75598</v>
      </c>
      <c r="L12" s="3">
        <v>78061</v>
      </c>
      <c r="M12" s="3">
        <v>91650</v>
      </c>
      <c r="N12" s="3">
        <v>76961</v>
      </c>
      <c r="O12" s="17">
        <v>1009305</v>
      </c>
    </row>
    <row r="13" spans="1:15">
      <c r="A13" s="1" t="s">
        <v>54</v>
      </c>
      <c r="B13" s="1" t="s">
        <v>12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17">
        <v>0</v>
      </c>
    </row>
    <row r="14" spans="1:15">
      <c r="A14" s="1" t="s">
        <v>69</v>
      </c>
      <c r="B14" s="1" t="s">
        <v>12</v>
      </c>
      <c r="C14" s="3">
        <v>0</v>
      </c>
      <c r="D14" s="3">
        <v>31802</v>
      </c>
      <c r="E14" s="3">
        <v>14095</v>
      </c>
      <c r="F14" s="3">
        <v>13762</v>
      </c>
      <c r="G14" s="3">
        <v>19153</v>
      </c>
      <c r="H14" s="3">
        <v>13618</v>
      </c>
      <c r="I14" s="3">
        <v>14238</v>
      </c>
      <c r="J14" s="3">
        <v>18507</v>
      </c>
      <c r="K14" s="3">
        <v>14238</v>
      </c>
      <c r="L14" s="3">
        <v>14170</v>
      </c>
      <c r="M14" s="3">
        <v>17935</v>
      </c>
      <c r="N14" s="3">
        <v>14878</v>
      </c>
      <c r="O14" s="17">
        <v>186396</v>
      </c>
    </row>
    <row r="15" spans="1:15">
      <c r="A15" s="1" t="s">
        <v>70</v>
      </c>
      <c r="B15" s="1" t="s">
        <v>12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114361</v>
      </c>
      <c r="J15" s="3">
        <v>148669</v>
      </c>
      <c r="K15" s="3">
        <v>114361</v>
      </c>
      <c r="L15" s="3">
        <v>113817</v>
      </c>
      <c r="M15" s="3">
        <v>144066</v>
      </c>
      <c r="N15" s="3">
        <v>119508</v>
      </c>
      <c r="O15" s="17">
        <v>754782</v>
      </c>
    </row>
    <row r="16" spans="1:15">
      <c r="A16" s="1" t="s">
        <v>55</v>
      </c>
      <c r="B16" s="1" t="s">
        <v>12</v>
      </c>
      <c r="C16" s="3">
        <v>117208</v>
      </c>
      <c r="D16" s="3">
        <v>138847</v>
      </c>
      <c r="E16" s="3">
        <v>113381</v>
      </c>
      <c r="F16" s="3">
        <v>106042</v>
      </c>
      <c r="G16" s="3">
        <v>148691</v>
      </c>
      <c r="H16" s="3">
        <v>110553</v>
      </c>
      <c r="I16" s="3">
        <v>116137</v>
      </c>
      <c r="J16" s="3">
        <v>145641</v>
      </c>
      <c r="K16" s="3">
        <v>116331</v>
      </c>
      <c r="L16" s="3">
        <v>71357</v>
      </c>
      <c r="M16" s="3">
        <v>88334</v>
      </c>
      <c r="N16" s="3">
        <v>74125</v>
      </c>
      <c r="O16" s="17">
        <v>1346647</v>
      </c>
    </row>
    <row r="17" spans="1:16">
      <c r="A17" s="1" t="s">
        <v>56</v>
      </c>
      <c r="B17" s="1" t="s">
        <v>12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17">
        <v>0</v>
      </c>
    </row>
    <row r="18" spans="1:16">
      <c r="A18" s="1" t="s">
        <v>34</v>
      </c>
      <c r="B18" s="1" t="s">
        <v>12</v>
      </c>
      <c r="C18" s="3">
        <v>7164</v>
      </c>
      <c r="D18" s="3">
        <v>9110</v>
      </c>
      <c r="E18" s="3">
        <v>6610</v>
      </c>
      <c r="F18" s="3">
        <v>6314</v>
      </c>
      <c r="G18" s="3">
        <v>9373</v>
      </c>
      <c r="H18" s="3">
        <v>6418</v>
      </c>
      <c r="I18" s="3">
        <v>6557</v>
      </c>
      <c r="J18" s="3">
        <v>5401</v>
      </c>
      <c r="K18" s="3">
        <v>3933</v>
      </c>
      <c r="L18" s="3">
        <v>3698</v>
      </c>
      <c r="M18" s="3">
        <v>4825</v>
      </c>
      <c r="N18" s="3">
        <v>3997</v>
      </c>
      <c r="O18" s="17">
        <v>73400</v>
      </c>
    </row>
    <row r="19" spans="1:16">
      <c r="A19" s="1" t="s">
        <v>35</v>
      </c>
      <c r="B19" s="1" t="s">
        <v>12</v>
      </c>
      <c r="C19" s="3">
        <v>10906</v>
      </c>
      <c r="D19" s="3">
        <v>12689</v>
      </c>
      <c r="E19" s="3">
        <v>10333</v>
      </c>
      <c r="F19" s="3">
        <v>9922</v>
      </c>
      <c r="G19" s="3">
        <v>13643</v>
      </c>
      <c r="H19" s="3">
        <v>10880</v>
      </c>
      <c r="I19" s="3">
        <v>10906</v>
      </c>
      <c r="J19" s="3">
        <v>13146</v>
      </c>
      <c r="K19" s="3">
        <v>10906</v>
      </c>
      <c r="L19" s="3">
        <v>10389</v>
      </c>
      <c r="M19" s="3">
        <v>13690</v>
      </c>
      <c r="N19" s="3">
        <v>11395</v>
      </c>
      <c r="O19" s="17">
        <v>138805</v>
      </c>
    </row>
    <row r="20" spans="1:16">
      <c r="A20" s="1" t="s">
        <v>57</v>
      </c>
      <c r="B20" s="1" t="s">
        <v>12</v>
      </c>
      <c r="C20" s="3">
        <v>6916</v>
      </c>
      <c r="D20" s="3">
        <v>8038</v>
      </c>
      <c r="E20" s="3">
        <v>6429</v>
      </c>
      <c r="F20" s="3">
        <v>6108</v>
      </c>
      <c r="G20" s="3">
        <v>8285</v>
      </c>
      <c r="H20" s="3">
        <v>6476</v>
      </c>
      <c r="I20" s="3">
        <v>6380</v>
      </c>
      <c r="J20" s="3">
        <v>7645</v>
      </c>
      <c r="K20" s="3">
        <v>6219</v>
      </c>
      <c r="L20" s="3">
        <v>5837</v>
      </c>
      <c r="M20" s="3">
        <v>7565</v>
      </c>
      <c r="N20" s="3">
        <v>6210</v>
      </c>
      <c r="O20" s="17">
        <v>82108</v>
      </c>
    </row>
    <row r="21" spans="1:16">
      <c r="A21" s="1" t="s">
        <v>58</v>
      </c>
      <c r="B21" s="1" t="s">
        <v>12</v>
      </c>
      <c r="C21" s="3">
        <v>841</v>
      </c>
      <c r="D21" s="3">
        <v>784</v>
      </c>
      <c r="E21" s="3">
        <v>540</v>
      </c>
      <c r="F21" s="3">
        <v>466</v>
      </c>
      <c r="G21" s="3">
        <v>607</v>
      </c>
      <c r="H21" s="3">
        <v>465</v>
      </c>
      <c r="I21" s="3">
        <v>463</v>
      </c>
      <c r="J21" s="3">
        <v>559</v>
      </c>
      <c r="K21" s="3">
        <v>463</v>
      </c>
      <c r="L21" s="3">
        <v>440</v>
      </c>
      <c r="M21" s="3">
        <v>582</v>
      </c>
      <c r="N21" s="3">
        <v>485</v>
      </c>
      <c r="O21" s="17">
        <v>6695</v>
      </c>
    </row>
    <row r="22" spans="1:16">
      <c r="A22" s="1" t="s">
        <v>59</v>
      </c>
      <c r="B22" s="1" t="s">
        <v>12</v>
      </c>
      <c r="C22" s="3">
        <v>3191.2562996026936</v>
      </c>
      <c r="D22" s="3">
        <v>3718.788868814433</v>
      </c>
      <c r="E22" s="3">
        <v>5392.0916368878788</v>
      </c>
      <c r="F22" s="3">
        <v>7836.7785580222644</v>
      </c>
      <c r="G22" s="3">
        <v>10744.999237321155</v>
      </c>
      <c r="H22" s="3">
        <v>7937.0700170202508</v>
      </c>
      <c r="I22" s="3">
        <v>7865.3719781140735</v>
      </c>
      <c r="J22" s="3">
        <v>6517.9188522146505</v>
      </c>
      <c r="K22" s="3">
        <v>4944.7224305583395</v>
      </c>
      <c r="L22" s="3">
        <v>4081.1878020254931</v>
      </c>
      <c r="M22" s="3">
        <v>4781.7599764821925</v>
      </c>
      <c r="N22" s="3">
        <v>6600.7732776471394</v>
      </c>
      <c r="O22" s="17">
        <v>73612.718934710574</v>
      </c>
    </row>
    <row r="23" spans="1:16">
      <c r="A23" s="29" t="s">
        <v>78</v>
      </c>
      <c r="B23" s="1" t="s">
        <v>12</v>
      </c>
      <c r="C23" s="3">
        <v>0</v>
      </c>
      <c r="D23" s="3">
        <v>0</v>
      </c>
      <c r="E23" s="3">
        <v>0</v>
      </c>
      <c r="F23" s="3">
        <v>0</v>
      </c>
      <c r="G23" s="3">
        <v>50189</v>
      </c>
      <c r="H23" s="3">
        <v>1259</v>
      </c>
      <c r="I23" s="3">
        <v>3766</v>
      </c>
      <c r="J23" s="3">
        <v>8115</v>
      </c>
      <c r="K23" s="3">
        <v>8417</v>
      </c>
      <c r="L23" s="3">
        <v>11142</v>
      </c>
      <c r="M23" s="3">
        <v>17128</v>
      </c>
      <c r="N23" s="3">
        <v>16245</v>
      </c>
      <c r="O23" s="17">
        <v>116261</v>
      </c>
    </row>
    <row r="24" spans="1:16">
      <c r="A24" s="29" t="s">
        <v>79</v>
      </c>
      <c r="B24" s="1" t="s">
        <v>12</v>
      </c>
      <c r="C24" s="3">
        <v>0</v>
      </c>
      <c r="D24" s="3">
        <v>0</v>
      </c>
      <c r="E24" s="3">
        <v>0</v>
      </c>
      <c r="F24" s="3">
        <v>0</v>
      </c>
      <c r="G24" s="3">
        <v>28000</v>
      </c>
      <c r="H24" s="3">
        <v>0</v>
      </c>
      <c r="I24" s="3">
        <v>11341</v>
      </c>
      <c r="J24" s="3">
        <v>2240</v>
      </c>
      <c r="K24" s="3">
        <v>1349</v>
      </c>
      <c r="L24" s="3">
        <v>1813</v>
      </c>
      <c r="M24" s="3">
        <v>2866</v>
      </c>
      <c r="N24" s="3">
        <v>2884</v>
      </c>
      <c r="O24" s="17">
        <v>50493</v>
      </c>
    </row>
    <row r="25" spans="1:16">
      <c r="A25" s="1" t="s">
        <v>60</v>
      </c>
      <c r="B25" s="1" t="s">
        <v>12</v>
      </c>
      <c r="C25" s="3">
        <v>57913</v>
      </c>
      <c r="D25" s="3">
        <v>74173</v>
      </c>
      <c r="E25" s="3">
        <v>57804</v>
      </c>
      <c r="F25" s="3">
        <v>57638</v>
      </c>
      <c r="G25" s="3">
        <v>72394</v>
      </c>
      <c r="H25" s="3">
        <v>55848</v>
      </c>
      <c r="I25" s="3">
        <v>56242</v>
      </c>
      <c r="J25" s="3">
        <v>75421</v>
      </c>
      <c r="K25" s="3">
        <v>56702</v>
      </c>
      <c r="L25" s="3">
        <v>57785</v>
      </c>
      <c r="M25" s="3">
        <v>73330</v>
      </c>
      <c r="N25" s="3">
        <v>59251</v>
      </c>
      <c r="O25" s="17">
        <v>754501</v>
      </c>
    </row>
    <row r="26" spans="1:16">
      <c r="A26" s="1" t="s">
        <v>61</v>
      </c>
      <c r="B26" s="1" t="s">
        <v>12</v>
      </c>
      <c r="C26" s="3">
        <v>19000</v>
      </c>
      <c r="D26" s="3">
        <v>0</v>
      </c>
      <c r="E26" s="3">
        <v>0</v>
      </c>
      <c r="F26" s="3">
        <v>0</v>
      </c>
      <c r="G26" s="3">
        <v>0</v>
      </c>
      <c r="H26" s="3">
        <v>26000</v>
      </c>
      <c r="I26" s="3">
        <v>17200</v>
      </c>
      <c r="J26" s="3">
        <v>0</v>
      </c>
      <c r="K26" s="3">
        <v>800</v>
      </c>
      <c r="L26" s="3">
        <v>0</v>
      </c>
      <c r="M26" s="3">
        <v>0</v>
      </c>
      <c r="N26" s="3">
        <v>25400</v>
      </c>
      <c r="O26" s="17">
        <v>88400</v>
      </c>
    </row>
    <row r="27" spans="1:16" ht="13.5" thickBot="1">
      <c r="A27" s="1"/>
      <c r="B27" s="1"/>
      <c r="O27" s="21">
        <f>SUM(O4:O26)</f>
        <v>50288940.752375744</v>
      </c>
    </row>
    <row r="28" spans="1:16" ht="13.5" thickTop="1">
      <c r="A28" t="s">
        <v>80</v>
      </c>
      <c r="B28" s="1">
        <v>1.7</v>
      </c>
      <c r="C28" s="3" t="s">
        <v>81</v>
      </c>
    </row>
    <row r="29" spans="1:16">
      <c r="A29" s="16" t="s">
        <v>36</v>
      </c>
      <c r="B29" s="19">
        <f>0.09*1.07*1.052</f>
        <v>0.1013076</v>
      </c>
      <c r="C29" s="2" t="s">
        <v>63</v>
      </c>
    </row>
    <row r="30" spans="1:16">
      <c r="A30" s="16" t="s">
        <v>37</v>
      </c>
      <c r="B30" s="19">
        <f>3.45*1.07*1.052</f>
        <v>3.8834580000000005</v>
      </c>
      <c r="C30" s="2" t="s">
        <v>64</v>
      </c>
    </row>
    <row r="31" spans="1:16">
      <c r="A31" s="26" t="s">
        <v>75</v>
      </c>
      <c r="B31" s="27" t="s">
        <v>76</v>
      </c>
      <c r="C31" s="28" t="s">
        <v>77</v>
      </c>
      <c r="P31" s="15" t="s">
        <v>43</v>
      </c>
    </row>
    <row r="32" spans="1:16">
      <c r="B32" s="9"/>
      <c r="C32" s="2"/>
      <c r="O32" s="20" t="s">
        <v>40</v>
      </c>
      <c r="P32" s="14" t="s">
        <v>67</v>
      </c>
    </row>
    <row r="33" spans="1:16">
      <c r="A33" s="4" t="s">
        <v>15</v>
      </c>
      <c r="B33" t="s">
        <v>44</v>
      </c>
      <c r="C33" s="3">
        <f t="shared" ref="C33:M33" si="0">C4*$B$29</f>
        <v>136271.89198799999</v>
      </c>
      <c r="D33" s="3">
        <f t="shared" si="0"/>
        <v>149106.65313960001</v>
      </c>
      <c r="E33" s="3">
        <f t="shared" si="0"/>
        <v>136386.7748064</v>
      </c>
      <c r="F33" s="3">
        <f t="shared" si="0"/>
        <v>121651.9896168</v>
      </c>
      <c r="G33" s="3">
        <f t="shared" si="0"/>
        <v>175068.34656119999</v>
      </c>
      <c r="H33" s="3">
        <f t="shared" si="0"/>
        <v>135357.18566759999</v>
      </c>
      <c r="I33" s="3">
        <f t="shared" si="0"/>
        <v>142668.96038999999</v>
      </c>
      <c r="J33" s="3">
        <f t="shared" si="0"/>
        <v>174267.2060604</v>
      </c>
      <c r="K33" s="3">
        <f t="shared" si="0"/>
        <v>145033.7836968</v>
      </c>
      <c r="L33" s="3">
        <f t="shared" si="0"/>
        <v>145547.51453640001</v>
      </c>
      <c r="M33" s="3">
        <f t="shared" si="0"/>
        <v>172346.71788720001</v>
      </c>
      <c r="N33" s="3">
        <f>N4*$B$29-2372</f>
        <v>146780.44417480001</v>
      </c>
      <c r="O33" s="31">
        <f t="shared" ref="O33:O57" si="1">SUM(C33:N33)</f>
        <v>1780487.4685252002</v>
      </c>
      <c r="P33" s="17">
        <v>1604044.18</v>
      </c>
    </row>
    <row r="34" spans="1:16">
      <c r="A34" s="4" t="s">
        <v>16</v>
      </c>
      <c r="B34" t="s">
        <v>44</v>
      </c>
      <c r="C34" s="3">
        <f t="shared" ref="C34:M34" si="2">C5*$B$29</f>
        <v>57560.963533389571</v>
      </c>
      <c r="D34" s="3">
        <f t="shared" si="2"/>
        <v>73399.191102189579</v>
      </c>
      <c r="E34" s="3">
        <f t="shared" si="2"/>
        <v>56481.024517389575</v>
      </c>
      <c r="F34" s="3">
        <f t="shared" si="2"/>
        <v>48374.892803632851</v>
      </c>
      <c r="G34" s="3">
        <f t="shared" si="2"/>
        <v>70703.695689232845</v>
      </c>
      <c r="H34" s="3">
        <f t="shared" si="2"/>
        <v>48358.37966483285</v>
      </c>
      <c r="I34" s="3">
        <f t="shared" si="2"/>
        <v>52349.535480010054</v>
      </c>
      <c r="J34" s="3">
        <f t="shared" si="2"/>
        <v>69983.136336010051</v>
      </c>
      <c r="K34" s="3">
        <f t="shared" si="2"/>
        <v>52731.05990161006</v>
      </c>
      <c r="L34" s="3">
        <f t="shared" si="2"/>
        <v>54482.123876723941</v>
      </c>
      <c r="M34" s="3">
        <f t="shared" si="2"/>
        <v>69878.447694323942</v>
      </c>
      <c r="N34" s="3">
        <f t="shared" ref="N34:N42" si="3">N5*$B$29</f>
        <v>57259.269115523944</v>
      </c>
      <c r="O34" s="31">
        <f t="shared" si="1"/>
        <v>711561.71971486916</v>
      </c>
      <c r="P34" s="17">
        <v>939784.42</v>
      </c>
    </row>
    <row r="35" spans="1:16">
      <c r="A35" s="1" t="s">
        <v>17</v>
      </c>
      <c r="B35" t="s">
        <v>44</v>
      </c>
      <c r="C35" s="3">
        <f t="shared" ref="C35:M35" si="4">C6*$B$29</f>
        <v>82768.309200000003</v>
      </c>
      <c r="D35" s="3">
        <f t="shared" si="4"/>
        <v>91499.504705999992</v>
      </c>
      <c r="E35" s="3">
        <f t="shared" si="4"/>
        <v>80229.135513599991</v>
      </c>
      <c r="F35" s="3">
        <f t="shared" si="4"/>
        <v>73352.173010400002</v>
      </c>
      <c r="G35" s="3">
        <f t="shared" si="4"/>
        <v>102883.946256</v>
      </c>
      <c r="H35" s="3">
        <f t="shared" si="4"/>
        <v>79354.445695200004</v>
      </c>
      <c r="I35" s="3">
        <f t="shared" si="4"/>
        <v>83710.267264800001</v>
      </c>
      <c r="J35" s="3">
        <f t="shared" si="4"/>
        <v>104137.83042119999</v>
      </c>
      <c r="K35" s="3">
        <f t="shared" si="4"/>
        <v>85052.592964800002</v>
      </c>
      <c r="L35" s="3">
        <f t="shared" si="4"/>
        <v>85329.871866000001</v>
      </c>
      <c r="M35" s="3">
        <f t="shared" si="4"/>
        <v>100860.22563839999</v>
      </c>
      <c r="N35" s="3">
        <f t="shared" si="3"/>
        <v>87213.484072799998</v>
      </c>
      <c r="O35" s="31">
        <f t="shared" si="1"/>
        <v>1056391.7866091998</v>
      </c>
      <c r="P35" s="17">
        <v>1010573.67</v>
      </c>
    </row>
    <row r="36" spans="1:16">
      <c r="A36" s="4" t="s">
        <v>18</v>
      </c>
      <c r="B36" t="s">
        <v>44</v>
      </c>
      <c r="C36" s="3">
        <f t="shared" ref="C36:M36" si="5">C7*$B$29</f>
        <v>14964.145596</v>
      </c>
      <c r="D36" s="3">
        <f t="shared" si="5"/>
        <v>15954.427385999999</v>
      </c>
      <c r="E36" s="3">
        <f t="shared" si="5"/>
        <v>14173.2371628</v>
      </c>
      <c r="F36" s="3">
        <f t="shared" si="5"/>
        <v>12241.807768799999</v>
      </c>
      <c r="G36" s="3">
        <f t="shared" si="5"/>
        <v>17662.473522</v>
      </c>
      <c r="H36" s="3">
        <f t="shared" si="5"/>
        <v>13698.307134000001</v>
      </c>
      <c r="I36" s="3">
        <f t="shared" si="5"/>
        <v>14322.5645652</v>
      </c>
      <c r="J36" s="3">
        <f t="shared" si="5"/>
        <v>17189.468337599999</v>
      </c>
      <c r="K36" s="3">
        <f t="shared" si="5"/>
        <v>14326.414253999999</v>
      </c>
      <c r="L36" s="3">
        <f t="shared" si="5"/>
        <v>14260.2603912</v>
      </c>
      <c r="M36" s="3">
        <f t="shared" si="5"/>
        <v>16584.054120000001</v>
      </c>
      <c r="N36" s="3">
        <f t="shared" si="3"/>
        <v>14296.832434800001</v>
      </c>
      <c r="O36" s="31">
        <f t="shared" si="1"/>
        <v>179673.99267239997</v>
      </c>
      <c r="P36" s="17">
        <v>173266.69</v>
      </c>
    </row>
    <row r="37" spans="1:16">
      <c r="A37" s="8" t="s">
        <v>19</v>
      </c>
      <c r="B37" t="s">
        <v>44</v>
      </c>
      <c r="C37" s="3">
        <f t="shared" ref="C37:M37" si="6">C8*$B$29</f>
        <v>0</v>
      </c>
      <c r="D37" s="3">
        <f t="shared" si="6"/>
        <v>0</v>
      </c>
      <c r="E37" s="3">
        <f t="shared" si="6"/>
        <v>0</v>
      </c>
      <c r="F37" s="3">
        <f t="shared" si="6"/>
        <v>0</v>
      </c>
      <c r="G37" s="3">
        <f t="shared" si="6"/>
        <v>0</v>
      </c>
      <c r="H37" s="3">
        <f t="shared" si="6"/>
        <v>0</v>
      </c>
      <c r="I37" s="3">
        <f t="shared" si="6"/>
        <v>0</v>
      </c>
      <c r="J37" s="3">
        <f t="shared" si="6"/>
        <v>0</v>
      </c>
      <c r="K37" s="3">
        <f t="shared" si="6"/>
        <v>0</v>
      </c>
      <c r="L37" s="3">
        <f t="shared" si="6"/>
        <v>0</v>
      </c>
      <c r="M37" s="3">
        <f t="shared" si="6"/>
        <v>0</v>
      </c>
      <c r="N37" s="3">
        <f t="shared" si="3"/>
        <v>0</v>
      </c>
      <c r="O37" s="31">
        <f t="shared" si="1"/>
        <v>0</v>
      </c>
      <c r="P37" s="17">
        <v>118511</v>
      </c>
    </row>
    <row r="38" spans="1:16">
      <c r="A38" s="1" t="s">
        <v>20</v>
      </c>
      <c r="B38" t="s">
        <v>44</v>
      </c>
      <c r="C38" s="3">
        <f t="shared" ref="C38:M38" si="7">C9*$B$29</f>
        <v>13125.210040800001</v>
      </c>
      <c r="D38" s="3">
        <f t="shared" si="7"/>
        <v>17327.044058399999</v>
      </c>
      <c r="E38" s="3">
        <f t="shared" si="7"/>
        <v>13196.834514</v>
      </c>
      <c r="F38" s="3">
        <f t="shared" si="7"/>
        <v>13371.6914316</v>
      </c>
      <c r="G38" s="3">
        <f t="shared" si="7"/>
        <v>18249.044525999998</v>
      </c>
      <c r="H38" s="3">
        <f t="shared" si="7"/>
        <v>13045.683574799999</v>
      </c>
      <c r="I38" s="3">
        <f t="shared" si="7"/>
        <v>13743.287708399999</v>
      </c>
      <c r="J38" s="3">
        <f t="shared" si="7"/>
        <v>18006.818054399999</v>
      </c>
      <c r="K38" s="3">
        <f t="shared" si="7"/>
        <v>13957.8572052</v>
      </c>
      <c r="L38" s="3">
        <f t="shared" si="7"/>
        <v>14001.216858</v>
      </c>
      <c r="M38" s="3">
        <f t="shared" si="7"/>
        <v>17857.288036800001</v>
      </c>
      <c r="N38" s="3">
        <f t="shared" si="3"/>
        <v>14930.9167032</v>
      </c>
      <c r="O38" s="31">
        <f t="shared" si="1"/>
        <v>180812.8927116</v>
      </c>
      <c r="P38" s="17">
        <v>172797.05</v>
      </c>
    </row>
    <row r="39" spans="1:16">
      <c r="A39" s="1" t="s">
        <v>21</v>
      </c>
      <c r="B39" t="s">
        <v>44</v>
      </c>
      <c r="C39" s="3">
        <f t="shared" ref="C39:M39" si="8">C10*$B$29</f>
        <v>6732.2658057616854</v>
      </c>
      <c r="D39" s="3">
        <f t="shared" si="8"/>
        <v>9530.0655406626538</v>
      </c>
      <c r="E39" s="3">
        <f t="shared" si="8"/>
        <v>25664.498622137347</v>
      </c>
      <c r="F39" s="3">
        <f t="shared" si="8"/>
        <v>15439.886085599999</v>
      </c>
      <c r="G39" s="3">
        <f t="shared" si="8"/>
        <v>21089.810937599999</v>
      </c>
      <c r="H39" s="3">
        <f t="shared" si="8"/>
        <v>15089.767019999999</v>
      </c>
      <c r="I39" s="3">
        <f t="shared" si="8"/>
        <v>15910.4598876</v>
      </c>
      <c r="J39" s="3">
        <f t="shared" si="8"/>
        <v>20865.9211416</v>
      </c>
      <c r="K39" s="3">
        <f t="shared" si="8"/>
        <v>16188.346634399999</v>
      </c>
      <c r="L39" s="3">
        <f t="shared" si="8"/>
        <v>16253.588728799999</v>
      </c>
      <c r="M39" s="3">
        <f t="shared" si="8"/>
        <v>20747.897787599999</v>
      </c>
      <c r="N39" s="3">
        <f t="shared" si="3"/>
        <v>17364.2239476</v>
      </c>
      <c r="O39" s="31">
        <f t="shared" si="1"/>
        <v>200876.7321393617</v>
      </c>
      <c r="P39" s="17">
        <v>191280.17471066822</v>
      </c>
    </row>
    <row r="40" spans="1:16">
      <c r="A40" s="1" t="s">
        <v>22</v>
      </c>
      <c r="B40" t="s">
        <v>44</v>
      </c>
      <c r="C40" s="3">
        <f t="shared" ref="C40:M40" si="9">C11*$B$29</f>
        <v>39143.433103199997</v>
      </c>
      <c r="D40" s="3">
        <f t="shared" si="9"/>
        <v>51012.327596399999</v>
      </c>
      <c r="E40" s="3">
        <f t="shared" si="9"/>
        <v>38512.590678</v>
      </c>
      <c r="F40" s="3">
        <f t="shared" si="9"/>
        <v>38537.309732399997</v>
      </c>
      <c r="G40" s="3">
        <f t="shared" si="9"/>
        <v>52102.194757199999</v>
      </c>
      <c r="H40" s="3">
        <f t="shared" si="9"/>
        <v>36901.901145600001</v>
      </c>
      <c r="I40" s="3">
        <f t="shared" si="9"/>
        <v>38472.4728684</v>
      </c>
      <c r="J40" s="3">
        <f t="shared" si="9"/>
        <v>49821.760681200001</v>
      </c>
      <c r="K40" s="3">
        <f t="shared" si="9"/>
        <v>38256.282449999999</v>
      </c>
      <c r="L40" s="3">
        <f t="shared" si="9"/>
        <v>37965.225715200002</v>
      </c>
      <c r="M40" s="3">
        <f t="shared" si="9"/>
        <v>47872.298534399997</v>
      </c>
      <c r="N40" s="3">
        <f t="shared" si="3"/>
        <v>39615.526519200001</v>
      </c>
      <c r="O40" s="31">
        <f t="shared" si="1"/>
        <v>508213.32378119999</v>
      </c>
      <c r="P40" s="17">
        <v>510997.11</v>
      </c>
    </row>
    <row r="41" spans="1:16">
      <c r="A41" s="1" t="s">
        <v>23</v>
      </c>
      <c r="B41" t="s">
        <v>44</v>
      </c>
      <c r="C41" s="3">
        <f t="shared" ref="C41:M41" si="10">C12*$B$29</f>
        <v>8825.6141891999996</v>
      </c>
      <c r="D41" s="3">
        <f t="shared" si="10"/>
        <v>9486.8488944000001</v>
      </c>
      <c r="E41" s="3">
        <f t="shared" si="10"/>
        <v>8192.5429967999989</v>
      </c>
      <c r="F41" s="3">
        <f t="shared" si="10"/>
        <v>7250.1797016</v>
      </c>
      <c r="G41" s="3">
        <f t="shared" si="10"/>
        <v>10226.9009124</v>
      </c>
      <c r="H41" s="3">
        <f t="shared" si="10"/>
        <v>7815.5774172000001</v>
      </c>
      <c r="I41" s="3">
        <f t="shared" si="10"/>
        <v>8112.5099928</v>
      </c>
      <c r="J41" s="3">
        <f t="shared" si="10"/>
        <v>9691.6928616000005</v>
      </c>
      <c r="K41" s="3">
        <f t="shared" si="10"/>
        <v>7658.6519447999999</v>
      </c>
      <c r="L41" s="3">
        <f t="shared" si="10"/>
        <v>7908.1725636000001</v>
      </c>
      <c r="M41" s="3">
        <f t="shared" si="10"/>
        <v>9284.8415399999994</v>
      </c>
      <c r="N41" s="3">
        <f t="shared" si="3"/>
        <v>7796.7342036</v>
      </c>
      <c r="O41" s="31">
        <f t="shared" si="1"/>
        <v>102250.26721800001</v>
      </c>
      <c r="P41" s="17">
        <v>103658.43</v>
      </c>
    </row>
    <row r="42" spans="1:16">
      <c r="A42" s="1" t="s">
        <v>24</v>
      </c>
      <c r="B42" t="s">
        <v>44</v>
      </c>
      <c r="C42" s="3">
        <f t="shared" ref="C42:M42" si="11">C13*$B$29</f>
        <v>0</v>
      </c>
      <c r="D42" s="3">
        <f t="shared" si="11"/>
        <v>0</v>
      </c>
      <c r="E42" s="3">
        <f t="shared" si="11"/>
        <v>0</v>
      </c>
      <c r="F42" s="3">
        <f t="shared" si="11"/>
        <v>0</v>
      </c>
      <c r="G42" s="3">
        <f t="shared" si="11"/>
        <v>0</v>
      </c>
      <c r="H42" s="3">
        <f t="shared" si="11"/>
        <v>0</v>
      </c>
      <c r="I42" s="3">
        <f t="shared" si="11"/>
        <v>0</v>
      </c>
      <c r="J42" s="3">
        <f t="shared" si="11"/>
        <v>0</v>
      </c>
      <c r="K42" s="3">
        <f t="shared" si="11"/>
        <v>0</v>
      </c>
      <c r="L42" s="3">
        <f t="shared" si="11"/>
        <v>0</v>
      </c>
      <c r="M42" s="3">
        <f t="shared" si="11"/>
        <v>0</v>
      </c>
      <c r="N42" s="3">
        <f t="shared" si="3"/>
        <v>0</v>
      </c>
      <c r="O42" s="31">
        <f t="shared" si="1"/>
        <v>0</v>
      </c>
      <c r="P42" s="17">
        <v>51178.92</v>
      </c>
    </row>
    <row r="43" spans="1:16">
      <c r="A43" s="1" t="s">
        <v>71</v>
      </c>
      <c r="B43" t="s">
        <v>44</v>
      </c>
      <c r="C43" s="25">
        <v>0</v>
      </c>
      <c r="D43" s="25">
        <f>44323*0.5</f>
        <v>22161.5</v>
      </c>
      <c r="E43" s="25">
        <f>31586*0.5</f>
        <v>15793</v>
      </c>
      <c r="F43" s="25">
        <f>32279*0.5</f>
        <v>16139.5</v>
      </c>
      <c r="G43" s="25">
        <f>32092*0.5</f>
        <v>16046</v>
      </c>
      <c r="H43" s="25">
        <f>31905*0.5</f>
        <v>15952.5</v>
      </c>
      <c r="I43" s="25">
        <f>31720*0.5</f>
        <v>15860</v>
      </c>
      <c r="J43" s="25">
        <f>31535*0.5</f>
        <v>15767.5</v>
      </c>
      <c r="K43" s="25">
        <f>31157*0.5</f>
        <v>15578.5</v>
      </c>
      <c r="L43" s="25">
        <f>31024*0.5</f>
        <v>15512</v>
      </c>
      <c r="M43" s="25">
        <f>30891*0.5</f>
        <v>15445.5</v>
      </c>
      <c r="N43" s="25">
        <f>30759*0.5</f>
        <v>15379.5</v>
      </c>
      <c r="O43" s="31">
        <f t="shared" si="1"/>
        <v>179635.5</v>
      </c>
      <c r="P43" s="17">
        <v>0</v>
      </c>
    </row>
    <row r="44" spans="1:16">
      <c r="A44" s="1" t="s">
        <v>72</v>
      </c>
      <c r="B44" t="s">
        <v>44</v>
      </c>
      <c r="C44" s="25">
        <v>0</v>
      </c>
      <c r="D44" s="25">
        <v>0</v>
      </c>
      <c r="E44" s="25">
        <v>0</v>
      </c>
      <c r="F44" s="25">
        <v>0</v>
      </c>
      <c r="G44" s="25">
        <v>0</v>
      </c>
      <c r="H44" s="25">
        <v>0</v>
      </c>
      <c r="I44" s="25">
        <f t="shared" ref="I44:N44" si="12">36813*0.5</f>
        <v>18406.5</v>
      </c>
      <c r="J44" s="25">
        <f t="shared" si="12"/>
        <v>18406.5</v>
      </c>
      <c r="K44" s="25">
        <f t="shared" si="12"/>
        <v>18406.5</v>
      </c>
      <c r="L44" s="25">
        <f t="shared" si="12"/>
        <v>18406.5</v>
      </c>
      <c r="M44" s="25">
        <f t="shared" si="12"/>
        <v>18406.5</v>
      </c>
      <c r="N44" s="25">
        <f t="shared" si="12"/>
        <v>18406.5</v>
      </c>
      <c r="O44" s="31">
        <f t="shared" si="1"/>
        <v>110439</v>
      </c>
      <c r="P44" s="17">
        <v>0</v>
      </c>
    </row>
    <row r="45" spans="1:16">
      <c r="A45" s="4" t="s">
        <v>25</v>
      </c>
      <c r="B45" t="s">
        <v>44</v>
      </c>
      <c r="C45" s="3">
        <f t="shared" ref="C45:N45" si="13">C16*$B$29</f>
        <v>11874.061180799999</v>
      </c>
      <c r="D45" s="3">
        <f t="shared" si="13"/>
        <v>14066.2563372</v>
      </c>
      <c r="E45" s="3">
        <f t="shared" si="13"/>
        <v>11486.356995599999</v>
      </c>
      <c r="F45" s="3">
        <f t="shared" si="13"/>
        <v>10742.8605192</v>
      </c>
      <c r="G45" s="3">
        <f t="shared" si="13"/>
        <v>15063.5283516</v>
      </c>
      <c r="H45" s="3">
        <f t="shared" si="13"/>
        <v>11199.859102799999</v>
      </c>
      <c r="I45" s="3">
        <f t="shared" si="13"/>
        <v>11765.560741199999</v>
      </c>
      <c r="J45" s="3">
        <f t="shared" si="13"/>
        <v>14754.5401716</v>
      </c>
      <c r="K45" s="3">
        <f t="shared" si="13"/>
        <v>11785.214415599999</v>
      </c>
      <c r="L45" s="3">
        <f t="shared" si="13"/>
        <v>7229.0064131999998</v>
      </c>
      <c r="M45" s="3">
        <f t="shared" si="13"/>
        <v>8948.9055384000003</v>
      </c>
      <c r="N45" s="3">
        <f t="shared" si="13"/>
        <v>7509.4258499999996</v>
      </c>
      <c r="O45" s="31">
        <f t="shared" si="1"/>
        <v>136425.5756172</v>
      </c>
      <c r="P45" s="17">
        <v>231446.72</v>
      </c>
    </row>
    <row r="46" spans="1:16">
      <c r="A46" s="1" t="s">
        <v>26</v>
      </c>
      <c r="B46" t="s">
        <v>44</v>
      </c>
      <c r="C46" s="3">
        <f t="shared" ref="C46:N46" si="14">C17*$B$29</f>
        <v>0</v>
      </c>
      <c r="D46" s="3">
        <f t="shared" si="14"/>
        <v>0</v>
      </c>
      <c r="E46" s="3">
        <f t="shared" si="14"/>
        <v>0</v>
      </c>
      <c r="F46" s="3">
        <f t="shared" si="14"/>
        <v>0</v>
      </c>
      <c r="G46" s="3">
        <f t="shared" si="14"/>
        <v>0</v>
      </c>
      <c r="H46" s="3">
        <f t="shared" si="14"/>
        <v>0</v>
      </c>
      <c r="I46" s="3">
        <f t="shared" si="14"/>
        <v>0</v>
      </c>
      <c r="J46" s="3">
        <f t="shared" si="14"/>
        <v>0</v>
      </c>
      <c r="K46" s="3">
        <f t="shared" si="14"/>
        <v>0</v>
      </c>
      <c r="L46" s="3">
        <f t="shared" si="14"/>
        <v>0</v>
      </c>
      <c r="M46" s="3">
        <f t="shared" si="14"/>
        <v>0</v>
      </c>
      <c r="N46" s="3">
        <f t="shared" si="14"/>
        <v>0</v>
      </c>
      <c r="O46" s="31">
        <f t="shared" si="1"/>
        <v>0</v>
      </c>
      <c r="P46" s="17">
        <v>59307.39</v>
      </c>
    </row>
    <row r="47" spans="1:16">
      <c r="A47" s="1" t="s">
        <v>27</v>
      </c>
      <c r="B47" t="s">
        <v>44</v>
      </c>
      <c r="C47" s="3">
        <f t="shared" ref="C47:N47" si="15">C18*$B$29</f>
        <v>725.76764639999999</v>
      </c>
      <c r="D47" s="3">
        <f t="shared" si="15"/>
        <v>922.91223600000001</v>
      </c>
      <c r="E47" s="3">
        <f t="shared" si="15"/>
        <v>669.643236</v>
      </c>
      <c r="F47" s="3">
        <f t="shared" si="15"/>
        <v>639.65618640000002</v>
      </c>
      <c r="G47" s="3">
        <f t="shared" si="15"/>
        <v>949.5561348</v>
      </c>
      <c r="H47" s="3">
        <f t="shared" si="15"/>
        <v>650.19217679999997</v>
      </c>
      <c r="I47" s="3">
        <f t="shared" si="15"/>
        <v>664.27393319999999</v>
      </c>
      <c r="J47" s="3">
        <f t="shared" si="15"/>
        <v>547.16234759999998</v>
      </c>
      <c r="K47" s="3">
        <f t="shared" si="15"/>
        <v>398.44279080000001</v>
      </c>
      <c r="L47" s="3">
        <f t="shared" si="15"/>
        <v>374.63550479999998</v>
      </c>
      <c r="M47" s="3">
        <f t="shared" si="15"/>
        <v>488.80916999999999</v>
      </c>
      <c r="N47" s="3">
        <f t="shared" si="15"/>
        <v>404.92647719999997</v>
      </c>
      <c r="O47" s="31">
        <f t="shared" si="1"/>
        <v>7435.9778399999987</v>
      </c>
      <c r="P47" s="17">
        <v>14092.33</v>
      </c>
    </row>
    <row r="48" spans="1:16">
      <c r="A48" s="1" t="s">
        <v>28</v>
      </c>
      <c r="B48" t="s">
        <v>44</v>
      </c>
      <c r="C48" s="3">
        <f t="shared" ref="C48:N48" si="16">C19*$B$29</f>
        <v>1104.8606855999999</v>
      </c>
      <c r="D48" s="3">
        <f t="shared" si="16"/>
        <v>1285.4921363999999</v>
      </c>
      <c r="E48" s="3">
        <f t="shared" si="16"/>
        <v>1046.8114307999999</v>
      </c>
      <c r="F48" s="3">
        <f t="shared" si="16"/>
        <v>1005.1740072</v>
      </c>
      <c r="G48" s="3">
        <f t="shared" si="16"/>
        <v>1382.1395868</v>
      </c>
      <c r="H48" s="3">
        <f t="shared" si="16"/>
        <v>1102.226688</v>
      </c>
      <c r="I48" s="3">
        <f t="shared" si="16"/>
        <v>1104.8606855999999</v>
      </c>
      <c r="J48" s="3">
        <f t="shared" si="16"/>
        <v>1331.7897095999999</v>
      </c>
      <c r="K48" s="3">
        <f t="shared" si="16"/>
        <v>1104.8606855999999</v>
      </c>
      <c r="L48" s="3">
        <f t="shared" si="16"/>
        <v>1052.4846563999999</v>
      </c>
      <c r="M48" s="3">
        <f t="shared" si="16"/>
        <v>1386.901044</v>
      </c>
      <c r="N48" s="3">
        <f t="shared" si="16"/>
        <v>1154.4001020000001</v>
      </c>
      <c r="O48" s="31">
        <f t="shared" si="1"/>
        <v>14062.001418</v>
      </c>
      <c r="P48" s="17">
        <v>13397.13</v>
      </c>
    </row>
    <row r="49" spans="1:16">
      <c r="A49" s="4" t="s">
        <v>29</v>
      </c>
      <c r="B49" t="s">
        <v>44</v>
      </c>
      <c r="C49" s="3">
        <f t="shared" ref="C49:N49" si="17">C20*$B$29</f>
        <v>700.64336159999993</v>
      </c>
      <c r="D49" s="3">
        <f t="shared" si="17"/>
        <v>814.31048880000003</v>
      </c>
      <c r="E49" s="3">
        <f t="shared" si="17"/>
        <v>651.30656039999997</v>
      </c>
      <c r="F49" s="3">
        <f t="shared" si="17"/>
        <v>618.78682079999999</v>
      </c>
      <c r="G49" s="3">
        <f t="shared" si="17"/>
        <v>839.33346599999993</v>
      </c>
      <c r="H49" s="3">
        <f t="shared" si="17"/>
        <v>656.06801759999996</v>
      </c>
      <c r="I49" s="3">
        <f t="shared" si="17"/>
        <v>646.342488</v>
      </c>
      <c r="J49" s="3">
        <f t="shared" si="17"/>
        <v>774.49660199999994</v>
      </c>
      <c r="K49" s="3">
        <f t="shared" si="17"/>
        <v>630.03196439999999</v>
      </c>
      <c r="L49" s="3">
        <f t="shared" si="17"/>
        <v>591.33246120000001</v>
      </c>
      <c r="M49" s="3">
        <f t="shared" si="17"/>
        <v>766.39199399999995</v>
      </c>
      <c r="N49" s="3">
        <f t="shared" si="17"/>
        <v>629.12019599999996</v>
      </c>
      <c r="O49" s="31">
        <f t="shared" si="1"/>
        <v>8318.1644207999998</v>
      </c>
      <c r="P49" s="17">
        <v>10716.3</v>
      </c>
    </row>
    <row r="50" spans="1:16">
      <c r="A50" s="1" t="s">
        <v>30</v>
      </c>
      <c r="B50" t="s">
        <v>44</v>
      </c>
      <c r="C50" s="3">
        <f t="shared" ref="C50:N50" si="18">C21*$B$29</f>
        <v>85.199691599999994</v>
      </c>
      <c r="D50" s="3">
        <f t="shared" si="18"/>
        <v>79.425158400000001</v>
      </c>
      <c r="E50" s="3">
        <f t="shared" si="18"/>
        <v>54.706103999999996</v>
      </c>
      <c r="F50" s="3">
        <f t="shared" si="18"/>
        <v>47.209341600000002</v>
      </c>
      <c r="G50" s="3">
        <f t="shared" si="18"/>
        <v>61.493713200000002</v>
      </c>
      <c r="H50" s="3">
        <f t="shared" si="18"/>
        <v>47.108033999999996</v>
      </c>
      <c r="I50" s="3">
        <f t="shared" si="18"/>
        <v>46.9054188</v>
      </c>
      <c r="J50" s="3">
        <f t="shared" si="18"/>
        <v>56.630948400000001</v>
      </c>
      <c r="K50" s="3">
        <f t="shared" si="18"/>
        <v>46.9054188</v>
      </c>
      <c r="L50" s="3">
        <f t="shared" si="18"/>
        <v>44.575344000000001</v>
      </c>
      <c r="M50" s="3">
        <f t="shared" si="18"/>
        <v>58.9610232</v>
      </c>
      <c r="N50" s="3">
        <f t="shared" si="18"/>
        <v>49.134186</v>
      </c>
      <c r="O50" s="31">
        <f t="shared" si="1"/>
        <v>678.25438199999996</v>
      </c>
      <c r="P50" s="17">
        <v>1534.96</v>
      </c>
    </row>
    <row r="51" spans="1:16">
      <c r="A51" s="1" t="s">
        <v>31</v>
      </c>
      <c r="B51" t="s">
        <v>44</v>
      </c>
      <c r="C51" s="3">
        <f t="shared" ref="C51:N51" si="19">C22*$B$29</f>
        <v>323.29851669762985</v>
      </c>
      <c r="D51" s="3">
        <f t="shared" si="19"/>
        <v>376.74157520630507</v>
      </c>
      <c r="E51" s="3">
        <f t="shared" si="19"/>
        <v>546.25986271318243</v>
      </c>
      <c r="F51" s="3">
        <f t="shared" si="19"/>
        <v>793.92522744469636</v>
      </c>
      <c r="G51" s="3">
        <f t="shared" si="19"/>
        <v>1088.5500847348367</v>
      </c>
      <c r="H51" s="3">
        <f t="shared" si="19"/>
        <v>804.08551445628075</v>
      </c>
      <c r="I51" s="3">
        <f t="shared" si="19"/>
        <v>796.82195820998925</v>
      </c>
      <c r="J51" s="3">
        <f t="shared" si="19"/>
        <v>660.31471591262095</v>
      </c>
      <c r="K51" s="3">
        <f t="shared" si="19"/>
        <v>500.93796210603205</v>
      </c>
      <c r="L51" s="3">
        <f t="shared" si="19"/>
        <v>413.45534137247785</v>
      </c>
      <c r="M51" s="3">
        <f t="shared" si="19"/>
        <v>484.42862699346733</v>
      </c>
      <c r="N51" s="3">
        <f t="shared" si="19"/>
        <v>668.70849890256534</v>
      </c>
      <c r="O51" s="31">
        <f t="shared" si="1"/>
        <v>7457.5278847500831</v>
      </c>
      <c r="P51" s="17">
        <v>13407.380829782158</v>
      </c>
    </row>
    <row r="52" spans="1:16">
      <c r="A52" s="1" t="s">
        <v>73</v>
      </c>
      <c r="B52" t="s">
        <v>44</v>
      </c>
      <c r="C52" s="3">
        <f t="shared" ref="C52:N52" si="20">C23*$B$29</f>
        <v>0</v>
      </c>
      <c r="D52" s="3">
        <f t="shared" si="20"/>
        <v>0</v>
      </c>
      <c r="E52" s="3">
        <f t="shared" si="20"/>
        <v>0</v>
      </c>
      <c r="F52" s="3">
        <f t="shared" si="20"/>
        <v>0</v>
      </c>
      <c r="G52" s="3">
        <f t="shared" si="20"/>
        <v>5084.5271364</v>
      </c>
      <c r="H52" s="3">
        <f t="shared" si="20"/>
        <v>127.5462684</v>
      </c>
      <c r="I52" s="3">
        <f t="shared" si="20"/>
        <v>381.52442159999998</v>
      </c>
      <c r="J52" s="3">
        <f t="shared" si="20"/>
        <v>822.11117400000001</v>
      </c>
      <c r="K52" s="3">
        <f t="shared" si="20"/>
        <v>852.7060692</v>
      </c>
      <c r="L52" s="3">
        <f t="shared" si="20"/>
        <v>1128.7692792</v>
      </c>
      <c r="M52" s="3">
        <f t="shared" si="20"/>
        <v>1735.1965728</v>
      </c>
      <c r="N52" s="3">
        <f t="shared" si="20"/>
        <v>1645.7419620000001</v>
      </c>
      <c r="O52" s="31">
        <f t="shared" si="1"/>
        <v>11778.122883599999</v>
      </c>
      <c r="P52" s="17">
        <v>0</v>
      </c>
    </row>
    <row r="53" spans="1:16">
      <c r="A53" s="1" t="s">
        <v>74</v>
      </c>
      <c r="B53" t="s">
        <v>44</v>
      </c>
      <c r="C53" s="3">
        <f t="shared" ref="C53:N53" si="21">C24*$B$29</f>
        <v>0</v>
      </c>
      <c r="D53" s="3">
        <f t="shared" si="21"/>
        <v>0</v>
      </c>
      <c r="E53" s="3">
        <f t="shared" si="21"/>
        <v>0</v>
      </c>
      <c r="F53" s="3">
        <f t="shared" si="21"/>
        <v>0</v>
      </c>
      <c r="G53" s="3">
        <f t="shared" si="21"/>
        <v>2836.6127999999999</v>
      </c>
      <c r="H53" s="3">
        <f t="shared" si="21"/>
        <v>0</v>
      </c>
      <c r="I53" s="3">
        <f t="shared" si="21"/>
        <v>1148.9294915999999</v>
      </c>
      <c r="J53" s="3">
        <f t="shared" si="21"/>
        <v>226.929024</v>
      </c>
      <c r="K53" s="3">
        <f t="shared" si="21"/>
        <v>136.6639524</v>
      </c>
      <c r="L53" s="3">
        <f t="shared" si="21"/>
        <v>183.67067879999999</v>
      </c>
      <c r="M53" s="3">
        <f t="shared" si="21"/>
        <v>290.34758160000001</v>
      </c>
      <c r="N53" s="3">
        <f t="shared" si="21"/>
        <v>292.17111840000001</v>
      </c>
      <c r="O53" s="31">
        <f t="shared" si="1"/>
        <v>5115.3246467999998</v>
      </c>
      <c r="P53" s="17">
        <v>0</v>
      </c>
    </row>
    <row r="54" spans="1:16">
      <c r="A54" s="4" t="s">
        <v>32</v>
      </c>
      <c r="B54" t="s">
        <v>44</v>
      </c>
      <c r="C54" s="3">
        <f t="shared" ref="C54:N54" si="22">C25*$B$30</f>
        <v>224902.70315400002</v>
      </c>
      <c r="D54" s="3">
        <f t="shared" si="22"/>
        <v>288047.73023400002</v>
      </c>
      <c r="E54" s="3">
        <f t="shared" si="22"/>
        <v>224479.40623200004</v>
      </c>
      <c r="F54" s="3">
        <f t="shared" si="22"/>
        <v>223834.75220400002</v>
      </c>
      <c r="G54" s="3">
        <f t="shared" si="22"/>
        <v>281139.05845200003</v>
      </c>
      <c r="H54" s="3">
        <f t="shared" si="22"/>
        <v>216883.36238400004</v>
      </c>
      <c r="I54" s="3">
        <f t="shared" si="22"/>
        <v>218413.44483600004</v>
      </c>
      <c r="J54" s="3">
        <f t="shared" si="22"/>
        <v>292894.28581800003</v>
      </c>
      <c r="K54" s="3">
        <f t="shared" si="22"/>
        <v>220199.83551600002</v>
      </c>
      <c r="L54" s="3">
        <f t="shared" si="22"/>
        <v>224405.62053000004</v>
      </c>
      <c r="M54" s="3">
        <f t="shared" si="22"/>
        <v>284773.97514000005</v>
      </c>
      <c r="N54" s="3">
        <f t="shared" si="22"/>
        <v>230098.76995800002</v>
      </c>
      <c r="O54" s="31">
        <f t="shared" si="1"/>
        <v>2930072.9444580008</v>
      </c>
      <c r="P54" s="17">
        <v>2471843.52</v>
      </c>
    </row>
    <row r="55" spans="1:16">
      <c r="A55" s="1" t="s">
        <v>68</v>
      </c>
      <c r="B55" t="s">
        <v>44</v>
      </c>
      <c r="C55" s="3">
        <v>0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1">
        <f t="shared" si="1"/>
        <v>0</v>
      </c>
      <c r="P55" s="17">
        <v>-1173.8</v>
      </c>
    </row>
    <row r="56" spans="1:16">
      <c r="A56" s="1" t="s">
        <v>33</v>
      </c>
      <c r="B56" t="s">
        <v>44</v>
      </c>
      <c r="C56" s="3">
        <f t="shared" ref="C56:N56" si="23">C26*$B$28</f>
        <v>32300</v>
      </c>
      <c r="D56" s="3">
        <f t="shared" si="23"/>
        <v>0</v>
      </c>
      <c r="E56" s="3">
        <f t="shared" si="23"/>
        <v>0</v>
      </c>
      <c r="F56" s="3">
        <f t="shared" si="23"/>
        <v>0</v>
      </c>
      <c r="G56" s="3">
        <f t="shared" si="23"/>
        <v>0</v>
      </c>
      <c r="H56" s="3">
        <f t="shared" si="23"/>
        <v>44200</v>
      </c>
      <c r="I56" s="3">
        <f t="shared" si="23"/>
        <v>29240</v>
      </c>
      <c r="J56" s="3">
        <f t="shared" si="23"/>
        <v>0</v>
      </c>
      <c r="K56" s="3">
        <f t="shared" si="23"/>
        <v>1360</v>
      </c>
      <c r="L56" s="3">
        <f t="shared" si="23"/>
        <v>0</v>
      </c>
      <c r="M56" s="3">
        <f t="shared" si="23"/>
        <v>0</v>
      </c>
      <c r="N56" s="3">
        <f t="shared" si="23"/>
        <v>43180</v>
      </c>
      <c r="O56" s="31">
        <f t="shared" si="1"/>
        <v>150280</v>
      </c>
      <c r="P56" s="17">
        <v>118297.66</v>
      </c>
    </row>
    <row r="57" spans="1:16">
      <c r="A57" s="24" t="s">
        <v>66</v>
      </c>
      <c r="B57" t="s">
        <v>44</v>
      </c>
      <c r="C57" s="3">
        <v>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1">
        <f t="shared" si="1"/>
        <v>0</v>
      </c>
      <c r="P57" s="17">
        <v>1036.97</v>
      </c>
    </row>
    <row r="58" spans="1:16">
      <c r="A58" s="22" t="s">
        <v>62</v>
      </c>
      <c r="B58" s="22" t="s">
        <v>44</v>
      </c>
      <c r="C58" s="23" t="e">
        <f>#REF!</f>
        <v>#REF!</v>
      </c>
      <c r="D58" s="23" t="e">
        <f>#REF!</f>
        <v>#REF!</v>
      </c>
      <c r="E58" s="23" t="e">
        <f>#REF!</f>
        <v>#REF!</v>
      </c>
      <c r="F58" s="23" t="e">
        <f>#REF!</f>
        <v>#REF!</v>
      </c>
      <c r="G58" s="23" t="e">
        <f>#REF!</f>
        <v>#REF!</v>
      </c>
      <c r="H58" s="23" t="e">
        <f>#REF!</f>
        <v>#REF!</v>
      </c>
      <c r="I58" s="23" t="e">
        <f>#REF!</f>
        <v>#REF!</v>
      </c>
      <c r="J58" s="23" t="e">
        <f>#REF!</f>
        <v>#REF!</v>
      </c>
      <c r="K58" s="23" t="e">
        <f>#REF!</f>
        <v>#REF!</v>
      </c>
      <c r="L58" s="23" t="e">
        <f>#REF!</f>
        <v>#REF!</v>
      </c>
      <c r="M58" s="23" t="e">
        <f>#REF!</f>
        <v>#REF!</v>
      </c>
      <c r="N58" s="23" t="e">
        <f>#REF!</f>
        <v>#REF!</v>
      </c>
      <c r="O58" s="32">
        <v>72000</v>
      </c>
      <c r="P58" s="17">
        <v>82545.679999999993</v>
      </c>
    </row>
    <row r="59" spans="1:16" ht="13.5" thickBot="1">
      <c r="B59" t="s">
        <v>38</v>
      </c>
      <c r="C59" s="10" t="e">
        <f t="shared" ref="C59:P59" si="24">SUM(C33:C58)</f>
        <v>#REF!</v>
      </c>
      <c r="D59" s="10" t="e">
        <f t="shared" si="24"/>
        <v>#REF!</v>
      </c>
      <c r="E59" s="10" t="e">
        <f t="shared" si="24"/>
        <v>#REF!</v>
      </c>
      <c r="F59" s="10" t="e">
        <f t="shared" si="24"/>
        <v>#REF!</v>
      </c>
      <c r="G59" s="10" t="e">
        <f t="shared" si="24"/>
        <v>#REF!</v>
      </c>
      <c r="H59" s="10" t="e">
        <f t="shared" si="24"/>
        <v>#REF!</v>
      </c>
      <c r="I59" s="10" t="e">
        <f t="shared" si="24"/>
        <v>#REF!</v>
      </c>
      <c r="J59" s="10" t="e">
        <f t="shared" si="24"/>
        <v>#REF!</v>
      </c>
      <c r="K59" s="10" t="e">
        <f t="shared" si="24"/>
        <v>#REF!</v>
      </c>
      <c r="L59" s="10" t="e">
        <f t="shared" si="24"/>
        <v>#REF!</v>
      </c>
      <c r="M59" s="10" t="e">
        <f t="shared" si="24"/>
        <v>#REF!</v>
      </c>
      <c r="N59" s="10" t="e">
        <f t="shared" si="24"/>
        <v>#REF!</v>
      </c>
      <c r="O59" s="33">
        <f t="shared" si="24"/>
        <v>8353966.5769229811</v>
      </c>
      <c r="P59" s="18">
        <f t="shared" si="24"/>
        <v>7892543.88554045</v>
      </c>
    </row>
    <row r="60" spans="1:16" ht="13.5" thickTop="1"/>
  </sheetData>
  <phoneticPr fontId="2" type="noConversion"/>
  <pageMargins left="0.25" right="0.25" top="0.5" bottom="0.75" header="0.5" footer="0.25"/>
  <pageSetup scale="70" orientation="landscape" r:id="rId1"/>
  <headerFooter alignWithMargins="0">
    <oddFooter>&amp;R&amp;D  &amp;Z&amp;F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B58"/>
  <sheetViews>
    <sheetView workbookViewId="0">
      <pane xSplit="2" ySplit="6" topLeftCell="AK7" activePane="bottomRight" state="frozen"/>
      <selection activeCell="C44" sqref="C44"/>
      <selection pane="topRight" activeCell="C44" sqref="C44"/>
      <selection pane="bottomLeft" activeCell="C44" sqref="C44"/>
      <selection pane="bottomRight" activeCell="A2" sqref="A2:AT42"/>
    </sheetView>
  </sheetViews>
  <sheetFormatPr defaultRowHeight="12.75"/>
  <cols>
    <col min="1" max="1" width="42.140625" style="68" customWidth="1"/>
    <col min="2" max="2" width="10.140625" style="68" customWidth="1"/>
    <col min="3" max="15" width="12.7109375" style="68" customWidth="1"/>
    <col min="16" max="28" width="13.28515625" style="68" customWidth="1"/>
    <col min="29" max="54" width="12.7109375" style="68" customWidth="1"/>
    <col min="55" max="16384" width="9.140625" style="68"/>
  </cols>
  <sheetData>
    <row r="1" spans="1:54">
      <c r="A1" s="88"/>
      <c r="P1" s="88"/>
      <c r="Q1" s="90"/>
      <c r="R1" s="90"/>
      <c r="S1" s="90"/>
      <c r="T1" s="88"/>
      <c r="U1" s="88"/>
      <c r="V1" s="88"/>
      <c r="W1" s="88"/>
      <c r="X1" s="88"/>
      <c r="Y1" s="88"/>
      <c r="Z1" s="88"/>
      <c r="AA1" s="88"/>
      <c r="AB1" s="88"/>
      <c r="AC1" s="88"/>
      <c r="AD1" s="88"/>
      <c r="AE1" s="88"/>
      <c r="AF1" s="88"/>
      <c r="AG1" s="88"/>
      <c r="AH1" s="88"/>
      <c r="AI1" s="88"/>
      <c r="AJ1" s="88"/>
      <c r="AK1" s="88"/>
      <c r="AL1" s="88"/>
      <c r="AM1" s="88"/>
      <c r="AN1" s="88"/>
      <c r="AO1" s="88"/>
      <c r="AP1" s="88"/>
      <c r="AQ1" s="88"/>
      <c r="AR1" s="88"/>
      <c r="AS1" s="88"/>
      <c r="AT1" s="88"/>
      <c r="AU1" s="88"/>
      <c r="AV1" s="88"/>
      <c r="AW1" s="88"/>
      <c r="AX1" s="88"/>
      <c r="AY1" s="88"/>
      <c r="AZ1" s="88"/>
      <c r="BA1" s="88"/>
      <c r="BB1" s="88"/>
    </row>
    <row r="2" spans="1:54">
      <c r="C2" s="87" t="s">
        <v>122</v>
      </c>
      <c r="P2" s="87"/>
      <c r="Q2" s="90"/>
      <c r="R2" s="90"/>
      <c r="S2" s="90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8"/>
      <c r="AG2" s="88"/>
      <c r="AH2" s="88"/>
      <c r="AI2" s="88"/>
      <c r="AJ2" s="88"/>
      <c r="AK2" s="88"/>
      <c r="AL2" s="88"/>
      <c r="AM2" s="88"/>
      <c r="AN2" s="88"/>
      <c r="AO2" s="88"/>
      <c r="AP2" s="88"/>
      <c r="AQ2" s="88"/>
      <c r="AR2" s="88"/>
      <c r="AS2" s="88"/>
      <c r="AT2" s="88"/>
      <c r="AU2" s="88"/>
      <c r="AV2" s="88"/>
      <c r="AW2" s="88"/>
      <c r="AX2" s="88"/>
      <c r="AY2" s="88"/>
      <c r="AZ2" s="88"/>
      <c r="BA2" s="88"/>
      <c r="BB2" s="88"/>
    </row>
    <row r="3" spans="1:54">
      <c r="C3" s="68" t="s">
        <v>123</v>
      </c>
      <c r="Q3" s="90"/>
      <c r="R3" s="90"/>
      <c r="S3" s="90"/>
      <c r="T3" s="88"/>
      <c r="U3" s="88"/>
      <c r="V3" s="88"/>
      <c r="W3" s="88"/>
      <c r="X3" s="88"/>
      <c r="Y3" s="88"/>
      <c r="Z3" s="88"/>
      <c r="AA3" s="88"/>
      <c r="AB3" s="88"/>
      <c r="AC3" s="88"/>
      <c r="AD3" s="88"/>
      <c r="AE3" s="88"/>
      <c r="AF3" s="88"/>
      <c r="AG3" s="88"/>
      <c r="AH3" s="88"/>
      <c r="AI3" s="88"/>
      <c r="AJ3" s="88"/>
      <c r="AK3" s="88"/>
      <c r="AL3" s="88"/>
      <c r="AM3" s="88"/>
      <c r="AN3" s="88"/>
      <c r="AO3" s="88"/>
      <c r="AP3" s="88"/>
      <c r="AQ3" s="88"/>
      <c r="AR3" s="88"/>
      <c r="AS3" s="88"/>
      <c r="AT3" s="88"/>
      <c r="AU3" s="88"/>
      <c r="AV3" s="88"/>
      <c r="AW3" s="88"/>
      <c r="AX3" s="88"/>
      <c r="AY3" s="88"/>
      <c r="AZ3" s="88"/>
      <c r="BA3" s="88"/>
      <c r="BB3" s="88"/>
    </row>
    <row r="4" spans="1:54">
      <c r="C4" s="87" t="s">
        <v>124</v>
      </c>
      <c r="D4" s="87" t="s">
        <v>124</v>
      </c>
      <c r="E4" s="87" t="s">
        <v>124</v>
      </c>
      <c r="F4" s="87" t="s">
        <v>124</v>
      </c>
      <c r="G4" s="87" t="s">
        <v>124</v>
      </c>
      <c r="H4" s="87" t="s">
        <v>124</v>
      </c>
      <c r="I4" s="87" t="s">
        <v>124</v>
      </c>
      <c r="J4" s="87" t="s">
        <v>124</v>
      </c>
      <c r="K4" s="87" t="s">
        <v>124</v>
      </c>
      <c r="L4" s="87" t="s">
        <v>124</v>
      </c>
      <c r="M4" s="87" t="s">
        <v>124</v>
      </c>
      <c r="N4" s="87" t="s">
        <v>124</v>
      </c>
      <c r="O4" s="87" t="s">
        <v>124</v>
      </c>
      <c r="P4" s="87" t="s">
        <v>125</v>
      </c>
      <c r="Q4" s="87" t="s">
        <v>125</v>
      </c>
      <c r="R4" s="87" t="s">
        <v>125</v>
      </c>
      <c r="S4" s="87" t="s">
        <v>125</v>
      </c>
      <c r="T4" s="87" t="s">
        <v>125</v>
      </c>
      <c r="U4" s="87" t="s">
        <v>125</v>
      </c>
      <c r="V4" s="87" t="s">
        <v>125</v>
      </c>
      <c r="W4" s="87" t="s">
        <v>125</v>
      </c>
      <c r="X4" s="87" t="s">
        <v>125</v>
      </c>
      <c r="Y4" s="87" t="s">
        <v>125</v>
      </c>
      <c r="Z4" s="87" t="s">
        <v>125</v>
      </c>
      <c r="AA4" s="87" t="s">
        <v>125</v>
      </c>
      <c r="AB4" s="87" t="s">
        <v>125</v>
      </c>
      <c r="AC4" s="87" t="s">
        <v>126</v>
      </c>
      <c r="AD4" s="87" t="s">
        <v>126</v>
      </c>
      <c r="AE4" s="87" t="s">
        <v>126</v>
      </c>
      <c r="AF4" s="87" t="s">
        <v>126</v>
      </c>
      <c r="AG4" s="87" t="s">
        <v>126</v>
      </c>
      <c r="AH4" s="87" t="s">
        <v>126</v>
      </c>
      <c r="AI4" s="87" t="s">
        <v>126</v>
      </c>
      <c r="AJ4" s="87" t="s">
        <v>126</v>
      </c>
      <c r="AK4" s="87" t="s">
        <v>126</v>
      </c>
      <c r="AL4" s="87" t="s">
        <v>126</v>
      </c>
      <c r="AM4" s="87" t="s">
        <v>126</v>
      </c>
      <c r="AN4" s="87" t="s">
        <v>126</v>
      </c>
      <c r="AO4" s="87" t="s">
        <v>126</v>
      </c>
      <c r="AP4" s="87" t="s">
        <v>133</v>
      </c>
      <c r="AQ4" s="87" t="s">
        <v>133</v>
      </c>
      <c r="AR4" s="87" t="s">
        <v>133</v>
      </c>
      <c r="AS4" s="87" t="s">
        <v>133</v>
      </c>
      <c r="AT4" s="87" t="s">
        <v>133</v>
      </c>
      <c r="AU4" s="87" t="s">
        <v>133</v>
      </c>
      <c r="AV4" s="87" t="s">
        <v>133</v>
      </c>
      <c r="AW4" s="87" t="s">
        <v>133</v>
      </c>
      <c r="AX4" s="87" t="s">
        <v>133</v>
      </c>
      <c r="AY4" s="87" t="s">
        <v>133</v>
      </c>
      <c r="AZ4" s="87" t="s">
        <v>133</v>
      </c>
      <c r="BA4" s="87" t="s">
        <v>133</v>
      </c>
      <c r="BB4" s="87" t="s">
        <v>133</v>
      </c>
    </row>
    <row r="5" spans="1:54">
      <c r="C5" s="87" t="s">
        <v>88</v>
      </c>
      <c r="D5" s="56" t="s">
        <v>88</v>
      </c>
      <c r="E5" s="56" t="s">
        <v>88</v>
      </c>
      <c r="F5" s="56" t="s">
        <v>88</v>
      </c>
      <c r="G5" s="56" t="s">
        <v>88</v>
      </c>
      <c r="H5" s="56" t="s">
        <v>88</v>
      </c>
      <c r="I5" s="56" t="s">
        <v>88</v>
      </c>
      <c r="J5" s="56" t="s">
        <v>88</v>
      </c>
      <c r="K5" s="56" t="s">
        <v>88</v>
      </c>
      <c r="L5" s="56" t="s">
        <v>88</v>
      </c>
      <c r="M5" s="56" t="s">
        <v>88</v>
      </c>
      <c r="N5" s="56" t="s">
        <v>88</v>
      </c>
      <c r="O5" s="56" t="s">
        <v>88</v>
      </c>
      <c r="P5" s="87" t="s">
        <v>88</v>
      </c>
      <c r="Q5" s="87" t="s">
        <v>88</v>
      </c>
      <c r="R5" s="87" t="s">
        <v>88</v>
      </c>
      <c r="S5" s="87" t="s">
        <v>88</v>
      </c>
      <c r="T5" s="87" t="s">
        <v>88</v>
      </c>
      <c r="U5" s="87" t="s">
        <v>88</v>
      </c>
      <c r="V5" s="87" t="s">
        <v>88</v>
      </c>
      <c r="W5" s="87" t="s">
        <v>88</v>
      </c>
      <c r="X5" s="87" t="s">
        <v>88</v>
      </c>
      <c r="Y5" s="87" t="s">
        <v>88</v>
      </c>
      <c r="Z5" s="87" t="s">
        <v>88</v>
      </c>
      <c r="AA5" s="87" t="s">
        <v>88</v>
      </c>
      <c r="AB5" s="87" t="s">
        <v>88</v>
      </c>
      <c r="AC5" s="87" t="s">
        <v>88</v>
      </c>
      <c r="AD5" s="87" t="s">
        <v>88</v>
      </c>
      <c r="AE5" s="87" t="s">
        <v>88</v>
      </c>
      <c r="AF5" s="87" t="s">
        <v>88</v>
      </c>
      <c r="AG5" s="87" t="s">
        <v>88</v>
      </c>
      <c r="AH5" s="87" t="s">
        <v>88</v>
      </c>
      <c r="AI5" s="87" t="s">
        <v>88</v>
      </c>
      <c r="AJ5" s="87" t="s">
        <v>88</v>
      </c>
      <c r="AK5" s="87" t="s">
        <v>88</v>
      </c>
      <c r="AL5" s="87" t="s">
        <v>88</v>
      </c>
      <c r="AM5" s="87" t="s">
        <v>88</v>
      </c>
      <c r="AN5" s="87" t="s">
        <v>88</v>
      </c>
      <c r="AO5" s="87" t="s">
        <v>88</v>
      </c>
      <c r="AP5" s="87" t="s">
        <v>88</v>
      </c>
      <c r="AQ5" s="87" t="s">
        <v>88</v>
      </c>
      <c r="AR5" s="87" t="s">
        <v>88</v>
      </c>
      <c r="AS5" s="87" t="s">
        <v>88</v>
      </c>
      <c r="AT5" s="87" t="s">
        <v>88</v>
      </c>
      <c r="AU5" s="87" t="s">
        <v>88</v>
      </c>
      <c r="AV5" s="87" t="s">
        <v>88</v>
      </c>
      <c r="AW5" s="87" t="s">
        <v>88</v>
      </c>
      <c r="AX5" s="87" t="s">
        <v>88</v>
      </c>
      <c r="AY5" s="87" t="s">
        <v>88</v>
      </c>
      <c r="AZ5" s="87" t="s">
        <v>88</v>
      </c>
      <c r="BA5" s="87" t="s">
        <v>88</v>
      </c>
      <c r="BB5" s="87" t="s">
        <v>88</v>
      </c>
    </row>
    <row r="6" spans="1:54">
      <c r="A6" s="88"/>
      <c r="B6" s="88"/>
      <c r="C6" s="91" t="s">
        <v>0</v>
      </c>
      <c r="D6" s="91" t="s">
        <v>1</v>
      </c>
      <c r="E6" s="91" t="s">
        <v>2</v>
      </c>
      <c r="F6" s="91" t="s">
        <v>3</v>
      </c>
      <c r="G6" s="56" t="s">
        <v>4</v>
      </c>
      <c r="H6" s="56" t="s">
        <v>5</v>
      </c>
      <c r="I6" s="56" t="s">
        <v>6</v>
      </c>
      <c r="J6" s="56" t="s">
        <v>7</v>
      </c>
      <c r="K6" s="56" t="s">
        <v>8</v>
      </c>
      <c r="L6" s="56" t="s">
        <v>9</v>
      </c>
      <c r="M6" s="56" t="s">
        <v>10</v>
      </c>
      <c r="N6" s="56" t="s">
        <v>11</v>
      </c>
      <c r="O6" s="88" t="s">
        <v>13</v>
      </c>
      <c r="P6" s="56" t="s">
        <v>0</v>
      </c>
      <c r="Q6" s="56" t="s">
        <v>1</v>
      </c>
      <c r="R6" s="56" t="s">
        <v>2</v>
      </c>
      <c r="S6" s="56" t="s">
        <v>3</v>
      </c>
      <c r="T6" s="56" t="s">
        <v>4</v>
      </c>
      <c r="U6" s="56" t="s">
        <v>5</v>
      </c>
      <c r="V6" s="56" t="s">
        <v>6</v>
      </c>
      <c r="W6" s="56" t="s">
        <v>7</v>
      </c>
      <c r="X6" s="56" t="s">
        <v>8</v>
      </c>
      <c r="Y6" s="56" t="s">
        <v>9</v>
      </c>
      <c r="Z6" s="56" t="s">
        <v>10</v>
      </c>
      <c r="AA6" s="56" t="s">
        <v>11</v>
      </c>
      <c r="AB6" s="56" t="s">
        <v>13</v>
      </c>
      <c r="AC6" s="56" t="s">
        <v>0</v>
      </c>
      <c r="AD6" s="56" t="s">
        <v>1</v>
      </c>
      <c r="AE6" s="56" t="s">
        <v>2</v>
      </c>
      <c r="AF6" s="56" t="s">
        <v>3</v>
      </c>
      <c r="AG6" s="56" t="s">
        <v>4</v>
      </c>
      <c r="AH6" s="56" t="s">
        <v>5</v>
      </c>
      <c r="AI6" s="56" t="s">
        <v>6</v>
      </c>
      <c r="AJ6" s="56" t="s">
        <v>7</v>
      </c>
      <c r="AK6" s="56" t="s">
        <v>8</v>
      </c>
      <c r="AL6" s="56" t="s">
        <v>9</v>
      </c>
      <c r="AM6" s="56" t="s">
        <v>10</v>
      </c>
      <c r="AN6" s="56" t="s">
        <v>11</v>
      </c>
      <c r="AO6" s="56" t="s">
        <v>13</v>
      </c>
      <c r="AP6" s="56" t="s">
        <v>0</v>
      </c>
      <c r="AQ6" s="56" t="s">
        <v>1</v>
      </c>
      <c r="AR6" s="56" t="s">
        <v>2</v>
      </c>
      <c r="AS6" s="56" t="s">
        <v>3</v>
      </c>
      <c r="AT6" s="56" t="s">
        <v>4</v>
      </c>
      <c r="AU6" s="56" t="s">
        <v>5</v>
      </c>
      <c r="AV6" s="56" t="s">
        <v>6</v>
      </c>
      <c r="AW6" s="56" t="s">
        <v>7</v>
      </c>
      <c r="AX6" s="56" t="s">
        <v>8</v>
      </c>
      <c r="AY6" s="56" t="s">
        <v>9</v>
      </c>
      <c r="AZ6" s="56" t="s">
        <v>10</v>
      </c>
      <c r="BA6" s="56" t="s">
        <v>11</v>
      </c>
      <c r="BB6" s="56" t="s">
        <v>13</v>
      </c>
    </row>
    <row r="7" spans="1:54">
      <c r="A7" s="88" t="str">
        <f>'Pharm Demand'!A31</f>
        <v>157001150245 Tofranil-PM/ImipraPam Frt Exp</v>
      </c>
      <c r="B7" s="88" t="s">
        <v>14</v>
      </c>
      <c r="C7" s="94">
        <f>'Pharm Demand'!C31</f>
        <v>0</v>
      </c>
      <c r="D7" s="94">
        <f>'Pharm Demand'!D31</f>
        <v>0</v>
      </c>
      <c r="E7" s="94">
        <f>'Pharm Demand'!E31</f>
        <v>42</v>
      </c>
      <c r="F7" s="94">
        <f>'Pharm Demand'!F31</f>
        <v>46</v>
      </c>
      <c r="G7" s="92">
        <f>'Pharm Demand'!G31</f>
        <v>75.075000000000003</v>
      </c>
      <c r="H7" s="92">
        <f>'Pharm Demand'!H31</f>
        <v>58.285500000000006</v>
      </c>
      <c r="I7" s="92">
        <f>'Pharm Demand'!I31</f>
        <v>62.517000000000003</v>
      </c>
      <c r="J7" s="92">
        <f>'Pharm Demand'!J31</f>
        <v>70.843500000000006</v>
      </c>
      <c r="K7" s="92">
        <f>'Pharm Demand'!K31</f>
        <v>55.692000000000007</v>
      </c>
      <c r="L7" s="92">
        <f>'Pharm Demand'!L31</f>
        <v>56.920500000000004</v>
      </c>
      <c r="M7" s="92">
        <f>'Pharm Demand'!M31</f>
        <v>67.431000000000012</v>
      </c>
      <c r="N7" s="92">
        <f>'Pharm Demand'!N31</f>
        <v>55.828500000000005</v>
      </c>
      <c r="O7" s="92">
        <f>SUM(C7:N7)</f>
        <v>590.59299999999996</v>
      </c>
      <c r="P7" s="92">
        <f>'Pharm Demand'!P31</f>
        <v>54.190500000000007</v>
      </c>
      <c r="Q7" s="92">
        <f>'Pharm Demand'!Q31</f>
        <v>62.517000000000003</v>
      </c>
      <c r="R7" s="92">
        <f>'Pharm Demand'!R31</f>
        <v>50.368500000000004</v>
      </c>
      <c r="S7" s="92">
        <f>'Pharm Demand'!S31</f>
        <v>49.276500000000006</v>
      </c>
      <c r="T7" s="92">
        <f>'Pharm Demand'!T31</f>
        <v>62.107500000000002</v>
      </c>
      <c r="U7" s="92">
        <f>'Pharm Demand'!U31</f>
        <v>50.641500000000001</v>
      </c>
      <c r="V7" s="92">
        <f>'Pharm Demand'!V31</f>
        <v>49.549500000000002</v>
      </c>
      <c r="W7" s="92">
        <f>'Pharm Demand'!W31</f>
        <v>56.784000000000006</v>
      </c>
      <c r="X7" s="92">
        <f>'Pharm Demand'!X31</f>
        <v>50.778000000000006</v>
      </c>
      <c r="Y7" s="92">
        <f>'Pharm Demand'!Y31</f>
        <v>44.772000000000006</v>
      </c>
      <c r="Z7" s="92">
        <f>'Pharm Demand'!Z31</f>
        <v>59.104500000000002</v>
      </c>
      <c r="AA7" s="92">
        <f>'Pharm Demand'!AA31</f>
        <v>46.137</v>
      </c>
      <c r="AB7" s="92">
        <f>SUM(P7:AA7)</f>
        <v>636.22650000000021</v>
      </c>
      <c r="AC7" s="92">
        <f>'Pharm Demand'!AC31</f>
        <v>46.000500000000002</v>
      </c>
      <c r="AD7" s="92">
        <f>'Pharm Demand'!AD31</f>
        <v>54.190500000000007</v>
      </c>
      <c r="AE7" s="92">
        <f>'Pharm Demand'!AE31</f>
        <v>42.997500000000002</v>
      </c>
      <c r="AF7" s="92">
        <f>'Pharm Demand'!AF31</f>
        <v>41.496000000000002</v>
      </c>
      <c r="AG7" s="92">
        <f>'Pharm Demand'!AG31</f>
        <v>54.6</v>
      </c>
      <c r="AH7" s="92">
        <f>'Pharm Demand'!AH31</f>
        <v>46.956000000000003</v>
      </c>
      <c r="AI7" s="92">
        <f>'Pharm Demand'!AI31</f>
        <v>44.772000000000006</v>
      </c>
      <c r="AJ7" s="92">
        <f>'Pharm Demand'!AJ31</f>
        <v>53.781000000000006</v>
      </c>
      <c r="AK7" s="92">
        <f>'Pharm Demand'!AK31</f>
        <v>46.410000000000004</v>
      </c>
      <c r="AL7" s="92">
        <f>'Pharm Demand'!AL31</f>
        <v>41.769000000000005</v>
      </c>
      <c r="AM7" s="92">
        <f>'Pharm Demand'!AM31</f>
        <v>57.330000000000005</v>
      </c>
      <c r="AN7" s="92">
        <f>'Pharm Demand'!AN31</f>
        <v>41.6325</v>
      </c>
      <c r="AO7" s="92">
        <f>SUM(AC7:AN7)</f>
        <v>571.93500000000006</v>
      </c>
      <c r="AP7" s="92">
        <f>'Pharm Demand'!AP31</f>
        <v>49.959000000000003</v>
      </c>
      <c r="AQ7" s="92">
        <f>'Pharm Demand'!AQ31</f>
        <v>39.312000000000005</v>
      </c>
      <c r="AR7" s="92">
        <f>'Pharm Demand'!AR31</f>
        <v>45.454500000000003</v>
      </c>
      <c r="AS7" s="92">
        <f>'Pharm Demand'!AS31</f>
        <v>43.407000000000004</v>
      </c>
      <c r="AT7" s="92">
        <f>'Pharm Demand'!AT31</f>
        <v>43.666350000000001</v>
      </c>
      <c r="AU7" s="92">
        <f>'Pharm Demand'!AU31</f>
        <v>0</v>
      </c>
      <c r="AV7" s="92">
        <f>'Pharm Demand'!AV31</f>
        <v>0</v>
      </c>
      <c r="AW7" s="92">
        <f>'Pharm Demand'!AW31</f>
        <v>0</v>
      </c>
      <c r="AX7" s="92">
        <f>'Pharm Demand'!AX31</f>
        <v>0</v>
      </c>
      <c r="AY7" s="92">
        <f>'Pharm Demand'!AY31</f>
        <v>0</v>
      </c>
      <c r="AZ7" s="92">
        <f>'Pharm Demand'!AZ31</f>
        <v>0</v>
      </c>
      <c r="BA7" s="92">
        <f>'Pharm Demand'!BA31</f>
        <v>0</v>
      </c>
      <c r="BB7" s="92">
        <f>SUM(AP7:BA7)</f>
        <v>221.79885000000002</v>
      </c>
    </row>
    <row r="8" spans="1:54">
      <c r="A8" s="88" t="str">
        <f>'Pharm Demand'!A32</f>
        <v>157001150225 Frt Exp-CNS Non-Promoted Prod</v>
      </c>
      <c r="B8" s="88" t="s">
        <v>14</v>
      </c>
      <c r="C8" s="94">
        <f>'Pharm Demand'!C32</f>
        <v>890</v>
      </c>
      <c r="D8" s="94">
        <f>'Pharm Demand'!D32</f>
        <v>1055</v>
      </c>
      <c r="E8" s="94">
        <f>'Pharm Demand'!E32</f>
        <v>605</v>
      </c>
      <c r="F8" s="94">
        <f>'Pharm Demand'!F32</f>
        <v>751</v>
      </c>
      <c r="G8" s="92">
        <f>'Pharm Demand'!G32</f>
        <v>935.62101647756356</v>
      </c>
      <c r="H8" s="92">
        <f>'Pharm Demand'!H32</f>
        <v>712.09192697270987</v>
      </c>
      <c r="I8" s="92">
        <f>'Pharm Demand'!I32</f>
        <v>733.28621096184975</v>
      </c>
      <c r="J8" s="92">
        <f>'Pharm Demand'!J32</f>
        <v>772.18050000000005</v>
      </c>
      <c r="K8" s="92">
        <f>'Pharm Demand'!K32</f>
        <v>635.81700000000001</v>
      </c>
      <c r="L8" s="92">
        <f>'Pharm Demand'!L32</f>
        <v>601.27947386117751</v>
      </c>
      <c r="M8" s="92">
        <f>'Pharm Demand'!M32</f>
        <v>645.13020156466291</v>
      </c>
      <c r="N8" s="92">
        <f>'Pharm Demand'!N32</f>
        <v>597.81630200525251</v>
      </c>
      <c r="O8" s="92">
        <f t="shared" ref="O8:O42" si="0">SUM(C8:N8)</f>
        <v>8934.2226318432167</v>
      </c>
      <c r="P8" s="92">
        <f>'Pharm Demand'!P32</f>
        <v>702.89954849484252</v>
      </c>
      <c r="Q8" s="92">
        <f>'Pharm Demand'!Q32</f>
        <v>716.625</v>
      </c>
      <c r="R8" s="92">
        <f>'Pharm Demand'!R32</f>
        <v>612.88499999999999</v>
      </c>
      <c r="S8" s="92">
        <f>'Pharm Demand'!S32</f>
        <v>666.55903844964541</v>
      </c>
      <c r="T8" s="92">
        <f>'Pharm Demand'!T32</f>
        <v>737.9190000000001</v>
      </c>
      <c r="U8" s="92">
        <f>'Pharm Demand'!U32</f>
        <v>635.1345</v>
      </c>
      <c r="V8" s="92">
        <f>'Pharm Demand'!V32</f>
        <v>672.90470235401369</v>
      </c>
      <c r="W8" s="92">
        <f>'Pharm Demand'!W32</f>
        <v>702.01950000000011</v>
      </c>
      <c r="X8" s="92">
        <f>'Pharm Demand'!X32</f>
        <v>639.50250000000005</v>
      </c>
      <c r="Y8" s="92">
        <f>'Pharm Demand'!Y32</f>
        <v>657.58261388262019</v>
      </c>
      <c r="Z8" s="92">
        <f>'Pharm Demand'!Z32</f>
        <v>730.82100000000003</v>
      </c>
      <c r="AA8" s="92">
        <f>'Pharm Demand'!AA32</f>
        <v>641.95950000000005</v>
      </c>
      <c r="AB8" s="92">
        <f t="shared" ref="AB8:AB42" si="1">SUM(P8:AA8)</f>
        <v>8116.811903181122</v>
      </c>
      <c r="AC8" s="92">
        <f>'Pharm Demand'!AC32</f>
        <v>612.58180094125112</v>
      </c>
      <c r="AD8" s="92">
        <f>'Pharm Demand'!AD32</f>
        <v>708.70800000000008</v>
      </c>
      <c r="AE8" s="92">
        <f>'Pharm Demand'!AE32</f>
        <v>599.91750000000002</v>
      </c>
      <c r="AF8" s="92">
        <f>'Pharm Demand'!AF32</f>
        <v>578.82976921720922</v>
      </c>
      <c r="AG8" s="92">
        <f>'Pharm Demand'!AG32</f>
        <v>711.71100000000001</v>
      </c>
      <c r="AH8" s="92">
        <f>'Pharm Demand'!AH32</f>
        <v>638.68350000000009</v>
      </c>
      <c r="AI8" s="92">
        <f>'Pharm Demand'!AI32</f>
        <v>611.39432046668639</v>
      </c>
      <c r="AJ8" s="92">
        <f>'Pharm Demand'!AJ32</f>
        <v>700.92750000000001</v>
      </c>
      <c r="AK8" s="92">
        <f>'Pharm Demand'!AK32</f>
        <v>629.94749999999999</v>
      </c>
      <c r="AL8" s="92">
        <f>'Pharm Demand'!AL32</f>
        <v>582.00979094257127</v>
      </c>
      <c r="AM8" s="92">
        <f>'Pharm Demand'!AM32</f>
        <v>728.77350000000001</v>
      </c>
      <c r="AN8" s="92">
        <f>'Pharm Demand'!AN32</f>
        <v>587.90550000000007</v>
      </c>
      <c r="AO8" s="92">
        <f t="shared" ref="AO8:AO42" si="2">SUM(AC8:AN8)</f>
        <v>7691.3896815677181</v>
      </c>
      <c r="AP8" s="92">
        <f>'Pharm Demand'!AP32</f>
        <v>641.14405031208366</v>
      </c>
      <c r="AQ8" s="92">
        <f>'Pharm Demand'!AQ32</f>
        <v>564.56400000000008</v>
      </c>
      <c r="AR8" s="92">
        <f>'Pharm Demand'!AR32</f>
        <v>604.51418343736123</v>
      </c>
      <c r="AS8" s="92">
        <f>'Pharm Demand'!AS32</f>
        <v>601.64768343736114</v>
      </c>
      <c r="AT8" s="92">
        <f>'Pharm Demand'!AT32</f>
        <v>625.24398343736107</v>
      </c>
      <c r="AU8" s="92">
        <f>'Pharm Demand'!AU32</f>
        <v>0</v>
      </c>
      <c r="AV8" s="92">
        <f>'Pharm Demand'!AV32</f>
        <v>0</v>
      </c>
      <c r="AW8" s="92">
        <f>'Pharm Demand'!AW32</f>
        <v>0</v>
      </c>
      <c r="AX8" s="92">
        <f>'Pharm Demand'!AX32</f>
        <v>0</v>
      </c>
      <c r="AY8" s="92">
        <f>'Pharm Demand'!AY32</f>
        <v>0</v>
      </c>
      <c r="AZ8" s="92">
        <f>'Pharm Demand'!AZ32</f>
        <v>0</v>
      </c>
      <c r="BA8" s="92">
        <f>'Pharm Demand'!BA32</f>
        <v>0</v>
      </c>
      <c r="BB8" s="92">
        <f t="shared" ref="BB8:BB42" si="3">SUM(AP8:BA8)</f>
        <v>3037.1139006241674</v>
      </c>
    </row>
    <row r="9" spans="1:54">
      <c r="A9" s="88"/>
      <c r="B9" s="88"/>
      <c r="C9" s="94"/>
      <c r="D9" s="94"/>
      <c r="E9" s="94"/>
      <c r="F9" s="94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  <c r="AA9" s="92"/>
      <c r="AB9" s="92"/>
      <c r="AC9" s="92"/>
      <c r="AD9" s="92"/>
      <c r="AE9" s="92"/>
      <c r="AF9" s="92"/>
      <c r="AG9" s="92"/>
      <c r="AH9" s="92"/>
      <c r="AI9" s="92"/>
      <c r="AJ9" s="92"/>
      <c r="AK9" s="92"/>
      <c r="AL9" s="92"/>
      <c r="AM9" s="92"/>
      <c r="AN9" s="92"/>
      <c r="AO9" s="92"/>
      <c r="AP9" s="92"/>
      <c r="AQ9" s="92"/>
      <c r="AR9" s="92"/>
      <c r="AS9" s="92"/>
      <c r="AT9" s="92"/>
      <c r="AU9" s="92"/>
      <c r="AV9" s="92"/>
      <c r="AW9" s="92"/>
      <c r="AX9" s="92"/>
      <c r="AY9" s="92"/>
      <c r="AZ9" s="92"/>
      <c r="BA9" s="92"/>
      <c r="BB9" s="92"/>
    </row>
    <row r="10" spans="1:54">
      <c r="A10" s="89" t="s">
        <v>73</v>
      </c>
      <c r="B10" s="88" t="s">
        <v>14</v>
      </c>
      <c r="C10" s="94">
        <f>'Pharm Demand'!C34</f>
        <v>2075</v>
      </c>
      <c r="D10" s="94">
        <f>'Pharm Demand'!D34</f>
        <v>2641</v>
      </c>
      <c r="E10" s="94">
        <f>'Pharm Demand'!E34</f>
        <v>1565</v>
      </c>
      <c r="F10" s="94">
        <f>'Pharm Demand'!F34</f>
        <v>2371</v>
      </c>
      <c r="G10" s="92">
        <f>'Pharm Demand'!G34</f>
        <v>3388.2488268523284</v>
      </c>
      <c r="H10" s="92">
        <f>'Pharm Demand'!H34</f>
        <v>2482.343933127157</v>
      </c>
      <c r="I10" s="92">
        <f>'Pharm Demand'!I34</f>
        <v>3936.7668605449844</v>
      </c>
      <c r="J10" s="92">
        <f>'Pharm Demand'!J34</f>
        <v>5143.0627702247566</v>
      </c>
      <c r="K10" s="92">
        <f>'Pharm Demand'!K34</f>
        <v>3256.9796558502389</v>
      </c>
      <c r="L10" s="92">
        <f>'Pharm Demand'!L34</f>
        <v>3239.5569809378544</v>
      </c>
      <c r="M10" s="92">
        <f>'Pharm Demand'!M34</f>
        <v>3307.9555702615789</v>
      </c>
      <c r="N10" s="92">
        <f>'Pharm Demand'!N34</f>
        <v>3300.4320800632522</v>
      </c>
      <c r="O10" s="92">
        <f t="shared" si="0"/>
        <v>36707.346677862151</v>
      </c>
      <c r="P10" s="92">
        <f>'Pharm Demand'!P34</f>
        <v>2711.6328488673807</v>
      </c>
      <c r="Q10" s="92">
        <f>'Pharm Demand'!Q34</f>
        <v>1802.6256393304911</v>
      </c>
      <c r="R10" s="92">
        <f>'Pharm Demand'!R34</f>
        <v>1194.7814410405415</v>
      </c>
      <c r="S10" s="92">
        <f>'Pharm Demand'!S34</f>
        <v>775.40845139082478</v>
      </c>
      <c r="T10" s="92">
        <f>'Pharm Demand'!T34</f>
        <v>507.84480980129058</v>
      </c>
      <c r="U10" s="92">
        <f>'Pharm Demand'!U34</f>
        <v>324.07744381345714</v>
      </c>
      <c r="V10" s="92">
        <f>'Pharm Demand'!V34</f>
        <v>324.64066740657603</v>
      </c>
      <c r="W10" s="92">
        <f>'Pharm Demand'!W34</f>
        <v>328.2232812266879</v>
      </c>
      <c r="X10" s="92">
        <f>'Pharm Demand'!X34</f>
        <v>332.07723596990439</v>
      </c>
      <c r="Y10" s="92">
        <f>'Pharm Demand'!Y34</f>
        <v>334.11047625406911</v>
      </c>
      <c r="Z10" s="92">
        <f>'Pharm Demand'!Z34</f>
        <v>337.42366533955044</v>
      </c>
      <c r="AA10" s="92">
        <f>'Pharm Demand'!AA34</f>
        <v>339.03811715540138</v>
      </c>
      <c r="AB10" s="92">
        <f t="shared" si="1"/>
        <v>9311.8840775961744</v>
      </c>
      <c r="AC10" s="92">
        <f>'Pharm Demand'!AC34</f>
        <v>341.44711242262099</v>
      </c>
      <c r="AD10" s="92">
        <f>'Pharm Demand'!AD34</f>
        <v>293.3362602005709</v>
      </c>
      <c r="AE10" s="92">
        <f>'Pharm Demand'!AE34</f>
        <v>184.99819912612188</v>
      </c>
      <c r="AF10" s="92">
        <f>'Pharm Demand'!AF34</f>
        <v>110.86984803955831</v>
      </c>
      <c r="AG10" s="92">
        <f>'Pharm Demand'!AG34</f>
        <v>62.958980564349638</v>
      </c>
      <c r="AH10" s="92">
        <f>'Pharm Demand'!AH34</f>
        <v>29.991041186399993</v>
      </c>
      <c r="AI10" s="92">
        <f>'Pharm Demand'!AI34</f>
        <v>7.4783745387301241</v>
      </c>
      <c r="AJ10" s="92">
        <f>'Pharm Demand'!AJ34</f>
        <v>0</v>
      </c>
      <c r="AK10" s="92">
        <f>'Pharm Demand'!AK34</f>
        <v>0</v>
      </c>
      <c r="AL10" s="92">
        <f>'Pharm Demand'!AL34</f>
        <v>0</v>
      </c>
      <c r="AM10" s="92">
        <f>'Pharm Demand'!AM34</f>
        <v>0</v>
      </c>
      <c r="AN10" s="92">
        <f>'Pharm Demand'!AN34</f>
        <v>0</v>
      </c>
      <c r="AO10" s="92">
        <f t="shared" si="2"/>
        <v>1031.079816078352</v>
      </c>
      <c r="AP10" s="92">
        <f>'Pharm Demand'!AP34</f>
        <v>0</v>
      </c>
      <c r="AQ10" s="92">
        <f>'Pharm Demand'!AQ34</f>
        <v>0</v>
      </c>
      <c r="AR10" s="92">
        <f>'Pharm Demand'!AR34</f>
        <v>0</v>
      </c>
      <c r="AS10" s="92">
        <f>'Pharm Demand'!AS34</f>
        <v>0</v>
      </c>
      <c r="AT10" s="92">
        <f>'Pharm Demand'!AT34</f>
        <v>0</v>
      </c>
      <c r="AU10" s="92">
        <f>'Pharm Demand'!AU34</f>
        <v>0</v>
      </c>
      <c r="AV10" s="92">
        <f>'Pharm Demand'!AV34</f>
        <v>0</v>
      </c>
      <c r="AW10" s="92">
        <f>'Pharm Demand'!AW34</f>
        <v>0</v>
      </c>
      <c r="AX10" s="92">
        <f>'Pharm Demand'!AX34</f>
        <v>0</v>
      </c>
      <c r="AY10" s="92">
        <f>'Pharm Demand'!AY34</f>
        <v>0</v>
      </c>
      <c r="AZ10" s="92">
        <f>'Pharm Demand'!AZ34</f>
        <v>0</v>
      </c>
      <c r="BA10" s="92">
        <f>'Pharm Demand'!BA34</f>
        <v>0</v>
      </c>
      <c r="BB10" s="92">
        <f t="shared" si="3"/>
        <v>0</v>
      </c>
    </row>
    <row r="11" spans="1:54">
      <c r="A11" s="89" t="s">
        <v>112</v>
      </c>
      <c r="B11" s="88" t="s">
        <v>14</v>
      </c>
      <c r="C11" s="94">
        <f>'Pharm Demand'!C35</f>
        <v>0</v>
      </c>
      <c r="D11" s="94">
        <f>'Pharm Demand'!D35</f>
        <v>0</v>
      </c>
      <c r="E11" s="94">
        <f>'Pharm Demand'!E35</f>
        <v>0</v>
      </c>
      <c r="F11" s="94">
        <f>'Pharm Demand'!F35</f>
        <v>0</v>
      </c>
      <c r="G11" s="92">
        <f>'Pharm Demand'!G35</f>
        <v>0</v>
      </c>
      <c r="H11" s="92">
        <f>'Pharm Demand'!H35</f>
        <v>0</v>
      </c>
      <c r="I11" s="92">
        <f>'Pharm Demand'!I35</f>
        <v>0</v>
      </c>
      <c r="J11" s="92">
        <f>'Pharm Demand'!J35</f>
        <v>0</v>
      </c>
      <c r="K11" s="92">
        <f>'Pharm Demand'!K35</f>
        <v>0</v>
      </c>
      <c r="L11" s="92">
        <f>'Pharm Demand'!L35</f>
        <v>0</v>
      </c>
      <c r="M11" s="92">
        <f>'Pharm Demand'!M35</f>
        <v>0</v>
      </c>
      <c r="N11" s="92">
        <f>'Pharm Demand'!N35</f>
        <v>0</v>
      </c>
      <c r="O11" s="92">
        <f t="shared" si="0"/>
        <v>0</v>
      </c>
      <c r="P11" s="92">
        <f>'Pharm Demand'!P35</f>
        <v>2967.3735000000001</v>
      </c>
      <c r="Q11" s="92">
        <f>'Pharm Demand'!Q35</f>
        <v>2050.4248648303992</v>
      </c>
      <c r="R11" s="92">
        <f>'Pharm Demand'!R35</f>
        <v>1801.9365</v>
      </c>
      <c r="S11" s="92">
        <f>'Pharm Demand'!S35</f>
        <v>2902.6725000000001</v>
      </c>
      <c r="T11" s="92">
        <f>'Pharm Demand'!T35</f>
        <v>3296.5404210605543</v>
      </c>
      <c r="U11" s="92">
        <f>'Pharm Demand'!U35</f>
        <v>2528.1165000000001</v>
      </c>
      <c r="V11" s="92">
        <f>'Pharm Demand'!V35</f>
        <v>3098.0040000000004</v>
      </c>
      <c r="W11" s="92">
        <f>'Pharm Demand'!W35</f>
        <v>3394.6315310401915</v>
      </c>
      <c r="X11" s="92">
        <f>'Pharm Demand'!X35</f>
        <v>2615.067</v>
      </c>
      <c r="Y11" s="92">
        <f>'Pharm Demand'!Y35</f>
        <v>3056.9175</v>
      </c>
      <c r="Z11" s="92">
        <f>'Pharm Demand'!Z35</f>
        <v>3575.7540000000004</v>
      </c>
      <c r="AA11" s="92">
        <f>'Pharm Demand'!AA35</f>
        <v>3302.8905000000004</v>
      </c>
      <c r="AB11" s="92">
        <f t="shared" si="1"/>
        <v>34590.328816931142</v>
      </c>
      <c r="AC11" s="92">
        <f>'Pharm Demand'!AC35</f>
        <v>3073.0245000000004</v>
      </c>
      <c r="AD11" s="92">
        <f>'Pharm Demand'!AD35</f>
        <v>3105.9795238494144</v>
      </c>
      <c r="AE11" s="92">
        <f>'Pharm Demand'!AE35</f>
        <v>2580.5325000000003</v>
      </c>
      <c r="AF11" s="92">
        <f>'Pharm Demand'!AF35</f>
        <v>2186.8665000000001</v>
      </c>
      <c r="AG11" s="92">
        <f>'Pharm Demand'!AG35</f>
        <v>1951.264581396432</v>
      </c>
      <c r="AH11" s="92">
        <f>'Pharm Demand'!AH35</f>
        <v>1779.96</v>
      </c>
      <c r="AI11" s="92">
        <f>'Pharm Demand'!AI35</f>
        <v>1653.4245000000001</v>
      </c>
      <c r="AJ11" s="92">
        <f>'Pharm Demand'!AJ35</f>
        <v>1580.995889018451</v>
      </c>
      <c r="AK11" s="92">
        <f>'Pharm Demand'!AK35</f>
        <v>1612.6110000000001</v>
      </c>
      <c r="AL11" s="92">
        <f>'Pharm Demand'!AL35</f>
        <v>1634.8605000000002</v>
      </c>
      <c r="AM11" s="92">
        <f>'Pharm Demand'!AM35</f>
        <v>1664.1460518160698</v>
      </c>
      <c r="AN11" s="92">
        <f>'Pharm Demand'!AN35</f>
        <v>1684.41</v>
      </c>
      <c r="AO11" s="92">
        <f t="shared" si="2"/>
        <v>24508.07554608037</v>
      </c>
      <c r="AP11" s="92">
        <f>'Pharm Demand'!AP35</f>
        <v>1687.14</v>
      </c>
      <c r="AQ11" s="92">
        <f>'Pharm Demand'!AQ35</f>
        <v>1759.4850000000001</v>
      </c>
      <c r="AR11" s="92">
        <f>'Pharm Demand'!AR35</f>
        <v>1769.0400000000002</v>
      </c>
      <c r="AS11" s="92">
        <f>'Pharm Demand'!AS35</f>
        <v>1820.4550000000047</v>
      </c>
      <c r="AT11" s="92">
        <f>'Pharm Demand'!AT35</f>
        <v>1861.4050000000047</v>
      </c>
      <c r="AU11" s="92">
        <f>'Pharm Demand'!AU35</f>
        <v>0</v>
      </c>
      <c r="AV11" s="92">
        <f>'Pharm Demand'!AV35</f>
        <v>0</v>
      </c>
      <c r="AW11" s="92">
        <f>'Pharm Demand'!AW35</f>
        <v>0</v>
      </c>
      <c r="AX11" s="92">
        <f>'Pharm Demand'!AX35</f>
        <v>0</v>
      </c>
      <c r="AY11" s="92">
        <f>'Pharm Demand'!AY35</f>
        <v>0</v>
      </c>
      <c r="AZ11" s="92">
        <f>'Pharm Demand'!AZ35</f>
        <v>0</v>
      </c>
      <c r="BA11" s="92">
        <f>'Pharm Demand'!BA35</f>
        <v>0</v>
      </c>
      <c r="BB11" s="92">
        <f t="shared" si="3"/>
        <v>8897.5250000000087</v>
      </c>
    </row>
    <row r="12" spans="1:54">
      <c r="A12" s="89" t="s">
        <v>113</v>
      </c>
      <c r="B12" s="88" t="s">
        <v>14</v>
      </c>
      <c r="C12" s="94">
        <f>'Pharm Demand'!C36</f>
        <v>0</v>
      </c>
      <c r="D12" s="94">
        <f>'Pharm Demand'!D36</f>
        <v>0</v>
      </c>
      <c r="E12" s="94">
        <f>'Pharm Demand'!E36</f>
        <v>0</v>
      </c>
      <c r="F12" s="94">
        <f>'Pharm Demand'!F36</f>
        <v>0</v>
      </c>
      <c r="G12" s="92">
        <f>'Pharm Demand'!G36</f>
        <v>0</v>
      </c>
      <c r="H12" s="92">
        <f>'Pharm Demand'!H36</f>
        <v>0</v>
      </c>
      <c r="I12" s="92">
        <f>'Pharm Demand'!I36</f>
        <v>0</v>
      </c>
      <c r="J12" s="92">
        <f>'Pharm Demand'!J36</f>
        <v>0</v>
      </c>
      <c r="K12" s="92">
        <f>'Pharm Demand'!K36</f>
        <v>0</v>
      </c>
      <c r="L12" s="92">
        <f>'Pharm Demand'!L36</f>
        <v>0</v>
      </c>
      <c r="M12" s="92">
        <f>'Pharm Demand'!M36</f>
        <v>0</v>
      </c>
      <c r="N12" s="92">
        <f>'Pharm Demand'!N36</f>
        <v>0</v>
      </c>
      <c r="O12" s="92">
        <f t="shared" si="0"/>
        <v>0</v>
      </c>
      <c r="P12" s="92">
        <f>'Pharm Demand'!P36</f>
        <v>0</v>
      </c>
      <c r="Q12" s="92">
        <f>'Pharm Demand'!Q36</f>
        <v>0</v>
      </c>
      <c r="R12" s="92">
        <f>'Pharm Demand'!R36</f>
        <v>0</v>
      </c>
      <c r="S12" s="92">
        <f>'Pharm Demand'!S36</f>
        <v>0</v>
      </c>
      <c r="T12" s="92">
        <f>'Pharm Demand'!T36</f>
        <v>0</v>
      </c>
      <c r="U12" s="92">
        <f>'Pharm Demand'!U36</f>
        <v>0</v>
      </c>
      <c r="V12" s="92">
        <f>'Pharm Demand'!V36</f>
        <v>0</v>
      </c>
      <c r="W12" s="92">
        <f>'Pharm Demand'!W36</f>
        <v>0</v>
      </c>
      <c r="X12" s="92">
        <f>'Pharm Demand'!X36</f>
        <v>0</v>
      </c>
      <c r="Y12" s="92">
        <f>'Pharm Demand'!Y36</f>
        <v>0</v>
      </c>
      <c r="Z12" s="92">
        <f>'Pharm Demand'!Z36</f>
        <v>0</v>
      </c>
      <c r="AA12" s="92">
        <f>'Pharm Demand'!AA36</f>
        <v>0</v>
      </c>
      <c r="AB12" s="92">
        <f t="shared" si="1"/>
        <v>0</v>
      </c>
      <c r="AC12" s="92">
        <f>'Pharm Demand'!AC36</f>
        <v>0</v>
      </c>
      <c r="AD12" s="92">
        <f>'Pharm Demand'!AD36</f>
        <v>0</v>
      </c>
      <c r="AE12" s="92">
        <f>'Pharm Demand'!AE36</f>
        <v>0</v>
      </c>
      <c r="AF12" s="92">
        <f>'Pharm Demand'!AF36</f>
        <v>0</v>
      </c>
      <c r="AG12" s="92">
        <f>'Pharm Demand'!AG36</f>
        <v>0</v>
      </c>
      <c r="AH12" s="92">
        <f>'Pharm Demand'!AH36</f>
        <v>0</v>
      </c>
      <c r="AI12" s="92">
        <f>'Pharm Demand'!AI36</f>
        <v>0</v>
      </c>
      <c r="AJ12" s="92">
        <f>'Pharm Demand'!AJ36</f>
        <v>0</v>
      </c>
      <c r="AK12" s="92">
        <f>'Pharm Demand'!AK36</f>
        <v>0</v>
      </c>
      <c r="AL12" s="92">
        <f>'Pharm Demand'!AL36</f>
        <v>0</v>
      </c>
      <c r="AM12" s="92">
        <f>'Pharm Demand'!AM36</f>
        <v>0</v>
      </c>
      <c r="AN12" s="92">
        <f>'Pharm Demand'!AN36</f>
        <v>0</v>
      </c>
      <c r="AO12" s="92">
        <f t="shared" si="2"/>
        <v>0</v>
      </c>
      <c r="AP12" s="92">
        <f>'Pharm Demand'!AP36</f>
        <v>0</v>
      </c>
      <c r="AQ12" s="92">
        <f>'Pharm Demand'!AQ36</f>
        <v>0</v>
      </c>
      <c r="AR12" s="92">
        <f>'Pharm Demand'!AR36</f>
        <v>0</v>
      </c>
      <c r="AS12" s="92">
        <f>'Pharm Demand'!AS36</f>
        <v>0</v>
      </c>
      <c r="AT12" s="92">
        <f>'Pharm Demand'!AT36</f>
        <v>0</v>
      </c>
      <c r="AU12" s="92">
        <f>'Pharm Demand'!AU36</f>
        <v>0</v>
      </c>
      <c r="AV12" s="92">
        <f>'Pharm Demand'!AV36</f>
        <v>0</v>
      </c>
      <c r="AW12" s="92">
        <f>'Pharm Demand'!AW36</f>
        <v>0</v>
      </c>
      <c r="AX12" s="92">
        <f>'Pharm Demand'!AX36</f>
        <v>0</v>
      </c>
      <c r="AY12" s="92">
        <f>'Pharm Demand'!AY36</f>
        <v>0</v>
      </c>
      <c r="AZ12" s="92">
        <f>'Pharm Demand'!AZ36</f>
        <v>0</v>
      </c>
      <c r="BA12" s="92">
        <f>'Pharm Demand'!BA36</f>
        <v>0</v>
      </c>
      <c r="BB12" s="92">
        <f t="shared" si="3"/>
        <v>0</v>
      </c>
    </row>
    <row r="13" spans="1:54">
      <c r="A13" s="89" t="s">
        <v>74</v>
      </c>
      <c r="B13" s="88" t="s">
        <v>14</v>
      </c>
      <c r="C13" s="94">
        <f>'Pharm Demand'!C37</f>
        <v>1447</v>
      </c>
      <c r="D13" s="94">
        <f>'Pharm Demand'!D37</f>
        <v>1893</v>
      </c>
      <c r="E13" s="94">
        <f>'Pharm Demand'!E37</f>
        <v>705</v>
      </c>
      <c r="F13" s="94">
        <f>'Pharm Demand'!F37</f>
        <v>1303</v>
      </c>
      <c r="G13" s="92">
        <f>'Pharm Demand'!G37</f>
        <v>1757.4715463860989</v>
      </c>
      <c r="H13" s="92">
        <f>'Pharm Demand'!H37</f>
        <v>1345.7707339280421</v>
      </c>
      <c r="I13" s="92">
        <f>'Pharm Demand'!I37</f>
        <v>1175.1285</v>
      </c>
      <c r="J13" s="92">
        <f>'Pharm Demand'!J37</f>
        <v>1622.8485000000001</v>
      </c>
      <c r="K13" s="92">
        <f>'Pharm Demand'!K37</f>
        <v>1164.4815000000001</v>
      </c>
      <c r="L13" s="92">
        <f>'Pharm Demand'!L37</f>
        <v>1212.6253176352884</v>
      </c>
      <c r="M13" s="92">
        <f>'Pharm Demand'!M37</f>
        <v>1939.3085122459654</v>
      </c>
      <c r="N13" s="92">
        <f>'Pharm Demand'!N37</f>
        <v>1550.6836849564099</v>
      </c>
      <c r="O13" s="92">
        <f t="shared" si="0"/>
        <v>17116.318295151807</v>
      </c>
      <c r="P13" s="92">
        <f>'Pharm Demand'!P37</f>
        <v>1617.9345000000001</v>
      </c>
      <c r="Q13" s="92">
        <f>'Pharm Demand'!Q37</f>
        <v>2277.6390000000001</v>
      </c>
      <c r="R13" s="92">
        <f>'Pharm Demand'!R37</f>
        <v>539.721</v>
      </c>
      <c r="S13" s="92">
        <f>'Pharm Demand'!S37</f>
        <v>327.327</v>
      </c>
      <c r="T13" s="92">
        <f>'Pharm Demand'!T37</f>
        <v>571.25250000000005</v>
      </c>
      <c r="U13" s="92">
        <f>'Pharm Demand'!U37</f>
        <v>360.2235</v>
      </c>
      <c r="V13" s="92">
        <f>'Pharm Demand'!V37</f>
        <v>382.06350000000003</v>
      </c>
      <c r="W13" s="92">
        <f>'Pharm Demand'!W37</f>
        <v>512.5575</v>
      </c>
      <c r="X13" s="92">
        <f>'Pharm Demand'!X37</f>
        <v>369.096</v>
      </c>
      <c r="Y13" s="92">
        <f>'Pharm Demand'!Y37</f>
        <v>361.58850000000001</v>
      </c>
      <c r="Z13" s="92">
        <f>'Pharm Demand'!Z37</f>
        <v>320.63850000000002</v>
      </c>
      <c r="AA13" s="92">
        <f>'Pharm Demand'!AA37</f>
        <v>109.88250000000001</v>
      </c>
      <c r="AB13" s="92">
        <f t="shared" si="1"/>
        <v>7749.924</v>
      </c>
      <c r="AC13" s="92">
        <f>'Pharm Demand'!AC37</f>
        <v>102.37500000000001</v>
      </c>
      <c r="AD13" s="92">
        <f>'Pharm Demand'!AD37</f>
        <v>132.81450000000001</v>
      </c>
      <c r="AE13" s="92">
        <f>'Pharm Demand'!AE37</f>
        <v>85.858500000000006</v>
      </c>
      <c r="AF13" s="92">
        <f>'Pharm Demand'!AF37</f>
        <v>85.176000000000002</v>
      </c>
      <c r="AG13" s="92">
        <f>'Pharm Demand'!AG37</f>
        <v>137.04600000000002</v>
      </c>
      <c r="AH13" s="92">
        <f>'Pharm Demand'!AH37</f>
        <v>92.274000000000001</v>
      </c>
      <c r="AI13" s="92">
        <f>'Pharm Demand'!AI37</f>
        <v>100.191</v>
      </c>
      <c r="AJ13" s="92">
        <f>'Pharm Demand'!AJ37</f>
        <v>144.14400000000001</v>
      </c>
      <c r="AK13" s="92">
        <f>'Pharm Demand'!AK37</f>
        <v>92.683500000000009</v>
      </c>
      <c r="AL13" s="92">
        <f>'Pharm Demand'!AL37</f>
        <v>96.505500000000012</v>
      </c>
      <c r="AM13" s="92">
        <f>'Pharm Demand'!AM37</f>
        <v>166.93950000000001</v>
      </c>
      <c r="AN13" s="92">
        <f>'Pharm Demand'!AN37</f>
        <v>92.547000000000011</v>
      </c>
      <c r="AO13" s="92">
        <f t="shared" si="2"/>
        <v>1328.5545</v>
      </c>
      <c r="AP13" s="92">
        <f>'Pharm Demand'!AP37</f>
        <v>120.93900000000001</v>
      </c>
      <c r="AQ13" s="92">
        <f>'Pharm Demand'!AQ37</f>
        <v>135.68100000000001</v>
      </c>
      <c r="AR13" s="92">
        <f>'Pharm Demand'!AR37</f>
        <v>116.70750000000001</v>
      </c>
      <c r="AS13" s="92">
        <f>'Pharm Demand'!AS37</f>
        <v>130.494</v>
      </c>
      <c r="AT13" s="92">
        <f>'Pharm Demand'!AT37</f>
        <v>122.44049999999989</v>
      </c>
      <c r="AU13" s="92">
        <f>'Pharm Demand'!AU37</f>
        <v>0</v>
      </c>
      <c r="AV13" s="92">
        <f>'Pharm Demand'!AV37</f>
        <v>0</v>
      </c>
      <c r="AW13" s="92">
        <f>'Pharm Demand'!AW37</f>
        <v>0</v>
      </c>
      <c r="AX13" s="92">
        <f>'Pharm Demand'!AX37</f>
        <v>0</v>
      </c>
      <c r="AY13" s="92">
        <f>'Pharm Demand'!AY37</f>
        <v>0</v>
      </c>
      <c r="AZ13" s="92">
        <f>'Pharm Demand'!AZ37</f>
        <v>0</v>
      </c>
      <c r="BA13" s="92">
        <f>'Pharm Demand'!BA37</f>
        <v>0</v>
      </c>
      <c r="BB13" s="92">
        <f t="shared" si="3"/>
        <v>626.26199999999994</v>
      </c>
    </row>
    <row r="14" spans="1:54">
      <c r="A14" s="89"/>
      <c r="B14" s="88"/>
      <c r="C14" s="94"/>
      <c r="D14" s="94"/>
      <c r="E14" s="94"/>
      <c r="F14" s="94"/>
      <c r="G14" s="92"/>
      <c r="H14" s="92"/>
      <c r="I14" s="92"/>
      <c r="J14" s="92"/>
      <c r="K14" s="92"/>
      <c r="L14" s="92"/>
      <c r="M14" s="92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  <c r="AA14" s="92"/>
      <c r="AB14" s="92"/>
      <c r="AC14" s="92"/>
      <c r="AD14" s="92"/>
      <c r="AE14" s="92"/>
      <c r="AF14" s="92"/>
      <c r="AG14" s="92"/>
      <c r="AH14" s="92"/>
      <c r="AI14" s="92"/>
      <c r="AJ14" s="92"/>
      <c r="AK14" s="92"/>
      <c r="AL14" s="92"/>
      <c r="AM14" s="92"/>
      <c r="AN14" s="92"/>
      <c r="AO14" s="92"/>
      <c r="AP14" s="92"/>
      <c r="AQ14" s="92"/>
      <c r="AR14" s="92"/>
      <c r="AS14" s="92"/>
      <c r="AT14" s="92"/>
      <c r="AU14" s="92"/>
      <c r="AV14" s="92"/>
      <c r="AW14" s="92"/>
      <c r="AX14" s="92"/>
      <c r="AY14" s="92"/>
      <c r="AZ14" s="92"/>
      <c r="BA14" s="92"/>
      <c r="BB14" s="92"/>
    </row>
    <row r="15" spans="1:54">
      <c r="A15" s="89" t="s">
        <v>115</v>
      </c>
      <c r="B15" s="88" t="s">
        <v>14</v>
      </c>
      <c r="C15" s="94">
        <f>'Pharm Demand'!C39</f>
        <v>0</v>
      </c>
      <c r="D15" s="94">
        <f>'Pharm Demand'!D39</f>
        <v>0</v>
      </c>
      <c r="E15" s="94">
        <f>'Pharm Demand'!E39</f>
        <v>0</v>
      </c>
      <c r="F15" s="94">
        <f>'Pharm Demand'!F39</f>
        <v>0</v>
      </c>
      <c r="G15" s="92">
        <f>'Pharm Demand'!G39</f>
        <v>0</v>
      </c>
      <c r="H15" s="92">
        <f>'Pharm Demand'!H39</f>
        <v>0</v>
      </c>
      <c r="I15" s="92">
        <f>'Pharm Demand'!I39</f>
        <v>0</v>
      </c>
      <c r="J15" s="92">
        <f>'Pharm Demand'!J39</f>
        <v>0</v>
      </c>
      <c r="K15" s="92">
        <f>'Pharm Demand'!K39</f>
        <v>0</v>
      </c>
      <c r="L15" s="92">
        <f>'Pharm Demand'!L39</f>
        <v>0</v>
      </c>
      <c r="M15" s="92">
        <f>'Pharm Demand'!M39</f>
        <v>0</v>
      </c>
      <c r="N15" s="92">
        <f>'Pharm Demand'!N39</f>
        <v>0</v>
      </c>
      <c r="O15" s="92">
        <f t="shared" si="0"/>
        <v>0</v>
      </c>
      <c r="P15" s="92">
        <f>'Pharm Demand'!P39</f>
        <v>0</v>
      </c>
      <c r="Q15" s="92">
        <f>'Pharm Demand'!Q39</f>
        <v>0</v>
      </c>
      <c r="R15" s="92">
        <f>'Pharm Demand'!R39</f>
        <v>0</v>
      </c>
      <c r="S15" s="92">
        <f>'Pharm Demand'!S39</f>
        <v>0</v>
      </c>
      <c r="T15" s="92">
        <f>'Pharm Demand'!T39</f>
        <v>0</v>
      </c>
      <c r="U15" s="92">
        <f>'Pharm Demand'!U39</f>
        <v>0</v>
      </c>
      <c r="V15" s="92">
        <f>'Pharm Demand'!V39</f>
        <v>149.19450000000001</v>
      </c>
      <c r="W15" s="92">
        <f>'Pharm Demand'!W39</f>
        <v>126.2625</v>
      </c>
      <c r="X15" s="92">
        <f>'Pharm Demand'!X39</f>
        <v>174.72000000000003</v>
      </c>
      <c r="Y15" s="92">
        <f>'Pharm Demand'!Y39</f>
        <v>352.57950000000005</v>
      </c>
      <c r="Z15" s="92">
        <f>'Pharm Demand'!Z39</f>
        <v>321.86700000000002</v>
      </c>
      <c r="AA15" s="92">
        <f>'Pharm Demand'!AA39</f>
        <v>418.37250000000006</v>
      </c>
      <c r="AB15" s="92">
        <f t="shared" si="1"/>
        <v>1542.9960000000001</v>
      </c>
      <c r="AC15" s="92">
        <f>'Pharm Demand'!AC39</f>
        <v>520.33800000000008</v>
      </c>
      <c r="AD15" s="92">
        <f>'Pharm Demand'!AD39</f>
        <v>493.44750000000005</v>
      </c>
      <c r="AE15" s="92">
        <f>'Pharm Demand'!AE39</f>
        <v>535.48950000000002</v>
      </c>
      <c r="AF15" s="92">
        <f>'Pharm Demand'!AF39</f>
        <v>692.73750000000007</v>
      </c>
      <c r="AG15" s="92">
        <f>'Pharm Demand'!AG39</f>
        <v>598.14300000000003</v>
      </c>
      <c r="AH15" s="92">
        <f>'Pharm Demand'!AH39</f>
        <v>726.04350000000011</v>
      </c>
      <c r="AI15" s="92">
        <f>'Pharm Demand'!AI39</f>
        <v>820.22850000000005</v>
      </c>
      <c r="AJ15" s="92">
        <f>'Pharm Demand'!AJ39</f>
        <v>596.91450000000009</v>
      </c>
      <c r="AK15" s="92">
        <f>'Pharm Demand'!AK39</f>
        <v>700.92750000000001</v>
      </c>
      <c r="AL15" s="92">
        <f>'Pharm Demand'!AL39</f>
        <v>902.9475000000001</v>
      </c>
      <c r="AM15" s="92">
        <f>'Pharm Demand'!AM39</f>
        <v>625.30650000000003</v>
      </c>
      <c r="AN15" s="92">
        <f>'Pharm Demand'!AN39</f>
        <v>625.30650000000003</v>
      </c>
      <c r="AO15" s="92">
        <f t="shared" si="2"/>
        <v>7837.83</v>
      </c>
      <c r="AP15" s="92">
        <f>'Pharm Demand'!AP39</f>
        <v>625.30650000000003</v>
      </c>
      <c r="AQ15" s="92">
        <f>'Pharm Demand'!AQ39</f>
        <v>704.23328181818238</v>
      </c>
      <c r="AR15" s="92">
        <f>'Pharm Demand'!AR39</f>
        <v>708.73654090909145</v>
      </c>
      <c r="AS15" s="92">
        <f>'Pharm Demand'!AS39</f>
        <v>713.23980000000086</v>
      </c>
      <c r="AT15" s="92">
        <f>'Pharm Demand'!AT39</f>
        <v>754.95482045454742</v>
      </c>
      <c r="AU15" s="92">
        <f>'Pharm Demand'!AU39</f>
        <v>0</v>
      </c>
      <c r="AV15" s="92">
        <f>'Pharm Demand'!AV39</f>
        <v>0</v>
      </c>
      <c r="AW15" s="92">
        <f>'Pharm Demand'!AW39</f>
        <v>0</v>
      </c>
      <c r="AX15" s="92">
        <f>'Pharm Demand'!AX39</f>
        <v>0</v>
      </c>
      <c r="AY15" s="92">
        <f>'Pharm Demand'!AY39</f>
        <v>0</v>
      </c>
      <c r="AZ15" s="92">
        <f>'Pharm Demand'!AZ39</f>
        <v>0</v>
      </c>
      <c r="BA15" s="92">
        <f>'Pharm Demand'!BA39</f>
        <v>0</v>
      </c>
      <c r="BB15" s="92">
        <f t="shared" si="3"/>
        <v>3506.4709431818219</v>
      </c>
    </row>
    <row r="16" spans="1:54">
      <c r="A16" s="89"/>
      <c r="B16" s="88"/>
      <c r="C16" s="94"/>
      <c r="D16" s="94"/>
      <c r="E16" s="94"/>
      <c r="F16" s="94"/>
      <c r="G16" s="92"/>
      <c r="H16" s="92"/>
      <c r="I16" s="92"/>
      <c r="J16" s="92"/>
      <c r="K16" s="92"/>
      <c r="L16" s="92"/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  <c r="AA16" s="92"/>
      <c r="AB16" s="92"/>
      <c r="AC16" s="92"/>
      <c r="AD16" s="92"/>
      <c r="AE16" s="92"/>
      <c r="AF16" s="92"/>
      <c r="AG16" s="92"/>
      <c r="AH16" s="92"/>
      <c r="AI16" s="92"/>
      <c r="AJ16" s="92"/>
      <c r="AK16" s="92"/>
      <c r="AL16" s="92"/>
      <c r="AM16" s="92"/>
      <c r="AN16" s="92"/>
      <c r="AO16" s="92"/>
      <c r="AP16" s="92"/>
      <c r="AQ16" s="92"/>
      <c r="AR16" s="92"/>
      <c r="AS16" s="92"/>
      <c r="AT16" s="92"/>
      <c r="AU16" s="92"/>
      <c r="AV16" s="92"/>
      <c r="AW16" s="92"/>
      <c r="AX16" s="92"/>
      <c r="AY16" s="92"/>
      <c r="AZ16" s="92"/>
      <c r="BA16" s="92"/>
      <c r="BB16" s="92"/>
    </row>
    <row r="17" spans="1:54">
      <c r="A17" s="29" t="s">
        <v>129</v>
      </c>
      <c r="B17" s="88" t="s">
        <v>14</v>
      </c>
      <c r="C17" s="94">
        <f>'Pharm Demand'!C41</f>
        <v>668</v>
      </c>
      <c r="D17" s="94">
        <f>'Pharm Demand'!D41</f>
        <v>561</v>
      </c>
      <c r="E17" s="94">
        <f>'Pharm Demand'!E41</f>
        <v>209</v>
      </c>
      <c r="F17" s="94">
        <f>'Pharm Demand'!F41</f>
        <v>646</v>
      </c>
      <c r="G17" s="92">
        <f>'Pharm Demand'!G41</f>
        <v>586.45691979187643</v>
      </c>
      <c r="H17" s="92">
        <f>'Pharm Demand'!H41</f>
        <v>469.64474180899339</v>
      </c>
      <c r="I17" s="92">
        <f>'Pharm Demand'!I41</f>
        <v>552.82500000000005</v>
      </c>
      <c r="J17" s="92">
        <f>'Pharm Demand'!J41</f>
        <v>506.82450000000006</v>
      </c>
      <c r="K17" s="92">
        <f>'Pharm Demand'!K41</f>
        <v>434.47950000000003</v>
      </c>
      <c r="L17" s="92">
        <f>'Pharm Demand'!L41</f>
        <v>633.96231737280243</v>
      </c>
      <c r="M17" s="92">
        <f>'Pharm Demand'!M41</f>
        <v>518.191172790873</v>
      </c>
      <c r="N17" s="92">
        <f>'Pharm Demand'!N41</f>
        <v>478.35129608380731</v>
      </c>
      <c r="O17" s="92">
        <f t="shared" si="0"/>
        <v>6264.7354478483521</v>
      </c>
      <c r="P17" s="92">
        <f>'Pharm Demand'!P41</f>
        <v>637.87185750288018</v>
      </c>
      <c r="Q17" s="92">
        <f>'Pharm Demand'!Q41</f>
        <v>461.91600000000005</v>
      </c>
      <c r="R17" s="92">
        <f>'Pharm Demand'!R41</f>
        <v>445.80900000000003</v>
      </c>
      <c r="S17" s="92">
        <f>'Pharm Demand'!S41</f>
        <v>611.25435750288011</v>
      </c>
      <c r="T17" s="92">
        <f>'Pharm Demand'!T41</f>
        <v>491.67300000000006</v>
      </c>
      <c r="U17" s="92">
        <f>'Pharm Demand'!U41</f>
        <v>469.28700000000003</v>
      </c>
      <c r="V17" s="92">
        <f>'Pharm Demand'!V41</f>
        <v>587.77635750288016</v>
      </c>
      <c r="W17" s="92">
        <f>'Pharm Demand'!W41</f>
        <v>491.67300000000006</v>
      </c>
      <c r="X17" s="92">
        <f>'Pharm Demand'!X41</f>
        <v>445.80900000000003</v>
      </c>
      <c r="Y17" s="92">
        <f>'Pharm Demand'!Y41</f>
        <v>635.82435750288016</v>
      </c>
      <c r="Z17" s="92">
        <f>'Pharm Demand'!Z41</f>
        <v>467.10300000000001</v>
      </c>
      <c r="AA17" s="92">
        <f>'Pharm Demand'!AA41</f>
        <v>516.24300000000005</v>
      </c>
      <c r="AB17" s="92">
        <f t="shared" si="1"/>
        <v>6262.2399300115212</v>
      </c>
      <c r="AC17" s="92">
        <f>'Pharm Demand'!AC41</f>
        <v>516.25035750288009</v>
      </c>
      <c r="AD17" s="92">
        <f>'Pharm Demand'!AD41</f>
        <v>516.24300000000005</v>
      </c>
      <c r="AE17" s="92">
        <f>'Pharm Demand'!AE41</f>
        <v>516.24300000000005</v>
      </c>
      <c r="AF17" s="92">
        <f>'Pharm Demand'!AF41</f>
        <v>516.25035750288009</v>
      </c>
      <c r="AG17" s="92">
        <f>'Pharm Demand'!AG41</f>
        <v>516.24300000000005</v>
      </c>
      <c r="AH17" s="92">
        <f>'Pharm Demand'!AH41</f>
        <v>516.24300000000005</v>
      </c>
      <c r="AI17" s="92">
        <f>'Pharm Demand'!AI41</f>
        <v>516.25035750288009</v>
      </c>
      <c r="AJ17" s="92">
        <f>'Pharm Demand'!AJ41</f>
        <v>516.24300000000005</v>
      </c>
      <c r="AK17" s="92">
        <f>'Pharm Demand'!AK41</f>
        <v>516.24300000000005</v>
      </c>
      <c r="AL17" s="92">
        <f>'Pharm Demand'!AL41</f>
        <v>516.25035750288009</v>
      </c>
      <c r="AM17" s="92">
        <f>'Pharm Demand'!AM41</f>
        <v>516.24300000000005</v>
      </c>
      <c r="AN17" s="92">
        <f>'Pharm Demand'!AN41</f>
        <v>516.24300000000005</v>
      </c>
      <c r="AO17" s="92">
        <f t="shared" si="2"/>
        <v>6194.9454300115221</v>
      </c>
      <c r="AP17" s="92">
        <f>'Pharm Demand'!AP41</f>
        <v>516.25035750288009</v>
      </c>
      <c r="AQ17" s="92">
        <f>'Pharm Demand'!AQ41</f>
        <v>516.24300000000005</v>
      </c>
      <c r="AR17" s="92">
        <f>'Pharm Demand'!AR41</f>
        <v>516.24300000000005</v>
      </c>
      <c r="AS17" s="92">
        <f>'Pharm Demand'!AS41</f>
        <v>522.11250000000007</v>
      </c>
      <c r="AT17" s="92">
        <f>'Pharm Demand'!AT41</f>
        <v>540.59460000000001</v>
      </c>
      <c r="AU17" s="92">
        <f>'Pharm Demand'!AU41</f>
        <v>0</v>
      </c>
      <c r="AV17" s="92">
        <f>'Pharm Demand'!AV41</f>
        <v>0</v>
      </c>
      <c r="AW17" s="92">
        <f>'Pharm Demand'!AW41</f>
        <v>0</v>
      </c>
      <c r="AX17" s="92">
        <f>'Pharm Demand'!AX41</f>
        <v>0</v>
      </c>
      <c r="AY17" s="92">
        <f>'Pharm Demand'!AY41</f>
        <v>0</v>
      </c>
      <c r="AZ17" s="92">
        <f>'Pharm Demand'!AZ41</f>
        <v>0</v>
      </c>
      <c r="BA17" s="92">
        <f>'Pharm Demand'!BA41</f>
        <v>0</v>
      </c>
      <c r="BB17" s="92">
        <f t="shared" si="3"/>
        <v>2611.4434575028804</v>
      </c>
    </row>
    <row r="18" spans="1:54">
      <c r="A18" s="29" t="s">
        <v>132</v>
      </c>
      <c r="B18" s="88" t="s">
        <v>14</v>
      </c>
      <c r="C18" s="94">
        <v>0</v>
      </c>
      <c r="D18" s="94">
        <v>0</v>
      </c>
      <c r="E18" s="94">
        <v>0</v>
      </c>
      <c r="F18" s="94">
        <v>0</v>
      </c>
      <c r="G18" s="68">
        <v>0</v>
      </c>
      <c r="H18" s="68">
        <v>0</v>
      </c>
      <c r="I18" s="68">
        <v>0</v>
      </c>
      <c r="J18" s="68">
        <v>0</v>
      </c>
      <c r="K18" s="68">
        <v>0</v>
      </c>
      <c r="L18" s="68">
        <v>0</v>
      </c>
      <c r="M18" s="68">
        <v>0</v>
      </c>
      <c r="N18" s="68">
        <v>0</v>
      </c>
      <c r="O18" s="68">
        <v>0</v>
      </c>
      <c r="P18" s="68">
        <v>0</v>
      </c>
      <c r="Q18" s="68">
        <v>0</v>
      </c>
      <c r="R18" s="68">
        <v>0</v>
      </c>
      <c r="S18" s="68">
        <v>0</v>
      </c>
      <c r="T18" s="68">
        <v>0</v>
      </c>
      <c r="U18" s="68">
        <v>0</v>
      </c>
      <c r="V18" s="68">
        <v>0</v>
      </c>
      <c r="W18" s="68">
        <v>0</v>
      </c>
      <c r="X18" s="68">
        <v>0</v>
      </c>
      <c r="Y18" s="68">
        <v>0</v>
      </c>
      <c r="Z18" s="68">
        <v>0</v>
      </c>
      <c r="AA18" s="68">
        <v>0</v>
      </c>
      <c r="AB18" s="68">
        <v>0</v>
      </c>
      <c r="AC18" s="68">
        <v>0</v>
      </c>
      <c r="AD18" s="68">
        <v>0</v>
      </c>
      <c r="AE18" s="68">
        <v>0</v>
      </c>
      <c r="AF18" s="68">
        <v>0</v>
      </c>
      <c r="AG18" s="68">
        <v>0</v>
      </c>
      <c r="AH18" s="68">
        <v>0</v>
      </c>
      <c r="AI18" s="68">
        <v>0</v>
      </c>
      <c r="AJ18" s="68">
        <v>0</v>
      </c>
      <c r="AK18" s="68">
        <v>0</v>
      </c>
      <c r="AL18" s="68">
        <v>0</v>
      </c>
      <c r="AM18" s="68">
        <v>0</v>
      </c>
      <c r="AN18" s="68">
        <v>0</v>
      </c>
      <c r="AO18" s="68">
        <v>0</v>
      </c>
      <c r="AP18" s="68">
        <v>0</v>
      </c>
      <c r="AQ18" s="68">
        <v>0</v>
      </c>
      <c r="AR18" s="68">
        <v>0</v>
      </c>
      <c r="AS18" s="68">
        <v>0</v>
      </c>
      <c r="AT18" s="68">
        <v>0</v>
      </c>
      <c r="AU18" s="68">
        <v>0</v>
      </c>
      <c r="AV18" s="68">
        <v>0</v>
      </c>
      <c r="AW18" s="68">
        <v>0</v>
      </c>
      <c r="AX18" s="68">
        <v>0</v>
      </c>
      <c r="AY18" s="68">
        <v>0</v>
      </c>
      <c r="AZ18" s="68">
        <v>0</v>
      </c>
      <c r="BA18" s="68">
        <v>0</v>
      </c>
      <c r="BB18" s="68">
        <v>0</v>
      </c>
    </row>
    <row r="19" spans="1:54">
      <c r="A19" s="99" t="s">
        <v>145</v>
      </c>
      <c r="B19" s="88" t="s">
        <v>14</v>
      </c>
      <c r="C19" s="94">
        <f>'Pharm Demand'!C42</f>
        <v>0</v>
      </c>
      <c r="D19" s="94">
        <f>'Pharm Demand'!D42</f>
        <v>0</v>
      </c>
      <c r="E19" s="94">
        <f>'Pharm Demand'!E42</f>
        <v>0</v>
      </c>
      <c r="F19" s="94">
        <f>'Pharm Demand'!F42</f>
        <v>25854.04</v>
      </c>
      <c r="G19" s="92">
        <f>'Pharm Demand'!G42</f>
        <v>3300</v>
      </c>
      <c r="H19" s="92">
        <f>'Pharm Demand'!H42</f>
        <v>2750</v>
      </c>
      <c r="I19" s="92">
        <f>'Pharm Demand'!I42</f>
        <v>2500</v>
      </c>
      <c r="J19" s="92">
        <f>'Pharm Demand'!J42</f>
        <v>2500</v>
      </c>
      <c r="K19" s="92">
        <f>'Pharm Demand'!K42</f>
        <v>2500</v>
      </c>
      <c r="L19" s="92">
        <f>'Pharm Demand'!L42</f>
        <v>2500</v>
      </c>
      <c r="M19" s="92">
        <f>'Pharm Demand'!M42</f>
        <v>2500</v>
      </c>
      <c r="N19" s="92">
        <f>'Pharm Demand'!N42</f>
        <v>2500</v>
      </c>
      <c r="O19" s="92">
        <f>SUM(C19:N19)</f>
        <v>46904.04</v>
      </c>
      <c r="P19" s="92">
        <f>'Pharm Demand'!P42</f>
        <v>5000</v>
      </c>
      <c r="Q19" s="92">
        <f>'Pharm Demand'!Q42</f>
        <v>5000</v>
      </c>
      <c r="R19" s="92">
        <f>'Pharm Demand'!R42</f>
        <v>5000</v>
      </c>
      <c r="S19" s="92">
        <f>'Pharm Demand'!S42</f>
        <v>5000</v>
      </c>
      <c r="T19" s="92">
        <f>'Pharm Demand'!T42</f>
        <v>5000</v>
      </c>
      <c r="U19" s="92">
        <f>'Pharm Demand'!U42</f>
        <v>5000</v>
      </c>
      <c r="V19" s="92">
        <f>'Pharm Demand'!V42</f>
        <v>5000</v>
      </c>
      <c r="W19" s="92">
        <f>'Pharm Demand'!W42</f>
        <v>5000</v>
      </c>
      <c r="X19" s="92">
        <f>'Pharm Demand'!X42</f>
        <v>5000</v>
      </c>
      <c r="Y19" s="92">
        <f>'Pharm Demand'!Y42</f>
        <v>5000</v>
      </c>
      <c r="Z19" s="92">
        <f>'Pharm Demand'!Z42</f>
        <v>5000</v>
      </c>
      <c r="AA19" s="92">
        <f>'Pharm Demand'!AA42</f>
        <v>5000</v>
      </c>
      <c r="AB19" s="92">
        <f>SUM(P19:AA19)</f>
        <v>60000</v>
      </c>
      <c r="AC19" s="92">
        <f>'Pharm Demand'!AC42</f>
        <v>994.94730573849188</v>
      </c>
      <c r="AD19" s="92">
        <f>'Pharm Demand'!AD42</f>
        <v>1173.1453736319011</v>
      </c>
      <c r="AE19" s="92">
        <f>'Pharm Demand'!AE42</f>
        <v>994.94730573849188</v>
      </c>
      <c r="AF19" s="92">
        <f>'Pharm Demand'!AF42</f>
        <v>1030.9464537619363</v>
      </c>
      <c r="AG19" s="92">
        <f>'Pharm Demand'!AG42</f>
        <v>1213.6444151582757</v>
      </c>
      <c r="AH19" s="92">
        <f>'Pharm Demand'!AH42</f>
        <v>1039.8264339619361</v>
      </c>
      <c r="AI19" s="92">
        <f>'Pharm Demand'!AI42</f>
        <v>1088.5830655975142</v>
      </c>
      <c r="AJ19" s="92">
        <f>'Pharm Demand'!AJ42</f>
        <v>1299.6683310603833</v>
      </c>
      <c r="AK19" s="92">
        <f>'Pharm Demand'!AK42</f>
        <v>1129.8115450975142</v>
      </c>
      <c r="AL19" s="92">
        <f>'Pharm Demand'!AL42</f>
        <v>1185.5235522299258</v>
      </c>
      <c r="AM19" s="92">
        <f>'Pharm Demand'!AM42</f>
        <v>1399.0122172624908</v>
      </c>
      <c r="AN19" s="92">
        <f>'Pharm Demand'!AN42</f>
        <v>1221.0434730299257</v>
      </c>
      <c r="AO19" s="92">
        <f>SUM(AC19:AN19)</f>
        <v>13771.099472268788</v>
      </c>
      <c r="AP19" s="92">
        <f>'Pharm Demand'!AP42</f>
        <v>0</v>
      </c>
      <c r="AQ19" s="92">
        <f>'Pharm Demand'!AQ42</f>
        <v>0</v>
      </c>
      <c r="AR19" s="92">
        <f>'Pharm Demand'!AR42</f>
        <v>0</v>
      </c>
      <c r="AS19" s="92">
        <f>'Pharm Demand'!AS42</f>
        <v>0</v>
      </c>
      <c r="AT19" s="92">
        <f>'Pharm Demand'!AT42</f>
        <v>0</v>
      </c>
      <c r="AU19" s="92">
        <f>'Pharm Demand'!AU42</f>
        <v>0</v>
      </c>
      <c r="AV19" s="92">
        <f>'Pharm Demand'!AV42</f>
        <v>0</v>
      </c>
      <c r="AW19" s="92">
        <f>'Pharm Demand'!AW42</f>
        <v>0</v>
      </c>
      <c r="AX19" s="92">
        <f>'Pharm Demand'!AX42</f>
        <v>0</v>
      </c>
      <c r="AY19" s="92">
        <f>'Pharm Demand'!AY42</f>
        <v>0</v>
      </c>
      <c r="AZ19" s="92">
        <f>'Pharm Demand'!AZ42</f>
        <v>0</v>
      </c>
      <c r="BA19" s="92">
        <f>'Pharm Demand'!BA42</f>
        <v>0</v>
      </c>
      <c r="BB19" s="92">
        <f>SUM(AP19:BA19)</f>
        <v>0</v>
      </c>
    </row>
    <row r="20" spans="1:54">
      <c r="A20" s="99" t="s">
        <v>140</v>
      </c>
      <c r="B20" s="88" t="s">
        <v>14</v>
      </c>
      <c r="C20" s="94"/>
      <c r="D20" s="94"/>
      <c r="E20" s="94"/>
      <c r="F20" s="94"/>
      <c r="G20" s="92"/>
      <c r="H20" s="92"/>
      <c r="I20" s="92"/>
      <c r="J20" s="92"/>
      <c r="K20" s="92"/>
      <c r="L20" s="92"/>
      <c r="M20" s="92"/>
      <c r="N20" s="92"/>
      <c r="O20" s="92">
        <f t="shared" si="0"/>
        <v>0</v>
      </c>
      <c r="P20" s="92"/>
      <c r="Q20" s="92"/>
      <c r="R20" s="92"/>
      <c r="S20" s="92"/>
      <c r="T20" s="92"/>
      <c r="U20" s="92"/>
      <c r="V20" s="92"/>
      <c r="W20" s="92"/>
      <c r="X20" s="92"/>
      <c r="Y20" s="92"/>
      <c r="Z20" s="92"/>
      <c r="AA20" s="92"/>
      <c r="AB20" s="92">
        <f t="shared" si="1"/>
        <v>0</v>
      </c>
      <c r="AC20" s="92"/>
      <c r="AD20" s="92"/>
      <c r="AE20" s="92"/>
      <c r="AF20" s="92"/>
      <c r="AG20" s="92"/>
      <c r="AH20" s="92"/>
      <c r="AI20" s="92"/>
      <c r="AJ20" s="92"/>
      <c r="AK20" s="92"/>
      <c r="AL20" s="92"/>
      <c r="AM20" s="92"/>
      <c r="AN20" s="92"/>
      <c r="AO20" s="92">
        <f t="shared" si="2"/>
        <v>0</v>
      </c>
      <c r="AP20" s="92"/>
      <c r="AQ20" s="92"/>
      <c r="AR20" s="92"/>
      <c r="AS20" s="92"/>
      <c r="AT20" s="92"/>
      <c r="AU20" s="92"/>
      <c r="AV20" s="92"/>
      <c r="AW20" s="92"/>
      <c r="AX20" s="92"/>
      <c r="AY20" s="92"/>
      <c r="AZ20" s="92"/>
      <c r="BA20" s="92"/>
      <c r="BB20" s="92">
        <f t="shared" si="3"/>
        <v>0</v>
      </c>
    </row>
    <row r="21" spans="1:54">
      <c r="A21" s="99" t="s">
        <v>141</v>
      </c>
      <c r="B21" s="88" t="s">
        <v>14</v>
      </c>
      <c r="C21" s="94"/>
      <c r="D21" s="94"/>
      <c r="E21" s="94"/>
      <c r="F21" s="94"/>
      <c r="G21" s="92"/>
      <c r="H21" s="92"/>
      <c r="I21" s="92"/>
      <c r="J21" s="92"/>
      <c r="K21" s="92"/>
      <c r="L21" s="92"/>
      <c r="M21" s="92"/>
      <c r="N21" s="92"/>
      <c r="O21" s="92">
        <f t="shared" si="0"/>
        <v>0</v>
      </c>
      <c r="P21" s="92"/>
      <c r="Q21" s="92"/>
      <c r="R21" s="92"/>
      <c r="S21" s="92"/>
      <c r="T21" s="92"/>
      <c r="U21" s="92"/>
      <c r="V21" s="92"/>
      <c r="W21" s="92"/>
      <c r="X21" s="92"/>
      <c r="Y21" s="92"/>
      <c r="Z21" s="92"/>
      <c r="AA21" s="92"/>
      <c r="AB21" s="92">
        <f t="shared" si="1"/>
        <v>0</v>
      </c>
      <c r="AC21" s="92"/>
      <c r="AD21" s="92"/>
      <c r="AE21" s="92"/>
      <c r="AF21" s="92"/>
      <c r="AG21" s="92"/>
      <c r="AH21" s="92"/>
      <c r="AI21" s="92"/>
      <c r="AJ21" s="92"/>
      <c r="AK21" s="92"/>
      <c r="AL21" s="92"/>
      <c r="AM21" s="92"/>
      <c r="AN21" s="92"/>
      <c r="AO21" s="92">
        <f t="shared" si="2"/>
        <v>0</v>
      </c>
      <c r="AP21" s="92"/>
      <c r="AQ21" s="92"/>
      <c r="AR21" s="92"/>
      <c r="AS21" s="92"/>
      <c r="AT21" s="92"/>
      <c r="AU21" s="92"/>
      <c r="AV21" s="92"/>
      <c r="AW21" s="92"/>
      <c r="AX21" s="92"/>
      <c r="AY21" s="92"/>
      <c r="AZ21" s="92"/>
      <c r="BA21" s="92"/>
      <c r="BB21" s="92">
        <f t="shared" si="3"/>
        <v>0</v>
      </c>
    </row>
    <row r="22" spans="1:54">
      <c r="A22" s="99" t="s">
        <v>92</v>
      </c>
      <c r="B22" s="88" t="s">
        <v>14</v>
      </c>
      <c r="C22" s="94">
        <f>'Pharm Demand'!C43</f>
        <v>0</v>
      </c>
      <c r="D22" s="94">
        <f>'Pharm Demand'!D43</f>
        <v>0</v>
      </c>
      <c r="E22" s="94">
        <f>'Pharm Demand'!E43</f>
        <v>0</v>
      </c>
      <c r="F22" s="94">
        <f>'Pharm Demand'!F43</f>
        <v>0</v>
      </c>
      <c r="G22" s="92">
        <f>'Pharm Demand'!G43</f>
        <v>0</v>
      </c>
      <c r="H22" s="92">
        <f>'Pharm Demand'!H43</f>
        <v>0</v>
      </c>
      <c r="I22" s="92">
        <f>'Pharm Demand'!I43</f>
        <v>0</v>
      </c>
      <c r="J22" s="92">
        <f>'Pharm Demand'!J43</f>
        <v>0</v>
      </c>
      <c r="K22" s="92">
        <f>'Pharm Demand'!K43</f>
        <v>0</v>
      </c>
      <c r="L22" s="92">
        <f>'Pharm Demand'!L43</f>
        <v>0</v>
      </c>
      <c r="M22" s="92">
        <f>'Pharm Demand'!M43</f>
        <v>0</v>
      </c>
      <c r="N22" s="92">
        <f>'Pharm Demand'!N43</f>
        <v>0</v>
      </c>
      <c r="O22" s="92">
        <f t="shared" si="0"/>
        <v>0</v>
      </c>
      <c r="P22" s="92">
        <f>'Pharm Demand'!P43</f>
        <v>0</v>
      </c>
      <c r="Q22" s="92">
        <f>'Pharm Demand'!Q43</f>
        <v>0</v>
      </c>
      <c r="R22" s="92">
        <f>'Pharm Demand'!R43</f>
        <v>0</v>
      </c>
      <c r="S22" s="92">
        <f>'Pharm Demand'!S43</f>
        <v>0</v>
      </c>
      <c r="T22" s="92">
        <f>'Pharm Demand'!T43</f>
        <v>0</v>
      </c>
      <c r="U22" s="92">
        <f>'Pharm Demand'!U43</f>
        <v>0</v>
      </c>
      <c r="V22" s="92">
        <f>'Pharm Demand'!V43</f>
        <v>0</v>
      </c>
      <c r="W22" s="92">
        <f>'Pharm Demand'!W43</f>
        <v>0</v>
      </c>
      <c r="X22" s="92">
        <f>'Pharm Demand'!X43</f>
        <v>0</v>
      </c>
      <c r="Y22" s="92">
        <f>'Pharm Demand'!Y43</f>
        <v>0</v>
      </c>
      <c r="Z22" s="92">
        <f>'Pharm Demand'!Z43</f>
        <v>0</v>
      </c>
      <c r="AA22" s="92">
        <f>'Pharm Demand'!AA43</f>
        <v>0</v>
      </c>
      <c r="AB22" s="92">
        <f t="shared" si="1"/>
        <v>0</v>
      </c>
      <c r="AC22" s="92">
        <f>'Pharm Demand'!AC43</f>
        <v>0</v>
      </c>
      <c r="AD22" s="92">
        <f>'Pharm Demand'!AD43</f>
        <v>0</v>
      </c>
      <c r="AE22" s="92">
        <f>'Pharm Demand'!AE43</f>
        <v>0</v>
      </c>
      <c r="AF22" s="92">
        <f>'Pharm Demand'!AF43</f>
        <v>3322.5465000000004</v>
      </c>
      <c r="AG22" s="92">
        <f>'Pharm Demand'!AG43</f>
        <v>6645.2295000000004</v>
      </c>
      <c r="AH22" s="92">
        <f>'Pharm Demand'!AH43</f>
        <v>9967.7759999999998</v>
      </c>
      <c r="AI22" s="92">
        <f>'Pharm Demand'!AI43</f>
        <v>11710.608</v>
      </c>
      <c r="AJ22" s="92">
        <f>'Pharm Demand'!AJ43</f>
        <v>13453.44</v>
      </c>
      <c r="AK22" s="92">
        <f>'Pharm Demand'!AK43</f>
        <v>15196.272000000001</v>
      </c>
      <c r="AL22" s="92">
        <f>'Pharm Demand'!AL43</f>
        <v>17812.021500000003</v>
      </c>
      <c r="AM22" s="92">
        <f>'Pharm Demand'!AM43</f>
        <v>20427.771000000001</v>
      </c>
      <c r="AN22" s="92">
        <f>'Pharm Demand'!AN43</f>
        <v>23043.657000000003</v>
      </c>
      <c r="AO22" s="92">
        <f t="shared" si="2"/>
        <v>121579.32150000002</v>
      </c>
      <c r="AP22" s="92">
        <f>'Pharm Demand'!AP43</f>
        <v>24708.684000000001</v>
      </c>
      <c r="AQ22" s="92">
        <f>'Pharm Demand'!AQ43</f>
        <v>26919.0285</v>
      </c>
      <c r="AR22" s="92">
        <f>'Pharm Demand'!AR43</f>
        <v>29129.373000000003</v>
      </c>
      <c r="AS22" s="92">
        <f>'Pharm Demand'!AS43</f>
        <v>31381.213500000002</v>
      </c>
      <c r="AT22" s="92">
        <f>'Pharm Demand'!AT43</f>
        <v>33605.389999999956</v>
      </c>
      <c r="AU22" s="92">
        <f>'Pharm Demand'!AU43</f>
        <v>0</v>
      </c>
      <c r="AV22" s="92">
        <f>'Pharm Demand'!AV43</f>
        <v>0</v>
      </c>
      <c r="AW22" s="92">
        <f>'Pharm Demand'!AW43</f>
        <v>0</v>
      </c>
      <c r="AX22" s="92">
        <f>'Pharm Demand'!AX43</f>
        <v>0</v>
      </c>
      <c r="AY22" s="92">
        <f>'Pharm Demand'!AY43</f>
        <v>0</v>
      </c>
      <c r="AZ22" s="92">
        <f>'Pharm Demand'!AZ43</f>
        <v>0</v>
      </c>
      <c r="BA22" s="92">
        <f>'Pharm Demand'!BA43</f>
        <v>0</v>
      </c>
      <c r="BB22" s="92">
        <f t="shared" si="3"/>
        <v>145743.68899999995</v>
      </c>
    </row>
    <row r="23" spans="1:54">
      <c r="A23" s="88" t="str">
        <f>'Pharm Demand'!A44</f>
        <v>157001150250 Oxyocodone/APAP GR</v>
      </c>
      <c r="B23" s="88" t="s">
        <v>14</v>
      </c>
      <c r="C23" s="94">
        <f>'Pharm Demand'!C44</f>
        <v>0</v>
      </c>
      <c r="D23" s="94">
        <f>'Pharm Demand'!D44</f>
        <v>0</v>
      </c>
      <c r="E23" s="94">
        <f>'Pharm Demand'!E44</f>
        <v>0</v>
      </c>
      <c r="F23" s="94">
        <f>'Pharm Demand'!F44</f>
        <v>0</v>
      </c>
      <c r="G23" s="92">
        <f>'Pharm Demand'!G44</f>
        <v>0</v>
      </c>
      <c r="H23" s="92">
        <f>'Pharm Demand'!H44</f>
        <v>0</v>
      </c>
      <c r="I23" s="92">
        <f>'Pharm Demand'!I44</f>
        <v>0</v>
      </c>
      <c r="J23" s="92">
        <f>'Pharm Demand'!J44</f>
        <v>0</v>
      </c>
      <c r="K23" s="92">
        <f>'Pharm Demand'!K44</f>
        <v>0</v>
      </c>
      <c r="L23" s="92">
        <f>'Pharm Demand'!L44</f>
        <v>0</v>
      </c>
      <c r="M23" s="92">
        <f>'Pharm Demand'!M44</f>
        <v>0</v>
      </c>
      <c r="N23" s="92">
        <f>'Pharm Demand'!N44</f>
        <v>0</v>
      </c>
      <c r="O23" s="92">
        <f t="shared" si="0"/>
        <v>0</v>
      </c>
      <c r="P23" s="92">
        <f>'Pharm Demand'!P44</f>
        <v>0</v>
      </c>
      <c r="Q23" s="92">
        <f>'Pharm Demand'!Q44</f>
        <v>0</v>
      </c>
      <c r="R23" s="92">
        <f>'Pharm Demand'!R44</f>
        <v>0</v>
      </c>
      <c r="S23" s="92">
        <f>'Pharm Demand'!S44</f>
        <v>0</v>
      </c>
      <c r="T23" s="92">
        <f>'Pharm Demand'!T44</f>
        <v>0</v>
      </c>
      <c r="U23" s="92">
        <f>'Pharm Demand'!U44</f>
        <v>0</v>
      </c>
      <c r="V23" s="92">
        <f>'Pharm Demand'!V44</f>
        <v>1795.7785415985709</v>
      </c>
      <c r="W23" s="92">
        <f>'Pharm Demand'!W44</f>
        <v>3591.6935831971418</v>
      </c>
      <c r="X23" s="92">
        <f>'Pharm Demand'!X44</f>
        <v>5387.4721247957132</v>
      </c>
      <c r="Y23" s="92">
        <f>'Pharm Demand'!Y44</f>
        <v>6333.6979517918671</v>
      </c>
      <c r="Z23" s="92">
        <f>'Pharm Demand'!Z44</f>
        <v>7280.0602787880225</v>
      </c>
      <c r="AA23" s="92">
        <f>'Pharm Demand'!AA44</f>
        <v>8226.2861057841783</v>
      </c>
      <c r="AB23" s="92">
        <f t="shared" si="1"/>
        <v>32614.988585955492</v>
      </c>
      <c r="AC23" s="92">
        <f>'Pharm Demand'!AC44</f>
        <v>9402.212537704836</v>
      </c>
      <c r="AD23" s="92">
        <f>'Pharm Demand'!AD44</f>
        <v>10786.549966451268</v>
      </c>
      <c r="AE23" s="92">
        <f>'Pharm Demand'!AE44</f>
        <v>12171.023895197701</v>
      </c>
      <c r="AF23" s="92">
        <f>'Pharm Demand'!AF44</f>
        <v>13373.474781062972</v>
      </c>
      <c r="AG23" s="92">
        <f>'Pharm Demand'!AG44</f>
        <v>14575.925666928242</v>
      </c>
      <c r="AH23" s="92">
        <f>'Pharm Demand'!AH44</f>
        <v>15778.513052793511</v>
      </c>
      <c r="AI23" s="92">
        <f>'Pharm Demand'!AI44</f>
        <v>17121.843241431612</v>
      </c>
      <c r="AJ23" s="92">
        <f>'Pharm Demand'!AJ44</f>
        <v>18465.446430069707</v>
      </c>
      <c r="AK23" s="92">
        <f>'Pharm Demand'!AK44</f>
        <v>19808.913118707809</v>
      </c>
      <c r="AL23" s="92">
        <f>'Pharm Demand'!AL44</f>
        <v>21132.958408815473</v>
      </c>
      <c r="AM23" s="92">
        <f>'Pharm Demand'!AM44</f>
        <v>22457.140198923142</v>
      </c>
      <c r="AN23" s="92">
        <f>'Pharm Demand'!AN44</f>
        <v>23781.185489030813</v>
      </c>
      <c r="AO23" s="92">
        <f t="shared" si="2"/>
        <v>198855.1867871171</v>
      </c>
      <c r="AP23" s="92">
        <f>'Pharm Demand'!AP44</f>
        <v>23338.585160629351</v>
      </c>
      <c r="AQ23" s="92">
        <f>'Pharm Demand'!AQ44</f>
        <v>23391.723763362941</v>
      </c>
      <c r="AR23" s="92">
        <f>'Pharm Demand'!AR44</f>
        <v>23452.642866096528</v>
      </c>
      <c r="AS23" s="92">
        <f>'Pharm Demand'!AS44</f>
        <v>26266.883197506286</v>
      </c>
      <c r="AT23" s="92">
        <f>'Pharm Demand'!AT44</f>
        <v>27255.663528916084</v>
      </c>
      <c r="AU23" s="92">
        <f>'Pharm Demand'!AU44</f>
        <v>0</v>
      </c>
      <c r="AV23" s="92">
        <f>'Pharm Demand'!AV44</f>
        <v>0</v>
      </c>
      <c r="AW23" s="92">
        <f>'Pharm Demand'!AW44</f>
        <v>0</v>
      </c>
      <c r="AX23" s="92">
        <f>'Pharm Demand'!AX44</f>
        <v>0</v>
      </c>
      <c r="AY23" s="92">
        <f>'Pharm Demand'!AY44</f>
        <v>0</v>
      </c>
      <c r="AZ23" s="92">
        <f>'Pharm Demand'!AZ44</f>
        <v>0</v>
      </c>
      <c r="BA23" s="92">
        <f>'Pharm Demand'!BA44</f>
        <v>0</v>
      </c>
      <c r="BB23" s="92">
        <f t="shared" si="3"/>
        <v>123705.49851651117</v>
      </c>
    </row>
    <row r="24" spans="1:54">
      <c r="A24" s="88"/>
      <c r="B24" s="88"/>
      <c r="C24" s="94"/>
      <c r="D24" s="94"/>
      <c r="E24" s="94"/>
      <c r="F24" s="94"/>
      <c r="G24" s="92"/>
      <c r="H24" s="92"/>
      <c r="I24" s="92"/>
      <c r="J24" s="92"/>
      <c r="K24" s="92"/>
      <c r="L24" s="92"/>
      <c r="M24" s="92"/>
      <c r="N24" s="92"/>
      <c r="O24" s="92"/>
      <c r="P24" s="92"/>
      <c r="Q24" s="92"/>
      <c r="R24" s="92"/>
      <c r="S24" s="92"/>
      <c r="T24" s="92"/>
      <c r="U24" s="92"/>
      <c r="V24" s="92"/>
      <c r="W24" s="92"/>
      <c r="X24" s="92"/>
      <c r="Y24" s="92"/>
      <c r="Z24" s="92"/>
      <c r="AA24" s="92"/>
      <c r="AB24" s="92"/>
      <c r="AC24" s="92"/>
      <c r="AD24" s="92"/>
      <c r="AE24" s="92"/>
      <c r="AF24" s="92"/>
      <c r="AG24" s="92"/>
      <c r="AH24" s="92"/>
      <c r="AI24" s="92"/>
      <c r="AJ24" s="92"/>
      <c r="AK24" s="92"/>
      <c r="AL24" s="92"/>
      <c r="AM24" s="92"/>
      <c r="AN24" s="92"/>
      <c r="AO24" s="92"/>
      <c r="AP24" s="92"/>
      <c r="AQ24" s="92"/>
      <c r="AR24" s="92"/>
      <c r="AS24" s="92"/>
      <c r="AT24" s="92"/>
      <c r="AU24" s="92"/>
      <c r="AV24" s="92"/>
      <c r="AW24" s="92"/>
      <c r="AX24" s="92"/>
      <c r="AY24" s="92"/>
      <c r="AZ24" s="92"/>
      <c r="BA24" s="92"/>
      <c r="BB24" s="92"/>
    </row>
    <row r="25" spans="1:54">
      <c r="A25" s="88"/>
      <c r="B25" s="88"/>
      <c r="C25" s="94"/>
      <c r="D25" s="94"/>
      <c r="E25" s="94"/>
      <c r="F25" s="94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  <c r="AG25" s="92"/>
      <c r="AH25" s="92"/>
      <c r="AI25" s="92"/>
      <c r="AJ25" s="92"/>
      <c r="AK25" s="92"/>
      <c r="AL25" s="92"/>
      <c r="AM25" s="92"/>
      <c r="AN25" s="92"/>
      <c r="AO25" s="92"/>
      <c r="AP25" s="92"/>
      <c r="AQ25" s="92"/>
      <c r="AR25" s="92"/>
      <c r="AS25" s="92"/>
      <c r="AT25" s="92"/>
      <c r="AU25" s="92"/>
      <c r="AV25" s="92"/>
      <c r="AW25" s="92"/>
      <c r="AX25" s="92"/>
      <c r="AY25" s="92"/>
      <c r="AZ25" s="92"/>
      <c r="BA25" s="92"/>
      <c r="BB25" s="92"/>
    </row>
    <row r="26" spans="1:54">
      <c r="A26" s="56" t="s">
        <v>28</v>
      </c>
      <c r="B26" s="88" t="s">
        <v>94</v>
      </c>
      <c r="C26" s="94">
        <f>'Download COV'!D26</f>
        <v>0</v>
      </c>
      <c r="D26" s="94">
        <f>'Download COV'!E26</f>
        <v>0</v>
      </c>
      <c r="E26" s="94">
        <f>'Download COV'!F26</f>
        <v>66</v>
      </c>
      <c r="F26" s="94">
        <f>'Download COV'!G26</f>
        <v>33</v>
      </c>
      <c r="G26" s="92">
        <f t="shared" ref="G26:N26" si="4">G7*$B45</f>
        <v>18.768750000000001</v>
      </c>
      <c r="H26" s="92">
        <f t="shared" si="4"/>
        <v>14.571375000000002</v>
      </c>
      <c r="I26" s="92">
        <f t="shared" si="4"/>
        <v>15.629250000000001</v>
      </c>
      <c r="J26" s="92">
        <f t="shared" si="4"/>
        <v>17.710875000000001</v>
      </c>
      <c r="K26" s="92">
        <f t="shared" si="4"/>
        <v>13.923000000000002</v>
      </c>
      <c r="L26" s="92">
        <f t="shared" si="4"/>
        <v>14.230125000000001</v>
      </c>
      <c r="M26" s="92">
        <f t="shared" si="4"/>
        <v>16.857750000000003</v>
      </c>
      <c r="N26" s="92">
        <f t="shared" si="4"/>
        <v>13.957125000000001</v>
      </c>
      <c r="O26" s="92">
        <f t="shared" si="0"/>
        <v>224.64824999999999</v>
      </c>
      <c r="P26" s="92">
        <f t="shared" ref="P26:AA26" si="5">P7*$B45</f>
        <v>13.547625000000002</v>
      </c>
      <c r="Q26" s="92">
        <f t="shared" si="5"/>
        <v>15.629250000000001</v>
      </c>
      <c r="R26" s="92">
        <f t="shared" si="5"/>
        <v>12.592125000000001</v>
      </c>
      <c r="S26" s="92">
        <f t="shared" si="5"/>
        <v>12.319125000000001</v>
      </c>
      <c r="T26" s="92">
        <f t="shared" si="5"/>
        <v>15.526875</v>
      </c>
      <c r="U26" s="92">
        <f t="shared" si="5"/>
        <v>12.660375</v>
      </c>
      <c r="V26" s="92">
        <f t="shared" si="5"/>
        <v>12.387375</v>
      </c>
      <c r="W26" s="92">
        <f t="shared" si="5"/>
        <v>14.196000000000002</v>
      </c>
      <c r="X26" s="92">
        <f t="shared" si="5"/>
        <v>12.694500000000001</v>
      </c>
      <c r="Y26" s="92">
        <f t="shared" si="5"/>
        <v>11.193000000000001</v>
      </c>
      <c r="Z26" s="92">
        <f t="shared" si="5"/>
        <v>14.776125</v>
      </c>
      <c r="AA26" s="92">
        <f t="shared" si="5"/>
        <v>11.53425</v>
      </c>
      <c r="AB26" s="92">
        <f t="shared" si="1"/>
        <v>159.05662500000005</v>
      </c>
      <c r="AC26" s="92">
        <f t="shared" ref="AC26:AN26" si="6">AC7*$B45</f>
        <v>11.500125000000001</v>
      </c>
      <c r="AD26" s="92">
        <f t="shared" si="6"/>
        <v>13.547625000000002</v>
      </c>
      <c r="AE26" s="92">
        <f t="shared" si="6"/>
        <v>10.749375000000001</v>
      </c>
      <c r="AF26" s="92">
        <f t="shared" si="6"/>
        <v>10.374000000000001</v>
      </c>
      <c r="AG26" s="92">
        <f t="shared" si="6"/>
        <v>13.65</v>
      </c>
      <c r="AH26" s="92">
        <f t="shared" si="6"/>
        <v>11.739000000000001</v>
      </c>
      <c r="AI26" s="92">
        <f t="shared" si="6"/>
        <v>11.193000000000001</v>
      </c>
      <c r="AJ26" s="92">
        <f t="shared" si="6"/>
        <v>13.445250000000001</v>
      </c>
      <c r="AK26" s="92">
        <f t="shared" si="6"/>
        <v>11.602500000000001</v>
      </c>
      <c r="AL26" s="92">
        <f t="shared" si="6"/>
        <v>10.442250000000001</v>
      </c>
      <c r="AM26" s="92">
        <f t="shared" si="6"/>
        <v>14.332500000000001</v>
      </c>
      <c r="AN26" s="92">
        <f t="shared" si="6"/>
        <v>10.408125</v>
      </c>
      <c r="AO26" s="92">
        <f t="shared" si="2"/>
        <v>142.98375000000001</v>
      </c>
      <c r="AP26" s="92">
        <f t="shared" ref="AP26:BA26" si="7">AP7*$B45</f>
        <v>12.489750000000001</v>
      </c>
      <c r="AQ26" s="92">
        <f t="shared" si="7"/>
        <v>9.8280000000000012</v>
      </c>
      <c r="AR26" s="92">
        <f t="shared" si="7"/>
        <v>11.363625000000001</v>
      </c>
      <c r="AS26" s="92">
        <f t="shared" si="7"/>
        <v>10.851750000000001</v>
      </c>
      <c r="AT26" s="92">
        <f t="shared" si="7"/>
        <v>10.9165875</v>
      </c>
      <c r="AU26" s="92">
        <f t="shared" si="7"/>
        <v>0</v>
      </c>
      <c r="AV26" s="92">
        <f t="shared" si="7"/>
        <v>0</v>
      </c>
      <c r="AW26" s="92">
        <f t="shared" si="7"/>
        <v>0</v>
      </c>
      <c r="AX26" s="92">
        <f t="shared" si="7"/>
        <v>0</v>
      </c>
      <c r="AY26" s="92">
        <f t="shared" si="7"/>
        <v>0</v>
      </c>
      <c r="AZ26" s="92">
        <f t="shared" si="7"/>
        <v>0</v>
      </c>
      <c r="BA26" s="92">
        <f t="shared" si="7"/>
        <v>0</v>
      </c>
      <c r="BB26" s="92">
        <f t="shared" si="3"/>
        <v>55.449712500000004</v>
      </c>
    </row>
    <row r="27" spans="1:54">
      <c r="A27" s="56" t="s">
        <v>29</v>
      </c>
      <c r="B27" s="88" t="s">
        <v>94</v>
      </c>
      <c r="C27" s="94">
        <f>'Download COV'!D27</f>
        <v>197</v>
      </c>
      <c r="D27" s="94">
        <f>'Download COV'!E27</f>
        <v>516</v>
      </c>
      <c r="E27" s="94">
        <f>'Download COV'!F27</f>
        <v>869</v>
      </c>
      <c r="F27" s="94">
        <f>'Download COV'!G27</f>
        <v>305</v>
      </c>
      <c r="G27" s="92">
        <f t="shared" ref="G27:N27" si="8">G8*$B46</f>
        <v>233.90525411939089</v>
      </c>
      <c r="H27" s="92">
        <f t="shared" si="8"/>
        <v>178.02298174317747</v>
      </c>
      <c r="I27" s="92">
        <f t="shared" si="8"/>
        <v>183.32155274046244</v>
      </c>
      <c r="J27" s="92">
        <f t="shared" si="8"/>
        <v>193.04512500000001</v>
      </c>
      <c r="K27" s="92">
        <f t="shared" si="8"/>
        <v>158.95425</v>
      </c>
      <c r="L27" s="92">
        <f t="shared" si="8"/>
        <v>150.31986846529438</v>
      </c>
      <c r="M27" s="92">
        <f t="shared" si="8"/>
        <v>161.28255039116573</v>
      </c>
      <c r="N27" s="92">
        <f t="shared" si="8"/>
        <v>149.45407550131313</v>
      </c>
      <c r="O27" s="92">
        <f t="shared" si="0"/>
        <v>3295.3056579608042</v>
      </c>
      <c r="P27" s="92">
        <f t="shared" ref="P27:AA27" si="9">P8*$B46</f>
        <v>175.72488712371063</v>
      </c>
      <c r="Q27" s="92">
        <f t="shared" si="9"/>
        <v>179.15625</v>
      </c>
      <c r="R27" s="92">
        <f t="shared" si="9"/>
        <v>153.22125</v>
      </c>
      <c r="S27" s="92">
        <f t="shared" si="9"/>
        <v>166.63975961241135</v>
      </c>
      <c r="T27" s="92">
        <f t="shared" si="9"/>
        <v>184.47975000000002</v>
      </c>
      <c r="U27" s="92">
        <f t="shared" si="9"/>
        <v>158.783625</v>
      </c>
      <c r="V27" s="92">
        <f t="shared" si="9"/>
        <v>168.22617558850342</v>
      </c>
      <c r="W27" s="92">
        <f t="shared" si="9"/>
        <v>175.50487500000003</v>
      </c>
      <c r="X27" s="92">
        <f t="shared" si="9"/>
        <v>159.87562500000001</v>
      </c>
      <c r="Y27" s="92">
        <f t="shared" si="9"/>
        <v>164.39565347065505</v>
      </c>
      <c r="Z27" s="92">
        <f t="shared" si="9"/>
        <v>182.70525000000001</v>
      </c>
      <c r="AA27" s="92">
        <f t="shared" si="9"/>
        <v>160.48987500000001</v>
      </c>
      <c r="AB27" s="92">
        <f t="shared" si="1"/>
        <v>2029.2029757952805</v>
      </c>
      <c r="AC27" s="92">
        <f t="shared" ref="AC27:AN27" si="10">AC8*$B46</f>
        <v>153.14545023531278</v>
      </c>
      <c r="AD27" s="92">
        <f t="shared" si="10"/>
        <v>177.17700000000002</v>
      </c>
      <c r="AE27" s="92">
        <f t="shared" si="10"/>
        <v>149.979375</v>
      </c>
      <c r="AF27" s="92">
        <f t="shared" si="10"/>
        <v>144.7074423043023</v>
      </c>
      <c r="AG27" s="92">
        <f t="shared" si="10"/>
        <v>177.92775</v>
      </c>
      <c r="AH27" s="92">
        <f t="shared" si="10"/>
        <v>159.67087500000002</v>
      </c>
      <c r="AI27" s="92">
        <f t="shared" si="10"/>
        <v>152.8485801166716</v>
      </c>
      <c r="AJ27" s="92">
        <f t="shared" si="10"/>
        <v>175.231875</v>
      </c>
      <c r="AK27" s="92">
        <f t="shared" si="10"/>
        <v>157.486875</v>
      </c>
      <c r="AL27" s="92">
        <f t="shared" si="10"/>
        <v>145.50244773564282</v>
      </c>
      <c r="AM27" s="92">
        <f t="shared" si="10"/>
        <v>182.193375</v>
      </c>
      <c r="AN27" s="92">
        <f t="shared" si="10"/>
        <v>146.97637500000002</v>
      </c>
      <c r="AO27" s="92">
        <f t="shared" si="2"/>
        <v>1922.8474203919295</v>
      </c>
      <c r="AP27" s="92">
        <f t="shared" ref="AP27:BA27" si="11">AP8*$B46</f>
        <v>160.28601257802092</v>
      </c>
      <c r="AQ27" s="92">
        <f t="shared" si="11"/>
        <v>141.14100000000002</v>
      </c>
      <c r="AR27" s="92">
        <f t="shared" si="11"/>
        <v>151.12854585934031</v>
      </c>
      <c r="AS27" s="92">
        <f t="shared" si="11"/>
        <v>150.41192085934028</v>
      </c>
      <c r="AT27" s="92">
        <f t="shared" si="11"/>
        <v>156.31099585934027</v>
      </c>
      <c r="AU27" s="92">
        <f t="shared" si="11"/>
        <v>0</v>
      </c>
      <c r="AV27" s="92">
        <f t="shared" si="11"/>
        <v>0</v>
      </c>
      <c r="AW27" s="92">
        <f t="shared" si="11"/>
        <v>0</v>
      </c>
      <c r="AX27" s="92">
        <f t="shared" si="11"/>
        <v>0</v>
      </c>
      <c r="AY27" s="92">
        <f t="shared" si="11"/>
        <v>0</v>
      </c>
      <c r="AZ27" s="92">
        <f t="shared" si="11"/>
        <v>0</v>
      </c>
      <c r="BA27" s="92">
        <f t="shared" si="11"/>
        <v>0</v>
      </c>
      <c r="BB27" s="92">
        <f t="shared" si="3"/>
        <v>759.27847515604185</v>
      </c>
    </row>
    <row r="28" spans="1:54">
      <c r="A28" s="56"/>
      <c r="B28" s="88"/>
      <c r="C28" s="94"/>
      <c r="D28" s="94"/>
      <c r="E28" s="94"/>
      <c r="F28" s="94"/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92"/>
      <c r="S28" s="92"/>
      <c r="T28" s="92"/>
      <c r="U28" s="92"/>
      <c r="V28" s="92"/>
      <c r="W28" s="92"/>
      <c r="X28" s="92"/>
      <c r="Y28" s="92"/>
      <c r="Z28" s="92"/>
      <c r="AA28" s="92"/>
      <c r="AB28" s="92"/>
      <c r="AC28" s="92"/>
      <c r="AD28" s="92"/>
      <c r="AE28" s="92"/>
      <c r="AF28" s="92"/>
      <c r="AG28" s="92"/>
      <c r="AH28" s="92"/>
      <c r="AI28" s="92"/>
      <c r="AJ28" s="92"/>
      <c r="AK28" s="92"/>
      <c r="AL28" s="92"/>
      <c r="AM28" s="92"/>
      <c r="AN28" s="92"/>
      <c r="AO28" s="92"/>
      <c r="AP28" s="92"/>
      <c r="AQ28" s="92"/>
      <c r="AR28" s="92"/>
      <c r="AS28" s="92"/>
      <c r="AT28" s="92"/>
      <c r="AU28" s="92"/>
      <c r="AV28" s="92"/>
      <c r="AW28" s="92"/>
      <c r="AX28" s="92"/>
      <c r="AY28" s="92"/>
      <c r="AZ28" s="92"/>
      <c r="BA28" s="92"/>
      <c r="BB28" s="92"/>
    </row>
    <row r="29" spans="1:54">
      <c r="A29" s="89" t="s">
        <v>73</v>
      </c>
      <c r="B29" s="88" t="s">
        <v>94</v>
      </c>
      <c r="C29" s="94">
        <f>'Download COV'!D29</f>
        <v>192</v>
      </c>
      <c r="D29" s="94">
        <f>'Download COV'!E29</f>
        <v>656</v>
      </c>
      <c r="E29" s="94">
        <f>'Download COV'!F29</f>
        <v>974</v>
      </c>
      <c r="F29" s="94">
        <f>'Download COV'!G29</f>
        <v>685</v>
      </c>
      <c r="G29" s="92">
        <f t="shared" ref="G29:N29" si="12">G10*$B48</f>
        <v>847.06220671308211</v>
      </c>
      <c r="H29" s="92">
        <f t="shared" si="12"/>
        <v>620.58598328178925</v>
      </c>
      <c r="I29" s="92">
        <f t="shared" si="12"/>
        <v>984.1917151362461</v>
      </c>
      <c r="J29" s="92">
        <f t="shared" si="12"/>
        <v>1285.7656925561892</v>
      </c>
      <c r="K29" s="92">
        <f t="shared" si="12"/>
        <v>814.24491396255974</v>
      </c>
      <c r="L29" s="92">
        <f t="shared" si="12"/>
        <v>809.8892452344636</v>
      </c>
      <c r="M29" s="92">
        <f t="shared" si="12"/>
        <v>826.98889256539474</v>
      </c>
      <c r="N29" s="92">
        <f t="shared" si="12"/>
        <v>825.10802001581305</v>
      </c>
      <c r="O29" s="92">
        <f t="shared" si="0"/>
        <v>9520.8366694655379</v>
      </c>
      <c r="P29" s="92">
        <f t="shared" ref="P29:AA29" si="13">P10*$B48</f>
        <v>677.90821221684519</v>
      </c>
      <c r="Q29" s="92">
        <f t="shared" si="13"/>
        <v>450.65640983262278</v>
      </c>
      <c r="R29" s="92">
        <f t="shared" si="13"/>
        <v>298.69536026013537</v>
      </c>
      <c r="S29" s="92">
        <f t="shared" si="13"/>
        <v>193.85211284770619</v>
      </c>
      <c r="T29" s="92">
        <f t="shared" si="13"/>
        <v>126.96120245032265</v>
      </c>
      <c r="U29" s="92">
        <f t="shared" si="13"/>
        <v>81.019360953364284</v>
      </c>
      <c r="V29" s="92">
        <f t="shared" si="13"/>
        <v>81.160166851644007</v>
      </c>
      <c r="W29" s="92">
        <f t="shared" si="13"/>
        <v>82.055820306671976</v>
      </c>
      <c r="X29" s="92">
        <f t="shared" si="13"/>
        <v>83.019308992476098</v>
      </c>
      <c r="Y29" s="92">
        <f t="shared" si="13"/>
        <v>83.527619063517278</v>
      </c>
      <c r="Z29" s="92">
        <f t="shared" si="13"/>
        <v>84.35591633488761</v>
      </c>
      <c r="AA29" s="92">
        <f t="shared" si="13"/>
        <v>84.759529288850345</v>
      </c>
      <c r="AB29" s="92">
        <f t="shared" si="1"/>
        <v>2327.9710193990436</v>
      </c>
      <c r="AC29" s="92">
        <f t="shared" ref="AC29:AN29" si="14">AC10*$B48</f>
        <v>85.361778105655247</v>
      </c>
      <c r="AD29" s="92">
        <f t="shared" si="14"/>
        <v>73.334065050142726</v>
      </c>
      <c r="AE29" s="92">
        <f t="shared" si="14"/>
        <v>46.249549781530469</v>
      </c>
      <c r="AF29" s="92">
        <f t="shared" si="14"/>
        <v>27.717462009889577</v>
      </c>
      <c r="AG29" s="92">
        <f t="shared" si="14"/>
        <v>15.739745141087409</v>
      </c>
      <c r="AH29" s="92">
        <f t="shared" si="14"/>
        <v>7.4977602965999983</v>
      </c>
      <c r="AI29" s="92">
        <f t="shared" si="14"/>
        <v>1.869593634682531</v>
      </c>
      <c r="AJ29" s="92">
        <f t="shared" si="14"/>
        <v>0</v>
      </c>
      <c r="AK29" s="92">
        <f t="shared" si="14"/>
        <v>0</v>
      </c>
      <c r="AL29" s="92">
        <f t="shared" si="14"/>
        <v>0</v>
      </c>
      <c r="AM29" s="92">
        <f t="shared" si="14"/>
        <v>0</v>
      </c>
      <c r="AN29" s="92">
        <f t="shared" si="14"/>
        <v>0</v>
      </c>
      <c r="AO29" s="92">
        <f t="shared" si="2"/>
        <v>257.769954019588</v>
      </c>
      <c r="AP29" s="92">
        <f t="shared" ref="AP29:BA29" si="15">AP10*$B48</f>
        <v>0</v>
      </c>
      <c r="AQ29" s="92">
        <f t="shared" si="15"/>
        <v>0</v>
      </c>
      <c r="AR29" s="92">
        <f t="shared" si="15"/>
        <v>0</v>
      </c>
      <c r="AS29" s="92">
        <f t="shared" si="15"/>
        <v>0</v>
      </c>
      <c r="AT29" s="92">
        <f t="shared" si="15"/>
        <v>0</v>
      </c>
      <c r="AU29" s="92">
        <f t="shared" si="15"/>
        <v>0</v>
      </c>
      <c r="AV29" s="92">
        <f t="shared" si="15"/>
        <v>0</v>
      </c>
      <c r="AW29" s="92">
        <f t="shared" si="15"/>
        <v>0</v>
      </c>
      <c r="AX29" s="92">
        <f t="shared" si="15"/>
        <v>0</v>
      </c>
      <c r="AY29" s="92">
        <f t="shared" si="15"/>
        <v>0</v>
      </c>
      <c r="AZ29" s="92">
        <f t="shared" si="15"/>
        <v>0</v>
      </c>
      <c r="BA29" s="92">
        <f t="shared" si="15"/>
        <v>0</v>
      </c>
      <c r="BB29" s="92">
        <f t="shared" si="3"/>
        <v>0</v>
      </c>
    </row>
    <row r="30" spans="1:54">
      <c r="A30" s="89" t="s">
        <v>112</v>
      </c>
      <c r="B30" s="88" t="s">
        <v>94</v>
      </c>
      <c r="C30" s="94">
        <f>'Download COV'!D30</f>
        <v>0</v>
      </c>
      <c r="D30" s="94">
        <f>'Download COV'!E30</f>
        <v>0</v>
      </c>
      <c r="E30" s="94">
        <f>'Download COV'!F30</f>
        <v>0</v>
      </c>
      <c r="F30" s="94">
        <f>'Download COV'!G30</f>
        <v>0</v>
      </c>
      <c r="G30" s="92">
        <f t="shared" ref="G30:N30" si="16">G11*$B49</f>
        <v>0</v>
      </c>
      <c r="H30" s="92">
        <f t="shared" si="16"/>
        <v>0</v>
      </c>
      <c r="I30" s="92">
        <f t="shared" si="16"/>
        <v>0</v>
      </c>
      <c r="J30" s="92">
        <f t="shared" si="16"/>
        <v>0</v>
      </c>
      <c r="K30" s="92">
        <f t="shared" si="16"/>
        <v>0</v>
      </c>
      <c r="L30" s="92">
        <f t="shared" si="16"/>
        <v>0</v>
      </c>
      <c r="M30" s="92">
        <f t="shared" si="16"/>
        <v>0</v>
      </c>
      <c r="N30" s="92">
        <f t="shared" si="16"/>
        <v>0</v>
      </c>
      <c r="O30" s="92">
        <f t="shared" si="0"/>
        <v>0</v>
      </c>
      <c r="P30" s="92">
        <f t="shared" ref="P30:AA30" si="17">P11*$B49</f>
        <v>741.84337500000004</v>
      </c>
      <c r="Q30" s="92">
        <f t="shared" si="17"/>
        <v>512.6062162075998</v>
      </c>
      <c r="R30" s="92">
        <f t="shared" si="17"/>
        <v>450.48412500000001</v>
      </c>
      <c r="S30" s="92">
        <f t="shared" si="17"/>
        <v>725.66812500000003</v>
      </c>
      <c r="T30" s="92">
        <f t="shared" si="17"/>
        <v>824.13510526513858</v>
      </c>
      <c r="U30" s="92">
        <f t="shared" si="17"/>
        <v>632.02912500000002</v>
      </c>
      <c r="V30" s="92">
        <f t="shared" si="17"/>
        <v>774.50100000000009</v>
      </c>
      <c r="W30" s="92">
        <f t="shared" si="17"/>
        <v>848.65788276004787</v>
      </c>
      <c r="X30" s="92">
        <f t="shared" si="17"/>
        <v>653.76675</v>
      </c>
      <c r="Y30" s="92">
        <f t="shared" si="17"/>
        <v>764.229375</v>
      </c>
      <c r="Z30" s="92">
        <f t="shared" si="17"/>
        <v>893.93850000000009</v>
      </c>
      <c r="AA30" s="92">
        <f t="shared" si="17"/>
        <v>825.72262500000011</v>
      </c>
      <c r="AB30" s="92">
        <f t="shared" si="1"/>
        <v>8647.5822042327854</v>
      </c>
      <c r="AC30" s="92">
        <f t="shared" ref="AC30:AN30" si="18">AC11*$B49</f>
        <v>768.25612500000011</v>
      </c>
      <c r="AD30" s="92">
        <f t="shared" si="18"/>
        <v>776.49488096235359</v>
      </c>
      <c r="AE30" s="92">
        <f t="shared" si="18"/>
        <v>645.13312500000006</v>
      </c>
      <c r="AF30" s="92">
        <f t="shared" si="18"/>
        <v>546.71662500000002</v>
      </c>
      <c r="AG30" s="92">
        <f t="shared" si="18"/>
        <v>487.81614534910801</v>
      </c>
      <c r="AH30" s="92">
        <f t="shared" si="18"/>
        <v>444.99</v>
      </c>
      <c r="AI30" s="92">
        <f t="shared" si="18"/>
        <v>413.35612500000002</v>
      </c>
      <c r="AJ30" s="92">
        <f t="shared" si="18"/>
        <v>395.24897225461274</v>
      </c>
      <c r="AK30" s="92">
        <f t="shared" si="18"/>
        <v>403.15275000000003</v>
      </c>
      <c r="AL30" s="92">
        <f t="shared" si="18"/>
        <v>408.71512500000006</v>
      </c>
      <c r="AM30" s="92">
        <f t="shared" si="18"/>
        <v>416.03651295401744</v>
      </c>
      <c r="AN30" s="92">
        <f t="shared" si="18"/>
        <v>421.10250000000002</v>
      </c>
      <c r="AO30" s="92">
        <f t="shared" si="2"/>
        <v>6127.0188865200926</v>
      </c>
      <c r="AP30" s="92">
        <f t="shared" ref="AP30:BA30" si="19">AP11*$B49</f>
        <v>421.78500000000003</v>
      </c>
      <c r="AQ30" s="92">
        <f t="shared" si="19"/>
        <v>439.87125000000003</v>
      </c>
      <c r="AR30" s="92">
        <f t="shared" si="19"/>
        <v>442.26000000000005</v>
      </c>
      <c r="AS30" s="92">
        <f t="shared" si="19"/>
        <v>455.11375000000118</v>
      </c>
      <c r="AT30" s="92">
        <f t="shared" si="19"/>
        <v>465.35125000000119</v>
      </c>
      <c r="AU30" s="92">
        <f t="shared" si="19"/>
        <v>0</v>
      </c>
      <c r="AV30" s="92">
        <f t="shared" si="19"/>
        <v>0</v>
      </c>
      <c r="AW30" s="92">
        <f t="shared" si="19"/>
        <v>0</v>
      </c>
      <c r="AX30" s="92">
        <f t="shared" si="19"/>
        <v>0</v>
      </c>
      <c r="AY30" s="92">
        <f t="shared" si="19"/>
        <v>0</v>
      </c>
      <c r="AZ30" s="92">
        <f t="shared" si="19"/>
        <v>0</v>
      </c>
      <c r="BA30" s="92">
        <f t="shared" si="19"/>
        <v>0</v>
      </c>
      <c r="BB30" s="92">
        <f t="shared" si="3"/>
        <v>2224.3812500000022</v>
      </c>
    </row>
    <row r="31" spans="1:54">
      <c r="A31" s="89" t="s">
        <v>113</v>
      </c>
      <c r="B31" s="88" t="s">
        <v>94</v>
      </c>
      <c r="C31" s="94">
        <f>'Download COV'!D31</f>
        <v>0</v>
      </c>
      <c r="D31" s="94">
        <f>'Download COV'!E31</f>
        <v>0</v>
      </c>
      <c r="E31" s="94">
        <f>'Download COV'!F31</f>
        <v>0</v>
      </c>
      <c r="F31" s="94">
        <f>'Download COV'!G31</f>
        <v>0</v>
      </c>
      <c r="G31" s="92">
        <f t="shared" ref="G31:N31" si="20">G12*$B50</f>
        <v>0</v>
      </c>
      <c r="H31" s="92">
        <f t="shared" si="20"/>
        <v>0</v>
      </c>
      <c r="I31" s="92">
        <f t="shared" si="20"/>
        <v>0</v>
      </c>
      <c r="J31" s="92">
        <f t="shared" si="20"/>
        <v>0</v>
      </c>
      <c r="K31" s="92">
        <f t="shared" si="20"/>
        <v>0</v>
      </c>
      <c r="L31" s="92">
        <f t="shared" si="20"/>
        <v>0</v>
      </c>
      <c r="M31" s="92">
        <f t="shared" si="20"/>
        <v>0</v>
      </c>
      <c r="N31" s="92">
        <f t="shared" si="20"/>
        <v>0</v>
      </c>
      <c r="O31" s="92">
        <f t="shared" si="0"/>
        <v>0</v>
      </c>
      <c r="P31" s="92">
        <f t="shared" ref="P31:AA31" si="21">P12*$B50</f>
        <v>0</v>
      </c>
      <c r="Q31" s="92">
        <f t="shared" si="21"/>
        <v>0</v>
      </c>
      <c r="R31" s="92">
        <f t="shared" si="21"/>
        <v>0</v>
      </c>
      <c r="S31" s="92">
        <f t="shared" si="21"/>
        <v>0</v>
      </c>
      <c r="T31" s="92">
        <f t="shared" si="21"/>
        <v>0</v>
      </c>
      <c r="U31" s="92">
        <f t="shared" si="21"/>
        <v>0</v>
      </c>
      <c r="V31" s="92">
        <f t="shared" si="21"/>
        <v>0</v>
      </c>
      <c r="W31" s="92">
        <f t="shared" si="21"/>
        <v>0</v>
      </c>
      <c r="X31" s="92">
        <f t="shared" si="21"/>
        <v>0</v>
      </c>
      <c r="Y31" s="92">
        <f t="shared" si="21"/>
        <v>0</v>
      </c>
      <c r="Z31" s="92">
        <f t="shared" si="21"/>
        <v>0</v>
      </c>
      <c r="AA31" s="92">
        <f t="shared" si="21"/>
        <v>0</v>
      </c>
      <c r="AB31" s="92">
        <f t="shared" si="1"/>
        <v>0</v>
      </c>
      <c r="AC31" s="92">
        <f t="shared" ref="AC31:AN31" si="22">AC12*$B50</f>
        <v>0</v>
      </c>
      <c r="AD31" s="92">
        <f t="shared" si="22"/>
        <v>0</v>
      </c>
      <c r="AE31" s="92">
        <f t="shared" si="22"/>
        <v>0</v>
      </c>
      <c r="AF31" s="92">
        <f t="shared" si="22"/>
        <v>0</v>
      </c>
      <c r="AG31" s="92">
        <f t="shared" si="22"/>
        <v>0</v>
      </c>
      <c r="AH31" s="92">
        <f t="shared" si="22"/>
        <v>0</v>
      </c>
      <c r="AI31" s="92">
        <f t="shared" si="22"/>
        <v>0</v>
      </c>
      <c r="AJ31" s="92">
        <f t="shared" si="22"/>
        <v>0</v>
      </c>
      <c r="AK31" s="92">
        <f t="shared" si="22"/>
        <v>0</v>
      </c>
      <c r="AL31" s="92">
        <f t="shared" si="22"/>
        <v>0</v>
      </c>
      <c r="AM31" s="92">
        <f t="shared" si="22"/>
        <v>0</v>
      </c>
      <c r="AN31" s="92">
        <f t="shared" si="22"/>
        <v>0</v>
      </c>
      <c r="AO31" s="92">
        <f t="shared" si="2"/>
        <v>0</v>
      </c>
      <c r="AP31" s="92">
        <f t="shared" ref="AP31:BA31" si="23">AP12*$B50</f>
        <v>0</v>
      </c>
      <c r="AQ31" s="92">
        <f t="shared" si="23"/>
        <v>0</v>
      </c>
      <c r="AR31" s="92">
        <f t="shared" si="23"/>
        <v>0</v>
      </c>
      <c r="AS31" s="92">
        <f t="shared" si="23"/>
        <v>0</v>
      </c>
      <c r="AT31" s="92">
        <f t="shared" si="23"/>
        <v>0</v>
      </c>
      <c r="AU31" s="92">
        <f t="shared" si="23"/>
        <v>0</v>
      </c>
      <c r="AV31" s="92">
        <f t="shared" si="23"/>
        <v>0</v>
      </c>
      <c r="AW31" s="92">
        <f t="shared" si="23"/>
        <v>0</v>
      </c>
      <c r="AX31" s="92">
        <f t="shared" si="23"/>
        <v>0</v>
      </c>
      <c r="AY31" s="92">
        <f t="shared" si="23"/>
        <v>0</v>
      </c>
      <c r="AZ31" s="92">
        <f t="shared" si="23"/>
        <v>0</v>
      </c>
      <c r="BA31" s="92">
        <f t="shared" si="23"/>
        <v>0</v>
      </c>
      <c r="BB31" s="92">
        <f t="shared" si="3"/>
        <v>0</v>
      </c>
    </row>
    <row r="32" spans="1:54">
      <c r="A32" s="89" t="s">
        <v>74</v>
      </c>
      <c r="B32" s="88" t="s">
        <v>94</v>
      </c>
      <c r="C32" s="94">
        <f>'Download COV'!D32</f>
        <v>1308</v>
      </c>
      <c r="D32" s="94">
        <f>'Download COV'!E32</f>
        <v>4747</v>
      </c>
      <c r="E32" s="94">
        <f>'Download COV'!F32</f>
        <v>4195</v>
      </c>
      <c r="F32" s="94">
        <f>'Download COV'!G32</f>
        <v>3533</v>
      </c>
      <c r="G32" s="92">
        <f t="shared" ref="G32:N32" si="24">G13*$B51</f>
        <v>1318.1036597895741</v>
      </c>
      <c r="H32" s="92">
        <f t="shared" si="24"/>
        <v>1009.3280504460315</v>
      </c>
      <c r="I32" s="92">
        <f t="shared" si="24"/>
        <v>881.34637500000008</v>
      </c>
      <c r="J32" s="92">
        <f t="shared" si="24"/>
        <v>1217.136375</v>
      </c>
      <c r="K32" s="92">
        <f t="shared" si="24"/>
        <v>873.36112500000013</v>
      </c>
      <c r="L32" s="92">
        <f t="shared" si="24"/>
        <v>909.46898822646631</v>
      </c>
      <c r="M32" s="92">
        <f t="shared" si="24"/>
        <v>1454.4813841844741</v>
      </c>
      <c r="N32" s="92">
        <f t="shared" si="24"/>
        <v>1163.0127637173075</v>
      </c>
      <c r="O32" s="92">
        <f t="shared" si="0"/>
        <v>22609.238721363847</v>
      </c>
      <c r="P32" s="92">
        <f t="shared" ref="P32:AA32" si="25">P13*$B51</f>
        <v>1213.450875</v>
      </c>
      <c r="Q32" s="92">
        <f t="shared" si="25"/>
        <v>1708.2292500000001</v>
      </c>
      <c r="R32" s="92">
        <f t="shared" si="25"/>
        <v>404.79075</v>
      </c>
      <c r="S32" s="92">
        <f t="shared" si="25"/>
        <v>245.49525</v>
      </c>
      <c r="T32" s="92">
        <f t="shared" si="25"/>
        <v>428.43937500000004</v>
      </c>
      <c r="U32" s="92">
        <f t="shared" si="25"/>
        <v>270.16762499999999</v>
      </c>
      <c r="V32" s="92">
        <f t="shared" si="25"/>
        <v>286.54762500000004</v>
      </c>
      <c r="W32" s="92">
        <f t="shared" si="25"/>
        <v>384.41812500000003</v>
      </c>
      <c r="X32" s="92">
        <f t="shared" si="25"/>
        <v>276.822</v>
      </c>
      <c r="Y32" s="92">
        <f t="shared" si="25"/>
        <v>271.19137499999999</v>
      </c>
      <c r="Z32" s="92">
        <f t="shared" si="25"/>
        <v>240.47887500000002</v>
      </c>
      <c r="AA32" s="92">
        <f t="shared" si="25"/>
        <v>82.411875000000009</v>
      </c>
      <c r="AB32" s="92">
        <f t="shared" si="1"/>
        <v>5812.4430000000002</v>
      </c>
      <c r="AC32" s="92">
        <f t="shared" ref="AC32:AN32" si="26">AC13*$B51</f>
        <v>76.781250000000014</v>
      </c>
      <c r="AD32" s="92">
        <f t="shared" si="26"/>
        <v>99.610875000000007</v>
      </c>
      <c r="AE32" s="92">
        <f t="shared" si="26"/>
        <v>64.393875000000008</v>
      </c>
      <c r="AF32" s="92">
        <f t="shared" si="26"/>
        <v>63.882000000000005</v>
      </c>
      <c r="AG32" s="92">
        <f t="shared" si="26"/>
        <v>102.78450000000001</v>
      </c>
      <c r="AH32" s="92">
        <f t="shared" si="26"/>
        <v>69.205500000000001</v>
      </c>
      <c r="AI32" s="92">
        <f t="shared" si="26"/>
        <v>75.143249999999995</v>
      </c>
      <c r="AJ32" s="92">
        <f t="shared" si="26"/>
        <v>108.108</v>
      </c>
      <c r="AK32" s="92">
        <f t="shared" si="26"/>
        <v>69.512625000000014</v>
      </c>
      <c r="AL32" s="92">
        <f t="shared" si="26"/>
        <v>72.379125000000016</v>
      </c>
      <c r="AM32" s="92">
        <f t="shared" si="26"/>
        <v>125.20462500000001</v>
      </c>
      <c r="AN32" s="92">
        <f t="shared" si="26"/>
        <v>69.410250000000005</v>
      </c>
      <c r="AO32" s="92">
        <f t="shared" si="2"/>
        <v>996.41587500000003</v>
      </c>
      <c r="AP32" s="92">
        <f t="shared" ref="AP32:BA32" si="27">AP13*$B51</f>
        <v>90.704250000000002</v>
      </c>
      <c r="AQ32" s="92">
        <f t="shared" si="27"/>
        <v>101.76075</v>
      </c>
      <c r="AR32" s="92">
        <f t="shared" si="27"/>
        <v>87.530625000000015</v>
      </c>
      <c r="AS32" s="92">
        <f t="shared" si="27"/>
        <v>97.870499999999993</v>
      </c>
      <c r="AT32" s="92">
        <f t="shared" si="27"/>
        <v>91.830374999999918</v>
      </c>
      <c r="AU32" s="92">
        <f t="shared" si="27"/>
        <v>0</v>
      </c>
      <c r="AV32" s="92">
        <f t="shared" si="27"/>
        <v>0</v>
      </c>
      <c r="AW32" s="92">
        <f t="shared" si="27"/>
        <v>0</v>
      </c>
      <c r="AX32" s="92">
        <f t="shared" si="27"/>
        <v>0</v>
      </c>
      <c r="AY32" s="92">
        <f t="shared" si="27"/>
        <v>0</v>
      </c>
      <c r="AZ32" s="92">
        <f t="shared" si="27"/>
        <v>0</v>
      </c>
      <c r="BA32" s="92">
        <f t="shared" si="27"/>
        <v>0</v>
      </c>
      <c r="BB32" s="92">
        <f t="shared" si="3"/>
        <v>469.6964999999999</v>
      </c>
    </row>
    <row r="33" spans="1:54">
      <c r="A33" s="89"/>
      <c r="B33" s="88"/>
      <c r="C33" s="94"/>
      <c r="D33" s="94"/>
      <c r="E33" s="94"/>
      <c r="F33" s="94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92"/>
      <c r="S33" s="92"/>
      <c r="T33" s="92"/>
      <c r="U33" s="92"/>
      <c r="V33" s="92"/>
      <c r="W33" s="92"/>
      <c r="X33" s="92"/>
      <c r="Y33" s="92"/>
      <c r="Z33" s="92"/>
      <c r="AA33" s="92"/>
      <c r="AB33" s="92"/>
      <c r="AC33" s="92"/>
      <c r="AD33" s="92"/>
      <c r="AE33" s="92"/>
      <c r="AF33" s="92"/>
      <c r="AG33" s="92"/>
      <c r="AH33" s="92"/>
      <c r="AI33" s="92"/>
      <c r="AJ33" s="92"/>
      <c r="AK33" s="92"/>
      <c r="AL33" s="92"/>
      <c r="AM33" s="92"/>
      <c r="AN33" s="92"/>
      <c r="AO33" s="92"/>
      <c r="AP33" s="92"/>
      <c r="AQ33" s="92"/>
      <c r="AR33" s="92"/>
      <c r="AS33" s="92"/>
      <c r="AT33" s="92"/>
      <c r="AU33" s="92"/>
      <c r="AV33" s="92"/>
      <c r="AW33" s="92"/>
      <c r="AX33" s="92"/>
      <c r="AY33" s="92"/>
      <c r="AZ33" s="92"/>
      <c r="BA33" s="92"/>
      <c r="BB33" s="92"/>
    </row>
    <row r="34" spans="1:54">
      <c r="A34" s="89" t="s">
        <v>115</v>
      </c>
      <c r="B34" s="88" t="s">
        <v>94</v>
      </c>
      <c r="C34" s="94">
        <f>'Download COV'!D34</f>
        <v>0</v>
      </c>
      <c r="D34" s="94">
        <f>'Download COV'!E34</f>
        <v>0</v>
      </c>
      <c r="E34" s="94">
        <f>'Download COV'!F34</f>
        <v>0</v>
      </c>
      <c r="F34" s="94">
        <f>'Download COV'!G34</f>
        <v>0</v>
      </c>
      <c r="G34" s="92">
        <f t="shared" ref="G34:N34" si="28">G15*$B53</f>
        <v>0</v>
      </c>
      <c r="H34" s="92">
        <f t="shared" si="28"/>
        <v>0</v>
      </c>
      <c r="I34" s="92">
        <f t="shared" si="28"/>
        <v>0</v>
      </c>
      <c r="J34" s="92">
        <f t="shared" si="28"/>
        <v>0</v>
      </c>
      <c r="K34" s="92">
        <f t="shared" si="28"/>
        <v>0</v>
      </c>
      <c r="L34" s="92">
        <f t="shared" si="28"/>
        <v>0</v>
      </c>
      <c r="M34" s="92">
        <f t="shared" si="28"/>
        <v>0</v>
      </c>
      <c r="N34" s="92">
        <f t="shared" si="28"/>
        <v>0</v>
      </c>
      <c r="O34" s="92">
        <f t="shared" si="0"/>
        <v>0</v>
      </c>
      <c r="P34" s="92">
        <f t="shared" ref="P34:AA34" si="29">P15*$B53</f>
        <v>0</v>
      </c>
      <c r="Q34" s="92">
        <f t="shared" si="29"/>
        <v>0</v>
      </c>
      <c r="R34" s="92">
        <f t="shared" si="29"/>
        <v>0</v>
      </c>
      <c r="S34" s="92">
        <f t="shared" si="29"/>
        <v>0</v>
      </c>
      <c r="T34" s="92">
        <f t="shared" si="29"/>
        <v>0</v>
      </c>
      <c r="U34" s="92">
        <f t="shared" si="29"/>
        <v>0</v>
      </c>
      <c r="V34" s="92">
        <f t="shared" si="29"/>
        <v>37.298625000000001</v>
      </c>
      <c r="W34" s="92">
        <f t="shared" si="29"/>
        <v>31.565625000000001</v>
      </c>
      <c r="X34" s="92">
        <f t="shared" si="29"/>
        <v>43.680000000000007</v>
      </c>
      <c r="Y34" s="92">
        <f t="shared" si="29"/>
        <v>88.144875000000013</v>
      </c>
      <c r="Z34" s="92">
        <f t="shared" si="29"/>
        <v>80.466750000000005</v>
      </c>
      <c r="AA34" s="92">
        <f t="shared" si="29"/>
        <v>104.59312500000001</v>
      </c>
      <c r="AB34" s="92">
        <f t="shared" si="1"/>
        <v>385.74900000000002</v>
      </c>
      <c r="AC34" s="92">
        <f t="shared" ref="AC34:AN34" si="30">AC15*$B53</f>
        <v>130.08450000000002</v>
      </c>
      <c r="AD34" s="92">
        <f t="shared" si="30"/>
        <v>123.36187500000001</v>
      </c>
      <c r="AE34" s="92">
        <f t="shared" si="30"/>
        <v>133.87237500000001</v>
      </c>
      <c r="AF34" s="92">
        <f t="shared" si="30"/>
        <v>173.18437500000002</v>
      </c>
      <c r="AG34" s="92">
        <f t="shared" si="30"/>
        <v>149.53575000000001</v>
      </c>
      <c r="AH34" s="92">
        <f t="shared" si="30"/>
        <v>181.51087500000003</v>
      </c>
      <c r="AI34" s="92">
        <f t="shared" si="30"/>
        <v>205.05712500000001</v>
      </c>
      <c r="AJ34" s="92">
        <f t="shared" si="30"/>
        <v>149.22862500000002</v>
      </c>
      <c r="AK34" s="92">
        <f t="shared" si="30"/>
        <v>175.231875</v>
      </c>
      <c r="AL34" s="92">
        <f t="shared" si="30"/>
        <v>225.73687500000003</v>
      </c>
      <c r="AM34" s="92">
        <f t="shared" si="30"/>
        <v>156.32662500000001</v>
      </c>
      <c r="AN34" s="92">
        <f t="shared" si="30"/>
        <v>156.32662500000001</v>
      </c>
      <c r="AO34" s="92">
        <f t="shared" si="2"/>
        <v>1959.4575</v>
      </c>
      <c r="AP34" s="92">
        <f t="shared" ref="AP34:BA34" si="31">AP15*$B53</f>
        <v>156.32662500000001</v>
      </c>
      <c r="AQ34" s="92">
        <f t="shared" si="31"/>
        <v>176.05832045454559</v>
      </c>
      <c r="AR34" s="92">
        <f t="shared" si="31"/>
        <v>177.18413522727286</v>
      </c>
      <c r="AS34" s="92">
        <f t="shared" si="31"/>
        <v>178.30995000000021</v>
      </c>
      <c r="AT34" s="92">
        <f t="shared" si="31"/>
        <v>188.73870511363685</v>
      </c>
      <c r="AU34" s="92">
        <f t="shared" si="31"/>
        <v>0</v>
      </c>
      <c r="AV34" s="92">
        <f t="shared" si="31"/>
        <v>0</v>
      </c>
      <c r="AW34" s="92">
        <f t="shared" si="31"/>
        <v>0</v>
      </c>
      <c r="AX34" s="92">
        <f t="shared" si="31"/>
        <v>0</v>
      </c>
      <c r="AY34" s="92">
        <f t="shared" si="31"/>
        <v>0</v>
      </c>
      <c r="AZ34" s="92">
        <f t="shared" si="31"/>
        <v>0</v>
      </c>
      <c r="BA34" s="92">
        <f t="shared" si="31"/>
        <v>0</v>
      </c>
      <c r="BB34" s="92">
        <f t="shared" si="3"/>
        <v>876.61773579545547</v>
      </c>
    </row>
    <row r="35" spans="1:54">
      <c r="A35" s="89"/>
      <c r="B35" s="88"/>
      <c r="C35" s="94"/>
      <c r="D35" s="94"/>
      <c r="E35" s="94"/>
      <c r="F35" s="94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92"/>
      <c r="S35" s="92"/>
      <c r="T35" s="92"/>
      <c r="U35" s="92"/>
      <c r="V35" s="92"/>
      <c r="W35" s="92"/>
      <c r="X35" s="92"/>
      <c r="Y35" s="92"/>
      <c r="Z35" s="92"/>
      <c r="AA35" s="92"/>
      <c r="AB35" s="92"/>
      <c r="AC35" s="92"/>
      <c r="AD35" s="92"/>
      <c r="AE35" s="92"/>
      <c r="AF35" s="92"/>
      <c r="AG35" s="92"/>
      <c r="AH35" s="92"/>
      <c r="AI35" s="92"/>
      <c r="AJ35" s="92"/>
      <c r="AK35" s="92"/>
      <c r="AL35" s="92"/>
      <c r="AM35" s="92"/>
      <c r="AN35" s="92"/>
      <c r="AO35" s="92"/>
      <c r="AP35" s="92"/>
      <c r="AQ35" s="92"/>
      <c r="AR35" s="92"/>
      <c r="AS35" s="92"/>
      <c r="AT35" s="92"/>
      <c r="AU35" s="92"/>
      <c r="AV35" s="92"/>
      <c r="AW35" s="92"/>
      <c r="AX35" s="92"/>
      <c r="AY35" s="92"/>
      <c r="AZ35" s="92"/>
      <c r="BA35" s="92"/>
      <c r="BB35" s="92"/>
    </row>
    <row r="36" spans="1:54">
      <c r="A36" s="29" t="s">
        <v>129</v>
      </c>
      <c r="B36" s="88" t="s">
        <v>94</v>
      </c>
      <c r="C36" s="94">
        <f>'Download COV'!D36</f>
        <v>60</v>
      </c>
      <c r="D36" s="94">
        <f>'Download COV'!E36</f>
        <v>129</v>
      </c>
      <c r="E36" s="94">
        <f>'Download COV'!F36</f>
        <v>153</v>
      </c>
      <c r="F36" s="94">
        <f>'Download COV'!G36</f>
        <v>200</v>
      </c>
      <c r="G36" s="92">
        <f t="shared" ref="G36:N36" si="32">G17*$B55</f>
        <v>146.61422994796911</v>
      </c>
      <c r="H36" s="92">
        <f t="shared" si="32"/>
        <v>117.41118545224835</v>
      </c>
      <c r="I36" s="92">
        <f t="shared" si="32"/>
        <v>138.20625000000001</v>
      </c>
      <c r="J36" s="92">
        <f t="shared" si="32"/>
        <v>126.70612500000001</v>
      </c>
      <c r="K36" s="92">
        <f t="shared" si="32"/>
        <v>108.61987500000001</v>
      </c>
      <c r="L36" s="92">
        <f t="shared" si="32"/>
        <v>158.49057934320061</v>
      </c>
      <c r="M36" s="92">
        <f t="shared" si="32"/>
        <v>129.54779319771825</v>
      </c>
      <c r="N36" s="92">
        <f t="shared" si="32"/>
        <v>119.58782402095183</v>
      </c>
      <c r="O36" s="92">
        <f t="shared" si="0"/>
        <v>1587.183861962088</v>
      </c>
      <c r="P36" s="92">
        <f t="shared" ref="P36:AA36" si="33">P17*$B55</f>
        <v>159.46796437572004</v>
      </c>
      <c r="Q36" s="92">
        <f t="shared" si="33"/>
        <v>115.47900000000001</v>
      </c>
      <c r="R36" s="92">
        <f t="shared" si="33"/>
        <v>111.45225000000001</v>
      </c>
      <c r="S36" s="92">
        <f t="shared" si="33"/>
        <v>152.81358937572003</v>
      </c>
      <c r="T36" s="92">
        <f t="shared" si="33"/>
        <v>122.91825000000001</v>
      </c>
      <c r="U36" s="92">
        <f t="shared" si="33"/>
        <v>117.32175000000001</v>
      </c>
      <c r="V36" s="92">
        <f t="shared" si="33"/>
        <v>146.94408937572004</v>
      </c>
      <c r="W36" s="92">
        <f t="shared" si="33"/>
        <v>122.91825000000001</v>
      </c>
      <c r="X36" s="92">
        <f t="shared" si="33"/>
        <v>111.45225000000001</v>
      </c>
      <c r="Y36" s="92">
        <f t="shared" si="33"/>
        <v>158.95608937572004</v>
      </c>
      <c r="Z36" s="92">
        <f t="shared" si="33"/>
        <v>116.77575</v>
      </c>
      <c r="AA36" s="92">
        <f t="shared" si="33"/>
        <v>129.06075000000001</v>
      </c>
      <c r="AB36" s="92">
        <f t="shared" si="1"/>
        <v>1565.5599825028803</v>
      </c>
      <c r="AC36" s="92">
        <f t="shared" ref="AC36:AN36" si="34">AC17*$B55</f>
        <v>129.06258937572002</v>
      </c>
      <c r="AD36" s="92">
        <f t="shared" si="34"/>
        <v>129.06075000000001</v>
      </c>
      <c r="AE36" s="92">
        <f t="shared" si="34"/>
        <v>129.06075000000001</v>
      </c>
      <c r="AF36" s="92">
        <f t="shared" si="34"/>
        <v>129.06258937572002</v>
      </c>
      <c r="AG36" s="92">
        <f t="shared" si="34"/>
        <v>129.06075000000001</v>
      </c>
      <c r="AH36" s="92">
        <f t="shared" si="34"/>
        <v>129.06075000000001</v>
      </c>
      <c r="AI36" s="92">
        <f t="shared" si="34"/>
        <v>129.06258937572002</v>
      </c>
      <c r="AJ36" s="92">
        <f t="shared" si="34"/>
        <v>129.06075000000001</v>
      </c>
      <c r="AK36" s="92">
        <f t="shared" si="34"/>
        <v>129.06075000000001</v>
      </c>
      <c r="AL36" s="92">
        <f t="shared" si="34"/>
        <v>129.06258937572002</v>
      </c>
      <c r="AM36" s="92">
        <f t="shared" si="34"/>
        <v>129.06075000000001</v>
      </c>
      <c r="AN36" s="92">
        <f t="shared" si="34"/>
        <v>129.06075000000001</v>
      </c>
      <c r="AO36" s="92">
        <f t="shared" si="2"/>
        <v>1548.7363575028805</v>
      </c>
      <c r="AP36" s="92">
        <f t="shared" ref="AP36:BA36" si="35">AP17*$B55</f>
        <v>129.06258937572002</v>
      </c>
      <c r="AQ36" s="92">
        <f t="shared" si="35"/>
        <v>129.06075000000001</v>
      </c>
      <c r="AR36" s="92">
        <f t="shared" si="35"/>
        <v>129.06075000000001</v>
      </c>
      <c r="AS36" s="92">
        <f t="shared" si="35"/>
        <v>130.52812500000002</v>
      </c>
      <c r="AT36" s="92">
        <f t="shared" si="35"/>
        <v>135.14865</v>
      </c>
      <c r="AU36" s="92">
        <f t="shared" si="35"/>
        <v>0</v>
      </c>
      <c r="AV36" s="92">
        <f t="shared" si="35"/>
        <v>0</v>
      </c>
      <c r="AW36" s="92">
        <f t="shared" si="35"/>
        <v>0</v>
      </c>
      <c r="AX36" s="92">
        <f t="shared" si="35"/>
        <v>0</v>
      </c>
      <c r="AY36" s="92">
        <f t="shared" si="35"/>
        <v>0</v>
      </c>
      <c r="AZ36" s="92">
        <f t="shared" si="35"/>
        <v>0</v>
      </c>
      <c r="BA36" s="92">
        <f t="shared" si="35"/>
        <v>0</v>
      </c>
      <c r="BB36" s="92">
        <f t="shared" si="3"/>
        <v>652.8608643757201</v>
      </c>
    </row>
    <row r="37" spans="1:54">
      <c r="A37" s="29" t="s">
        <v>132</v>
      </c>
      <c r="B37" s="88" t="s">
        <v>94</v>
      </c>
      <c r="C37" s="94">
        <f>'Download COV'!D37</f>
        <v>0</v>
      </c>
      <c r="D37" s="94">
        <f>'Download COV'!E37</f>
        <v>0</v>
      </c>
      <c r="E37" s="94">
        <f>'Download COV'!F37</f>
        <v>0</v>
      </c>
      <c r="F37" s="94">
        <f>'Download COV'!G37</f>
        <v>0</v>
      </c>
      <c r="G37" s="92">
        <v>0</v>
      </c>
      <c r="H37" s="92">
        <v>0</v>
      </c>
      <c r="I37" s="92">
        <v>0</v>
      </c>
      <c r="J37" s="92">
        <v>0</v>
      </c>
      <c r="K37" s="92">
        <v>0</v>
      </c>
      <c r="L37" s="92">
        <v>0</v>
      </c>
      <c r="M37" s="92">
        <v>0</v>
      </c>
      <c r="N37" s="92">
        <v>0</v>
      </c>
      <c r="O37" s="92">
        <f t="shared" si="0"/>
        <v>0</v>
      </c>
      <c r="P37" s="92">
        <v>0</v>
      </c>
      <c r="Q37" s="92">
        <v>0</v>
      </c>
      <c r="R37" s="92">
        <v>0</v>
      </c>
      <c r="S37" s="92">
        <v>0</v>
      </c>
      <c r="T37" s="92">
        <v>0</v>
      </c>
      <c r="U37" s="92">
        <v>0</v>
      </c>
      <c r="V37" s="92">
        <v>0</v>
      </c>
      <c r="W37" s="92">
        <v>0</v>
      </c>
      <c r="X37" s="92">
        <v>0</v>
      </c>
      <c r="Y37" s="92">
        <v>0</v>
      </c>
      <c r="Z37" s="92">
        <v>0</v>
      </c>
      <c r="AA37" s="92">
        <v>0</v>
      </c>
      <c r="AB37" s="92">
        <f t="shared" si="1"/>
        <v>0</v>
      </c>
      <c r="AC37" s="92">
        <v>3000</v>
      </c>
      <c r="AD37" s="92">
        <f>AC37</f>
        <v>3000</v>
      </c>
      <c r="AE37" s="92">
        <f t="shared" ref="AE37:AN37" si="36">AD37</f>
        <v>3000</v>
      </c>
      <c r="AF37" s="92">
        <f t="shared" si="36"/>
        <v>3000</v>
      </c>
      <c r="AG37" s="92">
        <f t="shared" si="36"/>
        <v>3000</v>
      </c>
      <c r="AH37" s="92">
        <f t="shared" si="36"/>
        <v>3000</v>
      </c>
      <c r="AI37" s="92">
        <f t="shared" si="36"/>
        <v>3000</v>
      </c>
      <c r="AJ37" s="92">
        <f t="shared" si="36"/>
        <v>3000</v>
      </c>
      <c r="AK37" s="92">
        <f t="shared" si="36"/>
        <v>3000</v>
      </c>
      <c r="AL37" s="92">
        <f t="shared" si="36"/>
        <v>3000</v>
      </c>
      <c r="AM37" s="92">
        <f t="shared" si="36"/>
        <v>3000</v>
      </c>
      <c r="AN37" s="92">
        <f t="shared" si="36"/>
        <v>3000</v>
      </c>
      <c r="AO37" s="92">
        <f t="shared" si="2"/>
        <v>36000</v>
      </c>
      <c r="AP37" s="92">
        <v>3500</v>
      </c>
      <c r="AQ37" s="92">
        <f>AP37</f>
        <v>3500</v>
      </c>
      <c r="AR37" s="92">
        <f t="shared" ref="AR37:AS37" si="37">AQ37</f>
        <v>3500</v>
      </c>
      <c r="AS37" s="92">
        <f t="shared" si="37"/>
        <v>3500</v>
      </c>
      <c r="AT37" s="92">
        <f>AS37</f>
        <v>3500</v>
      </c>
      <c r="AU37" s="92">
        <f t="shared" ref="AU37:BA37" si="38">AT37</f>
        <v>3500</v>
      </c>
      <c r="AV37" s="92">
        <f t="shared" si="38"/>
        <v>3500</v>
      </c>
      <c r="AW37" s="92">
        <f t="shared" si="38"/>
        <v>3500</v>
      </c>
      <c r="AX37" s="92">
        <f t="shared" si="38"/>
        <v>3500</v>
      </c>
      <c r="AY37" s="92">
        <f t="shared" si="38"/>
        <v>3500</v>
      </c>
      <c r="AZ37" s="92">
        <f t="shared" si="38"/>
        <v>3500</v>
      </c>
      <c r="BA37" s="92">
        <f t="shared" si="38"/>
        <v>3500</v>
      </c>
      <c r="BB37" s="92">
        <f t="shared" si="3"/>
        <v>42000</v>
      </c>
    </row>
    <row r="38" spans="1:54">
      <c r="A38" s="99" t="s">
        <v>145</v>
      </c>
      <c r="B38" s="88" t="s">
        <v>94</v>
      </c>
      <c r="C38" s="94">
        <f>'Download COV'!D38</f>
        <v>0</v>
      </c>
      <c r="D38" s="94">
        <f>'Download COV'!E38</f>
        <v>0</v>
      </c>
      <c r="E38" s="94">
        <f>'Download COV'!F38</f>
        <v>0</v>
      </c>
      <c r="F38" s="94">
        <f>'Download COV'!G38</f>
        <v>-8000</v>
      </c>
      <c r="G38" s="92">
        <f>G19*0.1</f>
        <v>330</v>
      </c>
      <c r="H38" s="92">
        <f t="shared" ref="H38:AA38" si="39">H19*0.1</f>
        <v>275</v>
      </c>
      <c r="I38" s="92">
        <f t="shared" si="39"/>
        <v>250</v>
      </c>
      <c r="J38" s="92">
        <f t="shared" si="39"/>
        <v>250</v>
      </c>
      <c r="K38" s="92">
        <f t="shared" si="39"/>
        <v>250</v>
      </c>
      <c r="L38" s="92">
        <f t="shared" si="39"/>
        <v>250</v>
      </c>
      <c r="M38" s="92">
        <f t="shared" si="39"/>
        <v>250</v>
      </c>
      <c r="N38" s="92">
        <f t="shared" si="39"/>
        <v>250</v>
      </c>
      <c r="O38" s="92">
        <f t="shared" si="0"/>
        <v>-5895</v>
      </c>
      <c r="P38" s="92">
        <f t="shared" si="39"/>
        <v>500</v>
      </c>
      <c r="Q38" s="92">
        <f t="shared" si="39"/>
        <v>500</v>
      </c>
      <c r="R38" s="92">
        <f t="shared" si="39"/>
        <v>500</v>
      </c>
      <c r="S38" s="92">
        <f t="shared" si="39"/>
        <v>500</v>
      </c>
      <c r="T38" s="92">
        <f t="shared" si="39"/>
        <v>500</v>
      </c>
      <c r="U38" s="92">
        <f t="shared" si="39"/>
        <v>500</v>
      </c>
      <c r="V38" s="92">
        <f t="shared" si="39"/>
        <v>500</v>
      </c>
      <c r="W38" s="92">
        <f t="shared" si="39"/>
        <v>500</v>
      </c>
      <c r="X38" s="92">
        <f t="shared" si="39"/>
        <v>500</v>
      </c>
      <c r="Y38" s="92">
        <f t="shared" si="39"/>
        <v>500</v>
      </c>
      <c r="Z38" s="92">
        <f t="shared" si="39"/>
        <v>500</v>
      </c>
      <c r="AA38" s="92">
        <f t="shared" si="39"/>
        <v>500</v>
      </c>
      <c r="AB38" s="92">
        <f t="shared" si="1"/>
        <v>6000</v>
      </c>
      <c r="AC38" s="92"/>
      <c r="AD38" s="92"/>
      <c r="AE38" s="92"/>
      <c r="AF38" s="92"/>
      <c r="AG38" s="92"/>
      <c r="AH38" s="92"/>
      <c r="AI38" s="92"/>
      <c r="AJ38" s="92"/>
      <c r="AK38" s="92"/>
      <c r="AL38" s="92"/>
      <c r="AM38" s="92"/>
      <c r="AN38" s="92"/>
      <c r="AO38" s="92"/>
      <c r="AP38" s="92"/>
      <c r="AQ38" s="92"/>
      <c r="AR38" s="92"/>
      <c r="AS38" s="92"/>
      <c r="AT38" s="92"/>
      <c r="AU38" s="92"/>
      <c r="AV38" s="92"/>
      <c r="AW38" s="92"/>
      <c r="AX38" s="92"/>
      <c r="AY38" s="92"/>
      <c r="AZ38" s="92"/>
      <c r="BA38" s="92"/>
      <c r="BB38" s="92"/>
    </row>
    <row r="39" spans="1:54">
      <c r="A39" s="99" t="s">
        <v>140</v>
      </c>
      <c r="B39" s="88" t="s">
        <v>94</v>
      </c>
      <c r="C39" s="94">
        <f>'Download COV'!D39</f>
        <v>0</v>
      </c>
      <c r="D39" s="94">
        <f>'Download COV'!E39</f>
        <v>0</v>
      </c>
      <c r="E39" s="94">
        <f>'Download COV'!F39</f>
        <v>21324.15</v>
      </c>
      <c r="F39" s="94">
        <f>'Download COV'!G39</f>
        <v>0</v>
      </c>
      <c r="G39" s="92"/>
      <c r="H39" s="92"/>
      <c r="I39" s="92"/>
      <c r="J39" s="92"/>
      <c r="K39" s="92"/>
      <c r="L39" s="92"/>
      <c r="M39" s="92"/>
      <c r="N39" s="92"/>
      <c r="O39" s="92">
        <f t="shared" si="0"/>
        <v>21324.15</v>
      </c>
      <c r="P39" s="92"/>
      <c r="Q39" s="92"/>
      <c r="R39" s="92"/>
      <c r="S39" s="92"/>
      <c r="T39" s="92"/>
      <c r="U39" s="92"/>
      <c r="V39" s="92"/>
      <c r="W39" s="92"/>
      <c r="X39" s="92"/>
      <c r="Y39" s="92"/>
      <c r="Z39" s="92"/>
      <c r="AA39" s="92"/>
      <c r="AB39" s="92">
        <f t="shared" si="1"/>
        <v>0</v>
      </c>
      <c r="AC39" s="92"/>
      <c r="AD39" s="92"/>
      <c r="AE39" s="92"/>
      <c r="AF39" s="92"/>
      <c r="AG39" s="92"/>
      <c r="AH39" s="92"/>
      <c r="AI39" s="92"/>
      <c r="AJ39" s="92"/>
      <c r="AK39" s="92"/>
      <c r="AL39" s="92"/>
      <c r="AM39" s="92"/>
      <c r="AN39" s="92"/>
      <c r="AO39" s="92">
        <f t="shared" si="2"/>
        <v>0</v>
      </c>
      <c r="AP39" s="92"/>
      <c r="AQ39" s="92"/>
      <c r="AR39" s="92"/>
      <c r="AS39" s="92"/>
      <c r="AT39" s="92"/>
      <c r="AU39" s="92"/>
      <c r="AV39" s="92"/>
      <c r="AW39" s="92"/>
      <c r="AX39" s="92"/>
      <c r="AY39" s="92"/>
      <c r="AZ39" s="92"/>
      <c r="BA39" s="92"/>
      <c r="BB39" s="92">
        <f t="shared" si="3"/>
        <v>0</v>
      </c>
    </row>
    <row r="40" spans="1:54">
      <c r="A40" s="99" t="s">
        <v>141</v>
      </c>
      <c r="B40" s="88" t="s">
        <v>94</v>
      </c>
      <c r="C40" s="94">
        <f>'Download COV'!D40</f>
        <v>0</v>
      </c>
      <c r="D40" s="94">
        <f>'Download COV'!E40</f>
        <v>0</v>
      </c>
      <c r="E40" s="94">
        <f>'Download COV'!F40</f>
        <v>0</v>
      </c>
      <c r="F40" s="94">
        <f>'Download COV'!G40</f>
        <v>0</v>
      </c>
      <c r="G40" s="92"/>
      <c r="H40" s="92"/>
      <c r="I40" s="92"/>
      <c r="J40" s="92"/>
      <c r="K40" s="92"/>
      <c r="L40" s="92"/>
      <c r="M40" s="92"/>
      <c r="N40" s="92"/>
      <c r="O40" s="92">
        <f t="shared" si="0"/>
        <v>0</v>
      </c>
      <c r="P40" s="92"/>
      <c r="Q40" s="92"/>
      <c r="R40" s="92"/>
      <c r="S40" s="92"/>
      <c r="T40" s="92"/>
      <c r="U40" s="92"/>
      <c r="V40" s="92"/>
      <c r="W40" s="92"/>
      <c r="X40" s="92"/>
      <c r="Y40" s="92"/>
      <c r="Z40" s="92"/>
      <c r="AA40" s="92"/>
      <c r="AB40" s="92">
        <f t="shared" si="1"/>
        <v>0</v>
      </c>
      <c r="AC40" s="92"/>
      <c r="AD40" s="92"/>
      <c r="AE40" s="92"/>
      <c r="AF40" s="92"/>
      <c r="AG40" s="92"/>
      <c r="AH40" s="92"/>
      <c r="AI40" s="92"/>
      <c r="AJ40" s="92"/>
      <c r="AK40" s="92"/>
      <c r="AL40" s="92"/>
      <c r="AM40" s="92"/>
      <c r="AN40" s="92"/>
      <c r="AO40" s="92">
        <f t="shared" si="2"/>
        <v>0</v>
      </c>
      <c r="AP40" s="92"/>
      <c r="AQ40" s="92"/>
      <c r="AR40" s="92"/>
      <c r="AS40" s="92"/>
      <c r="AT40" s="92"/>
      <c r="AU40" s="92"/>
      <c r="AV40" s="92"/>
      <c r="AW40" s="92"/>
      <c r="AX40" s="92"/>
      <c r="AY40" s="92"/>
      <c r="AZ40" s="92"/>
      <c r="BA40" s="92"/>
      <c r="BB40" s="92">
        <f t="shared" si="3"/>
        <v>0</v>
      </c>
    </row>
    <row r="41" spans="1:54">
      <c r="A41" s="57" t="s">
        <v>92</v>
      </c>
      <c r="B41" s="88" t="s">
        <v>94</v>
      </c>
      <c r="C41" s="94">
        <f>'Download COV'!D41</f>
        <v>0</v>
      </c>
      <c r="D41" s="94">
        <f>'Download COV'!E41</f>
        <v>0</v>
      </c>
      <c r="E41" s="94">
        <f>'Download COV'!F41</f>
        <v>0</v>
      </c>
      <c r="F41" s="94">
        <f>'Download COV'!G41</f>
        <v>0</v>
      </c>
      <c r="G41" s="92">
        <f t="shared" ref="G41:N41" si="40">G22*$B57</f>
        <v>0</v>
      </c>
      <c r="H41" s="92">
        <f t="shared" si="40"/>
        <v>0</v>
      </c>
      <c r="I41" s="92">
        <f t="shared" si="40"/>
        <v>0</v>
      </c>
      <c r="J41" s="92">
        <f t="shared" si="40"/>
        <v>0</v>
      </c>
      <c r="K41" s="92">
        <f t="shared" si="40"/>
        <v>0</v>
      </c>
      <c r="L41" s="92">
        <f t="shared" si="40"/>
        <v>0</v>
      </c>
      <c r="M41" s="92">
        <f t="shared" si="40"/>
        <v>0</v>
      </c>
      <c r="N41" s="92">
        <f t="shared" si="40"/>
        <v>0</v>
      </c>
      <c r="O41" s="92">
        <f t="shared" si="0"/>
        <v>0</v>
      </c>
      <c r="P41" s="92">
        <f t="shared" ref="P41:AA41" si="41">P22*$B57</f>
        <v>0</v>
      </c>
      <c r="Q41" s="92">
        <f t="shared" si="41"/>
        <v>0</v>
      </c>
      <c r="R41" s="92">
        <f t="shared" si="41"/>
        <v>0</v>
      </c>
      <c r="S41" s="92">
        <f t="shared" si="41"/>
        <v>0</v>
      </c>
      <c r="T41" s="92">
        <f t="shared" si="41"/>
        <v>0</v>
      </c>
      <c r="U41" s="92">
        <f t="shared" si="41"/>
        <v>0</v>
      </c>
      <c r="V41" s="92">
        <f t="shared" si="41"/>
        <v>0</v>
      </c>
      <c r="W41" s="92">
        <f t="shared" si="41"/>
        <v>0</v>
      </c>
      <c r="X41" s="92">
        <f t="shared" si="41"/>
        <v>0</v>
      </c>
      <c r="Y41" s="92">
        <f t="shared" si="41"/>
        <v>0</v>
      </c>
      <c r="Z41" s="92">
        <f t="shared" si="41"/>
        <v>0</v>
      </c>
      <c r="AA41" s="92">
        <f t="shared" si="41"/>
        <v>0</v>
      </c>
      <c r="AB41" s="92">
        <f t="shared" si="1"/>
        <v>0</v>
      </c>
      <c r="AC41" s="92">
        <f t="shared" ref="AC41:AN41" si="42">AC22*$B57</f>
        <v>0</v>
      </c>
      <c r="AD41" s="92">
        <f t="shared" si="42"/>
        <v>0</v>
      </c>
      <c r="AE41" s="92">
        <f t="shared" si="42"/>
        <v>0</v>
      </c>
      <c r="AF41" s="92">
        <f t="shared" si="42"/>
        <v>830.63662500000009</v>
      </c>
      <c r="AG41" s="92">
        <f t="shared" si="42"/>
        <v>1661.3073750000001</v>
      </c>
      <c r="AH41" s="92">
        <f t="shared" si="42"/>
        <v>2491.944</v>
      </c>
      <c r="AI41" s="92">
        <f t="shared" si="42"/>
        <v>2927.652</v>
      </c>
      <c r="AJ41" s="92">
        <f t="shared" si="42"/>
        <v>3363.36</v>
      </c>
      <c r="AK41" s="92">
        <f t="shared" si="42"/>
        <v>3799.0680000000002</v>
      </c>
      <c r="AL41" s="92">
        <f t="shared" si="42"/>
        <v>4453.0053750000006</v>
      </c>
      <c r="AM41" s="92">
        <f t="shared" si="42"/>
        <v>5106.9427500000002</v>
      </c>
      <c r="AN41" s="92">
        <f t="shared" si="42"/>
        <v>5760.9142500000007</v>
      </c>
      <c r="AO41" s="92">
        <f t="shared" si="2"/>
        <v>30394.830375000005</v>
      </c>
      <c r="AP41" s="92">
        <f t="shared" ref="AP41:BA41" si="43">AP22*$B57</f>
        <v>6177.1710000000003</v>
      </c>
      <c r="AQ41" s="92">
        <f t="shared" si="43"/>
        <v>6729.7571250000001</v>
      </c>
      <c r="AR41" s="92">
        <f t="shared" si="43"/>
        <v>7282.3432500000008</v>
      </c>
      <c r="AS41" s="92">
        <f t="shared" si="43"/>
        <v>7845.3033750000004</v>
      </c>
      <c r="AT41" s="92">
        <f t="shared" si="43"/>
        <v>8401.3474999999889</v>
      </c>
      <c r="AU41" s="92">
        <f t="shared" si="43"/>
        <v>0</v>
      </c>
      <c r="AV41" s="92">
        <f t="shared" si="43"/>
        <v>0</v>
      </c>
      <c r="AW41" s="92">
        <f t="shared" si="43"/>
        <v>0</v>
      </c>
      <c r="AX41" s="92">
        <f t="shared" si="43"/>
        <v>0</v>
      </c>
      <c r="AY41" s="92">
        <f t="shared" si="43"/>
        <v>0</v>
      </c>
      <c r="AZ41" s="92">
        <f t="shared" si="43"/>
        <v>0</v>
      </c>
      <c r="BA41" s="92">
        <f t="shared" si="43"/>
        <v>0</v>
      </c>
      <c r="BB41" s="92">
        <f t="shared" si="3"/>
        <v>36435.922249999989</v>
      </c>
    </row>
    <row r="42" spans="1:54">
      <c r="A42" s="57" t="s">
        <v>93</v>
      </c>
      <c r="B42" s="88" t="s">
        <v>94</v>
      </c>
      <c r="C42" s="94">
        <f>'Download COV'!D42</f>
        <v>0</v>
      </c>
      <c r="D42" s="94">
        <f>'Download COV'!E42</f>
        <v>0</v>
      </c>
      <c r="E42" s="94">
        <f>'Download COV'!F42</f>
        <v>0</v>
      </c>
      <c r="F42" s="94">
        <f>'Download COV'!G42</f>
        <v>0</v>
      </c>
      <c r="G42" s="92">
        <f t="shared" ref="G42:N42" si="44">G23*$B58</f>
        <v>0</v>
      </c>
      <c r="H42" s="92">
        <f t="shared" si="44"/>
        <v>0</v>
      </c>
      <c r="I42" s="92">
        <f t="shared" si="44"/>
        <v>0</v>
      </c>
      <c r="J42" s="92">
        <f t="shared" si="44"/>
        <v>0</v>
      </c>
      <c r="K42" s="92">
        <f t="shared" si="44"/>
        <v>0</v>
      </c>
      <c r="L42" s="92">
        <f t="shared" si="44"/>
        <v>0</v>
      </c>
      <c r="M42" s="92">
        <f t="shared" si="44"/>
        <v>0</v>
      </c>
      <c r="N42" s="92">
        <f t="shared" si="44"/>
        <v>0</v>
      </c>
      <c r="O42" s="92">
        <f t="shared" si="0"/>
        <v>0</v>
      </c>
      <c r="P42" s="92">
        <f t="shared" ref="P42:AA42" si="45">P23*$B58</f>
        <v>0</v>
      </c>
      <c r="Q42" s="92">
        <f t="shared" si="45"/>
        <v>0</v>
      </c>
      <c r="R42" s="92">
        <f t="shared" si="45"/>
        <v>0</v>
      </c>
      <c r="S42" s="92">
        <f t="shared" si="45"/>
        <v>0</v>
      </c>
      <c r="T42" s="92">
        <f t="shared" si="45"/>
        <v>0</v>
      </c>
      <c r="U42" s="92">
        <f t="shared" si="45"/>
        <v>0</v>
      </c>
      <c r="V42" s="92">
        <f t="shared" si="45"/>
        <v>448.94463539964272</v>
      </c>
      <c r="W42" s="92">
        <f t="shared" si="45"/>
        <v>897.92339579928546</v>
      </c>
      <c r="X42" s="92">
        <f t="shared" si="45"/>
        <v>1346.8680311989283</v>
      </c>
      <c r="Y42" s="92">
        <f t="shared" si="45"/>
        <v>1583.4244879479668</v>
      </c>
      <c r="Z42" s="92">
        <f t="shared" si="45"/>
        <v>1820.0150696970056</v>
      </c>
      <c r="AA42" s="92">
        <f t="shared" si="45"/>
        <v>2056.5715264460446</v>
      </c>
      <c r="AB42" s="92">
        <f t="shared" si="1"/>
        <v>8153.7471464888731</v>
      </c>
      <c r="AC42" s="92">
        <f t="shared" ref="AC42:AN42" si="46">AC23*$B58</f>
        <v>2350.553134426209</v>
      </c>
      <c r="AD42" s="92">
        <f t="shared" si="46"/>
        <v>2696.637491612817</v>
      </c>
      <c r="AE42" s="92">
        <f t="shared" si="46"/>
        <v>3042.7559737994252</v>
      </c>
      <c r="AF42" s="92">
        <f t="shared" si="46"/>
        <v>3343.3686952657431</v>
      </c>
      <c r="AG42" s="92">
        <f t="shared" si="46"/>
        <v>3643.9814167320606</v>
      </c>
      <c r="AH42" s="92">
        <f t="shared" si="46"/>
        <v>3944.6282631983777</v>
      </c>
      <c r="AI42" s="92">
        <f t="shared" si="46"/>
        <v>4280.460810357903</v>
      </c>
      <c r="AJ42" s="92">
        <f t="shared" si="46"/>
        <v>4616.3616075174268</v>
      </c>
      <c r="AK42" s="92">
        <f t="shared" si="46"/>
        <v>4952.2282796769523</v>
      </c>
      <c r="AL42" s="92">
        <f t="shared" si="46"/>
        <v>5283.2396022038683</v>
      </c>
      <c r="AM42" s="92">
        <f t="shared" si="46"/>
        <v>5614.2850497307854</v>
      </c>
      <c r="AN42" s="92">
        <f t="shared" si="46"/>
        <v>5945.2963722577033</v>
      </c>
      <c r="AO42" s="92">
        <f t="shared" si="2"/>
        <v>49713.796696779274</v>
      </c>
      <c r="AP42" s="92">
        <f t="shared" ref="AP42:BA42" si="47">AP23*$B58</f>
        <v>5834.6462901573377</v>
      </c>
      <c r="AQ42" s="92">
        <f t="shared" si="47"/>
        <v>5847.9309408407353</v>
      </c>
      <c r="AR42" s="92">
        <f t="shared" si="47"/>
        <v>5863.1607165241321</v>
      </c>
      <c r="AS42" s="92">
        <f t="shared" si="47"/>
        <v>6566.7207993765714</v>
      </c>
      <c r="AT42" s="92">
        <f t="shared" si="47"/>
        <v>6813.915882229021</v>
      </c>
      <c r="AU42" s="92">
        <f t="shared" si="47"/>
        <v>0</v>
      </c>
      <c r="AV42" s="92">
        <f t="shared" si="47"/>
        <v>0</v>
      </c>
      <c r="AW42" s="92">
        <f t="shared" si="47"/>
        <v>0</v>
      </c>
      <c r="AX42" s="92">
        <f t="shared" si="47"/>
        <v>0</v>
      </c>
      <c r="AY42" s="92">
        <f t="shared" si="47"/>
        <v>0</v>
      </c>
      <c r="AZ42" s="92">
        <f t="shared" si="47"/>
        <v>0</v>
      </c>
      <c r="BA42" s="92">
        <f t="shared" si="47"/>
        <v>0</v>
      </c>
      <c r="BB42" s="92">
        <f t="shared" si="3"/>
        <v>30926.374629127793</v>
      </c>
    </row>
    <row r="43" spans="1:54">
      <c r="A43" s="57"/>
      <c r="B43" s="88"/>
      <c r="C43" s="92"/>
      <c r="D43" s="92"/>
      <c r="E43" s="92"/>
      <c r="F43" s="92"/>
      <c r="G43" s="92"/>
      <c r="H43" s="92"/>
      <c r="I43" s="92"/>
      <c r="J43" s="92"/>
      <c r="K43" s="92"/>
      <c r="L43" s="92"/>
      <c r="M43" s="92"/>
      <c r="N43" s="92"/>
      <c r="O43" s="92"/>
      <c r="P43" s="92"/>
      <c r="Q43" s="92"/>
      <c r="R43" s="92"/>
      <c r="S43" s="92"/>
      <c r="T43" s="92"/>
      <c r="U43" s="92"/>
      <c r="V43" s="92"/>
      <c r="W43" s="92"/>
      <c r="X43" s="92"/>
      <c r="Y43" s="92"/>
      <c r="Z43" s="92"/>
      <c r="AA43" s="92"/>
      <c r="AB43" s="92"/>
      <c r="AC43" s="92"/>
      <c r="AD43" s="92"/>
      <c r="AE43" s="92"/>
      <c r="AF43" s="92"/>
      <c r="AG43" s="92"/>
      <c r="AH43" s="92"/>
      <c r="AI43" s="92"/>
      <c r="AJ43" s="92"/>
      <c r="AK43" s="92"/>
      <c r="AL43" s="92"/>
      <c r="AM43" s="92"/>
      <c r="AN43" s="92"/>
      <c r="AO43" s="92"/>
      <c r="AP43" s="92"/>
      <c r="AQ43" s="92"/>
      <c r="AR43" s="92"/>
      <c r="AS43" s="92"/>
      <c r="AT43" s="92"/>
      <c r="AU43" s="92"/>
      <c r="AV43" s="92"/>
      <c r="AW43" s="92"/>
      <c r="AX43" s="92"/>
      <c r="AY43" s="92"/>
      <c r="AZ43" s="92"/>
      <c r="BA43" s="92"/>
      <c r="BB43" s="92"/>
    </row>
    <row r="44" spans="1:54">
      <c r="A44" s="58"/>
      <c r="B44" s="88" t="s">
        <v>139</v>
      </c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56"/>
      <c r="AB44" s="56"/>
      <c r="AC44" s="56"/>
      <c r="AD44" s="56"/>
      <c r="AE44" s="56"/>
      <c r="AF44" s="56"/>
      <c r="AG44" s="56"/>
      <c r="AH44" s="56"/>
      <c r="AI44" s="56"/>
      <c r="AJ44" s="56"/>
      <c r="AK44" s="56"/>
      <c r="AL44" s="56"/>
      <c r="AM44" s="56"/>
      <c r="AN44" s="56"/>
      <c r="AO44" s="56"/>
      <c r="AP44" s="56"/>
      <c r="AQ44" s="56"/>
      <c r="AR44" s="56"/>
      <c r="AS44" s="56"/>
      <c r="AT44" s="56"/>
      <c r="AU44" s="56"/>
      <c r="AV44" s="56"/>
      <c r="AW44" s="56"/>
      <c r="AX44" s="56"/>
      <c r="AY44" s="56"/>
      <c r="AZ44" s="56"/>
      <c r="BA44" s="56"/>
      <c r="BB44" s="56"/>
    </row>
    <row r="45" spans="1:54">
      <c r="A45" s="56" t="s">
        <v>28</v>
      </c>
      <c r="B45" s="68">
        <v>0.25</v>
      </c>
      <c r="D45" s="88"/>
      <c r="E45" s="88"/>
      <c r="F45" s="88"/>
      <c r="G45" s="92">
        <f>SUM(G7:G44)</f>
        <v>12937.327410077884</v>
      </c>
      <c r="H45" s="92">
        <f>SUM(H7:H44)</f>
        <v>10033.05641176015</v>
      </c>
      <c r="I45" s="92">
        <f t="shared" ref="I45:O45" si="48">SUM(I7:I44)</f>
        <v>11413.218714383544</v>
      </c>
      <c r="J45" s="92">
        <f t="shared" si="48"/>
        <v>13706.123962780948</v>
      </c>
      <c r="K45" s="92">
        <f t="shared" si="48"/>
        <v>10266.552819812799</v>
      </c>
      <c r="L45" s="92">
        <f t="shared" si="48"/>
        <v>10536.743396076548</v>
      </c>
      <c r="M45" s="92">
        <f t="shared" si="48"/>
        <v>11817.17482720183</v>
      </c>
      <c r="N45" s="92">
        <f t="shared" si="48"/>
        <v>11004.231671364108</v>
      </c>
      <c r="O45" s="92">
        <f t="shared" si="48"/>
        <v>169183.6192134578</v>
      </c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P45" s="88"/>
      <c r="AQ45" s="88"/>
      <c r="AR45" s="88"/>
      <c r="AS45" s="88"/>
      <c r="AT45" s="88"/>
      <c r="AU45" s="88"/>
      <c r="AV45" s="88"/>
      <c r="AW45" s="88"/>
      <c r="AX45" s="88"/>
      <c r="AY45" s="88"/>
      <c r="AZ45" s="88"/>
      <c r="BA45" s="88"/>
    </row>
    <row r="46" spans="1:54">
      <c r="A46" s="56" t="s">
        <v>29</v>
      </c>
      <c r="B46" s="68">
        <v>0.25</v>
      </c>
    </row>
    <row r="47" spans="1:54">
      <c r="A47" s="56"/>
    </row>
    <row r="48" spans="1:54">
      <c r="A48" s="89" t="s">
        <v>73</v>
      </c>
      <c r="B48" s="68">
        <v>0.25</v>
      </c>
    </row>
    <row r="49" spans="1:2">
      <c r="A49" s="89" t="s">
        <v>112</v>
      </c>
      <c r="B49" s="68">
        <v>0.25</v>
      </c>
    </row>
    <row r="50" spans="1:2">
      <c r="A50" s="89" t="s">
        <v>113</v>
      </c>
      <c r="B50" s="68">
        <v>0.25</v>
      </c>
    </row>
    <row r="51" spans="1:2">
      <c r="A51" s="89" t="s">
        <v>74</v>
      </c>
      <c r="B51" s="68">
        <v>0.75</v>
      </c>
    </row>
    <row r="52" spans="1:2">
      <c r="A52" s="89"/>
    </row>
    <row r="53" spans="1:2">
      <c r="A53" s="89" t="s">
        <v>115</v>
      </c>
      <c r="B53" s="68">
        <v>0.25</v>
      </c>
    </row>
    <row r="54" spans="1:2">
      <c r="A54" s="89"/>
    </row>
    <row r="55" spans="1:2">
      <c r="A55" s="29" t="s">
        <v>129</v>
      </c>
      <c r="B55" s="68">
        <v>0.25</v>
      </c>
    </row>
    <row r="56" spans="1:2">
      <c r="A56" s="29" t="s">
        <v>132</v>
      </c>
    </row>
    <row r="57" spans="1:2">
      <c r="A57" s="57" t="s">
        <v>92</v>
      </c>
      <c r="B57" s="68">
        <v>0.25</v>
      </c>
    </row>
    <row r="58" spans="1:2">
      <c r="A58" s="57" t="s">
        <v>93</v>
      </c>
      <c r="B58" s="68">
        <v>0.25</v>
      </c>
    </row>
  </sheetData>
  <phoneticPr fontId="2" type="noConversion"/>
  <pageMargins left="0" right="0" top="1" bottom="1" header="0.5" footer="0.5"/>
  <pageSetup scale="19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99"/>
  <sheetViews>
    <sheetView workbookViewId="0">
      <selection activeCell="A2" sqref="A2:M22"/>
    </sheetView>
  </sheetViews>
  <sheetFormatPr defaultRowHeight="12.75"/>
  <cols>
    <col min="1" max="1" width="48.5703125" style="38" customWidth="1"/>
    <col min="2" max="2" width="11.7109375" style="38" customWidth="1"/>
    <col min="3" max="3" width="10" style="38" customWidth="1"/>
    <col min="4" max="4" width="30.140625" style="38" customWidth="1"/>
    <col min="5" max="5" width="10.42578125" style="38" customWidth="1"/>
    <col min="6" max="8" width="10" style="38" customWidth="1"/>
    <col min="9" max="9" width="10.85546875" style="38" customWidth="1"/>
    <col min="10" max="10" width="10.140625" style="38" customWidth="1"/>
    <col min="11" max="11" width="9.5703125" style="38" customWidth="1"/>
    <col min="12" max="12" width="9.42578125" style="38" customWidth="1"/>
    <col min="13" max="13" width="10.28515625" style="38" customWidth="1"/>
    <col min="14" max="14" width="11.85546875" style="38" customWidth="1"/>
    <col min="15" max="15" width="15" style="38" bestFit="1" customWidth="1"/>
    <col min="16" max="16384" width="9.140625" style="38"/>
  </cols>
  <sheetData>
    <row r="1" spans="1:14" ht="25.5" customHeight="1">
      <c r="B1" s="41" t="s">
        <v>87</v>
      </c>
      <c r="C1" s="6" t="s">
        <v>65</v>
      </c>
      <c r="E1" s="41"/>
      <c r="F1" s="5"/>
      <c r="G1" s="5"/>
      <c r="H1" s="5"/>
      <c r="I1" s="5"/>
      <c r="J1" s="5"/>
      <c r="K1" s="5"/>
      <c r="L1" s="5"/>
      <c r="M1" s="5"/>
      <c r="N1" s="5"/>
    </row>
    <row r="2" spans="1:14">
      <c r="A2" s="5"/>
      <c r="B2" s="6" t="s">
        <v>0</v>
      </c>
      <c r="C2" s="6"/>
      <c r="D2" s="5"/>
      <c r="E2" s="6"/>
      <c r="F2" s="6"/>
      <c r="G2" s="6"/>
      <c r="H2" s="6"/>
      <c r="I2" s="6"/>
      <c r="J2" s="6"/>
      <c r="K2" s="6"/>
      <c r="L2" s="6"/>
      <c r="M2" s="5"/>
      <c r="N2" s="5"/>
    </row>
    <row r="3" spans="1:14">
      <c r="A3" s="6" t="s">
        <v>15</v>
      </c>
      <c r="D3" s="6"/>
      <c r="G3" s="39"/>
      <c r="H3" s="5"/>
      <c r="I3" s="5"/>
      <c r="J3" s="5"/>
      <c r="K3" s="5"/>
      <c r="L3" s="5"/>
      <c r="M3" s="40"/>
      <c r="N3" s="5"/>
    </row>
    <row r="4" spans="1:14">
      <c r="A4" s="6" t="s">
        <v>16</v>
      </c>
      <c r="D4" s="6"/>
      <c r="H4" s="5"/>
      <c r="I4" s="5"/>
      <c r="J4" s="5"/>
      <c r="K4" s="5"/>
      <c r="L4" s="5"/>
      <c r="M4" s="40"/>
      <c r="N4" s="5"/>
    </row>
    <row r="5" spans="1:14">
      <c r="A5" s="13" t="s">
        <v>17</v>
      </c>
      <c r="D5" s="30"/>
      <c r="H5" s="5"/>
      <c r="I5" s="5"/>
      <c r="J5" s="5"/>
      <c r="K5" s="5"/>
      <c r="L5" s="5"/>
      <c r="M5" s="40"/>
      <c r="N5" s="5"/>
    </row>
    <row r="6" spans="1:14">
      <c r="A6" s="6" t="s">
        <v>18</v>
      </c>
      <c r="D6" s="6"/>
      <c r="H6" s="5"/>
      <c r="I6" s="5"/>
      <c r="J6" s="5"/>
      <c r="K6" s="5"/>
      <c r="L6" s="5"/>
      <c r="M6" s="40"/>
      <c r="N6" s="5"/>
    </row>
    <row r="7" spans="1:14">
      <c r="A7" s="6" t="s">
        <v>19</v>
      </c>
      <c r="D7" s="6"/>
      <c r="H7" s="5"/>
      <c r="I7" s="5"/>
      <c r="J7" s="5"/>
      <c r="K7" s="5"/>
      <c r="L7" s="5"/>
      <c r="M7" s="40"/>
      <c r="N7" s="5"/>
    </row>
    <row r="8" spans="1:14">
      <c r="A8" s="13" t="s">
        <v>20</v>
      </c>
      <c r="D8" s="30"/>
      <c r="H8" s="5"/>
      <c r="I8" s="5"/>
      <c r="J8" s="5"/>
      <c r="K8" s="5"/>
      <c r="L8" s="5"/>
      <c r="M8" s="40"/>
      <c r="N8" s="5"/>
    </row>
    <row r="9" spans="1:14">
      <c r="A9" s="13" t="s">
        <v>21</v>
      </c>
      <c r="D9" s="30"/>
      <c r="H9" s="5"/>
      <c r="I9" s="5"/>
      <c r="J9" s="5"/>
      <c r="K9" s="5"/>
      <c r="L9" s="5"/>
      <c r="M9" s="40"/>
      <c r="N9" s="5"/>
    </row>
    <row r="10" spans="1:14">
      <c r="A10" s="13" t="s">
        <v>22</v>
      </c>
      <c r="D10" s="30"/>
      <c r="H10" s="5"/>
      <c r="I10" s="5"/>
      <c r="J10" s="5"/>
      <c r="K10" s="5"/>
      <c r="L10" s="5"/>
      <c r="M10" s="40"/>
      <c r="N10" s="5"/>
    </row>
    <row r="11" spans="1:14">
      <c r="A11" s="13" t="s">
        <v>23</v>
      </c>
      <c r="D11" s="30"/>
      <c r="H11" s="5"/>
      <c r="I11" s="5"/>
      <c r="J11" s="5"/>
      <c r="K11" s="5"/>
      <c r="L11" s="5"/>
      <c r="M11" s="40"/>
      <c r="N11" s="5"/>
    </row>
    <row r="12" spans="1:14">
      <c r="A12" s="13" t="s">
        <v>24</v>
      </c>
      <c r="D12" s="30"/>
      <c r="H12" s="5"/>
      <c r="I12" s="5"/>
      <c r="J12" s="5"/>
      <c r="K12" s="5"/>
      <c r="L12" s="5"/>
      <c r="M12" s="40"/>
      <c r="N12" s="5"/>
    </row>
    <row r="13" spans="1:14">
      <c r="A13" s="13" t="s">
        <v>71</v>
      </c>
      <c r="D13" s="30"/>
      <c r="H13" s="5"/>
      <c r="I13" s="5"/>
      <c r="J13" s="5"/>
      <c r="K13" s="5"/>
      <c r="L13" s="5"/>
      <c r="M13" s="40"/>
      <c r="N13" s="5"/>
    </row>
    <row r="14" spans="1:14">
      <c r="A14" s="13" t="s">
        <v>72</v>
      </c>
      <c r="D14" s="30"/>
      <c r="H14" s="5"/>
      <c r="I14" s="5"/>
      <c r="J14" s="5"/>
      <c r="K14" s="5"/>
      <c r="L14" s="5"/>
      <c r="M14" s="40"/>
      <c r="N14" s="5"/>
    </row>
    <row r="15" spans="1:14">
      <c r="A15" s="13" t="s">
        <v>82</v>
      </c>
      <c r="D15" s="30"/>
      <c r="H15" s="5"/>
      <c r="I15" s="5"/>
      <c r="J15" s="5"/>
      <c r="K15" s="5"/>
      <c r="L15" s="5"/>
      <c r="M15" s="40"/>
      <c r="N15" s="5"/>
    </row>
    <row r="16" spans="1:14">
      <c r="A16" s="6" t="s">
        <v>25</v>
      </c>
      <c r="D16" s="6"/>
      <c r="H16" s="5"/>
      <c r="I16" s="5"/>
      <c r="J16" s="5"/>
      <c r="K16" s="5"/>
      <c r="L16" s="5"/>
      <c r="M16" s="40"/>
      <c r="N16" s="5"/>
    </row>
    <row r="17" spans="1:14">
      <c r="A17" s="13" t="s">
        <v>26</v>
      </c>
      <c r="D17" s="30"/>
      <c r="H17" s="5"/>
      <c r="I17" s="5"/>
      <c r="J17" s="5"/>
      <c r="K17" s="5"/>
      <c r="L17" s="5"/>
      <c r="M17" s="40"/>
      <c r="N17" s="5"/>
    </row>
    <row r="18" spans="1:14">
      <c r="A18" s="30" t="s">
        <v>27</v>
      </c>
      <c r="D18" s="30"/>
      <c r="H18" s="5"/>
      <c r="I18" s="5"/>
      <c r="J18" s="5"/>
      <c r="K18" s="5"/>
      <c r="L18" s="5"/>
      <c r="M18" s="40"/>
      <c r="N18" s="5"/>
    </row>
    <row r="19" spans="1:14">
      <c r="A19" s="13" t="s">
        <v>28</v>
      </c>
      <c r="D19" s="30"/>
      <c r="H19" s="5"/>
      <c r="I19" s="5"/>
      <c r="J19" s="5"/>
      <c r="K19" s="5"/>
      <c r="L19" s="5"/>
      <c r="M19" s="40"/>
      <c r="N19" s="5"/>
    </row>
    <row r="20" spans="1:14">
      <c r="A20" s="6" t="s">
        <v>29</v>
      </c>
      <c r="D20" s="6"/>
      <c r="H20" s="5"/>
      <c r="I20" s="5"/>
      <c r="J20" s="5"/>
      <c r="K20" s="5"/>
      <c r="L20" s="5"/>
      <c r="M20" s="40"/>
      <c r="N20" s="5"/>
    </row>
    <row r="21" spans="1:14">
      <c r="A21" s="13" t="s">
        <v>30</v>
      </c>
      <c r="H21" s="5"/>
      <c r="I21" s="5"/>
      <c r="J21" s="5"/>
      <c r="K21" s="5"/>
      <c r="L21" s="5"/>
      <c r="M21" s="40"/>
      <c r="N21" s="5"/>
    </row>
    <row r="22" spans="1:14">
      <c r="A22" s="13" t="s">
        <v>31</v>
      </c>
      <c r="H22" s="5"/>
      <c r="I22" s="5"/>
      <c r="J22" s="5"/>
      <c r="K22" s="5"/>
      <c r="L22" s="5"/>
      <c r="M22" s="40"/>
      <c r="N22" s="5"/>
    </row>
    <row r="23" spans="1:14">
      <c r="A23" s="1" t="s">
        <v>73</v>
      </c>
      <c r="H23" s="5"/>
      <c r="I23" s="5"/>
      <c r="J23" s="5"/>
      <c r="K23" s="5"/>
      <c r="L23" s="5"/>
      <c r="M23" s="40"/>
      <c r="N23" s="5"/>
    </row>
    <row r="24" spans="1:14">
      <c r="A24" s="13" t="s">
        <v>74</v>
      </c>
    </row>
    <row r="25" spans="1:14">
      <c r="A25" s="6" t="s">
        <v>32</v>
      </c>
    </row>
    <row r="26" spans="1:14">
      <c r="A26" s="13" t="s">
        <v>68</v>
      </c>
    </row>
    <row r="27" spans="1:14">
      <c r="A27" s="13" t="s">
        <v>33</v>
      </c>
    </row>
    <row r="28" spans="1:14">
      <c r="A28" s="42" t="s">
        <v>66</v>
      </c>
    </row>
    <row r="29" spans="1:14">
      <c r="A29" s="43" t="s">
        <v>86</v>
      </c>
      <c r="B29" s="6"/>
      <c r="C29" s="43"/>
      <c r="D29" s="5"/>
      <c r="E29" s="5"/>
      <c r="F29" s="5"/>
    </row>
    <row r="30" spans="1:14">
      <c r="A30" s="43"/>
      <c r="B30" s="6"/>
      <c r="C30" s="43"/>
      <c r="D30" s="5"/>
      <c r="E30" s="5"/>
      <c r="F30" s="5"/>
    </row>
    <row r="31" spans="1:14" ht="25.5">
      <c r="A31" s="44"/>
      <c r="B31" s="41" t="str">
        <f>B1</f>
        <v>2011 Actuals</v>
      </c>
      <c r="C31" s="37" t="s">
        <v>85</v>
      </c>
      <c r="D31" s="5"/>
      <c r="E31" s="5"/>
      <c r="F31" s="5"/>
    </row>
    <row r="32" spans="1:14">
      <c r="B32" s="6" t="s">
        <v>0</v>
      </c>
      <c r="C32" s="6"/>
      <c r="D32" s="6"/>
      <c r="E32" s="5"/>
      <c r="F32" s="5"/>
    </row>
    <row r="33" spans="1:12">
      <c r="A33" s="43" t="s">
        <v>86</v>
      </c>
      <c r="E33" s="5"/>
      <c r="F33" s="5"/>
    </row>
    <row r="34" spans="1:12">
      <c r="A34" s="43"/>
      <c r="B34" s="6"/>
      <c r="C34" s="43"/>
      <c r="D34" s="5"/>
      <c r="E34" s="5"/>
      <c r="F34" s="5"/>
    </row>
    <row r="35" spans="1:12" ht="25.5">
      <c r="A35" s="44"/>
      <c r="B35" s="41" t="str">
        <f>B31</f>
        <v>2011 Actuals</v>
      </c>
      <c r="C35" s="43" t="s">
        <v>84</v>
      </c>
      <c r="D35" s="5"/>
      <c r="E35" s="5"/>
      <c r="F35" s="5"/>
    </row>
    <row r="36" spans="1:12">
      <c r="B36" s="6" t="s">
        <v>0</v>
      </c>
      <c r="C36" s="6"/>
      <c r="D36" s="6"/>
      <c r="E36" s="6"/>
      <c r="F36" s="6"/>
      <c r="G36" s="6"/>
      <c r="H36" s="6"/>
      <c r="I36" s="6"/>
      <c r="J36" s="6"/>
      <c r="K36" s="6"/>
      <c r="L36" s="6"/>
    </row>
    <row r="37" spans="1:12">
      <c r="A37" s="43" t="s">
        <v>86</v>
      </c>
    </row>
    <row r="38" spans="1:12">
      <c r="A38" s="43"/>
    </row>
    <row r="39" spans="1:12">
      <c r="A39" s="43"/>
    </row>
    <row r="40" spans="1:12" ht="25.5" customHeight="1">
      <c r="B40" s="41" t="s">
        <v>88</v>
      </c>
      <c r="C40" s="6" t="s">
        <v>65</v>
      </c>
    </row>
    <row r="41" spans="1:12">
      <c r="A41" s="5"/>
      <c r="B41" s="6" t="s">
        <v>13</v>
      </c>
    </row>
    <row r="42" spans="1:12">
      <c r="A42" s="6" t="s">
        <v>15</v>
      </c>
      <c r="B42" s="5">
        <v>1726234.8495759999</v>
      </c>
    </row>
    <row r="43" spans="1:12">
      <c r="A43" s="6" t="s">
        <v>16</v>
      </c>
      <c r="B43" s="5">
        <v>663354.38727027969</v>
      </c>
    </row>
    <row r="44" spans="1:12">
      <c r="A44" s="13" t="s">
        <v>17</v>
      </c>
      <c r="B44" s="5">
        <v>1015529.3138675999</v>
      </c>
    </row>
    <row r="45" spans="1:12">
      <c r="A45" s="6" t="s">
        <v>18</v>
      </c>
      <c r="B45" s="5">
        <v>170593.3023288</v>
      </c>
    </row>
    <row r="46" spans="1:12">
      <c r="A46" s="13" t="s">
        <v>20</v>
      </c>
      <c r="B46" s="5">
        <v>165338.11632</v>
      </c>
    </row>
    <row r="47" spans="1:12">
      <c r="A47" s="13" t="s">
        <v>21</v>
      </c>
      <c r="B47" s="5">
        <v>196057.46633359999</v>
      </c>
    </row>
    <row r="48" spans="1:12">
      <c r="A48" s="13" t="s">
        <v>22</v>
      </c>
      <c r="B48" s="5">
        <v>495762.89067799994</v>
      </c>
    </row>
    <row r="49" spans="1:2">
      <c r="A49" s="13" t="s">
        <v>23</v>
      </c>
      <c r="B49" s="5">
        <v>98905.075263600011</v>
      </c>
    </row>
    <row r="50" spans="1:2">
      <c r="A50" s="13" t="s">
        <v>24</v>
      </c>
      <c r="B50" s="5">
        <v>3437</v>
      </c>
    </row>
    <row r="51" spans="1:2">
      <c r="A51" s="13" t="s">
        <v>71</v>
      </c>
      <c r="B51" s="5">
        <v>155460.73064550001</v>
      </c>
    </row>
    <row r="52" spans="1:2">
      <c r="A52" s="13" t="s">
        <v>72</v>
      </c>
      <c r="B52" s="5">
        <v>73626.693925200001</v>
      </c>
    </row>
    <row r="53" spans="1:2">
      <c r="A53" s="13" t="s">
        <v>82</v>
      </c>
      <c r="B53" s="5">
        <v>6085.9708064000006</v>
      </c>
    </row>
    <row r="54" spans="1:2">
      <c r="A54" s="47" t="s">
        <v>89</v>
      </c>
      <c r="B54" s="5">
        <v>25609.633528967635</v>
      </c>
    </row>
    <row r="55" spans="1:2">
      <c r="A55" s="6" t="s">
        <v>25</v>
      </c>
      <c r="B55" s="5">
        <v>97970.019483200012</v>
      </c>
    </row>
    <row r="56" spans="1:2">
      <c r="A56" s="13" t="s">
        <v>28</v>
      </c>
      <c r="B56" s="5">
        <v>12649.3654804</v>
      </c>
    </row>
    <row r="57" spans="1:2">
      <c r="A57" s="6" t="s">
        <v>29</v>
      </c>
      <c r="B57" s="5">
        <v>9334.015114400001</v>
      </c>
    </row>
    <row r="58" spans="1:2">
      <c r="A58" s="13" t="s">
        <v>30</v>
      </c>
      <c r="B58" s="5">
        <v>653.05469039999991</v>
      </c>
    </row>
    <row r="59" spans="1:2">
      <c r="A59" s="13" t="s">
        <v>31</v>
      </c>
      <c r="B59" s="5">
        <v>9422.5909047999994</v>
      </c>
    </row>
    <row r="60" spans="1:2">
      <c r="A60" s="13" t="s">
        <v>73</v>
      </c>
      <c r="B60" s="38">
        <v>0</v>
      </c>
    </row>
    <row r="61" spans="1:2">
      <c r="A61" s="13" t="s">
        <v>74</v>
      </c>
      <c r="B61" s="38">
        <v>5115.3246467999998</v>
      </c>
    </row>
    <row r="62" spans="1:2">
      <c r="A62" s="6" t="s">
        <v>32</v>
      </c>
      <c r="B62" s="38">
        <v>2897516.4248980004</v>
      </c>
    </row>
    <row r="63" spans="1:2">
      <c r="A63" s="42" t="s">
        <v>66</v>
      </c>
      <c r="B63" s="5">
        <v>0</v>
      </c>
    </row>
    <row r="64" spans="1:2">
      <c r="A64" s="43" t="s">
        <v>86</v>
      </c>
      <c r="B64" s="38">
        <v>7828656.2257619472</v>
      </c>
    </row>
    <row r="66" spans="1:4" ht="25.5" customHeight="1">
      <c r="B66" s="41" t="s">
        <v>88</v>
      </c>
      <c r="C66" s="37" t="s">
        <v>85</v>
      </c>
    </row>
    <row r="67" spans="1:4">
      <c r="B67" s="6" t="s">
        <v>13</v>
      </c>
      <c r="C67" s="37"/>
    </row>
    <row r="68" spans="1:4">
      <c r="A68" s="43" t="s">
        <v>86</v>
      </c>
      <c r="B68" s="38">
        <v>226227.86</v>
      </c>
    </row>
    <row r="70" spans="1:4" ht="25.5" customHeight="1">
      <c r="B70" s="41" t="s">
        <v>88</v>
      </c>
      <c r="C70" s="43" t="s">
        <v>84</v>
      </c>
    </row>
    <row r="71" spans="1:4">
      <c r="B71" s="6" t="s">
        <v>13</v>
      </c>
    </row>
    <row r="72" spans="1:4">
      <c r="A72" s="43" t="s">
        <v>86</v>
      </c>
      <c r="B72" s="38">
        <v>8054884.0857619476</v>
      </c>
    </row>
    <row r="74" spans="1:4">
      <c r="B74" s="5"/>
      <c r="C74" s="5"/>
      <c r="D74" s="5"/>
    </row>
    <row r="75" spans="1:4">
      <c r="B75" s="41"/>
      <c r="C75" s="6"/>
    </row>
    <row r="76" spans="1:4">
      <c r="A76" s="5"/>
      <c r="B76" s="6"/>
      <c r="C76" s="6"/>
    </row>
    <row r="77" spans="1:4">
      <c r="A77" s="6"/>
      <c r="D77" s="30"/>
    </row>
    <row r="78" spans="1:4">
      <c r="A78" s="6"/>
      <c r="D78" s="30"/>
    </row>
    <row r="79" spans="1:4">
      <c r="A79" s="30"/>
      <c r="D79" s="30"/>
    </row>
    <row r="80" spans="1:4">
      <c r="A80" s="6"/>
      <c r="D80" s="30"/>
    </row>
    <row r="81" spans="1:4">
      <c r="A81" s="6"/>
      <c r="D81" s="30"/>
    </row>
    <row r="82" spans="1:4">
      <c r="A82" s="30"/>
      <c r="D82" s="30"/>
    </row>
    <row r="83" spans="1:4">
      <c r="A83" s="30"/>
      <c r="D83" s="30"/>
    </row>
    <row r="84" spans="1:4">
      <c r="A84" s="30"/>
      <c r="D84" s="6"/>
    </row>
    <row r="85" spans="1:4">
      <c r="A85" s="30"/>
      <c r="D85" s="30"/>
    </row>
    <row r="86" spans="1:4">
      <c r="A86" s="30"/>
      <c r="D86" s="30"/>
    </row>
    <row r="87" spans="1:4">
      <c r="A87" s="30"/>
      <c r="D87" s="6"/>
    </row>
    <row r="88" spans="1:4">
      <c r="A88" s="30"/>
      <c r="D88" s="30"/>
    </row>
    <row r="89" spans="1:4">
      <c r="A89" s="6"/>
      <c r="D89" s="30"/>
    </row>
    <row r="90" spans="1:4">
      <c r="A90" s="30"/>
    </row>
    <row r="91" spans="1:4">
      <c r="A91" s="30"/>
    </row>
    <row r="92" spans="1:4">
      <c r="A92" s="6"/>
    </row>
    <row r="93" spans="1:4">
      <c r="A93" s="30"/>
      <c r="D93" s="6"/>
    </row>
    <row r="94" spans="1:4">
      <c r="A94" s="30"/>
      <c r="D94" s="6"/>
    </row>
    <row r="95" spans="1:4">
      <c r="A95" s="30"/>
      <c r="D95" s="30"/>
    </row>
    <row r="96" spans="1:4">
      <c r="A96" s="30"/>
      <c r="D96" s="6"/>
    </row>
    <row r="97" spans="1:4">
      <c r="A97" s="6"/>
      <c r="D97" s="6"/>
    </row>
    <row r="98" spans="1:4">
      <c r="A98" s="30"/>
    </row>
    <row r="99" spans="1:4">
      <c r="A99" s="43"/>
      <c r="D99" s="30"/>
    </row>
  </sheetData>
  <phoneticPr fontId="2" type="noConversion"/>
  <printOptions headings="1"/>
  <pageMargins left="0" right="0" top="0.5" bottom="0.5" header="0.5" footer="0.5"/>
  <pageSetup scale="63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dimension ref="A2:BD51"/>
  <sheetViews>
    <sheetView tabSelected="1" workbookViewId="0">
      <pane xSplit="2" ySplit="6" topLeftCell="C7" activePane="bottomRight" state="frozen"/>
      <selection pane="topRight"/>
      <selection pane="bottomLeft"/>
      <selection pane="bottomRight" activeCell="G45" sqref="G45:I45"/>
    </sheetView>
  </sheetViews>
  <sheetFormatPr defaultRowHeight="12.75"/>
  <cols>
    <col min="1" max="1" width="42.140625" style="92" customWidth="1"/>
    <col min="2" max="2" width="24" style="92" customWidth="1"/>
    <col min="3" max="3" width="9.5703125" style="92" customWidth="1"/>
    <col min="4" max="55" width="12.7109375" style="92" customWidth="1"/>
    <col min="56" max="16384" width="9.140625" style="92"/>
  </cols>
  <sheetData>
    <row r="2" spans="1:55">
      <c r="C2" s="99" t="s">
        <v>127</v>
      </c>
      <c r="D2" s="99" t="s">
        <v>127</v>
      </c>
      <c r="R2" s="59"/>
      <c r="S2" s="59"/>
      <c r="T2" s="59"/>
    </row>
    <row r="3" spans="1:55">
      <c r="C3" s="99" t="s">
        <v>123</v>
      </c>
      <c r="D3" s="99" t="s">
        <v>123</v>
      </c>
      <c r="R3" s="59"/>
      <c r="S3" s="59"/>
      <c r="T3" s="59"/>
    </row>
    <row r="4" spans="1:55">
      <c r="C4" s="99" t="s">
        <v>143</v>
      </c>
      <c r="D4" s="99" t="s">
        <v>124</v>
      </c>
      <c r="E4" s="99" t="s">
        <v>124</v>
      </c>
      <c r="F4" s="99" t="s">
        <v>124</v>
      </c>
      <c r="G4" s="99" t="s">
        <v>124</v>
      </c>
      <c r="H4" s="99" t="s">
        <v>124</v>
      </c>
      <c r="I4" s="99" t="s">
        <v>124</v>
      </c>
      <c r="J4" s="99" t="s">
        <v>124</v>
      </c>
      <c r="K4" s="99" t="s">
        <v>124</v>
      </c>
      <c r="L4" s="99" t="s">
        <v>124</v>
      </c>
      <c r="M4" s="99" t="s">
        <v>124</v>
      </c>
      <c r="N4" s="99" t="s">
        <v>124</v>
      </c>
      <c r="O4" s="99" t="s">
        <v>124</v>
      </c>
      <c r="P4" s="99" t="s">
        <v>124</v>
      </c>
      <c r="Q4" s="99" t="s">
        <v>125</v>
      </c>
      <c r="R4" s="99" t="s">
        <v>125</v>
      </c>
      <c r="S4" s="99" t="s">
        <v>125</v>
      </c>
      <c r="T4" s="99" t="s">
        <v>125</v>
      </c>
      <c r="U4" s="99" t="s">
        <v>125</v>
      </c>
      <c r="V4" s="99" t="s">
        <v>125</v>
      </c>
      <c r="W4" s="99" t="s">
        <v>125</v>
      </c>
      <c r="X4" s="99" t="s">
        <v>125</v>
      </c>
      <c r="Y4" s="99" t="s">
        <v>125</v>
      </c>
      <c r="Z4" s="99" t="s">
        <v>125</v>
      </c>
      <c r="AA4" s="99" t="s">
        <v>125</v>
      </c>
      <c r="AB4" s="99" t="s">
        <v>125</v>
      </c>
      <c r="AC4" s="99" t="s">
        <v>125</v>
      </c>
      <c r="AD4" s="99" t="s">
        <v>126</v>
      </c>
      <c r="AE4" s="99" t="s">
        <v>126</v>
      </c>
      <c r="AF4" s="99" t="s">
        <v>126</v>
      </c>
      <c r="AG4" s="99" t="s">
        <v>126</v>
      </c>
      <c r="AH4" s="99" t="s">
        <v>126</v>
      </c>
      <c r="AI4" s="99" t="s">
        <v>126</v>
      </c>
      <c r="AJ4" s="99" t="s">
        <v>126</v>
      </c>
      <c r="AK4" s="99" t="s">
        <v>126</v>
      </c>
      <c r="AL4" s="99" t="s">
        <v>126</v>
      </c>
      <c r="AM4" s="99" t="s">
        <v>126</v>
      </c>
      <c r="AN4" s="99" t="s">
        <v>126</v>
      </c>
      <c r="AO4" s="99" t="s">
        <v>126</v>
      </c>
      <c r="AP4" s="99" t="s">
        <v>126</v>
      </c>
      <c r="AQ4" s="99" t="s">
        <v>133</v>
      </c>
      <c r="AR4" s="99" t="s">
        <v>133</v>
      </c>
      <c r="AS4" s="99" t="s">
        <v>133</v>
      </c>
      <c r="AT4" s="99" t="s">
        <v>133</v>
      </c>
      <c r="AU4" s="99" t="s">
        <v>133</v>
      </c>
      <c r="AV4" s="99" t="s">
        <v>133</v>
      </c>
      <c r="AW4" s="99" t="s">
        <v>133</v>
      </c>
      <c r="AX4" s="99" t="s">
        <v>133</v>
      </c>
      <c r="AY4" s="99" t="s">
        <v>133</v>
      </c>
      <c r="AZ4" s="99" t="s">
        <v>133</v>
      </c>
      <c r="BA4" s="99" t="s">
        <v>133</v>
      </c>
      <c r="BB4" s="99" t="s">
        <v>133</v>
      </c>
      <c r="BC4" s="99" t="s">
        <v>133</v>
      </c>
    </row>
    <row r="5" spans="1:55">
      <c r="C5" s="99" t="s">
        <v>144</v>
      </c>
      <c r="D5" s="99" t="s">
        <v>144</v>
      </c>
      <c r="E5" s="99" t="s">
        <v>144</v>
      </c>
      <c r="F5" s="99" t="s">
        <v>144</v>
      </c>
      <c r="G5" s="99" t="s">
        <v>144</v>
      </c>
      <c r="H5" s="99" t="s">
        <v>88</v>
      </c>
      <c r="I5" s="99" t="s">
        <v>88</v>
      </c>
      <c r="J5" s="99" t="s">
        <v>88</v>
      </c>
      <c r="K5" s="99" t="s">
        <v>88</v>
      </c>
      <c r="L5" s="99" t="s">
        <v>88</v>
      </c>
      <c r="M5" s="99" t="s">
        <v>88</v>
      </c>
      <c r="N5" s="99" t="s">
        <v>88</v>
      </c>
      <c r="O5" s="99" t="s">
        <v>88</v>
      </c>
      <c r="P5" s="99" t="s">
        <v>88</v>
      </c>
      <c r="Q5" s="99" t="s">
        <v>88</v>
      </c>
      <c r="R5" s="99" t="s">
        <v>88</v>
      </c>
      <c r="S5" s="99" t="s">
        <v>88</v>
      </c>
      <c r="T5" s="99" t="s">
        <v>88</v>
      </c>
      <c r="U5" s="99" t="s">
        <v>88</v>
      </c>
      <c r="V5" s="99" t="s">
        <v>88</v>
      </c>
      <c r="W5" s="99" t="s">
        <v>88</v>
      </c>
      <c r="X5" s="99" t="s">
        <v>88</v>
      </c>
      <c r="Y5" s="99" t="s">
        <v>88</v>
      </c>
      <c r="Z5" s="99" t="s">
        <v>88</v>
      </c>
      <c r="AA5" s="99" t="s">
        <v>88</v>
      </c>
      <c r="AB5" s="99" t="s">
        <v>88</v>
      </c>
      <c r="AC5" s="99" t="s">
        <v>88</v>
      </c>
      <c r="AD5" s="99" t="s">
        <v>88</v>
      </c>
      <c r="AE5" s="99" t="s">
        <v>88</v>
      </c>
      <c r="AF5" s="99" t="s">
        <v>88</v>
      </c>
      <c r="AG5" s="99" t="s">
        <v>88</v>
      </c>
      <c r="AH5" s="99" t="s">
        <v>88</v>
      </c>
      <c r="AI5" s="99" t="s">
        <v>88</v>
      </c>
      <c r="AJ5" s="99" t="s">
        <v>88</v>
      </c>
      <c r="AK5" s="99" t="s">
        <v>88</v>
      </c>
      <c r="AL5" s="99" t="s">
        <v>88</v>
      </c>
      <c r="AM5" s="99" t="s">
        <v>88</v>
      </c>
      <c r="AN5" s="99" t="s">
        <v>88</v>
      </c>
      <c r="AO5" s="99" t="s">
        <v>88</v>
      </c>
      <c r="AP5" s="99" t="s">
        <v>88</v>
      </c>
      <c r="AQ5" s="99" t="s">
        <v>88</v>
      </c>
      <c r="AR5" s="99" t="s">
        <v>88</v>
      </c>
      <c r="AS5" s="99" t="s">
        <v>88</v>
      </c>
      <c r="AT5" s="99" t="s">
        <v>88</v>
      </c>
      <c r="AU5" s="99" t="s">
        <v>88</v>
      </c>
      <c r="AV5" s="99" t="s">
        <v>88</v>
      </c>
      <c r="AW5" s="99" t="s">
        <v>88</v>
      </c>
      <c r="AX5" s="99" t="s">
        <v>88</v>
      </c>
      <c r="AY5" s="99" t="s">
        <v>88</v>
      </c>
      <c r="AZ5" s="99" t="s">
        <v>88</v>
      </c>
      <c r="BA5" s="99" t="s">
        <v>88</v>
      </c>
      <c r="BB5" s="99" t="s">
        <v>88</v>
      </c>
      <c r="BC5" s="99" t="s">
        <v>88</v>
      </c>
    </row>
    <row r="6" spans="1:55">
      <c r="C6" s="99" t="s">
        <v>13</v>
      </c>
      <c r="D6" s="99" t="s">
        <v>0</v>
      </c>
      <c r="E6" s="99" t="s">
        <v>1</v>
      </c>
      <c r="F6" s="99" t="s">
        <v>2</v>
      </c>
      <c r="G6" s="99" t="s">
        <v>3</v>
      </c>
      <c r="H6" s="99" t="s">
        <v>4</v>
      </c>
      <c r="I6" s="99" t="s">
        <v>5</v>
      </c>
      <c r="J6" s="99" t="s">
        <v>6</v>
      </c>
      <c r="K6" s="99" t="s">
        <v>7</v>
      </c>
      <c r="L6" s="99" t="s">
        <v>8</v>
      </c>
      <c r="M6" s="99" t="s">
        <v>9</v>
      </c>
      <c r="N6" s="99" t="s">
        <v>10</v>
      </c>
      <c r="O6" s="99" t="s">
        <v>11</v>
      </c>
      <c r="P6" s="99" t="s">
        <v>13</v>
      </c>
      <c r="Q6" s="99" t="s">
        <v>0</v>
      </c>
      <c r="R6" s="99" t="s">
        <v>1</v>
      </c>
      <c r="S6" s="99" t="s">
        <v>2</v>
      </c>
      <c r="T6" s="99" t="s">
        <v>3</v>
      </c>
      <c r="U6" s="99" t="s">
        <v>4</v>
      </c>
      <c r="V6" s="99" t="s">
        <v>5</v>
      </c>
      <c r="W6" s="99" t="s">
        <v>6</v>
      </c>
      <c r="X6" s="99" t="s">
        <v>7</v>
      </c>
      <c r="Y6" s="99" t="s">
        <v>8</v>
      </c>
      <c r="Z6" s="99" t="s">
        <v>9</v>
      </c>
      <c r="AA6" s="99" t="s">
        <v>10</v>
      </c>
      <c r="AB6" s="99" t="s">
        <v>11</v>
      </c>
      <c r="AC6" s="99" t="s">
        <v>13</v>
      </c>
      <c r="AD6" s="99" t="s">
        <v>0</v>
      </c>
      <c r="AE6" s="99" t="s">
        <v>1</v>
      </c>
      <c r="AF6" s="99" t="s">
        <v>2</v>
      </c>
      <c r="AG6" s="99" t="s">
        <v>3</v>
      </c>
      <c r="AH6" s="99" t="s">
        <v>4</v>
      </c>
      <c r="AI6" s="99" t="s">
        <v>5</v>
      </c>
      <c r="AJ6" s="99" t="s">
        <v>6</v>
      </c>
      <c r="AK6" s="99" t="s">
        <v>7</v>
      </c>
      <c r="AL6" s="99" t="s">
        <v>8</v>
      </c>
      <c r="AM6" s="99" t="s">
        <v>9</v>
      </c>
      <c r="AN6" s="99" t="s">
        <v>10</v>
      </c>
      <c r="AO6" s="99" t="s">
        <v>11</v>
      </c>
      <c r="AP6" s="99" t="s">
        <v>13</v>
      </c>
      <c r="AQ6" s="99" t="s">
        <v>0</v>
      </c>
      <c r="AR6" s="99" t="s">
        <v>1</v>
      </c>
      <c r="AS6" s="99" t="s">
        <v>2</v>
      </c>
      <c r="AT6" s="99" t="s">
        <v>3</v>
      </c>
      <c r="AU6" s="99" t="s">
        <v>4</v>
      </c>
      <c r="AV6" s="99" t="s">
        <v>5</v>
      </c>
      <c r="AW6" s="99" t="s">
        <v>6</v>
      </c>
      <c r="AX6" s="99" t="s">
        <v>7</v>
      </c>
      <c r="AY6" s="99" t="s">
        <v>8</v>
      </c>
      <c r="AZ6" s="99" t="s">
        <v>9</v>
      </c>
      <c r="BA6" s="99" t="s">
        <v>10</v>
      </c>
      <c r="BB6" s="99" t="s">
        <v>11</v>
      </c>
      <c r="BC6" s="99" t="s">
        <v>13</v>
      </c>
    </row>
    <row r="7" spans="1:55">
      <c r="A7" s="99" t="s">
        <v>28</v>
      </c>
      <c r="B7" s="99" t="s">
        <v>65</v>
      </c>
      <c r="C7" s="99">
        <v>780</v>
      </c>
      <c r="D7" s="92">
        <v>0</v>
      </c>
      <c r="E7" s="92">
        <v>0</v>
      </c>
      <c r="F7" s="92">
        <v>42</v>
      </c>
      <c r="G7" s="92">
        <v>46</v>
      </c>
      <c r="H7" s="92">
        <v>75.075000000000003</v>
      </c>
      <c r="I7" s="92">
        <v>58.285500000000006</v>
      </c>
      <c r="J7" s="92">
        <v>62.517000000000003</v>
      </c>
      <c r="K7" s="92">
        <v>70.843500000000006</v>
      </c>
      <c r="L7" s="92">
        <v>55.692000000000007</v>
      </c>
      <c r="M7" s="92">
        <v>56.920500000000004</v>
      </c>
      <c r="N7" s="92">
        <v>67.431000000000012</v>
      </c>
      <c r="O7" s="92">
        <v>55.828500000000005</v>
      </c>
      <c r="P7" s="92">
        <v>590.59300000000007</v>
      </c>
      <c r="Q7" s="92">
        <v>54.190500000000007</v>
      </c>
      <c r="R7" s="92">
        <v>62.517000000000003</v>
      </c>
      <c r="S7" s="92">
        <v>50.368500000000004</v>
      </c>
      <c r="T7" s="92">
        <v>49.276500000000006</v>
      </c>
      <c r="U7" s="92">
        <v>62.107500000000002</v>
      </c>
      <c r="V7" s="92">
        <v>50.641500000000001</v>
      </c>
      <c r="W7" s="92">
        <v>49.549500000000002</v>
      </c>
      <c r="X7" s="92">
        <v>56.784000000000006</v>
      </c>
      <c r="Y7" s="92">
        <v>50.778000000000006</v>
      </c>
      <c r="Z7" s="92">
        <v>44.772000000000006</v>
      </c>
      <c r="AA7" s="92">
        <v>59.104500000000002</v>
      </c>
      <c r="AB7" s="92">
        <v>46.137</v>
      </c>
      <c r="AC7" s="92">
        <v>636.2265000000001</v>
      </c>
      <c r="AD7" s="92">
        <v>46.000500000000002</v>
      </c>
      <c r="AE7" s="92">
        <v>54.190500000000007</v>
      </c>
      <c r="AF7" s="92">
        <v>42.997500000000002</v>
      </c>
      <c r="AG7" s="92">
        <v>41.496000000000002</v>
      </c>
      <c r="AH7" s="92">
        <v>54.6</v>
      </c>
      <c r="AI7" s="92">
        <v>46.956000000000003</v>
      </c>
      <c r="AJ7" s="92">
        <v>44.772000000000006</v>
      </c>
      <c r="AK7" s="92">
        <v>53.781000000000006</v>
      </c>
      <c r="AL7" s="92">
        <v>46.410000000000004</v>
      </c>
      <c r="AM7" s="92">
        <v>41.769000000000005</v>
      </c>
      <c r="AN7" s="92">
        <v>57.330000000000005</v>
      </c>
      <c r="AO7" s="92">
        <v>41.6325</v>
      </c>
      <c r="AP7" s="92">
        <v>571.93500000000006</v>
      </c>
      <c r="AQ7" s="92">
        <v>49.959000000000003</v>
      </c>
      <c r="AR7" s="92">
        <v>39.312000000000005</v>
      </c>
      <c r="AS7" s="92">
        <v>45.454500000000003</v>
      </c>
      <c r="AT7" s="92">
        <v>43.407000000000004</v>
      </c>
      <c r="AU7" s="92">
        <v>43.666350000000001</v>
      </c>
      <c r="AV7" s="92">
        <v>0</v>
      </c>
      <c r="AW7" s="92">
        <v>0</v>
      </c>
      <c r="AX7" s="92">
        <v>0</v>
      </c>
      <c r="AY7" s="92">
        <v>0</v>
      </c>
      <c r="AZ7" s="92">
        <v>0</v>
      </c>
      <c r="BA7" s="92">
        <v>0</v>
      </c>
      <c r="BB7" s="92">
        <v>0</v>
      </c>
      <c r="BC7" s="92">
        <v>221.79885000000002</v>
      </c>
    </row>
    <row r="8" spans="1:55">
      <c r="A8" s="99" t="s">
        <v>29</v>
      </c>
      <c r="B8" s="99" t="s">
        <v>65</v>
      </c>
      <c r="C8" s="99">
        <v>10621</v>
      </c>
      <c r="D8" s="92">
        <v>890</v>
      </c>
      <c r="E8" s="92">
        <v>1055</v>
      </c>
      <c r="F8" s="92">
        <v>605</v>
      </c>
      <c r="G8" s="92">
        <v>751</v>
      </c>
      <c r="H8" s="92">
        <v>935.62101647756356</v>
      </c>
      <c r="I8" s="92">
        <v>712.09192697270987</v>
      </c>
      <c r="J8" s="92">
        <v>733.28621096184975</v>
      </c>
      <c r="K8" s="92">
        <v>772.18050000000005</v>
      </c>
      <c r="L8" s="92">
        <v>635.81700000000001</v>
      </c>
      <c r="M8" s="92">
        <v>601.27947386117751</v>
      </c>
      <c r="N8" s="92">
        <v>645.13020156466291</v>
      </c>
      <c r="O8" s="92">
        <v>597.81630200525251</v>
      </c>
      <c r="P8" s="92">
        <v>8934.2226318432167</v>
      </c>
      <c r="Q8" s="92">
        <v>702.89954849484252</v>
      </c>
      <c r="R8" s="92">
        <v>716.625</v>
      </c>
      <c r="S8" s="92">
        <v>612.88499999999999</v>
      </c>
      <c r="T8" s="92">
        <v>666.55903844964541</v>
      </c>
      <c r="U8" s="92">
        <v>737.9190000000001</v>
      </c>
      <c r="V8" s="92">
        <v>635.1345</v>
      </c>
      <c r="W8" s="92">
        <v>672.90470235401369</v>
      </c>
      <c r="X8" s="92">
        <v>702.01950000000011</v>
      </c>
      <c r="Y8" s="92">
        <v>639.50250000000005</v>
      </c>
      <c r="Z8" s="92">
        <v>657.58261388262019</v>
      </c>
      <c r="AA8" s="92">
        <v>730.82100000000003</v>
      </c>
      <c r="AB8" s="92">
        <v>641.95950000000005</v>
      </c>
      <c r="AC8" s="92">
        <v>8116.811903181122</v>
      </c>
      <c r="AD8" s="92">
        <v>612.58180094125112</v>
      </c>
      <c r="AE8" s="92">
        <v>708.70800000000008</v>
      </c>
      <c r="AF8" s="92">
        <v>599.91750000000002</v>
      </c>
      <c r="AG8" s="92">
        <v>578.82976921720922</v>
      </c>
      <c r="AH8" s="92">
        <v>711.71100000000001</v>
      </c>
      <c r="AI8" s="92">
        <v>638.68350000000009</v>
      </c>
      <c r="AJ8" s="92">
        <v>611.39432046668639</v>
      </c>
      <c r="AK8" s="92">
        <v>700.92750000000001</v>
      </c>
      <c r="AL8" s="92">
        <v>629.94749999999999</v>
      </c>
      <c r="AM8" s="92">
        <v>582.00979094257127</v>
      </c>
      <c r="AN8" s="92">
        <v>728.77350000000001</v>
      </c>
      <c r="AO8" s="92">
        <v>587.90550000000007</v>
      </c>
      <c r="AP8" s="92">
        <v>7691.3896815677181</v>
      </c>
      <c r="AQ8" s="92">
        <v>641.14405031208366</v>
      </c>
      <c r="AR8" s="92">
        <v>564.56400000000008</v>
      </c>
      <c r="AS8" s="92">
        <v>604.51418343736123</v>
      </c>
      <c r="AT8" s="92">
        <v>601.64768343736114</v>
      </c>
      <c r="AU8" s="92">
        <v>625.24398343736107</v>
      </c>
      <c r="AV8" s="92">
        <v>0</v>
      </c>
      <c r="AW8" s="92">
        <v>0</v>
      </c>
      <c r="AX8" s="92">
        <v>0</v>
      </c>
      <c r="AY8" s="92">
        <v>0</v>
      </c>
      <c r="AZ8" s="92">
        <v>0</v>
      </c>
      <c r="BA8" s="92">
        <v>0</v>
      </c>
      <c r="BB8" s="92">
        <v>0</v>
      </c>
      <c r="BC8" s="92">
        <v>3037.1139006241674</v>
      </c>
    </row>
    <row r="9" spans="1:55">
      <c r="A9" s="99" t="s">
        <v>31</v>
      </c>
      <c r="B9" s="99" t="s">
        <v>65</v>
      </c>
      <c r="C9" s="92">
        <v>0</v>
      </c>
      <c r="D9" s="92">
        <v>0</v>
      </c>
      <c r="E9" s="92">
        <v>0</v>
      </c>
      <c r="F9" s="92">
        <v>0</v>
      </c>
      <c r="G9" s="92">
        <v>0</v>
      </c>
      <c r="H9" s="92">
        <v>0</v>
      </c>
      <c r="I9" s="92">
        <v>0</v>
      </c>
      <c r="J9" s="92">
        <v>0</v>
      </c>
      <c r="K9" s="92">
        <v>0</v>
      </c>
      <c r="L9" s="92">
        <v>0</v>
      </c>
      <c r="M9" s="92">
        <v>0</v>
      </c>
      <c r="N9" s="92">
        <v>0</v>
      </c>
      <c r="O9" s="92">
        <v>0</v>
      </c>
      <c r="P9" s="92">
        <v>0</v>
      </c>
      <c r="Q9" s="92">
        <v>0</v>
      </c>
      <c r="R9" s="92">
        <v>0</v>
      </c>
      <c r="S9" s="92">
        <v>0</v>
      </c>
      <c r="T9" s="92">
        <v>0</v>
      </c>
      <c r="U9" s="92">
        <v>0</v>
      </c>
      <c r="V9" s="92">
        <v>0</v>
      </c>
      <c r="W9" s="92">
        <v>0</v>
      </c>
      <c r="X9" s="92">
        <v>0</v>
      </c>
      <c r="Y9" s="92">
        <v>0</v>
      </c>
      <c r="Z9" s="92">
        <v>0</v>
      </c>
      <c r="AA9" s="92">
        <v>0</v>
      </c>
      <c r="AB9" s="92">
        <v>0</v>
      </c>
      <c r="AC9" s="92">
        <v>0</v>
      </c>
      <c r="AD9" s="92">
        <v>0</v>
      </c>
      <c r="AE9" s="92">
        <v>0</v>
      </c>
      <c r="AF9" s="92">
        <v>0</v>
      </c>
      <c r="AG9" s="92">
        <v>0</v>
      </c>
      <c r="AH9" s="92">
        <v>0</v>
      </c>
      <c r="AI9" s="92">
        <v>0</v>
      </c>
      <c r="AJ9" s="92">
        <v>0</v>
      </c>
      <c r="AK9" s="92">
        <v>0</v>
      </c>
      <c r="AL9" s="92">
        <v>0</v>
      </c>
      <c r="AM9" s="92">
        <v>0</v>
      </c>
      <c r="AN9" s="92">
        <v>0</v>
      </c>
      <c r="AO9" s="92">
        <v>0</v>
      </c>
      <c r="AP9" s="92">
        <v>0</v>
      </c>
      <c r="AQ9" s="92">
        <v>0</v>
      </c>
      <c r="AR9" s="92">
        <v>0</v>
      </c>
      <c r="AS9" s="92">
        <v>0</v>
      </c>
      <c r="AT9" s="92">
        <v>0</v>
      </c>
      <c r="AU9" s="92">
        <v>0</v>
      </c>
      <c r="AV9" s="92">
        <v>0</v>
      </c>
      <c r="AW9" s="92">
        <v>0</v>
      </c>
      <c r="AX9" s="92">
        <v>0</v>
      </c>
      <c r="AY9" s="92">
        <v>0</v>
      </c>
      <c r="AZ9" s="92">
        <v>0</v>
      </c>
      <c r="BA9" s="92">
        <v>0</v>
      </c>
      <c r="BB9" s="92">
        <v>0</v>
      </c>
      <c r="BC9" s="92">
        <v>0</v>
      </c>
    </row>
    <row r="10" spans="1:55">
      <c r="A10" s="100" t="s">
        <v>73</v>
      </c>
      <c r="B10" s="99" t="s">
        <v>65</v>
      </c>
      <c r="C10" s="99">
        <v>47083</v>
      </c>
      <c r="D10" s="92">
        <v>2075</v>
      </c>
      <c r="E10" s="92">
        <v>2641</v>
      </c>
      <c r="F10" s="92">
        <v>1565</v>
      </c>
      <c r="G10" s="92">
        <v>2371</v>
      </c>
      <c r="H10" s="92">
        <v>3388.2488268523284</v>
      </c>
      <c r="I10" s="92">
        <v>2482.343933127157</v>
      </c>
      <c r="J10" s="92">
        <v>3936.7668605449844</v>
      </c>
      <c r="K10" s="92">
        <v>5143.0627702247566</v>
      </c>
      <c r="L10" s="92">
        <v>3256.9796558502389</v>
      </c>
      <c r="M10" s="92">
        <v>3239.5569809378544</v>
      </c>
      <c r="N10" s="92">
        <v>3307.9555702615789</v>
      </c>
      <c r="O10" s="92">
        <v>3300.4320800632522</v>
      </c>
      <c r="P10" s="92">
        <v>36707.346677862151</v>
      </c>
      <c r="Q10" s="92">
        <v>2711.6328488673807</v>
      </c>
      <c r="R10" s="92">
        <v>1802.6256393304911</v>
      </c>
      <c r="S10" s="92">
        <v>1194.7814410405415</v>
      </c>
      <c r="T10" s="92">
        <v>775.40845139082478</v>
      </c>
      <c r="U10" s="92">
        <v>507.84480980129058</v>
      </c>
      <c r="V10" s="92">
        <v>324.07744381345714</v>
      </c>
      <c r="W10" s="92">
        <v>324.64066740657603</v>
      </c>
      <c r="X10" s="92">
        <v>328.2232812266879</v>
      </c>
      <c r="Y10" s="92">
        <v>332.07723596990439</v>
      </c>
      <c r="Z10" s="92">
        <v>334.11047625406911</v>
      </c>
      <c r="AA10" s="92">
        <v>337.42366533955044</v>
      </c>
      <c r="AB10" s="92">
        <v>339.03811715540138</v>
      </c>
      <c r="AC10" s="92">
        <v>9311.8840775961762</v>
      </c>
      <c r="AD10" s="92">
        <v>341.44711242262099</v>
      </c>
      <c r="AE10" s="92">
        <v>293.3362602005709</v>
      </c>
      <c r="AF10" s="92">
        <v>184.99819912612188</v>
      </c>
      <c r="AG10" s="92">
        <v>110.86984803955831</v>
      </c>
      <c r="AH10" s="92">
        <v>62.958980564349638</v>
      </c>
      <c r="AI10" s="92">
        <v>29.991041186399993</v>
      </c>
      <c r="AJ10" s="92">
        <v>7.4783745387301241</v>
      </c>
      <c r="AK10" s="92">
        <v>0</v>
      </c>
      <c r="AL10" s="92">
        <v>0</v>
      </c>
      <c r="AM10" s="92">
        <v>0</v>
      </c>
      <c r="AN10" s="92">
        <v>0</v>
      </c>
      <c r="AO10" s="92">
        <v>0</v>
      </c>
      <c r="AP10" s="92">
        <v>1031.079816078352</v>
      </c>
      <c r="AQ10" s="92">
        <v>0</v>
      </c>
      <c r="AR10" s="92">
        <v>0</v>
      </c>
      <c r="AS10" s="92">
        <v>0</v>
      </c>
      <c r="AT10" s="92">
        <v>0</v>
      </c>
      <c r="AU10" s="92">
        <v>0</v>
      </c>
      <c r="AV10" s="92">
        <v>0</v>
      </c>
      <c r="AW10" s="92">
        <v>0</v>
      </c>
      <c r="AX10" s="92">
        <v>0</v>
      </c>
      <c r="AY10" s="92">
        <v>0</v>
      </c>
      <c r="AZ10" s="92">
        <v>0</v>
      </c>
      <c r="BA10" s="92">
        <v>0</v>
      </c>
      <c r="BB10" s="92">
        <v>0</v>
      </c>
      <c r="BC10" s="92">
        <v>0</v>
      </c>
    </row>
    <row r="11" spans="1:55">
      <c r="A11" s="100" t="s">
        <v>112</v>
      </c>
      <c r="B11" s="99" t="s">
        <v>65</v>
      </c>
      <c r="C11" s="92">
        <v>0</v>
      </c>
      <c r="D11" s="92">
        <v>0</v>
      </c>
      <c r="E11" s="92">
        <v>0</v>
      </c>
      <c r="F11" s="92">
        <v>0</v>
      </c>
      <c r="G11" s="92">
        <v>0</v>
      </c>
      <c r="H11" s="92">
        <v>0</v>
      </c>
      <c r="I11" s="92">
        <v>0</v>
      </c>
      <c r="J11" s="92">
        <v>0</v>
      </c>
      <c r="K11" s="92">
        <v>0</v>
      </c>
      <c r="L11" s="92">
        <v>0</v>
      </c>
      <c r="M11" s="92">
        <v>0</v>
      </c>
      <c r="N11" s="92">
        <v>0</v>
      </c>
      <c r="O11" s="92">
        <v>0</v>
      </c>
      <c r="P11" s="92">
        <v>0</v>
      </c>
      <c r="Q11" s="92">
        <v>2967.3735000000001</v>
      </c>
      <c r="R11" s="92">
        <v>2050.4248648303992</v>
      </c>
      <c r="S11" s="92">
        <v>1801.9365</v>
      </c>
      <c r="T11" s="92">
        <v>2902.6725000000001</v>
      </c>
      <c r="U11" s="92">
        <v>3296.5404210605543</v>
      </c>
      <c r="V11" s="92">
        <v>2528.1165000000001</v>
      </c>
      <c r="W11" s="92">
        <v>3098.0040000000004</v>
      </c>
      <c r="X11" s="92">
        <v>3394.6315310401915</v>
      </c>
      <c r="Y11" s="92">
        <v>2615.067</v>
      </c>
      <c r="Z11" s="92">
        <v>3056.9175</v>
      </c>
      <c r="AA11" s="92">
        <v>3575.7540000000004</v>
      </c>
      <c r="AB11" s="92">
        <v>3302.8905000000004</v>
      </c>
      <c r="AC11" s="92">
        <v>34590.328816931142</v>
      </c>
      <c r="AD11" s="92">
        <v>3073.0245000000004</v>
      </c>
      <c r="AE11" s="92">
        <v>3105.9795238494144</v>
      </c>
      <c r="AF11" s="92">
        <v>2580.5325000000003</v>
      </c>
      <c r="AG11" s="92">
        <v>2186.8665000000001</v>
      </c>
      <c r="AH11" s="92">
        <v>1951.264581396432</v>
      </c>
      <c r="AI11" s="92">
        <v>1779.96</v>
      </c>
      <c r="AJ11" s="92">
        <v>1653.4245000000001</v>
      </c>
      <c r="AK11" s="92">
        <v>1580.995889018451</v>
      </c>
      <c r="AL11" s="92">
        <v>1612.6110000000001</v>
      </c>
      <c r="AM11" s="92">
        <v>1634.8605000000002</v>
      </c>
      <c r="AN11" s="92">
        <v>1664.1460518160698</v>
      </c>
      <c r="AO11" s="92">
        <v>1684.41</v>
      </c>
      <c r="AP11" s="92">
        <v>24508.07554608037</v>
      </c>
      <c r="AQ11" s="92">
        <v>1687.14</v>
      </c>
      <c r="AR11" s="92">
        <v>1759.4850000000001</v>
      </c>
      <c r="AS11" s="92">
        <v>1769.0400000000002</v>
      </c>
      <c r="AT11" s="92">
        <v>1820.4550000000047</v>
      </c>
      <c r="AU11" s="92">
        <v>1861.4050000000047</v>
      </c>
      <c r="AV11" s="92">
        <v>0</v>
      </c>
      <c r="AW11" s="92">
        <v>0</v>
      </c>
      <c r="AX11" s="92">
        <v>0</v>
      </c>
      <c r="AY11" s="92">
        <v>0</v>
      </c>
      <c r="AZ11" s="92">
        <v>0</v>
      </c>
      <c r="BA11" s="92">
        <v>0</v>
      </c>
      <c r="BB11" s="92">
        <v>0</v>
      </c>
      <c r="BC11" s="92">
        <v>8897.5250000000087</v>
      </c>
    </row>
    <row r="12" spans="1:55">
      <c r="A12" s="100" t="s">
        <v>113</v>
      </c>
      <c r="B12" s="99" t="s">
        <v>65</v>
      </c>
      <c r="C12" s="92">
        <v>0</v>
      </c>
      <c r="D12" s="92">
        <v>0</v>
      </c>
      <c r="E12" s="92">
        <v>0</v>
      </c>
      <c r="F12" s="92">
        <v>0</v>
      </c>
      <c r="G12" s="92">
        <v>0</v>
      </c>
      <c r="H12" s="92">
        <v>0</v>
      </c>
      <c r="I12" s="92">
        <v>0</v>
      </c>
      <c r="J12" s="92">
        <v>0</v>
      </c>
      <c r="K12" s="92">
        <v>0</v>
      </c>
      <c r="L12" s="92">
        <v>0</v>
      </c>
      <c r="M12" s="92">
        <v>0</v>
      </c>
      <c r="N12" s="92">
        <v>0</v>
      </c>
      <c r="O12" s="92">
        <v>0</v>
      </c>
      <c r="P12" s="92">
        <v>0</v>
      </c>
      <c r="Q12" s="92">
        <v>0</v>
      </c>
      <c r="R12" s="92">
        <v>0</v>
      </c>
      <c r="S12" s="92">
        <v>0</v>
      </c>
      <c r="T12" s="92">
        <v>0</v>
      </c>
      <c r="U12" s="92">
        <v>0</v>
      </c>
      <c r="V12" s="92">
        <v>0</v>
      </c>
      <c r="W12" s="92">
        <v>0</v>
      </c>
      <c r="X12" s="92">
        <v>0</v>
      </c>
      <c r="Y12" s="92">
        <v>0</v>
      </c>
      <c r="Z12" s="92">
        <v>0</v>
      </c>
      <c r="AA12" s="92">
        <v>0</v>
      </c>
      <c r="AB12" s="92">
        <v>0</v>
      </c>
      <c r="AC12" s="92">
        <v>0</v>
      </c>
      <c r="AD12" s="92">
        <v>0</v>
      </c>
      <c r="AE12" s="92">
        <v>0</v>
      </c>
      <c r="AF12" s="92">
        <v>0</v>
      </c>
      <c r="AG12" s="92">
        <v>0</v>
      </c>
      <c r="AH12" s="92">
        <v>0</v>
      </c>
      <c r="AI12" s="92">
        <v>0</v>
      </c>
      <c r="AJ12" s="92">
        <v>0</v>
      </c>
      <c r="AK12" s="92">
        <v>0</v>
      </c>
      <c r="AL12" s="92">
        <v>0</v>
      </c>
      <c r="AM12" s="92">
        <v>0</v>
      </c>
      <c r="AN12" s="92">
        <v>0</v>
      </c>
      <c r="AO12" s="92">
        <v>0</v>
      </c>
      <c r="AP12" s="92">
        <v>0</v>
      </c>
      <c r="AQ12" s="92">
        <v>0</v>
      </c>
      <c r="AR12" s="92">
        <v>0</v>
      </c>
      <c r="AS12" s="92">
        <v>0</v>
      </c>
      <c r="AT12" s="92">
        <v>0</v>
      </c>
      <c r="AU12" s="92">
        <v>0</v>
      </c>
      <c r="AV12" s="92">
        <v>0</v>
      </c>
      <c r="AW12" s="92">
        <v>0</v>
      </c>
      <c r="AX12" s="92">
        <v>0</v>
      </c>
      <c r="AY12" s="92">
        <v>0</v>
      </c>
      <c r="AZ12" s="92">
        <v>0</v>
      </c>
      <c r="BA12" s="92">
        <v>0</v>
      </c>
      <c r="BB12" s="92">
        <v>0</v>
      </c>
      <c r="BC12" s="92">
        <v>0</v>
      </c>
    </row>
    <row r="13" spans="1:55">
      <c r="A13" s="100" t="s">
        <v>74</v>
      </c>
      <c r="B13" s="99" t="s">
        <v>65</v>
      </c>
      <c r="C13" s="99">
        <v>13007</v>
      </c>
      <c r="D13" s="92">
        <v>1447</v>
      </c>
      <c r="E13" s="92">
        <v>1893</v>
      </c>
      <c r="F13" s="92">
        <v>705</v>
      </c>
      <c r="G13" s="92">
        <v>1303</v>
      </c>
      <c r="H13" s="92">
        <v>1757.4715463860989</v>
      </c>
      <c r="I13" s="92">
        <v>1345.7707339280421</v>
      </c>
      <c r="J13" s="92">
        <v>1175.1285</v>
      </c>
      <c r="K13" s="92">
        <v>1622.8485000000001</v>
      </c>
      <c r="L13" s="92">
        <v>1164.4815000000001</v>
      </c>
      <c r="M13" s="92">
        <v>1212.6253176352884</v>
      </c>
      <c r="N13" s="92">
        <v>1939.3085122459654</v>
      </c>
      <c r="O13" s="92">
        <v>1550.6836849564099</v>
      </c>
      <c r="P13" s="92">
        <v>17116.318295151807</v>
      </c>
      <c r="Q13" s="92">
        <v>1617.9345000000001</v>
      </c>
      <c r="R13" s="92">
        <v>2277.6390000000001</v>
      </c>
      <c r="S13" s="92">
        <v>539.721</v>
      </c>
      <c r="T13" s="92">
        <v>327.327</v>
      </c>
      <c r="U13" s="92">
        <v>571.25250000000005</v>
      </c>
      <c r="V13" s="92">
        <v>360.2235</v>
      </c>
      <c r="W13" s="92">
        <v>382.06350000000003</v>
      </c>
      <c r="X13" s="92">
        <v>512.5575</v>
      </c>
      <c r="Y13" s="92">
        <v>369.096</v>
      </c>
      <c r="Z13" s="92">
        <v>361.58850000000001</v>
      </c>
      <c r="AA13" s="92">
        <v>320.63850000000002</v>
      </c>
      <c r="AB13" s="92">
        <v>109.88250000000001</v>
      </c>
      <c r="AC13" s="92">
        <v>7749.9240000000009</v>
      </c>
      <c r="AD13" s="92">
        <v>102.37500000000001</v>
      </c>
      <c r="AE13" s="92">
        <v>132.81450000000001</v>
      </c>
      <c r="AF13" s="92">
        <v>85.858500000000006</v>
      </c>
      <c r="AG13" s="92">
        <v>85.176000000000002</v>
      </c>
      <c r="AH13" s="92">
        <v>137.04600000000002</v>
      </c>
      <c r="AI13" s="92">
        <v>92.274000000000001</v>
      </c>
      <c r="AJ13" s="92">
        <v>100.191</v>
      </c>
      <c r="AK13" s="92">
        <v>144.14400000000001</v>
      </c>
      <c r="AL13" s="92">
        <v>92.683500000000009</v>
      </c>
      <c r="AM13" s="92">
        <v>96.505500000000012</v>
      </c>
      <c r="AN13" s="92">
        <v>166.93950000000001</v>
      </c>
      <c r="AO13" s="92">
        <v>92.547000000000011</v>
      </c>
      <c r="AP13" s="92">
        <v>1328.5545000000002</v>
      </c>
      <c r="AQ13" s="92">
        <v>120.93899999999999</v>
      </c>
      <c r="AR13" s="92">
        <v>135.68100000000001</v>
      </c>
      <c r="AS13" s="92">
        <v>116.7075</v>
      </c>
      <c r="AT13" s="92">
        <v>130.494</v>
      </c>
      <c r="AU13" s="92">
        <v>122.44049999999989</v>
      </c>
      <c r="AV13" s="92">
        <v>0</v>
      </c>
      <c r="AW13" s="92">
        <v>0</v>
      </c>
      <c r="AX13" s="92">
        <v>0</v>
      </c>
      <c r="AY13" s="92">
        <v>0</v>
      </c>
      <c r="AZ13" s="92">
        <v>0</v>
      </c>
      <c r="BA13" s="92">
        <v>0</v>
      </c>
      <c r="BB13" s="92">
        <v>0</v>
      </c>
      <c r="BC13" s="92">
        <v>626.26199999999994</v>
      </c>
    </row>
    <row r="14" spans="1:55">
      <c r="A14" s="100" t="s">
        <v>114</v>
      </c>
      <c r="B14" s="99" t="s">
        <v>65</v>
      </c>
      <c r="C14" s="92">
        <v>0</v>
      </c>
      <c r="D14" s="92">
        <v>0</v>
      </c>
      <c r="E14" s="92">
        <v>0</v>
      </c>
      <c r="F14" s="92">
        <v>0</v>
      </c>
      <c r="G14" s="92">
        <v>0</v>
      </c>
      <c r="H14" s="92">
        <v>0</v>
      </c>
      <c r="I14" s="92">
        <v>0</v>
      </c>
      <c r="J14" s="92">
        <v>0</v>
      </c>
      <c r="K14" s="92">
        <v>0</v>
      </c>
      <c r="L14" s="92">
        <v>0</v>
      </c>
      <c r="M14" s="92">
        <v>0</v>
      </c>
      <c r="N14" s="92">
        <v>0</v>
      </c>
      <c r="O14" s="92">
        <v>0</v>
      </c>
      <c r="P14" s="92">
        <v>0</v>
      </c>
      <c r="Q14" s="92">
        <v>0</v>
      </c>
      <c r="R14" s="92">
        <v>0</v>
      </c>
      <c r="S14" s="92">
        <v>0</v>
      </c>
      <c r="T14" s="92">
        <v>0</v>
      </c>
      <c r="U14" s="92">
        <v>0</v>
      </c>
      <c r="V14" s="92">
        <v>0</v>
      </c>
      <c r="W14" s="92">
        <v>0</v>
      </c>
      <c r="X14" s="92">
        <v>0</v>
      </c>
      <c r="Y14" s="92">
        <v>0</v>
      </c>
      <c r="Z14" s="92">
        <v>0</v>
      </c>
      <c r="AA14" s="92">
        <v>0</v>
      </c>
      <c r="AB14" s="92">
        <v>0</v>
      </c>
      <c r="AC14" s="92">
        <v>0</v>
      </c>
      <c r="AD14" s="92">
        <v>0</v>
      </c>
      <c r="AE14" s="92">
        <v>0</v>
      </c>
      <c r="AF14" s="92">
        <v>0</v>
      </c>
      <c r="AG14" s="92">
        <v>0</v>
      </c>
      <c r="AH14" s="92">
        <v>0</v>
      </c>
      <c r="AI14" s="92">
        <v>0</v>
      </c>
      <c r="AJ14" s="92">
        <v>0</v>
      </c>
      <c r="AK14" s="92">
        <v>0</v>
      </c>
      <c r="AL14" s="92">
        <v>0</v>
      </c>
      <c r="AM14" s="92">
        <v>0</v>
      </c>
      <c r="AN14" s="92">
        <v>0</v>
      </c>
      <c r="AO14" s="92">
        <v>0</v>
      </c>
      <c r="AP14" s="92">
        <v>0</v>
      </c>
      <c r="AQ14" s="92">
        <v>0</v>
      </c>
      <c r="AR14" s="92">
        <v>0</v>
      </c>
      <c r="AS14" s="92">
        <v>0</v>
      </c>
      <c r="AT14" s="92">
        <v>0</v>
      </c>
      <c r="AU14" s="92">
        <v>0</v>
      </c>
      <c r="AV14" s="92">
        <v>0</v>
      </c>
      <c r="AW14" s="92">
        <v>0</v>
      </c>
      <c r="AX14" s="92">
        <v>0</v>
      </c>
      <c r="AY14" s="92">
        <v>0</v>
      </c>
      <c r="AZ14" s="92">
        <v>0</v>
      </c>
      <c r="BA14" s="92">
        <v>0</v>
      </c>
      <c r="BB14" s="92">
        <v>0</v>
      </c>
      <c r="BC14" s="92">
        <v>0</v>
      </c>
    </row>
    <row r="15" spans="1:55">
      <c r="A15" s="100" t="s">
        <v>115</v>
      </c>
      <c r="B15" s="99" t="s">
        <v>65</v>
      </c>
      <c r="C15" s="92">
        <v>0</v>
      </c>
      <c r="D15" s="92">
        <v>0</v>
      </c>
      <c r="E15" s="92">
        <v>0</v>
      </c>
      <c r="F15" s="92">
        <v>0</v>
      </c>
      <c r="G15" s="92">
        <v>0</v>
      </c>
      <c r="H15" s="92">
        <v>0</v>
      </c>
      <c r="I15" s="92">
        <v>0</v>
      </c>
      <c r="J15" s="92">
        <v>0</v>
      </c>
      <c r="K15" s="92">
        <v>0</v>
      </c>
      <c r="L15" s="92">
        <v>0</v>
      </c>
      <c r="M15" s="92">
        <v>0</v>
      </c>
      <c r="N15" s="92">
        <v>0</v>
      </c>
      <c r="O15" s="92">
        <v>0</v>
      </c>
      <c r="P15" s="92">
        <v>0</v>
      </c>
      <c r="Q15" s="92">
        <v>0</v>
      </c>
      <c r="R15" s="92">
        <v>0</v>
      </c>
      <c r="S15" s="92">
        <v>0</v>
      </c>
      <c r="T15" s="92">
        <v>0</v>
      </c>
      <c r="U15" s="92">
        <v>0</v>
      </c>
      <c r="V15" s="92">
        <v>0</v>
      </c>
      <c r="W15" s="92">
        <v>149.19450000000001</v>
      </c>
      <c r="X15" s="92">
        <v>126.2625</v>
      </c>
      <c r="Y15" s="92">
        <v>174.72000000000003</v>
      </c>
      <c r="Z15" s="92">
        <v>352.57950000000005</v>
      </c>
      <c r="AA15" s="92">
        <v>321.86700000000002</v>
      </c>
      <c r="AB15" s="92">
        <v>418.37250000000006</v>
      </c>
      <c r="AC15" s="92">
        <v>1542.9960000000001</v>
      </c>
      <c r="AD15" s="92">
        <v>520.33800000000008</v>
      </c>
      <c r="AE15" s="92">
        <v>493.44750000000005</v>
      </c>
      <c r="AF15" s="92">
        <v>535.48950000000002</v>
      </c>
      <c r="AG15" s="92">
        <v>692.73750000000007</v>
      </c>
      <c r="AH15" s="92">
        <v>598.14300000000003</v>
      </c>
      <c r="AI15" s="92">
        <v>726.04350000000011</v>
      </c>
      <c r="AJ15" s="92">
        <v>820.22850000000005</v>
      </c>
      <c r="AK15" s="92">
        <v>596.91450000000009</v>
      </c>
      <c r="AL15" s="92">
        <v>700.92750000000001</v>
      </c>
      <c r="AM15" s="92">
        <v>902.9475000000001</v>
      </c>
      <c r="AN15" s="92">
        <v>625.30650000000003</v>
      </c>
      <c r="AO15" s="92">
        <v>625.30650000000003</v>
      </c>
      <c r="AP15" s="92">
        <v>7837.83</v>
      </c>
      <c r="AQ15" s="92">
        <v>625.30650000000003</v>
      </c>
      <c r="AR15" s="92">
        <v>704.23328181818238</v>
      </c>
      <c r="AS15" s="92">
        <v>708.73654090909145</v>
      </c>
      <c r="AT15" s="92">
        <v>713.23980000000086</v>
      </c>
      <c r="AU15" s="92">
        <v>754.95482045454742</v>
      </c>
      <c r="AV15" s="92">
        <v>0</v>
      </c>
      <c r="AW15" s="92">
        <v>0</v>
      </c>
      <c r="AX15" s="92">
        <v>0</v>
      </c>
      <c r="AY15" s="92">
        <v>0</v>
      </c>
      <c r="AZ15" s="92">
        <v>0</v>
      </c>
      <c r="BA15" s="92">
        <v>0</v>
      </c>
      <c r="BB15" s="92">
        <v>0</v>
      </c>
      <c r="BC15" s="92">
        <v>3506.4709431818219</v>
      </c>
    </row>
    <row r="16" spans="1:55">
      <c r="A16" s="100" t="s">
        <v>116</v>
      </c>
      <c r="B16" s="99" t="s">
        <v>65</v>
      </c>
      <c r="C16" s="92">
        <v>0</v>
      </c>
      <c r="D16" s="92">
        <v>0</v>
      </c>
      <c r="E16" s="92">
        <v>0</v>
      </c>
      <c r="F16" s="92">
        <v>0</v>
      </c>
      <c r="G16" s="92">
        <v>0</v>
      </c>
      <c r="H16" s="92">
        <v>0</v>
      </c>
      <c r="I16" s="92">
        <v>0</v>
      </c>
      <c r="J16" s="92">
        <v>0</v>
      </c>
      <c r="K16" s="92">
        <v>0</v>
      </c>
      <c r="L16" s="92">
        <v>0</v>
      </c>
      <c r="M16" s="92">
        <v>0</v>
      </c>
      <c r="N16" s="92">
        <v>0</v>
      </c>
      <c r="O16" s="92">
        <v>0</v>
      </c>
      <c r="P16" s="92">
        <v>0</v>
      </c>
      <c r="Q16" s="92">
        <v>0</v>
      </c>
      <c r="R16" s="92">
        <v>0</v>
      </c>
      <c r="S16" s="92">
        <v>0</v>
      </c>
      <c r="T16" s="92">
        <v>0</v>
      </c>
      <c r="U16" s="92">
        <v>0</v>
      </c>
      <c r="V16" s="92">
        <v>0</v>
      </c>
      <c r="W16" s="92">
        <v>0</v>
      </c>
      <c r="X16" s="92">
        <v>0</v>
      </c>
      <c r="Y16" s="92">
        <v>0</v>
      </c>
      <c r="Z16" s="92">
        <v>0</v>
      </c>
      <c r="AA16" s="92">
        <v>0</v>
      </c>
      <c r="AB16" s="92">
        <v>0</v>
      </c>
      <c r="AC16" s="92">
        <v>0</v>
      </c>
      <c r="AD16" s="92">
        <v>0</v>
      </c>
      <c r="AE16" s="92">
        <v>0</v>
      </c>
      <c r="AF16" s="92">
        <v>0</v>
      </c>
      <c r="AG16" s="92">
        <v>0</v>
      </c>
      <c r="AH16" s="92">
        <v>0</v>
      </c>
      <c r="AI16" s="92">
        <v>0</v>
      </c>
      <c r="AJ16" s="92">
        <v>0</v>
      </c>
      <c r="AK16" s="92">
        <v>0</v>
      </c>
      <c r="AL16" s="92">
        <v>0</v>
      </c>
      <c r="AM16" s="92">
        <v>0</v>
      </c>
      <c r="AN16" s="92">
        <v>0</v>
      </c>
      <c r="AO16" s="92">
        <v>0</v>
      </c>
      <c r="AP16" s="92">
        <v>0</v>
      </c>
      <c r="AQ16" s="92">
        <v>0</v>
      </c>
      <c r="AR16" s="92">
        <v>0</v>
      </c>
      <c r="AS16" s="92">
        <v>0</v>
      </c>
      <c r="AT16" s="92">
        <v>0</v>
      </c>
      <c r="AU16" s="92">
        <v>0</v>
      </c>
      <c r="AV16" s="92">
        <v>0</v>
      </c>
      <c r="AW16" s="92">
        <v>0</v>
      </c>
      <c r="AX16" s="92">
        <v>0</v>
      </c>
      <c r="AY16" s="92">
        <v>0</v>
      </c>
      <c r="AZ16" s="92">
        <v>0</v>
      </c>
      <c r="BA16" s="92">
        <v>0</v>
      </c>
      <c r="BB16" s="92">
        <v>0</v>
      </c>
      <c r="BC16" s="92">
        <v>0</v>
      </c>
    </row>
    <row r="17" spans="1:56">
      <c r="A17" s="101" t="s">
        <v>129</v>
      </c>
      <c r="B17" s="99" t="s">
        <v>65</v>
      </c>
      <c r="C17" s="99">
        <v>879</v>
      </c>
      <c r="D17" s="92">
        <v>668</v>
      </c>
      <c r="E17" s="92">
        <v>561</v>
      </c>
      <c r="F17" s="92">
        <v>209</v>
      </c>
      <c r="G17" s="92">
        <v>646</v>
      </c>
      <c r="H17" s="92">
        <v>586.45691979187643</v>
      </c>
      <c r="I17" s="92">
        <v>469.64474180899339</v>
      </c>
      <c r="J17" s="92">
        <v>552.82500000000005</v>
      </c>
      <c r="K17" s="92">
        <v>506.82450000000006</v>
      </c>
      <c r="L17" s="92">
        <v>434.47950000000003</v>
      </c>
      <c r="M17" s="92">
        <v>633.96231737280243</v>
      </c>
      <c r="N17" s="92">
        <v>518.191172790873</v>
      </c>
      <c r="O17" s="92">
        <v>478.35129608380731</v>
      </c>
      <c r="P17" s="92">
        <v>6264.735447848353</v>
      </c>
      <c r="Q17" s="92">
        <v>637.87185750288018</v>
      </c>
      <c r="R17" s="92">
        <v>461.91600000000005</v>
      </c>
      <c r="S17" s="92">
        <v>445.80900000000003</v>
      </c>
      <c r="T17" s="92">
        <v>611.25435750288011</v>
      </c>
      <c r="U17" s="92">
        <v>491.67300000000006</v>
      </c>
      <c r="V17" s="92">
        <v>469.28700000000003</v>
      </c>
      <c r="W17" s="92">
        <v>587.77635750288016</v>
      </c>
      <c r="X17" s="92">
        <v>491.67300000000006</v>
      </c>
      <c r="Y17" s="92">
        <v>445.80900000000003</v>
      </c>
      <c r="Z17" s="92">
        <v>635.82435750288016</v>
      </c>
      <c r="AA17" s="92">
        <v>467.10300000000001</v>
      </c>
      <c r="AB17" s="92">
        <v>516.24300000000005</v>
      </c>
      <c r="AC17" s="92">
        <v>6262.2399300115212</v>
      </c>
      <c r="AD17" s="92">
        <v>516.25035750288009</v>
      </c>
      <c r="AE17" s="92">
        <v>516.24300000000005</v>
      </c>
      <c r="AF17" s="92">
        <v>516.24300000000005</v>
      </c>
      <c r="AG17" s="92">
        <v>516.25035750288009</v>
      </c>
      <c r="AH17" s="92">
        <v>516.24300000000005</v>
      </c>
      <c r="AI17" s="92">
        <v>516.24300000000005</v>
      </c>
      <c r="AJ17" s="92">
        <v>516.25035750288009</v>
      </c>
      <c r="AK17" s="92">
        <v>516.24300000000005</v>
      </c>
      <c r="AL17" s="92">
        <v>516.24300000000005</v>
      </c>
      <c r="AM17" s="92">
        <v>516.25035750288009</v>
      </c>
      <c r="AN17" s="92">
        <v>516.24300000000005</v>
      </c>
      <c r="AO17" s="92">
        <v>516.24300000000005</v>
      </c>
      <c r="AP17" s="92">
        <v>6194.9454300115212</v>
      </c>
      <c r="AQ17" s="92">
        <v>516.25035750288009</v>
      </c>
      <c r="AR17" s="92">
        <v>516.24300000000005</v>
      </c>
      <c r="AS17" s="92">
        <v>516.24300000000005</v>
      </c>
      <c r="AT17" s="92">
        <v>522.11250000000007</v>
      </c>
      <c r="AU17" s="92">
        <v>540.59460000000001</v>
      </c>
      <c r="AV17" s="92">
        <v>0</v>
      </c>
      <c r="AW17" s="92">
        <v>0</v>
      </c>
      <c r="AX17" s="92">
        <v>0</v>
      </c>
      <c r="AY17" s="92">
        <v>0</v>
      </c>
      <c r="AZ17" s="92">
        <v>0</v>
      </c>
      <c r="BA17" s="92">
        <v>0</v>
      </c>
      <c r="BB17" s="92">
        <v>0</v>
      </c>
      <c r="BC17" s="92">
        <v>2611.4434575028804</v>
      </c>
    </row>
    <row r="18" spans="1:56">
      <c r="A18" s="101" t="s">
        <v>132</v>
      </c>
      <c r="B18" s="99" t="s">
        <v>65</v>
      </c>
      <c r="C18" s="92">
        <v>0</v>
      </c>
      <c r="D18" s="92">
        <v>0</v>
      </c>
      <c r="E18" s="92">
        <v>0</v>
      </c>
      <c r="F18" s="92">
        <v>0</v>
      </c>
      <c r="G18" s="92">
        <v>0</v>
      </c>
      <c r="H18" s="92">
        <v>0</v>
      </c>
      <c r="I18" s="92">
        <v>0</v>
      </c>
      <c r="J18" s="92">
        <v>0</v>
      </c>
      <c r="K18" s="92">
        <v>0</v>
      </c>
      <c r="L18" s="92">
        <v>0</v>
      </c>
      <c r="M18" s="92">
        <v>0</v>
      </c>
      <c r="N18" s="92">
        <v>0</v>
      </c>
      <c r="O18" s="92">
        <v>0</v>
      </c>
      <c r="P18" s="92">
        <v>0</v>
      </c>
      <c r="Q18" s="92">
        <v>0</v>
      </c>
      <c r="R18" s="92">
        <v>0</v>
      </c>
      <c r="S18" s="92">
        <v>0</v>
      </c>
      <c r="T18" s="92">
        <v>0</v>
      </c>
      <c r="U18" s="92">
        <v>0</v>
      </c>
      <c r="V18" s="92">
        <v>0</v>
      </c>
      <c r="W18" s="92">
        <v>0</v>
      </c>
      <c r="X18" s="92">
        <v>0</v>
      </c>
      <c r="Y18" s="92">
        <v>0</v>
      </c>
      <c r="Z18" s="92">
        <v>0</v>
      </c>
      <c r="AA18" s="92">
        <v>0</v>
      </c>
      <c r="AB18" s="92">
        <v>0</v>
      </c>
      <c r="AC18" s="92">
        <v>0</v>
      </c>
      <c r="AD18" s="92">
        <v>0</v>
      </c>
      <c r="AE18" s="92">
        <v>0</v>
      </c>
      <c r="AF18" s="92">
        <v>0</v>
      </c>
      <c r="AG18" s="92">
        <v>0</v>
      </c>
      <c r="AH18" s="92">
        <v>0</v>
      </c>
      <c r="AI18" s="92">
        <v>0</v>
      </c>
      <c r="AJ18" s="92">
        <v>0</v>
      </c>
      <c r="AK18" s="92">
        <v>0</v>
      </c>
      <c r="AL18" s="92">
        <v>0</v>
      </c>
      <c r="AM18" s="92">
        <v>0</v>
      </c>
      <c r="AN18" s="92">
        <v>0</v>
      </c>
      <c r="AO18" s="92">
        <v>0</v>
      </c>
      <c r="AP18" s="92">
        <v>0</v>
      </c>
      <c r="AQ18" s="92">
        <v>0</v>
      </c>
      <c r="AR18" s="92">
        <v>0</v>
      </c>
      <c r="AS18" s="92">
        <v>0</v>
      </c>
      <c r="AT18" s="92">
        <v>0</v>
      </c>
      <c r="AU18" s="92">
        <v>0</v>
      </c>
      <c r="AV18" s="92">
        <v>1295.782975835956</v>
      </c>
      <c r="AW18" s="92">
        <v>1295.782975835956</v>
      </c>
      <c r="AX18" s="92">
        <v>1619.7287197949449</v>
      </c>
      <c r="AY18" s="92">
        <v>1295.782975835956</v>
      </c>
      <c r="AZ18" s="92">
        <v>1295.782975835956</v>
      </c>
      <c r="BA18" s="92">
        <v>1619.7287197949449</v>
      </c>
      <c r="BB18" s="92">
        <v>1295.782975835956</v>
      </c>
      <c r="BC18" s="92">
        <v>9718.3723187696705</v>
      </c>
    </row>
    <row r="19" spans="1:56">
      <c r="A19" s="99" t="s">
        <v>145</v>
      </c>
      <c r="B19" s="99" t="s">
        <v>65</v>
      </c>
      <c r="C19" s="92">
        <v>0</v>
      </c>
      <c r="D19" s="92">
        <v>0</v>
      </c>
      <c r="E19" s="92">
        <v>0</v>
      </c>
      <c r="F19" s="92">
        <v>0</v>
      </c>
      <c r="G19" s="92">
        <v>25854.04</v>
      </c>
      <c r="H19" s="92">
        <v>3300</v>
      </c>
      <c r="I19" s="92">
        <v>2750</v>
      </c>
      <c r="J19" s="92">
        <v>2500</v>
      </c>
      <c r="K19" s="92">
        <v>2500</v>
      </c>
      <c r="L19" s="92">
        <v>2500</v>
      </c>
      <c r="M19" s="92">
        <v>2500</v>
      </c>
      <c r="N19" s="92">
        <v>2500</v>
      </c>
      <c r="O19" s="92">
        <v>2500</v>
      </c>
      <c r="P19" s="92">
        <v>46904.04</v>
      </c>
      <c r="Q19" s="92">
        <v>5000</v>
      </c>
      <c r="R19" s="92">
        <v>5000</v>
      </c>
      <c r="S19" s="92">
        <v>5000</v>
      </c>
      <c r="T19" s="92">
        <v>5000</v>
      </c>
      <c r="U19" s="92">
        <v>5000</v>
      </c>
      <c r="V19" s="92">
        <v>5000</v>
      </c>
      <c r="W19" s="92">
        <v>5000</v>
      </c>
      <c r="X19" s="92">
        <v>5000</v>
      </c>
      <c r="Y19" s="92">
        <v>5000</v>
      </c>
      <c r="Z19" s="92">
        <v>5000</v>
      </c>
      <c r="AA19" s="92">
        <v>5000</v>
      </c>
      <c r="AB19" s="92">
        <v>5000</v>
      </c>
      <c r="AC19" s="92">
        <v>60000</v>
      </c>
      <c r="AD19" s="92">
        <v>994.94730573849188</v>
      </c>
      <c r="AE19" s="92">
        <v>1173.1453736319011</v>
      </c>
      <c r="AF19" s="92">
        <v>994.94730573849188</v>
      </c>
      <c r="AG19" s="92">
        <v>1030.9464537619363</v>
      </c>
      <c r="AH19" s="92">
        <v>1213.6444151582757</v>
      </c>
      <c r="AI19" s="92">
        <v>1039.8264339619361</v>
      </c>
      <c r="AJ19" s="92">
        <v>1088.5830655975142</v>
      </c>
      <c r="AK19" s="92">
        <v>1299.6683310603833</v>
      </c>
      <c r="AL19" s="92">
        <v>1129.8115450975142</v>
      </c>
      <c r="AM19" s="92">
        <v>1185.5235522299258</v>
      </c>
      <c r="AN19" s="92">
        <v>1399.0122172624908</v>
      </c>
      <c r="AO19" s="92">
        <v>1221.0434730299257</v>
      </c>
      <c r="AP19" s="92">
        <v>13771.099472268786</v>
      </c>
      <c r="AQ19" s="92">
        <v>0</v>
      </c>
      <c r="AR19" s="92">
        <v>0</v>
      </c>
      <c r="AS19" s="92">
        <v>0</v>
      </c>
      <c r="AT19" s="92">
        <v>0</v>
      </c>
      <c r="AU19" s="92">
        <v>0</v>
      </c>
      <c r="AV19" s="92">
        <v>0</v>
      </c>
      <c r="AW19" s="92">
        <v>0</v>
      </c>
      <c r="AX19" s="92">
        <v>0</v>
      </c>
      <c r="AY19" s="92">
        <v>0</v>
      </c>
      <c r="AZ19" s="92">
        <v>0</v>
      </c>
      <c r="BA19" s="92">
        <v>0</v>
      </c>
      <c r="BB19" s="92">
        <v>0</v>
      </c>
      <c r="BC19" s="92">
        <v>0</v>
      </c>
    </row>
    <row r="20" spans="1:56">
      <c r="A20" s="99" t="s">
        <v>140</v>
      </c>
      <c r="B20" s="99" t="s">
        <v>65</v>
      </c>
      <c r="C20" s="92">
        <v>0</v>
      </c>
      <c r="D20" s="92">
        <v>0</v>
      </c>
      <c r="E20" s="92">
        <v>0</v>
      </c>
      <c r="F20" s="92">
        <v>0</v>
      </c>
      <c r="G20" s="92">
        <v>0</v>
      </c>
      <c r="H20" s="92">
        <v>0</v>
      </c>
      <c r="I20" s="92">
        <v>0</v>
      </c>
      <c r="J20" s="92">
        <v>0</v>
      </c>
      <c r="K20" s="92">
        <v>0</v>
      </c>
      <c r="L20" s="92">
        <v>0</v>
      </c>
      <c r="M20" s="92">
        <v>0</v>
      </c>
      <c r="N20" s="92">
        <v>0</v>
      </c>
      <c r="O20" s="92">
        <v>0</v>
      </c>
      <c r="P20" s="92">
        <v>0</v>
      </c>
      <c r="Q20" s="92">
        <v>0</v>
      </c>
      <c r="R20" s="92">
        <v>0</v>
      </c>
      <c r="S20" s="92">
        <v>0</v>
      </c>
      <c r="T20" s="92">
        <v>0</v>
      </c>
      <c r="U20" s="92">
        <v>0</v>
      </c>
      <c r="V20" s="92">
        <v>0</v>
      </c>
      <c r="W20" s="92">
        <v>0</v>
      </c>
      <c r="X20" s="92">
        <v>0</v>
      </c>
      <c r="Y20" s="92">
        <v>0</v>
      </c>
      <c r="Z20" s="92">
        <v>0</v>
      </c>
      <c r="AA20" s="92">
        <v>0</v>
      </c>
      <c r="AB20" s="92">
        <v>0</v>
      </c>
      <c r="AC20" s="92">
        <v>0</v>
      </c>
      <c r="AD20" s="92">
        <v>0</v>
      </c>
      <c r="AE20" s="92">
        <v>0</v>
      </c>
      <c r="AF20" s="92">
        <v>0</v>
      </c>
      <c r="AG20" s="92">
        <v>0</v>
      </c>
      <c r="AH20" s="92">
        <v>0</v>
      </c>
      <c r="AI20" s="92">
        <v>0</v>
      </c>
      <c r="AJ20" s="92">
        <v>0</v>
      </c>
      <c r="AK20" s="92">
        <v>0</v>
      </c>
      <c r="AL20" s="92">
        <v>0</v>
      </c>
      <c r="AM20" s="92">
        <v>0</v>
      </c>
      <c r="AN20" s="92">
        <v>0</v>
      </c>
      <c r="AO20" s="92">
        <v>0</v>
      </c>
      <c r="AP20" s="92">
        <v>0</v>
      </c>
      <c r="AQ20" s="92">
        <v>0</v>
      </c>
      <c r="AR20" s="92">
        <v>0</v>
      </c>
      <c r="AS20" s="92">
        <v>0</v>
      </c>
      <c r="AT20" s="92">
        <v>0</v>
      </c>
      <c r="AU20" s="92">
        <v>0</v>
      </c>
      <c r="AV20" s="92">
        <v>0</v>
      </c>
      <c r="AW20" s="92">
        <v>0</v>
      </c>
      <c r="AX20" s="92">
        <v>0</v>
      </c>
      <c r="AY20" s="92">
        <v>0</v>
      </c>
      <c r="AZ20" s="92">
        <v>0</v>
      </c>
      <c r="BA20" s="92">
        <v>0</v>
      </c>
      <c r="BB20" s="92">
        <v>0</v>
      </c>
      <c r="BC20" s="92">
        <v>0</v>
      </c>
    </row>
    <row r="21" spans="1:56">
      <c r="A21" s="99" t="s">
        <v>141</v>
      </c>
      <c r="B21" s="99" t="s">
        <v>65</v>
      </c>
      <c r="C21" s="92">
        <v>0</v>
      </c>
      <c r="D21" s="92">
        <v>0</v>
      </c>
      <c r="E21" s="92">
        <v>0</v>
      </c>
      <c r="F21" s="92">
        <v>0</v>
      </c>
      <c r="G21" s="92">
        <v>0</v>
      </c>
      <c r="H21" s="92">
        <v>0</v>
      </c>
      <c r="I21" s="92">
        <v>0</v>
      </c>
      <c r="J21" s="92">
        <v>0</v>
      </c>
      <c r="K21" s="92">
        <v>0</v>
      </c>
      <c r="L21" s="92">
        <v>0</v>
      </c>
      <c r="M21" s="92">
        <v>0</v>
      </c>
      <c r="N21" s="92">
        <v>0</v>
      </c>
      <c r="O21" s="92">
        <v>0</v>
      </c>
      <c r="P21" s="92">
        <v>0</v>
      </c>
      <c r="Q21" s="92">
        <v>0</v>
      </c>
      <c r="R21" s="92">
        <v>0</v>
      </c>
      <c r="S21" s="92">
        <v>0</v>
      </c>
      <c r="T21" s="92">
        <v>0</v>
      </c>
      <c r="U21" s="92">
        <v>0</v>
      </c>
      <c r="V21" s="92">
        <v>0</v>
      </c>
      <c r="W21" s="92">
        <v>0</v>
      </c>
      <c r="X21" s="92">
        <v>0</v>
      </c>
      <c r="Y21" s="92">
        <v>0</v>
      </c>
      <c r="Z21" s="92">
        <v>0</v>
      </c>
      <c r="AA21" s="92">
        <v>0</v>
      </c>
      <c r="AB21" s="92">
        <v>0</v>
      </c>
      <c r="AC21" s="92">
        <v>0</v>
      </c>
      <c r="AD21" s="92">
        <v>0</v>
      </c>
      <c r="AE21" s="92">
        <v>0</v>
      </c>
      <c r="AF21" s="92">
        <v>0</v>
      </c>
      <c r="AG21" s="92">
        <v>0</v>
      </c>
      <c r="AH21" s="92">
        <v>0</v>
      </c>
      <c r="AI21" s="92">
        <v>0</v>
      </c>
      <c r="AJ21" s="92">
        <v>0</v>
      </c>
      <c r="AK21" s="92">
        <v>0</v>
      </c>
      <c r="AL21" s="92">
        <v>0</v>
      </c>
      <c r="AM21" s="92">
        <v>0</v>
      </c>
      <c r="AN21" s="92">
        <v>0</v>
      </c>
      <c r="AO21" s="92">
        <v>0</v>
      </c>
      <c r="AP21" s="92">
        <v>0</v>
      </c>
      <c r="AQ21" s="92">
        <v>0</v>
      </c>
      <c r="AR21" s="92">
        <v>0</v>
      </c>
      <c r="AS21" s="92">
        <v>0</v>
      </c>
      <c r="AT21" s="92">
        <v>0</v>
      </c>
      <c r="AU21" s="92">
        <v>0</v>
      </c>
      <c r="AV21" s="92">
        <v>0</v>
      </c>
      <c r="AW21" s="92">
        <v>0</v>
      </c>
      <c r="AX21" s="92">
        <v>0</v>
      </c>
      <c r="AY21" s="92">
        <v>0</v>
      </c>
      <c r="AZ21" s="92">
        <v>0</v>
      </c>
      <c r="BA21" s="92">
        <v>0</v>
      </c>
      <c r="BB21" s="92">
        <v>0</v>
      </c>
      <c r="BC21" s="92">
        <v>0</v>
      </c>
    </row>
    <row r="22" spans="1:56">
      <c r="A22" s="99" t="s">
        <v>92</v>
      </c>
      <c r="B22" s="99" t="s">
        <v>65</v>
      </c>
      <c r="C22" s="92">
        <v>0</v>
      </c>
      <c r="D22" s="92">
        <v>0</v>
      </c>
      <c r="E22" s="92">
        <v>0</v>
      </c>
      <c r="F22" s="92">
        <v>0</v>
      </c>
      <c r="G22" s="92">
        <v>0</v>
      </c>
      <c r="H22" s="92">
        <v>0</v>
      </c>
      <c r="I22" s="92">
        <v>0</v>
      </c>
      <c r="J22" s="92">
        <v>0</v>
      </c>
      <c r="K22" s="92">
        <v>0</v>
      </c>
      <c r="L22" s="92">
        <v>0</v>
      </c>
      <c r="M22" s="92">
        <v>0</v>
      </c>
      <c r="N22" s="92">
        <v>0</v>
      </c>
      <c r="O22" s="92">
        <v>0</v>
      </c>
      <c r="P22" s="92">
        <v>0</v>
      </c>
      <c r="Q22" s="92">
        <v>0</v>
      </c>
      <c r="R22" s="92">
        <v>0</v>
      </c>
      <c r="S22" s="92">
        <v>0</v>
      </c>
      <c r="T22" s="92">
        <v>0</v>
      </c>
      <c r="U22" s="92">
        <v>0</v>
      </c>
      <c r="V22" s="92">
        <v>0</v>
      </c>
      <c r="W22" s="92">
        <v>0</v>
      </c>
      <c r="X22" s="92">
        <v>0</v>
      </c>
      <c r="Y22" s="92">
        <v>0</v>
      </c>
      <c r="Z22" s="92">
        <v>0</v>
      </c>
      <c r="AA22" s="92">
        <v>0</v>
      </c>
      <c r="AB22" s="92">
        <v>0</v>
      </c>
      <c r="AC22" s="92">
        <v>0</v>
      </c>
      <c r="AD22" s="92">
        <v>0</v>
      </c>
      <c r="AE22" s="92">
        <v>0</v>
      </c>
      <c r="AF22" s="92">
        <v>0</v>
      </c>
      <c r="AG22" s="92">
        <v>3322.5464999999999</v>
      </c>
      <c r="AH22" s="92">
        <v>6645.2295000000004</v>
      </c>
      <c r="AI22" s="92">
        <v>9967.7759999999998</v>
      </c>
      <c r="AJ22" s="92">
        <v>11710.608</v>
      </c>
      <c r="AK22" s="92">
        <v>13453.44</v>
      </c>
      <c r="AL22" s="92">
        <v>15196.272000000001</v>
      </c>
      <c r="AM22" s="92">
        <v>17812.021500000003</v>
      </c>
      <c r="AN22" s="92">
        <v>20427.771000000001</v>
      </c>
      <c r="AO22" s="92">
        <v>23043.657000000003</v>
      </c>
      <c r="AP22" s="92">
        <v>121579.32150000001</v>
      </c>
      <c r="AQ22" s="92">
        <v>24708.684000000001</v>
      </c>
      <c r="AR22" s="92">
        <v>26919.0285</v>
      </c>
      <c r="AS22" s="92">
        <v>29129.373000000003</v>
      </c>
      <c r="AT22" s="92">
        <v>31381.213500000002</v>
      </c>
      <c r="AU22" s="92">
        <v>33605.389999999956</v>
      </c>
      <c r="AV22" s="92">
        <v>0</v>
      </c>
      <c r="AW22" s="92">
        <v>0</v>
      </c>
      <c r="AX22" s="92">
        <v>0</v>
      </c>
      <c r="AY22" s="92">
        <v>0</v>
      </c>
      <c r="AZ22" s="92">
        <v>0</v>
      </c>
      <c r="BA22" s="92">
        <v>0</v>
      </c>
      <c r="BB22" s="92">
        <v>0</v>
      </c>
      <c r="BC22" s="92">
        <v>145743.68899999995</v>
      </c>
    </row>
    <row r="23" spans="1:56">
      <c r="A23" s="99" t="s">
        <v>93</v>
      </c>
      <c r="B23" s="99" t="s">
        <v>65</v>
      </c>
      <c r="C23" s="92">
        <v>0</v>
      </c>
      <c r="D23" s="92">
        <v>0</v>
      </c>
      <c r="E23" s="92">
        <v>0</v>
      </c>
      <c r="F23" s="92">
        <v>0</v>
      </c>
      <c r="G23" s="92">
        <v>0</v>
      </c>
      <c r="H23" s="92">
        <v>0</v>
      </c>
      <c r="I23" s="92">
        <v>0</v>
      </c>
      <c r="J23" s="92">
        <v>0</v>
      </c>
      <c r="K23" s="92">
        <v>0</v>
      </c>
      <c r="L23" s="92">
        <v>0</v>
      </c>
      <c r="M23" s="92">
        <v>0</v>
      </c>
      <c r="N23" s="92">
        <v>0</v>
      </c>
      <c r="O23" s="92">
        <v>0</v>
      </c>
      <c r="P23" s="92">
        <v>0</v>
      </c>
      <c r="Q23" s="92">
        <v>0</v>
      </c>
      <c r="R23" s="92">
        <v>0</v>
      </c>
      <c r="S23" s="92">
        <v>0</v>
      </c>
      <c r="T23" s="92">
        <v>0</v>
      </c>
      <c r="U23" s="92">
        <v>0</v>
      </c>
      <c r="V23" s="92">
        <v>0</v>
      </c>
      <c r="W23" s="92">
        <v>1795.7785415985709</v>
      </c>
      <c r="X23" s="92">
        <v>3591.6935831971418</v>
      </c>
      <c r="Y23" s="92">
        <v>5387.4721247957132</v>
      </c>
      <c r="Z23" s="92">
        <v>6333.6979517918671</v>
      </c>
      <c r="AA23" s="92">
        <v>7280.0602787880225</v>
      </c>
      <c r="AB23" s="92">
        <v>8226.2861057841783</v>
      </c>
      <c r="AC23" s="92">
        <v>32614.988585955492</v>
      </c>
      <c r="AD23" s="92">
        <v>9402.212537704836</v>
      </c>
      <c r="AE23" s="92">
        <v>10786.549966451268</v>
      </c>
      <c r="AF23" s="92">
        <v>12171.023895197701</v>
      </c>
      <c r="AG23" s="92">
        <v>13373.474781062972</v>
      </c>
      <c r="AH23" s="92">
        <v>14575.925666928242</v>
      </c>
      <c r="AI23" s="92">
        <v>15778.513052793511</v>
      </c>
      <c r="AJ23" s="92">
        <v>17121.843241431612</v>
      </c>
      <c r="AK23" s="92">
        <v>18465.446430069707</v>
      </c>
      <c r="AL23" s="92">
        <v>19808.913118707809</v>
      </c>
      <c r="AM23" s="92">
        <v>21132.958408815473</v>
      </c>
      <c r="AN23" s="92">
        <v>22457.140198923142</v>
      </c>
      <c r="AO23" s="92">
        <v>23781.185489030813</v>
      </c>
      <c r="AP23" s="92">
        <v>198855.1867871171</v>
      </c>
      <c r="AQ23" s="92">
        <v>23338.585160629351</v>
      </c>
      <c r="AR23" s="92">
        <v>23391.723763362941</v>
      </c>
      <c r="AS23" s="92">
        <v>23452.642866096528</v>
      </c>
      <c r="AT23" s="92">
        <v>26266.883197506286</v>
      </c>
      <c r="AU23" s="92">
        <v>27255.663528916084</v>
      </c>
      <c r="AV23" s="92">
        <v>0</v>
      </c>
      <c r="AW23" s="92">
        <v>0</v>
      </c>
      <c r="AX23" s="92">
        <v>0</v>
      </c>
      <c r="AY23" s="92">
        <v>0</v>
      </c>
      <c r="AZ23" s="92">
        <v>0</v>
      </c>
      <c r="BA23" s="92">
        <v>0</v>
      </c>
      <c r="BB23" s="92">
        <v>0</v>
      </c>
      <c r="BC23" s="92">
        <v>123705.49851651119</v>
      </c>
    </row>
    <row r="24" spans="1:56">
      <c r="A24" s="99" t="s">
        <v>106</v>
      </c>
      <c r="B24" s="99" t="s">
        <v>65</v>
      </c>
      <c r="C24" s="99">
        <v>72370</v>
      </c>
      <c r="D24" s="92">
        <v>5080</v>
      </c>
      <c r="E24" s="92">
        <v>6150</v>
      </c>
      <c r="F24" s="92">
        <v>3126</v>
      </c>
      <c r="G24" s="92">
        <v>30971.040000000001</v>
      </c>
      <c r="H24" s="92">
        <v>10042.873309507868</v>
      </c>
      <c r="I24" s="92">
        <v>7818.1368358369027</v>
      </c>
      <c r="J24" s="92">
        <v>8960.5235715068338</v>
      </c>
      <c r="K24" s="92">
        <v>10615.759770224757</v>
      </c>
      <c r="L24" s="92">
        <v>8047.4496558502397</v>
      </c>
      <c r="M24" s="92">
        <v>8244.3445898071222</v>
      </c>
      <c r="N24" s="92">
        <v>8978.0164568630789</v>
      </c>
      <c r="O24" s="92">
        <v>8483.1118631087229</v>
      </c>
      <c r="P24" s="92">
        <v>116517.25605270553</v>
      </c>
      <c r="Q24" s="92">
        <v>13691.902754865105</v>
      </c>
      <c r="R24" s="92">
        <v>12371.74750416089</v>
      </c>
      <c r="S24" s="92">
        <v>9645.501441040542</v>
      </c>
      <c r="T24" s="92">
        <v>10332.497847343351</v>
      </c>
      <c r="U24" s="92">
        <v>10667.337230861845</v>
      </c>
      <c r="V24" s="92">
        <v>9367.4804438134561</v>
      </c>
      <c r="W24" s="92">
        <v>12059.911768862041</v>
      </c>
      <c r="X24" s="92">
        <v>14203.844895464023</v>
      </c>
      <c r="Y24" s="92">
        <v>15014.521860765617</v>
      </c>
      <c r="Z24" s="92">
        <v>16777.072899431438</v>
      </c>
      <c r="AA24" s="92">
        <v>18092.771944127573</v>
      </c>
      <c r="AB24" s="92">
        <v>18600.809222939581</v>
      </c>
      <c r="AC24" s="92">
        <v>160825.39981367547</v>
      </c>
      <c r="AD24" s="92">
        <v>15609.177114310081</v>
      </c>
      <c r="AE24" s="92">
        <v>17264.414624133155</v>
      </c>
      <c r="AF24" s="92">
        <v>17712.007900062315</v>
      </c>
      <c r="AG24" s="92">
        <v>21939.193709584557</v>
      </c>
      <c r="AH24" s="92">
        <v>26466.766144047302</v>
      </c>
      <c r="AI24" s="92">
        <v>30616.266527941847</v>
      </c>
      <c r="AJ24" s="92">
        <v>33674.773359537423</v>
      </c>
      <c r="AK24" s="92">
        <v>36811.560650148545</v>
      </c>
      <c r="AL24" s="92">
        <v>39733.819163805325</v>
      </c>
      <c r="AM24" s="92">
        <v>43904.846109490856</v>
      </c>
      <c r="AN24" s="92">
        <v>48042.661968001703</v>
      </c>
      <c r="AO24" s="92">
        <v>51593.930462060744</v>
      </c>
      <c r="AP24" s="92">
        <v>383369.41773312388</v>
      </c>
      <c r="AQ24" s="92">
        <v>51688.008068444316</v>
      </c>
      <c r="AR24" s="92">
        <v>54030.27054518112</v>
      </c>
      <c r="AS24" s="92">
        <v>56342.711590442981</v>
      </c>
      <c r="AT24" s="92">
        <v>61479.452680943657</v>
      </c>
      <c r="AU24" s="92">
        <v>64809.358782807954</v>
      </c>
      <c r="AV24" s="92">
        <v>1295.782975835956</v>
      </c>
      <c r="AW24" s="92">
        <v>1295.782975835956</v>
      </c>
      <c r="AX24" s="92">
        <v>1619.7287197949449</v>
      </c>
      <c r="AY24" s="92">
        <v>1295.782975835956</v>
      </c>
      <c r="AZ24" s="92">
        <v>1295.782975835956</v>
      </c>
      <c r="BA24" s="92">
        <v>1619.7287197949449</v>
      </c>
      <c r="BB24" s="92">
        <v>1295.782975835956</v>
      </c>
      <c r="BC24" s="92">
        <v>298068.17398658971</v>
      </c>
      <c r="BD24" s="99"/>
    </row>
    <row r="26" spans="1:56">
      <c r="A26" s="99" t="s">
        <v>28</v>
      </c>
      <c r="B26" s="99" t="s">
        <v>85</v>
      </c>
      <c r="C26" s="99">
        <v>210</v>
      </c>
      <c r="D26" s="92">
        <v>0</v>
      </c>
      <c r="E26" s="92">
        <v>0</v>
      </c>
      <c r="F26" s="92">
        <v>66</v>
      </c>
      <c r="G26" s="92">
        <v>33</v>
      </c>
      <c r="H26" s="92">
        <v>18.768750000000001</v>
      </c>
      <c r="I26" s="92">
        <v>14.571375000000002</v>
      </c>
      <c r="J26" s="92">
        <v>15.629250000000001</v>
      </c>
      <c r="K26" s="92">
        <v>17.710875000000001</v>
      </c>
      <c r="L26" s="92">
        <v>13.923000000000002</v>
      </c>
      <c r="M26" s="92">
        <v>14.230125000000001</v>
      </c>
      <c r="N26" s="92">
        <v>16.857750000000003</v>
      </c>
      <c r="O26" s="92">
        <v>13.957125000000001</v>
      </c>
      <c r="P26" s="92">
        <v>224.64825000000002</v>
      </c>
      <c r="Q26" s="92">
        <v>13.547625000000002</v>
      </c>
      <c r="R26" s="92">
        <v>15.629250000000001</v>
      </c>
      <c r="S26" s="92">
        <v>12.592125000000001</v>
      </c>
      <c r="T26" s="92">
        <v>12.319125000000001</v>
      </c>
      <c r="U26" s="92">
        <v>15.526875</v>
      </c>
      <c r="V26" s="92">
        <v>12.660375</v>
      </c>
      <c r="W26" s="92">
        <v>12.387375</v>
      </c>
      <c r="X26" s="92">
        <v>14.196000000000002</v>
      </c>
      <c r="Y26" s="92">
        <v>12.694500000000001</v>
      </c>
      <c r="Z26" s="92">
        <v>11.193000000000001</v>
      </c>
      <c r="AA26" s="92">
        <v>14.776125</v>
      </c>
      <c r="AB26" s="92">
        <v>11.53425</v>
      </c>
      <c r="AC26" s="92">
        <v>159.05662500000003</v>
      </c>
      <c r="AD26" s="92">
        <v>11.500125000000001</v>
      </c>
      <c r="AE26" s="92">
        <v>13.547625000000002</v>
      </c>
      <c r="AF26" s="92">
        <v>10.749375000000001</v>
      </c>
      <c r="AG26" s="92">
        <v>10.374000000000001</v>
      </c>
      <c r="AH26" s="92">
        <v>13.65</v>
      </c>
      <c r="AI26" s="92">
        <v>11.739000000000001</v>
      </c>
      <c r="AJ26" s="92">
        <v>11.193000000000001</v>
      </c>
      <c r="AK26" s="92">
        <v>13.445250000000001</v>
      </c>
      <c r="AL26" s="92">
        <v>11.602500000000001</v>
      </c>
      <c r="AM26" s="92">
        <v>10.442250000000001</v>
      </c>
      <c r="AN26" s="92">
        <v>14.332500000000001</v>
      </c>
      <c r="AO26" s="92">
        <v>10.408125</v>
      </c>
      <c r="AP26" s="92">
        <v>142.98375000000001</v>
      </c>
      <c r="AQ26" s="92">
        <v>12.489750000000001</v>
      </c>
      <c r="AR26" s="92">
        <v>9.8280000000000012</v>
      </c>
      <c r="AS26" s="92">
        <v>11.363625000000001</v>
      </c>
      <c r="AT26" s="92">
        <v>10.851750000000001</v>
      </c>
      <c r="AU26" s="92">
        <v>10.9165875</v>
      </c>
      <c r="AV26" s="92">
        <v>0</v>
      </c>
      <c r="AW26" s="92">
        <v>0</v>
      </c>
      <c r="AX26" s="92">
        <v>0</v>
      </c>
      <c r="AY26" s="92">
        <v>0</v>
      </c>
      <c r="AZ26" s="92">
        <v>0</v>
      </c>
      <c r="BA26" s="92">
        <v>0</v>
      </c>
      <c r="BB26" s="92">
        <v>0</v>
      </c>
      <c r="BC26" s="92">
        <v>55.449712500000004</v>
      </c>
    </row>
    <row r="27" spans="1:56">
      <c r="A27" s="99" t="s">
        <v>29</v>
      </c>
      <c r="B27" s="99" t="s">
        <v>85</v>
      </c>
      <c r="C27" s="99">
        <v>2390</v>
      </c>
      <c r="D27" s="92">
        <v>197</v>
      </c>
      <c r="E27" s="92">
        <v>516</v>
      </c>
      <c r="F27" s="92">
        <v>869</v>
      </c>
      <c r="G27" s="92">
        <v>305</v>
      </c>
      <c r="H27" s="92">
        <v>233.90525411939089</v>
      </c>
      <c r="I27" s="92">
        <v>178.02298174317747</v>
      </c>
      <c r="J27" s="92">
        <v>183.32155274046244</v>
      </c>
      <c r="K27" s="92">
        <v>193.04512500000001</v>
      </c>
      <c r="L27" s="92">
        <v>158.95425</v>
      </c>
      <c r="M27" s="92">
        <v>150.31986846529438</v>
      </c>
      <c r="N27" s="92">
        <v>161.28255039116573</v>
      </c>
      <c r="O27" s="92">
        <v>149.45407550131313</v>
      </c>
      <c r="P27" s="92">
        <v>3295.3056579608042</v>
      </c>
      <c r="Q27" s="92">
        <v>175.72488712371063</v>
      </c>
      <c r="R27" s="92">
        <v>179.15625</v>
      </c>
      <c r="S27" s="92">
        <v>153.22125</v>
      </c>
      <c r="T27" s="92">
        <v>166.63975961241135</v>
      </c>
      <c r="U27" s="92">
        <v>184.47975000000002</v>
      </c>
      <c r="V27" s="92">
        <v>158.783625</v>
      </c>
      <c r="W27" s="92">
        <v>168.22617558850342</v>
      </c>
      <c r="X27" s="92">
        <v>175.50487500000003</v>
      </c>
      <c r="Y27" s="92">
        <v>159.87562500000001</v>
      </c>
      <c r="Z27" s="92">
        <v>164.39565347065505</v>
      </c>
      <c r="AA27" s="92">
        <v>182.70525000000001</v>
      </c>
      <c r="AB27" s="92">
        <v>160.48987500000001</v>
      </c>
      <c r="AC27" s="92">
        <v>2029.2029757952805</v>
      </c>
      <c r="AD27" s="92">
        <v>153.14545023531278</v>
      </c>
      <c r="AE27" s="92">
        <v>177.17700000000002</v>
      </c>
      <c r="AF27" s="92">
        <v>149.979375</v>
      </c>
      <c r="AG27" s="92">
        <v>144.7074423043023</v>
      </c>
      <c r="AH27" s="92">
        <v>177.92775</v>
      </c>
      <c r="AI27" s="92">
        <v>159.67087500000002</v>
      </c>
      <c r="AJ27" s="92">
        <v>152.8485801166716</v>
      </c>
      <c r="AK27" s="92">
        <v>175.231875</v>
      </c>
      <c r="AL27" s="92">
        <v>157.486875</v>
      </c>
      <c r="AM27" s="92">
        <v>145.50244773564282</v>
      </c>
      <c r="AN27" s="92">
        <v>182.193375</v>
      </c>
      <c r="AO27" s="92">
        <v>146.97637500000002</v>
      </c>
      <c r="AP27" s="92">
        <v>1922.8474203919295</v>
      </c>
      <c r="AQ27" s="92">
        <v>160.28601257802092</v>
      </c>
      <c r="AR27" s="92">
        <v>141.14100000000002</v>
      </c>
      <c r="AS27" s="92">
        <v>151.12854585934031</v>
      </c>
      <c r="AT27" s="92">
        <v>150.41192085934028</v>
      </c>
      <c r="AU27" s="92">
        <v>156.31099585934027</v>
      </c>
      <c r="AV27" s="92">
        <v>0</v>
      </c>
      <c r="AW27" s="92">
        <v>0</v>
      </c>
      <c r="AX27" s="92">
        <v>0</v>
      </c>
      <c r="AY27" s="92">
        <v>0</v>
      </c>
      <c r="AZ27" s="92">
        <v>0</v>
      </c>
      <c r="BA27" s="92">
        <v>0</v>
      </c>
      <c r="BB27" s="92">
        <v>0</v>
      </c>
      <c r="BC27" s="92">
        <v>759.27847515604185</v>
      </c>
    </row>
    <row r="28" spans="1:56">
      <c r="A28" s="99" t="s">
        <v>31</v>
      </c>
      <c r="B28" s="99" t="s">
        <v>85</v>
      </c>
      <c r="C28" s="92">
        <v>0</v>
      </c>
      <c r="D28" s="92">
        <v>0</v>
      </c>
      <c r="E28" s="92">
        <v>0</v>
      </c>
      <c r="F28" s="92">
        <v>0</v>
      </c>
      <c r="G28" s="92">
        <v>0</v>
      </c>
      <c r="H28" s="92">
        <v>0</v>
      </c>
      <c r="I28" s="92">
        <v>0</v>
      </c>
      <c r="J28" s="92">
        <v>0</v>
      </c>
      <c r="K28" s="92">
        <v>0</v>
      </c>
      <c r="L28" s="92">
        <v>0</v>
      </c>
      <c r="M28" s="92">
        <v>0</v>
      </c>
      <c r="N28" s="92">
        <v>0</v>
      </c>
      <c r="O28" s="92">
        <v>0</v>
      </c>
      <c r="P28" s="92">
        <v>0</v>
      </c>
      <c r="Q28" s="92">
        <v>0</v>
      </c>
      <c r="R28" s="92">
        <v>0</v>
      </c>
      <c r="S28" s="92">
        <v>0</v>
      </c>
      <c r="T28" s="92">
        <v>0</v>
      </c>
      <c r="U28" s="92">
        <v>0</v>
      </c>
      <c r="V28" s="92">
        <v>0</v>
      </c>
      <c r="W28" s="92">
        <v>0</v>
      </c>
      <c r="X28" s="92">
        <v>0</v>
      </c>
      <c r="Y28" s="92">
        <v>0</v>
      </c>
      <c r="Z28" s="92">
        <v>0</v>
      </c>
      <c r="AA28" s="92">
        <v>0</v>
      </c>
      <c r="AB28" s="92">
        <v>0</v>
      </c>
      <c r="AC28" s="92">
        <v>0</v>
      </c>
      <c r="AD28" s="92">
        <v>0</v>
      </c>
      <c r="AE28" s="92">
        <v>0</v>
      </c>
      <c r="AF28" s="92">
        <v>0</v>
      </c>
      <c r="AG28" s="92">
        <v>0</v>
      </c>
      <c r="AH28" s="92">
        <v>0</v>
      </c>
      <c r="AI28" s="92">
        <v>0</v>
      </c>
      <c r="AJ28" s="92">
        <v>0</v>
      </c>
      <c r="AK28" s="92">
        <v>0</v>
      </c>
      <c r="AL28" s="92">
        <v>0</v>
      </c>
      <c r="AM28" s="92">
        <v>0</v>
      </c>
      <c r="AN28" s="92">
        <v>0</v>
      </c>
      <c r="AO28" s="92">
        <v>0</v>
      </c>
      <c r="AP28" s="92">
        <v>0</v>
      </c>
      <c r="AQ28" s="92">
        <v>0</v>
      </c>
      <c r="AR28" s="92">
        <v>0</v>
      </c>
      <c r="AS28" s="92">
        <v>0</v>
      </c>
      <c r="AT28" s="92">
        <v>0</v>
      </c>
      <c r="AU28" s="92">
        <v>0</v>
      </c>
      <c r="AV28" s="92">
        <v>0</v>
      </c>
      <c r="AW28" s="92">
        <v>0</v>
      </c>
      <c r="AX28" s="92">
        <v>0</v>
      </c>
      <c r="AY28" s="92">
        <v>0</v>
      </c>
      <c r="AZ28" s="92">
        <v>0</v>
      </c>
      <c r="BA28" s="92">
        <v>0</v>
      </c>
      <c r="BB28" s="92">
        <v>0</v>
      </c>
      <c r="BC28" s="92">
        <v>0</v>
      </c>
    </row>
    <row r="29" spans="1:56">
      <c r="A29" s="100" t="s">
        <v>73</v>
      </c>
      <c r="B29" s="99" t="s">
        <v>85</v>
      </c>
      <c r="C29" s="99">
        <v>4818</v>
      </c>
      <c r="D29" s="92">
        <v>192</v>
      </c>
      <c r="E29" s="92">
        <v>656</v>
      </c>
      <c r="F29" s="92">
        <v>974</v>
      </c>
      <c r="G29" s="92">
        <v>685</v>
      </c>
      <c r="H29" s="92">
        <v>847.06220671308211</v>
      </c>
      <c r="I29" s="92">
        <v>620.58598328178925</v>
      </c>
      <c r="J29" s="92">
        <v>984.1917151362461</v>
      </c>
      <c r="K29" s="92">
        <v>1285.7656925561892</v>
      </c>
      <c r="L29" s="92">
        <v>814.24491396255974</v>
      </c>
      <c r="M29" s="92">
        <v>809.8892452344636</v>
      </c>
      <c r="N29" s="92">
        <v>826.98889256539474</v>
      </c>
      <c r="O29" s="92">
        <v>825.10802001581305</v>
      </c>
      <c r="P29" s="92">
        <v>9520.8366694655379</v>
      </c>
      <c r="Q29" s="92">
        <v>677.90821221684519</v>
      </c>
      <c r="R29" s="92">
        <v>450.65640983262278</v>
      </c>
      <c r="S29" s="92">
        <v>298.69536026013537</v>
      </c>
      <c r="T29" s="92">
        <v>193.85211284770619</v>
      </c>
      <c r="U29" s="92">
        <v>126.96120245032265</v>
      </c>
      <c r="V29" s="92">
        <v>81.019360953364284</v>
      </c>
      <c r="W29" s="92">
        <v>81.160166851644007</v>
      </c>
      <c r="X29" s="92">
        <v>82.055820306671976</v>
      </c>
      <c r="Y29" s="92">
        <v>83.019308992476098</v>
      </c>
      <c r="Z29" s="92">
        <v>83.527619063517278</v>
      </c>
      <c r="AA29" s="92">
        <v>84.35591633488761</v>
      </c>
      <c r="AB29" s="92">
        <v>84.759529288850345</v>
      </c>
      <c r="AC29" s="92">
        <v>2327.9710193990441</v>
      </c>
      <c r="AD29" s="92">
        <v>85.361778105655247</v>
      </c>
      <c r="AE29" s="92">
        <v>73.334065050142726</v>
      </c>
      <c r="AF29" s="92">
        <v>46.249549781530469</v>
      </c>
      <c r="AG29" s="92">
        <v>27.717462009889577</v>
      </c>
      <c r="AH29" s="92">
        <v>15.739745141087409</v>
      </c>
      <c r="AI29" s="92">
        <v>7.4977602965999983</v>
      </c>
      <c r="AJ29" s="92">
        <v>1.869593634682531</v>
      </c>
      <c r="AK29" s="92">
        <v>0</v>
      </c>
      <c r="AL29" s="92">
        <v>0</v>
      </c>
      <c r="AM29" s="92">
        <v>0</v>
      </c>
      <c r="AN29" s="92">
        <v>0</v>
      </c>
      <c r="AO29" s="92">
        <v>0</v>
      </c>
      <c r="AP29" s="92">
        <v>257.769954019588</v>
      </c>
      <c r="AQ29" s="92">
        <v>0</v>
      </c>
      <c r="AR29" s="92">
        <v>0</v>
      </c>
      <c r="AS29" s="92">
        <v>0</v>
      </c>
      <c r="AT29" s="92">
        <v>0</v>
      </c>
      <c r="AU29" s="92">
        <v>0</v>
      </c>
      <c r="AV29" s="92">
        <v>0</v>
      </c>
      <c r="AW29" s="92">
        <v>0</v>
      </c>
      <c r="AX29" s="92">
        <v>0</v>
      </c>
      <c r="AY29" s="92">
        <v>0</v>
      </c>
      <c r="AZ29" s="92">
        <v>0</v>
      </c>
      <c r="BA29" s="92">
        <v>0</v>
      </c>
      <c r="BB29" s="92">
        <v>0</v>
      </c>
      <c r="BC29" s="92">
        <v>0</v>
      </c>
    </row>
    <row r="30" spans="1:56">
      <c r="A30" s="100" t="s">
        <v>112</v>
      </c>
      <c r="B30" s="99" t="s">
        <v>85</v>
      </c>
      <c r="C30" s="92">
        <v>0</v>
      </c>
      <c r="D30" s="92">
        <v>0</v>
      </c>
      <c r="E30" s="92">
        <v>0</v>
      </c>
      <c r="F30" s="92">
        <v>0</v>
      </c>
      <c r="G30" s="92">
        <v>0</v>
      </c>
      <c r="H30" s="92">
        <v>0</v>
      </c>
      <c r="I30" s="92">
        <v>0</v>
      </c>
      <c r="J30" s="92">
        <v>0</v>
      </c>
      <c r="K30" s="92">
        <v>0</v>
      </c>
      <c r="L30" s="92">
        <v>0</v>
      </c>
      <c r="M30" s="92">
        <v>0</v>
      </c>
      <c r="N30" s="92">
        <v>0</v>
      </c>
      <c r="O30" s="92">
        <v>0</v>
      </c>
      <c r="P30" s="92">
        <v>0</v>
      </c>
      <c r="Q30" s="92">
        <v>741.84337500000004</v>
      </c>
      <c r="R30" s="92">
        <v>512.6062162075998</v>
      </c>
      <c r="S30" s="92">
        <v>450.48412500000001</v>
      </c>
      <c r="T30" s="92">
        <v>725.66812500000003</v>
      </c>
      <c r="U30" s="92">
        <v>824.13510526513858</v>
      </c>
      <c r="V30" s="92">
        <v>632.02912500000002</v>
      </c>
      <c r="W30" s="92">
        <v>774.50100000000009</v>
      </c>
      <c r="X30" s="92">
        <v>848.65788276004787</v>
      </c>
      <c r="Y30" s="92">
        <v>653.76675</v>
      </c>
      <c r="Z30" s="92">
        <v>764.229375</v>
      </c>
      <c r="AA30" s="92">
        <v>893.93850000000009</v>
      </c>
      <c r="AB30" s="92">
        <v>825.72262500000011</v>
      </c>
      <c r="AC30" s="92">
        <v>8647.5822042327854</v>
      </c>
      <c r="AD30" s="92">
        <v>768.25612500000011</v>
      </c>
      <c r="AE30" s="92">
        <v>776.49488096235359</v>
      </c>
      <c r="AF30" s="92">
        <v>645.13312500000006</v>
      </c>
      <c r="AG30" s="92">
        <v>546.71662500000002</v>
      </c>
      <c r="AH30" s="92">
        <v>487.81614534910801</v>
      </c>
      <c r="AI30" s="92">
        <v>444.99</v>
      </c>
      <c r="AJ30" s="92">
        <v>413.35612500000002</v>
      </c>
      <c r="AK30" s="92">
        <v>395.24897225461274</v>
      </c>
      <c r="AL30" s="92">
        <v>403.15275000000003</v>
      </c>
      <c r="AM30" s="92">
        <v>408.71512500000006</v>
      </c>
      <c r="AN30" s="92">
        <v>416.03651295401744</v>
      </c>
      <c r="AO30" s="92">
        <v>421.10250000000002</v>
      </c>
      <c r="AP30" s="92">
        <v>6127.0188865200926</v>
      </c>
      <c r="AQ30" s="92">
        <v>421.78500000000003</v>
      </c>
      <c r="AR30" s="92">
        <v>439.87125000000003</v>
      </c>
      <c r="AS30" s="92">
        <v>442.26000000000005</v>
      </c>
      <c r="AT30" s="92">
        <v>455.11375000000118</v>
      </c>
      <c r="AU30" s="92">
        <v>465.35125000000119</v>
      </c>
      <c r="AV30" s="92">
        <v>0</v>
      </c>
      <c r="AW30" s="92">
        <v>0</v>
      </c>
      <c r="AX30" s="92">
        <v>0</v>
      </c>
      <c r="AY30" s="92">
        <v>0</v>
      </c>
      <c r="AZ30" s="92">
        <v>0</v>
      </c>
      <c r="BA30" s="92">
        <v>0</v>
      </c>
      <c r="BB30" s="92">
        <v>0</v>
      </c>
      <c r="BC30" s="92">
        <v>2224.3812500000022</v>
      </c>
    </row>
    <row r="31" spans="1:56">
      <c r="A31" s="100" t="s">
        <v>113</v>
      </c>
      <c r="B31" s="99" t="s">
        <v>85</v>
      </c>
      <c r="C31" s="92">
        <v>0</v>
      </c>
      <c r="D31" s="92">
        <v>0</v>
      </c>
      <c r="E31" s="92">
        <v>0</v>
      </c>
      <c r="F31" s="92">
        <v>0</v>
      </c>
      <c r="G31" s="92">
        <v>0</v>
      </c>
      <c r="H31" s="92">
        <v>0</v>
      </c>
      <c r="I31" s="92">
        <v>0</v>
      </c>
      <c r="J31" s="92">
        <v>0</v>
      </c>
      <c r="K31" s="92">
        <v>0</v>
      </c>
      <c r="L31" s="92">
        <v>0</v>
      </c>
      <c r="M31" s="92">
        <v>0</v>
      </c>
      <c r="N31" s="92">
        <v>0</v>
      </c>
      <c r="O31" s="92">
        <v>0</v>
      </c>
      <c r="P31" s="92">
        <v>0</v>
      </c>
      <c r="Q31" s="92">
        <v>0</v>
      </c>
      <c r="R31" s="92">
        <v>0</v>
      </c>
      <c r="S31" s="92">
        <v>0</v>
      </c>
      <c r="T31" s="92">
        <v>0</v>
      </c>
      <c r="U31" s="92">
        <v>0</v>
      </c>
      <c r="V31" s="92">
        <v>0</v>
      </c>
      <c r="W31" s="92">
        <v>0</v>
      </c>
      <c r="X31" s="92">
        <v>0</v>
      </c>
      <c r="Y31" s="92">
        <v>0</v>
      </c>
      <c r="Z31" s="92">
        <v>0</v>
      </c>
      <c r="AA31" s="92">
        <v>0</v>
      </c>
      <c r="AB31" s="92">
        <v>0</v>
      </c>
      <c r="AC31" s="92">
        <v>0</v>
      </c>
      <c r="AD31" s="92">
        <v>0</v>
      </c>
      <c r="AE31" s="92">
        <v>0</v>
      </c>
      <c r="AF31" s="92">
        <v>0</v>
      </c>
      <c r="AG31" s="92">
        <v>0</v>
      </c>
      <c r="AH31" s="92">
        <v>0</v>
      </c>
      <c r="AI31" s="92">
        <v>0</v>
      </c>
      <c r="AJ31" s="92">
        <v>0</v>
      </c>
      <c r="AK31" s="92">
        <v>0</v>
      </c>
      <c r="AL31" s="92">
        <v>0</v>
      </c>
      <c r="AM31" s="92">
        <v>0</v>
      </c>
      <c r="AN31" s="92">
        <v>0</v>
      </c>
      <c r="AO31" s="92">
        <v>0</v>
      </c>
      <c r="AP31" s="92">
        <v>0</v>
      </c>
      <c r="AQ31" s="92">
        <v>0</v>
      </c>
      <c r="AR31" s="92">
        <v>0</v>
      </c>
      <c r="AS31" s="92">
        <v>0</v>
      </c>
      <c r="AT31" s="92">
        <v>0</v>
      </c>
      <c r="AU31" s="92">
        <v>0</v>
      </c>
      <c r="AV31" s="92">
        <v>0</v>
      </c>
      <c r="AW31" s="92">
        <v>0</v>
      </c>
      <c r="AX31" s="92">
        <v>0</v>
      </c>
      <c r="AY31" s="92">
        <v>0</v>
      </c>
      <c r="AZ31" s="92">
        <v>0</v>
      </c>
      <c r="BA31" s="92">
        <v>0</v>
      </c>
      <c r="BB31" s="92">
        <v>0</v>
      </c>
      <c r="BC31" s="92">
        <v>0</v>
      </c>
    </row>
    <row r="32" spans="1:56">
      <c r="A32" s="100" t="s">
        <v>74</v>
      </c>
      <c r="B32" s="99" t="s">
        <v>85</v>
      </c>
      <c r="C32" s="99">
        <v>11828</v>
      </c>
      <c r="D32" s="92">
        <v>1308</v>
      </c>
      <c r="E32" s="92">
        <v>4747</v>
      </c>
      <c r="F32" s="92">
        <v>4195</v>
      </c>
      <c r="G32" s="92">
        <v>3533</v>
      </c>
      <c r="H32" s="92">
        <v>1318.1036597895741</v>
      </c>
      <c r="I32" s="92">
        <v>1009.3280504460315</v>
      </c>
      <c r="J32" s="92">
        <v>881.34637500000008</v>
      </c>
      <c r="K32" s="92">
        <v>1217.136375</v>
      </c>
      <c r="L32" s="92">
        <v>873.36112500000013</v>
      </c>
      <c r="M32" s="92">
        <v>909.46898822646631</v>
      </c>
      <c r="N32" s="92">
        <v>1454.4813841844741</v>
      </c>
      <c r="O32" s="92">
        <v>1163.0127637173075</v>
      </c>
      <c r="P32" s="92">
        <v>22609.238721363854</v>
      </c>
      <c r="Q32" s="92">
        <v>1213.450875</v>
      </c>
      <c r="R32" s="92">
        <v>1708.2292500000001</v>
      </c>
      <c r="S32" s="92">
        <v>404.79075</v>
      </c>
      <c r="T32" s="92">
        <v>245.49525</v>
      </c>
      <c r="U32" s="92">
        <v>428.43937500000004</v>
      </c>
      <c r="V32" s="92">
        <v>270.16762499999999</v>
      </c>
      <c r="W32" s="92">
        <v>286.54762500000004</v>
      </c>
      <c r="X32" s="92">
        <v>384.41812500000003</v>
      </c>
      <c r="Y32" s="92">
        <v>276.822</v>
      </c>
      <c r="Z32" s="92">
        <v>271.19137499999999</v>
      </c>
      <c r="AA32" s="92">
        <v>240.47887500000002</v>
      </c>
      <c r="AB32" s="92">
        <v>82.411875000000009</v>
      </c>
      <c r="AC32" s="92">
        <v>5812.4430000000002</v>
      </c>
      <c r="AD32" s="92">
        <v>76.781250000000014</v>
      </c>
      <c r="AE32" s="92">
        <v>99.610875000000007</v>
      </c>
      <c r="AF32" s="92">
        <v>64.393875000000008</v>
      </c>
      <c r="AG32" s="92">
        <v>63.882000000000005</v>
      </c>
      <c r="AH32" s="92">
        <v>102.78450000000001</v>
      </c>
      <c r="AI32" s="92">
        <v>69.205500000000001</v>
      </c>
      <c r="AJ32" s="92">
        <v>75.143249999999995</v>
      </c>
      <c r="AK32" s="92">
        <v>108.108</v>
      </c>
      <c r="AL32" s="92">
        <v>69.512625000000014</v>
      </c>
      <c r="AM32" s="92">
        <v>72.379125000000016</v>
      </c>
      <c r="AN32" s="92">
        <v>125.20462500000001</v>
      </c>
      <c r="AO32" s="92">
        <v>69.410250000000005</v>
      </c>
      <c r="AP32" s="92">
        <v>996.41587500000003</v>
      </c>
      <c r="AQ32" s="92">
        <v>90.704250000000002</v>
      </c>
      <c r="AR32" s="92">
        <v>101.76075</v>
      </c>
      <c r="AS32" s="92">
        <v>87.530625000000015</v>
      </c>
      <c r="AT32" s="92">
        <v>97.870499999999993</v>
      </c>
      <c r="AU32" s="92">
        <v>91.830374999999918</v>
      </c>
      <c r="AV32" s="92">
        <v>0</v>
      </c>
      <c r="AW32" s="92">
        <v>0</v>
      </c>
      <c r="AX32" s="92">
        <v>0</v>
      </c>
      <c r="AY32" s="92">
        <v>0</v>
      </c>
      <c r="AZ32" s="92">
        <v>0</v>
      </c>
      <c r="BA32" s="92">
        <v>0</v>
      </c>
      <c r="BB32" s="92">
        <v>0</v>
      </c>
      <c r="BC32" s="92">
        <v>469.6964999999999</v>
      </c>
    </row>
    <row r="33" spans="1:56">
      <c r="A33" s="100" t="s">
        <v>114</v>
      </c>
      <c r="B33" s="99" t="s">
        <v>85</v>
      </c>
      <c r="C33" s="92">
        <v>0</v>
      </c>
      <c r="D33" s="92">
        <v>0</v>
      </c>
      <c r="E33" s="92">
        <v>0</v>
      </c>
      <c r="F33" s="92">
        <v>0</v>
      </c>
      <c r="G33" s="92">
        <v>0</v>
      </c>
      <c r="H33" s="92">
        <v>0</v>
      </c>
      <c r="I33" s="92">
        <v>0</v>
      </c>
      <c r="J33" s="92">
        <v>0</v>
      </c>
      <c r="K33" s="92">
        <v>0</v>
      </c>
      <c r="L33" s="92">
        <v>0</v>
      </c>
      <c r="M33" s="92">
        <v>0</v>
      </c>
      <c r="N33" s="92">
        <v>0</v>
      </c>
      <c r="O33" s="92">
        <v>0</v>
      </c>
      <c r="P33" s="92">
        <v>0</v>
      </c>
      <c r="Q33" s="92">
        <v>0</v>
      </c>
      <c r="R33" s="92">
        <v>0</v>
      </c>
      <c r="S33" s="92">
        <v>0</v>
      </c>
      <c r="T33" s="92">
        <v>0</v>
      </c>
      <c r="U33" s="92">
        <v>0</v>
      </c>
      <c r="V33" s="92">
        <v>0</v>
      </c>
      <c r="W33" s="92">
        <v>0</v>
      </c>
      <c r="X33" s="92">
        <v>0</v>
      </c>
      <c r="Y33" s="92">
        <v>0</v>
      </c>
      <c r="Z33" s="92">
        <v>0</v>
      </c>
      <c r="AA33" s="92">
        <v>0</v>
      </c>
      <c r="AB33" s="92">
        <v>0</v>
      </c>
      <c r="AC33" s="92">
        <v>0</v>
      </c>
      <c r="AD33" s="92">
        <v>0</v>
      </c>
      <c r="AE33" s="92">
        <v>0</v>
      </c>
      <c r="AF33" s="92">
        <v>0</v>
      </c>
      <c r="AG33" s="92">
        <v>0</v>
      </c>
      <c r="AH33" s="92">
        <v>0</v>
      </c>
      <c r="AI33" s="92">
        <v>0</v>
      </c>
      <c r="AJ33" s="92">
        <v>0</v>
      </c>
      <c r="AK33" s="92">
        <v>0</v>
      </c>
      <c r="AL33" s="92">
        <v>0</v>
      </c>
      <c r="AM33" s="92">
        <v>0</v>
      </c>
      <c r="AN33" s="92">
        <v>0</v>
      </c>
      <c r="AO33" s="92">
        <v>0</v>
      </c>
      <c r="AP33" s="92">
        <v>0</v>
      </c>
      <c r="AQ33" s="92">
        <v>0</v>
      </c>
      <c r="AR33" s="92">
        <v>0</v>
      </c>
      <c r="AS33" s="92">
        <v>0</v>
      </c>
      <c r="AT33" s="92">
        <v>0</v>
      </c>
      <c r="AU33" s="92">
        <v>0</v>
      </c>
      <c r="AV33" s="92">
        <v>0</v>
      </c>
      <c r="AW33" s="92">
        <v>0</v>
      </c>
      <c r="AX33" s="92">
        <v>0</v>
      </c>
      <c r="AY33" s="92">
        <v>0</v>
      </c>
      <c r="AZ33" s="92">
        <v>0</v>
      </c>
      <c r="BA33" s="92">
        <v>0</v>
      </c>
      <c r="BB33" s="92">
        <v>0</v>
      </c>
      <c r="BC33" s="92">
        <v>0</v>
      </c>
    </row>
    <row r="34" spans="1:56">
      <c r="A34" s="100" t="s">
        <v>115</v>
      </c>
      <c r="B34" s="99" t="s">
        <v>85</v>
      </c>
      <c r="C34" s="92">
        <v>0</v>
      </c>
      <c r="D34" s="92">
        <v>0</v>
      </c>
      <c r="E34" s="92">
        <v>0</v>
      </c>
      <c r="F34" s="92">
        <v>0</v>
      </c>
      <c r="G34" s="92">
        <v>0</v>
      </c>
      <c r="H34" s="92">
        <v>0</v>
      </c>
      <c r="I34" s="92">
        <v>0</v>
      </c>
      <c r="J34" s="92">
        <v>0</v>
      </c>
      <c r="K34" s="92">
        <v>0</v>
      </c>
      <c r="L34" s="92">
        <v>0</v>
      </c>
      <c r="M34" s="92">
        <v>0</v>
      </c>
      <c r="N34" s="92">
        <v>0</v>
      </c>
      <c r="O34" s="92">
        <v>0</v>
      </c>
      <c r="P34" s="92">
        <v>0</v>
      </c>
      <c r="Q34" s="92">
        <v>0</v>
      </c>
      <c r="R34" s="92">
        <v>0</v>
      </c>
      <c r="S34" s="92">
        <v>0</v>
      </c>
      <c r="T34" s="92">
        <v>0</v>
      </c>
      <c r="U34" s="92">
        <v>0</v>
      </c>
      <c r="V34" s="92">
        <v>0</v>
      </c>
      <c r="W34" s="92">
        <v>37.298625000000001</v>
      </c>
      <c r="X34" s="92">
        <v>31.565625000000001</v>
      </c>
      <c r="Y34" s="92">
        <v>43.680000000000007</v>
      </c>
      <c r="Z34" s="92">
        <v>88.144875000000013</v>
      </c>
      <c r="AA34" s="92">
        <v>80.466750000000005</v>
      </c>
      <c r="AB34" s="92">
        <v>104.59312500000001</v>
      </c>
      <c r="AC34" s="92">
        <v>385.74900000000002</v>
      </c>
      <c r="AD34" s="92">
        <v>130.08450000000002</v>
      </c>
      <c r="AE34" s="92">
        <v>123.36187500000001</v>
      </c>
      <c r="AF34" s="92">
        <v>133.87237500000001</v>
      </c>
      <c r="AG34" s="92">
        <v>173.18437500000002</v>
      </c>
      <c r="AH34" s="92">
        <v>149.53575000000001</v>
      </c>
      <c r="AI34" s="92">
        <v>181.51087500000003</v>
      </c>
      <c r="AJ34" s="92">
        <v>205.05712500000001</v>
      </c>
      <c r="AK34" s="92">
        <v>149.22862500000002</v>
      </c>
      <c r="AL34" s="92">
        <v>175.231875</v>
      </c>
      <c r="AM34" s="92">
        <v>225.73687500000003</v>
      </c>
      <c r="AN34" s="92">
        <v>156.32662500000001</v>
      </c>
      <c r="AO34" s="92">
        <v>156.32662500000001</v>
      </c>
      <c r="AP34" s="92">
        <v>1959.4575</v>
      </c>
      <c r="AQ34" s="92">
        <v>156.32662500000001</v>
      </c>
      <c r="AR34" s="92">
        <v>176.05832045454559</v>
      </c>
      <c r="AS34" s="92">
        <v>177.18413522727286</v>
      </c>
      <c r="AT34" s="92">
        <v>178.30995000000021</v>
      </c>
      <c r="AU34" s="92">
        <v>188.73870511363685</v>
      </c>
      <c r="AV34" s="92">
        <v>0</v>
      </c>
      <c r="AW34" s="92">
        <v>0</v>
      </c>
      <c r="AX34" s="92">
        <v>0</v>
      </c>
      <c r="AY34" s="92">
        <v>0</v>
      </c>
      <c r="AZ34" s="92">
        <v>0</v>
      </c>
      <c r="BA34" s="92">
        <v>0</v>
      </c>
      <c r="BB34" s="92">
        <v>0</v>
      </c>
      <c r="BC34" s="92">
        <v>876.61773579545547</v>
      </c>
    </row>
    <row r="35" spans="1:56">
      <c r="A35" s="100" t="s">
        <v>116</v>
      </c>
      <c r="B35" s="99" t="s">
        <v>85</v>
      </c>
      <c r="C35" s="92">
        <v>0</v>
      </c>
      <c r="D35" s="92">
        <v>0</v>
      </c>
      <c r="E35" s="92">
        <v>0</v>
      </c>
      <c r="F35" s="92">
        <v>0</v>
      </c>
      <c r="G35" s="92">
        <v>0</v>
      </c>
      <c r="H35" s="92">
        <v>0</v>
      </c>
      <c r="I35" s="92">
        <v>0</v>
      </c>
      <c r="J35" s="92">
        <v>0</v>
      </c>
      <c r="K35" s="92">
        <v>0</v>
      </c>
      <c r="L35" s="92">
        <v>0</v>
      </c>
      <c r="M35" s="92">
        <v>0</v>
      </c>
      <c r="N35" s="92">
        <v>0</v>
      </c>
      <c r="O35" s="92">
        <v>0</v>
      </c>
      <c r="P35" s="92">
        <v>0</v>
      </c>
      <c r="Q35" s="92">
        <v>0</v>
      </c>
      <c r="R35" s="92">
        <v>0</v>
      </c>
      <c r="S35" s="92">
        <v>0</v>
      </c>
      <c r="T35" s="92">
        <v>0</v>
      </c>
      <c r="U35" s="92">
        <v>0</v>
      </c>
      <c r="V35" s="92">
        <v>0</v>
      </c>
      <c r="W35" s="92">
        <v>0</v>
      </c>
      <c r="X35" s="92">
        <v>0</v>
      </c>
      <c r="Y35" s="92">
        <v>0</v>
      </c>
      <c r="Z35" s="92">
        <v>0</v>
      </c>
      <c r="AA35" s="92">
        <v>0</v>
      </c>
      <c r="AB35" s="92">
        <v>0</v>
      </c>
      <c r="AC35" s="92">
        <v>0</v>
      </c>
      <c r="AD35" s="92">
        <v>0</v>
      </c>
      <c r="AE35" s="92">
        <v>0</v>
      </c>
      <c r="AF35" s="92">
        <v>0</v>
      </c>
      <c r="AG35" s="92">
        <v>0</v>
      </c>
      <c r="AH35" s="92">
        <v>0</v>
      </c>
      <c r="AI35" s="92">
        <v>0</v>
      </c>
      <c r="AJ35" s="92">
        <v>0</v>
      </c>
      <c r="AK35" s="92">
        <v>0</v>
      </c>
      <c r="AL35" s="92">
        <v>0</v>
      </c>
      <c r="AM35" s="92">
        <v>0</v>
      </c>
      <c r="AN35" s="92">
        <v>0</v>
      </c>
      <c r="AO35" s="92">
        <v>0</v>
      </c>
      <c r="AP35" s="92">
        <v>0</v>
      </c>
      <c r="AQ35" s="92">
        <v>0</v>
      </c>
      <c r="AR35" s="92">
        <v>0</v>
      </c>
      <c r="AS35" s="92">
        <v>0</v>
      </c>
      <c r="AT35" s="92">
        <v>0</v>
      </c>
      <c r="AU35" s="92">
        <v>0</v>
      </c>
      <c r="AV35" s="92">
        <v>0</v>
      </c>
      <c r="AW35" s="92">
        <v>0</v>
      </c>
      <c r="AX35" s="92">
        <v>0</v>
      </c>
      <c r="AY35" s="92">
        <v>0</v>
      </c>
      <c r="AZ35" s="92">
        <v>0</v>
      </c>
      <c r="BA35" s="92">
        <v>0</v>
      </c>
      <c r="BB35" s="92">
        <v>0</v>
      </c>
      <c r="BC35" s="92">
        <v>0</v>
      </c>
    </row>
    <row r="36" spans="1:56">
      <c r="A36" s="101" t="s">
        <v>129</v>
      </c>
      <c r="B36" s="99" t="s">
        <v>85</v>
      </c>
      <c r="C36" s="99">
        <v>46</v>
      </c>
      <c r="D36" s="92">
        <v>60</v>
      </c>
      <c r="E36" s="92">
        <v>129</v>
      </c>
      <c r="F36" s="92">
        <v>153</v>
      </c>
      <c r="G36" s="92">
        <v>200</v>
      </c>
      <c r="H36" s="92">
        <v>146.61422994796911</v>
      </c>
      <c r="I36" s="92">
        <v>117.41118545224835</v>
      </c>
      <c r="J36" s="92">
        <v>138.20625000000001</v>
      </c>
      <c r="K36" s="92">
        <v>126.70612500000001</v>
      </c>
      <c r="L36" s="92">
        <v>108.61987500000001</v>
      </c>
      <c r="M36" s="92">
        <v>158.49057934320061</v>
      </c>
      <c r="N36" s="92">
        <v>129.54779319771825</v>
      </c>
      <c r="O36" s="92">
        <v>119.58782402095183</v>
      </c>
      <c r="P36" s="92">
        <v>1587.1838619620883</v>
      </c>
      <c r="Q36" s="92">
        <v>159.46796437572004</v>
      </c>
      <c r="R36" s="92">
        <v>115.47900000000001</v>
      </c>
      <c r="S36" s="92">
        <v>111.45225000000001</v>
      </c>
      <c r="T36" s="92">
        <v>152.81358937572003</v>
      </c>
      <c r="U36" s="92">
        <v>122.91825000000001</v>
      </c>
      <c r="V36" s="92">
        <v>117.32175000000001</v>
      </c>
      <c r="W36" s="92">
        <v>146.94408937572004</v>
      </c>
      <c r="X36" s="92">
        <v>122.91825000000001</v>
      </c>
      <c r="Y36" s="92">
        <v>111.45225000000001</v>
      </c>
      <c r="Z36" s="92">
        <v>158.95608937572004</v>
      </c>
      <c r="AA36" s="92">
        <v>116.77575</v>
      </c>
      <c r="AB36" s="92">
        <v>129.06075000000001</v>
      </c>
      <c r="AC36" s="92">
        <v>1565.5599825028803</v>
      </c>
      <c r="AD36" s="92">
        <v>129.06258937572002</v>
      </c>
      <c r="AE36" s="92">
        <v>129.06075000000001</v>
      </c>
      <c r="AF36" s="92">
        <v>129.06075000000001</v>
      </c>
      <c r="AG36" s="92">
        <v>129.06258937572002</v>
      </c>
      <c r="AH36" s="92">
        <v>129.06075000000001</v>
      </c>
      <c r="AI36" s="92">
        <v>129.06075000000001</v>
      </c>
      <c r="AJ36" s="92">
        <v>129.06258937572002</v>
      </c>
      <c r="AK36" s="92">
        <v>129.06075000000001</v>
      </c>
      <c r="AL36" s="92">
        <v>129.06075000000001</v>
      </c>
      <c r="AM36" s="92">
        <v>129.06258937572002</v>
      </c>
      <c r="AN36" s="92">
        <v>129.06075000000001</v>
      </c>
      <c r="AO36" s="92">
        <v>129.06075000000001</v>
      </c>
      <c r="AP36" s="92">
        <v>1548.7363575028803</v>
      </c>
      <c r="AQ36" s="92">
        <v>129.06258937572002</v>
      </c>
      <c r="AR36" s="92">
        <v>129.06075000000001</v>
      </c>
      <c r="AS36" s="92">
        <v>129.06075000000001</v>
      </c>
      <c r="AT36" s="92">
        <v>130.52812500000002</v>
      </c>
      <c r="AU36" s="92">
        <v>135.14865</v>
      </c>
      <c r="AV36" s="92">
        <v>0</v>
      </c>
      <c r="AW36" s="92">
        <v>0</v>
      </c>
      <c r="AX36" s="92">
        <v>0</v>
      </c>
      <c r="AY36" s="92">
        <v>0</v>
      </c>
      <c r="AZ36" s="92">
        <v>0</v>
      </c>
      <c r="BA36" s="92">
        <v>0</v>
      </c>
      <c r="BB36" s="92">
        <v>0</v>
      </c>
      <c r="BC36" s="92">
        <v>652.8608643757201</v>
      </c>
    </row>
    <row r="37" spans="1:56">
      <c r="A37" s="101" t="s">
        <v>132</v>
      </c>
      <c r="B37" s="99" t="s">
        <v>85</v>
      </c>
      <c r="C37" s="92">
        <v>0</v>
      </c>
      <c r="D37" s="92">
        <v>0</v>
      </c>
      <c r="E37" s="92">
        <v>0</v>
      </c>
      <c r="F37" s="92">
        <v>0</v>
      </c>
      <c r="G37" s="92">
        <v>0</v>
      </c>
      <c r="H37" s="92">
        <v>0</v>
      </c>
      <c r="I37" s="92">
        <v>0</v>
      </c>
      <c r="J37" s="92">
        <v>0</v>
      </c>
      <c r="K37" s="92">
        <v>0</v>
      </c>
      <c r="L37" s="92">
        <v>0</v>
      </c>
      <c r="M37" s="92">
        <v>0</v>
      </c>
      <c r="N37" s="92">
        <v>0</v>
      </c>
      <c r="O37" s="92">
        <v>0</v>
      </c>
      <c r="P37" s="92">
        <v>0</v>
      </c>
      <c r="Q37" s="92">
        <v>0</v>
      </c>
      <c r="R37" s="92">
        <v>0</v>
      </c>
      <c r="S37" s="92">
        <v>0</v>
      </c>
      <c r="T37" s="92">
        <v>0</v>
      </c>
      <c r="U37" s="92">
        <v>0</v>
      </c>
      <c r="V37" s="92">
        <v>0</v>
      </c>
      <c r="W37" s="92">
        <v>0</v>
      </c>
      <c r="X37" s="92">
        <v>0</v>
      </c>
      <c r="Y37" s="92">
        <v>0</v>
      </c>
      <c r="Z37" s="92">
        <v>0</v>
      </c>
      <c r="AA37" s="92">
        <v>0</v>
      </c>
      <c r="AB37" s="92">
        <v>0</v>
      </c>
      <c r="AC37" s="92">
        <v>0</v>
      </c>
      <c r="AD37" s="92">
        <v>3000</v>
      </c>
      <c r="AE37" s="92">
        <v>3000</v>
      </c>
      <c r="AF37" s="92">
        <v>3000</v>
      </c>
      <c r="AG37" s="92">
        <v>3000</v>
      </c>
      <c r="AH37" s="92">
        <v>3000</v>
      </c>
      <c r="AI37" s="92">
        <v>3000</v>
      </c>
      <c r="AJ37" s="92">
        <v>3000</v>
      </c>
      <c r="AK37" s="92">
        <v>3000</v>
      </c>
      <c r="AL37" s="92">
        <v>3000</v>
      </c>
      <c r="AM37" s="92">
        <v>3000</v>
      </c>
      <c r="AN37" s="92">
        <v>3000</v>
      </c>
      <c r="AO37" s="92">
        <v>3000</v>
      </c>
      <c r="AP37" s="92">
        <v>36000</v>
      </c>
      <c r="AQ37" s="92">
        <v>3500</v>
      </c>
      <c r="AR37" s="92">
        <v>3500</v>
      </c>
      <c r="AS37" s="92">
        <v>3500</v>
      </c>
      <c r="AT37" s="92">
        <v>3500</v>
      </c>
      <c r="AU37" s="92">
        <v>3500</v>
      </c>
      <c r="AV37" s="92">
        <v>3500</v>
      </c>
      <c r="AW37" s="92">
        <v>3500</v>
      </c>
      <c r="AX37" s="92">
        <v>3500</v>
      </c>
      <c r="AY37" s="92">
        <v>3500</v>
      </c>
      <c r="AZ37" s="92">
        <v>3500</v>
      </c>
      <c r="BA37" s="92">
        <v>3500</v>
      </c>
      <c r="BB37" s="92">
        <v>3500</v>
      </c>
      <c r="BC37" s="92">
        <v>42000</v>
      </c>
    </row>
    <row r="38" spans="1:56">
      <c r="A38" s="99" t="s">
        <v>145</v>
      </c>
      <c r="B38" s="99" t="s">
        <v>85</v>
      </c>
      <c r="C38" s="92">
        <v>0</v>
      </c>
      <c r="D38" s="92">
        <v>0</v>
      </c>
      <c r="E38" s="92">
        <v>0</v>
      </c>
      <c r="F38" s="92">
        <v>0</v>
      </c>
      <c r="G38" s="92">
        <v>-8000</v>
      </c>
      <c r="H38" s="92">
        <v>330</v>
      </c>
      <c r="I38" s="92">
        <v>275</v>
      </c>
      <c r="J38" s="92">
        <v>250</v>
      </c>
      <c r="K38" s="92">
        <v>250</v>
      </c>
      <c r="L38" s="92">
        <v>250</v>
      </c>
      <c r="M38" s="92">
        <v>250</v>
      </c>
      <c r="N38" s="92">
        <v>250</v>
      </c>
      <c r="O38" s="92">
        <v>250</v>
      </c>
      <c r="P38" s="92">
        <v>-5895</v>
      </c>
      <c r="Q38" s="92">
        <v>500</v>
      </c>
      <c r="R38" s="92">
        <v>500</v>
      </c>
      <c r="S38" s="92">
        <v>500</v>
      </c>
      <c r="T38" s="92">
        <v>500</v>
      </c>
      <c r="U38" s="92">
        <v>500</v>
      </c>
      <c r="V38" s="92">
        <v>500</v>
      </c>
      <c r="W38" s="92">
        <v>500</v>
      </c>
      <c r="X38" s="92">
        <v>500</v>
      </c>
      <c r="Y38" s="92">
        <v>500</v>
      </c>
      <c r="Z38" s="92">
        <v>500</v>
      </c>
      <c r="AA38" s="92">
        <v>500</v>
      </c>
      <c r="AB38" s="92">
        <v>500</v>
      </c>
      <c r="AC38" s="92">
        <v>6000</v>
      </c>
      <c r="AD38" s="92">
        <v>0</v>
      </c>
      <c r="AE38" s="92">
        <v>0</v>
      </c>
      <c r="AF38" s="92">
        <v>0</v>
      </c>
      <c r="AG38" s="92">
        <v>0</v>
      </c>
      <c r="AH38" s="92">
        <v>0</v>
      </c>
      <c r="AI38" s="92">
        <v>0</v>
      </c>
      <c r="AJ38" s="92">
        <v>0</v>
      </c>
      <c r="AK38" s="92">
        <v>0</v>
      </c>
      <c r="AL38" s="92">
        <v>0</v>
      </c>
      <c r="AM38" s="92">
        <v>0</v>
      </c>
      <c r="AN38" s="92">
        <v>0</v>
      </c>
      <c r="AO38" s="92">
        <v>0</v>
      </c>
      <c r="AP38" s="92">
        <v>0</v>
      </c>
      <c r="AQ38" s="92">
        <v>0</v>
      </c>
      <c r="AR38" s="92">
        <v>0</v>
      </c>
      <c r="AS38" s="92">
        <v>0</v>
      </c>
      <c r="AT38" s="92">
        <v>0</v>
      </c>
      <c r="AU38" s="92">
        <v>0</v>
      </c>
      <c r="AV38" s="92">
        <v>0</v>
      </c>
      <c r="AW38" s="92">
        <v>0</v>
      </c>
      <c r="AX38" s="92">
        <v>0</v>
      </c>
      <c r="AY38" s="92">
        <v>0</v>
      </c>
      <c r="AZ38" s="92">
        <v>0</v>
      </c>
      <c r="BA38" s="92">
        <v>0</v>
      </c>
      <c r="BB38" s="92">
        <v>0</v>
      </c>
      <c r="BC38" s="92">
        <v>0</v>
      </c>
    </row>
    <row r="39" spans="1:56">
      <c r="A39" s="99" t="s">
        <v>140</v>
      </c>
      <c r="B39" s="99" t="s">
        <v>85</v>
      </c>
      <c r="C39" s="92">
        <v>0</v>
      </c>
      <c r="D39" s="92">
        <v>0</v>
      </c>
      <c r="E39" s="92">
        <v>0</v>
      </c>
      <c r="F39" s="92">
        <v>21324.15</v>
      </c>
      <c r="G39" s="92">
        <v>0</v>
      </c>
      <c r="H39" s="92">
        <v>0</v>
      </c>
      <c r="I39" s="92">
        <v>0</v>
      </c>
      <c r="J39" s="92">
        <v>0</v>
      </c>
      <c r="K39" s="92">
        <v>0</v>
      </c>
      <c r="L39" s="92">
        <v>0</v>
      </c>
      <c r="M39" s="92">
        <v>0</v>
      </c>
      <c r="N39" s="92">
        <v>0</v>
      </c>
      <c r="O39" s="92">
        <v>0</v>
      </c>
      <c r="P39" s="92">
        <v>21324.15</v>
      </c>
      <c r="Q39" s="92">
        <v>0</v>
      </c>
      <c r="R39" s="92">
        <v>0</v>
      </c>
      <c r="S39" s="92">
        <v>0</v>
      </c>
      <c r="T39" s="92">
        <v>0</v>
      </c>
      <c r="U39" s="92">
        <v>0</v>
      </c>
      <c r="V39" s="92">
        <v>0</v>
      </c>
      <c r="W39" s="92">
        <v>0</v>
      </c>
      <c r="X39" s="92">
        <v>0</v>
      </c>
      <c r="Y39" s="92">
        <v>0</v>
      </c>
      <c r="Z39" s="92">
        <v>0</v>
      </c>
      <c r="AA39" s="92">
        <v>0</v>
      </c>
      <c r="AB39" s="92">
        <v>0</v>
      </c>
      <c r="AC39" s="92">
        <v>0</v>
      </c>
      <c r="AD39" s="92">
        <v>0</v>
      </c>
      <c r="AE39" s="92">
        <v>0</v>
      </c>
      <c r="AF39" s="92">
        <v>0</v>
      </c>
      <c r="AG39" s="92">
        <v>0</v>
      </c>
      <c r="AH39" s="92">
        <v>0</v>
      </c>
      <c r="AI39" s="92">
        <v>0</v>
      </c>
      <c r="AJ39" s="92">
        <v>0</v>
      </c>
      <c r="AK39" s="92">
        <v>0</v>
      </c>
      <c r="AL39" s="92">
        <v>0</v>
      </c>
      <c r="AM39" s="92">
        <v>0</v>
      </c>
      <c r="AN39" s="92">
        <v>0</v>
      </c>
      <c r="AO39" s="92">
        <v>0</v>
      </c>
      <c r="AP39" s="92">
        <v>0</v>
      </c>
      <c r="AQ39" s="92">
        <v>0</v>
      </c>
      <c r="AR39" s="92">
        <v>0</v>
      </c>
      <c r="AS39" s="92">
        <v>0</v>
      </c>
      <c r="AT39" s="92">
        <v>0</v>
      </c>
      <c r="AU39" s="92">
        <v>0</v>
      </c>
      <c r="AV39" s="92">
        <v>0</v>
      </c>
      <c r="AW39" s="92">
        <v>0</v>
      </c>
      <c r="AX39" s="92">
        <v>0</v>
      </c>
      <c r="AY39" s="92">
        <v>0</v>
      </c>
      <c r="AZ39" s="92">
        <v>0</v>
      </c>
      <c r="BA39" s="92">
        <v>0</v>
      </c>
      <c r="BB39" s="92">
        <v>0</v>
      </c>
      <c r="BC39" s="92">
        <v>0</v>
      </c>
    </row>
    <row r="40" spans="1:56">
      <c r="A40" s="99" t="s">
        <v>141</v>
      </c>
      <c r="B40" s="99" t="s">
        <v>85</v>
      </c>
      <c r="C40" s="92">
        <v>0</v>
      </c>
      <c r="D40" s="92">
        <v>0</v>
      </c>
      <c r="E40" s="92">
        <v>0</v>
      </c>
      <c r="F40" s="92">
        <v>0</v>
      </c>
      <c r="G40" s="92">
        <v>0</v>
      </c>
      <c r="H40" s="92">
        <v>0</v>
      </c>
      <c r="I40" s="92">
        <v>0</v>
      </c>
      <c r="J40" s="92">
        <v>0</v>
      </c>
      <c r="K40" s="92">
        <v>0</v>
      </c>
      <c r="L40" s="92">
        <v>0</v>
      </c>
      <c r="M40" s="92">
        <v>0</v>
      </c>
      <c r="N40" s="92">
        <v>0</v>
      </c>
      <c r="O40" s="92">
        <v>0</v>
      </c>
      <c r="P40" s="92">
        <v>0</v>
      </c>
      <c r="Q40" s="92">
        <v>0</v>
      </c>
      <c r="R40" s="92">
        <v>0</v>
      </c>
      <c r="S40" s="92">
        <v>0</v>
      </c>
      <c r="T40" s="92">
        <v>0</v>
      </c>
      <c r="U40" s="92">
        <v>0</v>
      </c>
      <c r="V40" s="92">
        <v>0</v>
      </c>
      <c r="W40" s="92">
        <v>0</v>
      </c>
      <c r="X40" s="92">
        <v>0</v>
      </c>
      <c r="Y40" s="92">
        <v>0</v>
      </c>
      <c r="Z40" s="92">
        <v>0</v>
      </c>
      <c r="AA40" s="92">
        <v>0</v>
      </c>
      <c r="AB40" s="92">
        <v>0</v>
      </c>
      <c r="AC40" s="92">
        <v>0</v>
      </c>
      <c r="AD40" s="92">
        <v>0</v>
      </c>
      <c r="AE40" s="92">
        <v>0</v>
      </c>
      <c r="AF40" s="92">
        <v>0</v>
      </c>
      <c r="AG40" s="92">
        <v>0</v>
      </c>
      <c r="AH40" s="92">
        <v>0</v>
      </c>
      <c r="AI40" s="92">
        <v>0</v>
      </c>
      <c r="AJ40" s="92">
        <v>0</v>
      </c>
      <c r="AK40" s="92">
        <v>0</v>
      </c>
      <c r="AL40" s="92">
        <v>0</v>
      </c>
      <c r="AM40" s="92">
        <v>0</v>
      </c>
      <c r="AN40" s="92">
        <v>0</v>
      </c>
      <c r="AO40" s="92">
        <v>0</v>
      </c>
      <c r="AP40" s="92">
        <v>0</v>
      </c>
      <c r="AQ40" s="92">
        <v>0</v>
      </c>
      <c r="AR40" s="92">
        <v>0</v>
      </c>
      <c r="AS40" s="92">
        <v>0</v>
      </c>
      <c r="AT40" s="92">
        <v>0</v>
      </c>
      <c r="AU40" s="92">
        <v>0</v>
      </c>
      <c r="AV40" s="92">
        <v>0</v>
      </c>
      <c r="AW40" s="92">
        <v>0</v>
      </c>
      <c r="AX40" s="92">
        <v>0</v>
      </c>
      <c r="AY40" s="92">
        <v>0</v>
      </c>
      <c r="AZ40" s="92">
        <v>0</v>
      </c>
      <c r="BA40" s="92">
        <v>0</v>
      </c>
      <c r="BB40" s="92">
        <v>0</v>
      </c>
      <c r="BC40" s="92">
        <v>0</v>
      </c>
    </row>
    <row r="41" spans="1:56">
      <c r="A41" s="102" t="s">
        <v>92</v>
      </c>
      <c r="B41" s="99" t="s">
        <v>85</v>
      </c>
      <c r="C41" s="92">
        <v>0</v>
      </c>
      <c r="D41" s="92">
        <v>0</v>
      </c>
      <c r="E41" s="92">
        <v>0</v>
      </c>
      <c r="F41" s="92">
        <v>0</v>
      </c>
      <c r="G41" s="92">
        <v>0</v>
      </c>
      <c r="H41" s="92">
        <v>0</v>
      </c>
      <c r="I41" s="92">
        <v>0</v>
      </c>
      <c r="J41" s="92">
        <v>0</v>
      </c>
      <c r="K41" s="92">
        <v>0</v>
      </c>
      <c r="L41" s="92">
        <v>0</v>
      </c>
      <c r="M41" s="92">
        <v>0</v>
      </c>
      <c r="N41" s="92">
        <v>0</v>
      </c>
      <c r="O41" s="92">
        <v>0</v>
      </c>
      <c r="P41" s="92">
        <v>0</v>
      </c>
      <c r="Q41" s="92">
        <v>0</v>
      </c>
      <c r="R41" s="92">
        <v>0</v>
      </c>
      <c r="S41" s="92">
        <v>0</v>
      </c>
      <c r="T41" s="92">
        <v>0</v>
      </c>
      <c r="U41" s="92">
        <v>0</v>
      </c>
      <c r="V41" s="92">
        <v>0</v>
      </c>
      <c r="W41" s="92">
        <v>0</v>
      </c>
      <c r="X41" s="92">
        <v>0</v>
      </c>
      <c r="Y41" s="92">
        <v>0</v>
      </c>
      <c r="Z41" s="92">
        <v>0</v>
      </c>
      <c r="AA41" s="92">
        <v>0</v>
      </c>
      <c r="AB41" s="92">
        <v>0</v>
      </c>
      <c r="AC41" s="92">
        <v>0</v>
      </c>
      <c r="AD41" s="92">
        <v>0</v>
      </c>
      <c r="AE41" s="92">
        <v>0</v>
      </c>
      <c r="AF41" s="92">
        <v>0</v>
      </c>
      <c r="AG41" s="92">
        <v>830.63662500000009</v>
      </c>
      <c r="AH41" s="92">
        <v>1661.3073750000001</v>
      </c>
      <c r="AI41" s="92">
        <v>2491.944</v>
      </c>
      <c r="AJ41" s="92">
        <v>2927.652</v>
      </c>
      <c r="AK41" s="92">
        <v>3363.36</v>
      </c>
      <c r="AL41" s="92">
        <v>3799.0680000000002</v>
      </c>
      <c r="AM41" s="92">
        <v>4453.0053750000006</v>
      </c>
      <c r="AN41" s="92">
        <v>5106.9427500000002</v>
      </c>
      <c r="AO41" s="92">
        <v>5760.9142500000007</v>
      </c>
      <c r="AP41" s="92">
        <v>30394.830375000005</v>
      </c>
      <c r="AQ41" s="92">
        <v>6177.1710000000003</v>
      </c>
      <c r="AR41" s="92">
        <v>6729.7571250000001</v>
      </c>
      <c r="AS41" s="92">
        <v>7282.3432500000008</v>
      </c>
      <c r="AT41" s="92">
        <v>7845.3033750000004</v>
      </c>
      <c r="AU41" s="92">
        <v>8401.3474999999889</v>
      </c>
      <c r="AV41" s="92">
        <v>0</v>
      </c>
      <c r="AW41" s="92">
        <v>0</v>
      </c>
      <c r="AX41" s="92">
        <v>0</v>
      </c>
      <c r="AY41" s="92">
        <v>0</v>
      </c>
      <c r="AZ41" s="92">
        <v>0</v>
      </c>
      <c r="BA41" s="92">
        <v>0</v>
      </c>
      <c r="BB41" s="92">
        <v>0</v>
      </c>
      <c r="BC41" s="92">
        <v>36435.922249999989</v>
      </c>
    </row>
    <row r="42" spans="1:56">
      <c r="A42" s="102" t="s">
        <v>93</v>
      </c>
      <c r="B42" s="99" t="s">
        <v>85</v>
      </c>
      <c r="C42" s="92">
        <v>0</v>
      </c>
      <c r="D42" s="92">
        <v>0</v>
      </c>
      <c r="E42" s="92">
        <v>0</v>
      </c>
      <c r="F42" s="92">
        <v>0</v>
      </c>
      <c r="G42" s="92">
        <v>0</v>
      </c>
      <c r="H42" s="92">
        <v>0</v>
      </c>
      <c r="I42" s="92">
        <v>0</v>
      </c>
      <c r="J42" s="92">
        <v>0</v>
      </c>
      <c r="K42" s="92">
        <v>0</v>
      </c>
      <c r="L42" s="92">
        <v>0</v>
      </c>
      <c r="M42" s="92">
        <v>0</v>
      </c>
      <c r="N42" s="92">
        <v>0</v>
      </c>
      <c r="O42" s="92">
        <v>0</v>
      </c>
      <c r="P42" s="92">
        <v>0</v>
      </c>
      <c r="Q42" s="92">
        <v>0</v>
      </c>
      <c r="R42" s="92">
        <v>0</v>
      </c>
      <c r="S42" s="92">
        <v>0</v>
      </c>
      <c r="T42" s="92">
        <v>0</v>
      </c>
      <c r="U42" s="92">
        <v>0</v>
      </c>
      <c r="V42" s="92">
        <v>0</v>
      </c>
      <c r="W42" s="92">
        <v>448.94463539964272</v>
      </c>
      <c r="X42" s="92">
        <v>897.92339579928546</v>
      </c>
      <c r="Y42" s="92">
        <v>1346.8680311989283</v>
      </c>
      <c r="Z42" s="92">
        <v>1583.4244879479668</v>
      </c>
      <c r="AA42" s="92">
        <v>1820.0150696970056</v>
      </c>
      <c r="AB42" s="92">
        <v>2056.5715264460446</v>
      </c>
      <c r="AC42" s="92">
        <v>8153.7471464888731</v>
      </c>
      <c r="AD42" s="92">
        <v>2350.553134426209</v>
      </c>
      <c r="AE42" s="92">
        <v>2696.637491612817</v>
      </c>
      <c r="AF42" s="92">
        <v>3042.7559737994252</v>
      </c>
      <c r="AG42" s="92">
        <v>3343.3686952657431</v>
      </c>
      <c r="AH42" s="92">
        <v>3643.9814167320606</v>
      </c>
      <c r="AI42" s="92">
        <v>3944.6282631983777</v>
      </c>
      <c r="AJ42" s="92">
        <v>4280.460810357903</v>
      </c>
      <c r="AK42" s="92">
        <v>4616.3616075174268</v>
      </c>
      <c r="AL42" s="92">
        <v>4952.2282796769523</v>
      </c>
      <c r="AM42" s="92">
        <v>5283.2396022038683</v>
      </c>
      <c r="AN42" s="92">
        <v>5614.2850497307854</v>
      </c>
      <c r="AO42" s="92">
        <v>5945.2963722577033</v>
      </c>
      <c r="AP42" s="92">
        <v>49713.796696779274</v>
      </c>
      <c r="AQ42" s="92">
        <v>5834.6462901573377</v>
      </c>
      <c r="AR42" s="92">
        <v>5847.9309408407353</v>
      </c>
      <c r="AS42" s="92">
        <v>5863.1607165241321</v>
      </c>
      <c r="AT42" s="92">
        <v>6566.7207993765714</v>
      </c>
      <c r="AU42" s="92">
        <v>6813.915882229021</v>
      </c>
      <c r="AV42" s="92">
        <v>0</v>
      </c>
      <c r="AW42" s="92">
        <v>0</v>
      </c>
      <c r="AX42" s="92">
        <v>0</v>
      </c>
      <c r="AY42" s="92">
        <v>0</v>
      </c>
      <c r="AZ42" s="92">
        <v>0</v>
      </c>
      <c r="BA42" s="92">
        <v>0</v>
      </c>
      <c r="BB42" s="92">
        <v>0</v>
      </c>
      <c r="BC42" s="92">
        <v>30926.374629127797</v>
      </c>
    </row>
    <row r="43" spans="1:56">
      <c r="A43" s="99" t="s">
        <v>106</v>
      </c>
      <c r="B43" s="99" t="s">
        <v>85</v>
      </c>
      <c r="C43" s="99">
        <v>19292</v>
      </c>
      <c r="D43" s="92">
        <v>1757</v>
      </c>
      <c r="E43" s="92">
        <v>6048</v>
      </c>
      <c r="F43" s="92">
        <v>27581.15</v>
      </c>
      <c r="G43" s="92">
        <v>-3244</v>
      </c>
      <c r="H43" s="92">
        <v>2894.4541005700162</v>
      </c>
      <c r="I43" s="92">
        <v>2214.9195759232466</v>
      </c>
      <c r="J43" s="92">
        <v>2452.6951428767088</v>
      </c>
      <c r="K43" s="92">
        <v>3090.3641925561892</v>
      </c>
      <c r="L43" s="92">
        <v>2219.1031639625598</v>
      </c>
      <c r="M43" s="92">
        <v>2292.3988062694252</v>
      </c>
      <c r="N43" s="92">
        <v>2839.1583703387532</v>
      </c>
      <c r="O43" s="92">
        <v>2521.1198082553856</v>
      </c>
      <c r="P43" s="92">
        <v>52666.363160752291</v>
      </c>
      <c r="Q43" s="92">
        <v>3481.9429387162759</v>
      </c>
      <c r="R43" s="92">
        <v>3481.7563760402222</v>
      </c>
      <c r="S43" s="92">
        <v>1931.2358602601355</v>
      </c>
      <c r="T43" s="92">
        <v>1996.7879618358377</v>
      </c>
      <c r="U43" s="92">
        <v>2202.4605577154616</v>
      </c>
      <c r="V43" s="92">
        <v>1771.9818609533643</v>
      </c>
      <c r="W43" s="92">
        <v>2456.0096922155103</v>
      </c>
      <c r="X43" s="92">
        <v>3057.2399738660056</v>
      </c>
      <c r="Y43" s="92">
        <v>3188.1784651914045</v>
      </c>
      <c r="Z43" s="92">
        <v>3625.0624748578593</v>
      </c>
      <c r="AA43" s="92">
        <v>3933.5122360318937</v>
      </c>
      <c r="AB43" s="92">
        <v>3955.143555734895</v>
      </c>
      <c r="AC43" s="92">
        <v>35081.311953418859</v>
      </c>
      <c r="AD43" s="92">
        <v>6704.7449521428971</v>
      </c>
      <c r="AE43" s="92">
        <v>7089.2245626253134</v>
      </c>
      <c r="AF43" s="92">
        <v>7222.1943985809557</v>
      </c>
      <c r="AG43" s="92">
        <v>8269.6498139556552</v>
      </c>
      <c r="AH43" s="92">
        <v>9381.8034322222557</v>
      </c>
      <c r="AI43" s="92">
        <v>10440.247023494978</v>
      </c>
      <c r="AJ43" s="92">
        <v>11196.643073484978</v>
      </c>
      <c r="AK43" s="92">
        <v>11950.04507977204</v>
      </c>
      <c r="AL43" s="92">
        <v>12697.343654676952</v>
      </c>
      <c r="AM43" s="92">
        <v>13728.083389315232</v>
      </c>
      <c r="AN43" s="92">
        <v>14744.382187684801</v>
      </c>
      <c r="AO43" s="92">
        <v>15639.495247257706</v>
      </c>
      <c r="AP43" s="92">
        <v>129063.85681521376</v>
      </c>
      <c r="AQ43" s="92">
        <v>16482.47151711108</v>
      </c>
      <c r="AR43" s="92">
        <v>17075.408136295282</v>
      </c>
      <c r="AS43" s="92">
        <v>17644.031647610747</v>
      </c>
      <c r="AT43" s="92">
        <v>18935.110170235916</v>
      </c>
      <c r="AU43" s="92">
        <v>19763.559945701985</v>
      </c>
      <c r="AV43" s="92">
        <v>3500</v>
      </c>
      <c r="AW43" s="92">
        <v>3500</v>
      </c>
      <c r="AX43" s="92">
        <v>3500</v>
      </c>
      <c r="AY43" s="92">
        <v>3500</v>
      </c>
      <c r="AZ43" s="92">
        <v>3500</v>
      </c>
      <c r="BA43" s="92">
        <v>3500</v>
      </c>
      <c r="BB43" s="92">
        <v>3500</v>
      </c>
      <c r="BC43" s="92">
        <v>114400.58141695501</v>
      </c>
      <c r="BD43" s="99"/>
    </row>
    <row r="44" spans="1:56">
      <c r="B44" s="99"/>
      <c r="C44" s="99"/>
    </row>
    <row r="45" spans="1:56">
      <c r="A45" s="99" t="s">
        <v>106</v>
      </c>
      <c r="B45" s="99" t="s">
        <v>84</v>
      </c>
      <c r="C45" s="99">
        <v>91662</v>
      </c>
      <c r="D45" s="92">
        <v>6837</v>
      </c>
      <c r="E45" s="92">
        <v>12198</v>
      </c>
      <c r="F45" s="92">
        <v>30707.15</v>
      </c>
      <c r="G45" s="92">
        <v>27727.040000000001</v>
      </c>
      <c r="H45" s="92">
        <v>12937.327410077885</v>
      </c>
      <c r="I45" s="92">
        <v>10033.05641176015</v>
      </c>
      <c r="J45" s="92">
        <v>11413.218714383544</v>
      </c>
      <c r="K45" s="92">
        <v>13706.123962780945</v>
      </c>
      <c r="L45" s="92">
        <v>10266.552819812798</v>
      </c>
      <c r="M45" s="92">
        <v>10536.743396076548</v>
      </c>
      <c r="N45" s="92">
        <v>11817.174827201834</v>
      </c>
      <c r="O45" s="92">
        <v>11004.231671364107</v>
      </c>
      <c r="P45" s="92">
        <v>169183.61921345783</v>
      </c>
      <c r="Q45" s="92">
        <v>17173.845693581381</v>
      </c>
      <c r="R45" s="92">
        <v>15853.503880201113</v>
      </c>
      <c r="S45" s="92">
        <v>11576.737301300676</v>
      </c>
      <c r="T45" s="92">
        <v>12329.28580917919</v>
      </c>
      <c r="U45" s="92">
        <v>12869.797788577307</v>
      </c>
      <c r="V45" s="92">
        <v>11139.462304766821</v>
      </c>
      <c r="W45" s="92">
        <v>14515.921461077553</v>
      </c>
      <c r="X45" s="92">
        <v>17261.084869330025</v>
      </c>
      <c r="Y45" s="92">
        <v>18202.700325957019</v>
      </c>
      <c r="Z45" s="92">
        <v>20402.135374289293</v>
      </c>
      <c r="AA45" s="92">
        <v>22026.284180159466</v>
      </c>
      <c r="AB45" s="92">
        <v>22555.952778674473</v>
      </c>
      <c r="AC45" s="92">
        <v>195906.71176709433</v>
      </c>
      <c r="AD45" s="92">
        <v>22313.922066452978</v>
      </c>
      <c r="AE45" s="92">
        <v>24353.639186758468</v>
      </c>
      <c r="AF45" s="92">
        <v>24934.202298643271</v>
      </c>
      <c r="AG45" s="92">
        <v>30208.84352354021</v>
      </c>
      <c r="AH45" s="92">
        <v>35848.569576269554</v>
      </c>
      <c r="AI45" s="92">
        <v>41056.513551436823</v>
      </c>
      <c r="AJ45" s="92">
        <v>44871.416433022401</v>
      </c>
      <c r="AK45" s="92">
        <v>48761.605729920586</v>
      </c>
      <c r="AL45" s="92">
        <v>52431.162818482277</v>
      </c>
      <c r="AM45" s="92">
        <v>57632.929498806086</v>
      </c>
      <c r="AN45" s="92">
        <v>62787.044155686504</v>
      </c>
      <c r="AO45" s="92">
        <v>67233.425709318442</v>
      </c>
      <c r="AP45" s="92">
        <v>512433.27454833756</v>
      </c>
      <c r="AQ45" s="92">
        <v>68170.479585555397</v>
      </c>
      <c r="AR45" s="92">
        <v>71105.67868147642</v>
      </c>
      <c r="AS45" s="92">
        <v>73986.743238053736</v>
      </c>
      <c r="AT45" s="92">
        <v>80414.562851179566</v>
      </c>
      <c r="AU45" s="92">
        <v>84572.918728509947</v>
      </c>
      <c r="AV45" s="92">
        <v>4795.7829758359558</v>
      </c>
      <c r="AW45" s="92">
        <v>4795.7829758359558</v>
      </c>
      <c r="AX45" s="92">
        <v>5119.7287197949445</v>
      </c>
      <c r="AY45" s="92">
        <v>4795.7829758359558</v>
      </c>
      <c r="AZ45" s="92">
        <v>4795.7829758359558</v>
      </c>
      <c r="BA45" s="92">
        <v>5119.7287197949445</v>
      </c>
      <c r="BB45" s="92">
        <v>4795.7829758359558</v>
      </c>
      <c r="BC45" s="92">
        <v>412468.75540354475</v>
      </c>
      <c r="BD45" s="99"/>
    </row>
    <row r="46" spans="1:56">
      <c r="D46" s="92">
        <f>D24+D43-D45</f>
        <v>0</v>
      </c>
      <c r="E46" s="92">
        <f>E24+E43-E45</f>
        <v>0</v>
      </c>
      <c r="F46" s="92">
        <f>F24+F43-F45</f>
        <v>0</v>
      </c>
      <c r="G46" s="92">
        <f>G24+G43-G45</f>
        <v>0</v>
      </c>
      <c r="H46" s="92">
        <f>H24+H43-H45</f>
        <v>0</v>
      </c>
      <c r="I46" s="92">
        <f>I24+I43-I45</f>
        <v>0</v>
      </c>
      <c r="J46" s="92">
        <f>J24+J43-J45</f>
        <v>0</v>
      </c>
      <c r="K46" s="92">
        <f>K24+K43-K45</f>
        <v>0</v>
      </c>
      <c r="L46" s="92">
        <f>L24+L43-L45</f>
        <v>0</v>
      </c>
      <c r="M46" s="92">
        <f>M24+M43-M45</f>
        <v>0</v>
      </c>
      <c r="N46" s="92">
        <f>N24+N43-N45</f>
        <v>0</v>
      </c>
      <c r="O46" s="92">
        <f>O24+O43-O45</f>
        <v>0</v>
      </c>
      <c r="P46" s="92">
        <f>P24+P43-P45</f>
        <v>0</v>
      </c>
      <c r="Q46" s="92">
        <f>Q24+Q43-Q45</f>
        <v>0</v>
      </c>
      <c r="R46" s="92">
        <f>R24+R43-R45</f>
        <v>0</v>
      </c>
      <c r="S46" s="92">
        <f>S24+S43-S45</f>
        <v>0</v>
      </c>
      <c r="T46" s="92">
        <f>T24+T43-T45</f>
        <v>0</v>
      </c>
      <c r="U46" s="92">
        <f>U24+U43-U45</f>
        <v>0</v>
      </c>
      <c r="V46" s="92">
        <f>V24+V43-V45</f>
        <v>0</v>
      </c>
      <c r="W46" s="92">
        <f>W24+W43-W45</f>
        <v>0</v>
      </c>
      <c r="X46" s="92">
        <f>X24+X43-X45</f>
        <v>0</v>
      </c>
      <c r="Y46" s="92">
        <f>Y24+Y43-Y45</f>
        <v>0</v>
      </c>
      <c r="Z46" s="92">
        <f>Z24+Z43-Z45</f>
        <v>0</v>
      </c>
      <c r="AA46" s="92">
        <f>AA24+AA43-AA45</f>
        <v>0</v>
      </c>
      <c r="AB46" s="92">
        <f>AB24+AB43-AB45</f>
        <v>0</v>
      </c>
      <c r="AC46" s="92">
        <f>AC24+AC43-AC45</f>
        <v>0</v>
      </c>
      <c r="AD46" s="92">
        <f>AD24+AD43-AD45</f>
        <v>0</v>
      </c>
      <c r="AE46" s="92">
        <f>AE24+AE43-AE45</f>
        <v>0</v>
      </c>
      <c r="AF46" s="92">
        <f>AF24+AF43-AF45</f>
        <v>0</v>
      </c>
      <c r="AG46" s="92">
        <f>AG24+AG43-AG45</f>
        <v>0</v>
      </c>
      <c r="AH46" s="92">
        <f>AH24+AH43-AH45</f>
        <v>0</v>
      </c>
      <c r="AI46" s="92">
        <f>AI24+AI43-AI45</f>
        <v>0</v>
      </c>
      <c r="AJ46" s="92">
        <f>AJ24+AJ43-AJ45</f>
        <v>0</v>
      </c>
      <c r="AK46" s="92">
        <f>AK24+AK43-AK45</f>
        <v>0</v>
      </c>
      <c r="AL46" s="92">
        <f>AL24+AL43-AL45</f>
        <v>0</v>
      </c>
      <c r="AM46" s="92">
        <f>AM24+AM43-AM45</f>
        <v>0</v>
      </c>
      <c r="AN46" s="92">
        <f>AN24+AN43-AN45</f>
        <v>0</v>
      </c>
      <c r="AO46" s="92">
        <f>AO24+AO43-AO45</f>
        <v>0</v>
      </c>
      <c r="AP46" s="92">
        <f>AP24+AP43-AP45</f>
        <v>0</v>
      </c>
    </row>
    <row r="48" spans="1:56">
      <c r="A48" s="99"/>
      <c r="B48" s="99"/>
      <c r="C48" s="99"/>
      <c r="BD48" s="99"/>
    </row>
    <row r="49" spans="1:3">
      <c r="A49" s="99"/>
      <c r="B49" s="99"/>
      <c r="C49" s="99"/>
    </row>
    <row r="50" spans="1:3">
      <c r="A50" s="99"/>
      <c r="B50" s="99"/>
      <c r="C50" s="99"/>
    </row>
    <row r="51" spans="1:3">
      <c r="A51" s="99"/>
      <c r="B51" s="99"/>
      <c r="C51" s="99"/>
    </row>
  </sheetData>
  <phoneticPr fontId="2" type="noConversion"/>
  <pageMargins left="0" right="0" top="0.5" bottom="0.5" header="0.5" footer="0.5"/>
  <pageSetup scale="59" fitToWidth="3" orientation="landscape" r:id="rId1"/>
  <headerFooter alignWithMargins="0">
    <oddHeader>&amp;A</oddHeader>
    <oddFooter>&amp;R&amp;D &amp;T &amp;Z&amp;F</oddFooter>
  </headerFooter>
  <colBreaks count="2" manualBreakCount="2">
    <brk id="16" max="1048575" man="1"/>
    <brk id="29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7</vt:i4>
      </vt:variant>
    </vt:vector>
  </HeadingPairs>
  <TitlesOfParts>
    <vt:vector size="12" baseType="lpstr">
      <vt:lpstr>Pharm Demand</vt:lpstr>
      <vt:lpstr>Pharm Demand b4</vt:lpstr>
      <vt:lpstr>Upload to COV</vt:lpstr>
      <vt:lpstr>Download COV Act</vt:lpstr>
      <vt:lpstr>Download COV</vt:lpstr>
      <vt:lpstr>'Download COV'!Print_Area</vt:lpstr>
      <vt:lpstr>'Download COV Act'!Print_Area</vt:lpstr>
      <vt:lpstr>'Pharm Demand'!Print_Area</vt:lpstr>
      <vt:lpstr>'Pharm Demand b4'!Print_Area</vt:lpstr>
      <vt:lpstr>'Upload to COV'!Print_Area</vt:lpstr>
      <vt:lpstr>'Download COV'!Print_Titles</vt:lpstr>
      <vt:lpstr>'Pharm Demand'!Print_Titles</vt:lpstr>
    </vt:vector>
  </TitlesOfParts>
  <Company>Tyco Healthcare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Michael.Pyles</dc:creator>
  <cp:lastModifiedBy>marcia.schaper</cp:lastModifiedBy>
  <cp:lastPrinted>2013-01-08T14:35:18Z</cp:lastPrinted>
  <dcterms:created xsi:type="dcterms:W3CDTF">2008-11-24T22:11:49Z</dcterms:created>
  <dcterms:modified xsi:type="dcterms:W3CDTF">2013-02-07T21:06:18Z</dcterms:modified>
</cp:coreProperties>
</file>