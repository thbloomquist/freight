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480" windowHeight="11640" activeTab="2"/>
  </bookViews>
  <sheets>
    <sheet name="Pharm Demand" sheetId="1" r:id="rId1"/>
    <sheet name="Pharm Demand b4" sheetId="6" state="hidden" r:id="rId2"/>
    <sheet name="Upload to COV" sheetId="2" r:id="rId3"/>
    <sheet name="Download COV Act" sheetId="7" state="hidden" r:id="rId4"/>
    <sheet name="Check COV Fcst" sheetId="8" r:id="rId5"/>
  </sheets>
  <externalReferences>
    <externalReference r:id="rId6"/>
  </externalReferences>
  <definedNames>
    <definedName name="EssAliasTable" localSheetId="4">"Default"</definedName>
    <definedName name="EssAliasTable" localSheetId="3">"Default"</definedName>
    <definedName name="EssAliasTable" localSheetId="0">"JDE"</definedName>
    <definedName name="EssAliasTable" localSheetId="1">"Default"</definedName>
    <definedName name="EssAliasTable" localSheetId="2">"Misc Alias"</definedName>
    <definedName name="EssLatest" localSheetId="4">"Oct"</definedName>
    <definedName name="EssLatest" localSheetId="3">"Oct"</definedName>
    <definedName name="EssLatest" localSheetId="0">"Oct"</definedName>
    <definedName name="EssLatest" localSheetId="1">"Oct"</definedName>
    <definedName name="EssLatest" localSheetId="2">"Beg Bal"</definedName>
    <definedName name="EssOptions" localSheetId="4">"A3100000000110000011001100020_08#missing00"</definedName>
    <definedName name="EssOptions" localSheetId="3">"A1100000000110000011001100020_08#missing00"</definedName>
    <definedName name="EssOptions" localSheetId="0">"A1100000000110000011001100020_08#missing00"</definedName>
    <definedName name="EssOptions" localSheetId="1">"A1100000000110000011001100020_08#missing00"</definedName>
    <definedName name="EssOptions" localSheetId="2">"A1100000000111001000001100020_08#missing00"</definedName>
    <definedName name="EssSamplingValue" localSheetId="4">100</definedName>
    <definedName name="EssSamplingValue" localSheetId="3">100</definedName>
    <definedName name="EssSamplingValue" localSheetId="0">100</definedName>
    <definedName name="EssSamplingValue" localSheetId="1">100</definedName>
    <definedName name="EssSamplingValue" localSheetId="2">100</definedName>
    <definedName name="_xlnm.Print_Area" localSheetId="4">'Check COV Fcst'!$A$4:$O$47</definedName>
    <definedName name="_xlnm.Print_Area" localSheetId="3">'Download COV Act'!$A$1:$G$63</definedName>
    <definedName name="_xlnm.Print_Area" localSheetId="0">'Pharm Demand'!$A$1:$AL$59</definedName>
    <definedName name="_xlnm.Print_Area" localSheetId="1">'Pharm Demand b4'!$A$1:$P$59</definedName>
    <definedName name="_xlnm.Print_Area" localSheetId="2">'Upload to COV'!$A$4:$AL$28</definedName>
    <definedName name="_xlnm.Print_Titles" localSheetId="0">'Pharm Demand'!$1:$3</definedName>
  </definedNames>
  <calcPr calcId="125725"/>
</workbook>
</file>

<file path=xl/calcChain.xml><?xml version="1.0" encoding="utf-8"?>
<calcChain xmlns="http://schemas.openxmlformats.org/spreadsheetml/2006/main">
  <c r="AX58" i="1"/>
  <c r="AW58"/>
  <c r="AV58"/>
  <c r="AU58"/>
  <c r="AT58"/>
  <c r="AS58"/>
  <c r="AR58"/>
  <c r="AQ58"/>
  <c r="AP58"/>
  <c r="AO58"/>
  <c r="AN58"/>
  <c r="AX57"/>
  <c r="AW57"/>
  <c r="AV57"/>
  <c r="AU57"/>
  <c r="AT57"/>
  <c r="AS57"/>
  <c r="AR57"/>
  <c r="AQ57"/>
  <c r="AP57"/>
  <c r="AO57"/>
  <c r="AN57"/>
  <c r="AX56"/>
  <c r="AW56"/>
  <c r="AV56"/>
  <c r="AU56"/>
  <c r="AT56"/>
  <c r="AS56"/>
  <c r="AR56"/>
  <c r="AQ56"/>
  <c r="AP56"/>
  <c r="AO56"/>
  <c r="AN56"/>
  <c r="AX55"/>
  <c r="AW55"/>
  <c r="AV55"/>
  <c r="AU55"/>
  <c r="AT55"/>
  <c r="AS55"/>
  <c r="AR55"/>
  <c r="AQ55"/>
  <c r="AP55"/>
  <c r="AO55"/>
  <c r="AN55"/>
  <c r="AX54"/>
  <c r="AW54"/>
  <c r="AV54"/>
  <c r="AU54"/>
  <c r="AT54"/>
  <c r="AS54"/>
  <c r="AR54"/>
  <c r="AQ54"/>
  <c r="AP54"/>
  <c r="AO54"/>
  <c r="AN54"/>
  <c r="AX53"/>
  <c r="AW53"/>
  <c r="AV53"/>
  <c r="AU53"/>
  <c r="AT53"/>
  <c r="AS53"/>
  <c r="AR53"/>
  <c r="AQ53"/>
  <c r="AP53"/>
  <c r="AO53"/>
  <c r="AN53"/>
  <c r="AX52"/>
  <c r="AW52"/>
  <c r="AV52"/>
  <c r="AU52"/>
  <c r="AT52"/>
  <c r="AS52"/>
  <c r="AR52"/>
  <c r="AQ52"/>
  <c r="AP52"/>
  <c r="AO52"/>
  <c r="AN52"/>
  <c r="AX51"/>
  <c r="AW51"/>
  <c r="AV51"/>
  <c r="AU51"/>
  <c r="AT51"/>
  <c r="AS51"/>
  <c r="AR51"/>
  <c r="AQ51"/>
  <c r="AP51"/>
  <c r="AO51"/>
  <c r="AN51"/>
  <c r="AX50"/>
  <c r="AW50"/>
  <c r="AV50"/>
  <c r="AU50"/>
  <c r="AT50"/>
  <c r="AS50"/>
  <c r="AR50"/>
  <c r="AQ50"/>
  <c r="AP50"/>
  <c r="AO50"/>
  <c r="AN50"/>
  <c r="AX49"/>
  <c r="AW49"/>
  <c r="AV49"/>
  <c r="AU49"/>
  <c r="AT49"/>
  <c r="AS49"/>
  <c r="AR49"/>
  <c r="AQ49"/>
  <c r="AP49"/>
  <c r="AO49"/>
  <c r="AN49"/>
  <c r="AX48"/>
  <c r="AW48"/>
  <c r="AV48"/>
  <c r="AU48"/>
  <c r="AT48"/>
  <c r="AS48"/>
  <c r="AR48"/>
  <c r="AQ48"/>
  <c r="AP48"/>
  <c r="AO48"/>
  <c r="AN48"/>
  <c r="AX47"/>
  <c r="AW47"/>
  <c r="AV47"/>
  <c r="AU47"/>
  <c r="AT47"/>
  <c r="AS47"/>
  <c r="AR47"/>
  <c r="AQ47"/>
  <c r="AP47"/>
  <c r="AO47"/>
  <c r="AN47"/>
  <c r="AX46"/>
  <c r="AW46"/>
  <c r="AV46"/>
  <c r="AU46"/>
  <c r="AT46"/>
  <c r="AS46"/>
  <c r="AR46"/>
  <c r="AQ46"/>
  <c r="AP46"/>
  <c r="AO46"/>
  <c r="AN46"/>
  <c r="AX45"/>
  <c r="AW45"/>
  <c r="AV45"/>
  <c r="AU45"/>
  <c r="AT45"/>
  <c r="AS45"/>
  <c r="AR45"/>
  <c r="AQ45"/>
  <c r="AP45"/>
  <c r="AO45"/>
  <c r="AN45"/>
  <c r="AX44"/>
  <c r="AW44"/>
  <c r="AV44"/>
  <c r="AU44"/>
  <c r="AT44"/>
  <c r="AS44"/>
  <c r="AR44"/>
  <c r="AQ44"/>
  <c r="AP44"/>
  <c r="AO44"/>
  <c r="AN44"/>
  <c r="AX43"/>
  <c r="AW43"/>
  <c r="AV43"/>
  <c r="AU43"/>
  <c r="AT43"/>
  <c r="AS43"/>
  <c r="AR43"/>
  <c r="AQ43"/>
  <c r="AP43"/>
  <c r="AO43"/>
  <c r="AN43"/>
  <c r="AX42"/>
  <c r="AW42"/>
  <c r="AV42"/>
  <c r="AU42"/>
  <c r="AT42"/>
  <c r="AS42"/>
  <c r="AR42"/>
  <c r="AQ42"/>
  <c r="AP42"/>
  <c r="AO42"/>
  <c r="AN42"/>
  <c r="AX41"/>
  <c r="AW41"/>
  <c r="AV41"/>
  <c r="AU41"/>
  <c r="AT41"/>
  <c r="AS41"/>
  <c r="AR41"/>
  <c r="AQ41"/>
  <c r="AP41"/>
  <c r="AO41"/>
  <c r="AN41"/>
  <c r="AX40"/>
  <c r="AW40"/>
  <c r="AV40"/>
  <c r="AU40"/>
  <c r="AT40"/>
  <c r="AS40"/>
  <c r="AR40"/>
  <c r="AQ40"/>
  <c r="AP40"/>
  <c r="AO40"/>
  <c r="AN40"/>
  <c r="AX39"/>
  <c r="AW39"/>
  <c r="AV39"/>
  <c r="AU39"/>
  <c r="AT39"/>
  <c r="AS39"/>
  <c r="AR39"/>
  <c r="AQ39"/>
  <c r="AP39"/>
  <c r="AO39"/>
  <c r="AN39"/>
  <c r="AX38"/>
  <c r="AW38"/>
  <c r="AV38"/>
  <c r="AU38"/>
  <c r="AT38"/>
  <c r="AS38"/>
  <c r="AR38"/>
  <c r="AQ38"/>
  <c r="AP38"/>
  <c r="AO38"/>
  <c r="AN38"/>
  <c r="AX37"/>
  <c r="AW37"/>
  <c r="AV37"/>
  <c r="AU37"/>
  <c r="AT37"/>
  <c r="AS37"/>
  <c r="AR37"/>
  <c r="AQ37"/>
  <c r="AP37"/>
  <c r="AO37"/>
  <c r="AN37"/>
  <c r="AX36"/>
  <c r="AW36"/>
  <c r="AV36"/>
  <c r="AU36"/>
  <c r="AT36"/>
  <c r="AS36"/>
  <c r="AR36"/>
  <c r="AQ36"/>
  <c r="AP36"/>
  <c r="AO36"/>
  <c r="AN36"/>
  <c r="AM58"/>
  <c r="AM57"/>
  <c r="AM56"/>
  <c r="AM55"/>
  <c r="AM54"/>
  <c r="AM53"/>
  <c r="AM52"/>
  <c r="AM51"/>
  <c r="AM50"/>
  <c r="AM49"/>
  <c r="AM48"/>
  <c r="AM47"/>
  <c r="AM46"/>
  <c r="AM45"/>
  <c r="AM44"/>
  <c r="AM43"/>
  <c r="AM42"/>
  <c r="AM41"/>
  <c r="AM40"/>
  <c r="AM39"/>
  <c r="AM38"/>
  <c r="AM37"/>
  <c r="AM36"/>
  <c r="AL58"/>
  <c r="AK58"/>
  <c r="AJ58"/>
  <c r="AI58"/>
  <c r="AH58"/>
  <c r="AG58"/>
  <c r="AF58"/>
  <c r="AE58"/>
  <c r="AD58"/>
  <c r="AC58"/>
  <c r="AB58"/>
  <c r="AL57"/>
  <c r="AK57"/>
  <c r="AJ57"/>
  <c r="AI57"/>
  <c r="AH57"/>
  <c r="AG57"/>
  <c r="AF57"/>
  <c r="AE57"/>
  <c r="AD57"/>
  <c r="AC57"/>
  <c r="AB57"/>
  <c r="AL56"/>
  <c r="AK56"/>
  <c r="AJ56"/>
  <c r="AI56"/>
  <c r="AH56"/>
  <c r="AG56"/>
  <c r="AF56"/>
  <c r="AE56"/>
  <c r="AD56"/>
  <c r="AC56"/>
  <c r="AB56"/>
  <c r="AL55"/>
  <c r="AK55"/>
  <c r="AJ55"/>
  <c r="AI55"/>
  <c r="AH55"/>
  <c r="AG55"/>
  <c r="AF55"/>
  <c r="AE55"/>
  <c r="AD55"/>
  <c r="AC55"/>
  <c r="AB55"/>
  <c r="AL54"/>
  <c r="AK54"/>
  <c r="AJ54"/>
  <c r="AI54"/>
  <c r="AH54"/>
  <c r="AG54"/>
  <c r="AF54"/>
  <c r="AE54"/>
  <c r="AD54"/>
  <c r="AC54"/>
  <c r="AB54"/>
  <c r="AL53"/>
  <c r="AK53"/>
  <c r="AJ53"/>
  <c r="AI53"/>
  <c r="AH53"/>
  <c r="AG53"/>
  <c r="AF53"/>
  <c r="AE53"/>
  <c r="AD53"/>
  <c r="AC53"/>
  <c r="AB53"/>
  <c r="AL52"/>
  <c r="AK52"/>
  <c r="AJ52"/>
  <c r="AI52"/>
  <c r="AH52"/>
  <c r="AG52"/>
  <c r="AF52"/>
  <c r="AE52"/>
  <c r="AD52"/>
  <c r="AC52"/>
  <c r="AB52"/>
  <c r="AL51"/>
  <c r="AK51"/>
  <c r="AJ51"/>
  <c r="AI51"/>
  <c r="AH51"/>
  <c r="AG51"/>
  <c r="AF51"/>
  <c r="AE51"/>
  <c r="AD51"/>
  <c r="AC51"/>
  <c r="AB51"/>
  <c r="AL50"/>
  <c r="AK50"/>
  <c r="AJ50"/>
  <c r="AI50"/>
  <c r="AH50"/>
  <c r="AG50"/>
  <c r="AF50"/>
  <c r="AE50"/>
  <c r="AD50"/>
  <c r="AC50"/>
  <c r="AB50"/>
  <c r="AL49"/>
  <c r="AK49"/>
  <c r="AJ49"/>
  <c r="AI49"/>
  <c r="AH49"/>
  <c r="AG49"/>
  <c r="AF49"/>
  <c r="AE49"/>
  <c r="AD49"/>
  <c r="AC49"/>
  <c r="AB49"/>
  <c r="AL48"/>
  <c r="AK48"/>
  <c r="AJ48"/>
  <c r="AI48"/>
  <c r="AH48"/>
  <c r="AG48"/>
  <c r="AF48"/>
  <c r="AE48"/>
  <c r="AD48"/>
  <c r="AC48"/>
  <c r="AB48"/>
  <c r="AL47"/>
  <c r="AK47"/>
  <c r="AJ47"/>
  <c r="AI47"/>
  <c r="AH47"/>
  <c r="AG47"/>
  <c r="AF47"/>
  <c r="AE47"/>
  <c r="AD47"/>
  <c r="AC47"/>
  <c r="AB47"/>
  <c r="AL46"/>
  <c r="AK46"/>
  <c r="AJ46"/>
  <c r="AI46"/>
  <c r="AH46"/>
  <c r="AG46"/>
  <c r="AF46"/>
  <c r="AE46"/>
  <c r="AD46"/>
  <c r="AC46"/>
  <c r="AB46"/>
  <c r="AL45"/>
  <c r="AK45"/>
  <c r="AJ45"/>
  <c r="AI45"/>
  <c r="AH45"/>
  <c r="AG45"/>
  <c r="AF45"/>
  <c r="AE45"/>
  <c r="AD45"/>
  <c r="AC45"/>
  <c r="AB45"/>
  <c r="AL44"/>
  <c r="AK44"/>
  <c r="AJ44"/>
  <c r="AI44"/>
  <c r="AH44"/>
  <c r="AG44"/>
  <c r="AF44"/>
  <c r="AE44"/>
  <c r="AD44"/>
  <c r="AC44"/>
  <c r="AB44"/>
  <c r="AL43"/>
  <c r="AK43"/>
  <c r="AJ43"/>
  <c r="AI43"/>
  <c r="AH43"/>
  <c r="AG43"/>
  <c r="AF43"/>
  <c r="AE43"/>
  <c r="AD43"/>
  <c r="AC43"/>
  <c r="AB43"/>
  <c r="AL42"/>
  <c r="AK42"/>
  <c r="AJ42"/>
  <c r="AI42"/>
  <c r="AH42"/>
  <c r="AG42"/>
  <c r="AF42"/>
  <c r="AE42"/>
  <c r="AD42"/>
  <c r="AC42"/>
  <c r="AB42"/>
  <c r="AL41"/>
  <c r="AK41"/>
  <c r="AJ41"/>
  <c r="AI41"/>
  <c r="AH41"/>
  <c r="AG41"/>
  <c r="AF41"/>
  <c r="AE41"/>
  <c r="AD41"/>
  <c r="AC41"/>
  <c r="AB41"/>
  <c r="AL40"/>
  <c r="AK40"/>
  <c r="AJ40"/>
  <c r="AI40"/>
  <c r="AH40"/>
  <c r="AG40"/>
  <c r="AF40"/>
  <c r="AE40"/>
  <c r="AD40"/>
  <c r="AC40"/>
  <c r="AB40"/>
  <c r="AL39"/>
  <c r="AK39"/>
  <c r="AJ39"/>
  <c r="AI39"/>
  <c r="AH39"/>
  <c r="AG39"/>
  <c r="AF39"/>
  <c r="AE39"/>
  <c r="AD39"/>
  <c r="AC39"/>
  <c r="AB39"/>
  <c r="AL38"/>
  <c r="AK38"/>
  <c r="AJ38"/>
  <c r="AI38"/>
  <c r="AH38"/>
  <c r="AG38"/>
  <c r="AF38"/>
  <c r="AE38"/>
  <c r="AD38"/>
  <c r="AC38"/>
  <c r="AB38"/>
  <c r="AL37"/>
  <c r="AK37"/>
  <c r="AJ37"/>
  <c r="AI37"/>
  <c r="AH37"/>
  <c r="AG37"/>
  <c r="AF37"/>
  <c r="AE37"/>
  <c r="AD37"/>
  <c r="AC37"/>
  <c r="AB37"/>
  <c r="AL36"/>
  <c r="AK36"/>
  <c r="AJ36"/>
  <c r="AI36"/>
  <c r="AH36"/>
  <c r="AG36"/>
  <c r="AF36"/>
  <c r="AE36"/>
  <c r="AD36"/>
  <c r="AC36"/>
  <c r="AB36"/>
  <c r="AA58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9"/>
  <c r="AA38"/>
  <c r="AA37"/>
  <c r="AA36"/>
  <c r="P36"/>
  <c r="Q36"/>
  <c r="R36"/>
  <c r="S36"/>
  <c r="T36"/>
  <c r="U36"/>
  <c r="V36"/>
  <c r="W36"/>
  <c r="X36"/>
  <c r="Y36"/>
  <c r="Z36"/>
  <c r="P37"/>
  <c r="Q37"/>
  <c r="R37"/>
  <c r="S37"/>
  <c r="T37"/>
  <c r="U37"/>
  <c r="V37"/>
  <c r="W37"/>
  <c r="X37"/>
  <c r="Y37"/>
  <c r="Z37"/>
  <c r="P38"/>
  <c r="Q38"/>
  <c r="R38"/>
  <c r="S38"/>
  <c r="T38"/>
  <c r="U38"/>
  <c r="V38"/>
  <c r="W38"/>
  <c r="X38"/>
  <c r="Y38"/>
  <c r="Z38"/>
  <c r="P39"/>
  <c r="Q39"/>
  <c r="R39"/>
  <c r="S39"/>
  <c r="T39"/>
  <c r="U39"/>
  <c r="V39"/>
  <c r="W39"/>
  <c r="X39"/>
  <c r="Y39"/>
  <c r="Z39"/>
  <c r="P40"/>
  <c r="Q40"/>
  <c r="R40"/>
  <c r="S40"/>
  <c r="T40"/>
  <c r="U40"/>
  <c r="V40"/>
  <c r="W40"/>
  <c r="X40"/>
  <c r="Y40"/>
  <c r="Z40"/>
  <c r="P41"/>
  <c r="Q41"/>
  <c r="R41"/>
  <c r="S41"/>
  <c r="T41"/>
  <c r="U41"/>
  <c r="V41"/>
  <c r="W41"/>
  <c r="X41"/>
  <c r="Y41"/>
  <c r="Z41"/>
  <c r="P42"/>
  <c r="Q42"/>
  <c r="R42"/>
  <c r="S42"/>
  <c r="T42"/>
  <c r="U42"/>
  <c r="V42"/>
  <c r="W42"/>
  <c r="X42"/>
  <c r="Y42"/>
  <c r="Z42"/>
  <c r="P43"/>
  <c r="Q43"/>
  <c r="R43"/>
  <c r="S43"/>
  <c r="T43"/>
  <c r="U43"/>
  <c r="V43"/>
  <c r="W43"/>
  <c r="X43"/>
  <c r="Y43"/>
  <c r="Z43"/>
  <c r="P44"/>
  <c r="Q44"/>
  <c r="R44"/>
  <c r="S44"/>
  <c r="T44"/>
  <c r="U44"/>
  <c r="V44"/>
  <c r="W44"/>
  <c r="X44"/>
  <c r="Y44"/>
  <c r="Z44"/>
  <c r="P45"/>
  <c r="Q45"/>
  <c r="R45"/>
  <c r="S45"/>
  <c r="T45"/>
  <c r="U45"/>
  <c r="V45"/>
  <c r="W45"/>
  <c r="X45"/>
  <c r="Y45"/>
  <c r="Z45"/>
  <c r="P46"/>
  <c r="Q46"/>
  <c r="R46"/>
  <c r="S46"/>
  <c r="T46"/>
  <c r="U46"/>
  <c r="V46"/>
  <c r="W46"/>
  <c r="X46"/>
  <c r="Y46"/>
  <c r="Z46"/>
  <c r="P47"/>
  <c r="Q47"/>
  <c r="R47"/>
  <c r="S47"/>
  <c r="T47"/>
  <c r="U47"/>
  <c r="V47"/>
  <c r="W47"/>
  <c r="X47"/>
  <c r="Y47"/>
  <c r="Z47"/>
  <c r="P48"/>
  <c r="Q48"/>
  <c r="R48"/>
  <c r="S48"/>
  <c r="T48"/>
  <c r="U48"/>
  <c r="V48"/>
  <c r="W48"/>
  <c r="X48"/>
  <c r="Y48"/>
  <c r="Z48"/>
  <c r="P49"/>
  <c r="Q49"/>
  <c r="R49"/>
  <c r="S49"/>
  <c r="T49"/>
  <c r="U49"/>
  <c r="V49"/>
  <c r="W49"/>
  <c r="X49"/>
  <c r="Y49"/>
  <c r="Z49"/>
  <c r="P50"/>
  <c r="Q50"/>
  <c r="R50"/>
  <c r="S50"/>
  <c r="T50"/>
  <c r="U50"/>
  <c r="V50"/>
  <c r="W50"/>
  <c r="X50"/>
  <c r="Y50"/>
  <c r="Z50"/>
  <c r="P51"/>
  <c r="Q51"/>
  <c r="R51"/>
  <c r="S51"/>
  <c r="T51"/>
  <c r="U51"/>
  <c r="V51"/>
  <c r="W51"/>
  <c r="X51"/>
  <c r="Y51"/>
  <c r="Z51"/>
  <c r="P52"/>
  <c r="Q52"/>
  <c r="R52"/>
  <c r="S52"/>
  <c r="T52"/>
  <c r="U52"/>
  <c r="V52"/>
  <c r="W52"/>
  <c r="X52"/>
  <c r="Y52"/>
  <c r="Z52"/>
  <c r="P53"/>
  <c r="Q53"/>
  <c r="R53"/>
  <c r="S53"/>
  <c r="T53"/>
  <c r="U53"/>
  <c r="V53"/>
  <c r="W53"/>
  <c r="X53"/>
  <c r="Y53"/>
  <c r="Z53"/>
  <c r="P54"/>
  <c r="Q54"/>
  <c r="R54"/>
  <c r="S54"/>
  <c r="T54"/>
  <c r="U54"/>
  <c r="V54"/>
  <c r="W54"/>
  <c r="X54"/>
  <c r="Y54"/>
  <c r="Z54"/>
  <c r="P55"/>
  <c r="Q55"/>
  <c r="R55"/>
  <c r="S55"/>
  <c r="T55"/>
  <c r="U55"/>
  <c r="V55"/>
  <c r="W55"/>
  <c r="X55"/>
  <c r="Y55"/>
  <c r="Z55"/>
  <c r="P56"/>
  <c r="Q56"/>
  <c r="R56"/>
  <c r="S56"/>
  <c r="T56"/>
  <c r="U56"/>
  <c r="V56"/>
  <c r="W56"/>
  <c r="X56"/>
  <c r="Y56"/>
  <c r="Z56"/>
  <c r="P57"/>
  <c r="Q57"/>
  <c r="R57"/>
  <c r="S57"/>
  <c r="T57"/>
  <c r="U57"/>
  <c r="V57"/>
  <c r="W57"/>
  <c r="X57"/>
  <c r="Y57"/>
  <c r="Z57"/>
  <c r="P58"/>
  <c r="Q58"/>
  <c r="R58"/>
  <c r="S58"/>
  <c r="T58"/>
  <c r="U58"/>
  <c r="V58"/>
  <c r="W58"/>
  <c r="X58"/>
  <c r="Y58"/>
  <c r="Z58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I33"/>
  <c r="AX35" l="1"/>
  <c r="AW35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1" l="1"/>
  <c r="AW28" i="2" l="1"/>
  <c r="AU28"/>
  <c r="AS28"/>
  <c r="AQ28"/>
  <c r="AO28"/>
  <c r="AX27"/>
  <c r="AV27"/>
  <c r="AT27"/>
  <c r="AR27"/>
  <c r="AP27"/>
  <c r="AN27"/>
  <c r="AW26"/>
  <c r="AU26"/>
  <c r="AS26"/>
  <c r="AQ26"/>
  <c r="AO26"/>
  <c r="AX25"/>
  <c r="AV25"/>
  <c r="AT25"/>
  <c r="AR25"/>
  <c r="AP25"/>
  <c r="AN25"/>
  <c r="AW24"/>
  <c r="AU24"/>
  <c r="AS24"/>
  <c r="AQ24"/>
  <c r="AO24"/>
  <c r="AX23"/>
  <c r="AV23"/>
  <c r="AT23"/>
  <c r="AR23"/>
  <c r="AP23"/>
  <c r="AN23"/>
  <c r="AW22"/>
  <c r="AU22"/>
  <c r="AS22"/>
  <c r="AQ22"/>
  <c r="AO22"/>
  <c r="AX21"/>
  <c r="AV21"/>
  <c r="AT21"/>
  <c r="AR21"/>
  <c r="AP21"/>
  <c r="AN21"/>
  <c r="AW20"/>
  <c r="AU20"/>
  <c r="AS20"/>
  <c r="AQ20"/>
  <c r="AO20"/>
  <c r="AX19"/>
  <c r="AV19"/>
  <c r="AT19"/>
  <c r="AR19"/>
  <c r="AP19"/>
  <c r="AN19"/>
  <c r="AW18"/>
  <c r="AU18"/>
  <c r="AS18"/>
  <c r="AQ18"/>
  <c r="AO18"/>
  <c r="AX17"/>
  <c r="AV17"/>
  <c r="AT17"/>
  <c r="AR17"/>
  <c r="AP17"/>
  <c r="AN17"/>
  <c r="AW16"/>
  <c r="AU16"/>
  <c r="AS16"/>
  <c r="AQ16"/>
  <c r="AO16"/>
  <c r="AX15"/>
  <c r="AV15"/>
  <c r="AT15"/>
  <c r="AR15"/>
  <c r="AP15"/>
  <c r="AN15"/>
  <c r="AW14"/>
  <c r="AU14"/>
  <c r="AS14"/>
  <c r="AQ14"/>
  <c r="AO14"/>
  <c r="AX13"/>
  <c r="AV13"/>
  <c r="AT13"/>
  <c r="AR13"/>
  <c r="AP13"/>
  <c r="AN13"/>
  <c r="AW12"/>
  <c r="AU12"/>
  <c r="AS12"/>
  <c r="AQ12"/>
  <c r="AO12"/>
  <c r="AX11"/>
  <c r="AV11"/>
  <c r="AT11"/>
  <c r="AR11"/>
  <c r="AP11"/>
  <c r="AN11"/>
  <c r="AW10"/>
  <c r="AU10"/>
  <c r="AS10"/>
  <c r="AQ10"/>
  <c r="AO10"/>
  <c r="AX9"/>
  <c r="AV9"/>
  <c r="AT9"/>
  <c r="AR9"/>
  <c r="AP9"/>
  <c r="AN9"/>
  <c r="AW8"/>
  <c r="AU8"/>
  <c r="AS8"/>
  <c r="AQ8"/>
  <c r="AO8"/>
  <c r="AX7"/>
  <c r="AV7"/>
  <c r="AT7"/>
  <c r="AR7"/>
  <c r="AP7"/>
  <c r="AN7"/>
  <c r="AM28"/>
  <c r="AM26"/>
  <c r="AM24"/>
  <c r="AM22"/>
  <c r="AM20"/>
  <c r="AM18"/>
  <c r="AM16"/>
  <c r="AM14"/>
  <c r="AM12"/>
  <c r="AM10"/>
  <c r="AM8"/>
  <c r="AL27"/>
  <c r="AL25"/>
  <c r="AL23"/>
  <c r="AL21"/>
  <c r="AL19"/>
  <c r="AL17"/>
  <c r="AL15"/>
  <c r="AL13"/>
  <c r="AL11"/>
  <c r="AX28"/>
  <c r="AV28"/>
  <c r="AT28"/>
  <c r="AR28"/>
  <c r="AP28"/>
  <c r="AN28"/>
  <c r="AW27"/>
  <c r="AU27"/>
  <c r="AS27"/>
  <c r="AQ27"/>
  <c r="AO27"/>
  <c r="AX26"/>
  <c r="AV26"/>
  <c r="AT26"/>
  <c r="AR26"/>
  <c r="AP26"/>
  <c r="AN26"/>
  <c r="AW25"/>
  <c r="AU25"/>
  <c r="AS25"/>
  <c r="AQ25"/>
  <c r="AO25"/>
  <c r="AX24"/>
  <c r="AV24"/>
  <c r="AT24"/>
  <c r="AR24"/>
  <c r="AP24"/>
  <c r="AN24"/>
  <c r="AW23"/>
  <c r="AU23"/>
  <c r="AS23"/>
  <c r="AQ23"/>
  <c r="AO23"/>
  <c r="AX22"/>
  <c r="AV22"/>
  <c r="AT22"/>
  <c r="AR22"/>
  <c r="AP22"/>
  <c r="AN22"/>
  <c r="AW21"/>
  <c r="AU21"/>
  <c r="AS21"/>
  <c r="AQ21"/>
  <c r="AO21"/>
  <c r="AX20"/>
  <c r="AV20"/>
  <c r="AT20"/>
  <c r="AR20"/>
  <c r="AP20"/>
  <c r="AN20"/>
  <c r="AW19"/>
  <c r="AU19"/>
  <c r="AS19"/>
  <c r="AQ19"/>
  <c r="AO19"/>
  <c r="AX18"/>
  <c r="AV18"/>
  <c r="AT18"/>
  <c r="AR18"/>
  <c r="AP18"/>
  <c r="AN18"/>
  <c r="AW17"/>
  <c r="AU17"/>
  <c r="AS17"/>
  <c r="AQ17"/>
  <c r="AO17"/>
  <c r="AX16"/>
  <c r="AV16"/>
  <c r="AT16"/>
  <c r="AR16"/>
  <c r="AP16"/>
  <c r="AN16"/>
  <c r="AW15"/>
  <c r="AU15"/>
  <c r="AS15"/>
  <c r="AQ15"/>
  <c r="AO15"/>
  <c r="AX14"/>
  <c r="AV14"/>
  <c r="AT14"/>
  <c r="AR14"/>
  <c r="AP14"/>
  <c r="AN14"/>
  <c r="AW13"/>
  <c r="AU13"/>
  <c r="AS13"/>
  <c r="AQ13"/>
  <c r="AO13"/>
  <c r="AX12"/>
  <c r="AV12"/>
  <c r="AT12"/>
  <c r="AR12"/>
  <c r="AP12"/>
  <c r="AN12"/>
  <c r="AW11"/>
  <c r="AU11"/>
  <c r="AS11"/>
  <c r="AQ11"/>
  <c r="AO11"/>
  <c r="AX10"/>
  <c r="AV10"/>
  <c r="AT10"/>
  <c r="AR10"/>
  <c r="AP10"/>
  <c r="AN10"/>
  <c r="AW9"/>
  <c r="AU9"/>
  <c r="AS9"/>
  <c r="AQ9"/>
  <c r="AO9"/>
  <c r="AX8"/>
  <c r="AV8"/>
  <c r="AT8"/>
  <c r="AR8"/>
  <c r="AP8"/>
  <c r="AN8"/>
  <c r="AW7"/>
  <c r="AU7"/>
  <c r="AS7"/>
  <c r="AQ7"/>
  <c r="AO7"/>
  <c r="AM27"/>
  <c r="AM25"/>
  <c r="AM23"/>
  <c r="AM21"/>
  <c r="AM19"/>
  <c r="AM17"/>
  <c r="AM15"/>
  <c r="AM13"/>
  <c r="AM11"/>
  <c r="AM9"/>
  <c r="AM7"/>
  <c r="AL28"/>
  <c r="AL26"/>
  <c r="AL24"/>
  <c r="AL22"/>
  <c r="AL20"/>
  <c r="AL18"/>
  <c r="AL16"/>
  <c r="AL14"/>
  <c r="AL12"/>
  <c r="AL10"/>
  <c r="AL8"/>
  <c r="AL7"/>
  <c r="Y28"/>
  <c r="W28"/>
  <c r="U28"/>
  <c r="S28"/>
  <c r="Q28"/>
  <c r="O28"/>
  <c r="O20"/>
  <c r="O18"/>
  <c r="O16"/>
  <c r="O14"/>
  <c r="O12"/>
  <c r="O10"/>
  <c r="O8"/>
  <c r="O6"/>
  <c r="AL9"/>
  <c r="AL6"/>
  <c r="Z28"/>
  <c r="X28"/>
  <c r="V28"/>
  <c r="T28"/>
  <c r="R28"/>
  <c r="P28"/>
  <c r="O27"/>
  <c r="O23"/>
  <c r="P6"/>
  <c r="R6"/>
  <c r="T6"/>
  <c r="V6"/>
  <c r="X6"/>
  <c r="Z6"/>
  <c r="Q7"/>
  <c r="S7"/>
  <c r="U7"/>
  <c r="W7"/>
  <c r="Y7"/>
  <c r="P8"/>
  <c r="R8"/>
  <c r="T8"/>
  <c r="V8"/>
  <c r="X8"/>
  <c r="Z8"/>
  <c r="Q9"/>
  <c r="S9"/>
  <c r="U9"/>
  <c r="W9"/>
  <c r="Y9"/>
  <c r="P10"/>
  <c r="R10"/>
  <c r="T10"/>
  <c r="V10"/>
  <c r="X10"/>
  <c r="Z10"/>
  <c r="Q11"/>
  <c r="S11"/>
  <c r="U11"/>
  <c r="W11"/>
  <c r="Y11"/>
  <c r="P12"/>
  <c r="R12"/>
  <c r="T12"/>
  <c r="V12"/>
  <c r="X12"/>
  <c r="Z12"/>
  <c r="Q13"/>
  <c r="S13"/>
  <c r="U13"/>
  <c r="W13"/>
  <c r="Y13"/>
  <c r="P14"/>
  <c r="R14"/>
  <c r="T14"/>
  <c r="V14"/>
  <c r="X14"/>
  <c r="Z14"/>
  <c r="Q15"/>
  <c r="S15"/>
  <c r="U15"/>
  <c r="W15"/>
  <c r="Y15"/>
  <c r="P16"/>
  <c r="R16"/>
  <c r="T16"/>
  <c r="V16"/>
  <c r="X16"/>
  <c r="Z16"/>
  <c r="Q17"/>
  <c r="S17"/>
  <c r="U17"/>
  <c r="W17"/>
  <c r="Y17"/>
  <c r="P18"/>
  <c r="R18"/>
  <c r="T18"/>
  <c r="V18"/>
  <c r="X18"/>
  <c r="Z18"/>
  <c r="Q19"/>
  <c r="S19"/>
  <c r="U19"/>
  <c r="W19"/>
  <c r="Y19"/>
  <c r="P20"/>
  <c r="R20"/>
  <c r="T20"/>
  <c r="V20"/>
  <c r="X20"/>
  <c r="Z20"/>
  <c r="Q21"/>
  <c r="S21"/>
  <c r="U21"/>
  <c r="W21"/>
  <c r="Y21"/>
  <c r="P22"/>
  <c r="R22"/>
  <c r="T22"/>
  <c r="V22"/>
  <c r="X22"/>
  <c r="Z22"/>
  <c r="Q23"/>
  <c r="S23"/>
  <c r="U23"/>
  <c r="W23"/>
  <c r="Y23"/>
  <c r="P24"/>
  <c r="R24"/>
  <c r="T24"/>
  <c r="V24"/>
  <c r="X24"/>
  <c r="Z24"/>
  <c r="Q25"/>
  <c r="S25"/>
  <c r="U25"/>
  <c r="W25"/>
  <c r="Y25"/>
  <c r="P26"/>
  <c r="R26"/>
  <c r="T26"/>
  <c r="V26"/>
  <c r="X26"/>
  <c r="Z26"/>
  <c r="Q27"/>
  <c r="S27"/>
  <c r="U27"/>
  <c r="W27"/>
  <c r="Y27"/>
  <c r="Q6"/>
  <c r="S6"/>
  <c r="U6"/>
  <c r="W6"/>
  <c r="Y6"/>
  <c r="P7"/>
  <c r="R7"/>
  <c r="T7"/>
  <c r="V7"/>
  <c r="X7"/>
  <c r="Z7"/>
  <c r="Q8"/>
  <c r="S8"/>
  <c r="U8"/>
  <c r="W8"/>
  <c r="Y8"/>
  <c r="P9"/>
  <c r="R9"/>
  <c r="T9"/>
  <c r="V9"/>
  <c r="X9"/>
  <c r="Z9"/>
  <c r="Q10"/>
  <c r="S10"/>
  <c r="U10"/>
  <c r="W10"/>
  <c r="Y10"/>
  <c r="P11"/>
  <c r="R11"/>
  <c r="T11"/>
  <c r="V11"/>
  <c r="X11"/>
  <c r="Z11"/>
  <c r="Q12"/>
  <c r="S12"/>
  <c r="U12"/>
  <c r="W12"/>
  <c r="Y12"/>
  <c r="P13"/>
  <c r="R13"/>
  <c r="T13"/>
  <c r="V13"/>
  <c r="X13"/>
  <c r="Z13"/>
  <c r="Q14"/>
  <c r="S14"/>
  <c r="U14"/>
  <c r="W14"/>
  <c r="Y14"/>
  <c r="P15"/>
  <c r="R15"/>
  <c r="T15"/>
  <c r="V15"/>
  <c r="X15"/>
  <c r="Z15"/>
  <c r="Q16"/>
  <c r="S16"/>
  <c r="U16"/>
  <c r="W16"/>
  <c r="Y16"/>
  <c r="P17"/>
  <c r="R17"/>
  <c r="T17"/>
  <c r="V17"/>
  <c r="X17"/>
  <c r="Z17"/>
  <c r="Q18"/>
  <c r="S18"/>
  <c r="U18"/>
  <c r="W18"/>
  <c r="Y18"/>
  <c r="P19"/>
  <c r="R19"/>
  <c r="T19"/>
  <c r="V19"/>
  <c r="X19"/>
  <c r="Z19"/>
  <c r="Q20"/>
  <c r="S20"/>
  <c r="U20"/>
  <c r="W20"/>
  <c r="Y20"/>
  <c r="P21"/>
  <c r="R21"/>
  <c r="T21"/>
  <c r="V21"/>
  <c r="X21"/>
  <c r="Z21"/>
  <c r="Q22"/>
  <c r="S22"/>
  <c r="U22"/>
  <c r="W22"/>
  <c r="Y22"/>
  <c r="P23"/>
  <c r="R23"/>
  <c r="T23"/>
  <c r="V23"/>
  <c r="X23"/>
  <c r="Z23"/>
  <c r="Q24"/>
  <c r="S24"/>
  <c r="U24"/>
  <c r="W24"/>
  <c r="Y24"/>
  <c r="P25"/>
  <c r="R25"/>
  <c r="T25"/>
  <c r="V25"/>
  <c r="X25"/>
  <c r="Z25"/>
  <c r="Q26"/>
  <c r="S26"/>
  <c r="U26"/>
  <c r="W26"/>
  <c r="Y26"/>
  <c r="P27"/>
  <c r="R27"/>
  <c r="T27"/>
  <c r="V27"/>
  <c r="X27"/>
  <c r="Z27"/>
  <c r="O26"/>
  <c r="O24"/>
  <c r="O22"/>
  <c r="O7"/>
  <c r="O9"/>
  <c r="O11"/>
  <c r="O13"/>
  <c r="O15"/>
  <c r="O17"/>
  <c r="O19"/>
  <c r="O21"/>
  <c r="O25"/>
  <c r="C36" i="1"/>
  <c r="C6" i="2" s="1"/>
  <c r="D36" i="1"/>
  <c r="D6" i="2" s="1"/>
  <c r="E36" i="1"/>
  <c r="E6" i="2" s="1"/>
  <c r="F36" i="1"/>
  <c r="F6" i="2" s="1"/>
  <c r="G36" i="1"/>
  <c r="G6" i="2" s="1"/>
  <c r="H36" i="1"/>
  <c r="H6" i="2" s="1"/>
  <c r="I36" i="1"/>
  <c r="I6" i="2" s="1"/>
  <c r="J36" i="1"/>
  <c r="J6" i="2" s="1"/>
  <c r="K36" i="1"/>
  <c r="K6" i="2" s="1"/>
  <c r="L36" i="1"/>
  <c r="L6" i="2" s="1"/>
  <c r="M36" i="1"/>
  <c r="M6" i="2" s="1"/>
  <c r="N36" i="1"/>
  <c r="N6" i="2" s="1"/>
  <c r="C37" i="1"/>
  <c r="C7" i="2" s="1"/>
  <c r="D37" i="1"/>
  <c r="D7" i="2" s="1"/>
  <c r="E37" i="1"/>
  <c r="E7" i="2" s="1"/>
  <c r="F37" i="1"/>
  <c r="F7" i="2" s="1"/>
  <c r="G37" i="1"/>
  <c r="G7" i="2" s="1"/>
  <c r="H37" i="1"/>
  <c r="H7" i="2" s="1"/>
  <c r="I37" i="1"/>
  <c r="I7" i="2" s="1"/>
  <c r="J37" i="1"/>
  <c r="J7" i="2" s="1"/>
  <c r="K37" i="1"/>
  <c r="K7" i="2" s="1"/>
  <c r="L37" i="1"/>
  <c r="L7" i="2" s="1"/>
  <c r="M37" i="1"/>
  <c r="M7" i="2" s="1"/>
  <c r="N37" i="1"/>
  <c r="N7" i="2" s="1"/>
  <c r="C38" i="1"/>
  <c r="C8" i="2" s="1"/>
  <c r="D38" i="1"/>
  <c r="D8" i="2" s="1"/>
  <c r="E38" i="1"/>
  <c r="E8" i="2" s="1"/>
  <c r="F38" i="1"/>
  <c r="F8" i="2" s="1"/>
  <c r="G38" i="1"/>
  <c r="G8" i="2" s="1"/>
  <c r="H38" i="1"/>
  <c r="H8" i="2" s="1"/>
  <c r="I38" i="1"/>
  <c r="I8" i="2" s="1"/>
  <c r="J38" i="1"/>
  <c r="J8" i="2" s="1"/>
  <c r="K38" i="1"/>
  <c r="K8" i="2" s="1"/>
  <c r="L38" i="1"/>
  <c r="L8" i="2" s="1"/>
  <c r="M38" i="1"/>
  <c r="M8" i="2" s="1"/>
  <c r="N38" i="1"/>
  <c r="N8" i="2" s="1"/>
  <c r="C39" i="1"/>
  <c r="C9" i="2" s="1"/>
  <c r="D39" i="1"/>
  <c r="D9" i="2" s="1"/>
  <c r="E39" i="1"/>
  <c r="E9" i="2" s="1"/>
  <c r="F39" i="1"/>
  <c r="F9" i="2" s="1"/>
  <c r="G39" i="1"/>
  <c r="G9" i="2" s="1"/>
  <c r="H39" i="1"/>
  <c r="H9" i="2" s="1"/>
  <c r="I39" i="1"/>
  <c r="I9" i="2" s="1"/>
  <c r="J39" i="1"/>
  <c r="J9" i="2" s="1"/>
  <c r="K39" i="1"/>
  <c r="K9" i="2" s="1"/>
  <c r="L39" i="1"/>
  <c r="L9" i="2" s="1"/>
  <c r="M39" i="1"/>
  <c r="M9" i="2" s="1"/>
  <c r="N39" i="1"/>
  <c r="N9" i="2" s="1"/>
  <c r="C40" i="1"/>
  <c r="C10" i="2" s="1"/>
  <c r="D40" i="1"/>
  <c r="D10" i="2" s="1"/>
  <c r="E40" i="1"/>
  <c r="E10" i="2" s="1"/>
  <c r="F40" i="1"/>
  <c r="F10" i="2" s="1"/>
  <c r="G40" i="1"/>
  <c r="G10" i="2" s="1"/>
  <c r="H40" i="1"/>
  <c r="H10" i="2" s="1"/>
  <c r="I40" i="1"/>
  <c r="I10" i="2" s="1"/>
  <c r="J40" i="1"/>
  <c r="J10" i="2" s="1"/>
  <c r="K40" i="1"/>
  <c r="K10" i="2" s="1"/>
  <c r="L40" i="1"/>
  <c r="L10" i="2" s="1"/>
  <c r="M40" i="1"/>
  <c r="M10" i="2" s="1"/>
  <c r="N40" i="1"/>
  <c r="N10" i="2" s="1"/>
  <c r="C41" i="1"/>
  <c r="C11" i="2" s="1"/>
  <c r="D41" i="1"/>
  <c r="D11" i="2" s="1"/>
  <c r="E41" i="1"/>
  <c r="E11" i="2" s="1"/>
  <c r="F41" i="1"/>
  <c r="F11" i="2" s="1"/>
  <c r="G41" i="1"/>
  <c r="G11" i="2" s="1"/>
  <c r="H41" i="1"/>
  <c r="H11" i="2" s="1"/>
  <c r="I41" i="1"/>
  <c r="I11" i="2" s="1"/>
  <c r="J41" i="1"/>
  <c r="J11" i="2" s="1"/>
  <c r="K41" i="1"/>
  <c r="K11" i="2" s="1"/>
  <c r="L41" i="1"/>
  <c r="L11" i="2" s="1"/>
  <c r="M41" i="1"/>
  <c r="M11" i="2" s="1"/>
  <c r="N41" i="1"/>
  <c r="N11" i="2" s="1"/>
  <c r="C42" i="1"/>
  <c r="C12" i="2" s="1"/>
  <c r="D42" i="1"/>
  <c r="D12" i="2" s="1"/>
  <c r="E42" i="1"/>
  <c r="E12" i="2" s="1"/>
  <c r="F42" i="1"/>
  <c r="F12" i="2" s="1"/>
  <c r="G42" i="1"/>
  <c r="G12" i="2" s="1"/>
  <c r="H42" i="1"/>
  <c r="H12" i="2" s="1"/>
  <c r="I42" i="1"/>
  <c r="I12" i="2" s="1"/>
  <c r="J42" i="1"/>
  <c r="J12" i="2" s="1"/>
  <c r="K42" i="1"/>
  <c r="K12" i="2" s="1"/>
  <c r="L42" i="1"/>
  <c r="L12" i="2" s="1"/>
  <c r="M42" i="1"/>
  <c r="M12" i="2" s="1"/>
  <c r="N42" i="1"/>
  <c r="N12" i="2" s="1"/>
  <c r="C43" i="1"/>
  <c r="C13" i="2" s="1"/>
  <c r="D43" i="1"/>
  <c r="D13" i="2" s="1"/>
  <c r="E43" i="1"/>
  <c r="E13" i="2" s="1"/>
  <c r="F43" i="1"/>
  <c r="F13" i="2" s="1"/>
  <c r="G43" i="1"/>
  <c r="G13" i="2" s="1"/>
  <c r="H43" i="1"/>
  <c r="H13" i="2" s="1"/>
  <c r="I43" i="1"/>
  <c r="I13" i="2" s="1"/>
  <c r="J43" i="1"/>
  <c r="J13" i="2" s="1"/>
  <c r="K43" i="1"/>
  <c r="K13" i="2" s="1"/>
  <c r="L43" i="1"/>
  <c r="L13" i="2" s="1"/>
  <c r="M43" i="1"/>
  <c r="M13" i="2" s="1"/>
  <c r="N43" i="1"/>
  <c r="N13" i="2" s="1"/>
  <c r="C44" i="1"/>
  <c r="C14" i="2" s="1"/>
  <c r="D44" i="1"/>
  <c r="D14" i="2" s="1"/>
  <c r="E44" i="1"/>
  <c r="E14" i="2" s="1"/>
  <c r="F44" i="1"/>
  <c r="F14" i="2" s="1"/>
  <c r="G44" i="1"/>
  <c r="G14" i="2" s="1"/>
  <c r="H44" i="1"/>
  <c r="H14" i="2" s="1"/>
  <c r="I44" i="1"/>
  <c r="I14" i="2" s="1"/>
  <c r="J44" i="1"/>
  <c r="J14" i="2" s="1"/>
  <c r="K44" i="1"/>
  <c r="K14" i="2" s="1"/>
  <c r="L44" i="1"/>
  <c r="L14" i="2" s="1"/>
  <c r="M44" i="1"/>
  <c r="M14" i="2" s="1"/>
  <c r="N44" i="1"/>
  <c r="N14" i="2" s="1"/>
  <c r="C45" i="1"/>
  <c r="C15" i="2" s="1"/>
  <c r="D45" i="1"/>
  <c r="D15" i="2" s="1"/>
  <c r="E45" i="1"/>
  <c r="E15" i="2" s="1"/>
  <c r="F45" i="1"/>
  <c r="F15" i="2" s="1"/>
  <c r="G45" i="1"/>
  <c r="G15" i="2" s="1"/>
  <c r="H45" i="1"/>
  <c r="H15" i="2" s="1"/>
  <c r="I45" i="1"/>
  <c r="I15" i="2" s="1"/>
  <c r="J45" i="1"/>
  <c r="J15" i="2" s="1"/>
  <c r="K45" i="1"/>
  <c r="K15" i="2" s="1"/>
  <c r="L45" i="1"/>
  <c r="L15" i="2" s="1"/>
  <c r="M45" i="1"/>
  <c r="M15" i="2" s="1"/>
  <c r="N45" i="1"/>
  <c r="N15" i="2" s="1"/>
  <c r="C46" i="1"/>
  <c r="C16" i="2" s="1"/>
  <c r="D46" i="1"/>
  <c r="D16" i="2" s="1"/>
  <c r="E46" i="1"/>
  <c r="E16" i="2" s="1"/>
  <c r="F46" i="1"/>
  <c r="F16" i="2" s="1"/>
  <c r="G46" i="1"/>
  <c r="G16" i="2" s="1"/>
  <c r="H46" i="1"/>
  <c r="H16" i="2" s="1"/>
  <c r="I46" i="1"/>
  <c r="I16" i="2" s="1"/>
  <c r="J46" i="1"/>
  <c r="J16" i="2" s="1"/>
  <c r="K46" i="1"/>
  <c r="K16" i="2" s="1"/>
  <c r="L46" i="1"/>
  <c r="L16" i="2" s="1"/>
  <c r="M46" i="1"/>
  <c r="M16" i="2" s="1"/>
  <c r="N46" i="1"/>
  <c r="N16" i="2" s="1"/>
  <c r="C47" i="1"/>
  <c r="C17" i="2" s="1"/>
  <c r="D47" i="1"/>
  <c r="D17" i="2" s="1"/>
  <c r="E47" i="1"/>
  <c r="E17" i="2" s="1"/>
  <c r="F47" i="1"/>
  <c r="F17" i="2" s="1"/>
  <c r="G47" i="1"/>
  <c r="G17" i="2" s="1"/>
  <c r="H47" i="1"/>
  <c r="H17" i="2" s="1"/>
  <c r="I47" i="1"/>
  <c r="I17" i="2" s="1"/>
  <c r="J47" i="1"/>
  <c r="J17" i="2" s="1"/>
  <c r="K47" i="1"/>
  <c r="K17" i="2" s="1"/>
  <c r="L47" i="1"/>
  <c r="L17" i="2" s="1"/>
  <c r="M47" i="1"/>
  <c r="M17" i="2" s="1"/>
  <c r="N47" i="1"/>
  <c r="N17" i="2" s="1"/>
  <c r="C48" i="1"/>
  <c r="C18" i="2" s="1"/>
  <c r="D48" i="1"/>
  <c r="D18" i="2" s="1"/>
  <c r="E48" i="1"/>
  <c r="E18" i="2" s="1"/>
  <c r="F48" i="1"/>
  <c r="F18" i="2" s="1"/>
  <c r="G48" i="1"/>
  <c r="G18" i="2" s="1"/>
  <c r="H48" i="1"/>
  <c r="H18" i="2" s="1"/>
  <c r="I48" i="1"/>
  <c r="I18" i="2" s="1"/>
  <c r="J48" i="1"/>
  <c r="J18" i="2" s="1"/>
  <c r="K48" i="1"/>
  <c r="K18" i="2" s="1"/>
  <c r="L48" i="1"/>
  <c r="L18" i="2" s="1"/>
  <c r="M48" i="1"/>
  <c r="M18" i="2" s="1"/>
  <c r="N48" i="1"/>
  <c r="N18" i="2" s="1"/>
  <c r="C49" i="1"/>
  <c r="C19" i="2" s="1"/>
  <c r="D49" i="1"/>
  <c r="D19" i="2" s="1"/>
  <c r="E49" i="1"/>
  <c r="E19" i="2" s="1"/>
  <c r="F49" i="1"/>
  <c r="F19" i="2" s="1"/>
  <c r="G49" i="1"/>
  <c r="G19" i="2" s="1"/>
  <c r="H49" i="1"/>
  <c r="H19" i="2" s="1"/>
  <c r="I49" i="1"/>
  <c r="I19" i="2" s="1"/>
  <c r="J49" i="1"/>
  <c r="J19" i="2" s="1"/>
  <c r="K49" i="1"/>
  <c r="K19" i="2" s="1"/>
  <c r="L49" i="1"/>
  <c r="L19" i="2" s="1"/>
  <c r="M49" i="1"/>
  <c r="M19" i="2" s="1"/>
  <c r="N49" i="1"/>
  <c r="N19" i="2" s="1"/>
  <c r="C50" i="1"/>
  <c r="C20" i="2" s="1"/>
  <c r="D50" i="1"/>
  <c r="D20" i="2" s="1"/>
  <c r="E50" i="1"/>
  <c r="E20" i="2" s="1"/>
  <c r="F50" i="1"/>
  <c r="F20" i="2" s="1"/>
  <c r="G50" i="1"/>
  <c r="G20" i="2" s="1"/>
  <c r="H50" i="1"/>
  <c r="H20" i="2" s="1"/>
  <c r="I50" i="1"/>
  <c r="I20" i="2" s="1"/>
  <c r="J50" i="1"/>
  <c r="J20" i="2" s="1"/>
  <c r="K50" i="1"/>
  <c r="K20" i="2" s="1"/>
  <c r="L50" i="1"/>
  <c r="L20" i="2" s="1"/>
  <c r="M50" i="1"/>
  <c r="M20" i="2" s="1"/>
  <c r="N50" i="1"/>
  <c r="N20" i="2" s="1"/>
  <c r="C51" i="1"/>
  <c r="C21" i="2" s="1"/>
  <c r="D51" i="1"/>
  <c r="D21" i="2" s="1"/>
  <c r="E51" i="1"/>
  <c r="E21" i="2" s="1"/>
  <c r="F51" i="1"/>
  <c r="F21" i="2" s="1"/>
  <c r="G51" i="1"/>
  <c r="G21" i="2" s="1"/>
  <c r="H51" i="1"/>
  <c r="H21" i="2" s="1"/>
  <c r="I51" i="1"/>
  <c r="I21" i="2" s="1"/>
  <c r="J51" i="1"/>
  <c r="J21" i="2" s="1"/>
  <c r="K51" i="1"/>
  <c r="K21" i="2" s="1"/>
  <c r="L51" i="1"/>
  <c r="L21" i="2" s="1"/>
  <c r="M51" i="1"/>
  <c r="M21" i="2" s="1"/>
  <c r="N51" i="1"/>
  <c r="N21" i="2" s="1"/>
  <c r="C52" i="1"/>
  <c r="C22" i="2" s="1"/>
  <c r="D52" i="1"/>
  <c r="D22" i="2" s="1"/>
  <c r="E52" i="1"/>
  <c r="E22" i="2" s="1"/>
  <c r="F52" i="1"/>
  <c r="F22" i="2" s="1"/>
  <c r="G52" i="1"/>
  <c r="G22" i="2" s="1"/>
  <c r="H52" i="1"/>
  <c r="H22" i="2" s="1"/>
  <c r="I52" i="1"/>
  <c r="I22" i="2" s="1"/>
  <c r="J52" i="1"/>
  <c r="J22" i="2" s="1"/>
  <c r="K52" i="1"/>
  <c r="K22" i="2" s="1"/>
  <c r="L52" i="1"/>
  <c r="L22" i="2" s="1"/>
  <c r="M52" i="1"/>
  <c r="M22" i="2" s="1"/>
  <c r="N52" i="1"/>
  <c r="N22" i="2" s="1"/>
  <c r="C53" i="1"/>
  <c r="C23" i="2" s="1"/>
  <c r="D53" i="1"/>
  <c r="D23" i="2" s="1"/>
  <c r="E53" i="1"/>
  <c r="E23" i="2" s="1"/>
  <c r="F53" i="1"/>
  <c r="F23" i="2" s="1"/>
  <c r="G53" i="1"/>
  <c r="G23" i="2" s="1"/>
  <c r="H53" i="1"/>
  <c r="H23" i="2" s="1"/>
  <c r="I53" i="1"/>
  <c r="I23" i="2" s="1"/>
  <c r="J53" i="1"/>
  <c r="J23" i="2" s="1"/>
  <c r="K53" i="1"/>
  <c r="K23" i="2" s="1"/>
  <c r="L53" i="1"/>
  <c r="L23" i="2" s="1"/>
  <c r="M53" i="1"/>
  <c r="M23" i="2" s="1"/>
  <c r="N53" i="1"/>
  <c r="N23" i="2" s="1"/>
  <c r="C54" i="1"/>
  <c r="C24" i="2" s="1"/>
  <c r="D54" i="1"/>
  <c r="D24" i="2" s="1"/>
  <c r="E54" i="1"/>
  <c r="E24" i="2" s="1"/>
  <c r="F54" i="1"/>
  <c r="F24" i="2" s="1"/>
  <c r="G54" i="1"/>
  <c r="G24" i="2" s="1"/>
  <c r="H54" i="1"/>
  <c r="H24" i="2" s="1"/>
  <c r="I54" i="1"/>
  <c r="I24" i="2" s="1"/>
  <c r="J54" i="1"/>
  <c r="J24" i="2" s="1"/>
  <c r="K54" i="1"/>
  <c r="K24" i="2" s="1"/>
  <c r="L54" i="1"/>
  <c r="L24" i="2" s="1"/>
  <c r="M54" i="1"/>
  <c r="M24" i="2" s="1"/>
  <c r="N54" i="1"/>
  <c r="N24" i="2" s="1"/>
  <c r="C55" i="1"/>
  <c r="C25" i="2" s="1"/>
  <c r="D55" i="1"/>
  <c r="D25" i="2" s="1"/>
  <c r="E55" i="1"/>
  <c r="E25" i="2" s="1"/>
  <c r="F55" i="1"/>
  <c r="F25" i="2" s="1"/>
  <c r="G55" i="1"/>
  <c r="G25" i="2" s="1"/>
  <c r="H55" i="1"/>
  <c r="H25" i="2" s="1"/>
  <c r="I55" i="1"/>
  <c r="I25" i="2" s="1"/>
  <c r="J55" i="1"/>
  <c r="J25" i="2" s="1"/>
  <c r="K55" i="1"/>
  <c r="K25" i="2" s="1"/>
  <c r="L55" i="1"/>
  <c r="L25" i="2" s="1"/>
  <c r="M55" i="1"/>
  <c r="M25" i="2" s="1"/>
  <c r="N55" i="1"/>
  <c r="N25" i="2" s="1"/>
  <c r="C56" i="1"/>
  <c r="C26" i="2" s="1"/>
  <c r="D56" i="1"/>
  <c r="D26" i="2" s="1"/>
  <c r="E56" i="1"/>
  <c r="E26" i="2" s="1"/>
  <c r="F56" i="1"/>
  <c r="F26" i="2" s="1"/>
  <c r="G56" i="1"/>
  <c r="G26" i="2" s="1"/>
  <c r="H56" i="1"/>
  <c r="H26" i="2" s="1"/>
  <c r="I56" i="1"/>
  <c r="I26" i="2" s="1"/>
  <c r="J56" i="1"/>
  <c r="J26" i="2" s="1"/>
  <c r="K56" i="1"/>
  <c r="K26" i="2" s="1"/>
  <c r="L56" i="1"/>
  <c r="L26" i="2" s="1"/>
  <c r="M56" i="1"/>
  <c r="M26" i="2" s="1"/>
  <c r="N56" i="1"/>
  <c r="N26" i="2" s="1"/>
  <c r="C57" i="1"/>
  <c r="C27" i="2" s="1"/>
  <c r="D57" i="1"/>
  <c r="D27" i="2" s="1"/>
  <c r="E57" i="1"/>
  <c r="E27" i="2" s="1"/>
  <c r="F57" i="1"/>
  <c r="F27" i="2" s="1"/>
  <c r="G57" i="1"/>
  <c r="G27" i="2" s="1"/>
  <c r="H57" i="1"/>
  <c r="H27" i="2" s="1"/>
  <c r="I57" i="1"/>
  <c r="I27" i="2" s="1"/>
  <c r="J57" i="1"/>
  <c r="J27" i="2" s="1"/>
  <c r="K57" i="1"/>
  <c r="K27" i="2" s="1"/>
  <c r="L57" i="1"/>
  <c r="L27" i="2" s="1"/>
  <c r="M57" i="1"/>
  <c r="M27" i="2" s="1"/>
  <c r="N57" i="1"/>
  <c r="N27" i="2" s="1"/>
  <c r="C58" i="1"/>
  <c r="C28" i="2" s="1"/>
  <c r="D58" i="1"/>
  <c r="D28" i="2" s="1"/>
  <c r="E58" i="1"/>
  <c r="E28" i="2" s="1"/>
  <c r="F58" i="1"/>
  <c r="F28" i="2" s="1"/>
  <c r="G58" i="1"/>
  <c r="G28" i="2" s="1"/>
  <c r="H58" i="1"/>
  <c r="H28" i="2" s="1"/>
  <c r="I58" i="1"/>
  <c r="I28" i="2" s="1"/>
  <c r="J58" i="1"/>
  <c r="J28" i="2" s="1"/>
  <c r="K58" i="1"/>
  <c r="K28" i="2" s="1"/>
  <c r="L58" i="1"/>
  <c r="L28" i="2" s="1"/>
  <c r="M58" i="1"/>
  <c r="M28" i="2" s="1"/>
  <c r="N58" i="1"/>
  <c r="N28" i="2" s="1"/>
  <c r="C59" i="1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B23" i="2"/>
  <c r="AC23"/>
  <c r="AD23"/>
  <c r="AE23"/>
  <c r="AF23"/>
  <c r="AG23"/>
  <c r="AH23"/>
  <c r="AI23"/>
  <c r="AJ23"/>
  <c r="AK23"/>
  <c r="AB24"/>
  <c r="AC24"/>
  <c r="AD24"/>
  <c r="AE24"/>
  <c r="AF24"/>
  <c r="AG24"/>
  <c r="AH24"/>
  <c r="AI24"/>
  <c r="AJ24"/>
  <c r="AK24"/>
  <c r="AB25"/>
  <c r="AC25"/>
  <c r="AD25"/>
  <c r="AE25"/>
  <c r="AF25"/>
  <c r="AG25"/>
  <c r="AH25"/>
  <c r="AI25"/>
  <c r="AJ25"/>
  <c r="AK25"/>
  <c r="AB26"/>
  <c r="AC26"/>
  <c r="AD26"/>
  <c r="AE26"/>
  <c r="AF26"/>
  <c r="AG26"/>
  <c r="AH26"/>
  <c r="AI26"/>
  <c r="AJ26"/>
  <c r="AK26"/>
  <c r="AB27"/>
  <c r="AC27"/>
  <c r="AD27"/>
  <c r="AE27"/>
  <c r="AF27"/>
  <c r="AG27"/>
  <c r="AH27"/>
  <c r="AI27"/>
  <c r="AJ27"/>
  <c r="AK27"/>
  <c r="AC28"/>
  <c r="AE28"/>
  <c r="AG28"/>
  <c r="AI28"/>
  <c r="AK28"/>
  <c r="AA23"/>
  <c r="AA24"/>
  <c r="AA25"/>
  <c r="AA26"/>
  <c r="AA27"/>
  <c r="AN6" l="1"/>
  <c r="AN59" i="1"/>
  <c r="AR6" i="2"/>
  <c r="AR59" i="1"/>
  <c r="AV6" i="2"/>
  <c r="AV59" i="1"/>
  <c r="AQ6" i="2"/>
  <c r="AQ59" i="1"/>
  <c r="AU6" i="2"/>
  <c r="AU59" i="1"/>
  <c r="AP6" i="2"/>
  <c r="AP59" i="1"/>
  <c r="AT6" i="2"/>
  <c r="AT59" i="1"/>
  <c r="AX6" i="2"/>
  <c r="AX59" i="1"/>
  <c r="AM6" i="2"/>
  <c r="AM59" i="1"/>
  <c r="AO6" i="2"/>
  <c r="AO59" i="1"/>
  <c r="AS6" i="2"/>
  <c r="AS59" i="1"/>
  <c r="AW6" i="2"/>
  <c r="AW59" i="1"/>
  <c r="AJ28" i="2"/>
  <c r="AH28"/>
  <c r="AF28"/>
  <c r="AD28"/>
  <c r="AB28"/>
  <c r="AK22"/>
  <c r="AJ22"/>
  <c r="AI22"/>
  <c r="AH22"/>
  <c r="AG22"/>
  <c r="AF22"/>
  <c r="AE22"/>
  <c r="AD22"/>
  <c r="AC22"/>
  <c r="AB22"/>
  <c r="AK21"/>
  <c r="AJ21"/>
  <c r="AI21"/>
  <c r="AH21"/>
  <c r="AG21"/>
  <c r="AF21"/>
  <c r="AE21"/>
  <c r="AD21"/>
  <c r="AC21"/>
  <c r="AB21"/>
  <c r="AK20"/>
  <c r="AJ20"/>
  <c r="AI20"/>
  <c r="AH20"/>
  <c r="AG20"/>
  <c r="AF20"/>
  <c r="AE20"/>
  <c r="AD20"/>
  <c r="AC20"/>
  <c r="AB20"/>
  <c r="AK19"/>
  <c r="AJ19"/>
  <c r="AI19"/>
  <c r="AH19"/>
  <c r="AG19"/>
  <c r="AF19"/>
  <c r="AE19"/>
  <c r="AD19"/>
  <c r="AC19"/>
  <c r="AB19"/>
  <c r="AA19"/>
  <c r="A28"/>
  <c r="AA28"/>
  <c r="AA20" l="1"/>
  <c r="AA21"/>
  <c r="AA22"/>
  <c r="AA17" l="1"/>
  <c r="AB17"/>
  <c r="AC17"/>
  <c r="AD17"/>
  <c r="AE17"/>
  <c r="AF17"/>
  <c r="AG17"/>
  <c r="AH17"/>
  <c r="AI17"/>
  <c r="AJ17"/>
  <c r="AK17"/>
  <c r="AK6"/>
  <c r="AI6"/>
  <c r="AG6"/>
  <c r="AE6"/>
  <c r="B31" i="7"/>
  <c r="B35"/>
  <c r="AC16" i="2"/>
  <c r="AI16"/>
  <c r="AJ16"/>
  <c r="AK16"/>
  <c r="O27" i="6"/>
  <c r="B29"/>
  <c r="B30"/>
  <c r="C33"/>
  <c r="E33"/>
  <c r="G33"/>
  <c r="I33"/>
  <c r="K33"/>
  <c r="M33"/>
  <c r="D34"/>
  <c r="F34"/>
  <c r="H34"/>
  <c r="J34"/>
  <c r="L34"/>
  <c r="N34"/>
  <c r="C35"/>
  <c r="E35"/>
  <c r="G35"/>
  <c r="I35"/>
  <c r="K35"/>
  <c r="M35"/>
  <c r="D36"/>
  <c r="F36"/>
  <c r="H36"/>
  <c r="J36"/>
  <c r="L36"/>
  <c r="N36"/>
  <c r="C37"/>
  <c r="E37"/>
  <c r="G37"/>
  <c r="I37"/>
  <c r="K37"/>
  <c r="L37"/>
  <c r="M37"/>
  <c r="N37"/>
  <c r="C38"/>
  <c r="D38"/>
  <c r="O38" s="1"/>
  <c r="E38"/>
  <c r="F38"/>
  <c r="G38"/>
  <c r="H38"/>
  <c r="I38"/>
  <c r="J38"/>
  <c r="K38"/>
  <c r="L38"/>
  <c r="M38"/>
  <c r="N38"/>
  <c r="C39"/>
  <c r="D39"/>
  <c r="E39"/>
  <c r="F39"/>
  <c r="G39"/>
  <c r="H39"/>
  <c r="I39"/>
  <c r="J39"/>
  <c r="K39"/>
  <c r="L39"/>
  <c r="M39"/>
  <c r="N39"/>
  <c r="C40"/>
  <c r="D40"/>
  <c r="E40"/>
  <c r="F40"/>
  <c r="G40"/>
  <c r="H40"/>
  <c r="I40"/>
  <c r="J40"/>
  <c r="K40"/>
  <c r="L40"/>
  <c r="M40"/>
  <c r="N40"/>
  <c r="O40"/>
  <c r="C41"/>
  <c r="D41"/>
  <c r="E41"/>
  <c r="F41"/>
  <c r="G41"/>
  <c r="H41"/>
  <c r="I41"/>
  <c r="J41"/>
  <c r="K41"/>
  <c r="L41"/>
  <c r="M41"/>
  <c r="N41"/>
  <c r="C42"/>
  <c r="D42"/>
  <c r="O42" s="1"/>
  <c r="E42"/>
  <c r="F42"/>
  <c r="G42"/>
  <c r="H42"/>
  <c r="I42"/>
  <c r="J42"/>
  <c r="K42"/>
  <c r="L42"/>
  <c r="M42"/>
  <c r="N42"/>
  <c r="D43"/>
  <c r="O43" s="1"/>
  <c r="E43"/>
  <c r="F43"/>
  <c r="G43"/>
  <c r="H43"/>
  <c r="I43"/>
  <c r="J43"/>
  <c r="K43"/>
  <c r="L43"/>
  <c r="M43"/>
  <c r="N43"/>
  <c r="I44"/>
  <c r="J44"/>
  <c r="K44"/>
  <c r="L44"/>
  <c r="M44"/>
  <c r="N44"/>
  <c r="C45"/>
  <c r="D45"/>
  <c r="E45"/>
  <c r="F45"/>
  <c r="G45"/>
  <c r="H45"/>
  <c r="I45"/>
  <c r="J45"/>
  <c r="K45"/>
  <c r="L45"/>
  <c r="M45"/>
  <c r="N45"/>
  <c r="O45"/>
  <c r="C46"/>
  <c r="D46"/>
  <c r="E46"/>
  <c r="F46"/>
  <c r="G46"/>
  <c r="H46"/>
  <c r="I46"/>
  <c r="J46"/>
  <c r="K46"/>
  <c r="L46"/>
  <c r="M46"/>
  <c r="N46"/>
  <c r="C47"/>
  <c r="D47"/>
  <c r="O47" s="1"/>
  <c r="E47"/>
  <c r="F47"/>
  <c r="G47"/>
  <c r="H47"/>
  <c r="I47"/>
  <c r="J47"/>
  <c r="K47"/>
  <c r="L47"/>
  <c r="M47"/>
  <c r="N47"/>
  <c r="C48"/>
  <c r="D48"/>
  <c r="E48"/>
  <c r="F48"/>
  <c r="G48"/>
  <c r="H48"/>
  <c r="I48"/>
  <c r="J48"/>
  <c r="K48"/>
  <c r="L48"/>
  <c r="M48"/>
  <c r="N48"/>
  <c r="C49"/>
  <c r="D49"/>
  <c r="E49"/>
  <c r="F49"/>
  <c r="G49"/>
  <c r="H49"/>
  <c r="I49"/>
  <c r="J49"/>
  <c r="K49"/>
  <c r="L49"/>
  <c r="M49"/>
  <c r="N49"/>
  <c r="O49"/>
  <c r="C50"/>
  <c r="D50"/>
  <c r="E50"/>
  <c r="F50"/>
  <c r="G50"/>
  <c r="H50"/>
  <c r="I50"/>
  <c r="J50"/>
  <c r="K50"/>
  <c r="L50"/>
  <c r="M50"/>
  <c r="N50"/>
  <c r="C51"/>
  <c r="D51"/>
  <c r="O51" s="1"/>
  <c r="E51"/>
  <c r="F51"/>
  <c r="G51"/>
  <c r="H51"/>
  <c r="I51"/>
  <c r="J51"/>
  <c r="K51"/>
  <c r="L51"/>
  <c r="M51"/>
  <c r="N51"/>
  <c r="C52"/>
  <c r="D52"/>
  <c r="E52"/>
  <c r="F52"/>
  <c r="G52"/>
  <c r="H52"/>
  <c r="I52"/>
  <c r="J52"/>
  <c r="K52"/>
  <c r="L52"/>
  <c r="M52"/>
  <c r="N52"/>
  <c r="C53"/>
  <c r="D53"/>
  <c r="E53"/>
  <c r="F53"/>
  <c r="G53"/>
  <c r="H53"/>
  <c r="I53"/>
  <c r="J53"/>
  <c r="K53"/>
  <c r="L53"/>
  <c r="M53"/>
  <c r="N53"/>
  <c r="O53"/>
  <c r="C54"/>
  <c r="D54"/>
  <c r="E54"/>
  <c r="F54"/>
  <c r="G54"/>
  <c r="H54"/>
  <c r="I54"/>
  <c r="J54"/>
  <c r="K54"/>
  <c r="L54"/>
  <c r="M54"/>
  <c r="N54"/>
  <c r="O55"/>
  <c r="C56"/>
  <c r="D56"/>
  <c r="E56"/>
  <c r="F56"/>
  <c r="G56"/>
  <c r="H56"/>
  <c r="I56"/>
  <c r="J56"/>
  <c r="K56"/>
  <c r="L56"/>
  <c r="M56"/>
  <c r="N56"/>
  <c r="O57"/>
  <c r="C58"/>
  <c r="D58"/>
  <c r="E58"/>
  <c r="F58"/>
  <c r="G58"/>
  <c r="H58"/>
  <c r="I58"/>
  <c r="J58"/>
  <c r="K58"/>
  <c r="L58"/>
  <c r="M58"/>
  <c r="N58"/>
  <c r="P59"/>
  <c r="AA18" i="2"/>
  <c r="AB18"/>
  <c r="AC18"/>
  <c r="AD18"/>
  <c r="AE18"/>
  <c r="AF18"/>
  <c r="AG18"/>
  <c r="AH18"/>
  <c r="AI18"/>
  <c r="AJ18"/>
  <c r="AK18"/>
  <c r="AA15"/>
  <c r="AB15"/>
  <c r="AC15"/>
  <c r="AD15"/>
  <c r="AE15"/>
  <c r="AF15"/>
  <c r="AG15"/>
  <c r="AH15"/>
  <c r="AI15"/>
  <c r="AJ15"/>
  <c r="AK15"/>
  <c r="AA14"/>
  <c r="AB14"/>
  <c r="AC14"/>
  <c r="AD14"/>
  <c r="AF14"/>
  <c r="AH14"/>
  <c r="AJ14"/>
  <c r="A18"/>
  <c r="A13"/>
  <c r="A12"/>
  <c r="A11"/>
  <c r="A10"/>
  <c r="A9"/>
  <c r="A8"/>
  <c r="A7"/>
  <c r="A6"/>
  <c r="AK13"/>
  <c r="AJ13"/>
  <c r="AI13"/>
  <c r="AH13"/>
  <c r="AG13"/>
  <c r="AF13"/>
  <c r="AE13"/>
  <c r="AD13"/>
  <c r="AC13"/>
  <c r="AB13"/>
  <c r="AA13"/>
  <c r="AJ12"/>
  <c r="AH12"/>
  <c r="AF12"/>
  <c r="AD12"/>
  <c r="AC12"/>
  <c r="AB12"/>
  <c r="AA12"/>
  <c r="AK11"/>
  <c r="AJ11"/>
  <c r="AI11"/>
  <c r="AH11"/>
  <c r="AG11"/>
  <c r="AF11"/>
  <c r="AE11"/>
  <c r="AD11"/>
  <c r="AC11"/>
  <c r="AB11"/>
  <c r="AA11"/>
  <c r="AJ10"/>
  <c r="AH10"/>
  <c r="AF10"/>
  <c r="AD10"/>
  <c r="AC10"/>
  <c r="AB10"/>
  <c r="AA10"/>
  <c r="AK9"/>
  <c r="AJ9"/>
  <c r="AI9"/>
  <c r="AH9"/>
  <c r="AG9"/>
  <c r="AF9"/>
  <c r="AE9"/>
  <c r="AD9"/>
  <c r="AC9"/>
  <c r="AB9"/>
  <c r="AA9"/>
  <c r="AJ8"/>
  <c r="AH8"/>
  <c r="AF8"/>
  <c r="AD8"/>
  <c r="AC8"/>
  <c r="AB8"/>
  <c r="AA8"/>
  <c r="AK7"/>
  <c r="AJ7"/>
  <c r="AI7"/>
  <c r="AH7"/>
  <c r="AG7"/>
  <c r="AF7"/>
  <c r="AE7"/>
  <c r="AD7"/>
  <c r="AC7"/>
  <c r="AB7"/>
  <c r="AA7"/>
  <c r="AJ6"/>
  <c r="AH6"/>
  <c r="AF6"/>
  <c r="AD6"/>
  <c r="AC6"/>
  <c r="AB6"/>
  <c r="AA6"/>
  <c r="AE8" l="1"/>
  <c r="AG8"/>
  <c r="AI8"/>
  <c r="AK8"/>
  <c r="AE10"/>
  <c r="AG10"/>
  <c r="AI10"/>
  <c r="AK10"/>
  <c r="AE12"/>
  <c r="AG12"/>
  <c r="AI12"/>
  <c r="AK12"/>
  <c r="AK14"/>
  <c r="AI14"/>
  <c r="AG14"/>
  <c r="AE14"/>
  <c r="AG16"/>
  <c r="AE16"/>
  <c r="AH16"/>
  <c r="AF16"/>
  <c r="AD16"/>
  <c r="AB16"/>
  <c r="AB59" i="1"/>
  <c r="AA59"/>
  <c r="AD59"/>
  <c r="AF59"/>
  <c r="AH59"/>
  <c r="AJ59"/>
  <c r="AL59"/>
  <c r="AC59"/>
  <c r="AE59"/>
  <c r="AG59"/>
  <c r="AI59"/>
  <c r="AK59"/>
  <c r="AA16" i="2"/>
  <c r="O54" i="6"/>
  <c r="O50"/>
  <c r="O46"/>
  <c r="O41"/>
  <c r="O56"/>
  <c r="O52"/>
  <c r="O48"/>
  <c r="O44"/>
  <c r="O39"/>
  <c r="D33"/>
  <c r="F33"/>
  <c r="H33"/>
  <c r="J33"/>
  <c r="L33"/>
  <c r="N33"/>
  <c r="C34"/>
  <c r="E34"/>
  <c r="G34"/>
  <c r="I34"/>
  <c r="K34"/>
  <c r="M34"/>
  <c r="D35"/>
  <c r="F35"/>
  <c r="H35"/>
  <c r="J35"/>
  <c r="L35"/>
  <c r="N35"/>
  <c r="C36"/>
  <c r="E36"/>
  <c r="G36"/>
  <c r="I36"/>
  <c r="K36"/>
  <c r="M36"/>
  <c r="D37"/>
  <c r="F37"/>
  <c r="H37"/>
  <c r="J37"/>
  <c r="O34" l="1"/>
  <c r="C59"/>
  <c r="O33"/>
  <c r="D59"/>
  <c r="I59"/>
  <c r="N59"/>
  <c r="J59"/>
  <c r="O37"/>
  <c r="O36"/>
  <c r="O35"/>
  <c r="K59"/>
  <c r="G59"/>
  <c r="L59"/>
  <c r="H59"/>
  <c r="M59"/>
  <c r="E59"/>
  <c r="F59"/>
  <c r="O59" l="1"/>
</calcChain>
</file>

<file path=xl/sharedStrings.xml><?xml version="1.0" encoding="utf-8"?>
<sst xmlns="http://schemas.openxmlformats.org/spreadsheetml/2006/main" count="678" uniqueCount="139">
  <si>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</si>
  <si>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</si>
  <si>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</si>
  <si>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</si>
  <si>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</si>
  <si>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</si>
  <si>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</si>
  <si>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</si>
  <si>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</si>
  <si>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</si>
  <si>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</si>
  <si>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</si>
  <si>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Sales Volume</t>
  </si>
  <si>
    <t>Annual</t>
  </si>
  <si>
    <t>7171i</t>
  </si>
  <si>
    <t>157001150211 Frt Exp-Hydrocodone Products</t>
  </si>
  <si>
    <t>157001150210 Frt Exp-Oxycodone Products</t>
  </si>
  <si>
    <t>157001150244 Oxycodone APAP-Frt Exp</t>
  </si>
  <si>
    <t>157001150222 Frt Exp-ADHD</t>
  </si>
  <si>
    <t>157001150227 Oxycodone ER Products Freight</t>
  </si>
  <si>
    <t>157001150229 Morphine ER-Frt Exp</t>
  </si>
  <si>
    <t>157001150230 Hydromorphone-Frt Exp</t>
  </si>
  <si>
    <t>157001150231 Methadone Generics-Frt Exp</t>
  </si>
  <si>
    <t>157001150232 APAP Codeine-Frt Exp</t>
  </si>
  <si>
    <t>157001150233 APAP Propoxyphene-Frt Exp</t>
  </si>
  <si>
    <t>157001150209 FREIGHT</t>
  </si>
  <si>
    <t>157001150226 Zydus Freight Expense</t>
  </si>
  <si>
    <t>157001150246 Restoril/Temazepam Frt Expense</t>
  </si>
  <si>
    <t>157001150245 Tofranil-PM/ImipraPam Frt Exp</t>
  </si>
  <si>
    <t>157001150225 Frt Exp-CNS Non-Promoted Prod</t>
  </si>
  <si>
    <t>157001150224 Frt Exp-Other Brand Products</t>
  </si>
  <si>
    <t>157001150235 Tussicaps-Frt Exp</t>
  </si>
  <si>
    <t>157001150221 Frt Exp-ADDICTION TREATMENT</t>
  </si>
  <si>
    <t>161001151654 China Export Dosage Narc</t>
  </si>
  <si>
    <t>Restoril Promoted</t>
  </si>
  <si>
    <t>Tofranil PM/IP</t>
  </si>
  <si>
    <t>Freight per bottle, except AT</t>
  </si>
  <si>
    <t>Freight per bottle for AT</t>
  </si>
  <si>
    <t>Total</t>
  </si>
  <si>
    <t>Outfreight Expense - 7171</t>
  </si>
  <si>
    <t>FY10</t>
  </si>
  <si>
    <t>FY10 Working Forecast</t>
  </si>
  <si>
    <t>Full Year</t>
  </si>
  <si>
    <t>FYI only</t>
  </si>
  <si>
    <t>Dollars</t>
  </si>
  <si>
    <t>157001000211 Hydrocodone Products</t>
  </si>
  <si>
    <t>157001000210 Oxycodone Products</t>
  </si>
  <si>
    <t>157001000244 Oxycodone APAP Products</t>
  </si>
  <si>
    <t>157001000222 ADHD</t>
  </si>
  <si>
    <t>157001000227 Oxycodone ER</t>
  </si>
  <si>
    <t>Morphine ER</t>
  </si>
  <si>
    <t>Hydromorphone</t>
  </si>
  <si>
    <t>Methadone Generic</t>
  </si>
  <si>
    <t>APAP/Codeine</t>
  </si>
  <si>
    <t>APAP/Propoxyphene</t>
  </si>
  <si>
    <t>157001000209 DOS FORM NARC</t>
  </si>
  <si>
    <t>157001000226 ZyPharma</t>
  </si>
  <si>
    <t>157001000225 CNS Non-Promoted Products</t>
  </si>
  <si>
    <t>157001000224 Other Brand Products</t>
  </si>
  <si>
    <t>Tussicaps</t>
  </si>
  <si>
    <t>157001000221 ADDICTION TREATMENT</t>
  </si>
  <si>
    <t>International</t>
  </si>
  <si>
    <t>166012150000 Hobart Production Freight</t>
  </si>
  <si>
    <t>(FY09 forecast = .09 + 7% inflation increase + 5% addl per JC)</t>
  </si>
  <si>
    <t>(FY09 forecast = 3.45 + 7% inflation increase + 5% addl per JC)</t>
  </si>
  <si>
    <t>7171i Out-freight Expense</t>
  </si>
  <si>
    <t>161001151632 DOSAGE NARC Freight</t>
  </si>
  <si>
    <t>FY09</t>
  </si>
  <si>
    <t>161001151653 Europe Export Dosage Narc</t>
  </si>
  <si>
    <t>Fentanyl Lozenge</t>
  </si>
  <si>
    <t>Fentanyl Patch</t>
  </si>
  <si>
    <t>157001150234 Fentanyl Lozenge-Frt Exp</t>
  </si>
  <si>
    <t>157001150236 Fentanyl Patch-Frt Exp</t>
  </si>
  <si>
    <t>157001150251 Pennsaid Frt Expense</t>
  </si>
  <si>
    <t>157001150252 Exalgo Freight Exp</t>
  </si>
  <si>
    <t>Freight for Fentanyl Lozenge and Patch</t>
  </si>
  <si>
    <t>50% of bgt</t>
  </si>
  <si>
    <t>(estimate)</t>
  </si>
  <si>
    <t>Pennsaid</t>
  </si>
  <si>
    <t>Exalgo</t>
  </si>
  <si>
    <t>Freight per bottle for INTL</t>
  </si>
  <si>
    <t>(FY10 forecast estimate)</t>
  </si>
  <si>
    <t>Temazepam</t>
  </si>
  <si>
    <t>157001150253 Temazepam-Frt Exp</t>
  </si>
  <si>
    <t>Calculated Forecast</t>
  </si>
  <si>
    <t>Freight Expense</t>
  </si>
  <si>
    <t>7165i In-freight Expense</t>
  </si>
  <si>
    <t>WW Spec Pharma - CYR</t>
  </si>
  <si>
    <t>Specialty Generics and Specialty Pharmaceuticals</t>
  </si>
  <si>
    <t>2011 Actuals</t>
  </si>
  <si>
    <t>157001150248 Oxymorphone IR (Opana IR)</t>
  </si>
  <si>
    <t>Working Forecast</t>
  </si>
  <si>
    <t>157001150239 Triancinolone Inj-Frt Exp</t>
  </si>
  <si>
    <t>Imipramine Pamoate</t>
  </si>
  <si>
    <t>157001150254 Imipramine Pamoate-Frt Exp</t>
  </si>
  <si>
    <t>WW Spec Generics - CYR</t>
  </si>
  <si>
    <t>PharmDmnd</t>
  </si>
  <si>
    <t>COV</t>
  </si>
  <si>
    <t>7165i</t>
  </si>
  <si>
    <t>Methylphenidate ER Tabs (Concerta)</t>
  </si>
  <si>
    <t>Oxymorphone ER (Opana ER)</t>
  </si>
  <si>
    <t>Oxymorphone IR (Opana IR)</t>
  </si>
  <si>
    <t>Hydrocodone</t>
  </si>
  <si>
    <t>Oxycodone</t>
  </si>
  <si>
    <t>Oxycodone APAP</t>
  </si>
  <si>
    <t>ADHD Generic</t>
  </si>
  <si>
    <t>Other Generics</t>
  </si>
  <si>
    <t>Methylphenidate ER Caps (Metadate CD)</t>
  </si>
  <si>
    <t>Addiction Treatment (Brand)</t>
  </si>
  <si>
    <t>Oxycodone ER</t>
  </si>
  <si>
    <t>TussiSuspension</t>
  </si>
  <si>
    <t>Buprenorphine/Naloxone (Suboxone)</t>
  </si>
  <si>
    <t>Buprenorphine (Subutex)</t>
  </si>
  <si>
    <t>Morphine Sulfate ER 12hr Caps (Kadian)</t>
  </si>
  <si>
    <t>157001150237 Methylphenidate ER(MedadateCD)</t>
  </si>
  <si>
    <t>157001150238 Methylphenidate ER (Concerta)</t>
  </si>
  <si>
    <t>157001150241 OxymorphoneER(OpanaER) Frt Exp</t>
  </si>
  <si>
    <t>157001150240 Tussi Suspension-Frt Exp</t>
  </si>
  <si>
    <t>157001150243 Buprenorphine/Naloxone(Subxne)</t>
  </si>
  <si>
    <t>157001150260 Buprenorphine(Subutex)</t>
  </si>
  <si>
    <t>157001150247 Morphine Sulfate ER (Kadian)</t>
  </si>
  <si>
    <t>Strategic Plan FY14</t>
  </si>
  <si>
    <t>Strategic Plan FY15</t>
  </si>
  <si>
    <t>Strategic Plan FY16</t>
  </si>
  <si>
    <t>(FY10 forecast = 0.09 per E.Young, Logistics 11/17/09)</t>
  </si>
  <si>
    <t>(FY11 MARLE = 1.08 per C. Gidcomb 02/21/11)</t>
  </si>
  <si>
    <t>Working Forecast Y2</t>
  </si>
  <si>
    <t>FY11 APR LE - Outfreight Expense - 7171</t>
  </si>
  <si>
    <t>F12</t>
  </si>
  <si>
    <t>F13</t>
  </si>
  <si>
    <t>F14</t>
  </si>
  <si>
    <t>Working Forecast Y3</t>
  </si>
  <si>
    <t>Working Forecast Y4</t>
  </si>
  <si>
    <t>WF</t>
  </si>
  <si>
    <t>12WF</t>
  </si>
  <si>
    <t>13WF</t>
  </si>
  <si>
    <t>14WF</t>
  </si>
  <si>
    <t>Cost &amp; Inflation Rate Year-to-Year Change</t>
  </si>
  <si>
    <t>F12 per Cathy Gidcomb 03/29/11)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</si>
</sst>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#,##0.000_);\(#,##0.000\)"/>
  </numFmts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53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b/>
      <sz val="10"/>
      <color rgb="FF3333FF"/>
      <name val="Arial"/>
      <family val="2"/>
    </font>
    <font>
      <b/>
      <sz val="10"/>
      <color rgb="FF7030A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quotePrefix="1"/>
    <xf numFmtId="37" fontId="0" fillId="0" borderId="0" xfId="0" quotePrefix="1" applyNumberFormat="1"/>
    <xf numFmtId="37" fontId="0" fillId="0" borderId="0" xfId="0" applyNumberFormat="1"/>
    <xf numFmtId="0" fontId="3" fillId="0" borderId="0" xfId="0" applyFont="1" applyFill="1" applyBorder="1"/>
    <xf numFmtId="164" fontId="3" fillId="0" borderId="0" xfId="1" applyNumberFormat="1" applyFont="1" applyFill="1" applyBorder="1"/>
    <xf numFmtId="164" fontId="4" fillId="0" borderId="0" xfId="1" applyNumberFormat="1" applyFont="1" applyFill="1" applyBorder="1"/>
    <xf numFmtId="0" fontId="0" fillId="0" borderId="0" xfId="0" applyBorder="1"/>
    <xf numFmtId="164" fontId="3" fillId="0" borderId="0" xfId="1" quotePrefix="1" applyNumberFormat="1" applyFont="1" applyFill="1" applyBorder="1"/>
    <xf numFmtId="164" fontId="5" fillId="0" borderId="0" xfId="1" applyNumberFormat="1" applyFont="1" applyFill="1" applyBorder="1"/>
    <xf numFmtId="164" fontId="0" fillId="0" borderId="0" xfId="1" applyNumberFormat="1" applyFont="1" applyBorder="1"/>
    <xf numFmtId="164" fontId="4" fillId="0" borderId="0" xfId="1" applyNumberFormat="1" applyFont="1" applyBorder="1"/>
    <xf numFmtId="0" fontId="3" fillId="0" borderId="0" xfId="0" quotePrefix="1" applyFont="1" applyFill="1" applyBorder="1"/>
    <xf numFmtId="0" fontId="4" fillId="0" borderId="0" xfId="0" quotePrefix="1" applyFont="1"/>
    <xf numFmtId="37" fontId="0" fillId="0" borderId="1" xfId="0" applyNumberFormat="1" applyBorder="1"/>
    <xf numFmtId="0" fontId="4" fillId="0" borderId="0" xfId="0" applyFont="1"/>
    <xf numFmtId="164" fontId="0" fillId="0" borderId="0" xfId="1" applyNumberFormat="1" applyFont="1"/>
    <xf numFmtId="164" fontId="0" fillId="0" borderId="0" xfId="1" quotePrefix="1" applyNumberFormat="1" applyFont="1"/>
    <xf numFmtId="164" fontId="6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1" fillId="0" borderId="0" xfId="1" applyNumberFormat="1"/>
    <xf numFmtId="164" fontId="1" fillId="0" borderId="1" xfId="1" applyNumberFormat="1" applyBorder="1"/>
    <xf numFmtId="165" fontId="4" fillId="2" borderId="0" xfId="0" quotePrefix="1" applyNumberFormat="1" applyFont="1" applyFill="1"/>
    <xf numFmtId="164" fontId="6" fillId="3" borderId="0" xfId="1" applyNumberFormat="1" applyFont="1" applyFill="1" applyAlignment="1">
      <alignment horizontal="center"/>
    </xf>
    <xf numFmtId="164" fontId="4" fillId="0" borderId="1" xfId="1" applyNumberFormat="1" applyFont="1" applyBorder="1"/>
    <xf numFmtId="0" fontId="3" fillId="4" borderId="0" xfId="0" applyFont="1" applyFill="1"/>
    <xf numFmtId="164" fontId="3" fillId="4" borderId="0" xfId="1" applyNumberFormat="1" applyFont="1" applyFill="1" applyBorder="1"/>
    <xf numFmtId="0" fontId="0" fillId="0" borderId="0" xfId="0" quotePrefix="1" applyFill="1" applyBorder="1"/>
    <xf numFmtId="37" fontId="0" fillId="5" borderId="0" xfId="0" applyNumberFormat="1" applyFill="1"/>
    <xf numFmtId="0" fontId="0" fillId="5" borderId="0" xfId="0" applyFill="1"/>
    <xf numFmtId="165" fontId="4" fillId="5" borderId="0" xfId="0" applyNumberFormat="1" applyFont="1" applyFill="1" applyAlignment="1">
      <alignment horizontal="right"/>
    </xf>
    <xf numFmtId="37" fontId="0" fillId="0" borderId="0" xfId="0" applyNumberFormat="1" applyFill="1"/>
    <xf numFmtId="0" fontId="0" fillId="0" borderId="0" xfId="0" quotePrefix="1" applyFill="1"/>
    <xf numFmtId="164" fontId="1" fillId="0" borderId="0" xfId="1" quotePrefix="1" applyNumberFormat="1"/>
    <xf numFmtId="164" fontId="1" fillId="3" borderId="0" xfId="1" applyNumberFormat="1" applyFill="1"/>
    <xf numFmtId="164" fontId="1" fillId="3" borderId="0" xfId="1" applyNumberFormat="1" applyFill="1" applyBorder="1"/>
    <xf numFmtId="164" fontId="1" fillId="3" borderId="1" xfId="1" applyNumberFormat="1" applyFill="1" applyBorder="1"/>
    <xf numFmtId="0" fontId="7" fillId="0" borderId="0" xfId="0" applyFont="1"/>
    <xf numFmtId="0" fontId="0" fillId="0" borderId="0" xfId="0" applyFill="1"/>
    <xf numFmtId="0" fontId="3" fillId="0" borderId="0" xfId="0" quotePrefix="1" applyFont="1"/>
    <xf numFmtId="164" fontId="3" fillId="0" borderId="0" xfId="1" applyNumberFormat="1" applyFont="1" applyBorder="1"/>
    <xf numFmtId="164" fontId="3" fillId="0" borderId="0" xfId="1" applyNumberFormat="1" applyFont="1"/>
    <xf numFmtId="164" fontId="9" fillId="0" borderId="0" xfId="1" applyNumberFormat="1" applyFont="1" applyFill="1" applyBorder="1"/>
    <xf numFmtId="164" fontId="3" fillId="0" borderId="0" xfId="1" quotePrefix="1" applyNumberFormat="1" applyFont="1" applyFill="1" applyBorder="1" applyAlignment="1">
      <alignment wrapText="1"/>
    </xf>
    <xf numFmtId="164" fontId="0" fillId="0" borderId="0" xfId="1" quotePrefix="1" applyNumberFormat="1" applyFont="1" applyFill="1" applyBorder="1"/>
    <xf numFmtId="164" fontId="3" fillId="0" borderId="0" xfId="1" quotePrefix="1" applyNumberFormat="1" applyFont="1"/>
    <xf numFmtId="164" fontId="3" fillId="0" borderId="0" xfId="1" applyNumberFormat="1" applyFont="1" applyFill="1"/>
    <xf numFmtId="164" fontId="0" fillId="0" borderId="1" xfId="1" applyNumberFormat="1" applyFont="1" applyBorder="1"/>
    <xf numFmtId="164" fontId="1" fillId="2" borderId="0" xfId="1" quotePrefix="1" applyNumberFormat="1" applyFill="1"/>
    <xf numFmtId="37" fontId="8" fillId="0" borderId="0" xfId="0" quotePrefix="1" applyNumberFormat="1" applyFont="1" applyFill="1" applyBorder="1" applyAlignment="1">
      <alignment horizontal="center"/>
    </xf>
    <xf numFmtId="43" fontId="3" fillId="5" borderId="0" xfId="1" quotePrefix="1" applyFont="1" applyFill="1" applyBorder="1"/>
    <xf numFmtId="0" fontId="0" fillId="5" borderId="0" xfId="0" quotePrefix="1" applyFill="1"/>
    <xf numFmtId="43" fontId="3" fillId="0" borderId="0" xfId="1" quotePrefix="1" applyFont="1" applyFill="1" applyBorder="1"/>
    <xf numFmtId="43" fontId="1" fillId="0" borderId="0" xfId="1" quotePrefix="1"/>
    <xf numFmtId="0" fontId="4" fillId="6" borderId="0" xfId="0" applyFont="1" applyFill="1"/>
    <xf numFmtId="37" fontId="11" fillId="8" borderId="0" xfId="0" applyNumberFormat="1" applyFont="1" applyFill="1"/>
    <xf numFmtId="43" fontId="1" fillId="0" borderId="0" xfId="1" quotePrefix="1" applyFont="1" applyFill="1" applyBorder="1"/>
    <xf numFmtId="164" fontId="1" fillId="0" borderId="0" xfId="1" applyNumberFormat="1" applyFont="1" applyFill="1" applyBorder="1"/>
    <xf numFmtId="164" fontId="4" fillId="0" borderId="0" xfId="1" quotePrefix="1" applyNumberFormat="1" applyFont="1" applyFill="1" applyBorder="1"/>
    <xf numFmtId="43" fontId="0" fillId="0" borderId="0" xfId="1" quotePrefix="1" applyFont="1" applyFill="1"/>
    <xf numFmtId="164" fontId="1" fillId="0" borderId="0" xfId="1" applyNumberFormat="1" applyFont="1" applyBorder="1"/>
    <xf numFmtId="0" fontId="1" fillId="0" borderId="0" xfId="0" applyFont="1" applyFill="1" applyBorder="1"/>
    <xf numFmtId="164" fontId="1" fillId="0" borderId="0" xfId="1" quotePrefix="1" applyNumberFormat="1" applyFont="1" applyFill="1" applyBorder="1" applyAlignment="1">
      <alignment horizontal="right"/>
    </xf>
    <xf numFmtId="37" fontId="1" fillId="6" borderId="0" xfId="0" quotePrefix="1" applyNumberFormat="1" applyFont="1" applyFill="1"/>
    <xf numFmtId="164" fontId="1" fillId="0" borderId="0" xfId="1" quotePrefix="1" applyNumberFormat="1" applyFont="1" applyFill="1" applyBorder="1"/>
    <xf numFmtId="164" fontId="12" fillId="0" borderId="0" xfId="1" quotePrefix="1" applyNumberFormat="1" applyFont="1" applyAlignment="1">
      <alignment horizontal="center" wrapText="1"/>
    </xf>
    <xf numFmtId="37" fontId="10" fillId="7" borderId="0" xfId="0" quotePrefix="1" applyNumberFormat="1" applyFont="1" applyFill="1"/>
    <xf numFmtId="0" fontId="1" fillId="0" borderId="0" xfId="0" quotePrefix="1" applyFont="1"/>
    <xf numFmtId="37" fontId="4" fillId="9" borderId="5" xfId="0" applyNumberFormat="1" applyFont="1" applyFill="1" applyBorder="1" applyAlignment="1">
      <alignment horizontal="right"/>
    </xf>
    <xf numFmtId="37" fontId="4" fillId="7" borderId="7" xfId="0" applyNumberFormat="1" applyFont="1" applyFill="1" applyBorder="1" applyAlignment="1">
      <alignment horizontal="right"/>
    </xf>
    <xf numFmtId="9" fontId="0" fillId="7" borderId="6" xfId="2" applyFont="1" applyFill="1" applyBorder="1"/>
    <xf numFmtId="37" fontId="4" fillId="10" borderId="7" xfId="0" applyNumberFormat="1" applyFont="1" applyFill="1" applyBorder="1" applyAlignment="1">
      <alignment horizontal="right"/>
    </xf>
    <xf numFmtId="9" fontId="0" fillId="10" borderId="8" xfId="2" applyFont="1" applyFill="1" applyBorder="1"/>
    <xf numFmtId="166" fontId="0" fillId="0" borderId="0" xfId="0" applyNumberFormat="1" applyFill="1"/>
    <xf numFmtId="44" fontId="4" fillId="9" borderId="6" xfId="3" applyFont="1" applyFill="1" applyBorder="1"/>
    <xf numFmtId="37" fontId="4" fillId="9" borderId="0" xfId="0" applyNumberFormat="1" applyFont="1" applyFill="1"/>
    <xf numFmtId="37" fontId="4" fillId="9" borderId="0" xfId="0" quotePrefix="1" applyNumberFormat="1" applyFont="1" applyFill="1"/>
    <xf numFmtId="37" fontId="14" fillId="11" borderId="2" xfId="0" applyNumberFormat="1" applyFont="1" applyFill="1" applyBorder="1" applyAlignment="1">
      <alignment horizontal="center"/>
    </xf>
    <xf numFmtId="37" fontId="14" fillId="11" borderId="3" xfId="0" applyNumberFormat="1" applyFont="1" applyFill="1" applyBorder="1" applyAlignment="1">
      <alignment horizontal="center"/>
    </xf>
    <xf numFmtId="37" fontId="14" fillId="11" borderId="4" xfId="0" applyNumberFormat="1" applyFont="1" applyFill="1" applyBorder="1" applyAlignment="1">
      <alignment horizontal="center"/>
    </xf>
    <xf numFmtId="0" fontId="0" fillId="7" borderId="0" xfId="0" applyFill="1"/>
    <xf numFmtId="37" fontId="0" fillId="7" borderId="0" xfId="0" applyNumberForma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66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RPFINCE/Forecast%20Tyco%20-%20FY11/FORECAST/OCTLE/FreightExpFY11OCT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harm Demand"/>
      <sheetName val="Pharm Demand b4"/>
      <sheetName val="Upload to COV"/>
      <sheetName val="Download COV Act"/>
      <sheetName val="Check COV Fcst"/>
      <sheetName val="F10"/>
    </sheetNames>
    <sheetDataSet>
      <sheetData sheetId="0">
        <row r="49">
          <cell r="A49" t="str">
            <v>157001150221 Frt Exp-ADDICTION TREATMENT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60"/>
  <sheetViews>
    <sheetView zoomScale="95" workbookViewId="0">
      <pane xSplit="1" ySplit="5" topLeftCell="AL6" activePane="bottomRight" state="frozen"/>
      <selection activeCell="K59" sqref="K59"/>
      <selection pane="topRight" activeCell="K59" sqref="K59"/>
      <selection pane="bottomLeft" activeCell="K59" sqref="K59"/>
      <selection pane="bottomRight" sqref="A1:XFD1048576"/>
    </sheetView>
  </sheetViews>
  <sheetFormatPr defaultRowHeight="12.75"/>
  <cols>
    <col min="1" max="1" width="47.5703125" customWidth="1"/>
    <col min="2" max="2" width="13.28515625" bestFit="1" customWidth="1"/>
    <col min="3" max="26" width="10.140625" customWidth="1"/>
    <col min="27" max="38" width="10.28515625" style="3" customWidth="1"/>
    <col min="39" max="39" width="11.85546875" bestFit="1" customWidth="1"/>
    <col min="40" max="50" width="10.140625" customWidth="1"/>
  </cols>
  <sheetData>
    <row r="1" spans="1:50">
      <c r="A1" s="15" t="s">
        <v>88</v>
      </c>
      <c r="B1" s="15"/>
    </row>
    <row r="2" spans="1:50">
      <c r="A2" s="55" t="s">
        <v>127</v>
      </c>
      <c r="B2" s="55"/>
    </row>
    <row r="3" spans="1:50">
      <c r="A3" s="15"/>
      <c r="B3" s="15"/>
      <c r="C3" s="67" t="s">
        <v>96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</row>
    <row r="4" spans="1:50">
      <c r="C4" s="64" t="s">
        <v>133</v>
      </c>
      <c r="D4" s="64" t="s">
        <v>133</v>
      </c>
      <c r="E4" s="64" t="s">
        <v>133</v>
      </c>
      <c r="F4" s="64" t="s">
        <v>133</v>
      </c>
      <c r="G4" s="64" t="s">
        <v>133</v>
      </c>
      <c r="H4" s="64" t="s">
        <v>133</v>
      </c>
      <c r="I4" s="64" t="s">
        <v>133</v>
      </c>
      <c r="J4" s="64" t="s">
        <v>133</v>
      </c>
      <c r="K4" s="64" t="s">
        <v>133</v>
      </c>
      <c r="L4" s="64" t="s">
        <v>133</v>
      </c>
      <c r="M4" s="64" t="s">
        <v>133</v>
      </c>
      <c r="N4" s="64" t="s">
        <v>133</v>
      </c>
      <c r="O4" s="64" t="s">
        <v>134</v>
      </c>
      <c r="P4" s="64" t="s">
        <v>134</v>
      </c>
      <c r="Q4" s="64" t="s">
        <v>134</v>
      </c>
      <c r="R4" s="64" t="s">
        <v>134</v>
      </c>
      <c r="S4" s="64" t="s">
        <v>134</v>
      </c>
      <c r="T4" s="64" t="s">
        <v>134</v>
      </c>
      <c r="U4" s="64" t="s">
        <v>134</v>
      </c>
      <c r="V4" s="64" t="s">
        <v>134</v>
      </c>
      <c r="W4" s="64" t="s">
        <v>134</v>
      </c>
      <c r="X4" s="64" t="s">
        <v>134</v>
      </c>
      <c r="Y4" s="64" t="s">
        <v>134</v>
      </c>
      <c r="Z4" s="64" t="s">
        <v>134</v>
      </c>
      <c r="AA4" s="64" t="s">
        <v>135</v>
      </c>
      <c r="AB4" s="64" t="s">
        <v>135</v>
      </c>
      <c r="AC4" s="64" t="s">
        <v>135</v>
      </c>
      <c r="AD4" s="64" t="s">
        <v>135</v>
      </c>
      <c r="AE4" s="64" t="s">
        <v>135</v>
      </c>
      <c r="AF4" s="64" t="s">
        <v>135</v>
      </c>
      <c r="AG4" s="64" t="s">
        <v>135</v>
      </c>
      <c r="AH4" s="64" t="s">
        <v>135</v>
      </c>
      <c r="AI4" s="64" t="s">
        <v>135</v>
      </c>
      <c r="AJ4" s="64" t="s">
        <v>135</v>
      </c>
      <c r="AK4" s="64" t="s">
        <v>135</v>
      </c>
      <c r="AL4" s="64" t="s">
        <v>135</v>
      </c>
      <c r="AM4" s="64" t="s">
        <v>136</v>
      </c>
      <c r="AN4" s="64" t="s">
        <v>136</v>
      </c>
      <c r="AO4" s="64" t="s">
        <v>136</v>
      </c>
      <c r="AP4" s="64" t="s">
        <v>136</v>
      </c>
      <c r="AQ4" s="64" t="s">
        <v>136</v>
      </c>
      <c r="AR4" s="64" t="s">
        <v>136</v>
      </c>
      <c r="AS4" s="64" t="s">
        <v>136</v>
      </c>
      <c r="AT4" s="64" t="s">
        <v>136</v>
      </c>
      <c r="AU4" s="64" t="s">
        <v>136</v>
      </c>
      <c r="AV4" s="64" t="s">
        <v>136</v>
      </c>
      <c r="AW4" s="64" t="s">
        <v>136</v>
      </c>
      <c r="AX4" s="64" t="s">
        <v>136</v>
      </c>
    </row>
    <row r="5" spans="1:50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0</v>
      </c>
      <c r="P5" s="2" t="s">
        <v>1</v>
      </c>
      <c r="Q5" s="2" t="s">
        <v>2</v>
      </c>
      <c r="R5" s="2" t="s">
        <v>3</v>
      </c>
      <c r="S5" s="2" t="s">
        <v>4</v>
      </c>
      <c r="T5" s="2" t="s">
        <v>5</v>
      </c>
      <c r="U5" s="2" t="s">
        <v>6</v>
      </c>
      <c r="V5" s="2" t="s">
        <v>7</v>
      </c>
      <c r="W5" s="2" t="s">
        <v>8</v>
      </c>
      <c r="X5" s="2" t="s">
        <v>9</v>
      </c>
      <c r="Y5" s="2" t="s">
        <v>10</v>
      </c>
      <c r="Z5" s="2" t="s">
        <v>11</v>
      </c>
      <c r="AA5" s="2" t="s">
        <v>0</v>
      </c>
      <c r="AB5" s="2" t="s">
        <v>1</v>
      </c>
      <c r="AC5" s="2" t="s">
        <v>2</v>
      </c>
      <c r="AD5" s="2" t="s">
        <v>3</v>
      </c>
      <c r="AE5" s="2" t="s">
        <v>4</v>
      </c>
      <c r="AF5" s="2" t="s">
        <v>5</v>
      </c>
      <c r="AG5" s="2" t="s">
        <v>6</v>
      </c>
      <c r="AH5" s="2" t="s">
        <v>7</v>
      </c>
      <c r="AI5" s="2" t="s">
        <v>8</v>
      </c>
      <c r="AJ5" s="2" t="s">
        <v>9</v>
      </c>
      <c r="AK5" s="2" t="s">
        <v>10</v>
      </c>
      <c r="AL5" s="2" t="s">
        <v>11</v>
      </c>
      <c r="AM5" s="2" t="s">
        <v>0</v>
      </c>
      <c r="AN5" s="2" t="s">
        <v>1</v>
      </c>
      <c r="AO5" s="2" t="s">
        <v>2</v>
      </c>
      <c r="AP5" s="2" t="s">
        <v>3</v>
      </c>
      <c r="AQ5" s="2" t="s">
        <v>4</v>
      </c>
      <c r="AR5" s="2" t="s">
        <v>5</v>
      </c>
      <c r="AS5" s="2" t="s">
        <v>6</v>
      </c>
      <c r="AT5" s="2" t="s">
        <v>7</v>
      </c>
      <c r="AU5" s="2" t="s">
        <v>8</v>
      </c>
      <c r="AV5" s="2" t="s">
        <v>9</v>
      </c>
      <c r="AW5" s="2" t="s">
        <v>10</v>
      </c>
      <c r="AX5" s="2" t="s">
        <v>11</v>
      </c>
    </row>
    <row r="6" spans="1:50">
      <c r="A6" s="1" t="s">
        <v>102</v>
      </c>
      <c r="B6" s="68" t="s">
        <v>12</v>
      </c>
      <c r="C6" s="2">
        <v>1235886.0149999994</v>
      </c>
      <c r="D6" s="2">
        <v>1804512.0009999999</v>
      </c>
      <c r="E6" s="2">
        <v>1149335.0009999999</v>
      </c>
      <c r="F6" s="2">
        <v>1051728</v>
      </c>
      <c r="G6" s="2">
        <v>1426134.0019999999</v>
      </c>
      <c r="H6" s="2">
        <v>1317971.0009999999</v>
      </c>
      <c r="I6" s="2">
        <v>1417836</v>
      </c>
      <c r="J6" s="2">
        <v>1775462.3474156274</v>
      </c>
      <c r="K6" s="2">
        <v>1378399.5063435694</v>
      </c>
      <c r="L6" s="2">
        <v>1404003.1217281851</v>
      </c>
      <c r="M6" s="2">
        <v>1847024.6166463967</v>
      </c>
      <c r="N6" s="2">
        <v>1681835.1669546971</v>
      </c>
      <c r="O6" s="2">
        <v>1477714.9171591857</v>
      </c>
      <c r="P6" s="2">
        <v>1847143.6464489838</v>
      </c>
      <c r="Q6" s="2">
        <v>1477714.9171591857</v>
      </c>
      <c r="R6" s="2">
        <v>1477714.9171591857</v>
      </c>
      <c r="S6" s="2">
        <v>1847143.6464489838</v>
      </c>
      <c r="T6" s="2">
        <v>1477714.9171591857</v>
      </c>
      <c r="U6" s="2">
        <v>1477714.9171591857</v>
      </c>
      <c r="V6" s="2">
        <v>1847143.6464489838</v>
      </c>
      <c r="W6" s="2">
        <v>1477714.9171591857</v>
      </c>
      <c r="X6" s="2">
        <v>1477714.9171591857</v>
      </c>
      <c r="Y6" s="2">
        <v>1847143.6464489838</v>
      </c>
      <c r="Z6" s="2">
        <v>1477714.9171591857</v>
      </c>
      <c r="AA6" s="2">
        <v>1727549.8712840767</v>
      </c>
      <c r="AB6" s="2">
        <v>2159437.3391050957</v>
      </c>
      <c r="AC6" s="2">
        <v>1727549.8712840767</v>
      </c>
      <c r="AD6" s="2">
        <v>1727549.8712840767</v>
      </c>
      <c r="AE6" s="2">
        <v>2159437.3391050957</v>
      </c>
      <c r="AF6" s="2">
        <v>1727549.8712840767</v>
      </c>
      <c r="AG6" s="2">
        <v>1727549.8712840767</v>
      </c>
      <c r="AH6" s="2">
        <v>2159437.3391050957</v>
      </c>
      <c r="AI6" s="2">
        <v>1727549.8712840767</v>
      </c>
      <c r="AJ6" s="2">
        <v>1727549.8712840767</v>
      </c>
      <c r="AK6" s="2">
        <v>2159437.3391050957</v>
      </c>
      <c r="AL6" s="2">
        <v>1727549.8712840767</v>
      </c>
      <c r="AM6" s="2">
        <v>2010335.0855505725</v>
      </c>
      <c r="AN6" s="2">
        <v>2512918.856938215</v>
      </c>
      <c r="AO6" s="2">
        <v>2010335.0855505725</v>
      </c>
      <c r="AP6" s="2">
        <v>2010335.0855505725</v>
      </c>
      <c r="AQ6" s="2">
        <v>2512918.856938215</v>
      </c>
      <c r="AR6" s="2">
        <v>2010686.9317044187</v>
      </c>
      <c r="AS6" s="2">
        <v>2010335.0855505725</v>
      </c>
      <c r="AT6" s="2">
        <v>2010335.0855505725</v>
      </c>
      <c r="AU6" s="2">
        <v>0</v>
      </c>
      <c r="AV6" s="2">
        <v>0</v>
      </c>
      <c r="AW6" s="2">
        <v>0</v>
      </c>
      <c r="AX6" s="2">
        <v>0</v>
      </c>
    </row>
    <row r="7" spans="1:50">
      <c r="A7" s="1" t="s">
        <v>103</v>
      </c>
      <c r="B7" s="68" t="s">
        <v>12</v>
      </c>
      <c r="C7" s="3">
        <v>714228.00600000017</v>
      </c>
      <c r="D7" s="3">
        <v>896532.00400000007</v>
      </c>
      <c r="E7" s="3">
        <v>821460.00400000007</v>
      </c>
      <c r="F7" s="3">
        <v>602232</v>
      </c>
      <c r="G7" s="3">
        <v>683976.00400000007</v>
      </c>
      <c r="H7" s="3">
        <v>727140.00400000007</v>
      </c>
      <c r="I7" s="3">
        <v>367608.00399999996</v>
      </c>
      <c r="J7" s="3">
        <v>648587.32703868218</v>
      </c>
      <c r="K7" s="3">
        <v>660521.1281086558</v>
      </c>
      <c r="L7" s="3">
        <v>634880.64956201136</v>
      </c>
      <c r="M7" s="3">
        <v>430770.91797294765</v>
      </c>
      <c r="N7" s="3">
        <v>885758</v>
      </c>
      <c r="O7" s="3">
        <v>917140.76153846155</v>
      </c>
      <c r="P7" s="3">
        <v>1037817.8230769231</v>
      </c>
      <c r="Q7" s="3">
        <v>917140.76153846155</v>
      </c>
      <c r="R7" s="3">
        <v>917140.76153846155</v>
      </c>
      <c r="S7" s="3">
        <v>1146425.951923077</v>
      </c>
      <c r="T7" s="3">
        <v>917140.76153846155</v>
      </c>
      <c r="U7" s="3">
        <v>917140.76153846155</v>
      </c>
      <c r="V7" s="3">
        <v>1146425.951923077</v>
      </c>
      <c r="W7" s="3">
        <v>917140.76153846155</v>
      </c>
      <c r="X7" s="3">
        <v>917140.76153846155</v>
      </c>
      <c r="Y7" s="3">
        <v>1146425.951923077</v>
      </c>
      <c r="Z7" s="3">
        <v>917140.76153846155</v>
      </c>
      <c r="AA7" s="3">
        <v>1066294.5338461539</v>
      </c>
      <c r="AB7" s="3">
        <v>1332868.1673076921</v>
      </c>
      <c r="AC7" s="3">
        <v>1066294.5338461539</v>
      </c>
      <c r="AD7" s="3">
        <v>1066294.5338461539</v>
      </c>
      <c r="AE7" s="3">
        <v>1332868.1673076921</v>
      </c>
      <c r="AF7" s="3">
        <v>1066294.5338461539</v>
      </c>
      <c r="AG7" s="3">
        <v>1066294.5338461539</v>
      </c>
      <c r="AH7" s="3">
        <v>1332868.1673076921</v>
      </c>
      <c r="AI7" s="3">
        <v>1066294.5338461539</v>
      </c>
      <c r="AJ7" s="3">
        <v>1066294.5338461539</v>
      </c>
      <c r="AK7" s="3">
        <v>1332868.1673076921</v>
      </c>
      <c r="AL7" s="3">
        <v>1066294.5338461539</v>
      </c>
      <c r="AM7" s="3">
        <v>1193040.7446923077</v>
      </c>
      <c r="AN7" s="3">
        <v>1349451.0055673076</v>
      </c>
      <c r="AO7" s="3">
        <v>1193040.7446923077</v>
      </c>
      <c r="AP7" s="3">
        <v>1307909.592721154</v>
      </c>
      <c r="AQ7" s="3">
        <v>1491300.9308653846</v>
      </c>
      <c r="AR7" s="3">
        <v>1307909.592721154</v>
      </c>
      <c r="AS7" s="3">
        <v>1193040.7446923077</v>
      </c>
      <c r="AT7" s="3">
        <v>1491300.9308653846</v>
      </c>
      <c r="AU7" s="3">
        <v>0</v>
      </c>
      <c r="AV7" s="3">
        <v>0</v>
      </c>
      <c r="AW7" s="3">
        <v>0</v>
      </c>
      <c r="AX7" s="3">
        <v>0</v>
      </c>
    </row>
    <row r="8" spans="1:50">
      <c r="A8" s="1" t="s">
        <v>104</v>
      </c>
      <c r="B8" s="68" t="s">
        <v>12</v>
      </c>
      <c r="C8" s="3">
        <v>769026.00700000033</v>
      </c>
      <c r="D8" s="3">
        <v>765528.00100000005</v>
      </c>
      <c r="E8" s="3">
        <v>985284.00300000014</v>
      </c>
      <c r="F8" s="3">
        <v>388770</v>
      </c>
      <c r="G8" s="3">
        <v>878178.00200000009</v>
      </c>
      <c r="H8" s="3">
        <v>938220.00200000009</v>
      </c>
      <c r="I8" s="3">
        <v>715506.00300000003</v>
      </c>
      <c r="J8" s="3">
        <v>1037707</v>
      </c>
      <c r="K8" s="3">
        <v>796129</v>
      </c>
      <c r="L8" s="3">
        <v>804051</v>
      </c>
      <c r="M8" s="3">
        <v>1067163</v>
      </c>
      <c r="N8" s="3">
        <v>975967</v>
      </c>
      <c r="O8" s="3">
        <v>867760.29879304732</v>
      </c>
      <c r="P8" s="3">
        <v>1084700.3734913089</v>
      </c>
      <c r="Q8" s="3">
        <v>867760.29879304732</v>
      </c>
      <c r="R8" s="3">
        <v>867760.29879304732</v>
      </c>
      <c r="S8" s="3">
        <v>1084700.3734913089</v>
      </c>
      <c r="T8" s="3">
        <v>867760.29879304732</v>
      </c>
      <c r="U8" s="3">
        <v>867760.29879304732</v>
      </c>
      <c r="V8" s="3">
        <v>1084700.3734913089</v>
      </c>
      <c r="W8" s="3">
        <v>867760.29879304732</v>
      </c>
      <c r="X8" s="3">
        <v>867760.29879304732</v>
      </c>
      <c r="Y8" s="3">
        <v>1084700.3734913089</v>
      </c>
      <c r="Z8" s="3">
        <v>867760.29879304732</v>
      </c>
      <c r="AA8" s="3">
        <v>919245.71699703229</v>
      </c>
      <c r="AB8" s="3">
        <v>1149057.1462462901</v>
      </c>
      <c r="AC8" s="3">
        <v>919245.71699703229</v>
      </c>
      <c r="AD8" s="3">
        <v>919245.71699703229</v>
      </c>
      <c r="AE8" s="3">
        <v>1149057.1462462901</v>
      </c>
      <c r="AF8" s="3">
        <v>919245.71699703229</v>
      </c>
      <c r="AG8" s="3">
        <v>919245.71699703229</v>
      </c>
      <c r="AH8" s="3">
        <v>1149057.1462462901</v>
      </c>
      <c r="AI8" s="3">
        <v>919245.71699703229</v>
      </c>
      <c r="AJ8" s="3">
        <v>919245.71699703229</v>
      </c>
      <c r="AK8" s="3">
        <v>1149057.1462462901</v>
      </c>
      <c r="AL8" s="3">
        <v>919245.71699703229</v>
      </c>
      <c r="AM8" s="3">
        <v>972370.82052158099</v>
      </c>
      <c r="AN8" s="3">
        <v>1215463.5256519776</v>
      </c>
      <c r="AO8" s="3">
        <v>972370.82052158099</v>
      </c>
      <c r="AP8" s="3">
        <v>972370.82052158099</v>
      </c>
      <c r="AQ8" s="3">
        <v>1215463.5256519776</v>
      </c>
      <c r="AR8" s="3">
        <v>972370.82052158099</v>
      </c>
      <c r="AS8" s="3">
        <v>972370.82052158099</v>
      </c>
      <c r="AT8" s="3">
        <v>972938.82052158099</v>
      </c>
      <c r="AU8" s="3">
        <v>0</v>
      </c>
      <c r="AV8" s="3">
        <v>0</v>
      </c>
      <c r="AW8" s="3">
        <v>0</v>
      </c>
      <c r="AX8" s="3">
        <v>0</v>
      </c>
    </row>
    <row r="9" spans="1:50">
      <c r="A9" s="1" t="s">
        <v>105</v>
      </c>
      <c r="B9" s="68" t="s">
        <v>12</v>
      </c>
      <c r="C9" s="3">
        <v>159138.00699999998</v>
      </c>
      <c r="D9" s="3">
        <v>193788.005</v>
      </c>
      <c r="E9" s="3">
        <v>242058.005</v>
      </c>
      <c r="F9" s="3">
        <v>37698</v>
      </c>
      <c r="G9" s="3">
        <v>76002.006000000008</v>
      </c>
      <c r="H9" s="3">
        <v>85596.007000000012</v>
      </c>
      <c r="I9" s="3">
        <v>107310.00700000001</v>
      </c>
      <c r="J9" s="3">
        <v>146296</v>
      </c>
      <c r="K9" s="3">
        <v>119026</v>
      </c>
      <c r="L9" s="3">
        <v>119682.61538461538</v>
      </c>
      <c r="M9" s="3">
        <v>176711.51923076925</v>
      </c>
      <c r="N9" s="3">
        <v>181721.01923076925</v>
      </c>
      <c r="O9" s="3">
        <v>205964.61538461538</v>
      </c>
      <c r="P9" s="3">
        <v>213520.40622521634</v>
      </c>
      <c r="Q9" s="3">
        <v>167834.12498017307</v>
      </c>
      <c r="R9" s="3">
        <v>176031.12498017307</v>
      </c>
      <c r="S9" s="3">
        <v>225267.40622521634</v>
      </c>
      <c r="T9" s="3">
        <v>173295.12498017307</v>
      </c>
      <c r="U9" s="3">
        <v>182739.12498017307</v>
      </c>
      <c r="V9" s="3">
        <v>225355.40622521634</v>
      </c>
      <c r="W9" s="3">
        <v>167883.12498017307</v>
      </c>
      <c r="X9" s="3">
        <v>177426.12498017307</v>
      </c>
      <c r="Y9" s="3">
        <v>215859.40622521634</v>
      </c>
      <c r="Z9" s="3">
        <v>177114.12498017307</v>
      </c>
      <c r="AA9" s="3">
        <v>182921.84773655527</v>
      </c>
      <c r="AB9" s="3">
        <v>203740.55967069411</v>
      </c>
      <c r="AC9" s="3">
        <v>177211.84773655527</v>
      </c>
      <c r="AD9" s="3">
        <v>175999.84773655527</v>
      </c>
      <c r="AE9" s="3">
        <v>225113.55967069411</v>
      </c>
      <c r="AF9" s="3">
        <v>172934.84773655527</v>
      </c>
      <c r="AG9" s="3">
        <v>182750.84773655527</v>
      </c>
      <c r="AH9" s="3">
        <v>215256.55967069411</v>
      </c>
      <c r="AI9" s="3">
        <v>177283.84773655527</v>
      </c>
      <c r="AJ9" s="3">
        <v>175702.84773655527</v>
      </c>
      <c r="AK9" s="3">
        <v>214293.55967069411</v>
      </c>
      <c r="AL9" s="3">
        <v>175646.84773655527</v>
      </c>
      <c r="AM9" s="3">
        <v>180245.82160358611</v>
      </c>
      <c r="AN9" s="3">
        <v>190050.77700448266</v>
      </c>
      <c r="AO9" s="3">
        <v>183560.82160358611</v>
      </c>
      <c r="AP9" s="3">
        <v>153021.82160358611</v>
      </c>
      <c r="AQ9" s="3">
        <v>159532.77700448266</v>
      </c>
      <c r="AR9" s="3">
        <v>154251.22544973998</v>
      </c>
      <c r="AS9" s="3">
        <v>195123.35575572957</v>
      </c>
      <c r="AT9" s="3">
        <v>195123.35575572957</v>
      </c>
      <c r="AU9" s="3">
        <v>0</v>
      </c>
      <c r="AV9" s="3">
        <v>0</v>
      </c>
      <c r="AW9" s="3">
        <v>0</v>
      </c>
      <c r="AX9" s="3">
        <v>0</v>
      </c>
    </row>
    <row r="10" spans="1:50">
      <c r="A10" s="1" t="s">
        <v>50</v>
      </c>
      <c r="B10" s="68" t="s">
        <v>12</v>
      </c>
      <c r="C10" s="3">
        <v>170508.00199999998</v>
      </c>
      <c r="D10" s="3">
        <v>231108</v>
      </c>
      <c r="E10" s="3">
        <v>184188</v>
      </c>
      <c r="F10" s="3">
        <v>88344</v>
      </c>
      <c r="G10" s="3">
        <v>212772</v>
      </c>
      <c r="H10" s="3">
        <v>146740</v>
      </c>
      <c r="I10" s="3">
        <v>177840.00199999998</v>
      </c>
      <c r="J10" s="3">
        <v>244186.09103029748</v>
      </c>
      <c r="K10" s="3">
        <v>195348.872824238</v>
      </c>
      <c r="L10" s="3">
        <v>195348.872824238</v>
      </c>
      <c r="M10" s="3">
        <v>244186.09103029748</v>
      </c>
      <c r="N10" s="3">
        <v>195783.02667039185</v>
      </c>
      <c r="O10" s="3">
        <v>207682.83178225</v>
      </c>
      <c r="P10" s="3">
        <v>259603.53972781255</v>
      </c>
      <c r="Q10" s="3">
        <v>207682.83178225</v>
      </c>
      <c r="R10" s="3">
        <v>207682.83178225</v>
      </c>
      <c r="S10" s="3">
        <v>259603.53972781255</v>
      </c>
      <c r="T10" s="3">
        <v>207682.83178225</v>
      </c>
      <c r="U10" s="3">
        <v>207682.83178225</v>
      </c>
      <c r="V10" s="3">
        <v>259603.53972781255</v>
      </c>
      <c r="W10" s="3">
        <v>207682.83178225</v>
      </c>
      <c r="X10" s="3">
        <v>207682.83178225</v>
      </c>
      <c r="Y10" s="3">
        <v>259603.53972781255</v>
      </c>
      <c r="Z10" s="3">
        <v>207682.83178225</v>
      </c>
      <c r="AA10" s="3">
        <v>213565.80075696597</v>
      </c>
      <c r="AB10" s="3">
        <v>266957.25094620761</v>
      </c>
      <c r="AC10" s="3">
        <v>213565.80075696597</v>
      </c>
      <c r="AD10" s="3">
        <v>213565.80075696597</v>
      </c>
      <c r="AE10" s="3">
        <v>266957.25094620761</v>
      </c>
      <c r="AF10" s="3">
        <v>213565.80075696597</v>
      </c>
      <c r="AG10" s="3">
        <v>213565.80075696597</v>
      </c>
      <c r="AH10" s="3">
        <v>266957.25094620761</v>
      </c>
      <c r="AI10" s="3">
        <v>213565.80075696597</v>
      </c>
      <c r="AJ10" s="3">
        <v>213565.80075696597</v>
      </c>
      <c r="AK10" s="3">
        <v>266957.25094620761</v>
      </c>
      <c r="AL10" s="3">
        <v>213565.80075696597</v>
      </c>
      <c r="AM10" s="3">
        <v>219350.09085231734</v>
      </c>
      <c r="AN10" s="3">
        <v>274187.61356539634</v>
      </c>
      <c r="AO10" s="3">
        <v>219350.09085231734</v>
      </c>
      <c r="AP10" s="3">
        <v>219350.09085231734</v>
      </c>
      <c r="AQ10" s="3">
        <v>274187.61356539634</v>
      </c>
      <c r="AR10" s="3">
        <v>219784.24469847116</v>
      </c>
      <c r="AS10" s="3">
        <v>219350.09085231734</v>
      </c>
      <c r="AT10" s="3">
        <v>219350.09085231734</v>
      </c>
      <c r="AU10" s="3">
        <v>0</v>
      </c>
      <c r="AV10" s="3">
        <v>0</v>
      </c>
      <c r="AW10" s="3">
        <v>0</v>
      </c>
      <c r="AX10" s="3">
        <v>0</v>
      </c>
    </row>
    <row r="11" spans="1:50">
      <c r="A11" s="1" t="s">
        <v>51</v>
      </c>
      <c r="B11" s="68" t="s">
        <v>12</v>
      </c>
      <c r="C11" s="3">
        <v>149232.00199999998</v>
      </c>
      <c r="D11" s="3">
        <v>214428</v>
      </c>
      <c r="E11" s="3">
        <v>166200</v>
      </c>
      <c r="F11" s="3">
        <v>123204</v>
      </c>
      <c r="G11" s="3">
        <v>203892</v>
      </c>
      <c r="H11" s="3">
        <v>117984</v>
      </c>
      <c r="I11" s="3">
        <v>147372</v>
      </c>
      <c r="J11" s="3">
        <v>179281.56215384614</v>
      </c>
      <c r="K11" s="3">
        <v>138096.4849230769</v>
      </c>
      <c r="L11" s="3">
        <v>139910.42692307691</v>
      </c>
      <c r="M11" s="3">
        <v>186439.45015384615</v>
      </c>
      <c r="N11" s="3">
        <v>179404.76215384615</v>
      </c>
      <c r="O11" s="3">
        <v>152073.91692307693</v>
      </c>
      <c r="P11" s="3">
        <v>176110.08615384615</v>
      </c>
      <c r="Q11" s="3">
        <v>146425.92692307691</v>
      </c>
      <c r="R11" s="3">
        <v>147130.16636207691</v>
      </c>
      <c r="S11" s="3">
        <v>192837.63745259619</v>
      </c>
      <c r="T11" s="3">
        <v>154989.10436207691</v>
      </c>
      <c r="U11" s="3">
        <v>155708.12036207691</v>
      </c>
      <c r="V11" s="3">
        <v>195535.44745259616</v>
      </c>
      <c r="W11" s="3">
        <v>150547.82636207691</v>
      </c>
      <c r="X11" s="3">
        <v>151230.68036207694</v>
      </c>
      <c r="Y11" s="3">
        <v>198234.09145259619</v>
      </c>
      <c r="Z11" s="3">
        <v>152598.11036207693</v>
      </c>
      <c r="AA11" s="3">
        <v>164791.89277028691</v>
      </c>
      <c r="AB11" s="3">
        <v>193328.80996285865</v>
      </c>
      <c r="AC11" s="3">
        <v>159414.57277028693</v>
      </c>
      <c r="AD11" s="3">
        <v>160098.3147702869</v>
      </c>
      <c r="AE11" s="3">
        <v>209586.61396285865</v>
      </c>
      <c r="AF11" s="3">
        <v>168389.52877028691</v>
      </c>
      <c r="AG11" s="3">
        <v>169109.37877028692</v>
      </c>
      <c r="AH11" s="3">
        <v>212285.25796285865</v>
      </c>
      <c r="AI11" s="3">
        <v>163515.97477028691</v>
      </c>
      <c r="AJ11" s="3">
        <v>164198.82877028693</v>
      </c>
      <c r="AK11" s="3">
        <v>214983.06796285865</v>
      </c>
      <c r="AL11" s="3">
        <v>165473.72077028692</v>
      </c>
      <c r="AM11" s="3">
        <v>178395.41602431261</v>
      </c>
      <c r="AN11" s="3">
        <v>209453.53753039078</v>
      </c>
      <c r="AO11" s="3">
        <v>172558.35802431259</v>
      </c>
      <c r="AP11" s="3">
        <v>173228.23402431264</v>
      </c>
      <c r="AQ11" s="3">
        <v>206745.75553039077</v>
      </c>
      <c r="AR11" s="3">
        <v>198170.01125508186</v>
      </c>
      <c r="AS11" s="3">
        <v>185565.34452473372</v>
      </c>
      <c r="AT11" s="3">
        <v>185565.34452473372</v>
      </c>
      <c r="AU11" s="3">
        <v>0</v>
      </c>
      <c r="AV11" s="3">
        <v>0</v>
      </c>
      <c r="AW11" s="3">
        <v>0</v>
      </c>
      <c r="AX11" s="3">
        <v>0</v>
      </c>
    </row>
    <row r="12" spans="1:50">
      <c r="A12" s="1" t="s">
        <v>52</v>
      </c>
      <c r="B12" s="68" t="s">
        <v>12</v>
      </c>
      <c r="C12" s="3">
        <v>311748.00199999998</v>
      </c>
      <c r="D12" s="3">
        <v>431736</v>
      </c>
      <c r="E12" s="3">
        <v>332172</v>
      </c>
      <c r="F12" s="3">
        <v>266268</v>
      </c>
      <c r="G12" s="3">
        <v>355992</v>
      </c>
      <c r="H12" s="3">
        <v>319104</v>
      </c>
      <c r="I12" s="3">
        <v>269784</v>
      </c>
      <c r="J12" s="3">
        <v>419942.35288461536</v>
      </c>
      <c r="K12" s="3">
        <v>309204.28230769234</v>
      </c>
      <c r="L12" s="3">
        <v>303423.28230769234</v>
      </c>
      <c r="M12" s="3">
        <v>419947.35288461536</v>
      </c>
      <c r="N12" s="3">
        <v>370820.22314102564</v>
      </c>
      <c r="O12" s="3">
        <v>300455.12772435904</v>
      </c>
      <c r="P12" s="3">
        <v>393083.19746794866</v>
      </c>
      <c r="Q12" s="3">
        <v>314435.01105769235</v>
      </c>
      <c r="R12" s="3">
        <v>249804.8900160256</v>
      </c>
      <c r="S12" s="3">
        <v>346034.96434294869</v>
      </c>
      <c r="T12" s="3">
        <v>320488.40952991456</v>
      </c>
      <c r="U12" s="3">
        <v>298528.01623130345</v>
      </c>
      <c r="V12" s="3">
        <v>395465.59628739319</v>
      </c>
      <c r="W12" s="3">
        <v>291292.29147435905</v>
      </c>
      <c r="X12" s="3">
        <v>298528.01623130345</v>
      </c>
      <c r="Y12" s="3">
        <v>396155.59995058755</v>
      </c>
      <c r="Z12" s="3">
        <v>354087.07314102561</v>
      </c>
      <c r="AA12" s="3">
        <v>300455.12772435904</v>
      </c>
      <c r="AB12" s="3">
        <v>393083.19746794866</v>
      </c>
      <c r="AC12" s="3">
        <v>314435.01105769235</v>
      </c>
      <c r="AD12" s="3">
        <v>249804.8900160256</v>
      </c>
      <c r="AE12" s="3">
        <v>346034.96434294869</v>
      </c>
      <c r="AF12" s="3">
        <v>320488.33876068378</v>
      </c>
      <c r="AG12" s="3">
        <v>298527.94546207268</v>
      </c>
      <c r="AH12" s="3">
        <v>395465.5078258547</v>
      </c>
      <c r="AI12" s="3">
        <v>291292.22070512827</v>
      </c>
      <c r="AJ12" s="3">
        <v>298527.94546207268</v>
      </c>
      <c r="AK12" s="3">
        <v>396155.51148904912</v>
      </c>
      <c r="AL12" s="3">
        <v>354087.00237179484</v>
      </c>
      <c r="AM12" s="3">
        <v>300455.05695512827</v>
      </c>
      <c r="AN12" s="3">
        <v>393083.10900641023</v>
      </c>
      <c r="AO12" s="3">
        <v>314434.94028846157</v>
      </c>
      <c r="AP12" s="3">
        <v>249804.81924679482</v>
      </c>
      <c r="AQ12" s="3">
        <v>346034.8758814102</v>
      </c>
      <c r="AR12" s="3">
        <v>319754.48850769253</v>
      </c>
      <c r="AS12" s="3">
        <v>299033.42085384595</v>
      </c>
      <c r="AT12" s="3">
        <v>299033.42085384595</v>
      </c>
      <c r="AU12" s="3">
        <v>0</v>
      </c>
      <c r="AV12" s="3">
        <v>0</v>
      </c>
      <c r="AW12" s="3">
        <v>0</v>
      </c>
      <c r="AX12" s="3">
        <v>0</v>
      </c>
    </row>
    <row r="13" spans="1:50">
      <c r="A13" s="1" t="s">
        <v>53</v>
      </c>
      <c r="B13" s="68" t="s">
        <v>12</v>
      </c>
      <c r="C13" s="3">
        <v>66192.002000000008</v>
      </c>
      <c r="D13" s="3">
        <v>85974</v>
      </c>
      <c r="E13" s="3">
        <v>71430</v>
      </c>
      <c r="F13" s="3">
        <v>85038</v>
      </c>
      <c r="G13" s="3">
        <v>82194</v>
      </c>
      <c r="H13" s="3">
        <v>61014</v>
      </c>
      <c r="I13" s="3">
        <v>65010</v>
      </c>
      <c r="J13" s="3">
        <v>77127.619012191572</v>
      </c>
      <c r="K13" s="3">
        <v>61702.095209753228</v>
      </c>
      <c r="L13" s="3">
        <v>61702.095209753228</v>
      </c>
      <c r="M13" s="3">
        <v>77127.619012191572</v>
      </c>
      <c r="N13" s="3">
        <v>62021.325978984001</v>
      </c>
      <c r="O13" s="3">
        <v>61067.394909869225</v>
      </c>
      <c r="P13" s="3">
        <v>76334.243637336491</v>
      </c>
      <c r="Q13" s="3">
        <v>61067.394909869225</v>
      </c>
      <c r="R13" s="3">
        <v>61067.394909869225</v>
      </c>
      <c r="S13" s="3">
        <v>76334.243637336491</v>
      </c>
      <c r="T13" s="3">
        <v>61067.394909869225</v>
      </c>
      <c r="U13" s="3">
        <v>61067.394909869225</v>
      </c>
      <c r="V13" s="3">
        <v>76334.243637336491</v>
      </c>
      <c r="W13" s="3">
        <v>61067.394909869225</v>
      </c>
      <c r="X13" s="3">
        <v>61067.394909869225</v>
      </c>
      <c r="Y13" s="3">
        <v>76334.243637336491</v>
      </c>
      <c r="Z13" s="3">
        <v>61067.394909869225</v>
      </c>
      <c r="AA13" s="3">
        <v>59330.539971571838</v>
      </c>
      <c r="AB13" s="3">
        <v>74163.17496446475</v>
      </c>
      <c r="AC13" s="3">
        <v>59330.539971571838</v>
      </c>
      <c r="AD13" s="3">
        <v>59330.539971571838</v>
      </c>
      <c r="AE13" s="3">
        <v>74163.17496446475</v>
      </c>
      <c r="AF13" s="3">
        <v>59330.539971571838</v>
      </c>
      <c r="AG13" s="3">
        <v>59330.539971571838</v>
      </c>
      <c r="AH13" s="3">
        <v>74163.17496446475</v>
      </c>
      <c r="AI13" s="3">
        <v>59330.539971571838</v>
      </c>
      <c r="AJ13" s="3">
        <v>59330.539971571838</v>
      </c>
      <c r="AK13" s="3">
        <v>74163.17496446475</v>
      </c>
      <c r="AL13" s="3">
        <v>59330.539971571838</v>
      </c>
      <c r="AM13" s="3">
        <v>57651.266793075411</v>
      </c>
      <c r="AN13" s="3">
        <v>72064.083491344281</v>
      </c>
      <c r="AO13" s="3">
        <v>57651.266793075411</v>
      </c>
      <c r="AP13" s="3">
        <v>57651.266793075411</v>
      </c>
      <c r="AQ13" s="3">
        <v>72064.083491344281</v>
      </c>
      <c r="AR13" s="3">
        <v>57970.497562306176</v>
      </c>
      <c r="AS13" s="3">
        <v>57651.266793075411</v>
      </c>
      <c r="AT13" s="3">
        <v>57651.266793075411</v>
      </c>
      <c r="AU13" s="3">
        <v>0</v>
      </c>
      <c r="AV13" s="3">
        <v>0</v>
      </c>
      <c r="AW13" s="3">
        <v>0</v>
      </c>
      <c r="AX13" s="3">
        <v>0</v>
      </c>
    </row>
    <row r="14" spans="1:50">
      <c r="A14" s="1" t="s">
        <v>69</v>
      </c>
      <c r="B14" s="68" t="s">
        <v>12</v>
      </c>
      <c r="C14" s="3">
        <v>9466.0020000000004</v>
      </c>
      <c r="D14" s="3">
        <v>13527</v>
      </c>
      <c r="E14" s="3">
        <v>10252</v>
      </c>
      <c r="F14" s="3">
        <v>6958</v>
      </c>
      <c r="G14" s="3">
        <v>13787</v>
      </c>
      <c r="H14" s="3">
        <v>10803</v>
      </c>
      <c r="I14" s="3">
        <v>9420</v>
      </c>
      <c r="J14" s="3">
        <v>12465</v>
      </c>
      <c r="K14" s="3">
        <v>9384</v>
      </c>
      <c r="L14" s="3">
        <v>9296</v>
      </c>
      <c r="M14" s="3">
        <v>12114</v>
      </c>
      <c r="N14" s="3">
        <v>10910</v>
      </c>
      <c r="O14" s="3">
        <v>9356.3923076923129</v>
      </c>
      <c r="P14" s="3">
        <v>11695.490384615388</v>
      </c>
      <c r="Q14" s="3">
        <v>9871.0519230769332</v>
      </c>
      <c r="R14" s="3">
        <v>9356.3923076923129</v>
      </c>
      <c r="S14" s="3">
        <v>11695.490384615388</v>
      </c>
      <c r="T14" s="3">
        <v>9356.3923076923129</v>
      </c>
      <c r="U14" s="3">
        <v>9356.3923076923129</v>
      </c>
      <c r="V14" s="3">
        <v>11695.490384615388</v>
      </c>
      <c r="W14" s="3">
        <v>9356.3923076923129</v>
      </c>
      <c r="X14" s="3">
        <v>9356.3923076923129</v>
      </c>
      <c r="Y14" s="3">
        <v>11695.490384615388</v>
      </c>
      <c r="Z14" s="3">
        <v>9356.3923076923129</v>
      </c>
      <c r="AA14" s="3">
        <v>8940.9638461538361</v>
      </c>
      <c r="AB14" s="3">
        <v>11176.204807692302</v>
      </c>
      <c r="AC14" s="3">
        <v>8940.9638461538361</v>
      </c>
      <c r="AD14" s="3">
        <v>8940.9638461538361</v>
      </c>
      <c r="AE14" s="3">
        <v>11176.204807692302</v>
      </c>
      <c r="AF14" s="3">
        <v>8940.9638461538361</v>
      </c>
      <c r="AG14" s="3">
        <v>8940.9638461538361</v>
      </c>
      <c r="AH14" s="3">
        <v>11176.204807692302</v>
      </c>
      <c r="AI14" s="3">
        <v>9743.2783076923079</v>
      </c>
      <c r="AJ14" s="3">
        <v>8940.9638461538361</v>
      </c>
      <c r="AK14" s="3">
        <v>10091.925384615377</v>
      </c>
      <c r="AL14" s="3">
        <v>8940.9638461538361</v>
      </c>
      <c r="AM14" s="3">
        <v>8957.6999599999999</v>
      </c>
      <c r="AN14" s="3">
        <v>10778.622180769233</v>
      </c>
      <c r="AO14" s="3">
        <v>8622.8977446153804</v>
      </c>
      <c r="AP14" s="3">
        <v>8622.8977446153804</v>
      </c>
      <c r="AQ14" s="3">
        <v>10323.868944615382</v>
      </c>
      <c r="AR14" s="3">
        <v>8622.8977446153804</v>
      </c>
      <c r="AS14" s="3">
        <v>8622.8977446153804</v>
      </c>
      <c r="AT14" s="3">
        <v>8622.8977446153804</v>
      </c>
      <c r="AU14" s="3">
        <v>0</v>
      </c>
      <c r="AV14" s="3">
        <v>0</v>
      </c>
      <c r="AW14" s="3">
        <v>0</v>
      </c>
      <c r="AX14" s="3">
        <v>0</v>
      </c>
    </row>
    <row r="15" spans="1:50">
      <c r="A15" s="1" t="s">
        <v>70</v>
      </c>
      <c r="B15" s="68" t="s">
        <v>12</v>
      </c>
      <c r="C15" s="3">
        <v>6.0000000000000001E-3</v>
      </c>
      <c r="D15" s="3">
        <v>0</v>
      </c>
      <c r="E15" s="3">
        <v>0</v>
      </c>
      <c r="F15" s="3">
        <v>0</v>
      </c>
      <c r="G15" s="3">
        <v>38424</v>
      </c>
      <c r="H15" s="3">
        <v>92616</v>
      </c>
      <c r="I15" s="3">
        <v>151224</v>
      </c>
      <c r="J15" s="3">
        <v>196402</v>
      </c>
      <c r="K15" s="3">
        <v>157121</v>
      </c>
      <c r="L15" s="3">
        <v>165539</v>
      </c>
      <c r="M15" s="3">
        <v>213236</v>
      </c>
      <c r="N15" s="3">
        <v>213236</v>
      </c>
      <c r="O15" s="3">
        <v>161533</v>
      </c>
      <c r="P15" s="3">
        <v>185846</v>
      </c>
      <c r="Q15" s="3">
        <v>153594</v>
      </c>
      <c r="R15" s="3">
        <v>153663</v>
      </c>
      <c r="S15" s="3">
        <v>202279</v>
      </c>
      <c r="T15" s="3">
        <v>161896</v>
      </c>
      <c r="U15" s="3">
        <v>161970</v>
      </c>
      <c r="V15" s="3">
        <v>202552</v>
      </c>
      <c r="W15" s="3">
        <v>154009</v>
      </c>
      <c r="X15" s="3">
        <v>154077</v>
      </c>
      <c r="Y15" s="3">
        <v>202824</v>
      </c>
      <c r="Z15" s="3">
        <v>154216</v>
      </c>
      <c r="AA15" s="3">
        <v>162467</v>
      </c>
      <c r="AB15" s="3">
        <v>186992</v>
      </c>
      <c r="AC15" s="3">
        <v>154597</v>
      </c>
      <c r="AD15" s="3">
        <v>154726</v>
      </c>
      <c r="AE15" s="3">
        <v>203754</v>
      </c>
      <c r="AF15" s="3">
        <v>163136</v>
      </c>
      <c r="AG15" s="3">
        <v>163270</v>
      </c>
      <c r="AH15" s="3">
        <v>204255</v>
      </c>
      <c r="AI15" s="3">
        <v>155361</v>
      </c>
      <c r="AJ15" s="3">
        <v>167689.41626299999</v>
      </c>
      <c r="AK15" s="3">
        <v>223057.62439449999</v>
      </c>
      <c r="AL15" s="3">
        <v>177703.7492734</v>
      </c>
      <c r="AM15" s="3">
        <v>180562.53064966912</v>
      </c>
      <c r="AN15" s="3">
        <v>217325.7259937365</v>
      </c>
      <c r="AO15" s="3">
        <v>179150.53064966912</v>
      </c>
      <c r="AP15" s="3">
        <v>180678.28918163199</v>
      </c>
      <c r="AQ15" s="3">
        <v>220970.96853913949</v>
      </c>
      <c r="AR15" s="3">
        <v>188396.28918163199</v>
      </c>
      <c r="AS15" s="3">
        <v>183826.3785230144</v>
      </c>
      <c r="AT15" s="3">
        <v>183826.3785230144</v>
      </c>
      <c r="AU15" s="3">
        <v>0</v>
      </c>
      <c r="AV15" s="3">
        <v>0</v>
      </c>
      <c r="AW15" s="3">
        <v>0</v>
      </c>
      <c r="AX15" s="3">
        <v>0</v>
      </c>
    </row>
    <row r="16" spans="1:50">
      <c r="A16" s="1" t="s">
        <v>82</v>
      </c>
      <c r="B16" s="68" t="s">
        <v>12</v>
      </c>
      <c r="C16" s="3">
        <v>2496.0020000000004</v>
      </c>
      <c r="D16" s="3">
        <v>3672</v>
      </c>
      <c r="E16" s="3">
        <v>3528</v>
      </c>
      <c r="F16" s="3">
        <v>2292</v>
      </c>
      <c r="G16" s="3">
        <v>3360</v>
      </c>
      <c r="H16" s="3">
        <v>2868</v>
      </c>
      <c r="I16" s="3">
        <v>3384</v>
      </c>
      <c r="J16" s="3">
        <v>3444</v>
      </c>
      <c r="K16" s="3">
        <v>2617</v>
      </c>
      <c r="L16" s="3">
        <v>2617</v>
      </c>
      <c r="M16" s="3">
        <v>3444</v>
      </c>
      <c r="N16" s="3">
        <v>2655</v>
      </c>
      <c r="O16" s="3">
        <v>2846</v>
      </c>
      <c r="P16" s="3">
        <v>3130</v>
      </c>
      <c r="Q16" s="3">
        <v>2805</v>
      </c>
      <c r="R16" s="3">
        <v>3034</v>
      </c>
      <c r="S16" s="3">
        <v>3152</v>
      </c>
      <c r="T16" s="3">
        <v>2843</v>
      </c>
      <c r="U16" s="3">
        <v>3034</v>
      </c>
      <c r="V16" s="3">
        <v>3114</v>
      </c>
      <c r="W16" s="3">
        <v>2805</v>
      </c>
      <c r="X16" s="3">
        <v>3034</v>
      </c>
      <c r="Y16" s="3">
        <v>3114</v>
      </c>
      <c r="Z16" s="3">
        <v>2805</v>
      </c>
      <c r="AA16" s="3">
        <v>2855</v>
      </c>
      <c r="AB16" s="3">
        <v>3284</v>
      </c>
      <c r="AC16" s="3">
        <v>2712</v>
      </c>
      <c r="AD16" s="3">
        <v>2712</v>
      </c>
      <c r="AE16" s="3">
        <v>3569</v>
      </c>
      <c r="AF16" s="3">
        <v>2844</v>
      </c>
      <c r="AG16" s="3">
        <v>2855</v>
      </c>
      <c r="AH16" s="3">
        <v>3568</v>
      </c>
      <c r="AI16" s="3">
        <v>2712</v>
      </c>
      <c r="AJ16" s="3">
        <v>2632</v>
      </c>
      <c r="AK16" s="3">
        <v>3569</v>
      </c>
      <c r="AL16" s="3">
        <v>3569</v>
      </c>
      <c r="AM16" s="3">
        <v>3046</v>
      </c>
      <c r="AN16" s="3">
        <v>3360</v>
      </c>
      <c r="AO16" s="3">
        <v>2941</v>
      </c>
      <c r="AP16" s="3">
        <v>3569</v>
      </c>
      <c r="AQ16" s="3">
        <v>3035</v>
      </c>
      <c r="AR16" s="3">
        <v>3046</v>
      </c>
      <c r="AS16" s="3">
        <v>3043.8657276923041</v>
      </c>
      <c r="AT16" s="3">
        <v>3043.8657276923041</v>
      </c>
      <c r="AU16" s="3">
        <v>0</v>
      </c>
      <c r="AV16" s="3">
        <v>0</v>
      </c>
      <c r="AW16" s="3">
        <v>0</v>
      </c>
      <c r="AX16" s="3">
        <v>0</v>
      </c>
    </row>
    <row r="17" spans="1:50">
      <c r="A17" s="51" t="s">
        <v>93</v>
      </c>
      <c r="B17" s="68" t="s">
        <v>12</v>
      </c>
      <c r="C17" s="3">
        <v>1890.002</v>
      </c>
      <c r="D17" s="3">
        <v>3450</v>
      </c>
      <c r="E17" s="3">
        <v>2616</v>
      </c>
      <c r="F17" s="3">
        <v>1134</v>
      </c>
      <c r="G17" s="3">
        <v>2688</v>
      </c>
      <c r="H17" s="3">
        <v>2250</v>
      </c>
      <c r="I17" s="3">
        <v>2046</v>
      </c>
      <c r="J17" s="3">
        <v>2780.9901639344303</v>
      </c>
      <c r="K17" s="3">
        <v>2146.1125245901599</v>
      </c>
      <c r="L17" s="3">
        <v>2146.1125245901599</v>
      </c>
      <c r="M17" s="3">
        <v>2780.9901639344303</v>
      </c>
      <c r="N17" s="3">
        <v>2146.1125245901599</v>
      </c>
      <c r="O17" s="3">
        <v>2186.5921311475408</v>
      </c>
      <c r="P17" s="3">
        <v>2625.0309508196701</v>
      </c>
      <c r="Q17" s="3">
        <v>2146.1125245901599</v>
      </c>
      <c r="R17" s="3">
        <v>2146.1125245901599</v>
      </c>
      <c r="S17" s="3">
        <v>2779.9901639344303</v>
      </c>
      <c r="T17" s="3">
        <v>2186.5921311475408</v>
      </c>
      <c r="U17" s="3">
        <v>2186.5921311475408</v>
      </c>
      <c r="V17" s="3">
        <v>2779.9901639344303</v>
      </c>
      <c r="W17" s="3">
        <v>2146.1125245901599</v>
      </c>
      <c r="X17" s="3">
        <v>2146.1125245901599</v>
      </c>
      <c r="Y17" s="3">
        <v>2779.9901639344303</v>
      </c>
      <c r="Z17" s="3">
        <v>2146.1125245901599</v>
      </c>
      <c r="AA17" s="3">
        <v>2202.5921311475408</v>
      </c>
      <c r="AB17" s="3">
        <v>2601.0309508196701</v>
      </c>
      <c r="AC17" s="3">
        <v>2129.1125245901599</v>
      </c>
      <c r="AD17" s="3">
        <v>2129.1125245901599</v>
      </c>
      <c r="AE17" s="3">
        <v>2757.9901639344303</v>
      </c>
      <c r="AF17" s="3">
        <v>2205.5921311475408</v>
      </c>
      <c r="AG17" s="3">
        <v>2205.5921311475408</v>
      </c>
      <c r="AH17" s="3">
        <v>2757.9901639344303</v>
      </c>
      <c r="AI17" s="3">
        <v>2129.1125245901599</v>
      </c>
      <c r="AJ17" s="3">
        <v>2143.1125245901599</v>
      </c>
      <c r="AK17" s="3">
        <v>2751.9901639344303</v>
      </c>
      <c r="AL17" s="3">
        <v>2143.1125245901599</v>
      </c>
      <c r="AM17" s="3">
        <v>2196.5921311475408</v>
      </c>
      <c r="AN17" s="3">
        <v>2631.0309508196701</v>
      </c>
      <c r="AO17" s="3">
        <v>2139.1125245901599</v>
      </c>
      <c r="AP17" s="3">
        <v>2139.1125245901599</v>
      </c>
      <c r="AQ17" s="3">
        <v>2745.9901639344303</v>
      </c>
      <c r="AR17" s="3">
        <v>2194.4</v>
      </c>
      <c r="AS17" s="3">
        <v>2179.8514732001972</v>
      </c>
      <c r="AT17" s="3">
        <v>2179.8514732001963</v>
      </c>
      <c r="AU17" s="3">
        <v>0</v>
      </c>
      <c r="AV17" s="3">
        <v>0</v>
      </c>
      <c r="AW17" s="3">
        <v>0</v>
      </c>
      <c r="AX17" s="3">
        <v>0</v>
      </c>
    </row>
    <row r="18" spans="1:50">
      <c r="A18" s="1" t="s">
        <v>106</v>
      </c>
      <c r="B18" s="68" t="s">
        <v>12</v>
      </c>
      <c r="C18" s="3">
        <v>7618.0680000000002</v>
      </c>
      <c r="D18" s="3">
        <v>10645.033000000001</v>
      </c>
      <c r="E18" s="3">
        <v>7691.0350000000008</v>
      </c>
      <c r="F18" s="3">
        <v>3227</v>
      </c>
      <c r="G18" s="3">
        <v>12068.032000000001</v>
      </c>
      <c r="H18" s="3">
        <v>8365.0300000000007</v>
      </c>
      <c r="I18" s="3">
        <v>5155.03</v>
      </c>
      <c r="J18" s="3">
        <v>9629.3793910647364</v>
      </c>
      <c r="K18" s="3">
        <v>7336.3518026070969</v>
      </c>
      <c r="L18" s="3">
        <v>8066.8921910819263</v>
      </c>
      <c r="M18" s="3">
        <v>10597.675458930931</v>
      </c>
      <c r="N18" s="3">
        <v>10092.442307692309</v>
      </c>
      <c r="O18" s="3">
        <v>8521.3905776990232</v>
      </c>
      <c r="P18" s="3">
        <v>15509.919104347293</v>
      </c>
      <c r="Q18" s="3">
        <v>18313.14683169264</v>
      </c>
      <c r="R18" s="3">
        <v>26430.32526376623</v>
      </c>
      <c r="S18" s="3">
        <v>39387.576516700334</v>
      </c>
      <c r="T18" s="3">
        <v>31905.770063418182</v>
      </c>
      <c r="U18" s="3">
        <v>34389.220446105319</v>
      </c>
      <c r="V18" s="3">
        <v>43064.290299009313</v>
      </c>
      <c r="W18" s="3">
        <v>34069.725465796488</v>
      </c>
      <c r="X18" s="3">
        <v>34090.804315809764</v>
      </c>
      <c r="Y18" s="3">
        <v>43138.759443798583</v>
      </c>
      <c r="Z18" s="3">
        <v>34129.96201583634</v>
      </c>
      <c r="AA18" s="3">
        <v>37804.612006651922</v>
      </c>
      <c r="AB18" s="3">
        <v>46456.011762459413</v>
      </c>
      <c r="AC18" s="3">
        <v>37427.629819069552</v>
      </c>
      <c r="AD18" s="3">
        <v>37893.969217669983</v>
      </c>
      <c r="AE18" s="3">
        <v>47893.55060354976</v>
      </c>
      <c r="AF18" s="3">
        <v>38329.591000081607</v>
      </c>
      <c r="AG18" s="3">
        <v>38347.341517323395</v>
      </c>
      <c r="AH18" s="3">
        <v>47949.365043206482</v>
      </c>
      <c r="AI18" s="3">
        <v>37966.534174568493</v>
      </c>
      <c r="AJ18" s="3">
        <v>38001.64716594819</v>
      </c>
      <c r="AK18" s="3">
        <v>47629.179482863205</v>
      </c>
      <c r="AL18" s="3">
        <v>38025.8731487076</v>
      </c>
      <c r="AM18" s="3">
        <v>38391.019208809499</v>
      </c>
      <c r="AN18" s="3">
        <v>46982.603461903338</v>
      </c>
      <c r="AO18" s="3">
        <v>38078.109698747445</v>
      </c>
      <c r="AP18" s="3">
        <v>38082.010698733444</v>
      </c>
      <c r="AQ18" s="3">
        <v>47789.927224863466</v>
      </c>
      <c r="AR18" s="3">
        <v>40356.091397149459</v>
      </c>
      <c r="AS18" s="3">
        <v>37473.215238773817</v>
      </c>
      <c r="AT18" s="3">
        <v>44856.051066487824</v>
      </c>
      <c r="AU18" s="3">
        <v>0</v>
      </c>
      <c r="AV18" s="3">
        <v>0</v>
      </c>
      <c r="AW18" s="3">
        <v>0</v>
      </c>
      <c r="AX18" s="3">
        <v>0</v>
      </c>
    </row>
    <row r="19" spans="1:50">
      <c r="A19" s="1" t="s">
        <v>107</v>
      </c>
      <c r="B19" s="68" t="s">
        <v>12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</row>
    <row r="20" spans="1:50">
      <c r="A20" s="1" t="s">
        <v>99</v>
      </c>
      <c r="B20" s="68" t="s">
        <v>12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13282.520547945203</v>
      </c>
      <c r="AM20" s="3">
        <v>23915.389726027395</v>
      </c>
      <c r="AN20" s="3">
        <v>25623.631849315068</v>
      </c>
      <c r="AO20" s="3">
        <v>27331.873972602742</v>
      </c>
      <c r="AP20" s="3">
        <v>29040.116095890415</v>
      </c>
      <c r="AQ20" s="3">
        <v>30748.358219178081</v>
      </c>
      <c r="AR20" s="3">
        <v>32456.600342465754</v>
      </c>
      <c r="AS20" s="3">
        <v>35873.084589041093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</row>
    <row r="21" spans="1:50">
      <c r="A21" s="1" t="s">
        <v>100</v>
      </c>
      <c r="B21" s="68" t="s">
        <v>12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108.0333531864205</v>
      </c>
      <c r="AP21" s="3">
        <v>3180.5019178082193</v>
      </c>
      <c r="AQ21" s="3">
        <v>3644.3251141552519</v>
      </c>
      <c r="AR21" s="3">
        <v>3867.5930357625575</v>
      </c>
      <c r="AS21" s="3">
        <v>4108.1483105022835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</row>
    <row r="22" spans="1:50">
      <c r="A22" s="1" t="s">
        <v>101</v>
      </c>
      <c r="B22" s="68" t="s">
        <v>12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87.945205479452056</v>
      </c>
      <c r="AI22" s="3">
        <v>2638.3561643835619</v>
      </c>
      <c r="AJ22" s="3">
        <v>2726.3013698630134</v>
      </c>
      <c r="AK22" s="3">
        <v>2726.3013698630134</v>
      </c>
      <c r="AL22" s="3">
        <v>2638.3561643835619</v>
      </c>
      <c r="AM22" s="3">
        <v>2693.232020547945</v>
      </c>
      <c r="AN22" s="3">
        <v>2708.6219178082192</v>
      </c>
      <c r="AO22" s="3">
        <v>2770.1815068493147</v>
      </c>
      <c r="AP22" s="3">
        <v>2847.1309931506848</v>
      </c>
      <c r="AQ22" s="3">
        <v>2924.0804794520545</v>
      </c>
      <c r="AR22" s="3">
        <v>3001.0299657534242</v>
      </c>
      <c r="AS22" s="3">
        <v>3047.1996575342469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</row>
    <row r="23" spans="1:50">
      <c r="A23" s="1" t="s">
        <v>109</v>
      </c>
      <c r="B23" s="68" t="s">
        <v>12</v>
      </c>
      <c r="C23" s="3">
        <v>6.0000000000000001E-3</v>
      </c>
      <c r="D23" s="3">
        <v>4.0000000000000001E-3</v>
      </c>
      <c r="E23" s="3">
        <v>4.0000000000000001E-3</v>
      </c>
      <c r="F23" s="3">
        <v>0</v>
      </c>
      <c r="G23" s="3">
        <v>4.0000000000000001E-3</v>
      </c>
      <c r="H23" s="3">
        <v>4.0000000000000001E-3</v>
      </c>
      <c r="I23" s="3">
        <v>4.0000000000000001E-3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8868.6425902864248</v>
      </c>
      <c r="AH23" s="3">
        <v>17293.85305105853</v>
      </c>
      <c r="AI23" s="3">
        <v>17471.225902864258</v>
      </c>
      <c r="AJ23" s="3">
        <v>17737.28518057285</v>
      </c>
      <c r="AK23" s="3">
        <v>18003.344458281441</v>
      </c>
      <c r="AL23" s="3">
        <v>18180.71731008717</v>
      </c>
      <c r="AM23" s="3">
        <v>18146.823972602742</v>
      </c>
      <c r="AN23" s="3">
        <v>20220.746712328768</v>
      </c>
      <c r="AO23" s="3">
        <v>20739.227397260278</v>
      </c>
      <c r="AP23" s="3">
        <v>22553.909794520547</v>
      </c>
      <c r="AQ23" s="3">
        <v>23331.630821917814</v>
      </c>
      <c r="AR23" s="3">
        <v>25405.553561643836</v>
      </c>
      <c r="AS23" s="3">
        <v>25924.034246575346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</row>
    <row r="24" spans="1:50">
      <c r="A24" s="1" t="s">
        <v>110</v>
      </c>
      <c r="B24" s="68" t="s">
        <v>12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</row>
    <row r="25" spans="1:50">
      <c r="A25" s="1" t="s">
        <v>111</v>
      </c>
      <c r="B25" s="68" t="s">
        <v>12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</row>
    <row r="26" spans="1:50">
      <c r="A26" s="1" t="s">
        <v>112</v>
      </c>
      <c r="B26" s="68" t="s">
        <v>12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</row>
    <row r="27" spans="1:50">
      <c r="A27" s="1" t="s">
        <v>113</v>
      </c>
      <c r="B27" s="68" t="s">
        <v>12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</row>
    <row r="28" spans="1:50">
      <c r="A28" s="1" t="s">
        <v>108</v>
      </c>
      <c r="B28" s="68" t="s">
        <v>12</v>
      </c>
      <c r="C28" s="3">
        <v>50710.00299999999</v>
      </c>
      <c r="D28" s="3">
        <v>68422</v>
      </c>
      <c r="E28" s="3">
        <v>58612.000999999997</v>
      </c>
      <c r="F28" s="3">
        <v>48428</v>
      </c>
      <c r="G28" s="3">
        <v>64926</v>
      </c>
      <c r="H28" s="3">
        <v>52996.000999999997</v>
      </c>
      <c r="I28" s="3">
        <v>52892.000999999997</v>
      </c>
      <c r="J28" s="3">
        <v>70434.711462450592</v>
      </c>
      <c r="K28" s="3">
        <v>57563.940711462448</v>
      </c>
      <c r="L28" s="3">
        <v>52808.940711462448</v>
      </c>
      <c r="M28" s="3">
        <v>70858.711462450592</v>
      </c>
      <c r="N28" s="3">
        <v>62664.940711462448</v>
      </c>
      <c r="O28" s="3">
        <v>60508.569169960472</v>
      </c>
      <c r="P28" s="3">
        <v>65359.454545454551</v>
      </c>
      <c r="Q28" s="3">
        <v>53555.940711462448</v>
      </c>
      <c r="R28" s="3">
        <v>55260.940711462448</v>
      </c>
      <c r="S28" s="3">
        <v>70558.711462450592</v>
      </c>
      <c r="T28" s="3">
        <v>54541.569169960472</v>
      </c>
      <c r="U28" s="3">
        <v>59312.569169960472</v>
      </c>
      <c r="V28" s="3">
        <v>70980.711462450592</v>
      </c>
      <c r="W28" s="3">
        <v>53301.940711462448</v>
      </c>
      <c r="X28" s="3">
        <v>59185.940711462448</v>
      </c>
      <c r="Y28" s="3">
        <v>62686.711462450592</v>
      </c>
      <c r="Z28" s="3">
        <v>59703.940711462448</v>
      </c>
      <c r="AA28" s="3">
        <v>65159.569169960472</v>
      </c>
      <c r="AB28" s="3">
        <v>57209.454545454551</v>
      </c>
      <c r="AC28" s="3">
        <v>61998.940711462448</v>
      </c>
      <c r="AD28" s="3">
        <v>56162.940711462448</v>
      </c>
      <c r="AE28" s="3">
        <v>72248.711462450592</v>
      </c>
      <c r="AF28" s="3">
        <v>54423.569169960472</v>
      </c>
      <c r="AG28" s="3">
        <v>62902.569169960472</v>
      </c>
      <c r="AH28" s="3">
        <v>64028.711462450592</v>
      </c>
      <c r="AI28" s="3">
        <v>62218.940711462448</v>
      </c>
      <c r="AJ28" s="3">
        <v>57220.940711462448</v>
      </c>
      <c r="AK28" s="3">
        <v>62158.711462450592</v>
      </c>
      <c r="AL28" s="3">
        <v>57894.940711462448</v>
      </c>
      <c r="AM28" s="3">
        <v>64459.569169960472</v>
      </c>
      <c r="AN28" s="3">
        <v>57240.454545454551</v>
      </c>
      <c r="AO28" s="3">
        <v>62745.940711462448</v>
      </c>
      <c r="AP28" s="3">
        <v>55407.940711462448</v>
      </c>
      <c r="AQ28" s="3">
        <v>67401.711462450592</v>
      </c>
      <c r="AR28" s="3">
        <v>54468.711462450592</v>
      </c>
      <c r="AS28" s="3">
        <v>58510.832858172391</v>
      </c>
      <c r="AT28" s="3">
        <v>58510.832858172391</v>
      </c>
      <c r="AU28" s="3">
        <v>0</v>
      </c>
      <c r="AV28" s="3">
        <v>0</v>
      </c>
      <c r="AW28" s="3">
        <v>0</v>
      </c>
      <c r="AX28" s="3">
        <v>0</v>
      </c>
    </row>
    <row r="29" spans="1:50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13.5" thickBot="1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>
      <c r="A31" s="20" t="s">
        <v>36</v>
      </c>
      <c r="B31" s="23">
        <f>0.09</f>
        <v>0.09</v>
      </c>
      <c r="C31" s="2" t="s">
        <v>124</v>
      </c>
      <c r="E31" s="3"/>
      <c r="F31" s="3"/>
      <c r="G31" s="3"/>
      <c r="H31" s="78" t="s">
        <v>137</v>
      </c>
      <c r="I31" s="79"/>
      <c r="J31" s="79"/>
      <c r="K31" s="79"/>
      <c r="L31" s="79"/>
      <c r="M31" s="8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13.5" thickBot="1">
      <c r="A32" s="20" t="s">
        <v>37</v>
      </c>
      <c r="B32" s="23">
        <v>1.08</v>
      </c>
      <c r="C32" s="2" t="s">
        <v>125</v>
      </c>
      <c r="E32" s="3"/>
      <c r="F32" s="3"/>
      <c r="G32" s="3"/>
      <c r="H32" s="69" t="s">
        <v>128</v>
      </c>
      <c r="I32" s="75">
        <v>0.11</v>
      </c>
      <c r="J32" s="70" t="s">
        <v>129</v>
      </c>
      <c r="K32" s="71">
        <v>0.03</v>
      </c>
      <c r="L32" s="72" t="s">
        <v>130</v>
      </c>
      <c r="M32" s="73">
        <v>0.03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13.5" thickBot="1">
      <c r="A33" s="20"/>
      <c r="B33" s="20"/>
      <c r="C33" s="2"/>
      <c r="D33" s="2"/>
      <c r="E33" s="2"/>
      <c r="F33" s="2"/>
      <c r="G33" s="2"/>
      <c r="H33" s="69" t="s">
        <v>128</v>
      </c>
      <c r="I33" s="75">
        <f>I32/B31*B32</f>
        <v>1.3200000000000003</v>
      </c>
      <c r="J33" s="76" t="s">
        <v>138</v>
      </c>
      <c r="K33" s="77"/>
      <c r="L33" s="77"/>
      <c r="M33" s="7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M33" s="2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>
      <c r="A34" s="39"/>
      <c r="B34" s="39"/>
      <c r="C34" s="7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M34" s="32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>
      <c r="A35" s="38" t="s">
        <v>84</v>
      </c>
      <c r="B35" s="38"/>
      <c r="C35" s="50" t="str">
        <f>C5</f>
        <v>Oct</v>
      </c>
      <c r="D35" s="50" t="str">
        <f t="shared" ref="D35:AL35" si="0">D5</f>
        <v>Nov</v>
      </c>
      <c r="E35" s="50" t="str">
        <f t="shared" si="0"/>
        <v>Dec</v>
      </c>
      <c r="F35" s="50" t="str">
        <f t="shared" si="0"/>
        <v>Jan</v>
      </c>
      <c r="G35" s="50" t="str">
        <f t="shared" si="0"/>
        <v>Feb</v>
      </c>
      <c r="H35" s="50" t="str">
        <f t="shared" si="0"/>
        <v>Mar</v>
      </c>
      <c r="I35" s="50" t="str">
        <f t="shared" si="0"/>
        <v>Apr</v>
      </c>
      <c r="J35" s="50" t="str">
        <f t="shared" si="0"/>
        <v>May</v>
      </c>
      <c r="K35" s="50" t="str">
        <f t="shared" si="0"/>
        <v>Jun</v>
      </c>
      <c r="L35" s="50" t="str">
        <f t="shared" si="0"/>
        <v>Jul</v>
      </c>
      <c r="M35" s="50" t="str">
        <f t="shared" si="0"/>
        <v>Aug</v>
      </c>
      <c r="N35" s="50" t="str">
        <f t="shared" si="0"/>
        <v>Sep</v>
      </c>
      <c r="O35" s="50" t="str">
        <f t="shared" si="0"/>
        <v>Oct</v>
      </c>
      <c r="P35" s="50" t="str">
        <f t="shared" si="0"/>
        <v>Nov</v>
      </c>
      <c r="Q35" s="50" t="str">
        <f t="shared" si="0"/>
        <v>Dec</v>
      </c>
      <c r="R35" s="50" t="str">
        <f t="shared" si="0"/>
        <v>Jan</v>
      </c>
      <c r="S35" s="50" t="str">
        <f t="shared" si="0"/>
        <v>Feb</v>
      </c>
      <c r="T35" s="50" t="str">
        <f t="shared" si="0"/>
        <v>Mar</v>
      </c>
      <c r="U35" s="50" t="str">
        <f t="shared" si="0"/>
        <v>Apr</v>
      </c>
      <c r="V35" s="50" t="str">
        <f t="shared" si="0"/>
        <v>May</v>
      </c>
      <c r="W35" s="50" t="str">
        <f t="shared" si="0"/>
        <v>Jun</v>
      </c>
      <c r="X35" s="50" t="str">
        <f t="shared" si="0"/>
        <v>Jul</v>
      </c>
      <c r="Y35" s="50" t="str">
        <f t="shared" si="0"/>
        <v>Aug</v>
      </c>
      <c r="Z35" s="50" t="str">
        <f t="shared" si="0"/>
        <v>Sep</v>
      </c>
      <c r="AA35" s="50" t="str">
        <f t="shared" si="0"/>
        <v>Oct</v>
      </c>
      <c r="AB35" s="50" t="str">
        <f t="shared" si="0"/>
        <v>Nov</v>
      </c>
      <c r="AC35" s="50" t="str">
        <f t="shared" si="0"/>
        <v>Dec</v>
      </c>
      <c r="AD35" s="50" t="str">
        <f t="shared" si="0"/>
        <v>Jan</v>
      </c>
      <c r="AE35" s="50" t="str">
        <f t="shared" si="0"/>
        <v>Feb</v>
      </c>
      <c r="AF35" s="50" t="str">
        <f t="shared" si="0"/>
        <v>Mar</v>
      </c>
      <c r="AG35" s="50" t="str">
        <f t="shared" si="0"/>
        <v>Apr</v>
      </c>
      <c r="AH35" s="50" t="str">
        <f t="shared" si="0"/>
        <v>May</v>
      </c>
      <c r="AI35" s="50" t="str">
        <f t="shared" si="0"/>
        <v>Jun</v>
      </c>
      <c r="AJ35" s="50" t="str">
        <f t="shared" si="0"/>
        <v>Jul</v>
      </c>
      <c r="AK35" s="50" t="str">
        <f t="shared" si="0"/>
        <v>Aug</v>
      </c>
      <c r="AL35" s="50" t="str">
        <f t="shared" si="0"/>
        <v>Sep</v>
      </c>
      <c r="AM35" s="50" t="str">
        <f t="shared" ref="AM35:AX35" si="1">AM5</f>
        <v>Oct</v>
      </c>
      <c r="AN35" s="50" t="str">
        <f t="shared" si="1"/>
        <v>Nov</v>
      </c>
      <c r="AO35" s="50" t="str">
        <f t="shared" si="1"/>
        <v>Dec</v>
      </c>
      <c r="AP35" s="50" t="str">
        <f t="shared" si="1"/>
        <v>Jan</v>
      </c>
      <c r="AQ35" s="50" t="str">
        <f t="shared" si="1"/>
        <v>Feb</v>
      </c>
      <c r="AR35" s="50" t="str">
        <f t="shared" si="1"/>
        <v>Mar</v>
      </c>
      <c r="AS35" s="50" t="str">
        <f t="shared" si="1"/>
        <v>Apr</v>
      </c>
      <c r="AT35" s="50" t="str">
        <f t="shared" si="1"/>
        <v>May</v>
      </c>
      <c r="AU35" s="50" t="str">
        <f t="shared" si="1"/>
        <v>Jun</v>
      </c>
      <c r="AV35" s="50" t="str">
        <f t="shared" si="1"/>
        <v>Jul</v>
      </c>
      <c r="AW35" s="50" t="str">
        <f t="shared" si="1"/>
        <v>Aug</v>
      </c>
      <c r="AX35" s="50" t="str">
        <f t="shared" si="1"/>
        <v>Sep</v>
      </c>
    </row>
    <row r="36" spans="1:50">
      <c r="A36" s="4" t="s">
        <v>15</v>
      </c>
      <c r="B36" s="4"/>
      <c r="C36" s="16">
        <f t="shared" ref="C36:N36" si="2">C6*$B$31</f>
        <v>111229.74134999994</v>
      </c>
      <c r="D36" s="16">
        <f t="shared" si="2"/>
        <v>162406.08008999997</v>
      </c>
      <c r="E36" s="16">
        <f t="shared" si="2"/>
        <v>103440.15009</v>
      </c>
      <c r="F36" s="16">
        <f t="shared" si="2"/>
        <v>94655.51999999999</v>
      </c>
      <c r="G36" s="16">
        <f t="shared" si="2"/>
        <v>128352.06017999999</v>
      </c>
      <c r="H36" s="16">
        <f t="shared" si="2"/>
        <v>118617.39008999999</v>
      </c>
      <c r="I36" s="16">
        <f t="shared" si="2"/>
        <v>127605.23999999999</v>
      </c>
      <c r="J36" s="16">
        <f t="shared" si="2"/>
        <v>159791.61126740646</v>
      </c>
      <c r="K36" s="16">
        <f t="shared" si="2"/>
        <v>124055.95557092124</v>
      </c>
      <c r="L36" s="16">
        <f t="shared" si="2"/>
        <v>126360.28095553665</v>
      </c>
      <c r="M36" s="16">
        <f t="shared" si="2"/>
        <v>166232.2154981757</v>
      </c>
      <c r="N36" s="16">
        <f t="shared" si="2"/>
        <v>151365.16502592273</v>
      </c>
      <c r="O36" s="16">
        <f>O6*$I$32</f>
        <v>162548.64088751044</v>
      </c>
      <c r="P36" s="16">
        <f t="shared" ref="P36:Z36" si="3">P6*$I$32</f>
        <v>203185.80110938821</v>
      </c>
      <c r="Q36" s="16">
        <f t="shared" si="3"/>
        <v>162548.64088751044</v>
      </c>
      <c r="R36" s="16">
        <f t="shared" si="3"/>
        <v>162548.64088751044</v>
      </c>
      <c r="S36" s="16">
        <f t="shared" si="3"/>
        <v>203185.80110938821</v>
      </c>
      <c r="T36" s="16">
        <f t="shared" si="3"/>
        <v>162548.64088751044</v>
      </c>
      <c r="U36" s="16">
        <f t="shared" si="3"/>
        <v>162548.64088751044</v>
      </c>
      <c r="V36" s="16">
        <f t="shared" si="3"/>
        <v>203185.80110938821</v>
      </c>
      <c r="W36" s="16">
        <f t="shared" si="3"/>
        <v>162548.64088751044</v>
      </c>
      <c r="X36" s="16">
        <f t="shared" si="3"/>
        <v>162548.64088751044</v>
      </c>
      <c r="Y36" s="16">
        <f t="shared" si="3"/>
        <v>203185.80110938821</v>
      </c>
      <c r="Z36" s="16">
        <f t="shared" si="3"/>
        <v>162548.64088751044</v>
      </c>
      <c r="AA36" s="16">
        <f>AA6*$I$32*(1+$K$32)</f>
        <v>195731.40041648591</v>
      </c>
      <c r="AB36" s="16">
        <f t="shared" ref="AB36:AL36" si="4">AB6*$I$32*(1+$K$32)</f>
        <v>244664.25052060734</v>
      </c>
      <c r="AC36" s="16">
        <f t="shared" si="4"/>
        <v>195731.40041648591</v>
      </c>
      <c r="AD36" s="16">
        <f t="shared" si="4"/>
        <v>195731.40041648591</v>
      </c>
      <c r="AE36" s="16">
        <f t="shared" si="4"/>
        <v>244664.25052060734</v>
      </c>
      <c r="AF36" s="16">
        <f t="shared" si="4"/>
        <v>195731.40041648591</v>
      </c>
      <c r="AG36" s="16">
        <f t="shared" si="4"/>
        <v>195731.40041648591</v>
      </c>
      <c r="AH36" s="16">
        <f t="shared" si="4"/>
        <v>244664.25052060734</v>
      </c>
      <c r="AI36" s="16">
        <f t="shared" si="4"/>
        <v>195731.40041648591</v>
      </c>
      <c r="AJ36" s="16">
        <f t="shared" si="4"/>
        <v>195731.40041648591</v>
      </c>
      <c r="AK36" s="16">
        <f t="shared" si="4"/>
        <v>244664.25052060734</v>
      </c>
      <c r="AL36" s="16">
        <f t="shared" si="4"/>
        <v>195731.40041648591</v>
      </c>
      <c r="AM36" s="16">
        <f>AM6*$I$32*(1+$K$32)*(1+$M$32)</f>
        <v>234604.09414866628</v>
      </c>
      <c r="AN36" s="16">
        <f t="shared" ref="AN36:AX36" si="5">AN6*$I$32*(1+$K$32)*(1+$M$32)</f>
        <v>293255.11768583278</v>
      </c>
      <c r="AO36" s="16">
        <f t="shared" si="5"/>
        <v>234604.09414866628</v>
      </c>
      <c r="AP36" s="16">
        <f t="shared" si="5"/>
        <v>234604.09414866628</v>
      </c>
      <c r="AQ36" s="16">
        <f t="shared" si="5"/>
        <v>293255.11768583278</v>
      </c>
      <c r="AR36" s="16">
        <f t="shared" si="5"/>
        <v>234645.15424297398</v>
      </c>
      <c r="AS36" s="16">
        <f t="shared" si="5"/>
        <v>234604.09414866628</v>
      </c>
      <c r="AT36" s="16">
        <f t="shared" si="5"/>
        <v>234604.09414866628</v>
      </c>
      <c r="AU36" s="16">
        <f t="shared" si="5"/>
        <v>0</v>
      </c>
      <c r="AV36" s="16">
        <f t="shared" si="5"/>
        <v>0</v>
      </c>
      <c r="AW36" s="16">
        <f t="shared" si="5"/>
        <v>0</v>
      </c>
      <c r="AX36" s="16">
        <f t="shared" si="5"/>
        <v>0</v>
      </c>
    </row>
    <row r="37" spans="1:50">
      <c r="A37" s="4" t="s">
        <v>16</v>
      </c>
      <c r="B37" s="4"/>
      <c r="C37" s="16">
        <f t="shared" ref="C37:N37" si="6">C7*$B$31</f>
        <v>64280.520540000012</v>
      </c>
      <c r="D37" s="16">
        <f t="shared" si="6"/>
        <v>80687.88036000001</v>
      </c>
      <c r="E37" s="16">
        <f t="shared" si="6"/>
        <v>73931.40036</v>
      </c>
      <c r="F37" s="16">
        <f t="shared" si="6"/>
        <v>54200.88</v>
      </c>
      <c r="G37" s="16">
        <f t="shared" si="6"/>
        <v>61557.840360000002</v>
      </c>
      <c r="H37" s="16">
        <f t="shared" si="6"/>
        <v>65442.600360000004</v>
      </c>
      <c r="I37" s="16">
        <f t="shared" si="6"/>
        <v>33084.720359999992</v>
      </c>
      <c r="J37" s="16">
        <f t="shared" si="6"/>
        <v>58372.859433481397</v>
      </c>
      <c r="K37" s="16">
        <f t="shared" si="6"/>
        <v>59446.901529779017</v>
      </c>
      <c r="L37" s="16">
        <f t="shared" si="6"/>
        <v>57139.258460581019</v>
      </c>
      <c r="M37" s="16">
        <f t="shared" si="6"/>
        <v>38769.382617565287</v>
      </c>
      <c r="N37" s="16">
        <f t="shared" si="6"/>
        <v>79718.22</v>
      </c>
      <c r="O37" s="16">
        <f t="shared" ref="O37:Z57" si="7">O7*$I$32</f>
        <v>100885.48376923078</v>
      </c>
      <c r="P37" s="16">
        <f t="shared" si="7"/>
        <v>114159.96053846154</v>
      </c>
      <c r="Q37" s="16">
        <f t="shared" si="7"/>
        <v>100885.48376923078</v>
      </c>
      <c r="R37" s="16">
        <f t="shared" si="7"/>
        <v>100885.48376923078</v>
      </c>
      <c r="S37" s="16">
        <f t="shared" si="7"/>
        <v>126106.85471153847</v>
      </c>
      <c r="T37" s="16">
        <f t="shared" si="7"/>
        <v>100885.48376923078</v>
      </c>
      <c r="U37" s="16">
        <f t="shared" si="7"/>
        <v>100885.48376923078</v>
      </c>
      <c r="V37" s="16">
        <f t="shared" si="7"/>
        <v>126106.85471153847</v>
      </c>
      <c r="W37" s="16">
        <f t="shared" si="7"/>
        <v>100885.48376923078</v>
      </c>
      <c r="X37" s="16">
        <f t="shared" si="7"/>
        <v>100885.48376923078</v>
      </c>
      <c r="Y37" s="16">
        <f t="shared" si="7"/>
        <v>126106.85471153847</v>
      </c>
      <c r="Z37" s="16">
        <f t="shared" si="7"/>
        <v>100885.48376923078</v>
      </c>
      <c r="AA37" s="16">
        <f t="shared" ref="AA37:AL57" si="8">AA7*$I$32*(1+$K$32)</f>
        <v>120811.17068476924</v>
      </c>
      <c r="AB37" s="16">
        <f t="shared" si="8"/>
        <v>151013.96335596152</v>
      </c>
      <c r="AC37" s="16">
        <f t="shared" si="8"/>
        <v>120811.17068476924</v>
      </c>
      <c r="AD37" s="16">
        <f t="shared" si="8"/>
        <v>120811.17068476924</v>
      </c>
      <c r="AE37" s="16">
        <f t="shared" si="8"/>
        <v>151013.96335596152</v>
      </c>
      <c r="AF37" s="16">
        <f t="shared" si="8"/>
        <v>120811.17068476924</v>
      </c>
      <c r="AG37" s="16">
        <f t="shared" si="8"/>
        <v>120811.17068476924</v>
      </c>
      <c r="AH37" s="16">
        <f t="shared" si="8"/>
        <v>151013.96335596152</v>
      </c>
      <c r="AI37" s="16">
        <f t="shared" si="8"/>
        <v>120811.17068476924</v>
      </c>
      <c r="AJ37" s="16">
        <f t="shared" si="8"/>
        <v>120811.17068476924</v>
      </c>
      <c r="AK37" s="16">
        <f t="shared" si="8"/>
        <v>151013.96335596152</v>
      </c>
      <c r="AL37" s="16">
        <f t="shared" si="8"/>
        <v>120811.17068476924</v>
      </c>
      <c r="AM37" s="16">
        <f t="shared" ref="AM37:AX57" si="9">AM7*$I$32*(1+$K$32)*(1+$M$32)</f>
        <v>139226.66186484759</v>
      </c>
      <c r="AN37" s="16">
        <f t="shared" si="9"/>
        <v>157479.58289869924</v>
      </c>
      <c r="AO37" s="16">
        <f t="shared" si="9"/>
        <v>139226.66186484759</v>
      </c>
      <c r="AP37" s="16">
        <f t="shared" si="9"/>
        <v>152631.74156096598</v>
      </c>
      <c r="AQ37" s="16">
        <f t="shared" si="9"/>
        <v>174033.32733105953</v>
      </c>
      <c r="AR37" s="16">
        <f t="shared" si="9"/>
        <v>152631.74156096598</v>
      </c>
      <c r="AS37" s="16">
        <f t="shared" si="9"/>
        <v>139226.66186484759</v>
      </c>
      <c r="AT37" s="16">
        <f t="shared" si="9"/>
        <v>174033.32733105953</v>
      </c>
      <c r="AU37" s="16">
        <f t="shared" si="9"/>
        <v>0</v>
      </c>
      <c r="AV37" s="16">
        <f t="shared" si="9"/>
        <v>0</v>
      </c>
      <c r="AW37" s="16">
        <f t="shared" si="9"/>
        <v>0</v>
      </c>
      <c r="AX37" s="16">
        <f t="shared" si="9"/>
        <v>0</v>
      </c>
    </row>
    <row r="38" spans="1:50">
      <c r="A38" s="1" t="s">
        <v>17</v>
      </c>
      <c r="B38" s="1"/>
      <c r="C38" s="16">
        <f t="shared" ref="C38:N38" si="10">C8*$B$31</f>
        <v>69212.340630000021</v>
      </c>
      <c r="D38" s="16">
        <f t="shared" si="10"/>
        <v>68897.520090000005</v>
      </c>
      <c r="E38" s="16">
        <f t="shared" si="10"/>
        <v>88675.560270000016</v>
      </c>
      <c r="F38" s="16">
        <f t="shared" si="10"/>
        <v>34989.299999999996</v>
      </c>
      <c r="G38" s="16">
        <f t="shared" si="10"/>
        <v>79036.020180000007</v>
      </c>
      <c r="H38" s="16">
        <f t="shared" si="10"/>
        <v>84439.800180000006</v>
      </c>
      <c r="I38" s="16">
        <f t="shared" si="10"/>
        <v>64395.540269999998</v>
      </c>
      <c r="J38" s="16">
        <f t="shared" si="10"/>
        <v>93393.62999999999</v>
      </c>
      <c r="K38" s="16">
        <f t="shared" si="10"/>
        <v>71651.61</v>
      </c>
      <c r="L38" s="16">
        <f t="shared" si="10"/>
        <v>72364.59</v>
      </c>
      <c r="M38" s="16">
        <f t="shared" si="10"/>
        <v>96044.67</v>
      </c>
      <c r="N38" s="16">
        <f t="shared" si="10"/>
        <v>87837.03</v>
      </c>
      <c r="O38" s="16">
        <f t="shared" si="7"/>
        <v>95453.63286723521</v>
      </c>
      <c r="P38" s="16">
        <f t="shared" si="7"/>
        <v>119317.04108404397</v>
      </c>
      <c r="Q38" s="16">
        <f t="shared" si="7"/>
        <v>95453.63286723521</v>
      </c>
      <c r="R38" s="16">
        <f t="shared" si="7"/>
        <v>95453.63286723521</v>
      </c>
      <c r="S38" s="16">
        <f t="shared" si="7"/>
        <v>119317.04108404397</v>
      </c>
      <c r="T38" s="16">
        <f t="shared" si="7"/>
        <v>95453.63286723521</v>
      </c>
      <c r="U38" s="16">
        <f t="shared" si="7"/>
        <v>95453.63286723521</v>
      </c>
      <c r="V38" s="16">
        <f t="shared" si="7"/>
        <v>119317.04108404397</v>
      </c>
      <c r="W38" s="16">
        <f t="shared" si="7"/>
        <v>95453.63286723521</v>
      </c>
      <c r="X38" s="16">
        <f t="shared" si="7"/>
        <v>95453.63286723521</v>
      </c>
      <c r="Y38" s="16">
        <f t="shared" si="7"/>
        <v>119317.04108404397</v>
      </c>
      <c r="Z38" s="16">
        <f t="shared" si="7"/>
        <v>95453.63286723521</v>
      </c>
      <c r="AA38" s="16">
        <f t="shared" si="8"/>
        <v>104150.53973576376</v>
      </c>
      <c r="AB38" s="16">
        <f t="shared" si="8"/>
        <v>130188.17466970468</v>
      </c>
      <c r="AC38" s="16">
        <f t="shared" si="8"/>
        <v>104150.53973576376</v>
      </c>
      <c r="AD38" s="16">
        <f t="shared" si="8"/>
        <v>104150.53973576376</v>
      </c>
      <c r="AE38" s="16">
        <f t="shared" si="8"/>
        <v>130188.17466970468</v>
      </c>
      <c r="AF38" s="16">
        <f t="shared" si="8"/>
        <v>104150.53973576376</v>
      </c>
      <c r="AG38" s="16">
        <f t="shared" si="8"/>
        <v>104150.53973576376</v>
      </c>
      <c r="AH38" s="16">
        <f t="shared" si="8"/>
        <v>130188.17466970468</v>
      </c>
      <c r="AI38" s="16">
        <f t="shared" si="8"/>
        <v>104150.53973576376</v>
      </c>
      <c r="AJ38" s="16">
        <f t="shared" si="8"/>
        <v>104150.53973576376</v>
      </c>
      <c r="AK38" s="16">
        <f t="shared" si="8"/>
        <v>130188.17466970468</v>
      </c>
      <c r="AL38" s="16">
        <f t="shared" si="8"/>
        <v>104150.53973576376</v>
      </c>
      <c r="AM38" s="16">
        <f t="shared" si="9"/>
        <v>113474.702384048</v>
      </c>
      <c r="AN38" s="16">
        <f t="shared" si="9"/>
        <v>141843.37798006015</v>
      </c>
      <c r="AO38" s="16">
        <f t="shared" si="9"/>
        <v>113474.702384048</v>
      </c>
      <c r="AP38" s="16">
        <f t="shared" si="9"/>
        <v>113474.702384048</v>
      </c>
      <c r="AQ38" s="16">
        <f t="shared" si="9"/>
        <v>141843.37798006015</v>
      </c>
      <c r="AR38" s="16">
        <f t="shared" si="9"/>
        <v>113474.702384048</v>
      </c>
      <c r="AS38" s="16">
        <f t="shared" si="9"/>
        <v>113474.702384048</v>
      </c>
      <c r="AT38" s="16">
        <f t="shared" si="9"/>
        <v>113540.987416048</v>
      </c>
      <c r="AU38" s="16">
        <f t="shared" si="9"/>
        <v>0</v>
      </c>
      <c r="AV38" s="16">
        <f t="shared" si="9"/>
        <v>0</v>
      </c>
      <c r="AW38" s="16">
        <f t="shared" si="9"/>
        <v>0</v>
      </c>
      <c r="AX38" s="16">
        <f t="shared" si="9"/>
        <v>0</v>
      </c>
    </row>
    <row r="39" spans="1:50">
      <c r="A39" s="4" t="s">
        <v>18</v>
      </c>
      <c r="B39" s="4"/>
      <c r="C39" s="16">
        <f t="shared" ref="C39:N39" si="11">C9*$B$31</f>
        <v>14322.420629999999</v>
      </c>
      <c r="D39" s="16">
        <f t="shared" si="11"/>
        <v>17440.920450000001</v>
      </c>
      <c r="E39" s="16">
        <f t="shared" si="11"/>
        <v>21785.220450000001</v>
      </c>
      <c r="F39" s="16">
        <f t="shared" si="11"/>
        <v>3392.8199999999997</v>
      </c>
      <c r="G39" s="16">
        <f t="shared" si="11"/>
        <v>6840.1805400000003</v>
      </c>
      <c r="H39" s="16">
        <f t="shared" si="11"/>
        <v>7703.6406300000008</v>
      </c>
      <c r="I39" s="16">
        <f t="shared" si="11"/>
        <v>9657.9006300000001</v>
      </c>
      <c r="J39" s="16">
        <f t="shared" si="11"/>
        <v>13166.64</v>
      </c>
      <c r="K39" s="16">
        <f t="shared" si="11"/>
        <v>10712.34</v>
      </c>
      <c r="L39" s="16">
        <f t="shared" si="11"/>
        <v>10771.435384615383</v>
      </c>
      <c r="M39" s="16">
        <f t="shared" si="11"/>
        <v>15904.036730769232</v>
      </c>
      <c r="N39" s="16">
        <f t="shared" si="11"/>
        <v>16354.891730769232</v>
      </c>
      <c r="O39" s="16">
        <f t="shared" si="7"/>
        <v>22656.107692307691</v>
      </c>
      <c r="P39" s="16">
        <f t="shared" si="7"/>
        <v>23487.244684773799</v>
      </c>
      <c r="Q39" s="16">
        <f t="shared" si="7"/>
        <v>18461.753747819039</v>
      </c>
      <c r="R39" s="16">
        <f t="shared" si="7"/>
        <v>19363.423747819037</v>
      </c>
      <c r="S39" s="16">
        <f t="shared" si="7"/>
        <v>24779.414684773797</v>
      </c>
      <c r="T39" s="16">
        <f t="shared" si="7"/>
        <v>19062.463747819038</v>
      </c>
      <c r="U39" s="16">
        <f t="shared" si="7"/>
        <v>20101.303747819038</v>
      </c>
      <c r="V39" s="16">
        <f t="shared" si="7"/>
        <v>24789.094684773798</v>
      </c>
      <c r="W39" s="16">
        <f t="shared" si="7"/>
        <v>18467.143747819038</v>
      </c>
      <c r="X39" s="16">
        <f t="shared" si="7"/>
        <v>19516.873747819038</v>
      </c>
      <c r="Y39" s="16">
        <f t="shared" si="7"/>
        <v>23744.534684773796</v>
      </c>
      <c r="Z39" s="16">
        <f t="shared" si="7"/>
        <v>19482.553747819038</v>
      </c>
      <c r="AA39" s="16">
        <f t="shared" si="8"/>
        <v>20725.04534855171</v>
      </c>
      <c r="AB39" s="16">
        <f t="shared" si="8"/>
        <v>23083.805410689645</v>
      </c>
      <c r="AC39" s="16">
        <f t="shared" si="8"/>
        <v>20078.102348551711</v>
      </c>
      <c r="AD39" s="16">
        <f t="shared" si="8"/>
        <v>19940.782748551712</v>
      </c>
      <c r="AE39" s="16">
        <f t="shared" si="8"/>
        <v>25505.366310689642</v>
      </c>
      <c r="AF39" s="16">
        <f t="shared" si="8"/>
        <v>19593.518248551711</v>
      </c>
      <c r="AG39" s="16">
        <f t="shared" si="8"/>
        <v>20705.671048551714</v>
      </c>
      <c r="AH39" s="16">
        <f t="shared" si="8"/>
        <v>24388.568210689642</v>
      </c>
      <c r="AI39" s="16">
        <f t="shared" si="8"/>
        <v>20086.259948551709</v>
      </c>
      <c r="AJ39" s="16">
        <f t="shared" si="8"/>
        <v>19907.132648551709</v>
      </c>
      <c r="AK39" s="16">
        <f t="shared" si="8"/>
        <v>24279.460310689647</v>
      </c>
      <c r="AL39" s="16">
        <f t="shared" si="8"/>
        <v>19900.78784855171</v>
      </c>
      <c r="AM39" s="16">
        <f t="shared" si="9"/>
        <v>21034.507135316901</v>
      </c>
      <c r="AN39" s="16">
        <f t="shared" si="9"/>
        <v>22178.735625646124</v>
      </c>
      <c r="AO39" s="16">
        <f t="shared" si="9"/>
        <v>21421.364320316898</v>
      </c>
      <c r="AP39" s="16">
        <f t="shared" si="9"/>
        <v>17857.493559316892</v>
      </c>
      <c r="AQ39" s="16">
        <f t="shared" si="9"/>
        <v>18617.315543646124</v>
      </c>
      <c r="AR39" s="16">
        <f t="shared" si="9"/>
        <v>18000.963758759204</v>
      </c>
      <c r="AS39" s="16">
        <f t="shared" si="9"/>
        <v>22770.700493337885</v>
      </c>
      <c r="AT39" s="16">
        <f t="shared" si="9"/>
        <v>22770.700493337885</v>
      </c>
      <c r="AU39" s="16">
        <f t="shared" si="9"/>
        <v>0</v>
      </c>
      <c r="AV39" s="16">
        <f t="shared" si="9"/>
        <v>0</v>
      </c>
      <c r="AW39" s="16">
        <f t="shared" si="9"/>
        <v>0</v>
      </c>
      <c r="AX39" s="16">
        <f t="shared" si="9"/>
        <v>0</v>
      </c>
    </row>
    <row r="40" spans="1:50">
      <c r="A40" s="1" t="s">
        <v>20</v>
      </c>
      <c r="B40" s="1"/>
      <c r="C40" s="16">
        <f t="shared" ref="C40:N40" si="12">C10*$B$31</f>
        <v>15345.720179999997</v>
      </c>
      <c r="D40" s="16">
        <f t="shared" si="12"/>
        <v>20799.719999999998</v>
      </c>
      <c r="E40" s="16">
        <f t="shared" si="12"/>
        <v>16576.919999999998</v>
      </c>
      <c r="F40" s="16">
        <f t="shared" si="12"/>
        <v>7950.96</v>
      </c>
      <c r="G40" s="16">
        <f t="shared" si="12"/>
        <v>19149.48</v>
      </c>
      <c r="H40" s="16">
        <f t="shared" si="12"/>
        <v>13206.6</v>
      </c>
      <c r="I40" s="16">
        <f t="shared" si="12"/>
        <v>16005.600179999998</v>
      </c>
      <c r="J40" s="16">
        <f t="shared" si="12"/>
        <v>21976.748192726773</v>
      </c>
      <c r="K40" s="16">
        <f t="shared" si="12"/>
        <v>17581.398554181418</v>
      </c>
      <c r="L40" s="16">
        <f t="shared" si="12"/>
        <v>17581.398554181418</v>
      </c>
      <c r="M40" s="16">
        <f t="shared" si="12"/>
        <v>21976.748192726773</v>
      </c>
      <c r="N40" s="16">
        <f t="shared" si="12"/>
        <v>17620.472400335264</v>
      </c>
      <c r="O40" s="16">
        <f t="shared" si="7"/>
        <v>22845.111496047499</v>
      </c>
      <c r="P40" s="16">
        <f t="shared" si="7"/>
        <v>28556.38937005938</v>
      </c>
      <c r="Q40" s="16">
        <f t="shared" si="7"/>
        <v>22845.111496047499</v>
      </c>
      <c r="R40" s="16">
        <f t="shared" si="7"/>
        <v>22845.111496047499</v>
      </c>
      <c r="S40" s="16">
        <f t="shared" si="7"/>
        <v>28556.38937005938</v>
      </c>
      <c r="T40" s="16">
        <f t="shared" si="7"/>
        <v>22845.111496047499</v>
      </c>
      <c r="U40" s="16">
        <f t="shared" si="7"/>
        <v>22845.111496047499</v>
      </c>
      <c r="V40" s="16">
        <f t="shared" si="7"/>
        <v>28556.38937005938</v>
      </c>
      <c r="W40" s="16">
        <f t="shared" si="7"/>
        <v>22845.111496047499</v>
      </c>
      <c r="X40" s="16">
        <f t="shared" si="7"/>
        <v>22845.111496047499</v>
      </c>
      <c r="Y40" s="16">
        <f t="shared" si="7"/>
        <v>28556.38937005938</v>
      </c>
      <c r="Z40" s="16">
        <f t="shared" si="7"/>
        <v>22845.111496047499</v>
      </c>
      <c r="AA40" s="16">
        <f t="shared" si="8"/>
        <v>24197.005225764246</v>
      </c>
      <c r="AB40" s="16">
        <f t="shared" si="8"/>
        <v>30246.256532205323</v>
      </c>
      <c r="AC40" s="16">
        <f t="shared" si="8"/>
        <v>24197.005225764246</v>
      </c>
      <c r="AD40" s="16">
        <f t="shared" si="8"/>
        <v>24197.005225764246</v>
      </c>
      <c r="AE40" s="16">
        <f t="shared" si="8"/>
        <v>30246.256532205323</v>
      </c>
      <c r="AF40" s="16">
        <f t="shared" si="8"/>
        <v>24197.005225764246</v>
      </c>
      <c r="AG40" s="16">
        <f t="shared" si="8"/>
        <v>24197.005225764246</v>
      </c>
      <c r="AH40" s="16">
        <f t="shared" si="8"/>
        <v>30246.256532205323</v>
      </c>
      <c r="AI40" s="16">
        <f t="shared" si="8"/>
        <v>24197.005225764246</v>
      </c>
      <c r="AJ40" s="16">
        <f t="shared" si="8"/>
        <v>24197.005225764246</v>
      </c>
      <c r="AK40" s="16">
        <f t="shared" si="8"/>
        <v>30246.256532205323</v>
      </c>
      <c r="AL40" s="16">
        <f t="shared" si="8"/>
        <v>24197.005225764246</v>
      </c>
      <c r="AM40" s="16">
        <f t="shared" si="9"/>
        <v>25597.936252374584</v>
      </c>
      <c r="AN40" s="16">
        <f t="shared" si="9"/>
        <v>31997.420315468185</v>
      </c>
      <c r="AO40" s="16">
        <f t="shared" si="9"/>
        <v>25597.936252374584</v>
      </c>
      <c r="AP40" s="16">
        <f t="shared" si="9"/>
        <v>25597.936252374584</v>
      </c>
      <c r="AQ40" s="16">
        <f t="shared" si="9"/>
        <v>31997.420315468185</v>
      </c>
      <c r="AR40" s="16">
        <f t="shared" si="9"/>
        <v>25648.601572066887</v>
      </c>
      <c r="AS40" s="16">
        <f t="shared" si="9"/>
        <v>25597.936252374584</v>
      </c>
      <c r="AT40" s="16">
        <f t="shared" si="9"/>
        <v>25597.936252374584</v>
      </c>
      <c r="AU40" s="16">
        <f t="shared" si="9"/>
        <v>0</v>
      </c>
      <c r="AV40" s="16">
        <f t="shared" si="9"/>
        <v>0</v>
      </c>
      <c r="AW40" s="16">
        <f t="shared" si="9"/>
        <v>0</v>
      </c>
      <c r="AX40" s="16">
        <f t="shared" si="9"/>
        <v>0</v>
      </c>
    </row>
    <row r="41" spans="1:50">
      <c r="A41" s="1" t="s">
        <v>21</v>
      </c>
      <c r="B41" s="1"/>
      <c r="C41" s="16">
        <f t="shared" ref="C41:N41" si="13">C11*$B$31</f>
        <v>13430.880179999998</v>
      </c>
      <c r="D41" s="16">
        <f t="shared" si="13"/>
        <v>19298.52</v>
      </c>
      <c r="E41" s="16">
        <f t="shared" si="13"/>
        <v>14958</v>
      </c>
      <c r="F41" s="16">
        <f t="shared" si="13"/>
        <v>11088.359999999999</v>
      </c>
      <c r="G41" s="16">
        <f t="shared" si="13"/>
        <v>18350.28</v>
      </c>
      <c r="H41" s="16">
        <f t="shared" si="13"/>
        <v>10618.56</v>
      </c>
      <c r="I41" s="16">
        <f t="shared" si="13"/>
        <v>13263.48</v>
      </c>
      <c r="J41" s="16">
        <f t="shared" si="13"/>
        <v>16135.340593846153</v>
      </c>
      <c r="K41" s="16">
        <f t="shared" si="13"/>
        <v>12428.683643076922</v>
      </c>
      <c r="L41" s="16">
        <f t="shared" si="13"/>
        <v>12591.938423076921</v>
      </c>
      <c r="M41" s="16">
        <f t="shared" si="13"/>
        <v>16779.550513846152</v>
      </c>
      <c r="N41" s="16">
        <f t="shared" si="13"/>
        <v>16146.428593846153</v>
      </c>
      <c r="O41" s="16">
        <f t="shared" si="7"/>
        <v>16728.130861538462</v>
      </c>
      <c r="P41" s="16">
        <f t="shared" si="7"/>
        <v>19372.109476923077</v>
      </c>
      <c r="Q41" s="16">
        <f t="shared" si="7"/>
        <v>16106.851961538461</v>
      </c>
      <c r="R41" s="16">
        <f t="shared" si="7"/>
        <v>16184.318299828461</v>
      </c>
      <c r="S41" s="16">
        <f t="shared" si="7"/>
        <v>21212.140119785581</v>
      </c>
      <c r="T41" s="16">
        <f t="shared" si="7"/>
        <v>17048.80147982846</v>
      </c>
      <c r="U41" s="16">
        <f t="shared" si="7"/>
        <v>17127.89323982846</v>
      </c>
      <c r="V41" s="16">
        <f t="shared" si="7"/>
        <v>21508.899219785577</v>
      </c>
      <c r="W41" s="16">
        <f t="shared" si="7"/>
        <v>16560.26089982846</v>
      </c>
      <c r="X41" s="16">
        <f t="shared" si="7"/>
        <v>16635.374839828462</v>
      </c>
      <c r="Y41" s="16">
        <f t="shared" si="7"/>
        <v>21805.75005978558</v>
      </c>
      <c r="Z41" s="16">
        <f t="shared" si="7"/>
        <v>16785.792139828463</v>
      </c>
      <c r="AA41" s="16">
        <f t="shared" si="8"/>
        <v>18670.921450873509</v>
      </c>
      <c r="AB41" s="16">
        <f t="shared" si="8"/>
        <v>21904.154168791883</v>
      </c>
      <c r="AC41" s="16">
        <f t="shared" si="8"/>
        <v>18061.671094873509</v>
      </c>
      <c r="AD41" s="16">
        <f t="shared" si="8"/>
        <v>18139.139063473507</v>
      </c>
      <c r="AE41" s="16">
        <f t="shared" si="8"/>
        <v>23746.163361991887</v>
      </c>
      <c r="AF41" s="16">
        <f t="shared" si="8"/>
        <v>19078.533609673508</v>
      </c>
      <c r="AG41" s="16">
        <f t="shared" si="8"/>
        <v>19160.092614673507</v>
      </c>
      <c r="AH41" s="16">
        <f t="shared" si="8"/>
        <v>24051.919727191889</v>
      </c>
      <c r="AI41" s="16">
        <f t="shared" si="8"/>
        <v>18526.359941473507</v>
      </c>
      <c r="AJ41" s="16">
        <f t="shared" si="8"/>
        <v>18603.727299673508</v>
      </c>
      <c r="AK41" s="16">
        <f t="shared" si="8"/>
        <v>24357.581600191887</v>
      </c>
      <c r="AL41" s="16">
        <f t="shared" si="8"/>
        <v>18748.172563273511</v>
      </c>
      <c r="AM41" s="16">
        <f t="shared" si="9"/>
        <v>20818.56665462126</v>
      </c>
      <c r="AN41" s="16">
        <f t="shared" si="9"/>
        <v>24443.018376259075</v>
      </c>
      <c r="AO41" s="16">
        <f t="shared" si="9"/>
        <v>20137.387823079258</v>
      </c>
      <c r="AP41" s="16">
        <f t="shared" si="9"/>
        <v>20215.561682403262</v>
      </c>
      <c r="AQ41" s="16">
        <f t="shared" si="9"/>
        <v>24127.022924641071</v>
      </c>
      <c r="AR41" s="16">
        <f t="shared" si="9"/>
        <v>23126.242143456799</v>
      </c>
      <c r="AS41" s="16">
        <f t="shared" si="9"/>
        <v>21655.290140691901</v>
      </c>
      <c r="AT41" s="16">
        <f t="shared" si="9"/>
        <v>21655.290140691901</v>
      </c>
      <c r="AU41" s="16">
        <f t="shared" si="9"/>
        <v>0</v>
      </c>
      <c r="AV41" s="16">
        <f t="shared" si="9"/>
        <v>0</v>
      </c>
      <c r="AW41" s="16">
        <f t="shared" si="9"/>
        <v>0</v>
      </c>
      <c r="AX41" s="16">
        <f t="shared" si="9"/>
        <v>0</v>
      </c>
    </row>
    <row r="42" spans="1:50">
      <c r="A42" s="1" t="s">
        <v>22</v>
      </c>
      <c r="B42" s="1"/>
      <c r="C42" s="16">
        <f t="shared" ref="C42:N42" si="14">C12*$B$31</f>
        <v>28057.320179999999</v>
      </c>
      <c r="D42" s="16">
        <f t="shared" si="14"/>
        <v>38856.239999999998</v>
      </c>
      <c r="E42" s="16">
        <f t="shared" si="14"/>
        <v>29895.48</v>
      </c>
      <c r="F42" s="16">
        <f t="shared" si="14"/>
        <v>23964.12</v>
      </c>
      <c r="G42" s="16">
        <f t="shared" si="14"/>
        <v>32039.279999999999</v>
      </c>
      <c r="H42" s="16">
        <f t="shared" si="14"/>
        <v>28719.360000000001</v>
      </c>
      <c r="I42" s="16">
        <f t="shared" si="14"/>
        <v>24280.559999999998</v>
      </c>
      <c r="J42" s="16">
        <f t="shared" si="14"/>
        <v>37794.811759615382</v>
      </c>
      <c r="K42" s="16">
        <f t="shared" si="14"/>
        <v>27828.385407692309</v>
      </c>
      <c r="L42" s="16">
        <f t="shared" si="14"/>
        <v>27308.095407692308</v>
      </c>
      <c r="M42" s="16">
        <f t="shared" si="14"/>
        <v>37795.26175961538</v>
      </c>
      <c r="N42" s="16">
        <f t="shared" si="14"/>
        <v>33373.820082692306</v>
      </c>
      <c r="O42" s="16">
        <f t="shared" si="7"/>
        <v>33050.064049679495</v>
      </c>
      <c r="P42" s="16">
        <f t="shared" si="7"/>
        <v>43239.151721474351</v>
      </c>
      <c r="Q42" s="16">
        <f t="shared" si="7"/>
        <v>34587.851216346156</v>
      </c>
      <c r="R42" s="16">
        <f t="shared" si="7"/>
        <v>27478.537901762815</v>
      </c>
      <c r="S42" s="16">
        <f t="shared" si="7"/>
        <v>38063.846077724353</v>
      </c>
      <c r="T42" s="16">
        <f t="shared" si="7"/>
        <v>35253.725048290602</v>
      </c>
      <c r="U42" s="16">
        <f t="shared" si="7"/>
        <v>32838.081785443377</v>
      </c>
      <c r="V42" s="16">
        <f t="shared" si="7"/>
        <v>43501.215591613254</v>
      </c>
      <c r="W42" s="16">
        <f t="shared" si="7"/>
        <v>32042.152062179495</v>
      </c>
      <c r="X42" s="16">
        <f t="shared" si="7"/>
        <v>32838.081785443377</v>
      </c>
      <c r="Y42" s="16">
        <f t="shared" si="7"/>
        <v>43577.115994564629</v>
      </c>
      <c r="Z42" s="16">
        <f t="shared" si="7"/>
        <v>38949.578045512819</v>
      </c>
      <c r="AA42" s="16">
        <f t="shared" si="8"/>
        <v>34041.565971169883</v>
      </c>
      <c r="AB42" s="16">
        <f t="shared" si="8"/>
        <v>44536.326273118582</v>
      </c>
      <c r="AC42" s="16">
        <f t="shared" si="8"/>
        <v>35625.486752836543</v>
      </c>
      <c r="AD42" s="16">
        <f t="shared" si="8"/>
        <v>28302.894038815699</v>
      </c>
      <c r="AE42" s="16">
        <f t="shared" si="8"/>
        <v>39205.761460056085</v>
      </c>
      <c r="AF42" s="16">
        <f t="shared" si="8"/>
        <v>36311.328781585471</v>
      </c>
      <c r="AG42" s="16">
        <f t="shared" si="8"/>
        <v>33823.216220852839</v>
      </c>
      <c r="AH42" s="16">
        <f t="shared" si="8"/>
        <v>44806.24203666934</v>
      </c>
      <c r="AI42" s="16">
        <f t="shared" si="8"/>
        <v>33003.408605891032</v>
      </c>
      <c r="AJ42" s="16">
        <f t="shared" si="8"/>
        <v>33823.216220852839</v>
      </c>
      <c r="AK42" s="16">
        <f t="shared" si="8"/>
        <v>44884.419451709262</v>
      </c>
      <c r="AL42" s="16">
        <f t="shared" si="8"/>
        <v>40118.057368724352</v>
      </c>
      <c r="AM42" s="16">
        <f t="shared" si="9"/>
        <v>35062.804691606514</v>
      </c>
      <c r="AN42" s="16">
        <f t="shared" si="9"/>
        <v>45872.405737939072</v>
      </c>
      <c r="AO42" s="16">
        <f t="shared" si="9"/>
        <v>36694.243096723185</v>
      </c>
      <c r="AP42" s="16">
        <f t="shared" si="9"/>
        <v>29151.972601281712</v>
      </c>
      <c r="AQ42" s="16">
        <f t="shared" si="9"/>
        <v>40381.923980484695</v>
      </c>
      <c r="AR42" s="16">
        <f t="shared" si="9"/>
        <v>37315.029054359205</v>
      </c>
      <c r="AS42" s="16">
        <f t="shared" si="9"/>
        <v>34896.901180222972</v>
      </c>
      <c r="AT42" s="16">
        <f t="shared" si="9"/>
        <v>34896.901180222972</v>
      </c>
      <c r="AU42" s="16">
        <f t="shared" si="9"/>
        <v>0</v>
      </c>
      <c r="AV42" s="16">
        <f t="shared" si="9"/>
        <v>0</v>
      </c>
      <c r="AW42" s="16">
        <f t="shared" si="9"/>
        <v>0</v>
      </c>
      <c r="AX42" s="16">
        <f t="shared" si="9"/>
        <v>0</v>
      </c>
    </row>
    <row r="43" spans="1:50">
      <c r="A43" s="1" t="s">
        <v>23</v>
      </c>
      <c r="B43" s="1"/>
      <c r="C43" s="16">
        <f t="shared" ref="C43:N43" si="15">C13*$B$31</f>
        <v>5957.2801800000007</v>
      </c>
      <c r="D43" s="16">
        <f t="shared" si="15"/>
        <v>7737.66</v>
      </c>
      <c r="E43" s="16">
        <f t="shared" si="15"/>
        <v>6428.7</v>
      </c>
      <c r="F43" s="16">
        <f t="shared" si="15"/>
        <v>7653.42</v>
      </c>
      <c r="G43" s="16">
        <f t="shared" si="15"/>
        <v>7397.46</v>
      </c>
      <c r="H43" s="16">
        <f t="shared" si="15"/>
        <v>5491.26</v>
      </c>
      <c r="I43" s="16">
        <f t="shared" si="15"/>
        <v>5850.9</v>
      </c>
      <c r="J43" s="16">
        <f t="shared" si="15"/>
        <v>6941.4857110972416</v>
      </c>
      <c r="K43" s="16">
        <f t="shared" si="15"/>
        <v>5553.1885688777902</v>
      </c>
      <c r="L43" s="16">
        <f t="shared" si="15"/>
        <v>5553.1885688777902</v>
      </c>
      <c r="M43" s="16">
        <f t="shared" si="15"/>
        <v>6941.4857110972416</v>
      </c>
      <c r="N43" s="16">
        <f t="shared" si="15"/>
        <v>5581.9193381085597</v>
      </c>
      <c r="O43" s="16">
        <f t="shared" si="7"/>
        <v>6717.4134400856146</v>
      </c>
      <c r="P43" s="16">
        <f t="shared" si="7"/>
        <v>8396.7668001070142</v>
      </c>
      <c r="Q43" s="16">
        <f t="shared" si="7"/>
        <v>6717.4134400856146</v>
      </c>
      <c r="R43" s="16">
        <f t="shared" si="7"/>
        <v>6717.4134400856146</v>
      </c>
      <c r="S43" s="16">
        <f t="shared" si="7"/>
        <v>8396.7668001070142</v>
      </c>
      <c r="T43" s="16">
        <f t="shared" si="7"/>
        <v>6717.4134400856146</v>
      </c>
      <c r="U43" s="16">
        <f t="shared" si="7"/>
        <v>6717.4134400856146</v>
      </c>
      <c r="V43" s="16">
        <f t="shared" si="7"/>
        <v>8396.7668001070142</v>
      </c>
      <c r="W43" s="16">
        <f t="shared" si="7"/>
        <v>6717.4134400856146</v>
      </c>
      <c r="X43" s="16">
        <f t="shared" si="7"/>
        <v>6717.4134400856146</v>
      </c>
      <c r="Y43" s="16">
        <f t="shared" si="7"/>
        <v>8396.7668001070142</v>
      </c>
      <c r="Z43" s="16">
        <f t="shared" si="7"/>
        <v>6717.4134400856146</v>
      </c>
      <c r="AA43" s="16">
        <f t="shared" si="8"/>
        <v>6722.1501787790894</v>
      </c>
      <c r="AB43" s="16">
        <f t="shared" si="8"/>
        <v>8402.6877234738567</v>
      </c>
      <c r="AC43" s="16">
        <f t="shared" si="8"/>
        <v>6722.1501787790894</v>
      </c>
      <c r="AD43" s="16">
        <f t="shared" si="8"/>
        <v>6722.1501787790894</v>
      </c>
      <c r="AE43" s="16">
        <f t="shared" si="8"/>
        <v>8402.6877234738567</v>
      </c>
      <c r="AF43" s="16">
        <f t="shared" si="8"/>
        <v>6722.1501787790894</v>
      </c>
      <c r="AG43" s="16">
        <f t="shared" si="8"/>
        <v>6722.1501787790894</v>
      </c>
      <c r="AH43" s="16">
        <f t="shared" si="8"/>
        <v>8402.6877234738567</v>
      </c>
      <c r="AI43" s="16">
        <f t="shared" si="8"/>
        <v>6722.1501787790894</v>
      </c>
      <c r="AJ43" s="16">
        <f t="shared" si="8"/>
        <v>6722.1501787790894</v>
      </c>
      <c r="AK43" s="16">
        <f t="shared" si="8"/>
        <v>8402.6877234738567</v>
      </c>
      <c r="AL43" s="16">
        <f t="shared" si="8"/>
        <v>6722.1501787790894</v>
      </c>
      <c r="AM43" s="16">
        <f t="shared" si="9"/>
        <v>6727.8451834851076</v>
      </c>
      <c r="AN43" s="16">
        <f t="shared" si="9"/>
        <v>8409.8064793563863</v>
      </c>
      <c r="AO43" s="16">
        <f t="shared" si="9"/>
        <v>6727.8451834851076</v>
      </c>
      <c r="AP43" s="16">
        <f t="shared" si="9"/>
        <v>6727.8451834851076</v>
      </c>
      <c r="AQ43" s="16">
        <f t="shared" si="9"/>
        <v>8409.8064793563863</v>
      </c>
      <c r="AR43" s="16">
        <f t="shared" si="9"/>
        <v>6765.0990950235691</v>
      </c>
      <c r="AS43" s="16">
        <f t="shared" si="9"/>
        <v>6727.8451834851076</v>
      </c>
      <c r="AT43" s="16">
        <f t="shared" si="9"/>
        <v>6727.8451834851076</v>
      </c>
      <c r="AU43" s="16">
        <f t="shared" si="9"/>
        <v>0</v>
      </c>
      <c r="AV43" s="16">
        <f t="shared" si="9"/>
        <v>0</v>
      </c>
      <c r="AW43" s="16">
        <f t="shared" si="9"/>
        <v>0</v>
      </c>
      <c r="AX43" s="16">
        <f t="shared" si="9"/>
        <v>0</v>
      </c>
    </row>
    <row r="44" spans="1:50">
      <c r="A44" s="1" t="s">
        <v>71</v>
      </c>
      <c r="B44" s="1"/>
      <c r="C44" s="16">
        <f t="shared" ref="C44:N44" si="16">C14*$B$31</f>
        <v>851.94018000000005</v>
      </c>
      <c r="D44" s="16">
        <f t="shared" si="16"/>
        <v>1217.43</v>
      </c>
      <c r="E44" s="16">
        <f t="shared" si="16"/>
        <v>922.68</v>
      </c>
      <c r="F44" s="16">
        <f t="shared" si="16"/>
        <v>626.22</v>
      </c>
      <c r="G44" s="16">
        <f t="shared" si="16"/>
        <v>1240.83</v>
      </c>
      <c r="H44" s="16">
        <f t="shared" si="16"/>
        <v>972.27</v>
      </c>
      <c r="I44" s="16">
        <f t="shared" si="16"/>
        <v>847.8</v>
      </c>
      <c r="J44" s="16">
        <f t="shared" si="16"/>
        <v>1121.8499999999999</v>
      </c>
      <c r="K44" s="16">
        <f t="shared" si="16"/>
        <v>844.56</v>
      </c>
      <c r="L44" s="16">
        <f t="shared" si="16"/>
        <v>836.64</v>
      </c>
      <c r="M44" s="16">
        <f t="shared" si="16"/>
        <v>1090.26</v>
      </c>
      <c r="N44" s="16">
        <f t="shared" si="16"/>
        <v>981.9</v>
      </c>
      <c r="O44" s="16">
        <f t="shared" si="7"/>
        <v>1029.2031538461545</v>
      </c>
      <c r="P44" s="16">
        <f t="shared" si="7"/>
        <v>1286.5039423076928</v>
      </c>
      <c r="Q44" s="16">
        <f t="shared" si="7"/>
        <v>1085.8157115384627</v>
      </c>
      <c r="R44" s="16">
        <f t="shared" si="7"/>
        <v>1029.2031538461545</v>
      </c>
      <c r="S44" s="16">
        <f t="shared" si="7"/>
        <v>1286.5039423076928</v>
      </c>
      <c r="T44" s="16">
        <f t="shared" si="7"/>
        <v>1029.2031538461545</v>
      </c>
      <c r="U44" s="16">
        <f t="shared" si="7"/>
        <v>1029.2031538461545</v>
      </c>
      <c r="V44" s="16">
        <f t="shared" si="7"/>
        <v>1286.5039423076928</v>
      </c>
      <c r="W44" s="16">
        <f t="shared" si="7"/>
        <v>1029.2031538461545</v>
      </c>
      <c r="X44" s="16">
        <f t="shared" si="7"/>
        <v>1029.2031538461545</v>
      </c>
      <c r="Y44" s="16">
        <f t="shared" si="7"/>
        <v>1286.5039423076928</v>
      </c>
      <c r="Z44" s="16">
        <f t="shared" si="7"/>
        <v>1029.2031538461545</v>
      </c>
      <c r="AA44" s="16">
        <f t="shared" si="8"/>
        <v>1013.0112037692297</v>
      </c>
      <c r="AB44" s="16">
        <f t="shared" si="8"/>
        <v>1266.2640047115378</v>
      </c>
      <c r="AC44" s="16">
        <f t="shared" si="8"/>
        <v>1013.0112037692297</v>
      </c>
      <c r="AD44" s="16">
        <f t="shared" si="8"/>
        <v>1013.0112037692297</v>
      </c>
      <c r="AE44" s="16">
        <f t="shared" si="8"/>
        <v>1266.2640047115378</v>
      </c>
      <c r="AF44" s="16">
        <f t="shared" si="8"/>
        <v>1013.0112037692297</v>
      </c>
      <c r="AG44" s="16">
        <f t="shared" si="8"/>
        <v>1013.0112037692297</v>
      </c>
      <c r="AH44" s="16">
        <f t="shared" si="8"/>
        <v>1266.2640047115378</v>
      </c>
      <c r="AI44" s="16">
        <f t="shared" si="8"/>
        <v>1103.9134322615384</v>
      </c>
      <c r="AJ44" s="16">
        <f t="shared" si="8"/>
        <v>1013.0112037692297</v>
      </c>
      <c r="AK44" s="16">
        <f t="shared" si="8"/>
        <v>1143.4151460769224</v>
      </c>
      <c r="AL44" s="16">
        <f t="shared" si="8"/>
        <v>1013.0112037692297</v>
      </c>
      <c r="AM44" s="16">
        <f t="shared" si="9"/>
        <v>1045.3546276320401</v>
      </c>
      <c r="AN44" s="16">
        <f t="shared" si="9"/>
        <v>1257.8544298735887</v>
      </c>
      <c r="AO44" s="16">
        <f t="shared" si="9"/>
        <v>1006.2835438988703</v>
      </c>
      <c r="AP44" s="16">
        <f t="shared" si="9"/>
        <v>1006.2835438988703</v>
      </c>
      <c r="AQ44" s="16">
        <f t="shared" si="9"/>
        <v>1204.7851819676705</v>
      </c>
      <c r="AR44" s="16">
        <f t="shared" si="9"/>
        <v>1006.2835438988703</v>
      </c>
      <c r="AS44" s="16">
        <f t="shared" si="9"/>
        <v>1006.2835438988703</v>
      </c>
      <c r="AT44" s="16">
        <f t="shared" si="9"/>
        <v>1006.2835438988703</v>
      </c>
      <c r="AU44" s="16">
        <f t="shared" si="9"/>
        <v>0</v>
      </c>
      <c r="AV44" s="16">
        <f t="shared" si="9"/>
        <v>0</v>
      </c>
      <c r="AW44" s="16">
        <f t="shared" si="9"/>
        <v>0</v>
      </c>
      <c r="AX44" s="16">
        <f t="shared" si="9"/>
        <v>0</v>
      </c>
    </row>
    <row r="45" spans="1:50">
      <c r="A45" s="1" t="s">
        <v>72</v>
      </c>
      <c r="B45" s="1"/>
      <c r="C45" s="16">
        <f t="shared" ref="C45:N45" si="17">C15*$B$31</f>
        <v>5.4000000000000001E-4</v>
      </c>
      <c r="D45" s="16">
        <f t="shared" si="17"/>
        <v>0</v>
      </c>
      <c r="E45" s="16">
        <f t="shared" si="17"/>
        <v>0</v>
      </c>
      <c r="F45" s="16">
        <f t="shared" si="17"/>
        <v>0</v>
      </c>
      <c r="G45" s="16">
        <f t="shared" si="17"/>
        <v>3458.16</v>
      </c>
      <c r="H45" s="16">
        <f t="shared" si="17"/>
        <v>8335.44</v>
      </c>
      <c r="I45" s="16">
        <f t="shared" si="17"/>
        <v>13610.16</v>
      </c>
      <c r="J45" s="16">
        <f t="shared" si="17"/>
        <v>17676.18</v>
      </c>
      <c r="K45" s="16">
        <f t="shared" si="17"/>
        <v>14140.89</v>
      </c>
      <c r="L45" s="16">
        <f t="shared" si="17"/>
        <v>14898.51</v>
      </c>
      <c r="M45" s="16">
        <f t="shared" si="17"/>
        <v>19191.239999999998</v>
      </c>
      <c r="N45" s="16">
        <f t="shared" si="17"/>
        <v>19191.239999999998</v>
      </c>
      <c r="O45" s="16">
        <f t="shared" si="7"/>
        <v>17768.63</v>
      </c>
      <c r="P45" s="16">
        <f t="shared" si="7"/>
        <v>20443.060000000001</v>
      </c>
      <c r="Q45" s="16">
        <f t="shared" si="7"/>
        <v>16895.34</v>
      </c>
      <c r="R45" s="16">
        <f t="shared" si="7"/>
        <v>16902.93</v>
      </c>
      <c r="S45" s="16">
        <f t="shared" si="7"/>
        <v>22250.69</v>
      </c>
      <c r="T45" s="16">
        <f t="shared" si="7"/>
        <v>17808.560000000001</v>
      </c>
      <c r="U45" s="16">
        <f t="shared" si="7"/>
        <v>17816.7</v>
      </c>
      <c r="V45" s="16">
        <f t="shared" si="7"/>
        <v>22280.720000000001</v>
      </c>
      <c r="W45" s="16">
        <f t="shared" si="7"/>
        <v>16940.990000000002</v>
      </c>
      <c r="X45" s="16">
        <f t="shared" si="7"/>
        <v>16948.47</v>
      </c>
      <c r="Y45" s="16">
        <f t="shared" si="7"/>
        <v>22310.639999999999</v>
      </c>
      <c r="Z45" s="16">
        <f t="shared" si="7"/>
        <v>16963.759999999998</v>
      </c>
      <c r="AA45" s="16">
        <f t="shared" si="8"/>
        <v>18407.5111</v>
      </c>
      <c r="AB45" s="16">
        <f t="shared" si="8"/>
        <v>21186.193599999999</v>
      </c>
      <c r="AC45" s="16">
        <f t="shared" si="8"/>
        <v>17515.840100000001</v>
      </c>
      <c r="AD45" s="16">
        <f t="shared" si="8"/>
        <v>17530.4558</v>
      </c>
      <c r="AE45" s="16">
        <f t="shared" si="8"/>
        <v>23085.3282</v>
      </c>
      <c r="AF45" s="16">
        <f t="shared" si="8"/>
        <v>18483.308799999999</v>
      </c>
      <c r="AG45" s="16">
        <f t="shared" si="8"/>
        <v>18498.491000000002</v>
      </c>
      <c r="AH45" s="16">
        <f t="shared" si="8"/>
        <v>23142.091499999999</v>
      </c>
      <c r="AI45" s="16">
        <f t="shared" si="8"/>
        <v>17602.401300000001</v>
      </c>
      <c r="AJ45" s="16">
        <f t="shared" si="8"/>
        <v>18999.210862597898</v>
      </c>
      <c r="AK45" s="16">
        <f t="shared" si="8"/>
        <v>25272.428843896851</v>
      </c>
      <c r="AL45" s="16">
        <f t="shared" si="8"/>
        <v>20133.834792676222</v>
      </c>
      <c r="AM45" s="16">
        <f t="shared" si="9"/>
        <v>21071.466764285742</v>
      </c>
      <c r="AN45" s="16">
        <f t="shared" si="9"/>
        <v>25361.694897743058</v>
      </c>
      <c r="AO45" s="16">
        <f t="shared" si="9"/>
        <v>20906.687776285737</v>
      </c>
      <c r="AP45" s="16">
        <f t="shared" si="9"/>
        <v>21084.975669207273</v>
      </c>
      <c r="AQ45" s="16">
        <f t="shared" si="9"/>
        <v>25787.091057549042</v>
      </c>
      <c r="AR45" s="16">
        <f t="shared" si="9"/>
        <v>21985.658551207274</v>
      </c>
      <c r="AS45" s="16">
        <f t="shared" si="9"/>
        <v>21452.354547257259</v>
      </c>
      <c r="AT45" s="16">
        <f t="shared" si="9"/>
        <v>21452.354547257259</v>
      </c>
      <c r="AU45" s="16">
        <f t="shared" si="9"/>
        <v>0</v>
      </c>
      <c r="AV45" s="16">
        <f t="shared" si="9"/>
        <v>0</v>
      </c>
      <c r="AW45" s="16">
        <f t="shared" si="9"/>
        <v>0</v>
      </c>
      <c r="AX45" s="16">
        <f t="shared" si="9"/>
        <v>0</v>
      </c>
    </row>
    <row r="46" spans="1:50">
      <c r="A46" s="1" t="s">
        <v>83</v>
      </c>
      <c r="B46" s="1"/>
      <c r="C46" s="16">
        <f t="shared" ref="C46:N46" si="18">C16*$B$31</f>
        <v>224.64018000000002</v>
      </c>
      <c r="D46" s="16">
        <f t="shared" si="18"/>
        <v>330.47999999999996</v>
      </c>
      <c r="E46" s="16">
        <f t="shared" si="18"/>
        <v>317.52</v>
      </c>
      <c r="F46" s="16">
        <f t="shared" si="18"/>
        <v>206.28</v>
      </c>
      <c r="G46" s="16">
        <f t="shared" si="18"/>
        <v>302.39999999999998</v>
      </c>
      <c r="H46" s="16">
        <f t="shared" si="18"/>
        <v>258.12</v>
      </c>
      <c r="I46" s="16">
        <f t="shared" si="18"/>
        <v>304.56</v>
      </c>
      <c r="J46" s="16">
        <f t="shared" si="18"/>
        <v>309.95999999999998</v>
      </c>
      <c r="K46" s="16">
        <f t="shared" si="18"/>
        <v>235.53</v>
      </c>
      <c r="L46" s="16">
        <f t="shared" si="18"/>
        <v>235.53</v>
      </c>
      <c r="M46" s="16">
        <f t="shared" si="18"/>
        <v>309.95999999999998</v>
      </c>
      <c r="N46" s="16">
        <f t="shared" si="18"/>
        <v>238.95</v>
      </c>
      <c r="O46" s="16">
        <f t="shared" si="7"/>
        <v>313.06</v>
      </c>
      <c r="P46" s="16">
        <f t="shared" si="7"/>
        <v>344.3</v>
      </c>
      <c r="Q46" s="16">
        <f t="shared" si="7"/>
        <v>308.55</v>
      </c>
      <c r="R46" s="16">
        <f t="shared" si="7"/>
        <v>333.74</v>
      </c>
      <c r="S46" s="16">
        <f t="shared" si="7"/>
        <v>346.72</v>
      </c>
      <c r="T46" s="16">
        <f t="shared" si="7"/>
        <v>312.73</v>
      </c>
      <c r="U46" s="16">
        <f t="shared" si="7"/>
        <v>333.74</v>
      </c>
      <c r="V46" s="16">
        <f t="shared" si="7"/>
        <v>342.54</v>
      </c>
      <c r="W46" s="16">
        <f t="shared" si="7"/>
        <v>308.55</v>
      </c>
      <c r="X46" s="16">
        <f t="shared" si="7"/>
        <v>333.74</v>
      </c>
      <c r="Y46" s="16">
        <f t="shared" si="7"/>
        <v>342.54</v>
      </c>
      <c r="Z46" s="16">
        <f t="shared" si="7"/>
        <v>308.55</v>
      </c>
      <c r="AA46" s="16">
        <f t="shared" si="8"/>
        <v>323.47149999999999</v>
      </c>
      <c r="AB46" s="16">
        <f t="shared" si="8"/>
        <v>372.0772</v>
      </c>
      <c r="AC46" s="16">
        <f t="shared" si="8"/>
        <v>307.26960000000003</v>
      </c>
      <c r="AD46" s="16">
        <f t="shared" si="8"/>
        <v>307.26960000000003</v>
      </c>
      <c r="AE46" s="16">
        <f t="shared" si="8"/>
        <v>404.36769999999996</v>
      </c>
      <c r="AF46" s="16">
        <f t="shared" si="8"/>
        <v>322.22519999999997</v>
      </c>
      <c r="AG46" s="16">
        <f t="shared" si="8"/>
        <v>323.47149999999999</v>
      </c>
      <c r="AH46" s="16">
        <f t="shared" si="8"/>
        <v>404.25440000000003</v>
      </c>
      <c r="AI46" s="16">
        <f t="shared" si="8"/>
        <v>307.26960000000003</v>
      </c>
      <c r="AJ46" s="16">
        <f t="shared" si="8"/>
        <v>298.2056</v>
      </c>
      <c r="AK46" s="16">
        <f t="shared" si="8"/>
        <v>404.36769999999996</v>
      </c>
      <c r="AL46" s="16">
        <f t="shared" si="8"/>
        <v>404.36769999999996</v>
      </c>
      <c r="AM46" s="16">
        <f t="shared" si="9"/>
        <v>355.46515400000004</v>
      </c>
      <c r="AN46" s="16">
        <f t="shared" si="9"/>
        <v>392.10864000000004</v>
      </c>
      <c r="AO46" s="16">
        <f t="shared" si="9"/>
        <v>343.21175900000003</v>
      </c>
      <c r="AP46" s="16">
        <f t="shared" si="9"/>
        <v>416.49873099999996</v>
      </c>
      <c r="AQ46" s="16">
        <f t="shared" si="9"/>
        <v>354.18146500000006</v>
      </c>
      <c r="AR46" s="16">
        <f t="shared" si="9"/>
        <v>355.46515400000004</v>
      </c>
      <c r="AS46" s="16">
        <f t="shared" si="9"/>
        <v>355.21608655596418</v>
      </c>
      <c r="AT46" s="16">
        <f t="shared" si="9"/>
        <v>355.21608655596418</v>
      </c>
      <c r="AU46" s="16">
        <f t="shared" si="9"/>
        <v>0</v>
      </c>
      <c r="AV46" s="16">
        <f t="shared" si="9"/>
        <v>0</v>
      </c>
      <c r="AW46" s="16">
        <f t="shared" si="9"/>
        <v>0</v>
      </c>
      <c r="AX46" s="16">
        <f t="shared" si="9"/>
        <v>0</v>
      </c>
    </row>
    <row r="47" spans="1:50">
      <c r="A47" s="52" t="s">
        <v>94</v>
      </c>
      <c r="B47" s="52"/>
      <c r="C47" s="16">
        <f t="shared" ref="C47:N47" si="19">C17*$B$31</f>
        <v>170.10017999999999</v>
      </c>
      <c r="D47" s="16">
        <f t="shared" si="19"/>
        <v>310.5</v>
      </c>
      <c r="E47" s="16">
        <f t="shared" si="19"/>
        <v>235.44</v>
      </c>
      <c r="F47" s="16">
        <f t="shared" si="19"/>
        <v>102.06</v>
      </c>
      <c r="G47" s="16">
        <f t="shared" si="19"/>
        <v>241.92</v>
      </c>
      <c r="H47" s="16">
        <f t="shared" si="19"/>
        <v>202.5</v>
      </c>
      <c r="I47" s="16">
        <f t="shared" si="19"/>
        <v>184.14</v>
      </c>
      <c r="J47" s="16">
        <f t="shared" si="19"/>
        <v>250.2891147540987</v>
      </c>
      <c r="K47" s="16">
        <f t="shared" si="19"/>
        <v>193.15012721311439</v>
      </c>
      <c r="L47" s="16">
        <f t="shared" si="19"/>
        <v>193.15012721311439</v>
      </c>
      <c r="M47" s="16">
        <f t="shared" si="19"/>
        <v>250.2891147540987</v>
      </c>
      <c r="N47" s="16">
        <f t="shared" si="19"/>
        <v>193.15012721311439</v>
      </c>
      <c r="O47" s="16">
        <f t="shared" si="7"/>
        <v>240.5251344262295</v>
      </c>
      <c r="P47" s="16">
        <f t="shared" si="7"/>
        <v>288.75340459016371</v>
      </c>
      <c r="Q47" s="16">
        <f t="shared" si="7"/>
        <v>236.07237770491759</v>
      </c>
      <c r="R47" s="16">
        <f t="shared" si="7"/>
        <v>236.07237770491759</v>
      </c>
      <c r="S47" s="16">
        <f t="shared" si="7"/>
        <v>305.79891803278736</v>
      </c>
      <c r="T47" s="16">
        <f t="shared" si="7"/>
        <v>240.5251344262295</v>
      </c>
      <c r="U47" s="16">
        <f t="shared" si="7"/>
        <v>240.5251344262295</v>
      </c>
      <c r="V47" s="16">
        <f t="shared" si="7"/>
        <v>305.79891803278736</v>
      </c>
      <c r="W47" s="16">
        <f t="shared" si="7"/>
        <v>236.07237770491759</v>
      </c>
      <c r="X47" s="16">
        <f t="shared" si="7"/>
        <v>236.07237770491759</v>
      </c>
      <c r="Y47" s="16">
        <f t="shared" si="7"/>
        <v>305.79891803278736</v>
      </c>
      <c r="Z47" s="16">
        <f t="shared" si="7"/>
        <v>236.07237770491759</v>
      </c>
      <c r="AA47" s="16">
        <f t="shared" si="8"/>
        <v>249.55368845901637</v>
      </c>
      <c r="AB47" s="16">
        <f t="shared" si="8"/>
        <v>294.69680672786865</v>
      </c>
      <c r="AC47" s="16">
        <f t="shared" si="8"/>
        <v>241.22844903606511</v>
      </c>
      <c r="AD47" s="16">
        <f t="shared" si="8"/>
        <v>241.22844903606511</v>
      </c>
      <c r="AE47" s="16">
        <f t="shared" si="8"/>
        <v>312.48028557377097</v>
      </c>
      <c r="AF47" s="16">
        <f t="shared" si="8"/>
        <v>249.8935884590164</v>
      </c>
      <c r="AG47" s="16">
        <f t="shared" si="8"/>
        <v>249.8935884590164</v>
      </c>
      <c r="AH47" s="16">
        <f t="shared" si="8"/>
        <v>312.48028557377097</v>
      </c>
      <c r="AI47" s="16">
        <f t="shared" si="8"/>
        <v>241.22844903606511</v>
      </c>
      <c r="AJ47" s="16">
        <f t="shared" si="8"/>
        <v>242.81464903606511</v>
      </c>
      <c r="AK47" s="16">
        <f t="shared" si="8"/>
        <v>311.80048557377097</v>
      </c>
      <c r="AL47" s="16">
        <f t="shared" si="8"/>
        <v>242.81464903606511</v>
      </c>
      <c r="AM47" s="16">
        <f t="shared" si="9"/>
        <v>256.34010511278689</v>
      </c>
      <c r="AN47" s="16">
        <f t="shared" si="9"/>
        <v>307.0386809297047</v>
      </c>
      <c r="AO47" s="16">
        <f t="shared" si="9"/>
        <v>249.63229250714704</v>
      </c>
      <c r="AP47" s="16">
        <f t="shared" si="9"/>
        <v>249.63229250714704</v>
      </c>
      <c r="AQ47" s="16">
        <f t="shared" si="9"/>
        <v>320.4543061409841</v>
      </c>
      <c r="AR47" s="16">
        <f t="shared" si="9"/>
        <v>256.08428560000004</v>
      </c>
      <c r="AS47" s="16">
        <f t="shared" si="9"/>
        <v>254.38648707098986</v>
      </c>
      <c r="AT47" s="16">
        <f t="shared" si="9"/>
        <v>254.38648707098969</v>
      </c>
      <c r="AU47" s="16">
        <f t="shared" si="9"/>
        <v>0</v>
      </c>
      <c r="AV47" s="16">
        <f t="shared" si="9"/>
        <v>0</v>
      </c>
      <c r="AW47" s="16">
        <f t="shared" si="9"/>
        <v>0</v>
      </c>
      <c r="AX47" s="16">
        <f t="shared" si="9"/>
        <v>0</v>
      </c>
    </row>
    <row r="48" spans="1:50">
      <c r="A48" s="4" t="s">
        <v>25</v>
      </c>
      <c r="B48" s="4"/>
      <c r="C48" s="16">
        <f t="shared" ref="C48:N48" si="20">C18*$B$31</f>
        <v>685.62612000000001</v>
      </c>
      <c r="D48" s="16">
        <f t="shared" si="20"/>
        <v>958.05297000000007</v>
      </c>
      <c r="E48" s="16">
        <f t="shared" si="20"/>
        <v>692.19315000000006</v>
      </c>
      <c r="F48" s="16">
        <f t="shared" si="20"/>
        <v>290.43</v>
      </c>
      <c r="G48" s="16">
        <f t="shared" si="20"/>
        <v>1086.1228800000001</v>
      </c>
      <c r="H48" s="16">
        <f t="shared" si="20"/>
        <v>752.85270000000003</v>
      </c>
      <c r="I48" s="16">
        <f t="shared" si="20"/>
        <v>463.95269999999994</v>
      </c>
      <c r="J48" s="16">
        <f t="shared" si="20"/>
        <v>866.64414519582624</v>
      </c>
      <c r="K48" s="16">
        <f t="shared" si="20"/>
        <v>660.27166223463871</v>
      </c>
      <c r="L48" s="16">
        <f t="shared" si="20"/>
        <v>726.02029719737334</v>
      </c>
      <c r="M48" s="16">
        <f t="shared" si="20"/>
        <v>953.79079130378375</v>
      </c>
      <c r="N48" s="16">
        <f t="shared" si="20"/>
        <v>908.31980769230779</v>
      </c>
      <c r="O48" s="16">
        <f t="shared" si="7"/>
        <v>937.35296354689251</v>
      </c>
      <c r="P48" s="16">
        <f t="shared" si="7"/>
        <v>1706.0911014782023</v>
      </c>
      <c r="Q48" s="16">
        <f t="shared" si="7"/>
        <v>2014.4461514861905</v>
      </c>
      <c r="R48" s="16">
        <f t="shared" si="7"/>
        <v>2907.3357790142854</v>
      </c>
      <c r="S48" s="16">
        <f t="shared" si="7"/>
        <v>4332.6334168370367</v>
      </c>
      <c r="T48" s="16">
        <f t="shared" si="7"/>
        <v>3509.634706976</v>
      </c>
      <c r="U48" s="16">
        <f t="shared" si="7"/>
        <v>3782.814249071585</v>
      </c>
      <c r="V48" s="16">
        <f t="shared" si="7"/>
        <v>4737.0719328910245</v>
      </c>
      <c r="W48" s="16">
        <f t="shared" si="7"/>
        <v>3747.6698012376137</v>
      </c>
      <c r="X48" s="16">
        <f t="shared" si="7"/>
        <v>3749.9884747390743</v>
      </c>
      <c r="Y48" s="16">
        <f t="shared" si="7"/>
        <v>4745.2635388178442</v>
      </c>
      <c r="Z48" s="16">
        <f t="shared" si="7"/>
        <v>3754.2958217419973</v>
      </c>
      <c r="AA48" s="16">
        <f t="shared" si="8"/>
        <v>4283.2625403536631</v>
      </c>
      <c r="AB48" s="16">
        <f t="shared" si="8"/>
        <v>5263.4661326866517</v>
      </c>
      <c r="AC48" s="16">
        <f t="shared" si="8"/>
        <v>4240.5504585005801</v>
      </c>
      <c r="AD48" s="16">
        <f t="shared" si="8"/>
        <v>4293.3867123620093</v>
      </c>
      <c r="AE48" s="16">
        <f t="shared" si="8"/>
        <v>5426.3392833821881</v>
      </c>
      <c r="AF48" s="16">
        <f t="shared" si="8"/>
        <v>4342.7426603092463</v>
      </c>
      <c r="AG48" s="16">
        <f t="shared" si="8"/>
        <v>4344.7537939127415</v>
      </c>
      <c r="AH48" s="16">
        <f t="shared" si="8"/>
        <v>5432.6630593952941</v>
      </c>
      <c r="AI48" s="16">
        <f t="shared" si="8"/>
        <v>4301.6083219786105</v>
      </c>
      <c r="AJ48" s="16">
        <f t="shared" si="8"/>
        <v>4305.5866239019297</v>
      </c>
      <c r="AK48" s="16">
        <f t="shared" si="8"/>
        <v>5396.3860354084009</v>
      </c>
      <c r="AL48" s="16">
        <f t="shared" si="8"/>
        <v>4308.3314277485706</v>
      </c>
      <c r="AM48" s="16">
        <f t="shared" si="9"/>
        <v>4480.1935506488599</v>
      </c>
      <c r="AN48" s="16">
        <f t="shared" si="9"/>
        <v>5482.822841400658</v>
      </c>
      <c r="AO48" s="16">
        <f t="shared" si="9"/>
        <v>4443.6773237341285</v>
      </c>
      <c r="AP48" s="16">
        <f t="shared" si="9"/>
        <v>4444.1325665314944</v>
      </c>
      <c r="AQ48" s="16">
        <f t="shared" si="9"/>
        <v>5577.0367172143424</v>
      </c>
      <c r="AR48" s="16">
        <f t="shared" si="9"/>
        <v>4709.5155099559461</v>
      </c>
      <c r="AS48" s="16">
        <f t="shared" si="9"/>
        <v>4373.0867451496661</v>
      </c>
      <c r="AT48" s="16">
        <f t="shared" si="9"/>
        <v>5234.6563034080636</v>
      </c>
      <c r="AU48" s="16">
        <f t="shared" si="9"/>
        <v>0</v>
      </c>
      <c r="AV48" s="16">
        <f t="shared" si="9"/>
        <v>0</v>
      </c>
      <c r="AW48" s="16">
        <f t="shared" si="9"/>
        <v>0</v>
      </c>
      <c r="AX48" s="16">
        <f t="shared" si="9"/>
        <v>0</v>
      </c>
    </row>
    <row r="49" spans="1:50">
      <c r="A49" s="1" t="s">
        <v>114</v>
      </c>
      <c r="B49" s="1"/>
      <c r="C49" s="16">
        <f t="shared" ref="C49:N49" si="21">C19*$B$31</f>
        <v>0</v>
      </c>
      <c r="D49" s="16">
        <f t="shared" si="21"/>
        <v>0</v>
      </c>
      <c r="E49" s="16">
        <f t="shared" si="21"/>
        <v>0</v>
      </c>
      <c r="F49" s="16">
        <f t="shared" si="21"/>
        <v>0</v>
      </c>
      <c r="G49" s="16">
        <f t="shared" si="21"/>
        <v>0</v>
      </c>
      <c r="H49" s="16">
        <f t="shared" si="21"/>
        <v>0</v>
      </c>
      <c r="I49" s="16">
        <f t="shared" si="21"/>
        <v>0</v>
      </c>
      <c r="J49" s="16">
        <f t="shared" si="21"/>
        <v>0</v>
      </c>
      <c r="K49" s="16">
        <f t="shared" si="21"/>
        <v>0</v>
      </c>
      <c r="L49" s="16">
        <f t="shared" si="21"/>
        <v>0</v>
      </c>
      <c r="M49" s="16">
        <f t="shared" si="21"/>
        <v>0</v>
      </c>
      <c r="N49" s="16">
        <f t="shared" si="21"/>
        <v>0</v>
      </c>
      <c r="O49" s="16">
        <f t="shared" si="7"/>
        <v>0</v>
      </c>
      <c r="P49" s="16">
        <f t="shared" si="7"/>
        <v>0</v>
      </c>
      <c r="Q49" s="16">
        <f t="shared" si="7"/>
        <v>0</v>
      </c>
      <c r="R49" s="16">
        <f t="shared" si="7"/>
        <v>0</v>
      </c>
      <c r="S49" s="16">
        <f t="shared" si="7"/>
        <v>0</v>
      </c>
      <c r="T49" s="16">
        <f t="shared" si="7"/>
        <v>0</v>
      </c>
      <c r="U49" s="16">
        <f t="shared" si="7"/>
        <v>0</v>
      </c>
      <c r="V49" s="16">
        <f t="shared" si="7"/>
        <v>0</v>
      </c>
      <c r="W49" s="16">
        <f t="shared" si="7"/>
        <v>0</v>
      </c>
      <c r="X49" s="16">
        <f t="shared" si="7"/>
        <v>0</v>
      </c>
      <c r="Y49" s="16">
        <f t="shared" si="7"/>
        <v>0</v>
      </c>
      <c r="Z49" s="16">
        <f t="shared" si="7"/>
        <v>0</v>
      </c>
      <c r="AA49" s="16">
        <f t="shared" si="8"/>
        <v>0</v>
      </c>
      <c r="AB49" s="16">
        <f t="shared" si="8"/>
        <v>0</v>
      </c>
      <c r="AC49" s="16">
        <f t="shared" si="8"/>
        <v>0</v>
      </c>
      <c r="AD49" s="16">
        <f t="shared" si="8"/>
        <v>0</v>
      </c>
      <c r="AE49" s="16">
        <f t="shared" si="8"/>
        <v>0</v>
      </c>
      <c r="AF49" s="16">
        <f t="shared" si="8"/>
        <v>0</v>
      </c>
      <c r="AG49" s="16">
        <f t="shared" si="8"/>
        <v>0</v>
      </c>
      <c r="AH49" s="16">
        <f t="shared" si="8"/>
        <v>0</v>
      </c>
      <c r="AI49" s="16">
        <f t="shared" si="8"/>
        <v>0</v>
      </c>
      <c r="AJ49" s="16">
        <f t="shared" si="8"/>
        <v>0</v>
      </c>
      <c r="AK49" s="16">
        <f t="shared" si="8"/>
        <v>0</v>
      </c>
      <c r="AL49" s="16">
        <f t="shared" si="8"/>
        <v>0</v>
      </c>
      <c r="AM49" s="16">
        <f t="shared" si="9"/>
        <v>0</v>
      </c>
      <c r="AN49" s="16">
        <f t="shared" si="9"/>
        <v>0</v>
      </c>
      <c r="AO49" s="16">
        <f t="shared" si="9"/>
        <v>0</v>
      </c>
      <c r="AP49" s="16">
        <f t="shared" si="9"/>
        <v>0</v>
      </c>
      <c r="AQ49" s="16">
        <f t="shared" si="9"/>
        <v>0</v>
      </c>
      <c r="AR49" s="16">
        <f t="shared" si="9"/>
        <v>0</v>
      </c>
      <c r="AS49" s="16">
        <f t="shared" si="9"/>
        <v>0</v>
      </c>
      <c r="AT49" s="16">
        <f t="shared" si="9"/>
        <v>0</v>
      </c>
      <c r="AU49" s="16">
        <f t="shared" si="9"/>
        <v>0</v>
      </c>
      <c r="AV49" s="16">
        <f t="shared" si="9"/>
        <v>0</v>
      </c>
      <c r="AW49" s="16">
        <f t="shared" si="9"/>
        <v>0</v>
      </c>
      <c r="AX49" s="16">
        <f t="shared" si="9"/>
        <v>0</v>
      </c>
    </row>
    <row r="50" spans="1:50">
      <c r="A50" s="1" t="s">
        <v>115</v>
      </c>
      <c r="B50" s="1"/>
      <c r="C50" s="16">
        <f t="shared" ref="C50:N50" si="22">C20*$B$31</f>
        <v>0</v>
      </c>
      <c r="D50" s="16">
        <f t="shared" si="22"/>
        <v>0</v>
      </c>
      <c r="E50" s="16">
        <f t="shared" si="22"/>
        <v>0</v>
      </c>
      <c r="F50" s="16">
        <f t="shared" si="22"/>
        <v>0</v>
      </c>
      <c r="G50" s="16">
        <f t="shared" si="22"/>
        <v>0</v>
      </c>
      <c r="H50" s="16">
        <f t="shared" si="22"/>
        <v>0</v>
      </c>
      <c r="I50" s="16">
        <f t="shared" si="22"/>
        <v>0</v>
      </c>
      <c r="J50" s="16">
        <f t="shared" si="22"/>
        <v>0</v>
      </c>
      <c r="K50" s="16">
        <f t="shared" si="22"/>
        <v>0</v>
      </c>
      <c r="L50" s="16">
        <f t="shared" si="22"/>
        <v>0</v>
      </c>
      <c r="M50" s="16">
        <f t="shared" si="22"/>
        <v>0</v>
      </c>
      <c r="N50" s="16">
        <f t="shared" si="22"/>
        <v>0</v>
      </c>
      <c r="O50" s="16">
        <f t="shared" si="7"/>
        <v>0</v>
      </c>
      <c r="P50" s="16">
        <f t="shared" si="7"/>
        <v>0</v>
      </c>
      <c r="Q50" s="16">
        <f t="shared" si="7"/>
        <v>0</v>
      </c>
      <c r="R50" s="16">
        <f t="shared" si="7"/>
        <v>0</v>
      </c>
      <c r="S50" s="16">
        <f t="shared" si="7"/>
        <v>0</v>
      </c>
      <c r="T50" s="16">
        <f t="shared" si="7"/>
        <v>0</v>
      </c>
      <c r="U50" s="16">
        <f t="shared" si="7"/>
        <v>0</v>
      </c>
      <c r="V50" s="16">
        <f t="shared" si="7"/>
        <v>0</v>
      </c>
      <c r="W50" s="16">
        <f t="shared" si="7"/>
        <v>0</v>
      </c>
      <c r="X50" s="16">
        <f t="shared" si="7"/>
        <v>0</v>
      </c>
      <c r="Y50" s="16">
        <f t="shared" si="7"/>
        <v>0</v>
      </c>
      <c r="Z50" s="16">
        <f t="shared" si="7"/>
        <v>0</v>
      </c>
      <c r="AA50" s="16">
        <f t="shared" si="8"/>
        <v>0</v>
      </c>
      <c r="AB50" s="16">
        <f t="shared" si="8"/>
        <v>0</v>
      </c>
      <c r="AC50" s="16">
        <f t="shared" si="8"/>
        <v>0</v>
      </c>
      <c r="AD50" s="16">
        <f t="shared" si="8"/>
        <v>0</v>
      </c>
      <c r="AE50" s="16">
        <f t="shared" si="8"/>
        <v>0</v>
      </c>
      <c r="AF50" s="16">
        <f t="shared" si="8"/>
        <v>0</v>
      </c>
      <c r="AG50" s="16">
        <f t="shared" si="8"/>
        <v>0</v>
      </c>
      <c r="AH50" s="16">
        <f t="shared" si="8"/>
        <v>0</v>
      </c>
      <c r="AI50" s="16">
        <f t="shared" si="8"/>
        <v>0</v>
      </c>
      <c r="AJ50" s="16">
        <f t="shared" si="8"/>
        <v>0</v>
      </c>
      <c r="AK50" s="16">
        <f t="shared" si="8"/>
        <v>0</v>
      </c>
      <c r="AL50" s="16">
        <f t="shared" si="8"/>
        <v>1504.9095780821915</v>
      </c>
      <c r="AM50" s="16">
        <f t="shared" si="9"/>
        <v>2790.9020656376711</v>
      </c>
      <c r="AN50" s="16">
        <f t="shared" si="9"/>
        <v>2990.2522131832193</v>
      </c>
      <c r="AO50" s="16">
        <f t="shared" si="9"/>
        <v>3189.6023607287675</v>
      </c>
      <c r="AP50" s="16">
        <f t="shared" si="9"/>
        <v>3388.9525082743157</v>
      </c>
      <c r="AQ50" s="16">
        <f t="shared" si="9"/>
        <v>3588.302655819863</v>
      </c>
      <c r="AR50" s="16">
        <f t="shared" si="9"/>
        <v>3787.6528033654113</v>
      </c>
      <c r="AS50" s="16">
        <f t="shared" si="9"/>
        <v>4186.3530984565068</v>
      </c>
      <c r="AT50" s="16">
        <f t="shared" si="9"/>
        <v>0</v>
      </c>
      <c r="AU50" s="16">
        <f t="shared" si="9"/>
        <v>0</v>
      </c>
      <c r="AV50" s="16">
        <f t="shared" si="9"/>
        <v>0</v>
      </c>
      <c r="AW50" s="16">
        <f t="shared" si="9"/>
        <v>0</v>
      </c>
      <c r="AX50" s="16">
        <f t="shared" si="9"/>
        <v>0</v>
      </c>
    </row>
    <row r="51" spans="1:50">
      <c r="A51" s="1" t="s">
        <v>116</v>
      </c>
      <c r="B51" s="1"/>
      <c r="C51" s="16">
        <f t="shared" ref="C51:N51" si="23">C21*$B$31</f>
        <v>0</v>
      </c>
      <c r="D51" s="16">
        <f t="shared" si="23"/>
        <v>0</v>
      </c>
      <c r="E51" s="16">
        <f t="shared" si="23"/>
        <v>0</v>
      </c>
      <c r="F51" s="16">
        <f t="shared" si="23"/>
        <v>0</v>
      </c>
      <c r="G51" s="16">
        <f t="shared" si="23"/>
        <v>0</v>
      </c>
      <c r="H51" s="16">
        <f t="shared" si="23"/>
        <v>0</v>
      </c>
      <c r="I51" s="16">
        <f t="shared" si="23"/>
        <v>0</v>
      </c>
      <c r="J51" s="16">
        <f t="shared" si="23"/>
        <v>0</v>
      </c>
      <c r="K51" s="16">
        <f t="shared" si="23"/>
        <v>0</v>
      </c>
      <c r="L51" s="16">
        <f t="shared" si="23"/>
        <v>0</v>
      </c>
      <c r="M51" s="16">
        <f t="shared" si="23"/>
        <v>0</v>
      </c>
      <c r="N51" s="16">
        <f t="shared" si="23"/>
        <v>0</v>
      </c>
      <c r="O51" s="16">
        <f t="shared" si="7"/>
        <v>0</v>
      </c>
      <c r="P51" s="16">
        <f t="shared" si="7"/>
        <v>0</v>
      </c>
      <c r="Q51" s="16">
        <f t="shared" si="7"/>
        <v>0</v>
      </c>
      <c r="R51" s="16">
        <f t="shared" si="7"/>
        <v>0</v>
      </c>
      <c r="S51" s="16">
        <f t="shared" si="7"/>
        <v>0</v>
      </c>
      <c r="T51" s="16">
        <f t="shared" si="7"/>
        <v>0</v>
      </c>
      <c r="U51" s="16">
        <f t="shared" si="7"/>
        <v>0</v>
      </c>
      <c r="V51" s="16">
        <f t="shared" si="7"/>
        <v>0</v>
      </c>
      <c r="W51" s="16">
        <f t="shared" si="7"/>
        <v>0</v>
      </c>
      <c r="X51" s="16">
        <f t="shared" si="7"/>
        <v>0</v>
      </c>
      <c r="Y51" s="16">
        <f t="shared" si="7"/>
        <v>0</v>
      </c>
      <c r="Z51" s="16">
        <f t="shared" si="7"/>
        <v>0</v>
      </c>
      <c r="AA51" s="16">
        <f t="shared" si="8"/>
        <v>0</v>
      </c>
      <c r="AB51" s="16">
        <f t="shared" si="8"/>
        <v>0</v>
      </c>
      <c r="AC51" s="16">
        <f t="shared" si="8"/>
        <v>0</v>
      </c>
      <c r="AD51" s="16">
        <f t="shared" si="8"/>
        <v>0</v>
      </c>
      <c r="AE51" s="16">
        <f t="shared" si="8"/>
        <v>0</v>
      </c>
      <c r="AF51" s="16">
        <f t="shared" si="8"/>
        <v>0</v>
      </c>
      <c r="AG51" s="16">
        <f t="shared" si="8"/>
        <v>0</v>
      </c>
      <c r="AH51" s="16">
        <f t="shared" si="8"/>
        <v>0</v>
      </c>
      <c r="AI51" s="16">
        <f t="shared" si="8"/>
        <v>0</v>
      </c>
      <c r="AJ51" s="16">
        <f t="shared" si="8"/>
        <v>0</v>
      </c>
      <c r="AK51" s="16">
        <f t="shared" si="8"/>
        <v>0</v>
      </c>
      <c r="AL51" s="16">
        <f t="shared" si="8"/>
        <v>0</v>
      </c>
      <c r="AM51" s="16">
        <f t="shared" si="9"/>
        <v>0</v>
      </c>
      <c r="AN51" s="16">
        <f t="shared" si="9"/>
        <v>0</v>
      </c>
      <c r="AO51" s="16">
        <f t="shared" si="9"/>
        <v>12.607384283502087</v>
      </c>
      <c r="AP51" s="16">
        <f t="shared" si="9"/>
        <v>371.16139330630142</v>
      </c>
      <c r="AQ51" s="16">
        <f t="shared" si="9"/>
        <v>425.28909649680384</v>
      </c>
      <c r="AR51" s="16">
        <f t="shared" si="9"/>
        <v>451.34423968045473</v>
      </c>
      <c r="AS51" s="16">
        <f t="shared" si="9"/>
        <v>479.41679968730597</v>
      </c>
      <c r="AT51" s="16">
        <f t="shared" si="9"/>
        <v>0</v>
      </c>
      <c r="AU51" s="16">
        <f t="shared" si="9"/>
        <v>0</v>
      </c>
      <c r="AV51" s="16">
        <f t="shared" si="9"/>
        <v>0</v>
      </c>
      <c r="AW51" s="16">
        <f t="shared" si="9"/>
        <v>0</v>
      </c>
      <c r="AX51" s="16">
        <f t="shared" si="9"/>
        <v>0</v>
      </c>
    </row>
    <row r="52" spans="1:50">
      <c r="A52" s="1" t="s">
        <v>90</v>
      </c>
      <c r="B52" s="1"/>
      <c r="C52" s="16">
        <f t="shared" ref="C52:N52" si="24">C22*$B$31</f>
        <v>0</v>
      </c>
      <c r="D52" s="16">
        <f t="shared" si="24"/>
        <v>0</v>
      </c>
      <c r="E52" s="16">
        <f t="shared" si="24"/>
        <v>0</v>
      </c>
      <c r="F52" s="16">
        <f t="shared" si="24"/>
        <v>0</v>
      </c>
      <c r="G52" s="16">
        <f t="shared" si="24"/>
        <v>0</v>
      </c>
      <c r="H52" s="16">
        <f t="shared" si="24"/>
        <v>0</v>
      </c>
      <c r="I52" s="16">
        <f t="shared" si="24"/>
        <v>0</v>
      </c>
      <c r="J52" s="16">
        <f t="shared" si="24"/>
        <v>0</v>
      </c>
      <c r="K52" s="16">
        <f t="shared" si="24"/>
        <v>0</v>
      </c>
      <c r="L52" s="16">
        <f t="shared" si="24"/>
        <v>0</v>
      </c>
      <c r="M52" s="16">
        <f t="shared" si="24"/>
        <v>0</v>
      </c>
      <c r="N52" s="16">
        <f t="shared" si="24"/>
        <v>0</v>
      </c>
      <c r="O52" s="16">
        <f t="shared" si="7"/>
        <v>0</v>
      </c>
      <c r="P52" s="16">
        <f t="shared" si="7"/>
        <v>0</v>
      </c>
      <c r="Q52" s="16">
        <f t="shared" si="7"/>
        <v>0</v>
      </c>
      <c r="R52" s="16">
        <f t="shared" si="7"/>
        <v>0</v>
      </c>
      <c r="S52" s="16">
        <f t="shared" si="7"/>
        <v>0</v>
      </c>
      <c r="T52" s="16">
        <f t="shared" si="7"/>
        <v>0</v>
      </c>
      <c r="U52" s="16">
        <f t="shared" si="7"/>
        <v>0</v>
      </c>
      <c r="V52" s="16">
        <f t="shared" si="7"/>
        <v>0</v>
      </c>
      <c r="W52" s="16">
        <f t="shared" si="7"/>
        <v>0</v>
      </c>
      <c r="X52" s="16">
        <f t="shared" si="7"/>
        <v>0</v>
      </c>
      <c r="Y52" s="16">
        <f t="shared" si="7"/>
        <v>0</v>
      </c>
      <c r="Z52" s="16">
        <f t="shared" si="7"/>
        <v>0</v>
      </c>
      <c r="AA52" s="16">
        <f t="shared" si="8"/>
        <v>0</v>
      </c>
      <c r="AB52" s="16">
        <f t="shared" si="8"/>
        <v>0</v>
      </c>
      <c r="AC52" s="16">
        <f t="shared" si="8"/>
        <v>0</v>
      </c>
      <c r="AD52" s="16">
        <f t="shared" si="8"/>
        <v>0</v>
      </c>
      <c r="AE52" s="16">
        <f t="shared" si="8"/>
        <v>0</v>
      </c>
      <c r="AF52" s="16">
        <f t="shared" si="8"/>
        <v>0</v>
      </c>
      <c r="AG52" s="16">
        <f t="shared" si="8"/>
        <v>0</v>
      </c>
      <c r="AH52" s="16">
        <f t="shared" si="8"/>
        <v>9.9641917808219169</v>
      </c>
      <c r="AI52" s="16">
        <f t="shared" si="8"/>
        <v>298.92575342465761</v>
      </c>
      <c r="AJ52" s="16">
        <f t="shared" si="8"/>
        <v>308.88994520547942</v>
      </c>
      <c r="AK52" s="16">
        <f t="shared" si="8"/>
        <v>308.88994520547942</v>
      </c>
      <c r="AL52" s="16">
        <f t="shared" si="8"/>
        <v>298.92575342465761</v>
      </c>
      <c r="AM52" s="16">
        <f t="shared" si="9"/>
        <v>314.29748356592467</v>
      </c>
      <c r="AN52" s="16">
        <f t="shared" si="9"/>
        <v>316.09346918630138</v>
      </c>
      <c r="AO52" s="16">
        <f t="shared" si="9"/>
        <v>323.27741166780822</v>
      </c>
      <c r="AP52" s="16">
        <f t="shared" si="9"/>
        <v>332.25733976969178</v>
      </c>
      <c r="AQ52" s="16">
        <f t="shared" si="9"/>
        <v>341.23726787157534</v>
      </c>
      <c r="AR52" s="16">
        <f t="shared" si="9"/>
        <v>350.21719597345884</v>
      </c>
      <c r="AS52" s="16">
        <f t="shared" si="9"/>
        <v>355.60515283458909</v>
      </c>
      <c r="AT52" s="16">
        <f t="shared" si="9"/>
        <v>0</v>
      </c>
      <c r="AU52" s="16">
        <f t="shared" si="9"/>
        <v>0</v>
      </c>
      <c r="AV52" s="16">
        <f t="shared" si="9"/>
        <v>0</v>
      </c>
      <c r="AW52" s="16">
        <f t="shared" si="9"/>
        <v>0</v>
      </c>
      <c r="AX52" s="16">
        <f t="shared" si="9"/>
        <v>0</v>
      </c>
    </row>
    <row r="53" spans="1:50">
      <c r="A53" s="1" t="s">
        <v>19</v>
      </c>
      <c r="B53" s="1"/>
      <c r="C53" s="16">
        <f t="shared" ref="C53:N53" si="25">C23*$B$31</f>
        <v>5.4000000000000001E-4</v>
      </c>
      <c r="D53" s="16">
        <f t="shared" si="25"/>
        <v>3.5999999999999997E-4</v>
      </c>
      <c r="E53" s="16">
        <f t="shared" si="25"/>
        <v>3.5999999999999997E-4</v>
      </c>
      <c r="F53" s="16">
        <f t="shared" si="25"/>
        <v>0</v>
      </c>
      <c r="G53" s="16">
        <f t="shared" si="25"/>
        <v>3.5999999999999997E-4</v>
      </c>
      <c r="H53" s="16">
        <f t="shared" si="25"/>
        <v>3.5999999999999997E-4</v>
      </c>
      <c r="I53" s="16">
        <f t="shared" si="25"/>
        <v>3.5999999999999997E-4</v>
      </c>
      <c r="J53" s="16">
        <f t="shared" si="25"/>
        <v>0</v>
      </c>
      <c r="K53" s="16">
        <f t="shared" si="25"/>
        <v>0</v>
      </c>
      <c r="L53" s="16">
        <f t="shared" si="25"/>
        <v>0</v>
      </c>
      <c r="M53" s="16">
        <f t="shared" si="25"/>
        <v>0</v>
      </c>
      <c r="N53" s="16">
        <f t="shared" si="25"/>
        <v>0</v>
      </c>
      <c r="O53" s="16">
        <f t="shared" si="7"/>
        <v>0</v>
      </c>
      <c r="P53" s="16">
        <f t="shared" si="7"/>
        <v>0</v>
      </c>
      <c r="Q53" s="16">
        <f t="shared" si="7"/>
        <v>0</v>
      </c>
      <c r="R53" s="16">
        <f t="shared" si="7"/>
        <v>0</v>
      </c>
      <c r="S53" s="16">
        <f t="shared" si="7"/>
        <v>0</v>
      </c>
      <c r="T53" s="16">
        <f t="shared" si="7"/>
        <v>0</v>
      </c>
      <c r="U53" s="16">
        <f t="shared" si="7"/>
        <v>0</v>
      </c>
      <c r="V53" s="16">
        <f t="shared" si="7"/>
        <v>0</v>
      </c>
      <c r="W53" s="16">
        <f t="shared" si="7"/>
        <v>0</v>
      </c>
      <c r="X53" s="16">
        <f t="shared" si="7"/>
        <v>0</v>
      </c>
      <c r="Y53" s="16">
        <f t="shared" si="7"/>
        <v>0</v>
      </c>
      <c r="Z53" s="16">
        <f t="shared" si="7"/>
        <v>0</v>
      </c>
      <c r="AA53" s="16">
        <f t="shared" si="8"/>
        <v>0</v>
      </c>
      <c r="AB53" s="16">
        <f t="shared" si="8"/>
        <v>0</v>
      </c>
      <c r="AC53" s="16">
        <f t="shared" si="8"/>
        <v>0</v>
      </c>
      <c r="AD53" s="16">
        <f t="shared" si="8"/>
        <v>0</v>
      </c>
      <c r="AE53" s="16">
        <f t="shared" si="8"/>
        <v>0</v>
      </c>
      <c r="AF53" s="16">
        <f t="shared" si="8"/>
        <v>0</v>
      </c>
      <c r="AG53" s="16">
        <f t="shared" si="8"/>
        <v>1004.8172054794519</v>
      </c>
      <c r="AH53" s="16">
        <f t="shared" si="8"/>
        <v>1959.3935506849316</v>
      </c>
      <c r="AI53" s="16">
        <f t="shared" si="8"/>
        <v>1979.4898947945205</v>
      </c>
      <c r="AJ53" s="16">
        <f t="shared" si="8"/>
        <v>2009.6344109589038</v>
      </c>
      <c r="AK53" s="16">
        <f t="shared" si="8"/>
        <v>2039.7789271232873</v>
      </c>
      <c r="AL53" s="16">
        <f t="shared" si="8"/>
        <v>2059.8752712328765</v>
      </c>
      <c r="AM53" s="16">
        <f t="shared" si="9"/>
        <v>2117.7162107787676</v>
      </c>
      <c r="AN53" s="16">
        <f t="shared" si="9"/>
        <v>2359.740920582055</v>
      </c>
      <c r="AO53" s="16">
        <f t="shared" si="9"/>
        <v>2420.2470980328776</v>
      </c>
      <c r="AP53" s="16">
        <f t="shared" si="9"/>
        <v>2632.0187191107534</v>
      </c>
      <c r="AQ53" s="16">
        <f t="shared" si="9"/>
        <v>2722.7779852869876</v>
      </c>
      <c r="AR53" s="16">
        <f t="shared" si="9"/>
        <v>2964.802695090274</v>
      </c>
      <c r="AS53" s="16">
        <f t="shared" si="9"/>
        <v>3025.3088725410962</v>
      </c>
      <c r="AT53" s="16">
        <f t="shared" si="9"/>
        <v>0</v>
      </c>
      <c r="AU53" s="16">
        <f t="shared" si="9"/>
        <v>0</v>
      </c>
      <c r="AV53" s="16">
        <f t="shared" si="9"/>
        <v>0</v>
      </c>
      <c r="AW53" s="16">
        <f t="shared" si="9"/>
        <v>0</v>
      </c>
      <c r="AX53" s="16">
        <f t="shared" si="9"/>
        <v>0</v>
      </c>
    </row>
    <row r="54" spans="1:50">
      <c r="A54" s="1" t="s">
        <v>117</v>
      </c>
      <c r="B54" s="1"/>
      <c r="C54" s="16">
        <f t="shared" ref="C54:N54" si="26">C24*$B$31</f>
        <v>0</v>
      </c>
      <c r="D54" s="16">
        <f t="shared" si="26"/>
        <v>0</v>
      </c>
      <c r="E54" s="16">
        <f t="shared" si="26"/>
        <v>0</v>
      </c>
      <c r="F54" s="16">
        <f t="shared" si="26"/>
        <v>0</v>
      </c>
      <c r="G54" s="16">
        <f t="shared" si="26"/>
        <v>0</v>
      </c>
      <c r="H54" s="16">
        <f t="shared" si="26"/>
        <v>0</v>
      </c>
      <c r="I54" s="16">
        <f t="shared" si="26"/>
        <v>0</v>
      </c>
      <c r="J54" s="16">
        <f t="shared" si="26"/>
        <v>0</v>
      </c>
      <c r="K54" s="16">
        <f t="shared" si="26"/>
        <v>0</v>
      </c>
      <c r="L54" s="16">
        <f t="shared" si="26"/>
        <v>0</v>
      </c>
      <c r="M54" s="16">
        <f t="shared" si="26"/>
        <v>0</v>
      </c>
      <c r="N54" s="16">
        <f t="shared" si="26"/>
        <v>0</v>
      </c>
      <c r="O54" s="16">
        <f t="shared" si="7"/>
        <v>0</v>
      </c>
      <c r="P54" s="16">
        <f t="shared" si="7"/>
        <v>0</v>
      </c>
      <c r="Q54" s="16">
        <f t="shared" si="7"/>
        <v>0</v>
      </c>
      <c r="R54" s="16">
        <f t="shared" si="7"/>
        <v>0</v>
      </c>
      <c r="S54" s="16">
        <f t="shared" si="7"/>
        <v>0</v>
      </c>
      <c r="T54" s="16">
        <f t="shared" si="7"/>
        <v>0</v>
      </c>
      <c r="U54" s="16">
        <f t="shared" si="7"/>
        <v>0</v>
      </c>
      <c r="V54" s="16">
        <f t="shared" si="7"/>
        <v>0</v>
      </c>
      <c r="W54" s="16">
        <f t="shared" si="7"/>
        <v>0</v>
      </c>
      <c r="X54" s="16">
        <f t="shared" si="7"/>
        <v>0</v>
      </c>
      <c r="Y54" s="16">
        <f t="shared" si="7"/>
        <v>0</v>
      </c>
      <c r="Z54" s="16">
        <f t="shared" si="7"/>
        <v>0</v>
      </c>
      <c r="AA54" s="16">
        <f t="shared" si="8"/>
        <v>0</v>
      </c>
      <c r="AB54" s="16">
        <f t="shared" si="8"/>
        <v>0</v>
      </c>
      <c r="AC54" s="16">
        <f t="shared" si="8"/>
        <v>0</v>
      </c>
      <c r="AD54" s="16">
        <f t="shared" si="8"/>
        <v>0</v>
      </c>
      <c r="AE54" s="16">
        <f t="shared" si="8"/>
        <v>0</v>
      </c>
      <c r="AF54" s="16">
        <f t="shared" si="8"/>
        <v>0</v>
      </c>
      <c r="AG54" s="16">
        <f t="shared" si="8"/>
        <v>0</v>
      </c>
      <c r="AH54" s="16">
        <f t="shared" si="8"/>
        <v>0</v>
      </c>
      <c r="AI54" s="16">
        <f t="shared" si="8"/>
        <v>0</v>
      </c>
      <c r="AJ54" s="16">
        <f t="shared" si="8"/>
        <v>0</v>
      </c>
      <c r="AK54" s="16">
        <f t="shared" si="8"/>
        <v>0</v>
      </c>
      <c r="AL54" s="16">
        <f t="shared" si="8"/>
        <v>0</v>
      </c>
      <c r="AM54" s="16">
        <f t="shared" si="9"/>
        <v>0</v>
      </c>
      <c r="AN54" s="16">
        <f t="shared" si="9"/>
        <v>0</v>
      </c>
      <c r="AO54" s="16">
        <f t="shared" si="9"/>
        <v>0</v>
      </c>
      <c r="AP54" s="16">
        <f t="shared" si="9"/>
        <v>0</v>
      </c>
      <c r="AQ54" s="16">
        <f t="shared" si="9"/>
        <v>0</v>
      </c>
      <c r="AR54" s="16">
        <f t="shared" si="9"/>
        <v>0</v>
      </c>
      <c r="AS54" s="16">
        <f t="shared" si="9"/>
        <v>0</v>
      </c>
      <c r="AT54" s="16">
        <f t="shared" si="9"/>
        <v>0</v>
      </c>
      <c r="AU54" s="16">
        <f t="shared" si="9"/>
        <v>0</v>
      </c>
      <c r="AV54" s="16">
        <f t="shared" si="9"/>
        <v>0</v>
      </c>
      <c r="AW54" s="16">
        <f t="shared" si="9"/>
        <v>0</v>
      </c>
      <c r="AX54" s="16">
        <f t="shared" si="9"/>
        <v>0</v>
      </c>
    </row>
    <row r="55" spans="1:50">
      <c r="A55" s="1" t="s">
        <v>118</v>
      </c>
      <c r="B55" s="1"/>
      <c r="C55" s="16">
        <f t="shared" ref="C55:N55" si="27">C25*$B$31</f>
        <v>0</v>
      </c>
      <c r="D55" s="16">
        <f t="shared" si="27"/>
        <v>0</v>
      </c>
      <c r="E55" s="16">
        <f t="shared" si="27"/>
        <v>0</v>
      </c>
      <c r="F55" s="16">
        <f t="shared" si="27"/>
        <v>0</v>
      </c>
      <c r="G55" s="16">
        <f t="shared" si="27"/>
        <v>0</v>
      </c>
      <c r="H55" s="16">
        <f t="shared" si="27"/>
        <v>0</v>
      </c>
      <c r="I55" s="16">
        <f t="shared" si="27"/>
        <v>0</v>
      </c>
      <c r="J55" s="16">
        <f t="shared" si="27"/>
        <v>0</v>
      </c>
      <c r="K55" s="16">
        <f t="shared" si="27"/>
        <v>0</v>
      </c>
      <c r="L55" s="16">
        <f t="shared" si="27"/>
        <v>0</v>
      </c>
      <c r="M55" s="16">
        <f t="shared" si="27"/>
        <v>0</v>
      </c>
      <c r="N55" s="16">
        <f t="shared" si="27"/>
        <v>0</v>
      </c>
      <c r="O55" s="16">
        <f t="shared" si="7"/>
        <v>0</v>
      </c>
      <c r="P55" s="16">
        <f t="shared" si="7"/>
        <v>0</v>
      </c>
      <c r="Q55" s="16">
        <f t="shared" si="7"/>
        <v>0</v>
      </c>
      <c r="R55" s="16">
        <f t="shared" si="7"/>
        <v>0</v>
      </c>
      <c r="S55" s="16">
        <f t="shared" si="7"/>
        <v>0</v>
      </c>
      <c r="T55" s="16">
        <f t="shared" si="7"/>
        <v>0</v>
      </c>
      <c r="U55" s="16">
        <f t="shared" si="7"/>
        <v>0</v>
      </c>
      <c r="V55" s="16">
        <f t="shared" si="7"/>
        <v>0</v>
      </c>
      <c r="W55" s="16">
        <f t="shared" si="7"/>
        <v>0</v>
      </c>
      <c r="X55" s="16">
        <f t="shared" si="7"/>
        <v>0</v>
      </c>
      <c r="Y55" s="16">
        <f t="shared" si="7"/>
        <v>0</v>
      </c>
      <c r="Z55" s="16">
        <f t="shared" si="7"/>
        <v>0</v>
      </c>
      <c r="AA55" s="16">
        <f t="shared" si="8"/>
        <v>0</v>
      </c>
      <c r="AB55" s="16">
        <f t="shared" si="8"/>
        <v>0</v>
      </c>
      <c r="AC55" s="16">
        <f t="shared" si="8"/>
        <v>0</v>
      </c>
      <c r="AD55" s="16">
        <f t="shared" si="8"/>
        <v>0</v>
      </c>
      <c r="AE55" s="16">
        <f t="shared" si="8"/>
        <v>0</v>
      </c>
      <c r="AF55" s="16">
        <f t="shared" si="8"/>
        <v>0</v>
      </c>
      <c r="AG55" s="16">
        <f t="shared" si="8"/>
        <v>0</v>
      </c>
      <c r="AH55" s="16">
        <f t="shared" si="8"/>
        <v>0</v>
      </c>
      <c r="AI55" s="16">
        <f t="shared" si="8"/>
        <v>0</v>
      </c>
      <c r="AJ55" s="16">
        <f t="shared" si="8"/>
        <v>0</v>
      </c>
      <c r="AK55" s="16">
        <f t="shared" si="8"/>
        <v>0</v>
      </c>
      <c r="AL55" s="16">
        <f t="shared" si="8"/>
        <v>0</v>
      </c>
      <c r="AM55" s="16">
        <f t="shared" si="9"/>
        <v>0</v>
      </c>
      <c r="AN55" s="16">
        <f t="shared" si="9"/>
        <v>0</v>
      </c>
      <c r="AO55" s="16">
        <f t="shared" si="9"/>
        <v>0</v>
      </c>
      <c r="AP55" s="16">
        <f t="shared" si="9"/>
        <v>0</v>
      </c>
      <c r="AQ55" s="16">
        <f t="shared" si="9"/>
        <v>0</v>
      </c>
      <c r="AR55" s="16">
        <f t="shared" si="9"/>
        <v>0</v>
      </c>
      <c r="AS55" s="16">
        <f t="shared" si="9"/>
        <v>0</v>
      </c>
      <c r="AT55" s="16">
        <f t="shared" si="9"/>
        <v>0</v>
      </c>
      <c r="AU55" s="16">
        <f t="shared" si="9"/>
        <v>0</v>
      </c>
      <c r="AV55" s="16">
        <f t="shared" si="9"/>
        <v>0</v>
      </c>
      <c r="AW55" s="16">
        <f t="shared" si="9"/>
        <v>0</v>
      </c>
      <c r="AX55" s="16">
        <f t="shared" si="9"/>
        <v>0</v>
      </c>
    </row>
    <row r="56" spans="1:50">
      <c r="A56" s="1" t="s">
        <v>119</v>
      </c>
      <c r="B56" s="1"/>
      <c r="C56" s="16">
        <f t="shared" ref="C56:N56" si="28">C26*$B$31</f>
        <v>0</v>
      </c>
      <c r="D56" s="16">
        <f t="shared" si="28"/>
        <v>0</v>
      </c>
      <c r="E56" s="16">
        <f t="shared" si="28"/>
        <v>0</v>
      </c>
      <c r="F56" s="16">
        <f t="shared" si="28"/>
        <v>0</v>
      </c>
      <c r="G56" s="16">
        <f t="shared" si="28"/>
        <v>0</v>
      </c>
      <c r="H56" s="16">
        <f t="shared" si="28"/>
        <v>0</v>
      </c>
      <c r="I56" s="16">
        <f t="shared" si="28"/>
        <v>0</v>
      </c>
      <c r="J56" s="16">
        <f t="shared" si="28"/>
        <v>0</v>
      </c>
      <c r="K56" s="16">
        <f t="shared" si="28"/>
        <v>0</v>
      </c>
      <c r="L56" s="16">
        <f t="shared" si="28"/>
        <v>0</v>
      </c>
      <c r="M56" s="16">
        <f t="shared" si="28"/>
        <v>0</v>
      </c>
      <c r="N56" s="16">
        <f t="shared" si="28"/>
        <v>0</v>
      </c>
      <c r="O56" s="16">
        <f t="shared" si="7"/>
        <v>0</v>
      </c>
      <c r="P56" s="16">
        <f t="shared" si="7"/>
        <v>0</v>
      </c>
      <c r="Q56" s="16">
        <f t="shared" si="7"/>
        <v>0</v>
      </c>
      <c r="R56" s="16">
        <f t="shared" si="7"/>
        <v>0</v>
      </c>
      <c r="S56" s="16">
        <f t="shared" si="7"/>
        <v>0</v>
      </c>
      <c r="T56" s="16">
        <f t="shared" si="7"/>
        <v>0</v>
      </c>
      <c r="U56" s="16">
        <f t="shared" si="7"/>
        <v>0</v>
      </c>
      <c r="V56" s="16">
        <f t="shared" si="7"/>
        <v>0</v>
      </c>
      <c r="W56" s="16">
        <f t="shared" si="7"/>
        <v>0</v>
      </c>
      <c r="X56" s="16">
        <f t="shared" si="7"/>
        <v>0</v>
      </c>
      <c r="Y56" s="16">
        <f t="shared" si="7"/>
        <v>0</v>
      </c>
      <c r="Z56" s="16">
        <f t="shared" si="7"/>
        <v>0</v>
      </c>
      <c r="AA56" s="16">
        <f t="shared" si="8"/>
        <v>0</v>
      </c>
      <c r="AB56" s="16">
        <f t="shared" si="8"/>
        <v>0</v>
      </c>
      <c r="AC56" s="16">
        <f t="shared" si="8"/>
        <v>0</v>
      </c>
      <c r="AD56" s="16">
        <f t="shared" si="8"/>
        <v>0</v>
      </c>
      <c r="AE56" s="16">
        <f t="shared" si="8"/>
        <v>0</v>
      </c>
      <c r="AF56" s="16">
        <f t="shared" si="8"/>
        <v>0</v>
      </c>
      <c r="AG56" s="16">
        <f t="shared" si="8"/>
        <v>0</v>
      </c>
      <c r="AH56" s="16">
        <f t="shared" si="8"/>
        <v>0</v>
      </c>
      <c r="AI56" s="16">
        <f t="shared" si="8"/>
        <v>0</v>
      </c>
      <c r="AJ56" s="16">
        <f t="shared" si="8"/>
        <v>0</v>
      </c>
      <c r="AK56" s="16">
        <f t="shared" si="8"/>
        <v>0</v>
      </c>
      <c r="AL56" s="16">
        <f t="shared" si="8"/>
        <v>0</v>
      </c>
      <c r="AM56" s="16">
        <f t="shared" si="9"/>
        <v>0</v>
      </c>
      <c r="AN56" s="16">
        <f t="shared" si="9"/>
        <v>0</v>
      </c>
      <c r="AO56" s="16">
        <f t="shared" si="9"/>
        <v>0</v>
      </c>
      <c r="AP56" s="16">
        <f t="shared" si="9"/>
        <v>0</v>
      </c>
      <c r="AQ56" s="16">
        <f t="shared" si="9"/>
        <v>0</v>
      </c>
      <c r="AR56" s="16">
        <f t="shared" si="9"/>
        <v>0</v>
      </c>
      <c r="AS56" s="16">
        <f t="shared" si="9"/>
        <v>0</v>
      </c>
      <c r="AT56" s="16">
        <f t="shared" si="9"/>
        <v>0</v>
      </c>
      <c r="AU56" s="16">
        <f t="shared" si="9"/>
        <v>0</v>
      </c>
      <c r="AV56" s="16">
        <f t="shared" si="9"/>
        <v>0</v>
      </c>
      <c r="AW56" s="16">
        <f t="shared" si="9"/>
        <v>0</v>
      </c>
      <c r="AX56" s="16">
        <f t="shared" si="9"/>
        <v>0</v>
      </c>
    </row>
    <row r="57" spans="1:50">
      <c r="A57" s="1" t="s">
        <v>120</v>
      </c>
      <c r="B57" s="1"/>
      <c r="C57" s="16">
        <f t="shared" ref="C57:N57" si="29">C27*$B$31</f>
        <v>0</v>
      </c>
      <c r="D57" s="16">
        <f t="shared" si="29"/>
        <v>0</v>
      </c>
      <c r="E57" s="16">
        <f t="shared" si="29"/>
        <v>0</v>
      </c>
      <c r="F57" s="16">
        <f t="shared" si="29"/>
        <v>0</v>
      </c>
      <c r="G57" s="16">
        <f t="shared" si="29"/>
        <v>0</v>
      </c>
      <c r="H57" s="16">
        <f t="shared" si="29"/>
        <v>0</v>
      </c>
      <c r="I57" s="16">
        <f t="shared" si="29"/>
        <v>0</v>
      </c>
      <c r="J57" s="16">
        <f t="shared" si="29"/>
        <v>0</v>
      </c>
      <c r="K57" s="16">
        <f t="shared" si="29"/>
        <v>0</v>
      </c>
      <c r="L57" s="16">
        <f t="shared" si="29"/>
        <v>0</v>
      </c>
      <c r="M57" s="16">
        <f t="shared" si="29"/>
        <v>0</v>
      </c>
      <c r="N57" s="16">
        <f t="shared" si="29"/>
        <v>0</v>
      </c>
      <c r="O57" s="16">
        <f t="shared" si="7"/>
        <v>0</v>
      </c>
      <c r="P57" s="16">
        <f t="shared" si="7"/>
        <v>0</v>
      </c>
      <c r="Q57" s="16">
        <f t="shared" si="7"/>
        <v>0</v>
      </c>
      <c r="R57" s="16">
        <f t="shared" si="7"/>
        <v>0</v>
      </c>
      <c r="S57" s="16">
        <f t="shared" si="7"/>
        <v>0</v>
      </c>
      <c r="T57" s="16">
        <f t="shared" si="7"/>
        <v>0</v>
      </c>
      <c r="U57" s="16">
        <f t="shared" si="7"/>
        <v>0</v>
      </c>
      <c r="V57" s="16">
        <f t="shared" si="7"/>
        <v>0</v>
      </c>
      <c r="W57" s="16">
        <f t="shared" si="7"/>
        <v>0</v>
      </c>
      <c r="X57" s="16">
        <f t="shared" si="7"/>
        <v>0</v>
      </c>
      <c r="Y57" s="16">
        <f t="shared" si="7"/>
        <v>0</v>
      </c>
      <c r="Z57" s="16">
        <f t="shared" si="7"/>
        <v>0</v>
      </c>
      <c r="AA57" s="16">
        <f t="shared" si="8"/>
        <v>0</v>
      </c>
      <c r="AB57" s="16">
        <f t="shared" si="8"/>
        <v>0</v>
      </c>
      <c r="AC57" s="16">
        <f t="shared" si="8"/>
        <v>0</v>
      </c>
      <c r="AD57" s="16">
        <f t="shared" si="8"/>
        <v>0</v>
      </c>
      <c r="AE57" s="16">
        <f t="shared" si="8"/>
        <v>0</v>
      </c>
      <c r="AF57" s="16">
        <f t="shared" si="8"/>
        <v>0</v>
      </c>
      <c r="AG57" s="16">
        <f t="shared" si="8"/>
        <v>0</v>
      </c>
      <c r="AH57" s="16">
        <f t="shared" si="8"/>
        <v>0</v>
      </c>
      <c r="AI57" s="16">
        <f t="shared" si="8"/>
        <v>0</v>
      </c>
      <c r="AJ57" s="16">
        <f t="shared" si="8"/>
        <v>0</v>
      </c>
      <c r="AK57" s="16">
        <f t="shared" si="8"/>
        <v>0</v>
      </c>
      <c r="AL57" s="16">
        <f t="shared" si="8"/>
        <v>0</v>
      </c>
      <c r="AM57" s="16">
        <f t="shared" si="9"/>
        <v>0</v>
      </c>
      <c r="AN57" s="16">
        <f t="shared" si="9"/>
        <v>0</v>
      </c>
      <c r="AO57" s="16">
        <f t="shared" si="9"/>
        <v>0</v>
      </c>
      <c r="AP57" s="16">
        <f t="shared" si="9"/>
        <v>0</v>
      </c>
      <c r="AQ57" s="16">
        <f t="shared" si="9"/>
        <v>0</v>
      </c>
      <c r="AR57" s="16">
        <f t="shared" si="9"/>
        <v>0</v>
      </c>
      <c r="AS57" s="16">
        <f t="shared" si="9"/>
        <v>0</v>
      </c>
      <c r="AT57" s="16">
        <f t="shared" si="9"/>
        <v>0</v>
      </c>
      <c r="AU57" s="16">
        <f t="shared" si="9"/>
        <v>0</v>
      </c>
      <c r="AV57" s="16">
        <f t="shared" si="9"/>
        <v>0</v>
      </c>
      <c r="AW57" s="16">
        <f t="shared" si="9"/>
        <v>0</v>
      </c>
      <c r="AX57" s="16">
        <f t="shared" si="9"/>
        <v>0</v>
      </c>
    </row>
    <row r="58" spans="1:50">
      <c r="A58" s="62" t="s">
        <v>32</v>
      </c>
      <c r="B58" s="62"/>
      <c r="C58" s="16">
        <f t="shared" ref="C58:N58" si="30">C28*$B$32</f>
        <v>54766.803239999994</v>
      </c>
      <c r="D58" s="16">
        <f t="shared" si="30"/>
        <v>73895.760000000009</v>
      </c>
      <c r="E58" s="16">
        <f t="shared" si="30"/>
        <v>63300.961080000001</v>
      </c>
      <c r="F58" s="16">
        <f t="shared" si="30"/>
        <v>52302.240000000005</v>
      </c>
      <c r="G58" s="16">
        <f t="shared" si="30"/>
        <v>70120.08</v>
      </c>
      <c r="H58" s="16">
        <f t="shared" si="30"/>
        <v>57235.681080000002</v>
      </c>
      <c r="I58" s="16">
        <f t="shared" si="30"/>
        <v>57123.361080000002</v>
      </c>
      <c r="J58" s="16">
        <f t="shared" si="30"/>
        <v>76069.488379446644</v>
      </c>
      <c r="K58" s="16">
        <f t="shared" si="30"/>
        <v>62169.055968379449</v>
      </c>
      <c r="L58" s="16">
        <f t="shared" si="30"/>
        <v>57033.655968379448</v>
      </c>
      <c r="M58" s="16">
        <f t="shared" si="30"/>
        <v>76527.408379446642</v>
      </c>
      <c r="N58" s="16">
        <f t="shared" si="30"/>
        <v>67678.135968379444</v>
      </c>
      <c r="O58" s="16">
        <f>O28*$I$33</f>
        <v>79871.311304347837</v>
      </c>
      <c r="P58" s="16">
        <f t="shared" ref="P58:Z58" si="31">P28*$I$33</f>
        <v>86274.480000000025</v>
      </c>
      <c r="Q58" s="16">
        <f t="shared" si="31"/>
        <v>70693.841739130454</v>
      </c>
      <c r="R58" s="16">
        <f t="shared" si="31"/>
        <v>72944.441739130445</v>
      </c>
      <c r="S58" s="16">
        <f t="shared" si="31"/>
        <v>93137.499130434808</v>
      </c>
      <c r="T58" s="16">
        <f t="shared" si="31"/>
        <v>71994.871304347835</v>
      </c>
      <c r="U58" s="16">
        <f t="shared" si="31"/>
        <v>78292.591304347836</v>
      </c>
      <c r="V58" s="16">
        <f t="shared" si="31"/>
        <v>93694.539130434801</v>
      </c>
      <c r="W58" s="16">
        <f t="shared" si="31"/>
        <v>70358.56173913044</v>
      </c>
      <c r="X58" s="16">
        <f t="shared" si="31"/>
        <v>78125.441739130445</v>
      </c>
      <c r="Y58" s="16">
        <f t="shared" si="31"/>
        <v>82746.4591304348</v>
      </c>
      <c r="Z58" s="16">
        <f t="shared" si="31"/>
        <v>78809.201739130454</v>
      </c>
      <c r="AA58" s="16">
        <f>AA28*$I$33*(1+$K$32)</f>
        <v>88590.950243478277</v>
      </c>
      <c r="AB58" s="16">
        <f t="shared" ref="AB58:AL58" si="32">AB28*$I$33*(1+$K$32)</f>
        <v>77781.974400000021</v>
      </c>
      <c r="AC58" s="16">
        <f t="shared" si="32"/>
        <v>84293.759791304357</v>
      </c>
      <c r="AD58" s="16">
        <f t="shared" si="32"/>
        <v>76359.134191304358</v>
      </c>
      <c r="AE58" s="16">
        <f t="shared" si="32"/>
        <v>98229.348104347839</v>
      </c>
      <c r="AF58" s="16">
        <f t="shared" si="32"/>
        <v>73994.284643478284</v>
      </c>
      <c r="AG58" s="16">
        <f t="shared" si="32"/>
        <v>85522.333043478269</v>
      </c>
      <c r="AH58" s="16">
        <f t="shared" si="32"/>
        <v>87053.436104347842</v>
      </c>
      <c r="AI58" s="16">
        <f t="shared" si="32"/>
        <v>84592.871791304351</v>
      </c>
      <c r="AJ58" s="16">
        <f t="shared" si="32"/>
        <v>77797.590991304358</v>
      </c>
      <c r="AK58" s="16">
        <f t="shared" si="32"/>
        <v>84510.984104347837</v>
      </c>
      <c r="AL58" s="16">
        <f t="shared" si="32"/>
        <v>78713.961391304372</v>
      </c>
      <c r="AM58" s="16">
        <f>AM28*$I$33*(1+$K$32)*(1+$M$32)</f>
        <v>90268.40715078263</v>
      </c>
      <c r="AN58" s="16">
        <f t="shared" ref="AN58:AX58" si="33">AN28*$I$33*(1+$K$32)*(1+$M$32)</f>
        <v>80158.845660000035</v>
      </c>
      <c r="AO58" s="16">
        <f t="shared" si="33"/>
        <v>87868.662421043497</v>
      </c>
      <c r="AP58" s="16">
        <f t="shared" si="33"/>
        <v>77592.6152770435</v>
      </c>
      <c r="AQ58" s="16">
        <f t="shared" si="33"/>
        <v>94388.547911478279</v>
      </c>
      <c r="AR58" s="16">
        <f t="shared" si="33"/>
        <v>76277.32990747827</v>
      </c>
      <c r="AS58" s="16">
        <f t="shared" si="33"/>
        <v>81937.868204590341</v>
      </c>
      <c r="AT58" s="16">
        <f t="shared" si="33"/>
        <v>81937.868204590341</v>
      </c>
      <c r="AU58" s="16">
        <f t="shared" si="33"/>
        <v>0</v>
      </c>
      <c r="AV58" s="16">
        <f t="shared" si="33"/>
        <v>0</v>
      </c>
      <c r="AW58" s="16">
        <f t="shared" si="33"/>
        <v>0</v>
      </c>
      <c r="AX58" s="16">
        <f t="shared" si="33"/>
        <v>0</v>
      </c>
    </row>
    <row r="59" spans="1:50" ht="13.5" thickBot="1">
      <c r="A59" s="62"/>
      <c r="B59" s="62"/>
      <c r="C59" s="48">
        <f t="shared" ref="C59:Z59" si="34">SUM(C36:C58)</f>
        <v>378535.33484999981</v>
      </c>
      <c r="D59" s="48">
        <f t="shared" si="34"/>
        <v>492836.76431999996</v>
      </c>
      <c r="E59" s="48">
        <f t="shared" si="34"/>
        <v>421160.22576</v>
      </c>
      <c r="F59" s="48">
        <f t="shared" si="34"/>
        <v>291422.61</v>
      </c>
      <c r="G59" s="48">
        <f t="shared" si="34"/>
        <v>429172.11449999997</v>
      </c>
      <c r="H59" s="48">
        <f t="shared" si="34"/>
        <v>401996.07539999997</v>
      </c>
      <c r="I59" s="48">
        <f t="shared" si="34"/>
        <v>366677.91557999997</v>
      </c>
      <c r="J59" s="48">
        <f t="shared" si="34"/>
        <v>503867.53859757003</v>
      </c>
      <c r="K59" s="48">
        <f t="shared" si="34"/>
        <v>407501.92103235587</v>
      </c>
      <c r="L59" s="48">
        <f t="shared" si="34"/>
        <v>403593.69214735151</v>
      </c>
      <c r="M59" s="48">
        <f t="shared" si="34"/>
        <v>498766.29930930032</v>
      </c>
      <c r="N59" s="48">
        <f t="shared" si="34"/>
        <v>497189.64307495911</v>
      </c>
      <c r="O59" s="48">
        <f t="shared" si="34"/>
        <v>561044.66761980229</v>
      </c>
      <c r="P59" s="48">
        <f t="shared" si="34"/>
        <v>670057.65323360742</v>
      </c>
      <c r="Q59" s="48">
        <f t="shared" si="34"/>
        <v>548840.80536567327</v>
      </c>
      <c r="R59" s="48">
        <f t="shared" si="34"/>
        <v>545830.28545921564</v>
      </c>
      <c r="S59" s="48">
        <f t="shared" si="34"/>
        <v>691278.09936503286</v>
      </c>
      <c r="T59" s="48">
        <f t="shared" si="34"/>
        <v>554710.79703564395</v>
      </c>
      <c r="U59" s="48">
        <f t="shared" si="34"/>
        <v>560013.1350748922</v>
      </c>
      <c r="V59" s="48">
        <f t="shared" si="34"/>
        <v>698009.23649497586</v>
      </c>
      <c r="W59" s="48">
        <f t="shared" si="34"/>
        <v>548140.88624185568</v>
      </c>
      <c r="X59" s="48">
        <f t="shared" si="34"/>
        <v>557863.52857862099</v>
      </c>
      <c r="Y59" s="48">
        <f t="shared" si="34"/>
        <v>686427.45934385411</v>
      </c>
      <c r="Z59" s="48">
        <f t="shared" si="34"/>
        <v>564769.28948569333</v>
      </c>
      <c r="AA59" s="48">
        <f>SUM(AA36:AA58)</f>
        <v>637917.55928821745</v>
      </c>
      <c r="AB59" s="48">
        <f t="shared" ref="AB59:AL59" si="35">SUM(AB36:AB58)</f>
        <v>760204.29079867899</v>
      </c>
      <c r="AC59" s="48">
        <f t="shared" si="35"/>
        <v>632989.18604043429</v>
      </c>
      <c r="AD59" s="48">
        <f t="shared" si="35"/>
        <v>617739.56804887473</v>
      </c>
      <c r="AE59" s="48">
        <f t="shared" si="35"/>
        <v>781696.75151270535</v>
      </c>
      <c r="AF59" s="48">
        <f t="shared" si="35"/>
        <v>625001.11297738855</v>
      </c>
      <c r="AG59" s="48">
        <f t="shared" si="35"/>
        <v>636258.01746073901</v>
      </c>
      <c r="AH59" s="48">
        <f t="shared" si="35"/>
        <v>777342.60987299762</v>
      </c>
      <c r="AI59" s="48">
        <f t="shared" si="35"/>
        <v>633656.00328027818</v>
      </c>
      <c r="AJ59" s="48">
        <f t="shared" si="35"/>
        <v>628921.28669741412</v>
      </c>
      <c r="AK59" s="48">
        <f t="shared" si="35"/>
        <v>777424.84535217599</v>
      </c>
      <c r="AL59" s="48">
        <f t="shared" si="35"/>
        <v>639059.31578938593</v>
      </c>
      <c r="AM59" s="48">
        <f>SUM(AM36:AM58)</f>
        <v>719247.26142741065</v>
      </c>
      <c r="AN59" s="48">
        <f t="shared" ref="AN59:AX59" si="36">SUM(AN36:AN58)</f>
        <v>844105.91685215966</v>
      </c>
      <c r="AO59" s="48">
        <f t="shared" si="36"/>
        <v>718648.12444472313</v>
      </c>
      <c r="AP59" s="48">
        <f t="shared" si="36"/>
        <v>711779.87541319127</v>
      </c>
      <c r="AQ59" s="48">
        <f t="shared" si="36"/>
        <v>867375.01588537463</v>
      </c>
      <c r="AR59" s="48">
        <f t="shared" si="36"/>
        <v>723751.88769790356</v>
      </c>
      <c r="AS59" s="48">
        <f t="shared" si="36"/>
        <v>716380.01118571684</v>
      </c>
      <c r="AT59" s="48">
        <f t="shared" si="36"/>
        <v>744067.84731866769</v>
      </c>
      <c r="AU59" s="48">
        <f t="shared" si="36"/>
        <v>0</v>
      </c>
      <c r="AV59" s="48">
        <f t="shared" si="36"/>
        <v>0</v>
      </c>
      <c r="AW59" s="48">
        <f t="shared" si="36"/>
        <v>0</v>
      </c>
      <c r="AX59" s="48">
        <f t="shared" si="36"/>
        <v>0</v>
      </c>
    </row>
    <row r="60" spans="1:50" ht="13.5" thickTop="1"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</sheetData>
  <mergeCells count="1">
    <mergeCell ref="H31:M31"/>
  </mergeCells>
  <phoneticPr fontId="2" type="noConversion"/>
  <pageMargins left="0.25" right="0.25" top="0.25" bottom="0.25" header="0" footer="0"/>
  <pageSetup scale="60" orientation="landscape" r:id="rId1"/>
  <headerFooter alignWithMargins="0">
    <oddFooter>&amp;R&amp;D  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>
      <pane xSplit="2" ySplit="3" topLeftCell="I46" activePane="bottomRight" state="frozen"/>
      <selection pane="topRight" activeCell="C1" sqref="C1"/>
      <selection pane="bottomLeft" activeCell="A4" sqref="A4"/>
      <selection pane="bottomRight" activeCell="P46" sqref="P46"/>
    </sheetView>
  </sheetViews>
  <sheetFormatPr defaultRowHeight="12.75"/>
  <cols>
    <col min="1" max="1" width="41.7109375" customWidth="1"/>
    <col min="2" max="2" width="12.5703125" bestFit="1" customWidth="1"/>
    <col min="3" max="14" width="9.7109375" style="3" bestFit="1" customWidth="1"/>
    <col min="15" max="15" width="11.7109375" style="21" customWidth="1"/>
    <col min="16" max="16" width="12.5703125" customWidth="1"/>
  </cols>
  <sheetData>
    <row r="1" spans="1:15">
      <c r="A1" s="15" t="s">
        <v>39</v>
      </c>
    </row>
    <row r="2" spans="1:15">
      <c r="B2" s="1"/>
      <c r="C2" s="2" t="s">
        <v>41</v>
      </c>
    </row>
    <row r="3" spans="1:1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34" t="s">
        <v>42</v>
      </c>
    </row>
    <row r="4" spans="1:15">
      <c r="A4" s="1" t="s">
        <v>45</v>
      </c>
      <c r="B4" s="1" t="s">
        <v>12</v>
      </c>
      <c r="C4" s="3">
        <v>1345130</v>
      </c>
      <c r="D4" s="3">
        <v>1471821</v>
      </c>
      <c r="E4" s="3">
        <v>1346264</v>
      </c>
      <c r="F4" s="3">
        <v>1200818</v>
      </c>
      <c r="G4" s="3">
        <v>1728087</v>
      </c>
      <c r="H4" s="3">
        <v>1336101</v>
      </c>
      <c r="I4" s="3">
        <v>1408275</v>
      </c>
      <c r="J4" s="3">
        <v>1720179</v>
      </c>
      <c r="K4" s="3">
        <v>1431618</v>
      </c>
      <c r="L4" s="3">
        <v>1436689</v>
      </c>
      <c r="M4" s="3">
        <v>1701222</v>
      </c>
      <c r="N4" s="3">
        <v>1472273</v>
      </c>
      <c r="O4" s="21">
        <v>17598477</v>
      </c>
    </row>
    <row r="5" spans="1:15">
      <c r="A5" s="1" t="s">
        <v>46</v>
      </c>
      <c r="B5" s="1" t="s">
        <v>12</v>
      </c>
      <c r="C5" s="3">
        <v>568180.11218693934</v>
      </c>
      <c r="D5" s="3">
        <v>724518.11218693934</v>
      </c>
      <c r="E5" s="3">
        <v>557520.11218693934</v>
      </c>
      <c r="F5" s="3">
        <v>477505.0717185369</v>
      </c>
      <c r="G5" s="3">
        <v>697911.0717185369</v>
      </c>
      <c r="H5" s="3">
        <v>477342.0717185369</v>
      </c>
      <c r="I5" s="3">
        <v>516738.48240418348</v>
      </c>
      <c r="J5" s="3">
        <v>690798.48240418348</v>
      </c>
      <c r="K5" s="3">
        <v>520504.48240418348</v>
      </c>
      <c r="L5" s="3">
        <v>537789.10838598432</v>
      </c>
      <c r="M5" s="3">
        <v>689765.10838598432</v>
      </c>
      <c r="N5" s="3">
        <v>565202.10838598432</v>
      </c>
      <c r="O5" s="21">
        <v>7023774.3240869325</v>
      </c>
    </row>
    <row r="6" spans="1:15">
      <c r="A6" s="1" t="s">
        <v>47</v>
      </c>
      <c r="B6" s="1" t="s">
        <v>12</v>
      </c>
      <c r="C6" s="3">
        <v>817000</v>
      </c>
      <c r="D6" s="3">
        <v>903185</v>
      </c>
      <c r="E6" s="3">
        <v>791936</v>
      </c>
      <c r="F6" s="3">
        <v>724054</v>
      </c>
      <c r="G6" s="3">
        <v>1015560</v>
      </c>
      <c r="H6" s="3">
        <v>783302</v>
      </c>
      <c r="I6" s="3">
        <v>826298</v>
      </c>
      <c r="J6" s="3">
        <v>1027937</v>
      </c>
      <c r="K6" s="3">
        <v>839548</v>
      </c>
      <c r="L6" s="3">
        <v>842285</v>
      </c>
      <c r="M6" s="3">
        <v>995584</v>
      </c>
      <c r="N6" s="3">
        <v>860878</v>
      </c>
      <c r="O6" s="21">
        <v>10427567</v>
      </c>
    </row>
    <row r="7" spans="1:15">
      <c r="A7" s="1" t="s">
        <v>48</v>
      </c>
      <c r="B7" s="1" t="s">
        <v>12</v>
      </c>
      <c r="C7" s="3">
        <v>147710</v>
      </c>
      <c r="D7" s="3">
        <v>157485</v>
      </c>
      <c r="E7" s="3">
        <v>139903</v>
      </c>
      <c r="F7" s="3">
        <v>120838</v>
      </c>
      <c r="G7" s="3">
        <v>174345</v>
      </c>
      <c r="H7" s="3">
        <v>135215</v>
      </c>
      <c r="I7" s="3">
        <v>141377</v>
      </c>
      <c r="J7" s="3">
        <v>169676</v>
      </c>
      <c r="K7" s="3">
        <v>141415</v>
      </c>
      <c r="L7" s="3">
        <v>140762</v>
      </c>
      <c r="M7" s="3">
        <v>163700</v>
      </c>
      <c r="N7" s="3">
        <v>141123</v>
      </c>
      <c r="O7" s="21">
        <v>1773549</v>
      </c>
    </row>
    <row r="8" spans="1:15">
      <c r="A8" s="1" t="s">
        <v>49</v>
      </c>
      <c r="B8" s="1" t="s">
        <v>12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21">
        <v>0</v>
      </c>
    </row>
    <row r="9" spans="1:15">
      <c r="A9" s="1" t="s">
        <v>50</v>
      </c>
      <c r="B9" s="1" t="s">
        <v>12</v>
      </c>
      <c r="C9" s="3">
        <v>129558</v>
      </c>
      <c r="D9" s="3">
        <v>171034</v>
      </c>
      <c r="E9" s="3">
        <v>130265</v>
      </c>
      <c r="F9" s="3">
        <v>131991</v>
      </c>
      <c r="G9" s="3">
        <v>180135</v>
      </c>
      <c r="H9" s="3">
        <v>128773</v>
      </c>
      <c r="I9" s="3">
        <v>135659</v>
      </c>
      <c r="J9" s="3">
        <v>177744</v>
      </c>
      <c r="K9" s="3">
        <v>137777</v>
      </c>
      <c r="L9" s="3">
        <v>138205</v>
      </c>
      <c r="M9" s="3">
        <v>176268</v>
      </c>
      <c r="N9" s="3">
        <v>147382</v>
      </c>
      <c r="O9" s="21">
        <v>1784791</v>
      </c>
    </row>
    <row r="10" spans="1:15">
      <c r="A10" s="1" t="s">
        <v>51</v>
      </c>
      <c r="B10" s="1" t="s">
        <v>12</v>
      </c>
      <c r="C10" s="3">
        <v>66453.709354102612</v>
      </c>
      <c r="D10" s="3">
        <v>94070.588392802252</v>
      </c>
      <c r="E10" s="3">
        <v>253332.41160719775</v>
      </c>
      <c r="F10" s="3">
        <v>152406</v>
      </c>
      <c r="G10" s="3">
        <v>208176</v>
      </c>
      <c r="H10" s="3">
        <v>148950</v>
      </c>
      <c r="I10" s="3">
        <v>157051</v>
      </c>
      <c r="J10" s="3">
        <v>205966</v>
      </c>
      <c r="K10" s="3">
        <v>159794</v>
      </c>
      <c r="L10" s="3">
        <v>160438</v>
      </c>
      <c r="M10" s="3">
        <v>204801</v>
      </c>
      <c r="N10" s="3">
        <v>171401</v>
      </c>
      <c r="O10" s="21">
        <v>1982839.7093541026</v>
      </c>
    </row>
    <row r="11" spans="1:15">
      <c r="A11" s="1" t="s">
        <v>52</v>
      </c>
      <c r="B11" s="1" t="s">
        <v>12</v>
      </c>
      <c r="C11" s="3">
        <v>386382</v>
      </c>
      <c r="D11" s="3">
        <v>503539</v>
      </c>
      <c r="E11" s="3">
        <v>380155</v>
      </c>
      <c r="F11" s="3">
        <v>380399</v>
      </c>
      <c r="G11" s="3">
        <v>514297</v>
      </c>
      <c r="H11" s="3">
        <v>364256</v>
      </c>
      <c r="I11" s="3">
        <v>379759</v>
      </c>
      <c r="J11" s="3">
        <v>491787</v>
      </c>
      <c r="K11" s="3">
        <v>377625</v>
      </c>
      <c r="L11" s="3">
        <v>374752</v>
      </c>
      <c r="M11" s="3">
        <v>472544</v>
      </c>
      <c r="N11" s="3">
        <v>391042</v>
      </c>
      <c r="O11" s="21">
        <v>5016537</v>
      </c>
    </row>
    <row r="12" spans="1:15">
      <c r="A12" s="1" t="s">
        <v>53</v>
      </c>
      <c r="B12" s="1" t="s">
        <v>12</v>
      </c>
      <c r="C12" s="3">
        <v>87117</v>
      </c>
      <c r="D12" s="3">
        <v>93644</v>
      </c>
      <c r="E12" s="3">
        <v>80868</v>
      </c>
      <c r="F12" s="3">
        <v>71566</v>
      </c>
      <c r="G12" s="3">
        <v>100949</v>
      </c>
      <c r="H12" s="3">
        <v>77147</v>
      </c>
      <c r="I12" s="3">
        <v>80078</v>
      </c>
      <c r="J12" s="3">
        <v>95666</v>
      </c>
      <c r="K12" s="3">
        <v>75598</v>
      </c>
      <c r="L12" s="3">
        <v>78061</v>
      </c>
      <c r="M12" s="3">
        <v>91650</v>
      </c>
      <c r="N12" s="3">
        <v>76961</v>
      </c>
      <c r="O12" s="21">
        <v>1009305</v>
      </c>
    </row>
    <row r="13" spans="1:15">
      <c r="A13" s="1" t="s">
        <v>54</v>
      </c>
      <c r="B13" s="1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21">
        <v>0</v>
      </c>
    </row>
    <row r="14" spans="1:15">
      <c r="A14" s="1" t="s">
        <v>69</v>
      </c>
      <c r="B14" s="1" t="s">
        <v>12</v>
      </c>
      <c r="C14" s="3">
        <v>0</v>
      </c>
      <c r="D14" s="3">
        <v>31802</v>
      </c>
      <c r="E14" s="3">
        <v>14095</v>
      </c>
      <c r="F14" s="3">
        <v>13762</v>
      </c>
      <c r="G14" s="3">
        <v>19153</v>
      </c>
      <c r="H14" s="3">
        <v>13618</v>
      </c>
      <c r="I14" s="3">
        <v>14238</v>
      </c>
      <c r="J14" s="3">
        <v>18507</v>
      </c>
      <c r="K14" s="3">
        <v>14238</v>
      </c>
      <c r="L14" s="3">
        <v>14170</v>
      </c>
      <c r="M14" s="3">
        <v>17935</v>
      </c>
      <c r="N14" s="3">
        <v>14878</v>
      </c>
      <c r="O14" s="21">
        <v>186396</v>
      </c>
    </row>
    <row r="15" spans="1:15">
      <c r="A15" s="1" t="s">
        <v>70</v>
      </c>
      <c r="B15" s="1" t="s">
        <v>12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114361</v>
      </c>
      <c r="J15" s="3">
        <v>148669</v>
      </c>
      <c r="K15" s="3">
        <v>114361</v>
      </c>
      <c r="L15" s="3">
        <v>113817</v>
      </c>
      <c r="M15" s="3">
        <v>144066</v>
      </c>
      <c r="N15" s="3">
        <v>119508</v>
      </c>
      <c r="O15" s="21">
        <v>754782</v>
      </c>
    </row>
    <row r="16" spans="1:15">
      <c r="A16" s="1" t="s">
        <v>55</v>
      </c>
      <c r="B16" s="1" t="s">
        <v>12</v>
      </c>
      <c r="C16" s="3">
        <v>117208</v>
      </c>
      <c r="D16" s="3">
        <v>138847</v>
      </c>
      <c r="E16" s="3">
        <v>113381</v>
      </c>
      <c r="F16" s="3">
        <v>106042</v>
      </c>
      <c r="G16" s="3">
        <v>148691</v>
      </c>
      <c r="H16" s="3">
        <v>110553</v>
      </c>
      <c r="I16" s="3">
        <v>116137</v>
      </c>
      <c r="J16" s="3">
        <v>145641</v>
      </c>
      <c r="K16" s="3">
        <v>116331</v>
      </c>
      <c r="L16" s="3">
        <v>71357</v>
      </c>
      <c r="M16" s="3">
        <v>88334</v>
      </c>
      <c r="N16" s="3">
        <v>74125</v>
      </c>
      <c r="O16" s="21">
        <v>1346647</v>
      </c>
    </row>
    <row r="17" spans="1:16">
      <c r="A17" s="1" t="s">
        <v>56</v>
      </c>
      <c r="B17" s="1" t="s">
        <v>12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21">
        <v>0</v>
      </c>
    </row>
    <row r="18" spans="1:16">
      <c r="A18" s="1" t="s">
        <v>34</v>
      </c>
      <c r="B18" s="1" t="s">
        <v>12</v>
      </c>
      <c r="C18" s="3">
        <v>7164</v>
      </c>
      <c r="D18" s="3">
        <v>9110</v>
      </c>
      <c r="E18" s="3">
        <v>6610</v>
      </c>
      <c r="F18" s="3">
        <v>6314</v>
      </c>
      <c r="G18" s="3">
        <v>9373</v>
      </c>
      <c r="H18" s="3">
        <v>6418</v>
      </c>
      <c r="I18" s="3">
        <v>6557</v>
      </c>
      <c r="J18" s="3">
        <v>5401</v>
      </c>
      <c r="K18" s="3">
        <v>3933</v>
      </c>
      <c r="L18" s="3">
        <v>3698</v>
      </c>
      <c r="M18" s="3">
        <v>4825</v>
      </c>
      <c r="N18" s="3">
        <v>3997</v>
      </c>
      <c r="O18" s="21">
        <v>73400</v>
      </c>
    </row>
    <row r="19" spans="1:16">
      <c r="A19" s="1" t="s">
        <v>35</v>
      </c>
      <c r="B19" s="1" t="s">
        <v>12</v>
      </c>
      <c r="C19" s="3">
        <v>10906</v>
      </c>
      <c r="D19" s="3">
        <v>12689</v>
      </c>
      <c r="E19" s="3">
        <v>10333</v>
      </c>
      <c r="F19" s="3">
        <v>9922</v>
      </c>
      <c r="G19" s="3">
        <v>13643</v>
      </c>
      <c r="H19" s="3">
        <v>10880</v>
      </c>
      <c r="I19" s="3">
        <v>10906</v>
      </c>
      <c r="J19" s="3">
        <v>13146</v>
      </c>
      <c r="K19" s="3">
        <v>10906</v>
      </c>
      <c r="L19" s="3">
        <v>10389</v>
      </c>
      <c r="M19" s="3">
        <v>13690</v>
      </c>
      <c r="N19" s="3">
        <v>11395</v>
      </c>
      <c r="O19" s="21">
        <v>138805</v>
      </c>
    </row>
    <row r="20" spans="1:16">
      <c r="A20" s="1" t="s">
        <v>57</v>
      </c>
      <c r="B20" s="1" t="s">
        <v>12</v>
      </c>
      <c r="C20" s="3">
        <v>6916</v>
      </c>
      <c r="D20" s="3">
        <v>8038</v>
      </c>
      <c r="E20" s="3">
        <v>6429</v>
      </c>
      <c r="F20" s="3">
        <v>6108</v>
      </c>
      <c r="G20" s="3">
        <v>8285</v>
      </c>
      <c r="H20" s="3">
        <v>6476</v>
      </c>
      <c r="I20" s="3">
        <v>6380</v>
      </c>
      <c r="J20" s="3">
        <v>7645</v>
      </c>
      <c r="K20" s="3">
        <v>6219</v>
      </c>
      <c r="L20" s="3">
        <v>5837</v>
      </c>
      <c r="M20" s="3">
        <v>7565</v>
      </c>
      <c r="N20" s="3">
        <v>6210</v>
      </c>
      <c r="O20" s="21">
        <v>82108</v>
      </c>
    </row>
    <row r="21" spans="1:16">
      <c r="A21" s="1" t="s">
        <v>58</v>
      </c>
      <c r="B21" s="1" t="s">
        <v>12</v>
      </c>
      <c r="C21" s="3">
        <v>841</v>
      </c>
      <c r="D21" s="3">
        <v>784</v>
      </c>
      <c r="E21" s="3">
        <v>540</v>
      </c>
      <c r="F21" s="3">
        <v>466</v>
      </c>
      <c r="G21" s="3">
        <v>607</v>
      </c>
      <c r="H21" s="3">
        <v>465</v>
      </c>
      <c r="I21" s="3">
        <v>463</v>
      </c>
      <c r="J21" s="3">
        <v>559</v>
      </c>
      <c r="K21" s="3">
        <v>463</v>
      </c>
      <c r="L21" s="3">
        <v>440</v>
      </c>
      <c r="M21" s="3">
        <v>582</v>
      </c>
      <c r="N21" s="3">
        <v>485</v>
      </c>
      <c r="O21" s="21">
        <v>6695</v>
      </c>
    </row>
    <row r="22" spans="1:16">
      <c r="A22" s="1" t="s">
        <v>59</v>
      </c>
      <c r="B22" s="1" t="s">
        <v>12</v>
      </c>
      <c r="C22" s="3">
        <v>3191.2562996026936</v>
      </c>
      <c r="D22" s="3">
        <v>3718.788868814433</v>
      </c>
      <c r="E22" s="3">
        <v>5392.0916368878788</v>
      </c>
      <c r="F22" s="3">
        <v>7836.7785580222644</v>
      </c>
      <c r="G22" s="3">
        <v>10744.999237321155</v>
      </c>
      <c r="H22" s="3">
        <v>7937.0700170202508</v>
      </c>
      <c r="I22" s="3">
        <v>7865.3719781140735</v>
      </c>
      <c r="J22" s="3">
        <v>6517.9188522146505</v>
      </c>
      <c r="K22" s="3">
        <v>4944.7224305583395</v>
      </c>
      <c r="L22" s="3">
        <v>4081.1878020254931</v>
      </c>
      <c r="M22" s="3">
        <v>4781.7599764821925</v>
      </c>
      <c r="N22" s="3">
        <v>6600.7732776471394</v>
      </c>
      <c r="O22" s="21">
        <v>73612.718934710574</v>
      </c>
    </row>
    <row r="23" spans="1:16">
      <c r="A23" s="33" t="s">
        <v>78</v>
      </c>
      <c r="B23" s="1" t="s">
        <v>12</v>
      </c>
      <c r="C23" s="3">
        <v>0</v>
      </c>
      <c r="D23" s="3">
        <v>0</v>
      </c>
      <c r="E23" s="3">
        <v>0</v>
      </c>
      <c r="F23" s="3">
        <v>0</v>
      </c>
      <c r="G23" s="3">
        <v>50189</v>
      </c>
      <c r="H23" s="3">
        <v>1259</v>
      </c>
      <c r="I23" s="3">
        <v>3766</v>
      </c>
      <c r="J23" s="3">
        <v>8115</v>
      </c>
      <c r="K23" s="3">
        <v>8417</v>
      </c>
      <c r="L23" s="3">
        <v>11142</v>
      </c>
      <c r="M23" s="3">
        <v>17128</v>
      </c>
      <c r="N23" s="3">
        <v>16245</v>
      </c>
      <c r="O23" s="21">
        <v>116261</v>
      </c>
    </row>
    <row r="24" spans="1:16">
      <c r="A24" s="33" t="s">
        <v>79</v>
      </c>
      <c r="B24" s="1" t="s">
        <v>12</v>
      </c>
      <c r="C24" s="3">
        <v>0</v>
      </c>
      <c r="D24" s="3">
        <v>0</v>
      </c>
      <c r="E24" s="3">
        <v>0</v>
      </c>
      <c r="F24" s="3">
        <v>0</v>
      </c>
      <c r="G24" s="3">
        <v>28000</v>
      </c>
      <c r="H24" s="3">
        <v>0</v>
      </c>
      <c r="I24" s="3">
        <v>11341</v>
      </c>
      <c r="J24" s="3">
        <v>2240</v>
      </c>
      <c r="K24" s="3">
        <v>1349</v>
      </c>
      <c r="L24" s="3">
        <v>1813</v>
      </c>
      <c r="M24" s="3">
        <v>2866</v>
      </c>
      <c r="N24" s="3">
        <v>2884</v>
      </c>
      <c r="O24" s="21">
        <v>50493</v>
      </c>
    </row>
    <row r="25" spans="1:16">
      <c r="A25" s="1" t="s">
        <v>60</v>
      </c>
      <c r="B25" s="1" t="s">
        <v>12</v>
      </c>
      <c r="C25" s="3">
        <v>57913</v>
      </c>
      <c r="D25" s="3">
        <v>74173</v>
      </c>
      <c r="E25" s="3">
        <v>57804</v>
      </c>
      <c r="F25" s="3">
        <v>57638</v>
      </c>
      <c r="G25" s="3">
        <v>72394</v>
      </c>
      <c r="H25" s="3">
        <v>55848</v>
      </c>
      <c r="I25" s="3">
        <v>56242</v>
      </c>
      <c r="J25" s="3">
        <v>75421</v>
      </c>
      <c r="K25" s="3">
        <v>56702</v>
      </c>
      <c r="L25" s="3">
        <v>57785</v>
      </c>
      <c r="M25" s="3">
        <v>73330</v>
      </c>
      <c r="N25" s="3">
        <v>59251</v>
      </c>
      <c r="O25" s="21">
        <v>754501</v>
      </c>
    </row>
    <row r="26" spans="1:16">
      <c r="A26" s="1" t="s">
        <v>61</v>
      </c>
      <c r="B26" s="1" t="s">
        <v>12</v>
      </c>
      <c r="C26" s="3">
        <v>19000</v>
      </c>
      <c r="D26" s="3">
        <v>0</v>
      </c>
      <c r="E26" s="3">
        <v>0</v>
      </c>
      <c r="F26" s="3">
        <v>0</v>
      </c>
      <c r="G26" s="3">
        <v>0</v>
      </c>
      <c r="H26" s="3">
        <v>26000</v>
      </c>
      <c r="I26" s="3">
        <v>17200</v>
      </c>
      <c r="J26" s="3">
        <v>0</v>
      </c>
      <c r="K26" s="3">
        <v>800</v>
      </c>
      <c r="L26" s="3">
        <v>0</v>
      </c>
      <c r="M26" s="3">
        <v>0</v>
      </c>
      <c r="N26" s="3">
        <v>25400</v>
      </c>
      <c r="O26" s="21">
        <v>88400</v>
      </c>
    </row>
    <row r="27" spans="1:16" ht="13.5" thickBot="1">
      <c r="A27" s="1"/>
      <c r="B27" s="1"/>
      <c r="O27" s="25">
        <f>SUM(O4:O26)</f>
        <v>50288940.752375744</v>
      </c>
    </row>
    <row r="28" spans="1:16" ht="13.5" thickTop="1">
      <c r="A28" t="s">
        <v>80</v>
      </c>
      <c r="B28" s="1">
        <v>1.7</v>
      </c>
      <c r="C28" s="3" t="s">
        <v>81</v>
      </c>
    </row>
    <row r="29" spans="1:16">
      <c r="A29" s="20" t="s">
        <v>36</v>
      </c>
      <c r="B29" s="23">
        <f>0.09*1.07*1.052</f>
        <v>0.1013076</v>
      </c>
      <c r="C29" s="2" t="s">
        <v>63</v>
      </c>
    </row>
    <row r="30" spans="1:16">
      <c r="A30" s="20" t="s">
        <v>37</v>
      </c>
      <c r="B30" s="23">
        <f>3.45*1.07*1.052</f>
        <v>3.8834580000000005</v>
      </c>
      <c r="C30" s="2" t="s">
        <v>64</v>
      </c>
    </row>
    <row r="31" spans="1:16">
      <c r="A31" s="30" t="s">
        <v>75</v>
      </c>
      <c r="B31" s="31" t="s">
        <v>76</v>
      </c>
      <c r="C31" s="32" t="s">
        <v>77</v>
      </c>
      <c r="P31" s="19" t="s">
        <v>43</v>
      </c>
    </row>
    <row r="32" spans="1:16">
      <c r="B32" s="13"/>
      <c r="C32" s="2"/>
      <c r="O32" s="24" t="s">
        <v>40</v>
      </c>
      <c r="P32" s="18" t="s">
        <v>67</v>
      </c>
    </row>
    <row r="33" spans="1:16">
      <c r="A33" s="4" t="s">
        <v>15</v>
      </c>
      <c r="B33" t="s">
        <v>44</v>
      </c>
      <c r="C33" s="3">
        <f t="shared" ref="C33:M33" si="0">C4*$B$29</f>
        <v>136271.89198799999</v>
      </c>
      <c r="D33" s="3">
        <f t="shared" si="0"/>
        <v>149106.65313960001</v>
      </c>
      <c r="E33" s="3">
        <f t="shared" si="0"/>
        <v>136386.7748064</v>
      </c>
      <c r="F33" s="3">
        <f t="shared" si="0"/>
        <v>121651.9896168</v>
      </c>
      <c r="G33" s="3">
        <f t="shared" si="0"/>
        <v>175068.34656119999</v>
      </c>
      <c r="H33" s="3">
        <f t="shared" si="0"/>
        <v>135357.18566759999</v>
      </c>
      <c r="I33" s="3">
        <f t="shared" si="0"/>
        <v>142668.96038999999</v>
      </c>
      <c r="J33" s="3">
        <f t="shared" si="0"/>
        <v>174267.2060604</v>
      </c>
      <c r="K33" s="3">
        <f t="shared" si="0"/>
        <v>145033.7836968</v>
      </c>
      <c r="L33" s="3">
        <f t="shared" si="0"/>
        <v>145547.51453640001</v>
      </c>
      <c r="M33" s="3">
        <f t="shared" si="0"/>
        <v>172346.71788720001</v>
      </c>
      <c r="N33" s="3">
        <f>N4*$B$29-2372</f>
        <v>146780.44417480001</v>
      </c>
      <c r="O33" s="35">
        <f t="shared" ref="O33:O57" si="1">SUM(C33:N33)</f>
        <v>1780487.4685252002</v>
      </c>
      <c r="P33" s="21">
        <v>1604044.18</v>
      </c>
    </row>
    <row r="34" spans="1:16">
      <c r="A34" s="4" t="s">
        <v>16</v>
      </c>
      <c r="B34" t="s">
        <v>44</v>
      </c>
      <c r="C34" s="3">
        <f t="shared" ref="C34:M34" si="2">C5*$B$29</f>
        <v>57560.963533389571</v>
      </c>
      <c r="D34" s="3">
        <f t="shared" si="2"/>
        <v>73399.191102189579</v>
      </c>
      <c r="E34" s="3">
        <f t="shared" si="2"/>
        <v>56481.024517389575</v>
      </c>
      <c r="F34" s="3">
        <f t="shared" si="2"/>
        <v>48374.892803632851</v>
      </c>
      <c r="G34" s="3">
        <f t="shared" si="2"/>
        <v>70703.695689232845</v>
      </c>
      <c r="H34" s="3">
        <f t="shared" si="2"/>
        <v>48358.37966483285</v>
      </c>
      <c r="I34" s="3">
        <f t="shared" si="2"/>
        <v>52349.535480010054</v>
      </c>
      <c r="J34" s="3">
        <f t="shared" si="2"/>
        <v>69983.136336010051</v>
      </c>
      <c r="K34" s="3">
        <f t="shared" si="2"/>
        <v>52731.05990161006</v>
      </c>
      <c r="L34" s="3">
        <f t="shared" si="2"/>
        <v>54482.123876723941</v>
      </c>
      <c r="M34" s="3">
        <f t="shared" si="2"/>
        <v>69878.447694323942</v>
      </c>
      <c r="N34" s="3">
        <f t="shared" ref="N34:N42" si="3">N5*$B$29</f>
        <v>57259.269115523944</v>
      </c>
      <c r="O34" s="35">
        <f t="shared" si="1"/>
        <v>711561.71971486916</v>
      </c>
      <c r="P34" s="21">
        <v>939784.42</v>
      </c>
    </row>
    <row r="35" spans="1:16">
      <c r="A35" s="1" t="s">
        <v>17</v>
      </c>
      <c r="B35" t="s">
        <v>44</v>
      </c>
      <c r="C35" s="3">
        <f t="shared" ref="C35:M35" si="4">C6*$B$29</f>
        <v>82768.309200000003</v>
      </c>
      <c r="D35" s="3">
        <f t="shared" si="4"/>
        <v>91499.504705999992</v>
      </c>
      <c r="E35" s="3">
        <f t="shared" si="4"/>
        <v>80229.135513599991</v>
      </c>
      <c r="F35" s="3">
        <f t="shared" si="4"/>
        <v>73352.173010400002</v>
      </c>
      <c r="G35" s="3">
        <f t="shared" si="4"/>
        <v>102883.946256</v>
      </c>
      <c r="H35" s="3">
        <f t="shared" si="4"/>
        <v>79354.445695200004</v>
      </c>
      <c r="I35" s="3">
        <f t="shared" si="4"/>
        <v>83710.267264800001</v>
      </c>
      <c r="J35" s="3">
        <f t="shared" si="4"/>
        <v>104137.83042119999</v>
      </c>
      <c r="K35" s="3">
        <f t="shared" si="4"/>
        <v>85052.592964800002</v>
      </c>
      <c r="L35" s="3">
        <f t="shared" si="4"/>
        <v>85329.871866000001</v>
      </c>
      <c r="M35" s="3">
        <f t="shared" si="4"/>
        <v>100860.22563839999</v>
      </c>
      <c r="N35" s="3">
        <f t="shared" si="3"/>
        <v>87213.484072799998</v>
      </c>
      <c r="O35" s="35">
        <f t="shared" si="1"/>
        <v>1056391.7866091998</v>
      </c>
      <c r="P35" s="21">
        <v>1010573.67</v>
      </c>
    </row>
    <row r="36" spans="1:16">
      <c r="A36" s="4" t="s">
        <v>18</v>
      </c>
      <c r="B36" t="s">
        <v>44</v>
      </c>
      <c r="C36" s="3">
        <f t="shared" ref="C36:M36" si="5">C7*$B$29</f>
        <v>14964.145596</v>
      </c>
      <c r="D36" s="3">
        <f t="shared" si="5"/>
        <v>15954.427385999999</v>
      </c>
      <c r="E36" s="3">
        <f t="shared" si="5"/>
        <v>14173.2371628</v>
      </c>
      <c r="F36" s="3">
        <f t="shared" si="5"/>
        <v>12241.807768799999</v>
      </c>
      <c r="G36" s="3">
        <f t="shared" si="5"/>
        <v>17662.473522</v>
      </c>
      <c r="H36" s="3">
        <f t="shared" si="5"/>
        <v>13698.307134000001</v>
      </c>
      <c r="I36" s="3">
        <f t="shared" si="5"/>
        <v>14322.5645652</v>
      </c>
      <c r="J36" s="3">
        <f t="shared" si="5"/>
        <v>17189.468337599999</v>
      </c>
      <c r="K36" s="3">
        <f t="shared" si="5"/>
        <v>14326.414253999999</v>
      </c>
      <c r="L36" s="3">
        <f t="shared" si="5"/>
        <v>14260.2603912</v>
      </c>
      <c r="M36" s="3">
        <f t="shared" si="5"/>
        <v>16584.054120000001</v>
      </c>
      <c r="N36" s="3">
        <f t="shared" si="3"/>
        <v>14296.832434800001</v>
      </c>
      <c r="O36" s="35">
        <f t="shared" si="1"/>
        <v>179673.99267239997</v>
      </c>
      <c r="P36" s="21">
        <v>173266.69</v>
      </c>
    </row>
    <row r="37" spans="1:16">
      <c r="A37" s="12" t="s">
        <v>19</v>
      </c>
      <c r="B37" t="s">
        <v>44</v>
      </c>
      <c r="C37" s="3">
        <f t="shared" ref="C37:M37" si="6">C8*$B$29</f>
        <v>0</v>
      </c>
      <c r="D37" s="3">
        <f t="shared" si="6"/>
        <v>0</v>
      </c>
      <c r="E37" s="3">
        <f t="shared" si="6"/>
        <v>0</v>
      </c>
      <c r="F37" s="3">
        <f t="shared" si="6"/>
        <v>0</v>
      </c>
      <c r="G37" s="3">
        <f t="shared" si="6"/>
        <v>0</v>
      </c>
      <c r="H37" s="3">
        <f t="shared" si="6"/>
        <v>0</v>
      </c>
      <c r="I37" s="3">
        <f t="shared" si="6"/>
        <v>0</v>
      </c>
      <c r="J37" s="3">
        <f t="shared" si="6"/>
        <v>0</v>
      </c>
      <c r="K37" s="3">
        <f t="shared" si="6"/>
        <v>0</v>
      </c>
      <c r="L37" s="3">
        <f t="shared" si="6"/>
        <v>0</v>
      </c>
      <c r="M37" s="3">
        <f t="shared" si="6"/>
        <v>0</v>
      </c>
      <c r="N37" s="3">
        <f t="shared" si="3"/>
        <v>0</v>
      </c>
      <c r="O37" s="35">
        <f t="shared" si="1"/>
        <v>0</v>
      </c>
      <c r="P37" s="21">
        <v>118511</v>
      </c>
    </row>
    <row r="38" spans="1:16">
      <c r="A38" s="1" t="s">
        <v>20</v>
      </c>
      <c r="B38" t="s">
        <v>44</v>
      </c>
      <c r="C38" s="3">
        <f t="shared" ref="C38:M38" si="7">C9*$B$29</f>
        <v>13125.210040800001</v>
      </c>
      <c r="D38" s="3">
        <f t="shared" si="7"/>
        <v>17327.044058399999</v>
      </c>
      <c r="E38" s="3">
        <f t="shared" si="7"/>
        <v>13196.834514</v>
      </c>
      <c r="F38" s="3">
        <f t="shared" si="7"/>
        <v>13371.6914316</v>
      </c>
      <c r="G38" s="3">
        <f t="shared" si="7"/>
        <v>18249.044525999998</v>
      </c>
      <c r="H38" s="3">
        <f t="shared" si="7"/>
        <v>13045.683574799999</v>
      </c>
      <c r="I38" s="3">
        <f t="shared" si="7"/>
        <v>13743.287708399999</v>
      </c>
      <c r="J38" s="3">
        <f t="shared" si="7"/>
        <v>18006.818054399999</v>
      </c>
      <c r="K38" s="3">
        <f t="shared" si="7"/>
        <v>13957.8572052</v>
      </c>
      <c r="L38" s="3">
        <f t="shared" si="7"/>
        <v>14001.216858</v>
      </c>
      <c r="M38" s="3">
        <f t="shared" si="7"/>
        <v>17857.288036800001</v>
      </c>
      <c r="N38" s="3">
        <f t="shared" si="3"/>
        <v>14930.9167032</v>
      </c>
      <c r="O38" s="35">
        <f t="shared" si="1"/>
        <v>180812.8927116</v>
      </c>
      <c r="P38" s="21">
        <v>172797.05</v>
      </c>
    </row>
    <row r="39" spans="1:16">
      <c r="A39" s="1" t="s">
        <v>21</v>
      </c>
      <c r="B39" t="s">
        <v>44</v>
      </c>
      <c r="C39" s="3">
        <f t="shared" ref="C39:M39" si="8">C10*$B$29</f>
        <v>6732.2658057616854</v>
      </c>
      <c r="D39" s="3">
        <f t="shared" si="8"/>
        <v>9530.0655406626538</v>
      </c>
      <c r="E39" s="3">
        <f t="shared" si="8"/>
        <v>25664.498622137347</v>
      </c>
      <c r="F39" s="3">
        <f t="shared" si="8"/>
        <v>15439.886085599999</v>
      </c>
      <c r="G39" s="3">
        <f t="shared" si="8"/>
        <v>21089.810937599999</v>
      </c>
      <c r="H39" s="3">
        <f t="shared" si="8"/>
        <v>15089.767019999999</v>
      </c>
      <c r="I39" s="3">
        <f t="shared" si="8"/>
        <v>15910.4598876</v>
      </c>
      <c r="J39" s="3">
        <f t="shared" si="8"/>
        <v>20865.9211416</v>
      </c>
      <c r="K39" s="3">
        <f t="shared" si="8"/>
        <v>16188.346634399999</v>
      </c>
      <c r="L39" s="3">
        <f t="shared" si="8"/>
        <v>16253.588728799999</v>
      </c>
      <c r="M39" s="3">
        <f t="shared" si="8"/>
        <v>20747.897787599999</v>
      </c>
      <c r="N39" s="3">
        <f t="shared" si="3"/>
        <v>17364.2239476</v>
      </c>
      <c r="O39" s="35">
        <f t="shared" si="1"/>
        <v>200876.7321393617</v>
      </c>
      <c r="P39" s="21">
        <v>191280.17471066822</v>
      </c>
    </row>
    <row r="40" spans="1:16">
      <c r="A40" s="1" t="s">
        <v>22</v>
      </c>
      <c r="B40" t="s">
        <v>44</v>
      </c>
      <c r="C40" s="3">
        <f t="shared" ref="C40:M40" si="9">C11*$B$29</f>
        <v>39143.433103199997</v>
      </c>
      <c r="D40" s="3">
        <f t="shared" si="9"/>
        <v>51012.327596399999</v>
      </c>
      <c r="E40" s="3">
        <f t="shared" si="9"/>
        <v>38512.590678</v>
      </c>
      <c r="F40" s="3">
        <f t="shared" si="9"/>
        <v>38537.309732399997</v>
      </c>
      <c r="G40" s="3">
        <f t="shared" si="9"/>
        <v>52102.194757199999</v>
      </c>
      <c r="H40" s="3">
        <f t="shared" si="9"/>
        <v>36901.901145600001</v>
      </c>
      <c r="I40" s="3">
        <f t="shared" si="9"/>
        <v>38472.4728684</v>
      </c>
      <c r="J40" s="3">
        <f t="shared" si="9"/>
        <v>49821.760681200001</v>
      </c>
      <c r="K40" s="3">
        <f t="shared" si="9"/>
        <v>38256.282449999999</v>
      </c>
      <c r="L40" s="3">
        <f t="shared" si="9"/>
        <v>37965.225715200002</v>
      </c>
      <c r="M40" s="3">
        <f t="shared" si="9"/>
        <v>47872.298534399997</v>
      </c>
      <c r="N40" s="3">
        <f t="shared" si="3"/>
        <v>39615.526519200001</v>
      </c>
      <c r="O40" s="35">
        <f t="shared" si="1"/>
        <v>508213.32378119999</v>
      </c>
      <c r="P40" s="21">
        <v>510997.11</v>
      </c>
    </row>
    <row r="41" spans="1:16">
      <c r="A41" s="1" t="s">
        <v>23</v>
      </c>
      <c r="B41" t="s">
        <v>44</v>
      </c>
      <c r="C41" s="3">
        <f t="shared" ref="C41:M41" si="10">C12*$B$29</f>
        <v>8825.6141891999996</v>
      </c>
      <c r="D41" s="3">
        <f t="shared" si="10"/>
        <v>9486.8488944000001</v>
      </c>
      <c r="E41" s="3">
        <f t="shared" si="10"/>
        <v>8192.5429967999989</v>
      </c>
      <c r="F41" s="3">
        <f t="shared" si="10"/>
        <v>7250.1797016</v>
      </c>
      <c r="G41" s="3">
        <f t="shared" si="10"/>
        <v>10226.9009124</v>
      </c>
      <c r="H41" s="3">
        <f t="shared" si="10"/>
        <v>7815.5774172000001</v>
      </c>
      <c r="I41" s="3">
        <f t="shared" si="10"/>
        <v>8112.5099928</v>
      </c>
      <c r="J41" s="3">
        <f t="shared" si="10"/>
        <v>9691.6928616000005</v>
      </c>
      <c r="K41" s="3">
        <f t="shared" si="10"/>
        <v>7658.6519447999999</v>
      </c>
      <c r="L41" s="3">
        <f t="shared" si="10"/>
        <v>7908.1725636000001</v>
      </c>
      <c r="M41" s="3">
        <f t="shared" si="10"/>
        <v>9284.8415399999994</v>
      </c>
      <c r="N41" s="3">
        <f t="shared" si="3"/>
        <v>7796.7342036</v>
      </c>
      <c r="O41" s="35">
        <f t="shared" si="1"/>
        <v>102250.26721800001</v>
      </c>
      <c r="P41" s="21">
        <v>103658.43</v>
      </c>
    </row>
    <row r="42" spans="1:16">
      <c r="A42" s="1" t="s">
        <v>24</v>
      </c>
      <c r="B42" t="s">
        <v>44</v>
      </c>
      <c r="C42" s="3">
        <f t="shared" ref="C42:M42" si="11">C13*$B$29</f>
        <v>0</v>
      </c>
      <c r="D42" s="3">
        <f t="shared" si="11"/>
        <v>0</v>
      </c>
      <c r="E42" s="3">
        <f t="shared" si="11"/>
        <v>0</v>
      </c>
      <c r="F42" s="3">
        <f t="shared" si="11"/>
        <v>0</v>
      </c>
      <c r="G42" s="3">
        <f t="shared" si="11"/>
        <v>0</v>
      </c>
      <c r="H42" s="3">
        <f t="shared" si="11"/>
        <v>0</v>
      </c>
      <c r="I42" s="3">
        <f t="shared" si="11"/>
        <v>0</v>
      </c>
      <c r="J42" s="3">
        <f t="shared" si="11"/>
        <v>0</v>
      </c>
      <c r="K42" s="3">
        <f t="shared" si="11"/>
        <v>0</v>
      </c>
      <c r="L42" s="3">
        <f t="shared" si="11"/>
        <v>0</v>
      </c>
      <c r="M42" s="3">
        <f t="shared" si="11"/>
        <v>0</v>
      </c>
      <c r="N42" s="3">
        <f t="shared" si="3"/>
        <v>0</v>
      </c>
      <c r="O42" s="35">
        <f t="shared" si="1"/>
        <v>0</v>
      </c>
      <c r="P42" s="21">
        <v>51178.92</v>
      </c>
    </row>
    <row r="43" spans="1:16">
      <c r="A43" s="1" t="s">
        <v>71</v>
      </c>
      <c r="B43" t="s">
        <v>44</v>
      </c>
      <c r="C43" s="29">
        <v>0</v>
      </c>
      <c r="D43" s="29">
        <f>44323*0.5</f>
        <v>22161.5</v>
      </c>
      <c r="E43" s="29">
        <f>31586*0.5</f>
        <v>15793</v>
      </c>
      <c r="F43" s="29">
        <f>32279*0.5</f>
        <v>16139.5</v>
      </c>
      <c r="G43" s="29">
        <f>32092*0.5</f>
        <v>16046</v>
      </c>
      <c r="H43" s="29">
        <f>31905*0.5</f>
        <v>15952.5</v>
      </c>
      <c r="I43" s="29">
        <f>31720*0.5</f>
        <v>15860</v>
      </c>
      <c r="J43" s="29">
        <f>31535*0.5</f>
        <v>15767.5</v>
      </c>
      <c r="K43" s="29">
        <f>31157*0.5</f>
        <v>15578.5</v>
      </c>
      <c r="L43" s="29">
        <f>31024*0.5</f>
        <v>15512</v>
      </c>
      <c r="M43" s="29">
        <f>30891*0.5</f>
        <v>15445.5</v>
      </c>
      <c r="N43" s="29">
        <f>30759*0.5</f>
        <v>15379.5</v>
      </c>
      <c r="O43" s="35">
        <f t="shared" si="1"/>
        <v>179635.5</v>
      </c>
      <c r="P43" s="21">
        <v>0</v>
      </c>
    </row>
    <row r="44" spans="1:16">
      <c r="A44" s="1" t="s">
        <v>72</v>
      </c>
      <c r="B44" t="s">
        <v>44</v>
      </c>
      <c r="C44" s="29">
        <v>0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f t="shared" ref="I44:N44" si="12">36813*0.5</f>
        <v>18406.5</v>
      </c>
      <c r="J44" s="29">
        <f t="shared" si="12"/>
        <v>18406.5</v>
      </c>
      <c r="K44" s="29">
        <f t="shared" si="12"/>
        <v>18406.5</v>
      </c>
      <c r="L44" s="29">
        <f t="shared" si="12"/>
        <v>18406.5</v>
      </c>
      <c r="M44" s="29">
        <f t="shared" si="12"/>
        <v>18406.5</v>
      </c>
      <c r="N44" s="29">
        <f t="shared" si="12"/>
        <v>18406.5</v>
      </c>
      <c r="O44" s="35">
        <f t="shared" si="1"/>
        <v>110439</v>
      </c>
      <c r="P44" s="21">
        <v>0</v>
      </c>
    </row>
    <row r="45" spans="1:16">
      <c r="A45" s="4" t="s">
        <v>25</v>
      </c>
      <c r="B45" t="s">
        <v>44</v>
      </c>
      <c r="C45" s="3">
        <f t="shared" ref="C45:N45" si="13">C16*$B$29</f>
        <v>11874.061180799999</v>
      </c>
      <c r="D45" s="3">
        <f t="shared" si="13"/>
        <v>14066.2563372</v>
      </c>
      <c r="E45" s="3">
        <f t="shared" si="13"/>
        <v>11486.356995599999</v>
      </c>
      <c r="F45" s="3">
        <f t="shared" si="13"/>
        <v>10742.8605192</v>
      </c>
      <c r="G45" s="3">
        <f t="shared" si="13"/>
        <v>15063.5283516</v>
      </c>
      <c r="H45" s="3">
        <f t="shared" si="13"/>
        <v>11199.859102799999</v>
      </c>
      <c r="I45" s="3">
        <f t="shared" si="13"/>
        <v>11765.560741199999</v>
      </c>
      <c r="J45" s="3">
        <f t="shared" si="13"/>
        <v>14754.5401716</v>
      </c>
      <c r="K45" s="3">
        <f t="shared" si="13"/>
        <v>11785.214415599999</v>
      </c>
      <c r="L45" s="3">
        <f t="shared" si="13"/>
        <v>7229.0064131999998</v>
      </c>
      <c r="M45" s="3">
        <f t="shared" si="13"/>
        <v>8948.9055384000003</v>
      </c>
      <c r="N45" s="3">
        <f t="shared" si="13"/>
        <v>7509.4258499999996</v>
      </c>
      <c r="O45" s="35">
        <f t="shared" si="1"/>
        <v>136425.5756172</v>
      </c>
      <c r="P45" s="21">
        <v>231446.72</v>
      </c>
    </row>
    <row r="46" spans="1:16">
      <c r="A46" s="1" t="s">
        <v>26</v>
      </c>
      <c r="B46" t="s">
        <v>44</v>
      </c>
      <c r="C46" s="3">
        <f t="shared" ref="C46:N46" si="14">C17*$B$29</f>
        <v>0</v>
      </c>
      <c r="D46" s="3">
        <f t="shared" si="14"/>
        <v>0</v>
      </c>
      <c r="E46" s="3">
        <f t="shared" si="14"/>
        <v>0</v>
      </c>
      <c r="F46" s="3">
        <f t="shared" si="14"/>
        <v>0</v>
      </c>
      <c r="G46" s="3">
        <f t="shared" si="14"/>
        <v>0</v>
      </c>
      <c r="H46" s="3">
        <f t="shared" si="14"/>
        <v>0</v>
      </c>
      <c r="I46" s="3">
        <f t="shared" si="14"/>
        <v>0</v>
      </c>
      <c r="J46" s="3">
        <f t="shared" si="14"/>
        <v>0</v>
      </c>
      <c r="K46" s="3">
        <f t="shared" si="14"/>
        <v>0</v>
      </c>
      <c r="L46" s="3">
        <f t="shared" si="14"/>
        <v>0</v>
      </c>
      <c r="M46" s="3">
        <f t="shared" si="14"/>
        <v>0</v>
      </c>
      <c r="N46" s="3">
        <f t="shared" si="14"/>
        <v>0</v>
      </c>
      <c r="O46" s="35">
        <f t="shared" si="1"/>
        <v>0</v>
      </c>
      <c r="P46" s="21">
        <v>59307.39</v>
      </c>
    </row>
    <row r="47" spans="1:16">
      <c r="A47" s="1" t="s">
        <v>27</v>
      </c>
      <c r="B47" t="s">
        <v>44</v>
      </c>
      <c r="C47" s="3">
        <f t="shared" ref="C47:N47" si="15">C18*$B$29</f>
        <v>725.76764639999999</v>
      </c>
      <c r="D47" s="3">
        <f t="shared" si="15"/>
        <v>922.91223600000001</v>
      </c>
      <c r="E47" s="3">
        <f t="shared" si="15"/>
        <v>669.643236</v>
      </c>
      <c r="F47" s="3">
        <f t="shared" si="15"/>
        <v>639.65618640000002</v>
      </c>
      <c r="G47" s="3">
        <f t="shared" si="15"/>
        <v>949.5561348</v>
      </c>
      <c r="H47" s="3">
        <f t="shared" si="15"/>
        <v>650.19217679999997</v>
      </c>
      <c r="I47" s="3">
        <f t="shared" si="15"/>
        <v>664.27393319999999</v>
      </c>
      <c r="J47" s="3">
        <f t="shared" si="15"/>
        <v>547.16234759999998</v>
      </c>
      <c r="K47" s="3">
        <f t="shared" si="15"/>
        <v>398.44279080000001</v>
      </c>
      <c r="L47" s="3">
        <f t="shared" si="15"/>
        <v>374.63550479999998</v>
      </c>
      <c r="M47" s="3">
        <f t="shared" si="15"/>
        <v>488.80916999999999</v>
      </c>
      <c r="N47" s="3">
        <f t="shared" si="15"/>
        <v>404.92647719999997</v>
      </c>
      <c r="O47" s="35">
        <f t="shared" si="1"/>
        <v>7435.9778399999987</v>
      </c>
      <c r="P47" s="21">
        <v>14092.33</v>
      </c>
    </row>
    <row r="48" spans="1:16">
      <c r="A48" s="1" t="s">
        <v>28</v>
      </c>
      <c r="B48" t="s">
        <v>44</v>
      </c>
      <c r="C48" s="3">
        <f t="shared" ref="C48:N48" si="16">C19*$B$29</f>
        <v>1104.8606855999999</v>
      </c>
      <c r="D48" s="3">
        <f t="shared" si="16"/>
        <v>1285.4921363999999</v>
      </c>
      <c r="E48" s="3">
        <f t="shared" si="16"/>
        <v>1046.8114307999999</v>
      </c>
      <c r="F48" s="3">
        <f t="shared" si="16"/>
        <v>1005.1740072</v>
      </c>
      <c r="G48" s="3">
        <f t="shared" si="16"/>
        <v>1382.1395868</v>
      </c>
      <c r="H48" s="3">
        <f t="shared" si="16"/>
        <v>1102.226688</v>
      </c>
      <c r="I48" s="3">
        <f t="shared" si="16"/>
        <v>1104.8606855999999</v>
      </c>
      <c r="J48" s="3">
        <f t="shared" si="16"/>
        <v>1331.7897095999999</v>
      </c>
      <c r="K48" s="3">
        <f t="shared" si="16"/>
        <v>1104.8606855999999</v>
      </c>
      <c r="L48" s="3">
        <f t="shared" si="16"/>
        <v>1052.4846563999999</v>
      </c>
      <c r="M48" s="3">
        <f t="shared" si="16"/>
        <v>1386.901044</v>
      </c>
      <c r="N48" s="3">
        <f t="shared" si="16"/>
        <v>1154.4001020000001</v>
      </c>
      <c r="O48" s="35">
        <f t="shared" si="1"/>
        <v>14062.001418</v>
      </c>
      <c r="P48" s="21">
        <v>13397.13</v>
      </c>
    </row>
    <row r="49" spans="1:16">
      <c r="A49" s="4" t="s">
        <v>29</v>
      </c>
      <c r="B49" t="s">
        <v>44</v>
      </c>
      <c r="C49" s="3">
        <f t="shared" ref="C49:N49" si="17">C20*$B$29</f>
        <v>700.64336159999993</v>
      </c>
      <c r="D49" s="3">
        <f t="shared" si="17"/>
        <v>814.31048880000003</v>
      </c>
      <c r="E49" s="3">
        <f t="shared" si="17"/>
        <v>651.30656039999997</v>
      </c>
      <c r="F49" s="3">
        <f t="shared" si="17"/>
        <v>618.78682079999999</v>
      </c>
      <c r="G49" s="3">
        <f t="shared" si="17"/>
        <v>839.33346599999993</v>
      </c>
      <c r="H49" s="3">
        <f t="shared" si="17"/>
        <v>656.06801759999996</v>
      </c>
      <c r="I49" s="3">
        <f t="shared" si="17"/>
        <v>646.342488</v>
      </c>
      <c r="J49" s="3">
        <f t="shared" si="17"/>
        <v>774.49660199999994</v>
      </c>
      <c r="K49" s="3">
        <f t="shared" si="17"/>
        <v>630.03196439999999</v>
      </c>
      <c r="L49" s="3">
        <f t="shared" si="17"/>
        <v>591.33246120000001</v>
      </c>
      <c r="M49" s="3">
        <f t="shared" si="17"/>
        <v>766.39199399999995</v>
      </c>
      <c r="N49" s="3">
        <f t="shared" si="17"/>
        <v>629.12019599999996</v>
      </c>
      <c r="O49" s="35">
        <f t="shared" si="1"/>
        <v>8318.1644207999998</v>
      </c>
      <c r="P49" s="21">
        <v>10716.3</v>
      </c>
    </row>
    <row r="50" spans="1:16">
      <c r="A50" s="1" t="s">
        <v>30</v>
      </c>
      <c r="B50" t="s">
        <v>44</v>
      </c>
      <c r="C50" s="3">
        <f t="shared" ref="C50:N50" si="18">C21*$B$29</f>
        <v>85.199691599999994</v>
      </c>
      <c r="D50" s="3">
        <f t="shared" si="18"/>
        <v>79.425158400000001</v>
      </c>
      <c r="E50" s="3">
        <f t="shared" si="18"/>
        <v>54.706103999999996</v>
      </c>
      <c r="F50" s="3">
        <f t="shared" si="18"/>
        <v>47.209341600000002</v>
      </c>
      <c r="G50" s="3">
        <f t="shared" si="18"/>
        <v>61.493713200000002</v>
      </c>
      <c r="H50" s="3">
        <f t="shared" si="18"/>
        <v>47.108033999999996</v>
      </c>
      <c r="I50" s="3">
        <f t="shared" si="18"/>
        <v>46.9054188</v>
      </c>
      <c r="J50" s="3">
        <f t="shared" si="18"/>
        <v>56.630948400000001</v>
      </c>
      <c r="K50" s="3">
        <f t="shared" si="18"/>
        <v>46.9054188</v>
      </c>
      <c r="L50" s="3">
        <f t="shared" si="18"/>
        <v>44.575344000000001</v>
      </c>
      <c r="M50" s="3">
        <f t="shared" si="18"/>
        <v>58.9610232</v>
      </c>
      <c r="N50" s="3">
        <f t="shared" si="18"/>
        <v>49.134186</v>
      </c>
      <c r="O50" s="35">
        <f t="shared" si="1"/>
        <v>678.25438199999996</v>
      </c>
      <c r="P50" s="21">
        <v>1534.96</v>
      </c>
    </row>
    <row r="51" spans="1:16">
      <c r="A51" s="1" t="s">
        <v>31</v>
      </c>
      <c r="B51" t="s">
        <v>44</v>
      </c>
      <c r="C51" s="3">
        <f t="shared" ref="C51:N51" si="19">C22*$B$29</f>
        <v>323.29851669762985</v>
      </c>
      <c r="D51" s="3">
        <f t="shared" si="19"/>
        <v>376.74157520630507</v>
      </c>
      <c r="E51" s="3">
        <f t="shared" si="19"/>
        <v>546.25986271318243</v>
      </c>
      <c r="F51" s="3">
        <f t="shared" si="19"/>
        <v>793.92522744469636</v>
      </c>
      <c r="G51" s="3">
        <f t="shared" si="19"/>
        <v>1088.5500847348367</v>
      </c>
      <c r="H51" s="3">
        <f t="shared" si="19"/>
        <v>804.08551445628075</v>
      </c>
      <c r="I51" s="3">
        <f t="shared" si="19"/>
        <v>796.82195820998925</v>
      </c>
      <c r="J51" s="3">
        <f t="shared" si="19"/>
        <v>660.31471591262095</v>
      </c>
      <c r="K51" s="3">
        <f t="shared" si="19"/>
        <v>500.93796210603205</v>
      </c>
      <c r="L51" s="3">
        <f t="shared" si="19"/>
        <v>413.45534137247785</v>
      </c>
      <c r="M51" s="3">
        <f t="shared" si="19"/>
        <v>484.42862699346733</v>
      </c>
      <c r="N51" s="3">
        <f t="shared" si="19"/>
        <v>668.70849890256534</v>
      </c>
      <c r="O51" s="35">
        <f t="shared" si="1"/>
        <v>7457.5278847500831</v>
      </c>
      <c r="P51" s="21">
        <v>13407.380829782158</v>
      </c>
    </row>
    <row r="52" spans="1:16">
      <c r="A52" s="1" t="s">
        <v>73</v>
      </c>
      <c r="B52" t="s">
        <v>44</v>
      </c>
      <c r="C52" s="3">
        <f t="shared" ref="C52:N52" si="20">C23*$B$29</f>
        <v>0</v>
      </c>
      <c r="D52" s="3">
        <f t="shared" si="20"/>
        <v>0</v>
      </c>
      <c r="E52" s="3">
        <f t="shared" si="20"/>
        <v>0</v>
      </c>
      <c r="F52" s="3">
        <f t="shared" si="20"/>
        <v>0</v>
      </c>
      <c r="G52" s="3">
        <f t="shared" si="20"/>
        <v>5084.5271364</v>
      </c>
      <c r="H52" s="3">
        <f t="shared" si="20"/>
        <v>127.5462684</v>
      </c>
      <c r="I52" s="3">
        <f t="shared" si="20"/>
        <v>381.52442159999998</v>
      </c>
      <c r="J52" s="3">
        <f t="shared" si="20"/>
        <v>822.11117400000001</v>
      </c>
      <c r="K52" s="3">
        <f t="shared" si="20"/>
        <v>852.7060692</v>
      </c>
      <c r="L52" s="3">
        <f t="shared" si="20"/>
        <v>1128.7692792</v>
      </c>
      <c r="M52" s="3">
        <f t="shared" si="20"/>
        <v>1735.1965728</v>
      </c>
      <c r="N52" s="3">
        <f t="shared" si="20"/>
        <v>1645.7419620000001</v>
      </c>
      <c r="O52" s="35">
        <f t="shared" si="1"/>
        <v>11778.122883599999</v>
      </c>
      <c r="P52" s="21">
        <v>0</v>
      </c>
    </row>
    <row r="53" spans="1:16">
      <c r="A53" s="1" t="s">
        <v>74</v>
      </c>
      <c r="B53" t="s">
        <v>44</v>
      </c>
      <c r="C53" s="3">
        <f t="shared" ref="C53:N53" si="21">C24*$B$29</f>
        <v>0</v>
      </c>
      <c r="D53" s="3">
        <f t="shared" si="21"/>
        <v>0</v>
      </c>
      <c r="E53" s="3">
        <f t="shared" si="21"/>
        <v>0</v>
      </c>
      <c r="F53" s="3">
        <f t="shared" si="21"/>
        <v>0</v>
      </c>
      <c r="G53" s="3">
        <f t="shared" si="21"/>
        <v>2836.6127999999999</v>
      </c>
      <c r="H53" s="3">
        <f t="shared" si="21"/>
        <v>0</v>
      </c>
      <c r="I53" s="3">
        <f t="shared" si="21"/>
        <v>1148.9294915999999</v>
      </c>
      <c r="J53" s="3">
        <f t="shared" si="21"/>
        <v>226.929024</v>
      </c>
      <c r="K53" s="3">
        <f t="shared" si="21"/>
        <v>136.6639524</v>
      </c>
      <c r="L53" s="3">
        <f t="shared" si="21"/>
        <v>183.67067879999999</v>
      </c>
      <c r="M53" s="3">
        <f t="shared" si="21"/>
        <v>290.34758160000001</v>
      </c>
      <c r="N53" s="3">
        <f t="shared" si="21"/>
        <v>292.17111840000001</v>
      </c>
      <c r="O53" s="35">
        <f t="shared" si="1"/>
        <v>5115.3246467999998</v>
      </c>
      <c r="P53" s="21">
        <v>0</v>
      </c>
    </row>
    <row r="54" spans="1:16">
      <c r="A54" s="4" t="s">
        <v>32</v>
      </c>
      <c r="B54" t="s">
        <v>44</v>
      </c>
      <c r="C54" s="3">
        <f t="shared" ref="C54:N54" si="22">C25*$B$30</f>
        <v>224902.70315400002</v>
      </c>
      <c r="D54" s="3">
        <f t="shared" si="22"/>
        <v>288047.73023400002</v>
      </c>
      <c r="E54" s="3">
        <f t="shared" si="22"/>
        <v>224479.40623200004</v>
      </c>
      <c r="F54" s="3">
        <f t="shared" si="22"/>
        <v>223834.75220400002</v>
      </c>
      <c r="G54" s="3">
        <f t="shared" si="22"/>
        <v>281139.05845200003</v>
      </c>
      <c r="H54" s="3">
        <f t="shared" si="22"/>
        <v>216883.36238400004</v>
      </c>
      <c r="I54" s="3">
        <f t="shared" si="22"/>
        <v>218413.44483600004</v>
      </c>
      <c r="J54" s="3">
        <f t="shared" si="22"/>
        <v>292894.28581800003</v>
      </c>
      <c r="K54" s="3">
        <f t="shared" si="22"/>
        <v>220199.83551600002</v>
      </c>
      <c r="L54" s="3">
        <f t="shared" si="22"/>
        <v>224405.62053000004</v>
      </c>
      <c r="M54" s="3">
        <f t="shared" si="22"/>
        <v>284773.97514000005</v>
      </c>
      <c r="N54" s="3">
        <f t="shared" si="22"/>
        <v>230098.76995800002</v>
      </c>
      <c r="O54" s="35">
        <f t="shared" si="1"/>
        <v>2930072.9444580008</v>
      </c>
      <c r="P54" s="21">
        <v>2471843.52</v>
      </c>
    </row>
    <row r="55" spans="1:16">
      <c r="A55" s="1" t="s">
        <v>68</v>
      </c>
      <c r="B55" t="s">
        <v>44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5">
        <f t="shared" si="1"/>
        <v>0</v>
      </c>
      <c r="P55" s="21">
        <v>-1173.8</v>
      </c>
    </row>
    <row r="56" spans="1:16">
      <c r="A56" s="1" t="s">
        <v>33</v>
      </c>
      <c r="B56" t="s">
        <v>44</v>
      </c>
      <c r="C56" s="3">
        <f t="shared" ref="C56:N56" si="23">C26*$B$28</f>
        <v>32300</v>
      </c>
      <c r="D56" s="3">
        <f t="shared" si="23"/>
        <v>0</v>
      </c>
      <c r="E56" s="3">
        <f t="shared" si="23"/>
        <v>0</v>
      </c>
      <c r="F56" s="3">
        <f t="shared" si="23"/>
        <v>0</v>
      </c>
      <c r="G56" s="3">
        <f t="shared" si="23"/>
        <v>0</v>
      </c>
      <c r="H56" s="3">
        <f t="shared" si="23"/>
        <v>44200</v>
      </c>
      <c r="I56" s="3">
        <f t="shared" si="23"/>
        <v>29240</v>
      </c>
      <c r="J56" s="3">
        <f t="shared" si="23"/>
        <v>0</v>
      </c>
      <c r="K56" s="3">
        <f t="shared" si="23"/>
        <v>1360</v>
      </c>
      <c r="L56" s="3">
        <f t="shared" si="23"/>
        <v>0</v>
      </c>
      <c r="M56" s="3">
        <f t="shared" si="23"/>
        <v>0</v>
      </c>
      <c r="N56" s="3">
        <f t="shared" si="23"/>
        <v>43180</v>
      </c>
      <c r="O56" s="35">
        <f t="shared" si="1"/>
        <v>150280</v>
      </c>
      <c r="P56" s="21">
        <v>118297.66</v>
      </c>
    </row>
    <row r="57" spans="1:16">
      <c r="A57" s="28" t="s">
        <v>66</v>
      </c>
      <c r="B57" t="s">
        <v>44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5">
        <f t="shared" si="1"/>
        <v>0</v>
      </c>
      <c r="P57" s="21">
        <v>1036.97</v>
      </c>
    </row>
    <row r="58" spans="1:16">
      <c r="A58" s="26" t="s">
        <v>62</v>
      </c>
      <c r="B58" s="26" t="s">
        <v>44</v>
      </c>
      <c r="C58" s="27" t="e">
        <f>#REF!</f>
        <v>#REF!</v>
      </c>
      <c r="D58" s="27" t="e">
        <f>#REF!</f>
        <v>#REF!</v>
      </c>
      <c r="E58" s="27" t="e">
        <f>#REF!</f>
        <v>#REF!</v>
      </c>
      <c r="F58" s="27" t="e">
        <f>#REF!</f>
        <v>#REF!</v>
      </c>
      <c r="G58" s="27" t="e">
        <f>#REF!</f>
        <v>#REF!</v>
      </c>
      <c r="H58" s="27" t="e">
        <f>#REF!</f>
        <v>#REF!</v>
      </c>
      <c r="I58" s="27" t="e">
        <f>#REF!</f>
        <v>#REF!</v>
      </c>
      <c r="J58" s="27" t="e">
        <f>#REF!</f>
        <v>#REF!</v>
      </c>
      <c r="K58" s="27" t="e">
        <f>#REF!</f>
        <v>#REF!</v>
      </c>
      <c r="L58" s="27" t="e">
        <f>#REF!</f>
        <v>#REF!</v>
      </c>
      <c r="M58" s="27" t="e">
        <f>#REF!</f>
        <v>#REF!</v>
      </c>
      <c r="N58" s="27" t="e">
        <f>#REF!</f>
        <v>#REF!</v>
      </c>
      <c r="O58" s="36">
        <v>72000</v>
      </c>
      <c r="P58" s="21">
        <v>82545.679999999993</v>
      </c>
    </row>
    <row r="59" spans="1:16" ht="13.5" thickBot="1">
      <c r="B59" t="s">
        <v>38</v>
      </c>
      <c r="C59" s="14" t="e">
        <f t="shared" ref="C59:P59" si="24">SUM(C33:C58)</f>
        <v>#REF!</v>
      </c>
      <c r="D59" s="14" t="e">
        <f t="shared" si="24"/>
        <v>#REF!</v>
      </c>
      <c r="E59" s="14" t="e">
        <f t="shared" si="24"/>
        <v>#REF!</v>
      </c>
      <c r="F59" s="14" t="e">
        <f t="shared" si="24"/>
        <v>#REF!</v>
      </c>
      <c r="G59" s="14" t="e">
        <f t="shared" si="24"/>
        <v>#REF!</v>
      </c>
      <c r="H59" s="14" t="e">
        <f t="shared" si="24"/>
        <v>#REF!</v>
      </c>
      <c r="I59" s="14" t="e">
        <f t="shared" si="24"/>
        <v>#REF!</v>
      </c>
      <c r="J59" s="14" t="e">
        <f t="shared" si="24"/>
        <v>#REF!</v>
      </c>
      <c r="K59" s="14" t="e">
        <f t="shared" si="24"/>
        <v>#REF!</v>
      </c>
      <c r="L59" s="14" t="e">
        <f t="shared" si="24"/>
        <v>#REF!</v>
      </c>
      <c r="M59" s="14" t="e">
        <f t="shared" si="24"/>
        <v>#REF!</v>
      </c>
      <c r="N59" s="14" t="e">
        <f t="shared" si="24"/>
        <v>#REF!</v>
      </c>
      <c r="O59" s="37">
        <f t="shared" si="24"/>
        <v>8353966.5769229811</v>
      </c>
      <c r="P59" s="22">
        <f t="shared" si="24"/>
        <v>7892543.88554045</v>
      </c>
    </row>
    <row r="60" spans="1:16" ht="13.5" thickTop="1"/>
  </sheetData>
  <phoneticPr fontId="2" type="noConversion"/>
  <pageMargins left="0.25" right="0.25" top="0.5" bottom="0.75" header="0.5" footer="0.25"/>
  <pageSetup scale="70" orientation="landscape" r:id="rId1"/>
  <headerFooter alignWithMargins="0">
    <oddFooter>&amp;R&amp;D  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53"/>
  <sheetViews>
    <sheetView tabSelected="1" workbookViewId="0">
      <pane xSplit="1" ySplit="5" topLeftCell="AL30" activePane="bottomRight" state="frozen"/>
      <selection activeCell="B6" sqref="B6"/>
      <selection pane="topRight" activeCell="B6" sqref="B6"/>
      <selection pane="bottomLeft" activeCell="B6" sqref="B6"/>
      <selection pane="bottomRight" activeCell="A3" sqref="A3"/>
    </sheetView>
  </sheetViews>
  <sheetFormatPr defaultRowHeight="12.75"/>
  <cols>
    <col min="1" max="1" width="42.140625" style="7" customWidth="1"/>
    <col min="2" max="26" width="10.7109375" style="10" customWidth="1"/>
    <col min="27" max="27" width="10" style="10" customWidth="1"/>
    <col min="28" max="28" width="9.5703125" style="10" customWidth="1"/>
    <col min="29" max="29" width="10.42578125" style="10" customWidth="1"/>
    <col min="30" max="30" width="10.140625" style="10" customWidth="1"/>
    <col min="31" max="32" width="10" style="10" customWidth="1"/>
    <col min="33" max="33" width="10.85546875" style="10" customWidth="1"/>
    <col min="34" max="34" width="10.140625" style="10" customWidth="1"/>
    <col min="35" max="35" width="9.5703125" style="10" customWidth="1"/>
    <col min="36" max="36" width="9.42578125" style="10" customWidth="1"/>
    <col min="37" max="37" width="10.28515625" style="10" customWidth="1"/>
    <col min="38" max="38" width="11.85546875" style="11" customWidth="1"/>
    <col min="39" max="40" width="13.140625" style="7" customWidth="1"/>
    <col min="41" max="16384" width="9.140625" style="7"/>
  </cols>
  <sheetData>
    <row r="1" spans="1:50">
      <c r="A1" s="56" t="s">
        <v>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6"/>
    </row>
    <row r="2" spans="1:50">
      <c r="A2" s="5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  <row r="3" spans="1:50">
      <c r="A3" s="5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</row>
    <row r="4" spans="1:50" ht="45">
      <c r="B4" s="63"/>
      <c r="C4" s="66" t="s">
        <v>91</v>
      </c>
      <c r="D4" s="66" t="s">
        <v>91</v>
      </c>
      <c r="E4" s="66" t="s">
        <v>91</v>
      </c>
      <c r="F4" s="66" t="s">
        <v>91</v>
      </c>
      <c r="G4" s="66" t="s">
        <v>91</v>
      </c>
      <c r="H4" s="66" t="s">
        <v>91</v>
      </c>
      <c r="I4" s="66" t="s">
        <v>91</v>
      </c>
      <c r="J4" s="66" t="s">
        <v>91</v>
      </c>
      <c r="K4" s="66" t="s">
        <v>91</v>
      </c>
      <c r="L4" s="66" t="s">
        <v>91</v>
      </c>
      <c r="M4" s="66" t="s">
        <v>91</v>
      </c>
      <c r="N4" s="66" t="s">
        <v>91</v>
      </c>
      <c r="O4" s="66" t="s">
        <v>126</v>
      </c>
      <c r="P4" s="66" t="s">
        <v>126</v>
      </c>
      <c r="Q4" s="66" t="s">
        <v>126</v>
      </c>
      <c r="R4" s="66" t="s">
        <v>126</v>
      </c>
      <c r="S4" s="66" t="s">
        <v>126</v>
      </c>
      <c r="T4" s="66" t="s">
        <v>126</v>
      </c>
      <c r="U4" s="66" t="s">
        <v>126</v>
      </c>
      <c r="V4" s="66" t="s">
        <v>126</v>
      </c>
      <c r="W4" s="66" t="s">
        <v>126</v>
      </c>
      <c r="X4" s="66" t="s">
        <v>126</v>
      </c>
      <c r="Y4" s="66" t="s">
        <v>126</v>
      </c>
      <c r="Z4" s="66" t="s">
        <v>126</v>
      </c>
      <c r="AA4" s="66" t="s">
        <v>131</v>
      </c>
      <c r="AB4" s="66" t="s">
        <v>131</v>
      </c>
      <c r="AC4" s="66" t="s">
        <v>131</v>
      </c>
      <c r="AD4" s="66" t="s">
        <v>131</v>
      </c>
      <c r="AE4" s="66" t="s">
        <v>131</v>
      </c>
      <c r="AF4" s="66" t="s">
        <v>131</v>
      </c>
      <c r="AG4" s="66" t="s">
        <v>131</v>
      </c>
      <c r="AH4" s="66" t="s">
        <v>131</v>
      </c>
      <c r="AI4" s="66" t="s">
        <v>131</v>
      </c>
      <c r="AJ4" s="66" t="s">
        <v>131</v>
      </c>
      <c r="AK4" s="66" t="s">
        <v>131</v>
      </c>
      <c r="AL4" s="66" t="s">
        <v>131</v>
      </c>
      <c r="AM4" s="66" t="s">
        <v>132</v>
      </c>
      <c r="AN4" s="66" t="s">
        <v>132</v>
      </c>
      <c r="AO4" s="66" t="s">
        <v>132</v>
      </c>
      <c r="AP4" s="66" t="s">
        <v>132</v>
      </c>
      <c r="AQ4" s="66" t="s">
        <v>132</v>
      </c>
      <c r="AR4" s="66" t="s">
        <v>132</v>
      </c>
      <c r="AS4" s="66" t="s">
        <v>132</v>
      </c>
      <c r="AT4" s="66" t="s">
        <v>132</v>
      </c>
      <c r="AU4" s="66" t="s">
        <v>132</v>
      </c>
      <c r="AV4" s="66" t="s">
        <v>132</v>
      </c>
      <c r="AW4" s="66" t="s">
        <v>132</v>
      </c>
      <c r="AX4" s="66" t="s">
        <v>132</v>
      </c>
    </row>
    <row r="5" spans="1:50" ht="15">
      <c r="A5" s="4"/>
      <c r="C5" s="66" t="s">
        <v>0</v>
      </c>
      <c r="D5" s="66" t="s">
        <v>1</v>
      </c>
      <c r="E5" s="66" t="s">
        <v>2</v>
      </c>
      <c r="F5" s="66" t="s">
        <v>3</v>
      </c>
      <c r="G5" s="66" t="s">
        <v>4</v>
      </c>
      <c r="H5" s="66" t="s">
        <v>5</v>
      </c>
      <c r="I5" s="66" t="s">
        <v>6</v>
      </c>
      <c r="J5" s="66" t="s">
        <v>7</v>
      </c>
      <c r="K5" s="66" t="s">
        <v>8</v>
      </c>
      <c r="L5" s="66" t="s">
        <v>9</v>
      </c>
      <c r="M5" s="66" t="s">
        <v>10</v>
      </c>
      <c r="N5" s="66" t="s">
        <v>11</v>
      </c>
      <c r="O5" s="66" t="s">
        <v>0</v>
      </c>
      <c r="P5" s="66" t="s">
        <v>1</v>
      </c>
      <c r="Q5" s="66" t="s">
        <v>2</v>
      </c>
      <c r="R5" s="66" t="s">
        <v>3</v>
      </c>
      <c r="S5" s="66" t="s">
        <v>4</v>
      </c>
      <c r="T5" s="66" t="s">
        <v>5</v>
      </c>
      <c r="U5" s="66" t="s">
        <v>6</v>
      </c>
      <c r="V5" s="66" t="s">
        <v>7</v>
      </c>
      <c r="W5" s="66" t="s">
        <v>8</v>
      </c>
      <c r="X5" s="66" t="s">
        <v>9</v>
      </c>
      <c r="Y5" s="66" t="s">
        <v>10</v>
      </c>
      <c r="Z5" s="66" t="s">
        <v>11</v>
      </c>
      <c r="AA5" s="5" t="s">
        <v>0</v>
      </c>
      <c r="AB5" s="5" t="s">
        <v>1</v>
      </c>
      <c r="AC5" s="5" t="s">
        <v>2</v>
      </c>
      <c r="AD5" s="5" t="s">
        <v>3</v>
      </c>
      <c r="AE5" s="5" t="s">
        <v>4</v>
      </c>
      <c r="AF5" s="5" t="s">
        <v>5</v>
      </c>
      <c r="AG5" s="5" t="s">
        <v>6</v>
      </c>
      <c r="AH5" s="5" t="s">
        <v>7</v>
      </c>
      <c r="AI5" s="5" t="s">
        <v>8</v>
      </c>
      <c r="AJ5" s="5" t="s">
        <v>9</v>
      </c>
      <c r="AK5" s="5" t="s">
        <v>10</v>
      </c>
      <c r="AL5" s="5" t="s">
        <v>11</v>
      </c>
      <c r="AM5" s="5" t="s">
        <v>0</v>
      </c>
      <c r="AN5" s="5" t="s">
        <v>1</v>
      </c>
      <c r="AO5" s="5" t="s">
        <v>2</v>
      </c>
      <c r="AP5" s="5" t="s">
        <v>3</v>
      </c>
      <c r="AQ5" s="5" t="s">
        <v>4</v>
      </c>
      <c r="AR5" s="5" t="s">
        <v>5</v>
      </c>
      <c r="AS5" s="5" t="s">
        <v>6</v>
      </c>
      <c r="AT5" s="5" t="s">
        <v>7</v>
      </c>
      <c r="AU5" s="5" t="s">
        <v>8</v>
      </c>
      <c r="AV5" s="5" t="s">
        <v>9</v>
      </c>
      <c r="AW5" s="5" t="s">
        <v>10</v>
      </c>
      <c r="AX5" s="5" t="s">
        <v>11</v>
      </c>
    </row>
    <row r="6" spans="1:50">
      <c r="A6" s="4" t="str">
        <f>'Pharm Demand'!A36</f>
        <v>157001150211 Frt Exp-Hydrocodone Products</v>
      </c>
      <c r="B6" s="61" t="s">
        <v>14</v>
      </c>
      <c r="C6" s="9">
        <f>'Pharm Demand'!C36</f>
        <v>111229.74134999994</v>
      </c>
      <c r="D6" s="9">
        <f>'Pharm Demand'!D36</f>
        <v>162406.08008999997</v>
      </c>
      <c r="E6" s="9">
        <f>'Pharm Demand'!E36</f>
        <v>103440.15009</v>
      </c>
      <c r="F6" s="9">
        <f>'Pharm Demand'!F36</f>
        <v>94655.51999999999</v>
      </c>
      <c r="G6" s="9">
        <f>'Pharm Demand'!G36</f>
        <v>128352.06017999999</v>
      </c>
      <c r="H6" s="9">
        <f>'Pharm Demand'!H36</f>
        <v>118617.39008999999</v>
      </c>
      <c r="I6" s="9">
        <f>'Pharm Demand'!I36</f>
        <v>127605.23999999999</v>
      </c>
      <c r="J6" s="9">
        <f>'Pharm Demand'!J36</f>
        <v>159791.61126740646</v>
      </c>
      <c r="K6" s="9">
        <f>'Pharm Demand'!K36</f>
        <v>124055.95557092124</v>
      </c>
      <c r="L6" s="9">
        <f>'Pharm Demand'!L36</f>
        <v>126360.28095553665</v>
      </c>
      <c r="M6" s="9">
        <f>'Pharm Demand'!M36</f>
        <v>166232.2154981757</v>
      </c>
      <c r="N6" s="9">
        <f>'Pharm Demand'!N36</f>
        <v>151365.16502592273</v>
      </c>
      <c r="O6" s="9">
        <f>'Pharm Demand'!O36</f>
        <v>162548.64088751044</v>
      </c>
      <c r="P6" s="9">
        <f>'Pharm Demand'!P36</f>
        <v>203185.80110938821</v>
      </c>
      <c r="Q6" s="9">
        <f>'Pharm Demand'!Q36</f>
        <v>162548.64088751044</v>
      </c>
      <c r="R6" s="9">
        <f>'Pharm Demand'!R36</f>
        <v>162548.64088751044</v>
      </c>
      <c r="S6" s="9">
        <f>'Pharm Demand'!S36</f>
        <v>203185.80110938821</v>
      </c>
      <c r="T6" s="9">
        <f>'Pharm Demand'!T36</f>
        <v>162548.64088751044</v>
      </c>
      <c r="U6" s="9">
        <f>'Pharm Demand'!U36</f>
        <v>162548.64088751044</v>
      </c>
      <c r="V6" s="9">
        <f>'Pharm Demand'!V36</f>
        <v>203185.80110938821</v>
      </c>
      <c r="W6" s="9">
        <f>'Pharm Demand'!W36</f>
        <v>162548.64088751044</v>
      </c>
      <c r="X6" s="9">
        <f>'Pharm Demand'!X36</f>
        <v>162548.64088751044</v>
      </c>
      <c r="Y6" s="9">
        <f>'Pharm Demand'!Y36</f>
        <v>203185.80110938821</v>
      </c>
      <c r="Z6" s="9">
        <f>'Pharm Demand'!Z36</f>
        <v>162548.64088751044</v>
      </c>
      <c r="AA6" s="9">
        <f>'Pharm Demand'!AA36</f>
        <v>195731.40041648591</v>
      </c>
      <c r="AB6" s="9">
        <f>'Pharm Demand'!AB36</f>
        <v>244664.25052060734</v>
      </c>
      <c r="AC6" s="9">
        <f>'Pharm Demand'!AC36</f>
        <v>195731.40041648591</v>
      </c>
      <c r="AD6" s="9">
        <f>'Pharm Demand'!AD36</f>
        <v>195731.40041648591</v>
      </c>
      <c r="AE6" s="9">
        <f>'Pharm Demand'!AE36</f>
        <v>244664.25052060734</v>
      </c>
      <c r="AF6" s="9">
        <f>'Pharm Demand'!AF36</f>
        <v>195731.40041648591</v>
      </c>
      <c r="AG6" s="9">
        <f>'Pharm Demand'!AG36</f>
        <v>195731.40041648591</v>
      </c>
      <c r="AH6" s="9">
        <f>'Pharm Demand'!AH36</f>
        <v>244664.25052060734</v>
      </c>
      <c r="AI6" s="9">
        <f>'Pharm Demand'!AI36</f>
        <v>195731.40041648591</v>
      </c>
      <c r="AJ6" s="9">
        <f>'Pharm Demand'!AJ36</f>
        <v>195731.40041648591</v>
      </c>
      <c r="AK6" s="9">
        <f>'Pharm Demand'!AK36</f>
        <v>244664.25052060734</v>
      </c>
      <c r="AL6" s="9">
        <f>'Pharm Demand'!AL36</f>
        <v>195731.40041648591</v>
      </c>
      <c r="AM6" s="9">
        <f>'Pharm Demand'!AM36</f>
        <v>234604.09414866628</v>
      </c>
      <c r="AN6" s="9">
        <f>'Pharm Demand'!AN36</f>
        <v>293255.11768583278</v>
      </c>
      <c r="AO6" s="9">
        <f>'Pharm Demand'!AO36</f>
        <v>234604.09414866628</v>
      </c>
      <c r="AP6" s="9">
        <f>'Pharm Demand'!AP36</f>
        <v>234604.09414866628</v>
      </c>
      <c r="AQ6" s="9">
        <f>'Pharm Demand'!AQ36</f>
        <v>293255.11768583278</v>
      </c>
      <c r="AR6" s="9">
        <f>'Pharm Demand'!AR36</f>
        <v>234645.15424297398</v>
      </c>
      <c r="AS6" s="9">
        <f>'Pharm Demand'!AS36</f>
        <v>234604.09414866628</v>
      </c>
      <c r="AT6" s="9">
        <f>'Pharm Demand'!AT36</f>
        <v>234604.09414866628</v>
      </c>
      <c r="AU6" s="9">
        <f>'Pharm Demand'!AU36</f>
        <v>0</v>
      </c>
      <c r="AV6" s="9">
        <f>'Pharm Demand'!AV36</f>
        <v>0</v>
      </c>
      <c r="AW6" s="9">
        <f>'Pharm Demand'!AW36</f>
        <v>0</v>
      </c>
      <c r="AX6" s="9">
        <f>'Pharm Demand'!AX36</f>
        <v>0</v>
      </c>
    </row>
    <row r="7" spans="1:50">
      <c r="A7" s="4" t="str">
        <f>'Pharm Demand'!A37</f>
        <v>157001150210 Frt Exp-Oxycodone Products</v>
      </c>
      <c r="B7" s="61" t="s">
        <v>14</v>
      </c>
      <c r="C7" s="9">
        <f>'Pharm Demand'!C37</f>
        <v>64280.520540000012</v>
      </c>
      <c r="D7" s="9">
        <f>'Pharm Demand'!D37</f>
        <v>80687.88036000001</v>
      </c>
      <c r="E7" s="9">
        <f>'Pharm Demand'!E37</f>
        <v>73931.40036</v>
      </c>
      <c r="F7" s="9">
        <f>'Pharm Demand'!F37</f>
        <v>54200.88</v>
      </c>
      <c r="G7" s="9">
        <f>'Pharm Demand'!G37</f>
        <v>61557.840360000002</v>
      </c>
      <c r="H7" s="9">
        <f>'Pharm Demand'!H37</f>
        <v>65442.600360000004</v>
      </c>
      <c r="I7" s="9">
        <f>'Pharm Demand'!I37</f>
        <v>33084.720359999992</v>
      </c>
      <c r="J7" s="9">
        <f>'Pharm Demand'!J37</f>
        <v>58372.859433481397</v>
      </c>
      <c r="K7" s="9">
        <f>'Pharm Demand'!K37</f>
        <v>59446.901529779017</v>
      </c>
      <c r="L7" s="9">
        <f>'Pharm Demand'!L37</f>
        <v>57139.258460581019</v>
      </c>
      <c r="M7" s="9">
        <f>'Pharm Demand'!M37</f>
        <v>38769.382617565287</v>
      </c>
      <c r="N7" s="9">
        <f>'Pharm Demand'!N37</f>
        <v>79718.22</v>
      </c>
      <c r="O7" s="9">
        <f>'Pharm Demand'!O37</f>
        <v>100885.48376923078</v>
      </c>
      <c r="P7" s="9">
        <f>'Pharm Demand'!P37</f>
        <v>114159.96053846154</v>
      </c>
      <c r="Q7" s="9">
        <f>'Pharm Demand'!Q37</f>
        <v>100885.48376923078</v>
      </c>
      <c r="R7" s="9">
        <f>'Pharm Demand'!R37</f>
        <v>100885.48376923078</v>
      </c>
      <c r="S7" s="9">
        <f>'Pharm Demand'!S37</f>
        <v>126106.85471153847</v>
      </c>
      <c r="T7" s="9">
        <f>'Pharm Demand'!T37</f>
        <v>100885.48376923078</v>
      </c>
      <c r="U7" s="9">
        <f>'Pharm Demand'!U37</f>
        <v>100885.48376923078</v>
      </c>
      <c r="V7" s="9">
        <f>'Pharm Demand'!V37</f>
        <v>126106.85471153847</v>
      </c>
      <c r="W7" s="9">
        <f>'Pharm Demand'!W37</f>
        <v>100885.48376923078</v>
      </c>
      <c r="X7" s="9">
        <f>'Pharm Demand'!X37</f>
        <v>100885.48376923078</v>
      </c>
      <c r="Y7" s="9">
        <f>'Pharm Demand'!Y37</f>
        <v>126106.85471153847</v>
      </c>
      <c r="Z7" s="9">
        <f>'Pharm Demand'!Z37</f>
        <v>100885.48376923078</v>
      </c>
      <c r="AA7" s="9">
        <f>'Pharm Demand'!AA37</f>
        <v>120811.17068476924</v>
      </c>
      <c r="AB7" s="9">
        <f>'Pharm Demand'!AB37</f>
        <v>151013.96335596152</v>
      </c>
      <c r="AC7" s="9">
        <f>'Pharm Demand'!AC37</f>
        <v>120811.17068476924</v>
      </c>
      <c r="AD7" s="9">
        <f>'Pharm Demand'!AD37</f>
        <v>120811.17068476924</v>
      </c>
      <c r="AE7" s="9">
        <f>'Pharm Demand'!AE37</f>
        <v>151013.96335596152</v>
      </c>
      <c r="AF7" s="9">
        <f>'Pharm Demand'!AF37</f>
        <v>120811.17068476924</v>
      </c>
      <c r="AG7" s="9">
        <f>'Pharm Demand'!AG37</f>
        <v>120811.17068476924</v>
      </c>
      <c r="AH7" s="9">
        <f>'Pharm Demand'!AH37</f>
        <v>151013.96335596152</v>
      </c>
      <c r="AI7" s="9">
        <f>'Pharm Demand'!AI37</f>
        <v>120811.17068476924</v>
      </c>
      <c r="AJ7" s="9">
        <f>'Pharm Demand'!AJ37</f>
        <v>120811.17068476924</v>
      </c>
      <c r="AK7" s="9">
        <f>'Pharm Demand'!AK37</f>
        <v>151013.96335596152</v>
      </c>
      <c r="AL7" s="9">
        <f>'Pharm Demand'!AL37</f>
        <v>120811.17068476924</v>
      </c>
      <c r="AM7" s="9">
        <f>'Pharm Demand'!AM37</f>
        <v>139226.66186484759</v>
      </c>
      <c r="AN7" s="9">
        <f>'Pharm Demand'!AN37</f>
        <v>157479.58289869924</v>
      </c>
      <c r="AO7" s="9">
        <f>'Pharm Demand'!AO37</f>
        <v>139226.66186484759</v>
      </c>
      <c r="AP7" s="9">
        <f>'Pharm Demand'!AP37</f>
        <v>152631.74156096598</v>
      </c>
      <c r="AQ7" s="9">
        <f>'Pharm Demand'!AQ37</f>
        <v>174033.32733105953</v>
      </c>
      <c r="AR7" s="9">
        <f>'Pharm Demand'!AR37</f>
        <v>152631.74156096598</v>
      </c>
      <c r="AS7" s="9">
        <f>'Pharm Demand'!AS37</f>
        <v>139226.66186484759</v>
      </c>
      <c r="AT7" s="9">
        <f>'Pharm Demand'!AT37</f>
        <v>174033.32733105953</v>
      </c>
      <c r="AU7" s="9">
        <f>'Pharm Demand'!AU37</f>
        <v>0</v>
      </c>
      <c r="AV7" s="9">
        <f>'Pharm Demand'!AV37</f>
        <v>0</v>
      </c>
      <c r="AW7" s="9">
        <f>'Pharm Demand'!AW37</f>
        <v>0</v>
      </c>
      <c r="AX7" s="9">
        <f>'Pharm Demand'!AX37</f>
        <v>0</v>
      </c>
    </row>
    <row r="8" spans="1:50">
      <c r="A8" s="4" t="str">
        <f>'Pharm Demand'!A38</f>
        <v>157001150244 Oxycodone APAP-Frt Exp</v>
      </c>
      <c r="B8" s="61" t="s">
        <v>14</v>
      </c>
      <c r="C8" s="9">
        <f>'Pharm Demand'!C38</f>
        <v>69212.340630000021</v>
      </c>
      <c r="D8" s="9">
        <f>'Pharm Demand'!D38</f>
        <v>68897.520090000005</v>
      </c>
      <c r="E8" s="9">
        <f>'Pharm Demand'!E38</f>
        <v>88675.560270000016</v>
      </c>
      <c r="F8" s="9">
        <f>'Pharm Demand'!F38</f>
        <v>34989.299999999996</v>
      </c>
      <c r="G8" s="9">
        <f>'Pharm Demand'!G38</f>
        <v>79036.020180000007</v>
      </c>
      <c r="H8" s="9">
        <f>'Pharm Demand'!H38</f>
        <v>84439.800180000006</v>
      </c>
      <c r="I8" s="9">
        <f>'Pharm Demand'!I38</f>
        <v>64395.540269999998</v>
      </c>
      <c r="J8" s="9">
        <f>'Pharm Demand'!J38</f>
        <v>93393.62999999999</v>
      </c>
      <c r="K8" s="9">
        <f>'Pharm Demand'!K38</f>
        <v>71651.61</v>
      </c>
      <c r="L8" s="9">
        <f>'Pharm Demand'!L38</f>
        <v>72364.59</v>
      </c>
      <c r="M8" s="9">
        <f>'Pharm Demand'!M38</f>
        <v>96044.67</v>
      </c>
      <c r="N8" s="9">
        <f>'Pharm Demand'!N38</f>
        <v>87837.03</v>
      </c>
      <c r="O8" s="9">
        <f>'Pharm Demand'!O38</f>
        <v>95453.63286723521</v>
      </c>
      <c r="P8" s="9">
        <f>'Pharm Demand'!P38</f>
        <v>119317.04108404397</v>
      </c>
      <c r="Q8" s="9">
        <f>'Pharm Demand'!Q38</f>
        <v>95453.63286723521</v>
      </c>
      <c r="R8" s="9">
        <f>'Pharm Demand'!R38</f>
        <v>95453.63286723521</v>
      </c>
      <c r="S8" s="9">
        <f>'Pharm Demand'!S38</f>
        <v>119317.04108404397</v>
      </c>
      <c r="T8" s="9">
        <f>'Pharm Demand'!T38</f>
        <v>95453.63286723521</v>
      </c>
      <c r="U8" s="9">
        <f>'Pharm Demand'!U38</f>
        <v>95453.63286723521</v>
      </c>
      <c r="V8" s="9">
        <f>'Pharm Demand'!V38</f>
        <v>119317.04108404397</v>
      </c>
      <c r="W8" s="9">
        <f>'Pharm Demand'!W38</f>
        <v>95453.63286723521</v>
      </c>
      <c r="X8" s="9">
        <f>'Pharm Demand'!X38</f>
        <v>95453.63286723521</v>
      </c>
      <c r="Y8" s="9">
        <f>'Pharm Demand'!Y38</f>
        <v>119317.04108404397</v>
      </c>
      <c r="Z8" s="9">
        <f>'Pharm Demand'!Z38</f>
        <v>95453.63286723521</v>
      </c>
      <c r="AA8" s="9">
        <f>'Pharm Demand'!AA38</f>
        <v>104150.53973576376</v>
      </c>
      <c r="AB8" s="9">
        <f>'Pharm Demand'!AB38</f>
        <v>130188.17466970468</v>
      </c>
      <c r="AC8" s="9">
        <f>'Pharm Demand'!AC38</f>
        <v>104150.53973576376</v>
      </c>
      <c r="AD8" s="9">
        <f>'Pharm Demand'!AD38</f>
        <v>104150.53973576376</v>
      </c>
      <c r="AE8" s="9">
        <f>'Pharm Demand'!AE38</f>
        <v>130188.17466970468</v>
      </c>
      <c r="AF8" s="9">
        <f>'Pharm Demand'!AF38</f>
        <v>104150.53973576376</v>
      </c>
      <c r="AG8" s="9">
        <f>'Pharm Demand'!AG38</f>
        <v>104150.53973576376</v>
      </c>
      <c r="AH8" s="9">
        <f>'Pharm Demand'!AH38</f>
        <v>130188.17466970468</v>
      </c>
      <c r="AI8" s="9">
        <f>'Pharm Demand'!AI38</f>
        <v>104150.53973576376</v>
      </c>
      <c r="AJ8" s="9">
        <f>'Pharm Demand'!AJ38</f>
        <v>104150.53973576376</v>
      </c>
      <c r="AK8" s="9">
        <f>'Pharm Demand'!AK38</f>
        <v>130188.17466970468</v>
      </c>
      <c r="AL8" s="9">
        <f>'Pharm Demand'!AL38</f>
        <v>104150.53973576376</v>
      </c>
      <c r="AM8" s="9">
        <f>'Pharm Demand'!AM38</f>
        <v>113474.702384048</v>
      </c>
      <c r="AN8" s="9">
        <f>'Pharm Demand'!AN38</f>
        <v>141843.37798006015</v>
      </c>
      <c r="AO8" s="9">
        <f>'Pharm Demand'!AO38</f>
        <v>113474.702384048</v>
      </c>
      <c r="AP8" s="9">
        <f>'Pharm Demand'!AP38</f>
        <v>113474.702384048</v>
      </c>
      <c r="AQ8" s="9">
        <f>'Pharm Demand'!AQ38</f>
        <v>141843.37798006015</v>
      </c>
      <c r="AR8" s="9">
        <f>'Pharm Demand'!AR38</f>
        <v>113474.702384048</v>
      </c>
      <c r="AS8" s="9">
        <f>'Pharm Demand'!AS38</f>
        <v>113474.702384048</v>
      </c>
      <c r="AT8" s="9">
        <f>'Pharm Demand'!AT38</f>
        <v>113540.987416048</v>
      </c>
      <c r="AU8" s="9">
        <f>'Pharm Demand'!AU38</f>
        <v>0</v>
      </c>
      <c r="AV8" s="9">
        <f>'Pharm Demand'!AV38</f>
        <v>0</v>
      </c>
      <c r="AW8" s="9">
        <f>'Pharm Demand'!AW38</f>
        <v>0</v>
      </c>
      <c r="AX8" s="9">
        <f>'Pharm Demand'!AX38</f>
        <v>0</v>
      </c>
    </row>
    <row r="9" spans="1:50">
      <c r="A9" s="4" t="str">
        <f>'Pharm Demand'!A39</f>
        <v>157001150222 Frt Exp-ADHD</v>
      </c>
      <c r="B9" s="61" t="s">
        <v>14</v>
      </c>
      <c r="C9" s="9">
        <f>'Pharm Demand'!C39</f>
        <v>14322.420629999999</v>
      </c>
      <c r="D9" s="9">
        <f>'Pharm Demand'!D39</f>
        <v>17440.920450000001</v>
      </c>
      <c r="E9" s="9">
        <f>'Pharm Demand'!E39</f>
        <v>21785.220450000001</v>
      </c>
      <c r="F9" s="9">
        <f>'Pharm Demand'!F39</f>
        <v>3392.8199999999997</v>
      </c>
      <c r="G9" s="9">
        <f>'Pharm Demand'!G39</f>
        <v>6840.1805400000003</v>
      </c>
      <c r="H9" s="9">
        <f>'Pharm Demand'!H39</f>
        <v>7703.6406300000008</v>
      </c>
      <c r="I9" s="9">
        <f>'Pharm Demand'!I39</f>
        <v>9657.9006300000001</v>
      </c>
      <c r="J9" s="9">
        <f>'Pharm Demand'!J39</f>
        <v>13166.64</v>
      </c>
      <c r="K9" s="9">
        <f>'Pharm Demand'!K39</f>
        <v>10712.34</v>
      </c>
      <c r="L9" s="9">
        <f>'Pharm Demand'!L39</f>
        <v>10771.435384615383</v>
      </c>
      <c r="M9" s="9">
        <f>'Pharm Demand'!M39</f>
        <v>15904.036730769232</v>
      </c>
      <c r="N9" s="9">
        <f>'Pharm Demand'!N39</f>
        <v>16354.891730769232</v>
      </c>
      <c r="O9" s="9">
        <f>'Pharm Demand'!O39</f>
        <v>22656.107692307691</v>
      </c>
      <c r="P9" s="9">
        <f>'Pharm Demand'!P39</f>
        <v>23487.244684773799</v>
      </c>
      <c r="Q9" s="9">
        <f>'Pharm Demand'!Q39</f>
        <v>18461.753747819039</v>
      </c>
      <c r="R9" s="9">
        <f>'Pharm Demand'!R39</f>
        <v>19363.423747819037</v>
      </c>
      <c r="S9" s="9">
        <f>'Pharm Demand'!S39</f>
        <v>24779.414684773797</v>
      </c>
      <c r="T9" s="9">
        <f>'Pharm Demand'!T39</f>
        <v>19062.463747819038</v>
      </c>
      <c r="U9" s="9">
        <f>'Pharm Demand'!U39</f>
        <v>20101.303747819038</v>
      </c>
      <c r="V9" s="9">
        <f>'Pharm Demand'!V39</f>
        <v>24789.094684773798</v>
      </c>
      <c r="W9" s="9">
        <f>'Pharm Demand'!W39</f>
        <v>18467.143747819038</v>
      </c>
      <c r="X9" s="9">
        <f>'Pharm Demand'!X39</f>
        <v>19516.873747819038</v>
      </c>
      <c r="Y9" s="9">
        <f>'Pharm Demand'!Y39</f>
        <v>23744.534684773796</v>
      </c>
      <c r="Z9" s="9">
        <f>'Pharm Demand'!Z39</f>
        <v>19482.553747819038</v>
      </c>
      <c r="AA9" s="9">
        <f>'Pharm Demand'!AA39</f>
        <v>20725.04534855171</v>
      </c>
      <c r="AB9" s="9">
        <f>'Pharm Demand'!AB39</f>
        <v>23083.805410689645</v>
      </c>
      <c r="AC9" s="9">
        <f>'Pharm Demand'!AC39</f>
        <v>20078.102348551711</v>
      </c>
      <c r="AD9" s="9">
        <f>'Pharm Demand'!AD39</f>
        <v>19940.782748551712</v>
      </c>
      <c r="AE9" s="9">
        <f>'Pharm Demand'!AE39</f>
        <v>25505.366310689642</v>
      </c>
      <c r="AF9" s="9">
        <f>'Pharm Demand'!AF39</f>
        <v>19593.518248551711</v>
      </c>
      <c r="AG9" s="9">
        <f>'Pharm Demand'!AG39</f>
        <v>20705.671048551714</v>
      </c>
      <c r="AH9" s="9">
        <f>'Pharm Demand'!AH39</f>
        <v>24388.568210689642</v>
      </c>
      <c r="AI9" s="9">
        <f>'Pharm Demand'!AI39</f>
        <v>20086.259948551709</v>
      </c>
      <c r="AJ9" s="9">
        <f>'Pharm Demand'!AJ39</f>
        <v>19907.132648551709</v>
      </c>
      <c r="AK9" s="9">
        <f>'Pharm Demand'!AK39</f>
        <v>24279.460310689647</v>
      </c>
      <c r="AL9" s="9">
        <f>'Pharm Demand'!AL39</f>
        <v>19900.78784855171</v>
      </c>
      <c r="AM9" s="9">
        <f>'Pharm Demand'!AM39</f>
        <v>21034.507135316901</v>
      </c>
      <c r="AN9" s="9">
        <f>'Pharm Demand'!AN39</f>
        <v>22178.735625646124</v>
      </c>
      <c r="AO9" s="9">
        <f>'Pharm Demand'!AO39</f>
        <v>21421.364320316898</v>
      </c>
      <c r="AP9" s="9">
        <f>'Pharm Demand'!AP39</f>
        <v>17857.493559316892</v>
      </c>
      <c r="AQ9" s="9">
        <f>'Pharm Demand'!AQ39</f>
        <v>18617.315543646124</v>
      </c>
      <c r="AR9" s="9">
        <f>'Pharm Demand'!AR39</f>
        <v>18000.963758759204</v>
      </c>
      <c r="AS9" s="9">
        <f>'Pharm Demand'!AS39</f>
        <v>22770.700493337885</v>
      </c>
      <c r="AT9" s="9">
        <f>'Pharm Demand'!AT39</f>
        <v>22770.700493337885</v>
      </c>
      <c r="AU9" s="9">
        <f>'Pharm Demand'!AU39</f>
        <v>0</v>
      </c>
      <c r="AV9" s="9">
        <f>'Pharm Demand'!AV39</f>
        <v>0</v>
      </c>
      <c r="AW9" s="9">
        <f>'Pharm Demand'!AW39</f>
        <v>0</v>
      </c>
      <c r="AX9" s="9">
        <f>'Pharm Demand'!AX39</f>
        <v>0</v>
      </c>
    </row>
    <row r="10" spans="1:50">
      <c r="A10" s="4" t="str">
        <f>'Pharm Demand'!A40</f>
        <v>157001150229 Morphine ER-Frt Exp</v>
      </c>
      <c r="B10" s="61" t="s">
        <v>14</v>
      </c>
      <c r="C10" s="9">
        <f>'Pharm Demand'!C40</f>
        <v>15345.720179999997</v>
      </c>
      <c r="D10" s="9">
        <f>'Pharm Demand'!D40</f>
        <v>20799.719999999998</v>
      </c>
      <c r="E10" s="9">
        <f>'Pharm Demand'!E40</f>
        <v>16576.919999999998</v>
      </c>
      <c r="F10" s="9">
        <f>'Pharm Demand'!F40</f>
        <v>7950.96</v>
      </c>
      <c r="G10" s="9">
        <f>'Pharm Demand'!G40</f>
        <v>19149.48</v>
      </c>
      <c r="H10" s="9">
        <f>'Pharm Demand'!H40</f>
        <v>13206.6</v>
      </c>
      <c r="I10" s="9">
        <f>'Pharm Demand'!I40</f>
        <v>16005.600179999998</v>
      </c>
      <c r="J10" s="9">
        <f>'Pharm Demand'!J40</f>
        <v>21976.748192726773</v>
      </c>
      <c r="K10" s="9">
        <f>'Pharm Demand'!K40</f>
        <v>17581.398554181418</v>
      </c>
      <c r="L10" s="9">
        <f>'Pharm Demand'!L40</f>
        <v>17581.398554181418</v>
      </c>
      <c r="M10" s="9">
        <f>'Pharm Demand'!M40</f>
        <v>21976.748192726773</v>
      </c>
      <c r="N10" s="9">
        <f>'Pharm Demand'!N40</f>
        <v>17620.472400335264</v>
      </c>
      <c r="O10" s="9">
        <f>'Pharm Demand'!O40</f>
        <v>22845.111496047499</v>
      </c>
      <c r="P10" s="9">
        <f>'Pharm Demand'!P40</f>
        <v>28556.38937005938</v>
      </c>
      <c r="Q10" s="9">
        <f>'Pharm Demand'!Q40</f>
        <v>22845.111496047499</v>
      </c>
      <c r="R10" s="9">
        <f>'Pharm Demand'!R40</f>
        <v>22845.111496047499</v>
      </c>
      <c r="S10" s="9">
        <f>'Pharm Demand'!S40</f>
        <v>28556.38937005938</v>
      </c>
      <c r="T10" s="9">
        <f>'Pharm Demand'!T40</f>
        <v>22845.111496047499</v>
      </c>
      <c r="U10" s="9">
        <f>'Pharm Demand'!U40</f>
        <v>22845.111496047499</v>
      </c>
      <c r="V10" s="9">
        <f>'Pharm Demand'!V40</f>
        <v>28556.38937005938</v>
      </c>
      <c r="W10" s="9">
        <f>'Pharm Demand'!W40</f>
        <v>22845.111496047499</v>
      </c>
      <c r="X10" s="9">
        <f>'Pharm Demand'!X40</f>
        <v>22845.111496047499</v>
      </c>
      <c r="Y10" s="9">
        <f>'Pharm Demand'!Y40</f>
        <v>28556.38937005938</v>
      </c>
      <c r="Z10" s="9">
        <f>'Pharm Demand'!Z40</f>
        <v>22845.111496047499</v>
      </c>
      <c r="AA10" s="9">
        <f>'Pharm Demand'!AA40</f>
        <v>24197.005225764246</v>
      </c>
      <c r="AB10" s="9">
        <f>'Pharm Demand'!AB40</f>
        <v>30246.256532205323</v>
      </c>
      <c r="AC10" s="9">
        <f>'Pharm Demand'!AC40</f>
        <v>24197.005225764246</v>
      </c>
      <c r="AD10" s="9">
        <f>'Pharm Demand'!AD40</f>
        <v>24197.005225764246</v>
      </c>
      <c r="AE10" s="9">
        <f>'Pharm Demand'!AE40</f>
        <v>30246.256532205323</v>
      </c>
      <c r="AF10" s="9">
        <f>'Pharm Demand'!AF40</f>
        <v>24197.005225764246</v>
      </c>
      <c r="AG10" s="9">
        <f>'Pharm Demand'!AG40</f>
        <v>24197.005225764246</v>
      </c>
      <c r="AH10" s="9">
        <f>'Pharm Demand'!AH40</f>
        <v>30246.256532205323</v>
      </c>
      <c r="AI10" s="9">
        <f>'Pharm Demand'!AI40</f>
        <v>24197.005225764246</v>
      </c>
      <c r="AJ10" s="9">
        <f>'Pharm Demand'!AJ40</f>
        <v>24197.005225764246</v>
      </c>
      <c r="AK10" s="9">
        <f>'Pharm Demand'!AK40</f>
        <v>30246.256532205323</v>
      </c>
      <c r="AL10" s="9">
        <f>'Pharm Demand'!AL40</f>
        <v>24197.005225764246</v>
      </c>
      <c r="AM10" s="9">
        <f>'Pharm Demand'!AM40</f>
        <v>25597.936252374584</v>
      </c>
      <c r="AN10" s="9">
        <f>'Pharm Demand'!AN40</f>
        <v>31997.420315468185</v>
      </c>
      <c r="AO10" s="9">
        <f>'Pharm Demand'!AO40</f>
        <v>25597.936252374584</v>
      </c>
      <c r="AP10" s="9">
        <f>'Pharm Demand'!AP40</f>
        <v>25597.936252374584</v>
      </c>
      <c r="AQ10" s="9">
        <f>'Pharm Demand'!AQ40</f>
        <v>31997.420315468185</v>
      </c>
      <c r="AR10" s="9">
        <f>'Pharm Demand'!AR40</f>
        <v>25648.601572066887</v>
      </c>
      <c r="AS10" s="9">
        <f>'Pharm Demand'!AS40</f>
        <v>25597.936252374584</v>
      </c>
      <c r="AT10" s="9">
        <f>'Pharm Demand'!AT40</f>
        <v>25597.936252374584</v>
      </c>
      <c r="AU10" s="9">
        <f>'Pharm Demand'!AU40</f>
        <v>0</v>
      </c>
      <c r="AV10" s="9">
        <f>'Pharm Demand'!AV40</f>
        <v>0</v>
      </c>
      <c r="AW10" s="9">
        <f>'Pharm Demand'!AW40</f>
        <v>0</v>
      </c>
      <c r="AX10" s="9">
        <f>'Pharm Demand'!AX40</f>
        <v>0</v>
      </c>
    </row>
    <row r="11" spans="1:50">
      <c r="A11" s="4" t="str">
        <f>'Pharm Demand'!A41</f>
        <v>157001150230 Hydromorphone-Frt Exp</v>
      </c>
      <c r="B11" s="61" t="s">
        <v>14</v>
      </c>
      <c r="C11" s="9">
        <f>'Pharm Demand'!C41</f>
        <v>13430.880179999998</v>
      </c>
      <c r="D11" s="9">
        <f>'Pharm Demand'!D41</f>
        <v>19298.52</v>
      </c>
      <c r="E11" s="9">
        <f>'Pharm Demand'!E41</f>
        <v>14958</v>
      </c>
      <c r="F11" s="9">
        <f>'Pharm Demand'!F41</f>
        <v>11088.359999999999</v>
      </c>
      <c r="G11" s="9">
        <f>'Pharm Demand'!G41</f>
        <v>18350.28</v>
      </c>
      <c r="H11" s="9">
        <f>'Pharm Demand'!H41</f>
        <v>10618.56</v>
      </c>
      <c r="I11" s="9">
        <f>'Pharm Demand'!I41</f>
        <v>13263.48</v>
      </c>
      <c r="J11" s="9">
        <f>'Pharm Demand'!J41</f>
        <v>16135.340593846153</v>
      </c>
      <c r="K11" s="9">
        <f>'Pharm Demand'!K41</f>
        <v>12428.683643076922</v>
      </c>
      <c r="L11" s="9">
        <f>'Pharm Demand'!L41</f>
        <v>12591.938423076921</v>
      </c>
      <c r="M11" s="9">
        <f>'Pharm Demand'!M41</f>
        <v>16779.550513846152</v>
      </c>
      <c r="N11" s="9">
        <f>'Pharm Demand'!N41</f>
        <v>16146.428593846153</v>
      </c>
      <c r="O11" s="9">
        <f>'Pharm Demand'!O41</f>
        <v>16728.130861538462</v>
      </c>
      <c r="P11" s="9">
        <f>'Pharm Demand'!P41</f>
        <v>19372.109476923077</v>
      </c>
      <c r="Q11" s="9">
        <f>'Pharm Demand'!Q41</f>
        <v>16106.851961538461</v>
      </c>
      <c r="R11" s="9">
        <f>'Pharm Demand'!R41</f>
        <v>16184.318299828461</v>
      </c>
      <c r="S11" s="9">
        <f>'Pharm Demand'!S41</f>
        <v>21212.140119785581</v>
      </c>
      <c r="T11" s="9">
        <f>'Pharm Demand'!T41</f>
        <v>17048.80147982846</v>
      </c>
      <c r="U11" s="9">
        <f>'Pharm Demand'!U41</f>
        <v>17127.89323982846</v>
      </c>
      <c r="V11" s="9">
        <f>'Pharm Demand'!V41</f>
        <v>21508.899219785577</v>
      </c>
      <c r="W11" s="9">
        <f>'Pharm Demand'!W41</f>
        <v>16560.26089982846</v>
      </c>
      <c r="X11" s="9">
        <f>'Pharm Demand'!X41</f>
        <v>16635.374839828462</v>
      </c>
      <c r="Y11" s="9">
        <f>'Pharm Demand'!Y41</f>
        <v>21805.75005978558</v>
      </c>
      <c r="Z11" s="9">
        <f>'Pharm Demand'!Z41</f>
        <v>16785.792139828463</v>
      </c>
      <c r="AA11" s="9">
        <f>'Pharm Demand'!AA41</f>
        <v>18670.921450873509</v>
      </c>
      <c r="AB11" s="9">
        <f>'Pharm Demand'!AB41</f>
        <v>21904.154168791883</v>
      </c>
      <c r="AC11" s="9">
        <f>'Pharm Demand'!AC41</f>
        <v>18061.671094873509</v>
      </c>
      <c r="AD11" s="9">
        <f>'Pharm Demand'!AD41</f>
        <v>18139.139063473507</v>
      </c>
      <c r="AE11" s="9">
        <f>'Pharm Demand'!AE41</f>
        <v>23746.163361991887</v>
      </c>
      <c r="AF11" s="9">
        <f>'Pharm Demand'!AF41</f>
        <v>19078.533609673508</v>
      </c>
      <c r="AG11" s="9">
        <f>'Pharm Demand'!AG41</f>
        <v>19160.092614673507</v>
      </c>
      <c r="AH11" s="9">
        <f>'Pharm Demand'!AH41</f>
        <v>24051.919727191889</v>
      </c>
      <c r="AI11" s="9">
        <f>'Pharm Demand'!AI41</f>
        <v>18526.359941473507</v>
      </c>
      <c r="AJ11" s="9">
        <f>'Pharm Demand'!AJ41</f>
        <v>18603.727299673508</v>
      </c>
      <c r="AK11" s="9">
        <f>'Pharm Demand'!AK41</f>
        <v>24357.581600191887</v>
      </c>
      <c r="AL11" s="9">
        <f>'Pharm Demand'!AL41</f>
        <v>18748.172563273511</v>
      </c>
      <c r="AM11" s="9">
        <f>'Pharm Demand'!AM41</f>
        <v>20818.56665462126</v>
      </c>
      <c r="AN11" s="9">
        <f>'Pharm Demand'!AN41</f>
        <v>24443.018376259075</v>
      </c>
      <c r="AO11" s="9">
        <f>'Pharm Demand'!AO41</f>
        <v>20137.387823079258</v>
      </c>
      <c r="AP11" s="9">
        <f>'Pharm Demand'!AP41</f>
        <v>20215.561682403262</v>
      </c>
      <c r="AQ11" s="9">
        <f>'Pharm Demand'!AQ41</f>
        <v>24127.022924641071</v>
      </c>
      <c r="AR11" s="9">
        <f>'Pharm Demand'!AR41</f>
        <v>23126.242143456799</v>
      </c>
      <c r="AS11" s="9">
        <f>'Pharm Demand'!AS41</f>
        <v>21655.290140691901</v>
      </c>
      <c r="AT11" s="9">
        <f>'Pharm Demand'!AT41</f>
        <v>21655.290140691901</v>
      </c>
      <c r="AU11" s="9">
        <f>'Pharm Demand'!AU41</f>
        <v>0</v>
      </c>
      <c r="AV11" s="9">
        <f>'Pharm Demand'!AV41</f>
        <v>0</v>
      </c>
      <c r="AW11" s="9">
        <f>'Pharm Demand'!AW41</f>
        <v>0</v>
      </c>
      <c r="AX11" s="9">
        <f>'Pharm Demand'!AX41</f>
        <v>0</v>
      </c>
    </row>
    <row r="12" spans="1:50">
      <c r="A12" s="4" t="str">
        <f>'Pharm Demand'!A42</f>
        <v>157001150231 Methadone Generics-Frt Exp</v>
      </c>
      <c r="B12" s="61" t="s">
        <v>14</v>
      </c>
      <c r="C12" s="9">
        <f>'Pharm Demand'!C42</f>
        <v>28057.320179999999</v>
      </c>
      <c r="D12" s="9">
        <f>'Pharm Demand'!D42</f>
        <v>38856.239999999998</v>
      </c>
      <c r="E12" s="9">
        <f>'Pharm Demand'!E42</f>
        <v>29895.48</v>
      </c>
      <c r="F12" s="9">
        <f>'Pharm Demand'!F42</f>
        <v>23964.12</v>
      </c>
      <c r="G12" s="9">
        <f>'Pharm Demand'!G42</f>
        <v>32039.279999999999</v>
      </c>
      <c r="H12" s="9">
        <f>'Pharm Demand'!H42</f>
        <v>28719.360000000001</v>
      </c>
      <c r="I12" s="9">
        <f>'Pharm Demand'!I42</f>
        <v>24280.559999999998</v>
      </c>
      <c r="J12" s="9">
        <f>'Pharm Demand'!J42</f>
        <v>37794.811759615382</v>
      </c>
      <c r="K12" s="9">
        <f>'Pharm Demand'!K42</f>
        <v>27828.385407692309</v>
      </c>
      <c r="L12" s="9">
        <f>'Pharm Demand'!L42</f>
        <v>27308.095407692308</v>
      </c>
      <c r="M12" s="9">
        <f>'Pharm Demand'!M42</f>
        <v>37795.26175961538</v>
      </c>
      <c r="N12" s="9">
        <f>'Pharm Demand'!N42</f>
        <v>33373.820082692306</v>
      </c>
      <c r="O12" s="9">
        <f>'Pharm Demand'!O42</f>
        <v>33050.064049679495</v>
      </c>
      <c r="P12" s="9">
        <f>'Pharm Demand'!P42</f>
        <v>43239.151721474351</v>
      </c>
      <c r="Q12" s="9">
        <f>'Pharm Demand'!Q42</f>
        <v>34587.851216346156</v>
      </c>
      <c r="R12" s="9">
        <f>'Pharm Demand'!R42</f>
        <v>27478.537901762815</v>
      </c>
      <c r="S12" s="9">
        <f>'Pharm Demand'!S42</f>
        <v>38063.846077724353</v>
      </c>
      <c r="T12" s="9">
        <f>'Pharm Demand'!T42</f>
        <v>35253.725048290602</v>
      </c>
      <c r="U12" s="9">
        <f>'Pharm Demand'!U42</f>
        <v>32838.081785443377</v>
      </c>
      <c r="V12" s="9">
        <f>'Pharm Demand'!V42</f>
        <v>43501.215591613254</v>
      </c>
      <c r="W12" s="9">
        <f>'Pharm Demand'!W42</f>
        <v>32042.152062179495</v>
      </c>
      <c r="X12" s="9">
        <f>'Pharm Demand'!X42</f>
        <v>32838.081785443377</v>
      </c>
      <c r="Y12" s="9">
        <f>'Pharm Demand'!Y42</f>
        <v>43577.115994564629</v>
      </c>
      <c r="Z12" s="9">
        <f>'Pharm Demand'!Z42</f>
        <v>38949.578045512819</v>
      </c>
      <c r="AA12" s="9">
        <f>'Pharm Demand'!AA42</f>
        <v>34041.565971169883</v>
      </c>
      <c r="AB12" s="9">
        <f>'Pharm Demand'!AB42</f>
        <v>44536.326273118582</v>
      </c>
      <c r="AC12" s="9">
        <f>'Pharm Demand'!AC42</f>
        <v>35625.486752836543</v>
      </c>
      <c r="AD12" s="9">
        <f>'Pharm Demand'!AD42</f>
        <v>28302.894038815699</v>
      </c>
      <c r="AE12" s="9">
        <f>'Pharm Demand'!AE42</f>
        <v>39205.761460056085</v>
      </c>
      <c r="AF12" s="9">
        <f>'Pharm Demand'!AF42</f>
        <v>36311.328781585471</v>
      </c>
      <c r="AG12" s="9">
        <f>'Pharm Demand'!AG42</f>
        <v>33823.216220852839</v>
      </c>
      <c r="AH12" s="9">
        <f>'Pharm Demand'!AH42</f>
        <v>44806.24203666934</v>
      </c>
      <c r="AI12" s="9">
        <f>'Pharm Demand'!AI42</f>
        <v>33003.408605891032</v>
      </c>
      <c r="AJ12" s="9">
        <f>'Pharm Demand'!AJ42</f>
        <v>33823.216220852839</v>
      </c>
      <c r="AK12" s="9">
        <f>'Pharm Demand'!AK42</f>
        <v>44884.419451709262</v>
      </c>
      <c r="AL12" s="9">
        <f>'Pharm Demand'!AL42</f>
        <v>40118.057368724352</v>
      </c>
      <c r="AM12" s="9">
        <f>'Pharm Demand'!AM42</f>
        <v>35062.804691606514</v>
      </c>
      <c r="AN12" s="9">
        <f>'Pharm Demand'!AN42</f>
        <v>45872.405737939072</v>
      </c>
      <c r="AO12" s="9">
        <f>'Pharm Demand'!AO42</f>
        <v>36694.243096723185</v>
      </c>
      <c r="AP12" s="9">
        <f>'Pharm Demand'!AP42</f>
        <v>29151.972601281712</v>
      </c>
      <c r="AQ12" s="9">
        <f>'Pharm Demand'!AQ42</f>
        <v>40381.923980484695</v>
      </c>
      <c r="AR12" s="9">
        <f>'Pharm Demand'!AR42</f>
        <v>37315.029054359205</v>
      </c>
      <c r="AS12" s="9">
        <f>'Pharm Demand'!AS42</f>
        <v>34896.901180222972</v>
      </c>
      <c r="AT12" s="9">
        <f>'Pharm Demand'!AT42</f>
        <v>34896.901180222972</v>
      </c>
      <c r="AU12" s="9">
        <f>'Pharm Demand'!AU42</f>
        <v>0</v>
      </c>
      <c r="AV12" s="9">
        <f>'Pharm Demand'!AV42</f>
        <v>0</v>
      </c>
      <c r="AW12" s="9">
        <f>'Pharm Demand'!AW42</f>
        <v>0</v>
      </c>
      <c r="AX12" s="9">
        <f>'Pharm Demand'!AX42</f>
        <v>0</v>
      </c>
    </row>
    <row r="13" spans="1:50">
      <c r="A13" s="4" t="str">
        <f>'Pharm Demand'!A43</f>
        <v>157001150232 APAP Codeine-Frt Exp</v>
      </c>
      <c r="B13" s="61" t="s">
        <v>14</v>
      </c>
      <c r="C13" s="9">
        <f>'Pharm Demand'!C43</f>
        <v>5957.2801800000007</v>
      </c>
      <c r="D13" s="9">
        <f>'Pharm Demand'!D43</f>
        <v>7737.66</v>
      </c>
      <c r="E13" s="9">
        <f>'Pharm Demand'!E43</f>
        <v>6428.7</v>
      </c>
      <c r="F13" s="9">
        <f>'Pharm Demand'!F43</f>
        <v>7653.42</v>
      </c>
      <c r="G13" s="9">
        <f>'Pharm Demand'!G43</f>
        <v>7397.46</v>
      </c>
      <c r="H13" s="9">
        <f>'Pharm Demand'!H43</f>
        <v>5491.26</v>
      </c>
      <c r="I13" s="9">
        <f>'Pharm Demand'!I43</f>
        <v>5850.9</v>
      </c>
      <c r="J13" s="9">
        <f>'Pharm Demand'!J43</f>
        <v>6941.4857110972416</v>
      </c>
      <c r="K13" s="9">
        <f>'Pharm Demand'!K43</f>
        <v>5553.1885688777902</v>
      </c>
      <c r="L13" s="9">
        <f>'Pharm Demand'!L43</f>
        <v>5553.1885688777902</v>
      </c>
      <c r="M13" s="9">
        <f>'Pharm Demand'!M43</f>
        <v>6941.4857110972416</v>
      </c>
      <c r="N13" s="9">
        <f>'Pharm Demand'!N43</f>
        <v>5581.9193381085597</v>
      </c>
      <c r="O13" s="9">
        <f>'Pharm Demand'!O43</f>
        <v>6717.4134400856146</v>
      </c>
      <c r="P13" s="9">
        <f>'Pharm Demand'!P43</f>
        <v>8396.7668001070142</v>
      </c>
      <c r="Q13" s="9">
        <f>'Pharm Demand'!Q43</f>
        <v>6717.4134400856146</v>
      </c>
      <c r="R13" s="9">
        <f>'Pharm Demand'!R43</f>
        <v>6717.4134400856146</v>
      </c>
      <c r="S13" s="9">
        <f>'Pharm Demand'!S43</f>
        <v>8396.7668001070142</v>
      </c>
      <c r="T13" s="9">
        <f>'Pharm Demand'!T43</f>
        <v>6717.4134400856146</v>
      </c>
      <c r="U13" s="9">
        <f>'Pharm Demand'!U43</f>
        <v>6717.4134400856146</v>
      </c>
      <c r="V13" s="9">
        <f>'Pharm Demand'!V43</f>
        <v>8396.7668001070142</v>
      </c>
      <c r="W13" s="9">
        <f>'Pharm Demand'!W43</f>
        <v>6717.4134400856146</v>
      </c>
      <c r="X13" s="9">
        <f>'Pharm Demand'!X43</f>
        <v>6717.4134400856146</v>
      </c>
      <c r="Y13" s="9">
        <f>'Pharm Demand'!Y43</f>
        <v>8396.7668001070142</v>
      </c>
      <c r="Z13" s="9">
        <f>'Pharm Demand'!Z43</f>
        <v>6717.4134400856146</v>
      </c>
      <c r="AA13" s="9">
        <f>'Pharm Demand'!AA43</f>
        <v>6722.1501787790894</v>
      </c>
      <c r="AB13" s="9">
        <f>'Pharm Demand'!AB43</f>
        <v>8402.6877234738567</v>
      </c>
      <c r="AC13" s="9">
        <f>'Pharm Demand'!AC43</f>
        <v>6722.1501787790894</v>
      </c>
      <c r="AD13" s="9">
        <f>'Pharm Demand'!AD43</f>
        <v>6722.1501787790894</v>
      </c>
      <c r="AE13" s="9">
        <f>'Pharm Demand'!AE43</f>
        <v>8402.6877234738567</v>
      </c>
      <c r="AF13" s="9">
        <f>'Pharm Demand'!AF43</f>
        <v>6722.1501787790894</v>
      </c>
      <c r="AG13" s="9">
        <f>'Pharm Demand'!AG43</f>
        <v>6722.1501787790894</v>
      </c>
      <c r="AH13" s="9">
        <f>'Pharm Demand'!AH43</f>
        <v>8402.6877234738567</v>
      </c>
      <c r="AI13" s="9">
        <f>'Pharm Demand'!AI43</f>
        <v>6722.1501787790894</v>
      </c>
      <c r="AJ13" s="9">
        <f>'Pharm Demand'!AJ43</f>
        <v>6722.1501787790894</v>
      </c>
      <c r="AK13" s="9">
        <f>'Pharm Demand'!AK43</f>
        <v>8402.6877234738567</v>
      </c>
      <c r="AL13" s="9">
        <f>'Pharm Demand'!AL43</f>
        <v>6722.1501787790894</v>
      </c>
      <c r="AM13" s="9">
        <f>'Pharm Demand'!AM43</f>
        <v>6727.8451834851076</v>
      </c>
      <c r="AN13" s="9">
        <f>'Pharm Demand'!AN43</f>
        <v>8409.8064793563863</v>
      </c>
      <c r="AO13" s="9">
        <f>'Pharm Demand'!AO43</f>
        <v>6727.8451834851076</v>
      </c>
      <c r="AP13" s="9">
        <f>'Pharm Demand'!AP43</f>
        <v>6727.8451834851076</v>
      </c>
      <c r="AQ13" s="9">
        <f>'Pharm Demand'!AQ43</f>
        <v>8409.8064793563863</v>
      </c>
      <c r="AR13" s="9">
        <f>'Pharm Demand'!AR43</f>
        <v>6765.0990950235691</v>
      </c>
      <c r="AS13" s="9">
        <f>'Pharm Demand'!AS43</f>
        <v>6727.8451834851076</v>
      </c>
      <c r="AT13" s="9">
        <f>'Pharm Demand'!AT43</f>
        <v>6727.8451834851076</v>
      </c>
      <c r="AU13" s="9">
        <f>'Pharm Demand'!AU43</f>
        <v>0</v>
      </c>
      <c r="AV13" s="9">
        <f>'Pharm Demand'!AV43</f>
        <v>0</v>
      </c>
      <c r="AW13" s="9">
        <f>'Pharm Demand'!AW43</f>
        <v>0</v>
      </c>
      <c r="AX13" s="9">
        <f>'Pharm Demand'!AX43</f>
        <v>0</v>
      </c>
    </row>
    <row r="14" spans="1:50">
      <c r="A14" s="1" t="s">
        <v>71</v>
      </c>
      <c r="B14" s="61" t="s">
        <v>14</v>
      </c>
      <c r="C14" s="9">
        <f>'Pharm Demand'!C44</f>
        <v>851.94018000000005</v>
      </c>
      <c r="D14" s="9">
        <f>'Pharm Demand'!D44</f>
        <v>1217.43</v>
      </c>
      <c r="E14" s="9">
        <f>'Pharm Demand'!E44</f>
        <v>922.68</v>
      </c>
      <c r="F14" s="9">
        <f>'Pharm Demand'!F44</f>
        <v>626.22</v>
      </c>
      <c r="G14" s="9">
        <f>'Pharm Demand'!G44</f>
        <v>1240.83</v>
      </c>
      <c r="H14" s="9">
        <f>'Pharm Demand'!H44</f>
        <v>972.27</v>
      </c>
      <c r="I14" s="9">
        <f>'Pharm Demand'!I44</f>
        <v>847.8</v>
      </c>
      <c r="J14" s="9">
        <f>'Pharm Demand'!J44</f>
        <v>1121.8499999999999</v>
      </c>
      <c r="K14" s="9">
        <f>'Pharm Demand'!K44</f>
        <v>844.56</v>
      </c>
      <c r="L14" s="9">
        <f>'Pharm Demand'!L44</f>
        <v>836.64</v>
      </c>
      <c r="M14" s="9">
        <f>'Pharm Demand'!M44</f>
        <v>1090.26</v>
      </c>
      <c r="N14" s="9">
        <f>'Pharm Demand'!N44</f>
        <v>981.9</v>
      </c>
      <c r="O14" s="9">
        <f>'Pharm Demand'!O44</f>
        <v>1029.2031538461545</v>
      </c>
      <c r="P14" s="9">
        <f>'Pharm Demand'!P44</f>
        <v>1286.5039423076928</v>
      </c>
      <c r="Q14" s="9">
        <f>'Pharm Demand'!Q44</f>
        <v>1085.8157115384627</v>
      </c>
      <c r="R14" s="9">
        <f>'Pharm Demand'!R44</f>
        <v>1029.2031538461545</v>
      </c>
      <c r="S14" s="9">
        <f>'Pharm Demand'!S44</f>
        <v>1286.5039423076928</v>
      </c>
      <c r="T14" s="9">
        <f>'Pharm Demand'!T44</f>
        <v>1029.2031538461545</v>
      </c>
      <c r="U14" s="9">
        <f>'Pharm Demand'!U44</f>
        <v>1029.2031538461545</v>
      </c>
      <c r="V14" s="9">
        <f>'Pharm Demand'!V44</f>
        <v>1286.5039423076928</v>
      </c>
      <c r="W14" s="9">
        <f>'Pharm Demand'!W44</f>
        <v>1029.2031538461545</v>
      </c>
      <c r="X14" s="9">
        <f>'Pharm Demand'!X44</f>
        <v>1029.2031538461545</v>
      </c>
      <c r="Y14" s="9">
        <f>'Pharm Demand'!Y44</f>
        <v>1286.5039423076928</v>
      </c>
      <c r="Z14" s="9">
        <f>'Pharm Demand'!Z44</f>
        <v>1029.2031538461545</v>
      </c>
      <c r="AA14" s="9">
        <f>'Pharm Demand'!AA44</f>
        <v>1013.0112037692297</v>
      </c>
      <c r="AB14" s="9">
        <f>'Pharm Demand'!AB44</f>
        <v>1266.2640047115378</v>
      </c>
      <c r="AC14" s="9">
        <f>'Pharm Demand'!AC44</f>
        <v>1013.0112037692297</v>
      </c>
      <c r="AD14" s="9">
        <f>'Pharm Demand'!AD44</f>
        <v>1013.0112037692297</v>
      </c>
      <c r="AE14" s="9">
        <f>'Pharm Demand'!AE44</f>
        <v>1266.2640047115378</v>
      </c>
      <c r="AF14" s="9">
        <f>'Pharm Demand'!AF44</f>
        <v>1013.0112037692297</v>
      </c>
      <c r="AG14" s="9">
        <f>'Pharm Demand'!AG44</f>
        <v>1013.0112037692297</v>
      </c>
      <c r="AH14" s="9">
        <f>'Pharm Demand'!AH44</f>
        <v>1266.2640047115378</v>
      </c>
      <c r="AI14" s="9">
        <f>'Pharm Demand'!AI44</f>
        <v>1103.9134322615384</v>
      </c>
      <c r="AJ14" s="9">
        <f>'Pharm Demand'!AJ44</f>
        <v>1013.0112037692297</v>
      </c>
      <c r="AK14" s="9">
        <f>'Pharm Demand'!AK44</f>
        <v>1143.4151460769224</v>
      </c>
      <c r="AL14" s="9">
        <f>'Pharm Demand'!AL44</f>
        <v>1013.0112037692297</v>
      </c>
      <c r="AM14" s="9">
        <f>'Pharm Demand'!AM44</f>
        <v>1045.3546276320401</v>
      </c>
      <c r="AN14" s="9">
        <f>'Pharm Demand'!AN44</f>
        <v>1257.8544298735887</v>
      </c>
      <c r="AO14" s="9">
        <f>'Pharm Demand'!AO44</f>
        <v>1006.2835438988703</v>
      </c>
      <c r="AP14" s="9">
        <f>'Pharm Demand'!AP44</f>
        <v>1006.2835438988703</v>
      </c>
      <c r="AQ14" s="9">
        <f>'Pharm Demand'!AQ44</f>
        <v>1204.7851819676705</v>
      </c>
      <c r="AR14" s="9">
        <f>'Pharm Demand'!AR44</f>
        <v>1006.2835438988703</v>
      </c>
      <c r="AS14" s="9">
        <f>'Pharm Demand'!AS44</f>
        <v>1006.2835438988703</v>
      </c>
      <c r="AT14" s="9">
        <f>'Pharm Demand'!AT44</f>
        <v>1006.2835438988703</v>
      </c>
      <c r="AU14" s="9">
        <f>'Pharm Demand'!AU44</f>
        <v>0</v>
      </c>
      <c r="AV14" s="9">
        <f>'Pharm Demand'!AV44</f>
        <v>0</v>
      </c>
      <c r="AW14" s="9">
        <f>'Pharm Demand'!AW44</f>
        <v>0</v>
      </c>
      <c r="AX14" s="9">
        <f>'Pharm Demand'!AX44</f>
        <v>0</v>
      </c>
    </row>
    <row r="15" spans="1:50">
      <c r="A15" s="1" t="s">
        <v>72</v>
      </c>
      <c r="B15" s="61" t="s">
        <v>14</v>
      </c>
      <c r="C15" s="9">
        <f>'Pharm Demand'!C45</f>
        <v>5.4000000000000001E-4</v>
      </c>
      <c r="D15" s="9">
        <f>'Pharm Demand'!D45</f>
        <v>0</v>
      </c>
      <c r="E15" s="9">
        <f>'Pharm Demand'!E45</f>
        <v>0</v>
      </c>
      <c r="F15" s="9">
        <f>'Pharm Demand'!F45</f>
        <v>0</v>
      </c>
      <c r="G15" s="9">
        <f>'Pharm Demand'!G45</f>
        <v>3458.16</v>
      </c>
      <c r="H15" s="9">
        <f>'Pharm Demand'!H45</f>
        <v>8335.44</v>
      </c>
      <c r="I15" s="9">
        <f>'Pharm Demand'!I45</f>
        <v>13610.16</v>
      </c>
      <c r="J15" s="9">
        <f>'Pharm Demand'!J45</f>
        <v>17676.18</v>
      </c>
      <c r="K15" s="9">
        <f>'Pharm Demand'!K45</f>
        <v>14140.89</v>
      </c>
      <c r="L15" s="9">
        <f>'Pharm Demand'!L45</f>
        <v>14898.51</v>
      </c>
      <c r="M15" s="9">
        <f>'Pharm Demand'!M45</f>
        <v>19191.239999999998</v>
      </c>
      <c r="N15" s="9">
        <f>'Pharm Demand'!N45</f>
        <v>19191.239999999998</v>
      </c>
      <c r="O15" s="9">
        <f>'Pharm Demand'!O45</f>
        <v>17768.63</v>
      </c>
      <c r="P15" s="9">
        <f>'Pharm Demand'!P45</f>
        <v>20443.060000000001</v>
      </c>
      <c r="Q15" s="9">
        <f>'Pharm Demand'!Q45</f>
        <v>16895.34</v>
      </c>
      <c r="R15" s="9">
        <f>'Pharm Demand'!R45</f>
        <v>16902.93</v>
      </c>
      <c r="S15" s="9">
        <f>'Pharm Demand'!S45</f>
        <v>22250.69</v>
      </c>
      <c r="T15" s="9">
        <f>'Pharm Demand'!T45</f>
        <v>17808.560000000001</v>
      </c>
      <c r="U15" s="9">
        <f>'Pharm Demand'!U45</f>
        <v>17816.7</v>
      </c>
      <c r="V15" s="9">
        <f>'Pharm Demand'!V45</f>
        <v>22280.720000000001</v>
      </c>
      <c r="W15" s="9">
        <f>'Pharm Demand'!W45</f>
        <v>16940.990000000002</v>
      </c>
      <c r="X15" s="9">
        <f>'Pharm Demand'!X45</f>
        <v>16948.47</v>
      </c>
      <c r="Y15" s="9">
        <f>'Pharm Demand'!Y45</f>
        <v>22310.639999999999</v>
      </c>
      <c r="Z15" s="9">
        <f>'Pharm Demand'!Z45</f>
        <v>16963.759999999998</v>
      </c>
      <c r="AA15" s="9">
        <f>'Pharm Demand'!AA45</f>
        <v>18407.5111</v>
      </c>
      <c r="AB15" s="9">
        <f>'Pharm Demand'!AB45</f>
        <v>21186.193599999999</v>
      </c>
      <c r="AC15" s="9">
        <f>'Pharm Demand'!AC45</f>
        <v>17515.840100000001</v>
      </c>
      <c r="AD15" s="9">
        <f>'Pharm Demand'!AD45</f>
        <v>17530.4558</v>
      </c>
      <c r="AE15" s="9">
        <f>'Pharm Demand'!AE45</f>
        <v>23085.3282</v>
      </c>
      <c r="AF15" s="9">
        <f>'Pharm Demand'!AF45</f>
        <v>18483.308799999999</v>
      </c>
      <c r="AG15" s="9">
        <f>'Pharm Demand'!AG45</f>
        <v>18498.491000000002</v>
      </c>
      <c r="AH15" s="9">
        <f>'Pharm Demand'!AH45</f>
        <v>23142.091499999999</v>
      </c>
      <c r="AI15" s="9">
        <f>'Pharm Demand'!AI45</f>
        <v>17602.401300000001</v>
      </c>
      <c r="AJ15" s="9">
        <f>'Pharm Demand'!AJ45</f>
        <v>18999.210862597898</v>
      </c>
      <c r="AK15" s="9">
        <f>'Pharm Demand'!AK45</f>
        <v>25272.428843896851</v>
      </c>
      <c r="AL15" s="9">
        <f>'Pharm Demand'!AL45</f>
        <v>20133.834792676222</v>
      </c>
      <c r="AM15" s="9">
        <f>'Pharm Demand'!AM45</f>
        <v>21071.466764285742</v>
      </c>
      <c r="AN15" s="9">
        <f>'Pharm Demand'!AN45</f>
        <v>25361.694897743058</v>
      </c>
      <c r="AO15" s="9">
        <f>'Pharm Demand'!AO45</f>
        <v>20906.687776285737</v>
      </c>
      <c r="AP15" s="9">
        <f>'Pharm Demand'!AP45</f>
        <v>21084.975669207273</v>
      </c>
      <c r="AQ15" s="9">
        <f>'Pharm Demand'!AQ45</f>
        <v>25787.091057549042</v>
      </c>
      <c r="AR15" s="9">
        <f>'Pharm Demand'!AR45</f>
        <v>21985.658551207274</v>
      </c>
      <c r="AS15" s="9">
        <f>'Pharm Demand'!AS45</f>
        <v>21452.354547257259</v>
      </c>
      <c r="AT15" s="9">
        <f>'Pharm Demand'!AT45</f>
        <v>21452.354547257259</v>
      </c>
      <c r="AU15" s="9">
        <f>'Pharm Demand'!AU45</f>
        <v>0</v>
      </c>
      <c r="AV15" s="9">
        <f>'Pharm Demand'!AV45</f>
        <v>0</v>
      </c>
      <c r="AW15" s="9">
        <f>'Pharm Demand'!AW45</f>
        <v>0</v>
      </c>
      <c r="AX15" s="9">
        <f>'Pharm Demand'!AX45</f>
        <v>0</v>
      </c>
    </row>
    <row r="16" spans="1:50">
      <c r="A16" s="1" t="s">
        <v>83</v>
      </c>
      <c r="B16" s="61" t="s">
        <v>14</v>
      </c>
      <c r="C16" s="9">
        <f>'Pharm Demand'!C46</f>
        <v>224.64018000000002</v>
      </c>
      <c r="D16" s="9">
        <f>'Pharm Demand'!D46</f>
        <v>330.47999999999996</v>
      </c>
      <c r="E16" s="9">
        <f>'Pharm Demand'!E46</f>
        <v>317.52</v>
      </c>
      <c r="F16" s="9">
        <f>'Pharm Demand'!F46</f>
        <v>206.28</v>
      </c>
      <c r="G16" s="9">
        <f>'Pharm Demand'!G46</f>
        <v>302.39999999999998</v>
      </c>
      <c r="H16" s="9">
        <f>'Pharm Demand'!H46</f>
        <v>258.12</v>
      </c>
      <c r="I16" s="9">
        <f>'Pharm Demand'!I46</f>
        <v>304.56</v>
      </c>
      <c r="J16" s="9">
        <f>'Pharm Demand'!J46</f>
        <v>309.95999999999998</v>
      </c>
      <c r="K16" s="9">
        <f>'Pharm Demand'!K46</f>
        <v>235.53</v>
      </c>
      <c r="L16" s="9">
        <f>'Pharm Demand'!L46</f>
        <v>235.53</v>
      </c>
      <c r="M16" s="9">
        <f>'Pharm Demand'!M46</f>
        <v>309.95999999999998</v>
      </c>
      <c r="N16" s="9">
        <f>'Pharm Demand'!N46</f>
        <v>238.95</v>
      </c>
      <c r="O16" s="9">
        <f>'Pharm Demand'!O46</f>
        <v>313.06</v>
      </c>
      <c r="P16" s="9">
        <f>'Pharm Demand'!P46</f>
        <v>344.3</v>
      </c>
      <c r="Q16" s="9">
        <f>'Pharm Demand'!Q46</f>
        <v>308.55</v>
      </c>
      <c r="R16" s="9">
        <f>'Pharm Demand'!R46</f>
        <v>333.74</v>
      </c>
      <c r="S16" s="9">
        <f>'Pharm Demand'!S46</f>
        <v>346.72</v>
      </c>
      <c r="T16" s="9">
        <f>'Pharm Demand'!T46</f>
        <v>312.73</v>
      </c>
      <c r="U16" s="9">
        <f>'Pharm Demand'!U46</f>
        <v>333.74</v>
      </c>
      <c r="V16" s="9">
        <f>'Pharm Demand'!V46</f>
        <v>342.54</v>
      </c>
      <c r="W16" s="9">
        <f>'Pharm Demand'!W46</f>
        <v>308.55</v>
      </c>
      <c r="X16" s="9">
        <f>'Pharm Demand'!X46</f>
        <v>333.74</v>
      </c>
      <c r="Y16" s="9">
        <f>'Pharm Demand'!Y46</f>
        <v>342.54</v>
      </c>
      <c r="Z16" s="9">
        <f>'Pharm Demand'!Z46</f>
        <v>308.55</v>
      </c>
      <c r="AA16" s="9">
        <f>'Pharm Demand'!AA46</f>
        <v>323.47149999999999</v>
      </c>
      <c r="AB16" s="9">
        <f>'Pharm Demand'!AB46</f>
        <v>372.0772</v>
      </c>
      <c r="AC16" s="9">
        <f>'Pharm Demand'!AC46</f>
        <v>307.26960000000003</v>
      </c>
      <c r="AD16" s="9">
        <f>'Pharm Demand'!AD46</f>
        <v>307.26960000000003</v>
      </c>
      <c r="AE16" s="9">
        <f>'Pharm Demand'!AE46</f>
        <v>404.36769999999996</v>
      </c>
      <c r="AF16" s="9">
        <f>'Pharm Demand'!AF46</f>
        <v>322.22519999999997</v>
      </c>
      <c r="AG16" s="9">
        <f>'Pharm Demand'!AG46</f>
        <v>323.47149999999999</v>
      </c>
      <c r="AH16" s="9">
        <f>'Pharm Demand'!AH46</f>
        <v>404.25440000000003</v>
      </c>
      <c r="AI16" s="9">
        <f>'Pharm Demand'!AI46</f>
        <v>307.26960000000003</v>
      </c>
      <c r="AJ16" s="9">
        <f>'Pharm Demand'!AJ46</f>
        <v>298.2056</v>
      </c>
      <c r="AK16" s="9">
        <f>'Pharm Demand'!AK46</f>
        <v>404.36769999999996</v>
      </c>
      <c r="AL16" s="9">
        <f>'Pharm Demand'!AL46</f>
        <v>404.36769999999996</v>
      </c>
      <c r="AM16" s="9">
        <f>'Pharm Demand'!AM46</f>
        <v>355.46515400000004</v>
      </c>
      <c r="AN16" s="9">
        <f>'Pharm Demand'!AN46</f>
        <v>392.10864000000004</v>
      </c>
      <c r="AO16" s="9">
        <f>'Pharm Demand'!AO46</f>
        <v>343.21175900000003</v>
      </c>
      <c r="AP16" s="9">
        <f>'Pharm Demand'!AP46</f>
        <v>416.49873099999996</v>
      </c>
      <c r="AQ16" s="9">
        <f>'Pharm Demand'!AQ46</f>
        <v>354.18146500000006</v>
      </c>
      <c r="AR16" s="9">
        <f>'Pharm Demand'!AR46</f>
        <v>355.46515400000004</v>
      </c>
      <c r="AS16" s="9">
        <f>'Pharm Demand'!AS46</f>
        <v>355.21608655596418</v>
      </c>
      <c r="AT16" s="9">
        <f>'Pharm Demand'!AT46</f>
        <v>355.21608655596418</v>
      </c>
      <c r="AU16" s="9">
        <f>'Pharm Demand'!AU46</f>
        <v>0</v>
      </c>
      <c r="AV16" s="9">
        <f>'Pharm Demand'!AV46</f>
        <v>0</v>
      </c>
      <c r="AW16" s="9">
        <f>'Pharm Demand'!AW46</f>
        <v>0</v>
      </c>
      <c r="AX16" s="9">
        <f>'Pharm Demand'!AX46</f>
        <v>0</v>
      </c>
    </row>
    <row r="17" spans="1:50">
      <c r="A17" s="1" t="s">
        <v>94</v>
      </c>
      <c r="B17" s="61" t="s">
        <v>14</v>
      </c>
      <c r="C17" s="9">
        <f>'Pharm Demand'!C47</f>
        <v>170.10017999999999</v>
      </c>
      <c r="D17" s="9">
        <f>'Pharm Demand'!D47</f>
        <v>310.5</v>
      </c>
      <c r="E17" s="9">
        <f>'Pharm Demand'!E47</f>
        <v>235.44</v>
      </c>
      <c r="F17" s="9">
        <f>'Pharm Demand'!F47</f>
        <v>102.06</v>
      </c>
      <c r="G17" s="9">
        <f>'Pharm Demand'!G47</f>
        <v>241.92</v>
      </c>
      <c r="H17" s="9">
        <f>'Pharm Demand'!H47</f>
        <v>202.5</v>
      </c>
      <c r="I17" s="9">
        <f>'Pharm Demand'!I47</f>
        <v>184.14</v>
      </c>
      <c r="J17" s="9">
        <f>'Pharm Demand'!J47</f>
        <v>250.2891147540987</v>
      </c>
      <c r="K17" s="9">
        <f>'Pharm Demand'!K47</f>
        <v>193.15012721311439</v>
      </c>
      <c r="L17" s="9">
        <f>'Pharm Demand'!L47</f>
        <v>193.15012721311439</v>
      </c>
      <c r="M17" s="9">
        <f>'Pharm Demand'!M47</f>
        <v>250.2891147540987</v>
      </c>
      <c r="N17" s="9">
        <f>'Pharm Demand'!N47</f>
        <v>193.15012721311439</v>
      </c>
      <c r="O17" s="9">
        <f>'Pharm Demand'!O47</f>
        <v>240.5251344262295</v>
      </c>
      <c r="P17" s="9">
        <f>'Pharm Demand'!P47</f>
        <v>288.75340459016371</v>
      </c>
      <c r="Q17" s="9">
        <f>'Pharm Demand'!Q47</f>
        <v>236.07237770491759</v>
      </c>
      <c r="R17" s="9">
        <f>'Pharm Demand'!R47</f>
        <v>236.07237770491759</v>
      </c>
      <c r="S17" s="9">
        <f>'Pharm Demand'!S47</f>
        <v>305.79891803278736</v>
      </c>
      <c r="T17" s="9">
        <f>'Pharm Demand'!T47</f>
        <v>240.5251344262295</v>
      </c>
      <c r="U17" s="9">
        <f>'Pharm Demand'!U47</f>
        <v>240.5251344262295</v>
      </c>
      <c r="V17" s="9">
        <f>'Pharm Demand'!V47</f>
        <v>305.79891803278736</v>
      </c>
      <c r="W17" s="9">
        <f>'Pharm Demand'!W47</f>
        <v>236.07237770491759</v>
      </c>
      <c r="X17" s="9">
        <f>'Pharm Demand'!X47</f>
        <v>236.07237770491759</v>
      </c>
      <c r="Y17" s="9">
        <f>'Pharm Demand'!Y47</f>
        <v>305.79891803278736</v>
      </c>
      <c r="Z17" s="9">
        <f>'Pharm Demand'!Z47</f>
        <v>236.07237770491759</v>
      </c>
      <c r="AA17" s="9">
        <f>'Pharm Demand'!AA47</f>
        <v>249.55368845901637</v>
      </c>
      <c r="AB17" s="9">
        <f>'Pharm Demand'!AB47</f>
        <v>294.69680672786865</v>
      </c>
      <c r="AC17" s="9">
        <f>'Pharm Demand'!AC47</f>
        <v>241.22844903606511</v>
      </c>
      <c r="AD17" s="9">
        <f>'Pharm Demand'!AD47</f>
        <v>241.22844903606511</v>
      </c>
      <c r="AE17" s="9">
        <f>'Pharm Demand'!AE47</f>
        <v>312.48028557377097</v>
      </c>
      <c r="AF17" s="9">
        <f>'Pharm Demand'!AF47</f>
        <v>249.8935884590164</v>
      </c>
      <c r="AG17" s="9">
        <f>'Pharm Demand'!AG47</f>
        <v>249.8935884590164</v>
      </c>
      <c r="AH17" s="9">
        <f>'Pharm Demand'!AH47</f>
        <v>312.48028557377097</v>
      </c>
      <c r="AI17" s="9">
        <f>'Pharm Demand'!AI47</f>
        <v>241.22844903606511</v>
      </c>
      <c r="AJ17" s="9">
        <f>'Pharm Demand'!AJ47</f>
        <v>242.81464903606511</v>
      </c>
      <c r="AK17" s="9">
        <f>'Pharm Demand'!AK47</f>
        <v>311.80048557377097</v>
      </c>
      <c r="AL17" s="9">
        <f>'Pharm Demand'!AL47</f>
        <v>242.81464903606511</v>
      </c>
      <c r="AM17" s="9">
        <f>'Pharm Demand'!AM47</f>
        <v>256.34010511278689</v>
      </c>
      <c r="AN17" s="9">
        <f>'Pharm Demand'!AN47</f>
        <v>307.0386809297047</v>
      </c>
      <c r="AO17" s="9">
        <f>'Pharm Demand'!AO47</f>
        <v>249.63229250714704</v>
      </c>
      <c r="AP17" s="9">
        <f>'Pharm Demand'!AP47</f>
        <v>249.63229250714704</v>
      </c>
      <c r="AQ17" s="9">
        <f>'Pharm Demand'!AQ47</f>
        <v>320.4543061409841</v>
      </c>
      <c r="AR17" s="9">
        <f>'Pharm Demand'!AR47</f>
        <v>256.08428560000004</v>
      </c>
      <c r="AS17" s="9">
        <f>'Pharm Demand'!AS47</f>
        <v>254.38648707098986</v>
      </c>
      <c r="AT17" s="9">
        <f>'Pharm Demand'!AT47</f>
        <v>254.38648707098969</v>
      </c>
      <c r="AU17" s="9">
        <f>'Pharm Demand'!AU47</f>
        <v>0</v>
      </c>
      <c r="AV17" s="9">
        <f>'Pharm Demand'!AV47</f>
        <v>0</v>
      </c>
      <c r="AW17" s="9">
        <f>'Pharm Demand'!AW47</f>
        <v>0</v>
      </c>
      <c r="AX17" s="9">
        <f>'Pharm Demand'!AX47</f>
        <v>0</v>
      </c>
    </row>
    <row r="18" spans="1:50">
      <c r="A18" s="4" t="str">
        <f>'Pharm Demand'!A48</f>
        <v>157001150209 FREIGHT</v>
      </c>
      <c r="B18" s="61" t="s">
        <v>14</v>
      </c>
      <c r="C18" s="9">
        <f>'Pharm Demand'!C48</f>
        <v>685.62612000000001</v>
      </c>
      <c r="D18" s="9">
        <f>'Pharm Demand'!D48</f>
        <v>958.05297000000007</v>
      </c>
      <c r="E18" s="9">
        <f>'Pharm Demand'!E48</f>
        <v>692.19315000000006</v>
      </c>
      <c r="F18" s="9">
        <f>'Pharm Demand'!F48</f>
        <v>290.43</v>
      </c>
      <c r="G18" s="9">
        <f>'Pharm Demand'!G48</f>
        <v>1086.1228800000001</v>
      </c>
      <c r="H18" s="9">
        <f>'Pharm Demand'!H48</f>
        <v>752.85270000000003</v>
      </c>
      <c r="I18" s="9">
        <f>'Pharm Demand'!I48</f>
        <v>463.95269999999994</v>
      </c>
      <c r="J18" s="9">
        <f>'Pharm Demand'!J48</f>
        <v>866.64414519582624</v>
      </c>
      <c r="K18" s="9">
        <f>'Pharm Demand'!K48</f>
        <v>660.27166223463871</v>
      </c>
      <c r="L18" s="9">
        <f>'Pharm Demand'!L48</f>
        <v>726.02029719737334</v>
      </c>
      <c r="M18" s="9">
        <f>'Pharm Demand'!M48</f>
        <v>953.79079130378375</v>
      </c>
      <c r="N18" s="9">
        <f>'Pharm Demand'!N48</f>
        <v>908.31980769230779</v>
      </c>
      <c r="O18" s="9">
        <f>'Pharm Demand'!O48</f>
        <v>937.35296354689251</v>
      </c>
      <c r="P18" s="9">
        <f>'Pharm Demand'!P48</f>
        <v>1706.0911014782023</v>
      </c>
      <c r="Q18" s="9">
        <f>'Pharm Demand'!Q48</f>
        <v>2014.4461514861905</v>
      </c>
      <c r="R18" s="9">
        <f>'Pharm Demand'!R48</f>
        <v>2907.3357790142854</v>
      </c>
      <c r="S18" s="9">
        <f>'Pharm Demand'!S48</f>
        <v>4332.6334168370367</v>
      </c>
      <c r="T18" s="9">
        <f>'Pharm Demand'!T48</f>
        <v>3509.634706976</v>
      </c>
      <c r="U18" s="9">
        <f>'Pharm Demand'!U48</f>
        <v>3782.814249071585</v>
      </c>
      <c r="V18" s="9">
        <f>'Pharm Demand'!V48</f>
        <v>4737.0719328910245</v>
      </c>
      <c r="W18" s="9">
        <f>'Pharm Demand'!W48</f>
        <v>3747.6698012376137</v>
      </c>
      <c r="X18" s="9">
        <f>'Pharm Demand'!X48</f>
        <v>3749.9884747390743</v>
      </c>
      <c r="Y18" s="9">
        <f>'Pharm Demand'!Y48</f>
        <v>4745.2635388178442</v>
      </c>
      <c r="Z18" s="9">
        <f>'Pharm Demand'!Z48</f>
        <v>3754.2958217419973</v>
      </c>
      <c r="AA18" s="9">
        <f>'Pharm Demand'!AA48</f>
        <v>4283.2625403536631</v>
      </c>
      <c r="AB18" s="9">
        <f>'Pharm Demand'!AB48</f>
        <v>5263.4661326866517</v>
      </c>
      <c r="AC18" s="9">
        <f>'Pharm Demand'!AC48</f>
        <v>4240.5504585005801</v>
      </c>
      <c r="AD18" s="9">
        <f>'Pharm Demand'!AD48</f>
        <v>4293.3867123620093</v>
      </c>
      <c r="AE18" s="9">
        <f>'Pharm Demand'!AE48</f>
        <v>5426.3392833821881</v>
      </c>
      <c r="AF18" s="9">
        <f>'Pharm Demand'!AF48</f>
        <v>4342.7426603092463</v>
      </c>
      <c r="AG18" s="9">
        <f>'Pharm Demand'!AG48</f>
        <v>4344.7537939127415</v>
      </c>
      <c r="AH18" s="9">
        <f>'Pharm Demand'!AH48</f>
        <v>5432.6630593952941</v>
      </c>
      <c r="AI18" s="9">
        <f>'Pharm Demand'!AI48</f>
        <v>4301.6083219786105</v>
      </c>
      <c r="AJ18" s="9">
        <f>'Pharm Demand'!AJ48</f>
        <v>4305.5866239019297</v>
      </c>
      <c r="AK18" s="9">
        <f>'Pharm Demand'!AK48</f>
        <v>5396.3860354084009</v>
      </c>
      <c r="AL18" s="9">
        <f>'Pharm Demand'!AL48</f>
        <v>4308.3314277485706</v>
      </c>
      <c r="AM18" s="9">
        <f>'Pharm Demand'!AM48</f>
        <v>4480.1935506488599</v>
      </c>
      <c r="AN18" s="9">
        <f>'Pharm Demand'!AN48</f>
        <v>5482.822841400658</v>
      </c>
      <c r="AO18" s="9">
        <f>'Pharm Demand'!AO48</f>
        <v>4443.6773237341285</v>
      </c>
      <c r="AP18" s="9">
        <f>'Pharm Demand'!AP48</f>
        <v>4444.1325665314944</v>
      </c>
      <c r="AQ18" s="9">
        <f>'Pharm Demand'!AQ48</f>
        <v>5577.0367172143424</v>
      </c>
      <c r="AR18" s="9">
        <f>'Pharm Demand'!AR48</f>
        <v>4709.5155099559461</v>
      </c>
      <c r="AS18" s="9">
        <f>'Pharm Demand'!AS48</f>
        <v>4373.0867451496661</v>
      </c>
      <c r="AT18" s="9">
        <f>'Pharm Demand'!AT48</f>
        <v>5234.6563034080636</v>
      </c>
      <c r="AU18" s="9">
        <f>'Pharm Demand'!AU48</f>
        <v>0</v>
      </c>
      <c r="AV18" s="9">
        <f>'Pharm Demand'!AV48</f>
        <v>0</v>
      </c>
      <c r="AW18" s="9">
        <f>'Pharm Demand'!AW48</f>
        <v>0</v>
      </c>
      <c r="AX18" s="9">
        <f>'Pharm Demand'!AX48</f>
        <v>0</v>
      </c>
    </row>
    <row r="19" spans="1:50">
      <c r="A19" s="1" t="s">
        <v>114</v>
      </c>
      <c r="B19" s="61" t="s">
        <v>14</v>
      </c>
      <c r="C19" s="9">
        <f>'Pharm Demand'!C49</f>
        <v>0</v>
      </c>
      <c r="D19" s="9">
        <f>'Pharm Demand'!D49</f>
        <v>0</v>
      </c>
      <c r="E19" s="9">
        <f>'Pharm Demand'!E49</f>
        <v>0</v>
      </c>
      <c r="F19" s="9">
        <f>'Pharm Demand'!F49</f>
        <v>0</v>
      </c>
      <c r="G19" s="9">
        <f>'Pharm Demand'!G49</f>
        <v>0</v>
      </c>
      <c r="H19" s="9">
        <f>'Pharm Demand'!H49</f>
        <v>0</v>
      </c>
      <c r="I19" s="9">
        <f>'Pharm Demand'!I49</f>
        <v>0</v>
      </c>
      <c r="J19" s="9">
        <f>'Pharm Demand'!J49</f>
        <v>0</v>
      </c>
      <c r="K19" s="9">
        <f>'Pharm Demand'!K49</f>
        <v>0</v>
      </c>
      <c r="L19" s="9">
        <f>'Pharm Demand'!L49</f>
        <v>0</v>
      </c>
      <c r="M19" s="9">
        <f>'Pharm Demand'!M49</f>
        <v>0</v>
      </c>
      <c r="N19" s="9">
        <f>'Pharm Demand'!N49</f>
        <v>0</v>
      </c>
      <c r="O19" s="9">
        <f>'Pharm Demand'!O49</f>
        <v>0</v>
      </c>
      <c r="P19" s="9">
        <f>'Pharm Demand'!P49</f>
        <v>0</v>
      </c>
      <c r="Q19" s="9">
        <f>'Pharm Demand'!Q49</f>
        <v>0</v>
      </c>
      <c r="R19" s="9">
        <f>'Pharm Demand'!R49</f>
        <v>0</v>
      </c>
      <c r="S19" s="9">
        <f>'Pharm Demand'!S49</f>
        <v>0</v>
      </c>
      <c r="T19" s="9">
        <f>'Pharm Demand'!T49</f>
        <v>0</v>
      </c>
      <c r="U19" s="9">
        <f>'Pharm Demand'!U49</f>
        <v>0</v>
      </c>
      <c r="V19" s="9">
        <f>'Pharm Demand'!V49</f>
        <v>0</v>
      </c>
      <c r="W19" s="9">
        <f>'Pharm Demand'!W49</f>
        <v>0</v>
      </c>
      <c r="X19" s="9">
        <f>'Pharm Demand'!X49</f>
        <v>0</v>
      </c>
      <c r="Y19" s="9">
        <f>'Pharm Demand'!Y49</f>
        <v>0</v>
      </c>
      <c r="Z19" s="9">
        <f>'Pharm Demand'!Z49</f>
        <v>0</v>
      </c>
      <c r="AA19" s="9">
        <f>'Pharm Demand'!AA49</f>
        <v>0</v>
      </c>
      <c r="AB19" s="9">
        <f>'Pharm Demand'!AB49</f>
        <v>0</v>
      </c>
      <c r="AC19" s="9">
        <f>'Pharm Demand'!AC49</f>
        <v>0</v>
      </c>
      <c r="AD19" s="9">
        <f>'Pharm Demand'!AD49</f>
        <v>0</v>
      </c>
      <c r="AE19" s="9">
        <f>'Pharm Demand'!AE49</f>
        <v>0</v>
      </c>
      <c r="AF19" s="9">
        <f>'Pharm Demand'!AF49</f>
        <v>0</v>
      </c>
      <c r="AG19" s="9">
        <f>'Pharm Demand'!AG49</f>
        <v>0</v>
      </c>
      <c r="AH19" s="9">
        <f>'Pharm Demand'!AH49</f>
        <v>0</v>
      </c>
      <c r="AI19" s="9">
        <f>'Pharm Demand'!AI49</f>
        <v>0</v>
      </c>
      <c r="AJ19" s="9">
        <f>'Pharm Demand'!AJ49</f>
        <v>0</v>
      </c>
      <c r="AK19" s="9">
        <f>'Pharm Demand'!AK49</f>
        <v>0</v>
      </c>
      <c r="AL19" s="9">
        <f>'Pharm Demand'!AL49</f>
        <v>0</v>
      </c>
      <c r="AM19" s="9">
        <f>'Pharm Demand'!AM49</f>
        <v>0</v>
      </c>
      <c r="AN19" s="9">
        <f>'Pharm Demand'!AN49</f>
        <v>0</v>
      </c>
      <c r="AO19" s="9">
        <f>'Pharm Demand'!AO49</f>
        <v>0</v>
      </c>
      <c r="AP19" s="9">
        <f>'Pharm Demand'!AP49</f>
        <v>0</v>
      </c>
      <c r="AQ19" s="9">
        <f>'Pharm Demand'!AQ49</f>
        <v>0</v>
      </c>
      <c r="AR19" s="9">
        <f>'Pharm Demand'!AR49</f>
        <v>0</v>
      </c>
      <c r="AS19" s="9">
        <f>'Pharm Demand'!AS49</f>
        <v>0</v>
      </c>
      <c r="AT19" s="9">
        <f>'Pharm Demand'!AT49</f>
        <v>0</v>
      </c>
      <c r="AU19" s="9">
        <f>'Pharm Demand'!AU49</f>
        <v>0</v>
      </c>
      <c r="AV19" s="9">
        <f>'Pharm Demand'!AV49</f>
        <v>0</v>
      </c>
      <c r="AW19" s="9">
        <f>'Pharm Demand'!AW49</f>
        <v>0</v>
      </c>
      <c r="AX19" s="9">
        <f>'Pharm Demand'!AX49</f>
        <v>0</v>
      </c>
    </row>
    <row r="20" spans="1:50">
      <c r="A20" s="1" t="s">
        <v>115</v>
      </c>
      <c r="B20" s="61" t="s">
        <v>14</v>
      </c>
      <c r="C20" s="9">
        <f>'Pharm Demand'!C50</f>
        <v>0</v>
      </c>
      <c r="D20" s="9">
        <f>'Pharm Demand'!D50</f>
        <v>0</v>
      </c>
      <c r="E20" s="9">
        <f>'Pharm Demand'!E50</f>
        <v>0</v>
      </c>
      <c r="F20" s="9">
        <f>'Pharm Demand'!F50</f>
        <v>0</v>
      </c>
      <c r="G20" s="9">
        <f>'Pharm Demand'!G50</f>
        <v>0</v>
      </c>
      <c r="H20" s="9">
        <f>'Pharm Demand'!H50</f>
        <v>0</v>
      </c>
      <c r="I20" s="9">
        <f>'Pharm Demand'!I50</f>
        <v>0</v>
      </c>
      <c r="J20" s="9">
        <f>'Pharm Demand'!J50</f>
        <v>0</v>
      </c>
      <c r="K20" s="9">
        <f>'Pharm Demand'!K50</f>
        <v>0</v>
      </c>
      <c r="L20" s="9">
        <f>'Pharm Demand'!L50</f>
        <v>0</v>
      </c>
      <c r="M20" s="9">
        <f>'Pharm Demand'!M50</f>
        <v>0</v>
      </c>
      <c r="N20" s="9">
        <f>'Pharm Demand'!N50</f>
        <v>0</v>
      </c>
      <c r="O20" s="9">
        <f>'Pharm Demand'!O50</f>
        <v>0</v>
      </c>
      <c r="P20" s="9">
        <f>'Pharm Demand'!P50</f>
        <v>0</v>
      </c>
      <c r="Q20" s="9">
        <f>'Pharm Demand'!Q50</f>
        <v>0</v>
      </c>
      <c r="R20" s="9">
        <f>'Pharm Demand'!R50</f>
        <v>0</v>
      </c>
      <c r="S20" s="9">
        <f>'Pharm Demand'!S50</f>
        <v>0</v>
      </c>
      <c r="T20" s="9">
        <f>'Pharm Demand'!T50</f>
        <v>0</v>
      </c>
      <c r="U20" s="9">
        <f>'Pharm Demand'!U50</f>
        <v>0</v>
      </c>
      <c r="V20" s="9">
        <f>'Pharm Demand'!V50</f>
        <v>0</v>
      </c>
      <c r="W20" s="9">
        <f>'Pharm Demand'!W50</f>
        <v>0</v>
      </c>
      <c r="X20" s="9">
        <f>'Pharm Demand'!X50</f>
        <v>0</v>
      </c>
      <c r="Y20" s="9">
        <f>'Pharm Demand'!Y50</f>
        <v>0</v>
      </c>
      <c r="Z20" s="9">
        <f>'Pharm Demand'!Z50</f>
        <v>0</v>
      </c>
      <c r="AA20" s="9">
        <f>'Pharm Demand'!AA50</f>
        <v>0</v>
      </c>
      <c r="AB20" s="9">
        <f>'Pharm Demand'!AB50</f>
        <v>0</v>
      </c>
      <c r="AC20" s="9">
        <f>'Pharm Demand'!AC50</f>
        <v>0</v>
      </c>
      <c r="AD20" s="9">
        <f>'Pharm Demand'!AD50</f>
        <v>0</v>
      </c>
      <c r="AE20" s="9">
        <f>'Pharm Demand'!AE50</f>
        <v>0</v>
      </c>
      <c r="AF20" s="9">
        <f>'Pharm Demand'!AF50</f>
        <v>0</v>
      </c>
      <c r="AG20" s="9">
        <f>'Pharm Demand'!AG50</f>
        <v>0</v>
      </c>
      <c r="AH20" s="9">
        <f>'Pharm Demand'!AH50</f>
        <v>0</v>
      </c>
      <c r="AI20" s="9">
        <f>'Pharm Demand'!AI50</f>
        <v>0</v>
      </c>
      <c r="AJ20" s="9">
        <f>'Pharm Demand'!AJ50</f>
        <v>0</v>
      </c>
      <c r="AK20" s="9">
        <f>'Pharm Demand'!AK50</f>
        <v>0</v>
      </c>
      <c r="AL20" s="9">
        <f>'Pharm Demand'!AL50</f>
        <v>1504.9095780821915</v>
      </c>
      <c r="AM20" s="9">
        <f>'Pharm Demand'!AM50</f>
        <v>2790.9020656376711</v>
      </c>
      <c r="AN20" s="9">
        <f>'Pharm Demand'!AN50</f>
        <v>2990.2522131832193</v>
      </c>
      <c r="AO20" s="9">
        <f>'Pharm Demand'!AO50</f>
        <v>3189.6023607287675</v>
      </c>
      <c r="AP20" s="9">
        <f>'Pharm Demand'!AP50</f>
        <v>3388.9525082743157</v>
      </c>
      <c r="AQ20" s="9">
        <f>'Pharm Demand'!AQ50</f>
        <v>3588.302655819863</v>
      </c>
      <c r="AR20" s="9">
        <f>'Pharm Demand'!AR50</f>
        <v>3787.6528033654113</v>
      </c>
      <c r="AS20" s="9">
        <f>'Pharm Demand'!AS50</f>
        <v>4186.3530984565068</v>
      </c>
      <c r="AT20" s="9">
        <f>'Pharm Demand'!AT50</f>
        <v>0</v>
      </c>
      <c r="AU20" s="9">
        <f>'Pharm Demand'!AU50</f>
        <v>0</v>
      </c>
      <c r="AV20" s="9">
        <f>'Pharm Demand'!AV50</f>
        <v>0</v>
      </c>
      <c r="AW20" s="9">
        <f>'Pharm Demand'!AW50</f>
        <v>0</v>
      </c>
      <c r="AX20" s="9">
        <f>'Pharm Demand'!AX50</f>
        <v>0</v>
      </c>
    </row>
    <row r="21" spans="1:50">
      <c r="A21" s="1" t="s">
        <v>116</v>
      </c>
      <c r="B21" s="61" t="s">
        <v>14</v>
      </c>
      <c r="C21" s="9">
        <f>'Pharm Demand'!C51</f>
        <v>0</v>
      </c>
      <c r="D21" s="9">
        <f>'Pharm Demand'!D51</f>
        <v>0</v>
      </c>
      <c r="E21" s="9">
        <f>'Pharm Demand'!E51</f>
        <v>0</v>
      </c>
      <c r="F21" s="9">
        <f>'Pharm Demand'!F51</f>
        <v>0</v>
      </c>
      <c r="G21" s="9">
        <f>'Pharm Demand'!G51</f>
        <v>0</v>
      </c>
      <c r="H21" s="9">
        <f>'Pharm Demand'!H51</f>
        <v>0</v>
      </c>
      <c r="I21" s="9">
        <f>'Pharm Demand'!I51</f>
        <v>0</v>
      </c>
      <c r="J21" s="9">
        <f>'Pharm Demand'!J51</f>
        <v>0</v>
      </c>
      <c r="K21" s="9">
        <f>'Pharm Demand'!K51</f>
        <v>0</v>
      </c>
      <c r="L21" s="9">
        <f>'Pharm Demand'!L51</f>
        <v>0</v>
      </c>
      <c r="M21" s="9">
        <f>'Pharm Demand'!M51</f>
        <v>0</v>
      </c>
      <c r="N21" s="9">
        <f>'Pharm Demand'!N51</f>
        <v>0</v>
      </c>
      <c r="O21" s="9">
        <f>'Pharm Demand'!O51</f>
        <v>0</v>
      </c>
      <c r="P21" s="9">
        <f>'Pharm Demand'!P51</f>
        <v>0</v>
      </c>
      <c r="Q21" s="9">
        <f>'Pharm Demand'!Q51</f>
        <v>0</v>
      </c>
      <c r="R21" s="9">
        <f>'Pharm Demand'!R51</f>
        <v>0</v>
      </c>
      <c r="S21" s="9">
        <f>'Pharm Demand'!S51</f>
        <v>0</v>
      </c>
      <c r="T21" s="9">
        <f>'Pharm Demand'!T51</f>
        <v>0</v>
      </c>
      <c r="U21" s="9">
        <f>'Pharm Demand'!U51</f>
        <v>0</v>
      </c>
      <c r="V21" s="9">
        <f>'Pharm Demand'!V51</f>
        <v>0</v>
      </c>
      <c r="W21" s="9">
        <f>'Pharm Demand'!W51</f>
        <v>0</v>
      </c>
      <c r="X21" s="9">
        <f>'Pharm Demand'!X51</f>
        <v>0</v>
      </c>
      <c r="Y21" s="9">
        <f>'Pharm Demand'!Y51</f>
        <v>0</v>
      </c>
      <c r="Z21" s="9">
        <f>'Pharm Demand'!Z51</f>
        <v>0</v>
      </c>
      <c r="AA21" s="9">
        <f>'Pharm Demand'!AA51</f>
        <v>0</v>
      </c>
      <c r="AB21" s="9">
        <f>'Pharm Demand'!AB51</f>
        <v>0</v>
      </c>
      <c r="AC21" s="9">
        <f>'Pharm Demand'!AC51</f>
        <v>0</v>
      </c>
      <c r="AD21" s="9">
        <f>'Pharm Demand'!AD51</f>
        <v>0</v>
      </c>
      <c r="AE21" s="9">
        <f>'Pharm Demand'!AE51</f>
        <v>0</v>
      </c>
      <c r="AF21" s="9">
        <f>'Pharm Demand'!AF51</f>
        <v>0</v>
      </c>
      <c r="AG21" s="9">
        <f>'Pharm Demand'!AG51</f>
        <v>0</v>
      </c>
      <c r="AH21" s="9">
        <f>'Pharm Demand'!AH51</f>
        <v>0</v>
      </c>
      <c r="AI21" s="9">
        <f>'Pharm Demand'!AI51</f>
        <v>0</v>
      </c>
      <c r="AJ21" s="9">
        <f>'Pharm Demand'!AJ51</f>
        <v>0</v>
      </c>
      <c r="AK21" s="9">
        <f>'Pharm Demand'!AK51</f>
        <v>0</v>
      </c>
      <c r="AL21" s="9">
        <f>'Pharm Demand'!AL51</f>
        <v>0</v>
      </c>
      <c r="AM21" s="9">
        <f>'Pharm Demand'!AM51</f>
        <v>0</v>
      </c>
      <c r="AN21" s="9">
        <f>'Pharm Demand'!AN51</f>
        <v>0</v>
      </c>
      <c r="AO21" s="9">
        <f>'Pharm Demand'!AO51</f>
        <v>12.607384283502087</v>
      </c>
      <c r="AP21" s="9">
        <f>'Pharm Demand'!AP51</f>
        <v>371.16139330630142</v>
      </c>
      <c r="AQ21" s="9">
        <f>'Pharm Demand'!AQ51</f>
        <v>425.28909649680384</v>
      </c>
      <c r="AR21" s="9">
        <f>'Pharm Demand'!AR51</f>
        <v>451.34423968045473</v>
      </c>
      <c r="AS21" s="9">
        <f>'Pharm Demand'!AS51</f>
        <v>479.41679968730597</v>
      </c>
      <c r="AT21" s="9">
        <f>'Pharm Demand'!AT51</f>
        <v>0</v>
      </c>
      <c r="AU21" s="9">
        <f>'Pharm Demand'!AU51</f>
        <v>0</v>
      </c>
      <c r="AV21" s="9">
        <f>'Pharm Demand'!AV51</f>
        <v>0</v>
      </c>
      <c r="AW21" s="9">
        <f>'Pharm Demand'!AW51</f>
        <v>0</v>
      </c>
      <c r="AX21" s="9">
        <f>'Pharm Demand'!AX51</f>
        <v>0</v>
      </c>
    </row>
    <row r="22" spans="1:50">
      <c r="A22" s="1" t="s">
        <v>90</v>
      </c>
      <c r="B22" s="61" t="s">
        <v>14</v>
      </c>
      <c r="C22" s="9">
        <f>'Pharm Demand'!C52</f>
        <v>0</v>
      </c>
      <c r="D22" s="9">
        <f>'Pharm Demand'!D52</f>
        <v>0</v>
      </c>
      <c r="E22" s="9">
        <f>'Pharm Demand'!E52</f>
        <v>0</v>
      </c>
      <c r="F22" s="9">
        <f>'Pharm Demand'!F52</f>
        <v>0</v>
      </c>
      <c r="G22" s="9">
        <f>'Pharm Demand'!G52</f>
        <v>0</v>
      </c>
      <c r="H22" s="9">
        <f>'Pharm Demand'!H52</f>
        <v>0</v>
      </c>
      <c r="I22" s="9">
        <f>'Pharm Demand'!I52</f>
        <v>0</v>
      </c>
      <c r="J22" s="9">
        <f>'Pharm Demand'!J52</f>
        <v>0</v>
      </c>
      <c r="K22" s="9">
        <f>'Pharm Demand'!K52</f>
        <v>0</v>
      </c>
      <c r="L22" s="9">
        <f>'Pharm Demand'!L52</f>
        <v>0</v>
      </c>
      <c r="M22" s="9">
        <f>'Pharm Demand'!M52</f>
        <v>0</v>
      </c>
      <c r="N22" s="9">
        <f>'Pharm Demand'!N52</f>
        <v>0</v>
      </c>
      <c r="O22" s="9">
        <f>'Pharm Demand'!O52</f>
        <v>0</v>
      </c>
      <c r="P22" s="9">
        <f>'Pharm Demand'!P52</f>
        <v>0</v>
      </c>
      <c r="Q22" s="9">
        <f>'Pharm Demand'!Q52</f>
        <v>0</v>
      </c>
      <c r="R22" s="9">
        <f>'Pharm Demand'!R52</f>
        <v>0</v>
      </c>
      <c r="S22" s="9">
        <f>'Pharm Demand'!S52</f>
        <v>0</v>
      </c>
      <c r="T22" s="9">
        <f>'Pharm Demand'!T52</f>
        <v>0</v>
      </c>
      <c r="U22" s="9">
        <f>'Pharm Demand'!U52</f>
        <v>0</v>
      </c>
      <c r="V22" s="9">
        <f>'Pharm Demand'!V52</f>
        <v>0</v>
      </c>
      <c r="W22" s="9">
        <f>'Pharm Demand'!W52</f>
        <v>0</v>
      </c>
      <c r="X22" s="9">
        <f>'Pharm Demand'!X52</f>
        <v>0</v>
      </c>
      <c r="Y22" s="9">
        <f>'Pharm Demand'!Y52</f>
        <v>0</v>
      </c>
      <c r="Z22" s="9">
        <f>'Pharm Demand'!Z52</f>
        <v>0</v>
      </c>
      <c r="AA22" s="9">
        <f>'Pharm Demand'!AA52</f>
        <v>0</v>
      </c>
      <c r="AB22" s="9">
        <f>'Pharm Demand'!AB52</f>
        <v>0</v>
      </c>
      <c r="AC22" s="9">
        <f>'Pharm Demand'!AC52</f>
        <v>0</v>
      </c>
      <c r="AD22" s="9">
        <f>'Pharm Demand'!AD52</f>
        <v>0</v>
      </c>
      <c r="AE22" s="9">
        <f>'Pharm Demand'!AE52</f>
        <v>0</v>
      </c>
      <c r="AF22" s="9">
        <f>'Pharm Demand'!AF52</f>
        <v>0</v>
      </c>
      <c r="AG22" s="9">
        <f>'Pharm Demand'!AG52</f>
        <v>0</v>
      </c>
      <c r="AH22" s="9">
        <f>'Pharm Demand'!AH52</f>
        <v>9.9641917808219169</v>
      </c>
      <c r="AI22" s="9">
        <f>'Pharm Demand'!AI52</f>
        <v>298.92575342465761</v>
      </c>
      <c r="AJ22" s="9">
        <f>'Pharm Demand'!AJ52</f>
        <v>308.88994520547942</v>
      </c>
      <c r="AK22" s="9">
        <f>'Pharm Demand'!AK52</f>
        <v>308.88994520547942</v>
      </c>
      <c r="AL22" s="9">
        <f>'Pharm Demand'!AL52</f>
        <v>298.92575342465761</v>
      </c>
      <c r="AM22" s="9">
        <f>'Pharm Demand'!AM52</f>
        <v>314.29748356592467</v>
      </c>
      <c r="AN22" s="9">
        <f>'Pharm Demand'!AN52</f>
        <v>316.09346918630138</v>
      </c>
      <c r="AO22" s="9">
        <f>'Pharm Demand'!AO52</f>
        <v>323.27741166780822</v>
      </c>
      <c r="AP22" s="9">
        <f>'Pharm Demand'!AP52</f>
        <v>332.25733976969178</v>
      </c>
      <c r="AQ22" s="9">
        <f>'Pharm Demand'!AQ52</f>
        <v>341.23726787157534</v>
      </c>
      <c r="AR22" s="9">
        <f>'Pharm Demand'!AR52</f>
        <v>350.21719597345884</v>
      </c>
      <c r="AS22" s="9">
        <f>'Pharm Demand'!AS52</f>
        <v>355.60515283458909</v>
      </c>
      <c r="AT22" s="9">
        <f>'Pharm Demand'!AT52</f>
        <v>0</v>
      </c>
      <c r="AU22" s="9">
        <f>'Pharm Demand'!AU52</f>
        <v>0</v>
      </c>
      <c r="AV22" s="9">
        <f>'Pharm Demand'!AV52</f>
        <v>0</v>
      </c>
      <c r="AW22" s="9">
        <f>'Pharm Demand'!AW52</f>
        <v>0</v>
      </c>
      <c r="AX22" s="9">
        <f>'Pharm Demand'!AX52</f>
        <v>0</v>
      </c>
    </row>
    <row r="23" spans="1:50">
      <c r="A23" s="1" t="s">
        <v>19</v>
      </c>
      <c r="B23" s="61" t="s">
        <v>14</v>
      </c>
      <c r="C23" s="9">
        <f>'Pharm Demand'!C53</f>
        <v>5.4000000000000001E-4</v>
      </c>
      <c r="D23" s="9">
        <f>'Pharm Demand'!D53</f>
        <v>3.5999999999999997E-4</v>
      </c>
      <c r="E23" s="9">
        <f>'Pharm Demand'!E53</f>
        <v>3.5999999999999997E-4</v>
      </c>
      <c r="F23" s="9">
        <f>'Pharm Demand'!F53</f>
        <v>0</v>
      </c>
      <c r="G23" s="9">
        <f>'Pharm Demand'!G53</f>
        <v>3.5999999999999997E-4</v>
      </c>
      <c r="H23" s="9">
        <f>'Pharm Demand'!H53</f>
        <v>3.5999999999999997E-4</v>
      </c>
      <c r="I23" s="9">
        <f>'Pharm Demand'!I53</f>
        <v>3.5999999999999997E-4</v>
      </c>
      <c r="J23" s="9">
        <f>'Pharm Demand'!J53</f>
        <v>0</v>
      </c>
      <c r="K23" s="9">
        <f>'Pharm Demand'!K53</f>
        <v>0</v>
      </c>
      <c r="L23" s="9">
        <f>'Pharm Demand'!L53</f>
        <v>0</v>
      </c>
      <c r="M23" s="9">
        <f>'Pharm Demand'!M53</f>
        <v>0</v>
      </c>
      <c r="N23" s="9">
        <f>'Pharm Demand'!N53</f>
        <v>0</v>
      </c>
      <c r="O23" s="9">
        <f>'Pharm Demand'!O53</f>
        <v>0</v>
      </c>
      <c r="P23" s="9">
        <f>'Pharm Demand'!P53</f>
        <v>0</v>
      </c>
      <c r="Q23" s="9">
        <f>'Pharm Demand'!Q53</f>
        <v>0</v>
      </c>
      <c r="R23" s="9">
        <f>'Pharm Demand'!R53</f>
        <v>0</v>
      </c>
      <c r="S23" s="9">
        <f>'Pharm Demand'!S53</f>
        <v>0</v>
      </c>
      <c r="T23" s="9">
        <f>'Pharm Demand'!T53</f>
        <v>0</v>
      </c>
      <c r="U23" s="9">
        <f>'Pharm Demand'!U53</f>
        <v>0</v>
      </c>
      <c r="V23" s="9">
        <f>'Pharm Demand'!V53</f>
        <v>0</v>
      </c>
      <c r="W23" s="9">
        <f>'Pharm Demand'!W53</f>
        <v>0</v>
      </c>
      <c r="X23" s="9">
        <f>'Pharm Demand'!X53</f>
        <v>0</v>
      </c>
      <c r="Y23" s="9">
        <f>'Pharm Demand'!Y53</f>
        <v>0</v>
      </c>
      <c r="Z23" s="9">
        <f>'Pharm Demand'!Z53</f>
        <v>0</v>
      </c>
      <c r="AA23" s="9">
        <f>'Pharm Demand'!AA53</f>
        <v>0</v>
      </c>
      <c r="AB23" s="9">
        <f>'Pharm Demand'!AB53</f>
        <v>0</v>
      </c>
      <c r="AC23" s="9">
        <f>'Pharm Demand'!AC53</f>
        <v>0</v>
      </c>
      <c r="AD23" s="9">
        <f>'Pharm Demand'!AD53</f>
        <v>0</v>
      </c>
      <c r="AE23" s="9">
        <f>'Pharm Demand'!AE53</f>
        <v>0</v>
      </c>
      <c r="AF23" s="9">
        <f>'Pharm Demand'!AF53</f>
        <v>0</v>
      </c>
      <c r="AG23" s="9">
        <f>'Pharm Demand'!AG53</f>
        <v>1004.8172054794519</v>
      </c>
      <c r="AH23" s="9">
        <f>'Pharm Demand'!AH53</f>
        <v>1959.3935506849316</v>
      </c>
      <c r="AI23" s="9">
        <f>'Pharm Demand'!AI53</f>
        <v>1979.4898947945205</v>
      </c>
      <c r="AJ23" s="9">
        <f>'Pharm Demand'!AJ53</f>
        <v>2009.6344109589038</v>
      </c>
      <c r="AK23" s="9">
        <f>'Pharm Demand'!AK53</f>
        <v>2039.7789271232873</v>
      </c>
      <c r="AL23" s="9">
        <f>'Pharm Demand'!AL53</f>
        <v>2059.8752712328765</v>
      </c>
      <c r="AM23" s="9">
        <f>'Pharm Demand'!AM53</f>
        <v>2117.7162107787676</v>
      </c>
      <c r="AN23" s="9">
        <f>'Pharm Demand'!AN53</f>
        <v>2359.740920582055</v>
      </c>
      <c r="AO23" s="9">
        <f>'Pharm Demand'!AO53</f>
        <v>2420.2470980328776</v>
      </c>
      <c r="AP23" s="9">
        <f>'Pharm Demand'!AP53</f>
        <v>2632.0187191107534</v>
      </c>
      <c r="AQ23" s="9">
        <f>'Pharm Demand'!AQ53</f>
        <v>2722.7779852869876</v>
      </c>
      <c r="AR23" s="9">
        <f>'Pharm Demand'!AR53</f>
        <v>2964.802695090274</v>
      </c>
      <c r="AS23" s="9">
        <f>'Pharm Demand'!AS53</f>
        <v>3025.3088725410962</v>
      </c>
      <c r="AT23" s="9">
        <f>'Pharm Demand'!AT53</f>
        <v>0</v>
      </c>
      <c r="AU23" s="9">
        <f>'Pharm Demand'!AU53</f>
        <v>0</v>
      </c>
      <c r="AV23" s="9">
        <f>'Pharm Demand'!AV53</f>
        <v>0</v>
      </c>
      <c r="AW23" s="9">
        <f>'Pharm Demand'!AW53</f>
        <v>0</v>
      </c>
      <c r="AX23" s="9">
        <f>'Pharm Demand'!AX53</f>
        <v>0</v>
      </c>
    </row>
    <row r="24" spans="1:50">
      <c r="A24" s="1" t="s">
        <v>117</v>
      </c>
      <c r="B24" s="61" t="s">
        <v>14</v>
      </c>
      <c r="C24" s="9">
        <f>'Pharm Demand'!C54</f>
        <v>0</v>
      </c>
      <c r="D24" s="9">
        <f>'Pharm Demand'!D54</f>
        <v>0</v>
      </c>
      <c r="E24" s="9">
        <f>'Pharm Demand'!E54</f>
        <v>0</v>
      </c>
      <c r="F24" s="9">
        <f>'Pharm Demand'!F54</f>
        <v>0</v>
      </c>
      <c r="G24" s="9">
        <f>'Pharm Demand'!G54</f>
        <v>0</v>
      </c>
      <c r="H24" s="9">
        <f>'Pharm Demand'!H54</f>
        <v>0</v>
      </c>
      <c r="I24" s="9">
        <f>'Pharm Demand'!I54</f>
        <v>0</v>
      </c>
      <c r="J24" s="9">
        <f>'Pharm Demand'!J54</f>
        <v>0</v>
      </c>
      <c r="K24" s="9">
        <f>'Pharm Demand'!K54</f>
        <v>0</v>
      </c>
      <c r="L24" s="9">
        <f>'Pharm Demand'!L54</f>
        <v>0</v>
      </c>
      <c r="M24" s="9">
        <f>'Pharm Demand'!M54</f>
        <v>0</v>
      </c>
      <c r="N24" s="9">
        <f>'Pharm Demand'!N54</f>
        <v>0</v>
      </c>
      <c r="O24" s="9">
        <f>'Pharm Demand'!O54</f>
        <v>0</v>
      </c>
      <c r="P24" s="9">
        <f>'Pharm Demand'!P54</f>
        <v>0</v>
      </c>
      <c r="Q24" s="9">
        <f>'Pharm Demand'!Q54</f>
        <v>0</v>
      </c>
      <c r="R24" s="9">
        <f>'Pharm Demand'!R54</f>
        <v>0</v>
      </c>
      <c r="S24" s="9">
        <f>'Pharm Demand'!S54</f>
        <v>0</v>
      </c>
      <c r="T24" s="9">
        <f>'Pharm Demand'!T54</f>
        <v>0</v>
      </c>
      <c r="U24" s="9">
        <f>'Pharm Demand'!U54</f>
        <v>0</v>
      </c>
      <c r="V24" s="9">
        <f>'Pharm Demand'!V54</f>
        <v>0</v>
      </c>
      <c r="W24" s="9">
        <f>'Pharm Demand'!W54</f>
        <v>0</v>
      </c>
      <c r="X24" s="9">
        <f>'Pharm Demand'!X54</f>
        <v>0</v>
      </c>
      <c r="Y24" s="9">
        <f>'Pharm Demand'!Y54</f>
        <v>0</v>
      </c>
      <c r="Z24" s="9">
        <f>'Pharm Demand'!Z54</f>
        <v>0</v>
      </c>
      <c r="AA24" s="9">
        <f>'Pharm Demand'!AA54</f>
        <v>0</v>
      </c>
      <c r="AB24" s="9">
        <f>'Pharm Demand'!AB54</f>
        <v>0</v>
      </c>
      <c r="AC24" s="9">
        <f>'Pharm Demand'!AC54</f>
        <v>0</v>
      </c>
      <c r="AD24" s="9">
        <f>'Pharm Demand'!AD54</f>
        <v>0</v>
      </c>
      <c r="AE24" s="9">
        <f>'Pharm Demand'!AE54</f>
        <v>0</v>
      </c>
      <c r="AF24" s="9">
        <f>'Pharm Demand'!AF54</f>
        <v>0</v>
      </c>
      <c r="AG24" s="9">
        <f>'Pharm Demand'!AG54</f>
        <v>0</v>
      </c>
      <c r="AH24" s="9">
        <f>'Pharm Demand'!AH54</f>
        <v>0</v>
      </c>
      <c r="AI24" s="9">
        <f>'Pharm Demand'!AI54</f>
        <v>0</v>
      </c>
      <c r="AJ24" s="9">
        <f>'Pharm Demand'!AJ54</f>
        <v>0</v>
      </c>
      <c r="AK24" s="9">
        <f>'Pharm Demand'!AK54</f>
        <v>0</v>
      </c>
      <c r="AL24" s="9">
        <f>'Pharm Demand'!AL54</f>
        <v>0</v>
      </c>
      <c r="AM24" s="9">
        <f>'Pharm Demand'!AM54</f>
        <v>0</v>
      </c>
      <c r="AN24" s="9">
        <f>'Pharm Demand'!AN54</f>
        <v>0</v>
      </c>
      <c r="AO24" s="9">
        <f>'Pharm Demand'!AO54</f>
        <v>0</v>
      </c>
      <c r="AP24" s="9">
        <f>'Pharm Demand'!AP54</f>
        <v>0</v>
      </c>
      <c r="AQ24" s="9">
        <f>'Pharm Demand'!AQ54</f>
        <v>0</v>
      </c>
      <c r="AR24" s="9">
        <f>'Pharm Demand'!AR54</f>
        <v>0</v>
      </c>
      <c r="AS24" s="9">
        <f>'Pharm Demand'!AS54</f>
        <v>0</v>
      </c>
      <c r="AT24" s="9">
        <f>'Pharm Demand'!AT54</f>
        <v>0</v>
      </c>
      <c r="AU24" s="9">
        <f>'Pharm Demand'!AU54</f>
        <v>0</v>
      </c>
      <c r="AV24" s="9">
        <f>'Pharm Demand'!AV54</f>
        <v>0</v>
      </c>
      <c r="AW24" s="9">
        <f>'Pharm Demand'!AW54</f>
        <v>0</v>
      </c>
      <c r="AX24" s="9">
        <f>'Pharm Demand'!AX54</f>
        <v>0</v>
      </c>
    </row>
    <row r="25" spans="1:50">
      <c r="A25" s="1" t="s">
        <v>118</v>
      </c>
      <c r="B25" s="61" t="s">
        <v>14</v>
      </c>
      <c r="C25" s="9">
        <f>'Pharm Demand'!C55</f>
        <v>0</v>
      </c>
      <c r="D25" s="9">
        <f>'Pharm Demand'!D55</f>
        <v>0</v>
      </c>
      <c r="E25" s="9">
        <f>'Pharm Demand'!E55</f>
        <v>0</v>
      </c>
      <c r="F25" s="9">
        <f>'Pharm Demand'!F55</f>
        <v>0</v>
      </c>
      <c r="G25" s="9">
        <f>'Pharm Demand'!G55</f>
        <v>0</v>
      </c>
      <c r="H25" s="9">
        <f>'Pharm Demand'!H55</f>
        <v>0</v>
      </c>
      <c r="I25" s="9">
        <f>'Pharm Demand'!I55</f>
        <v>0</v>
      </c>
      <c r="J25" s="9">
        <f>'Pharm Demand'!J55</f>
        <v>0</v>
      </c>
      <c r="K25" s="9">
        <f>'Pharm Demand'!K55</f>
        <v>0</v>
      </c>
      <c r="L25" s="9">
        <f>'Pharm Demand'!L55</f>
        <v>0</v>
      </c>
      <c r="M25" s="9">
        <f>'Pharm Demand'!M55</f>
        <v>0</v>
      </c>
      <c r="N25" s="9">
        <f>'Pharm Demand'!N55</f>
        <v>0</v>
      </c>
      <c r="O25" s="9">
        <f>'Pharm Demand'!O55</f>
        <v>0</v>
      </c>
      <c r="P25" s="9">
        <f>'Pharm Demand'!P55</f>
        <v>0</v>
      </c>
      <c r="Q25" s="9">
        <f>'Pharm Demand'!Q55</f>
        <v>0</v>
      </c>
      <c r="R25" s="9">
        <f>'Pharm Demand'!R55</f>
        <v>0</v>
      </c>
      <c r="S25" s="9">
        <f>'Pharm Demand'!S55</f>
        <v>0</v>
      </c>
      <c r="T25" s="9">
        <f>'Pharm Demand'!T55</f>
        <v>0</v>
      </c>
      <c r="U25" s="9">
        <f>'Pharm Demand'!U55</f>
        <v>0</v>
      </c>
      <c r="V25" s="9">
        <f>'Pharm Demand'!V55</f>
        <v>0</v>
      </c>
      <c r="W25" s="9">
        <f>'Pharm Demand'!W55</f>
        <v>0</v>
      </c>
      <c r="X25" s="9">
        <f>'Pharm Demand'!X55</f>
        <v>0</v>
      </c>
      <c r="Y25" s="9">
        <f>'Pharm Demand'!Y55</f>
        <v>0</v>
      </c>
      <c r="Z25" s="9">
        <f>'Pharm Demand'!Z55</f>
        <v>0</v>
      </c>
      <c r="AA25" s="9">
        <f>'Pharm Demand'!AA55</f>
        <v>0</v>
      </c>
      <c r="AB25" s="9">
        <f>'Pharm Demand'!AB55</f>
        <v>0</v>
      </c>
      <c r="AC25" s="9">
        <f>'Pharm Demand'!AC55</f>
        <v>0</v>
      </c>
      <c r="AD25" s="9">
        <f>'Pharm Demand'!AD55</f>
        <v>0</v>
      </c>
      <c r="AE25" s="9">
        <f>'Pharm Demand'!AE55</f>
        <v>0</v>
      </c>
      <c r="AF25" s="9">
        <f>'Pharm Demand'!AF55</f>
        <v>0</v>
      </c>
      <c r="AG25" s="9">
        <f>'Pharm Demand'!AG55</f>
        <v>0</v>
      </c>
      <c r="AH25" s="9">
        <f>'Pharm Demand'!AH55</f>
        <v>0</v>
      </c>
      <c r="AI25" s="9">
        <f>'Pharm Demand'!AI55</f>
        <v>0</v>
      </c>
      <c r="AJ25" s="9">
        <f>'Pharm Demand'!AJ55</f>
        <v>0</v>
      </c>
      <c r="AK25" s="9">
        <f>'Pharm Demand'!AK55</f>
        <v>0</v>
      </c>
      <c r="AL25" s="9">
        <f>'Pharm Demand'!AL55</f>
        <v>0</v>
      </c>
      <c r="AM25" s="9">
        <f>'Pharm Demand'!AM55</f>
        <v>0</v>
      </c>
      <c r="AN25" s="9">
        <f>'Pharm Demand'!AN55</f>
        <v>0</v>
      </c>
      <c r="AO25" s="9">
        <f>'Pharm Demand'!AO55</f>
        <v>0</v>
      </c>
      <c r="AP25" s="9">
        <f>'Pharm Demand'!AP55</f>
        <v>0</v>
      </c>
      <c r="AQ25" s="9">
        <f>'Pharm Demand'!AQ55</f>
        <v>0</v>
      </c>
      <c r="AR25" s="9">
        <f>'Pharm Demand'!AR55</f>
        <v>0</v>
      </c>
      <c r="AS25" s="9">
        <f>'Pharm Demand'!AS55</f>
        <v>0</v>
      </c>
      <c r="AT25" s="9">
        <f>'Pharm Demand'!AT55</f>
        <v>0</v>
      </c>
      <c r="AU25" s="9">
        <f>'Pharm Demand'!AU55</f>
        <v>0</v>
      </c>
      <c r="AV25" s="9">
        <f>'Pharm Demand'!AV55</f>
        <v>0</v>
      </c>
      <c r="AW25" s="9">
        <f>'Pharm Demand'!AW55</f>
        <v>0</v>
      </c>
      <c r="AX25" s="9">
        <f>'Pharm Demand'!AX55</f>
        <v>0</v>
      </c>
    </row>
    <row r="26" spans="1:50">
      <c r="A26" s="1" t="s">
        <v>119</v>
      </c>
      <c r="B26" s="61" t="s">
        <v>14</v>
      </c>
      <c r="C26" s="9">
        <f>'Pharm Demand'!C56</f>
        <v>0</v>
      </c>
      <c r="D26" s="9">
        <f>'Pharm Demand'!D56</f>
        <v>0</v>
      </c>
      <c r="E26" s="9">
        <f>'Pharm Demand'!E56</f>
        <v>0</v>
      </c>
      <c r="F26" s="9">
        <f>'Pharm Demand'!F56</f>
        <v>0</v>
      </c>
      <c r="G26" s="9">
        <f>'Pharm Demand'!G56</f>
        <v>0</v>
      </c>
      <c r="H26" s="9">
        <f>'Pharm Demand'!H56</f>
        <v>0</v>
      </c>
      <c r="I26" s="9">
        <f>'Pharm Demand'!I56</f>
        <v>0</v>
      </c>
      <c r="J26" s="9">
        <f>'Pharm Demand'!J56</f>
        <v>0</v>
      </c>
      <c r="K26" s="9">
        <f>'Pharm Demand'!K56</f>
        <v>0</v>
      </c>
      <c r="L26" s="9">
        <f>'Pharm Demand'!L56</f>
        <v>0</v>
      </c>
      <c r="M26" s="9">
        <f>'Pharm Demand'!M56</f>
        <v>0</v>
      </c>
      <c r="N26" s="9">
        <f>'Pharm Demand'!N56</f>
        <v>0</v>
      </c>
      <c r="O26" s="9">
        <f>'Pharm Demand'!O56</f>
        <v>0</v>
      </c>
      <c r="P26" s="9">
        <f>'Pharm Demand'!P56</f>
        <v>0</v>
      </c>
      <c r="Q26" s="9">
        <f>'Pharm Demand'!Q56</f>
        <v>0</v>
      </c>
      <c r="R26" s="9">
        <f>'Pharm Demand'!R56</f>
        <v>0</v>
      </c>
      <c r="S26" s="9">
        <f>'Pharm Demand'!S56</f>
        <v>0</v>
      </c>
      <c r="T26" s="9">
        <f>'Pharm Demand'!T56</f>
        <v>0</v>
      </c>
      <c r="U26" s="9">
        <f>'Pharm Demand'!U56</f>
        <v>0</v>
      </c>
      <c r="V26" s="9">
        <f>'Pharm Demand'!V56</f>
        <v>0</v>
      </c>
      <c r="W26" s="9">
        <f>'Pharm Demand'!W56</f>
        <v>0</v>
      </c>
      <c r="X26" s="9">
        <f>'Pharm Demand'!X56</f>
        <v>0</v>
      </c>
      <c r="Y26" s="9">
        <f>'Pharm Demand'!Y56</f>
        <v>0</v>
      </c>
      <c r="Z26" s="9">
        <f>'Pharm Demand'!Z56</f>
        <v>0</v>
      </c>
      <c r="AA26" s="9">
        <f>'Pharm Demand'!AA56</f>
        <v>0</v>
      </c>
      <c r="AB26" s="9">
        <f>'Pharm Demand'!AB56</f>
        <v>0</v>
      </c>
      <c r="AC26" s="9">
        <f>'Pharm Demand'!AC56</f>
        <v>0</v>
      </c>
      <c r="AD26" s="9">
        <f>'Pharm Demand'!AD56</f>
        <v>0</v>
      </c>
      <c r="AE26" s="9">
        <f>'Pharm Demand'!AE56</f>
        <v>0</v>
      </c>
      <c r="AF26" s="9">
        <f>'Pharm Demand'!AF56</f>
        <v>0</v>
      </c>
      <c r="AG26" s="9">
        <f>'Pharm Demand'!AG56</f>
        <v>0</v>
      </c>
      <c r="AH26" s="9">
        <f>'Pharm Demand'!AH56</f>
        <v>0</v>
      </c>
      <c r="AI26" s="9">
        <f>'Pharm Demand'!AI56</f>
        <v>0</v>
      </c>
      <c r="AJ26" s="9">
        <f>'Pharm Demand'!AJ56</f>
        <v>0</v>
      </c>
      <c r="AK26" s="9">
        <f>'Pharm Demand'!AK56</f>
        <v>0</v>
      </c>
      <c r="AL26" s="9">
        <f>'Pharm Demand'!AL56</f>
        <v>0</v>
      </c>
      <c r="AM26" s="9">
        <f>'Pharm Demand'!AM56</f>
        <v>0</v>
      </c>
      <c r="AN26" s="9">
        <f>'Pharm Demand'!AN56</f>
        <v>0</v>
      </c>
      <c r="AO26" s="9">
        <f>'Pharm Demand'!AO56</f>
        <v>0</v>
      </c>
      <c r="AP26" s="9">
        <f>'Pharm Demand'!AP56</f>
        <v>0</v>
      </c>
      <c r="AQ26" s="9">
        <f>'Pharm Demand'!AQ56</f>
        <v>0</v>
      </c>
      <c r="AR26" s="9">
        <f>'Pharm Demand'!AR56</f>
        <v>0</v>
      </c>
      <c r="AS26" s="9">
        <f>'Pharm Demand'!AS56</f>
        <v>0</v>
      </c>
      <c r="AT26" s="9">
        <f>'Pharm Demand'!AT56</f>
        <v>0</v>
      </c>
      <c r="AU26" s="9">
        <f>'Pharm Demand'!AU56</f>
        <v>0</v>
      </c>
      <c r="AV26" s="9">
        <f>'Pharm Demand'!AV56</f>
        <v>0</v>
      </c>
      <c r="AW26" s="9">
        <f>'Pharm Demand'!AW56</f>
        <v>0</v>
      </c>
      <c r="AX26" s="9">
        <f>'Pharm Demand'!AX56</f>
        <v>0</v>
      </c>
    </row>
    <row r="27" spans="1:50">
      <c r="A27" s="1" t="s">
        <v>120</v>
      </c>
      <c r="B27" s="61" t="s">
        <v>14</v>
      </c>
      <c r="C27" s="9">
        <f>'Pharm Demand'!C57</f>
        <v>0</v>
      </c>
      <c r="D27" s="9">
        <f>'Pharm Demand'!D57</f>
        <v>0</v>
      </c>
      <c r="E27" s="9">
        <f>'Pharm Demand'!E57</f>
        <v>0</v>
      </c>
      <c r="F27" s="9">
        <f>'Pharm Demand'!F57</f>
        <v>0</v>
      </c>
      <c r="G27" s="9">
        <f>'Pharm Demand'!G57</f>
        <v>0</v>
      </c>
      <c r="H27" s="9">
        <f>'Pharm Demand'!H57</f>
        <v>0</v>
      </c>
      <c r="I27" s="9">
        <f>'Pharm Demand'!I57</f>
        <v>0</v>
      </c>
      <c r="J27" s="9">
        <f>'Pharm Demand'!J57</f>
        <v>0</v>
      </c>
      <c r="K27" s="9">
        <f>'Pharm Demand'!K57</f>
        <v>0</v>
      </c>
      <c r="L27" s="9">
        <f>'Pharm Demand'!L57</f>
        <v>0</v>
      </c>
      <c r="M27" s="9">
        <f>'Pharm Demand'!M57</f>
        <v>0</v>
      </c>
      <c r="N27" s="9">
        <f>'Pharm Demand'!N57</f>
        <v>0</v>
      </c>
      <c r="O27" s="9">
        <f>'Pharm Demand'!O57</f>
        <v>0</v>
      </c>
      <c r="P27" s="9">
        <f>'Pharm Demand'!P57</f>
        <v>0</v>
      </c>
      <c r="Q27" s="9">
        <f>'Pharm Demand'!Q57</f>
        <v>0</v>
      </c>
      <c r="R27" s="9">
        <f>'Pharm Demand'!R57</f>
        <v>0</v>
      </c>
      <c r="S27" s="9">
        <f>'Pharm Demand'!S57</f>
        <v>0</v>
      </c>
      <c r="T27" s="9">
        <f>'Pharm Demand'!T57</f>
        <v>0</v>
      </c>
      <c r="U27" s="9">
        <f>'Pharm Demand'!U57</f>
        <v>0</v>
      </c>
      <c r="V27" s="9">
        <f>'Pharm Demand'!V57</f>
        <v>0</v>
      </c>
      <c r="W27" s="9">
        <f>'Pharm Demand'!W57</f>
        <v>0</v>
      </c>
      <c r="X27" s="9">
        <f>'Pharm Demand'!X57</f>
        <v>0</v>
      </c>
      <c r="Y27" s="9">
        <f>'Pharm Demand'!Y57</f>
        <v>0</v>
      </c>
      <c r="Z27" s="9">
        <f>'Pharm Demand'!Z57</f>
        <v>0</v>
      </c>
      <c r="AA27" s="9">
        <f>'Pharm Demand'!AA57</f>
        <v>0</v>
      </c>
      <c r="AB27" s="9">
        <f>'Pharm Demand'!AB57</f>
        <v>0</v>
      </c>
      <c r="AC27" s="9">
        <f>'Pharm Demand'!AC57</f>
        <v>0</v>
      </c>
      <c r="AD27" s="9">
        <f>'Pharm Demand'!AD57</f>
        <v>0</v>
      </c>
      <c r="AE27" s="9">
        <f>'Pharm Demand'!AE57</f>
        <v>0</v>
      </c>
      <c r="AF27" s="9">
        <f>'Pharm Demand'!AF57</f>
        <v>0</v>
      </c>
      <c r="AG27" s="9">
        <f>'Pharm Demand'!AG57</f>
        <v>0</v>
      </c>
      <c r="AH27" s="9">
        <f>'Pharm Demand'!AH57</f>
        <v>0</v>
      </c>
      <c r="AI27" s="9">
        <f>'Pharm Demand'!AI57</f>
        <v>0</v>
      </c>
      <c r="AJ27" s="9">
        <f>'Pharm Demand'!AJ57</f>
        <v>0</v>
      </c>
      <c r="AK27" s="9">
        <f>'Pharm Demand'!AK57</f>
        <v>0</v>
      </c>
      <c r="AL27" s="9">
        <f>'Pharm Demand'!AL57</f>
        <v>0</v>
      </c>
      <c r="AM27" s="9">
        <f>'Pharm Demand'!AM57</f>
        <v>0</v>
      </c>
      <c r="AN27" s="9">
        <f>'Pharm Demand'!AN57</f>
        <v>0</v>
      </c>
      <c r="AO27" s="9">
        <f>'Pharm Demand'!AO57</f>
        <v>0</v>
      </c>
      <c r="AP27" s="9">
        <f>'Pharm Demand'!AP57</f>
        <v>0</v>
      </c>
      <c r="AQ27" s="9">
        <f>'Pharm Demand'!AQ57</f>
        <v>0</v>
      </c>
      <c r="AR27" s="9">
        <f>'Pharm Demand'!AR57</f>
        <v>0</v>
      </c>
      <c r="AS27" s="9">
        <f>'Pharm Demand'!AS57</f>
        <v>0</v>
      </c>
      <c r="AT27" s="9">
        <f>'Pharm Demand'!AT57</f>
        <v>0</v>
      </c>
      <c r="AU27" s="9">
        <f>'Pharm Demand'!AU57</f>
        <v>0</v>
      </c>
      <c r="AV27" s="9">
        <f>'Pharm Demand'!AV57</f>
        <v>0</v>
      </c>
      <c r="AW27" s="9">
        <f>'Pharm Demand'!AW57</f>
        <v>0</v>
      </c>
      <c r="AX27" s="9">
        <f>'Pharm Demand'!AX57</f>
        <v>0</v>
      </c>
    </row>
    <row r="28" spans="1:50">
      <c r="A28" s="62" t="str">
        <f>'[1]Pharm Demand'!A49</f>
        <v>157001150221 Frt Exp-ADDICTION TREATMENT</v>
      </c>
      <c r="B28" s="61" t="s">
        <v>14</v>
      </c>
      <c r="C28" s="9">
        <f>'Pharm Demand'!C58</f>
        <v>54766.803239999994</v>
      </c>
      <c r="D28" s="9">
        <f>'Pharm Demand'!D58</f>
        <v>73895.760000000009</v>
      </c>
      <c r="E28" s="9">
        <f>'Pharm Demand'!E58</f>
        <v>63300.961080000001</v>
      </c>
      <c r="F28" s="9">
        <f>'Pharm Demand'!F58</f>
        <v>52302.240000000005</v>
      </c>
      <c r="G28" s="9">
        <f>'Pharm Demand'!G58</f>
        <v>70120.08</v>
      </c>
      <c r="H28" s="9">
        <f>'Pharm Demand'!H58</f>
        <v>57235.681080000002</v>
      </c>
      <c r="I28" s="9">
        <f>'Pharm Demand'!I58</f>
        <v>57123.361080000002</v>
      </c>
      <c r="J28" s="9">
        <f>'Pharm Demand'!J58</f>
        <v>76069.488379446644</v>
      </c>
      <c r="K28" s="9">
        <f>'Pharm Demand'!K58</f>
        <v>62169.055968379449</v>
      </c>
      <c r="L28" s="9">
        <f>'Pharm Demand'!L58</f>
        <v>57033.655968379448</v>
      </c>
      <c r="M28" s="9">
        <f>'Pharm Demand'!M58</f>
        <v>76527.408379446642</v>
      </c>
      <c r="N28" s="9">
        <f>'Pharm Demand'!N58</f>
        <v>67678.135968379444</v>
      </c>
      <c r="O28" s="9">
        <f>'Pharm Demand'!O58</f>
        <v>79871.311304347837</v>
      </c>
      <c r="P28" s="9">
        <f>'Pharm Demand'!P58</f>
        <v>86274.480000000025</v>
      </c>
      <c r="Q28" s="9">
        <f>'Pharm Demand'!Q58</f>
        <v>70693.841739130454</v>
      </c>
      <c r="R28" s="9">
        <f>'Pharm Demand'!R58</f>
        <v>72944.441739130445</v>
      </c>
      <c r="S28" s="9">
        <f>'Pharm Demand'!S58</f>
        <v>93137.499130434808</v>
      </c>
      <c r="T28" s="9">
        <f>'Pharm Demand'!T58</f>
        <v>71994.871304347835</v>
      </c>
      <c r="U28" s="9">
        <f>'Pharm Demand'!U58</f>
        <v>78292.591304347836</v>
      </c>
      <c r="V28" s="9">
        <f>'Pharm Demand'!V58</f>
        <v>93694.539130434801</v>
      </c>
      <c r="W28" s="9">
        <f>'Pharm Demand'!W58</f>
        <v>70358.56173913044</v>
      </c>
      <c r="X28" s="9">
        <f>'Pharm Demand'!X58</f>
        <v>78125.441739130445</v>
      </c>
      <c r="Y28" s="9">
        <f>'Pharm Demand'!Y58</f>
        <v>82746.4591304348</v>
      </c>
      <c r="Z28" s="9">
        <f>'Pharm Demand'!Z58</f>
        <v>78809.201739130454</v>
      </c>
      <c r="AA28" s="9">
        <f>'Pharm Demand'!AA58</f>
        <v>88590.950243478277</v>
      </c>
      <c r="AB28" s="9">
        <f>'Pharm Demand'!AB58</f>
        <v>77781.974400000021</v>
      </c>
      <c r="AC28" s="9">
        <f>'Pharm Demand'!AC58</f>
        <v>84293.759791304357</v>
      </c>
      <c r="AD28" s="9">
        <f>'Pharm Demand'!AD58</f>
        <v>76359.134191304358</v>
      </c>
      <c r="AE28" s="9">
        <f>'Pharm Demand'!AE58</f>
        <v>98229.348104347839</v>
      </c>
      <c r="AF28" s="9">
        <f>'Pharm Demand'!AF58</f>
        <v>73994.284643478284</v>
      </c>
      <c r="AG28" s="9">
        <f>'Pharm Demand'!AG58</f>
        <v>85522.333043478269</v>
      </c>
      <c r="AH28" s="9">
        <f>'Pharm Demand'!AH58</f>
        <v>87053.436104347842</v>
      </c>
      <c r="AI28" s="9">
        <f>'Pharm Demand'!AI58</f>
        <v>84592.871791304351</v>
      </c>
      <c r="AJ28" s="9">
        <f>'Pharm Demand'!AJ58</f>
        <v>77797.590991304358</v>
      </c>
      <c r="AK28" s="9">
        <f>'Pharm Demand'!AK58</f>
        <v>84510.984104347837</v>
      </c>
      <c r="AL28" s="9">
        <f>'Pharm Demand'!AL58</f>
        <v>78713.961391304372</v>
      </c>
      <c r="AM28" s="9">
        <f>'Pharm Demand'!AM58</f>
        <v>90268.40715078263</v>
      </c>
      <c r="AN28" s="9">
        <f>'Pharm Demand'!AN58</f>
        <v>80158.845660000035</v>
      </c>
      <c r="AO28" s="9">
        <f>'Pharm Demand'!AO58</f>
        <v>87868.662421043497</v>
      </c>
      <c r="AP28" s="9">
        <f>'Pharm Demand'!AP58</f>
        <v>77592.6152770435</v>
      </c>
      <c r="AQ28" s="9">
        <f>'Pharm Demand'!AQ58</f>
        <v>94388.547911478279</v>
      </c>
      <c r="AR28" s="9">
        <f>'Pharm Demand'!AR58</f>
        <v>76277.32990747827</v>
      </c>
      <c r="AS28" s="9">
        <f>'Pharm Demand'!AS58</f>
        <v>81937.868204590341</v>
      </c>
      <c r="AT28" s="9">
        <f>'Pharm Demand'!AT58</f>
        <v>81937.868204590341</v>
      </c>
      <c r="AU28" s="9">
        <f>'Pharm Demand'!AU58</f>
        <v>0</v>
      </c>
      <c r="AV28" s="9">
        <f>'Pharm Demand'!AV58</f>
        <v>0</v>
      </c>
      <c r="AW28" s="9">
        <f>'Pharm Demand'!AW58</f>
        <v>0</v>
      </c>
      <c r="AX28" s="9">
        <f>'Pharm Demand'!AX58</f>
        <v>0</v>
      </c>
    </row>
    <row r="29" spans="1:50">
      <c r="A29" s="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>
      <c r="A31" s="54" t="s">
        <v>15</v>
      </c>
      <c r="B31" s="58" t="s">
        <v>98</v>
      </c>
      <c r="C31" s="9">
        <v>3600</v>
      </c>
      <c r="D31" s="9">
        <v>3600</v>
      </c>
      <c r="E31" s="9">
        <v>3600</v>
      </c>
      <c r="F31" s="9">
        <v>3600</v>
      </c>
      <c r="G31" s="9">
        <v>3600</v>
      </c>
      <c r="H31" s="9">
        <v>3600</v>
      </c>
      <c r="I31" s="9">
        <v>3600</v>
      </c>
      <c r="J31" s="9">
        <v>3600</v>
      </c>
      <c r="K31" s="9">
        <v>3600</v>
      </c>
      <c r="L31" s="9">
        <v>3600</v>
      </c>
      <c r="M31" s="9">
        <v>3600</v>
      </c>
      <c r="N31" s="9">
        <v>3600</v>
      </c>
      <c r="O31" s="9">
        <v>3600</v>
      </c>
      <c r="P31" s="9">
        <v>3600</v>
      </c>
      <c r="Q31" s="9">
        <v>3600</v>
      </c>
      <c r="R31" s="9">
        <v>3600</v>
      </c>
      <c r="S31" s="9">
        <v>3600</v>
      </c>
      <c r="T31" s="9">
        <v>3600</v>
      </c>
      <c r="U31" s="9">
        <v>3600</v>
      </c>
      <c r="V31" s="9">
        <v>3600</v>
      </c>
      <c r="W31" s="9">
        <v>3600</v>
      </c>
      <c r="X31" s="9">
        <v>3600</v>
      </c>
      <c r="Y31" s="9">
        <v>3600</v>
      </c>
      <c r="Z31" s="9">
        <v>3600</v>
      </c>
      <c r="AA31" s="9">
        <v>3600</v>
      </c>
      <c r="AB31" s="9">
        <v>3600</v>
      </c>
      <c r="AC31" s="9">
        <v>3600</v>
      </c>
      <c r="AD31" s="9">
        <v>3600</v>
      </c>
      <c r="AE31" s="9">
        <v>3600</v>
      </c>
      <c r="AF31" s="9">
        <v>3600</v>
      </c>
      <c r="AG31" s="9">
        <v>3600</v>
      </c>
      <c r="AH31" s="9">
        <v>3600</v>
      </c>
      <c r="AI31" s="9">
        <v>3600</v>
      </c>
      <c r="AJ31" s="9">
        <v>3600</v>
      </c>
      <c r="AK31" s="9">
        <v>3600</v>
      </c>
      <c r="AL31" s="9">
        <v>3600</v>
      </c>
      <c r="AM31" s="9">
        <v>3600</v>
      </c>
      <c r="AN31" s="9">
        <v>3600</v>
      </c>
      <c r="AO31" s="9">
        <v>3600</v>
      </c>
      <c r="AP31" s="9">
        <v>3600</v>
      </c>
      <c r="AQ31" s="9">
        <v>3600</v>
      </c>
      <c r="AR31" s="9">
        <v>3600</v>
      </c>
      <c r="AS31" s="9">
        <v>3600</v>
      </c>
      <c r="AT31" s="9">
        <v>3600</v>
      </c>
      <c r="AU31" s="9">
        <v>3600</v>
      </c>
      <c r="AV31" s="9">
        <v>3600</v>
      </c>
      <c r="AW31" s="9">
        <v>3600</v>
      </c>
      <c r="AX31" s="9">
        <v>3600</v>
      </c>
    </row>
    <row r="32" spans="1:50">
      <c r="A32" s="54" t="s">
        <v>16</v>
      </c>
      <c r="B32" s="58" t="s">
        <v>98</v>
      </c>
      <c r="C32" s="9">
        <v>3000</v>
      </c>
      <c r="D32" s="9">
        <v>3000</v>
      </c>
      <c r="E32" s="9">
        <v>3000</v>
      </c>
      <c r="F32" s="9">
        <v>3000</v>
      </c>
      <c r="G32" s="9">
        <v>3000</v>
      </c>
      <c r="H32" s="9">
        <v>3000</v>
      </c>
      <c r="I32" s="9">
        <v>3000</v>
      </c>
      <c r="J32" s="9">
        <v>3000</v>
      </c>
      <c r="K32" s="9">
        <v>3000</v>
      </c>
      <c r="L32" s="9">
        <v>3000</v>
      </c>
      <c r="M32" s="9">
        <v>3000</v>
      </c>
      <c r="N32" s="9">
        <v>3000</v>
      </c>
      <c r="O32" s="9">
        <v>3000</v>
      </c>
      <c r="P32" s="9">
        <v>3000</v>
      </c>
      <c r="Q32" s="9">
        <v>3000</v>
      </c>
      <c r="R32" s="9">
        <v>3000</v>
      </c>
      <c r="S32" s="9">
        <v>3000</v>
      </c>
      <c r="T32" s="9">
        <v>3000</v>
      </c>
      <c r="U32" s="9">
        <v>3000</v>
      </c>
      <c r="V32" s="9">
        <v>3000</v>
      </c>
      <c r="W32" s="9">
        <v>3000</v>
      </c>
      <c r="X32" s="9">
        <v>3000</v>
      </c>
      <c r="Y32" s="9">
        <v>3000</v>
      </c>
      <c r="Z32" s="9">
        <v>3000</v>
      </c>
      <c r="AA32" s="9">
        <v>3000</v>
      </c>
      <c r="AB32" s="9">
        <v>3000</v>
      </c>
      <c r="AC32" s="9">
        <v>3000</v>
      </c>
      <c r="AD32" s="9">
        <v>3000</v>
      </c>
      <c r="AE32" s="9">
        <v>3000</v>
      </c>
      <c r="AF32" s="9">
        <v>3000</v>
      </c>
      <c r="AG32" s="9">
        <v>3000</v>
      </c>
      <c r="AH32" s="9">
        <v>3000</v>
      </c>
      <c r="AI32" s="9">
        <v>3000</v>
      </c>
      <c r="AJ32" s="9">
        <v>3000</v>
      </c>
      <c r="AK32" s="9">
        <v>3000</v>
      </c>
      <c r="AL32" s="9">
        <v>3000</v>
      </c>
      <c r="AM32" s="9">
        <v>3000</v>
      </c>
      <c r="AN32" s="9">
        <v>3000</v>
      </c>
      <c r="AO32" s="9">
        <v>3000</v>
      </c>
      <c r="AP32" s="9">
        <v>3000</v>
      </c>
      <c r="AQ32" s="9">
        <v>3000</v>
      </c>
      <c r="AR32" s="9">
        <v>3000</v>
      </c>
      <c r="AS32" s="9">
        <v>3000</v>
      </c>
      <c r="AT32" s="9">
        <v>3000</v>
      </c>
      <c r="AU32" s="9">
        <v>3000</v>
      </c>
      <c r="AV32" s="9">
        <v>3000</v>
      </c>
      <c r="AW32" s="9">
        <v>3000</v>
      </c>
      <c r="AX32" s="9">
        <v>3000</v>
      </c>
    </row>
    <row r="33" spans="1:50">
      <c r="A33" s="54" t="s">
        <v>17</v>
      </c>
      <c r="B33" s="58" t="s">
        <v>98</v>
      </c>
      <c r="C33" s="9">
        <v>3000</v>
      </c>
      <c r="D33" s="9">
        <v>3000</v>
      </c>
      <c r="E33" s="9">
        <v>3000</v>
      </c>
      <c r="F33" s="9">
        <v>3000</v>
      </c>
      <c r="G33" s="9">
        <v>3000</v>
      </c>
      <c r="H33" s="9">
        <v>3000</v>
      </c>
      <c r="I33" s="9">
        <v>3000</v>
      </c>
      <c r="J33" s="9">
        <v>3000</v>
      </c>
      <c r="K33" s="9">
        <v>3000</v>
      </c>
      <c r="L33" s="9">
        <v>3000</v>
      </c>
      <c r="M33" s="9">
        <v>3000</v>
      </c>
      <c r="N33" s="9">
        <v>3000</v>
      </c>
      <c r="O33" s="9">
        <v>3000</v>
      </c>
      <c r="P33" s="9">
        <v>3000</v>
      </c>
      <c r="Q33" s="9">
        <v>3000</v>
      </c>
      <c r="R33" s="9">
        <v>3000</v>
      </c>
      <c r="S33" s="9">
        <v>3000</v>
      </c>
      <c r="T33" s="9">
        <v>3000</v>
      </c>
      <c r="U33" s="9">
        <v>3000</v>
      </c>
      <c r="V33" s="9">
        <v>3000</v>
      </c>
      <c r="W33" s="9">
        <v>3000</v>
      </c>
      <c r="X33" s="9">
        <v>3000</v>
      </c>
      <c r="Y33" s="9">
        <v>3000</v>
      </c>
      <c r="Z33" s="9">
        <v>3000</v>
      </c>
      <c r="AA33" s="9">
        <v>3000</v>
      </c>
      <c r="AB33" s="9">
        <v>3000</v>
      </c>
      <c r="AC33" s="9">
        <v>3000</v>
      </c>
      <c r="AD33" s="9">
        <v>3000</v>
      </c>
      <c r="AE33" s="9">
        <v>3000</v>
      </c>
      <c r="AF33" s="9">
        <v>3000</v>
      </c>
      <c r="AG33" s="9">
        <v>3000</v>
      </c>
      <c r="AH33" s="9">
        <v>3000</v>
      </c>
      <c r="AI33" s="9">
        <v>3000</v>
      </c>
      <c r="AJ33" s="9">
        <v>3000</v>
      </c>
      <c r="AK33" s="9">
        <v>3000</v>
      </c>
      <c r="AL33" s="9">
        <v>3000</v>
      </c>
      <c r="AM33" s="9">
        <v>3000</v>
      </c>
      <c r="AN33" s="9">
        <v>3000</v>
      </c>
      <c r="AO33" s="9">
        <v>3000</v>
      </c>
      <c r="AP33" s="9">
        <v>3000</v>
      </c>
      <c r="AQ33" s="9">
        <v>3000</v>
      </c>
      <c r="AR33" s="9">
        <v>3000</v>
      </c>
      <c r="AS33" s="9">
        <v>3000</v>
      </c>
      <c r="AT33" s="9">
        <v>3000</v>
      </c>
      <c r="AU33" s="9">
        <v>3000</v>
      </c>
      <c r="AV33" s="9">
        <v>3000</v>
      </c>
      <c r="AW33" s="9">
        <v>3000</v>
      </c>
      <c r="AX33" s="9">
        <v>3000</v>
      </c>
    </row>
    <row r="34" spans="1:50">
      <c r="A34" s="54" t="s">
        <v>18</v>
      </c>
      <c r="B34" s="58" t="s">
        <v>98</v>
      </c>
      <c r="C34" s="9">
        <v>600</v>
      </c>
      <c r="D34" s="9">
        <v>600</v>
      </c>
      <c r="E34" s="9">
        <v>600</v>
      </c>
      <c r="F34" s="9">
        <v>600</v>
      </c>
      <c r="G34" s="9">
        <v>600</v>
      </c>
      <c r="H34" s="9">
        <v>600</v>
      </c>
      <c r="I34" s="9">
        <v>600</v>
      </c>
      <c r="J34" s="9">
        <v>600</v>
      </c>
      <c r="K34" s="9">
        <v>600</v>
      </c>
      <c r="L34" s="9">
        <v>600</v>
      </c>
      <c r="M34" s="9">
        <v>600</v>
      </c>
      <c r="N34" s="9">
        <v>600</v>
      </c>
      <c r="O34" s="9">
        <v>600</v>
      </c>
      <c r="P34" s="9">
        <v>600</v>
      </c>
      <c r="Q34" s="9">
        <v>600</v>
      </c>
      <c r="R34" s="9">
        <v>600</v>
      </c>
      <c r="S34" s="9">
        <v>600</v>
      </c>
      <c r="T34" s="9">
        <v>600</v>
      </c>
      <c r="U34" s="9">
        <v>600</v>
      </c>
      <c r="V34" s="9">
        <v>600</v>
      </c>
      <c r="W34" s="9">
        <v>600</v>
      </c>
      <c r="X34" s="9">
        <v>600</v>
      </c>
      <c r="Y34" s="9">
        <v>600</v>
      </c>
      <c r="Z34" s="9">
        <v>600</v>
      </c>
      <c r="AA34" s="9">
        <v>600</v>
      </c>
      <c r="AB34" s="9">
        <v>600</v>
      </c>
      <c r="AC34" s="9">
        <v>600</v>
      </c>
      <c r="AD34" s="9">
        <v>600</v>
      </c>
      <c r="AE34" s="9">
        <v>600</v>
      </c>
      <c r="AF34" s="9">
        <v>600</v>
      </c>
      <c r="AG34" s="9">
        <v>600</v>
      </c>
      <c r="AH34" s="9">
        <v>600</v>
      </c>
      <c r="AI34" s="9">
        <v>600</v>
      </c>
      <c r="AJ34" s="9">
        <v>600</v>
      </c>
      <c r="AK34" s="9">
        <v>600</v>
      </c>
      <c r="AL34" s="9">
        <v>600</v>
      </c>
      <c r="AM34" s="9">
        <v>600</v>
      </c>
      <c r="AN34" s="9">
        <v>600</v>
      </c>
      <c r="AO34" s="9">
        <v>600</v>
      </c>
      <c r="AP34" s="9">
        <v>600</v>
      </c>
      <c r="AQ34" s="9">
        <v>600</v>
      </c>
      <c r="AR34" s="9">
        <v>600</v>
      </c>
      <c r="AS34" s="9">
        <v>600</v>
      </c>
      <c r="AT34" s="9">
        <v>600</v>
      </c>
      <c r="AU34" s="9">
        <v>600</v>
      </c>
      <c r="AV34" s="9">
        <v>600</v>
      </c>
      <c r="AW34" s="9">
        <v>600</v>
      </c>
      <c r="AX34" s="9">
        <v>600</v>
      </c>
    </row>
    <row r="35" spans="1:50">
      <c r="A35" s="54" t="s">
        <v>20</v>
      </c>
      <c r="B35" s="58" t="s">
        <v>98</v>
      </c>
      <c r="C35" s="9">
        <v>1000</v>
      </c>
      <c r="D35" s="9">
        <v>1000</v>
      </c>
      <c r="E35" s="9">
        <v>1000</v>
      </c>
      <c r="F35" s="9">
        <v>1000</v>
      </c>
      <c r="G35" s="9">
        <v>1000</v>
      </c>
      <c r="H35" s="9">
        <v>1000</v>
      </c>
      <c r="I35" s="9">
        <v>1000</v>
      </c>
      <c r="J35" s="9">
        <v>1000</v>
      </c>
      <c r="K35" s="9">
        <v>1000</v>
      </c>
      <c r="L35" s="9">
        <v>1000</v>
      </c>
      <c r="M35" s="9">
        <v>1000</v>
      </c>
      <c r="N35" s="9">
        <v>1000</v>
      </c>
      <c r="O35" s="9">
        <v>1000</v>
      </c>
      <c r="P35" s="9">
        <v>1000</v>
      </c>
      <c r="Q35" s="9">
        <v>1000</v>
      </c>
      <c r="R35" s="9">
        <v>1000</v>
      </c>
      <c r="S35" s="9">
        <v>1000</v>
      </c>
      <c r="T35" s="9">
        <v>1000</v>
      </c>
      <c r="U35" s="9">
        <v>1000</v>
      </c>
      <c r="V35" s="9">
        <v>1000</v>
      </c>
      <c r="W35" s="9">
        <v>1000</v>
      </c>
      <c r="X35" s="9">
        <v>1000</v>
      </c>
      <c r="Y35" s="9">
        <v>1000</v>
      </c>
      <c r="Z35" s="9">
        <v>1000</v>
      </c>
      <c r="AA35" s="9">
        <v>1000</v>
      </c>
      <c r="AB35" s="9">
        <v>1000</v>
      </c>
      <c r="AC35" s="9">
        <v>1000</v>
      </c>
      <c r="AD35" s="9">
        <v>1000</v>
      </c>
      <c r="AE35" s="9">
        <v>1000</v>
      </c>
      <c r="AF35" s="9">
        <v>1000</v>
      </c>
      <c r="AG35" s="9">
        <v>1000</v>
      </c>
      <c r="AH35" s="9">
        <v>1000</v>
      </c>
      <c r="AI35" s="9">
        <v>1000</v>
      </c>
      <c r="AJ35" s="9">
        <v>1000</v>
      </c>
      <c r="AK35" s="9">
        <v>1000</v>
      </c>
      <c r="AL35" s="9">
        <v>1000</v>
      </c>
      <c r="AM35" s="9">
        <v>1000</v>
      </c>
      <c r="AN35" s="9">
        <v>1000</v>
      </c>
      <c r="AO35" s="9">
        <v>1000</v>
      </c>
      <c r="AP35" s="9">
        <v>1000</v>
      </c>
      <c r="AQ35" s="9">
        <v>1000</v>
      </c>
      <c r="AR35" s="9">
        <v>1000</v>
      </c>
      <c r="AS35" s="9">
        <v>1000</v>
      </c>
      <c r="AT35" s="9">
        <v>1000</v>
      </c>
      <c r="AU35" s="9">
        <v>1000</v>
      </c>
      <c r="AV35" s="9">
        <v>1000</v>
      </c>
      <c r="AW35" s="9">
        <v>1000</v>
      </c>
      <c r="AX35" s="9">
        <v>1000</v>
      </c>
    </row>
    <row r="36" spans="1:50">
      <c r="A36" s="54" t="s">
        <v>21</v>
      </c>
      <c r="B36" s="58" t="s">
        <v>98</v>
      </c>
      <c r="C36" s="9">
        <v>1200</v>
      </c>
      <c r="D36" s="9">
        <v>1200</v>
      </c>
      <c r="E36" s="9">
        <v>1200</v>
      </c>
      <c r="F36" s="9">
        <v>1200</v>
      </c>
      <c r="G36" s="9">
        <v>1200</v>
      </c>
      <c r="H36" s="9">
        <v>1200</v>
      </c>
      <c r="I36" s="9">
        <v>1200</v>
      </c>
      <c r="J36" s="9">
        <v>1200</v>
      </c>
      <c r="K36" s="9">
        <v>1200</v>
      </c>
      <c r="L36" s="9">
        <v>1200</v>
      </c>
      <c r="M36" s="9">
        <v>1200</v>
      </c>
      <c r="N36" s="9">
        <v>1200</v>
      </c>
      <c r="O36" s="9">
        <v>1200</v>
      </c>
      <c r="P36" s="9">
        <v>1200</v>
      </c>
      <c r="Q36" s="9">
        <v>1200</v>
      </c>
      <c r="R36" s="9">
        <v>1200</v>
      </c>
      <c r="S36" s="9">
        <v>1200</v>
      </c>
      <c r="T36" s="9">
        <v>1200</v>
      </c>
      <c r="U36" s="9">
        <v>1200</v>
      </c>
      <c r="V36" s="9">
        <v>1200</v>
      </c>
      <c r="W36" s="9">
        <v>1200</v>
      </c>
      <c r="X36" s="9">
        <v>1200</v>
      </c>
      <c r="Y36" s="9">
        <v>1200</v>
      </c>
      <c r="Z36" s="9">
        <v>1200</v>
      </c>
      <c r="AA36" s="9">
        <v>1200</v>
      </c>
      <c r="AB36" s="9">
        <v>1200</v>
      </c>
      <c r="AC36" s="9">
        <v>1200</v>
      </c>
      <c r="AD36" s="9">
        <v>1200</v>
      </c>
      <c r="AE36" s="9">
        <v>1200</v>
      </c>
      <c r="AF36" s="9">
        <v>1200</v>
      </c>
      <c r="AG36" s="9">
        <v>1200</v>
      </c>
      <c r="AH36" s="9">
        <v>1200</v>
      </c>
      <c r="AI36" s="9">
        <v>1200</v>
      </c>
      <c r="AJ36" s="9">
        <v>1200</v>
      </c>
      <c r="AK36" s="9">
        <v>1200</v>
      </c>
      <c r="AL36" s="9">
        <v>1200</v>
      </c>
      <c r="AM36" s="9">
        <v>1200</v>
      </c>
      <c r="AN36" s="9">
        <v>1200</v>
      </c>
      <c r="AO36" s="9">
        <v>1200</v>
      </c>
      <c r="AP36" s="9">
        <v>1200</v>
      </c>
      <c r="AQ36" s="9">
        <v>1200</v>
      </c>
      <c r="AR36" s="9">
        <v>1200</v>
      </c>
      <c r="AS36" s="9">
        <v>1200</v>
      </c>
      <c r="AT36" s="9">
        <v>1200</v>
      </c>
      <c r="AU36" s="9">
        <v>1200</v>
      </c>
      <c r="AV36" s="9">
        <v>1200</v>
      </c>
      <c r="AW36" s="9">
        <v>1200</v>
      </c>
      <c r="AX36" s="9">
        <v>1200</v>
      </c>
    </row>
    <row r="37" spans="1:50">
      <c r="A37" s="54" t="s">
        <v>22</v>
      </c>
      <c r="B37" s="58" t="s">
        <v>98</v>
      </c>
      <c r="C37" s="9">
        <v>1000</v>
      </c>
      <c r="D37" s="9">
        <v>1000</v>
      </c>
      <c r="E37" s="9">
        <v>1000</v>
      </c>
      <c r="F37" s="9">
        <v>1000</v>
      </c>
      <c r="G37" s="9">
        <v>1000</v>
      </c>
      <c r="H37" s="9">
        <v>1000</v>
      </c>
      <c r="I37" s="9">
        <v>1000</v>
      </c>
      <c r="J37" s="9">
        <v>1000</v>
      </c>
      <c r="K37" s="9">
        <v>1000</v>
      </c>
      <c r="L37" s="9">
        <v>1000</v>
      </c>
      <c r="M37" s="9">
        <v>1000</v>
      </c>
      <c r="N37" s="9">
        <v>1000</v>
      </c>
      <c r="O37" s="9">
        <v>1000</v>
      </c>
      <c r="P37" s="9">
        <v>1000</v>
      </c>
      <c r="Q37" s="9">
        <v>1000</v>
      </c>
      <c r="R37" s="9">
        <v>1000</v>
      </c>
      <c r="S37" s="9">
        <v>1000</v>
      </c>
      <c r="T37" s="9">
        <v>1000</v>
      </c>
      <c r="U37" s="9">
        <v>1000</v>
      </c>
      <c r="V37" s="9">
        <v>1000</v>
      </c>
      <c r="W37" s="9">
        <v>1000</v>
      </c>
      <c r="X37" s="9">
        <v>1000</v>
      </c>
      <c r="Y37" s="9">
        <v>1000</v>
      </c>
      <c r="Z37" s="9">
        <v>1000</v>
      </c>
      <c r="AA37" s="9">
        <v>1000</v>
      </c>
      <c r="AB37" s="9">
        <v>1000</v>
      </c>
      <c r="AC37" s="9">
        <v>1000</v>
      </c>
      <c r="AD37" s="9">
        <v>1000</v>
      </c>
      <c r="AE37" s="9">
        <v>1000</v>
      </c>
      <c r="AF37" s="9">
        <v>1000</v>
      </c>
      <c r="AG37" s="9">
        <v>1000</v>
      </c>
      <c r="AH37" s="9">
        <v>1000</v>
      </c>
      <c r="AI37" s="9">
        <v>1000</v>
      </c>
      <c r="AJ37" s="9">
        <v>1000</v>
      </c>
      <c r="AK37" s="9">
        <v>1000</v>
      </c>
      <c r="AL37" s="9">
        <v>1000</v>
      </c>
      <c r="AM37" s="9">
        <v>1000</v>
      </c>
      <c r="AN37" s="9">
        <v>1000</v>
      </c>
      <c r="AO37" s="9">
        <v>1000</v>
      </c>
      <c r="AP37" s="9">
        <v>1000</v>
      </c>
      <c r="AQ37" s="9">
        <v>1000</v>
      </c>
      <c r="AR37" s="9">
        <v>1000</v>
      </c>
      <c r="AS37" s="9">
        <v>1000</v>
      </c>
      <c r="AT37" s="9">
        <v>1000</v>
      </c>
      <c r="AU37" s="9">
        <v>1000</v>
      </c>
      <c r="AV37" s="9">
        <v>1000</v>
      </c>
      <c r="AW37" s="9">
        <v>1000</v>
      </c>
      <c r="AX37" s="9">
        <v>1000</v>
      </c>
    </row>
    <row r="38" spans="1:50">
      <c r="A38" s="57" t="s">
        <v>23</v>
      </c>
      <c r="B38" s="58" t="s">
        <v>98</v>
      </c>
      <c r="C38" s="9">
        <v>300</v>
      </c>
      <c r="D38" s="9">
        <v>300</v>
      </c>
      <c r="E38" s="9">
        <v>300</v>
      </c>
      <c r="F38" s="9">
        <v>300</v>
      </c>
      <c r="G38" s="9">
        <v>300</v>
      </c>
      <c r="H38" s="9">
        <v>300</v>
      </c>
      <c r="I38" s="9">
        <v>300</v>
      </c>
      <c r="J38" s="9">
        <v>300</v>
      </c>
      <c r="K38" s="9">
        <v>300</v>
      </c>
      <c r="L38" s="9">
        <v>300</v>
      </c>
      <c r="M38" s="9">
        <v>300</v>
      </c>
      <c r="N38" s="9">
        <v>300</v>
      </c>
      <c r="O38" s="9">
        <v>300</v>
      </c>
      <c r="P38" s="9">
        <v>300</v>
      </c>
      <c r="Q38" s="9">
        <v>300</v>
      </c>
      <c r="R38" s="9">
        <v>300</v>
      </c>
      <c r="S38" s="9">
        <v>300</v>
      </c>
      <c r="T38" s="9">
        <v>300</v>
      </c>
      <c r="U38" s="9">
        <v>300</v>
      </c>
      <c r="V38" s="9">
        <v>300</v>
      </c>
      <c r="W38" s="9">
        <v>300</v>
      </c>
      <c r="X38" s="9">
        <v>300</v>
      </c>
      <c r="Y38" s="9">
        <v>300</v>
      </c>
      <c r="Z38" s="9">
        <v>300</v>
      </c>
      <c r="AA38" s="9">
        <v>300</v>
      </c>
      <c r="AB38" s="9">
        <v>300</v>
      </c>
      <c r="AC38" s="9">
        <v>300</v>
      </c>
      <c r="AD38" s="9">
        <v>300</v>
      </c>
      <c r="AE38" s="9">
        <v>300</v>
      </c>
      <c r="AF38" s="9">
        <v>300</v>
      </c>
      <c r="AG38" s="9">
        <v>300</v>
      </c>
      <c r="AH38" s="9">
        <v>300</v>
      </c>
      <c r="AI38" s="9">
        <v>300</v>
      </c>
      <c r="AJ38" s="9">
        <v>300</v>
      </c>
      <c r="AK38" s="9">
        <v>300</v>
      </c>
      <c r="AL38" s="9">
        <v>300</v>
      </c>
      <c r="AM38" s="9">
        <v>300</v>
      </c>
      <c r="AN38" s="9">
        <v>300</v>
      </c>
      <c r="AO38" s="9">
        <v>300</v>
      </c>
      <c r="AP38" s="9">
        <v>300</v>
      </c>
      <c r="AQ38" s="9">
        <v>300</v>
      </c>
      <c r="AR38" s="9">
        <v>300</v>
      </c>
      <c r="AS38" s="9">
        <v>300</v>
      </c>
      <c r="AT38" s="9">
        <v>300</v>
      </c>
      <c r="AU38" s="9">
        <v>300</v>
      </c>
      <c r="AV38" s="9">
        <v>300</v>
      </c>
      <c r="AW38" s="9">
        <v>300</v>
      </c>
      <c r="AX38" s="9">
        <v>300</v>
      </c>
    </row>
    <row r="39" spans="1:50">
      <c r="A39" s="54" t="s">
        <v>71</v>
      </c>
      <c r="B39" s="58" t="s">
        <v>98</v>
      </c>
      <c r="C39" s="9">
        <v>100</v>
      </c>
      <c r="D39" s="9">
        <v>100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100</v>
      </c>
      <c r="M39" s="9">
        <v>100</v>
      </c>
      <c r="N39" s="9">
        <v>100</v>
      </c>
      <c r="O39" s="9">
        <v>100</v>
      </c>
      <c r="P39" s="9">
        <v>100</v>
      </c>
      <c r="Q39" s="9">
        <v>100</v>
      </c>
      <c r="R39" s="9">
        <v>100</v>
      </c>
      <c r="S39" s="9">
        <v>100</v>
      </c>
      <c r="T39" s="9">
        <v>100</v>
      </c>
      <c r="U39" s="9">
        <v>100</v>
      </c>
      <c r="V39" s="9">
        <v>100</v>
      </c>
      <c r="W39" s="9">
        <v>100</v>
      </c>
      <c r="X39" s="9">
        <v>100</v>
      </c>
      <c r="Y39" s="9">
        <v>100</v>
      </c>
      <c r="Z39" s="9">
        <v>100</v>
      </c>
      <c r="AA39" s="9">
        <v>100</v>
      </c>
      <c r="AB39" s="9">
        <v>100</v>
      </c>
      <c r="AC39" s="9">
        <v>100</v>
      </c>
      <c r="AD39" s="9">
        <v>100</v>
      </c>
      <c r="AE39" s="9">
        <v>100</v>
      </c>
      <c r="AF39" s="9">
        <v>100</v>
      </c>
      <c r="AG39" s="9">
        <v>100</v>
      </c>
      <c r="AH39" s="9">
        <v>100</v>
      </c>
      <c r="AI39" s="9">
        <v>100</v>
      </c>
      <c r="AJ39" s="9">
        <v>100</v>
      </c>
      <c r="AK39" s="9">
        <v>100</v>
      </c>
      <c r="AL39" s="9">
        <v>100</v>
      </c>
      <c r="AM39" s="9">
        <v>100</v>
      </c>
      <c r="AN39" s="9">
        <v>100</v>
      </c>
      <c r="AO39" s="9">
        <v>100</v>
      </c>
      <c r="AP39" s="9">
        <v>100</v>
      </c>
      <c r="AQ39" s="9">
        <v>100</v>
      </c>
      <c r="AR39" s="9">
        <v>100</v>
      </c>
      <c r="AS39" s="9">
        <v>100</v>
      </c>
      <c r="AT39" s="9">
        <v>100</v>
      </c>
      <c r="AU39" s="9">
        <v>100</v>
      </c>
      <c r="AV39" s="9">
        <v>100</v>
      </c>
      <c r="AW39" s="9">
        <v>100</v>
      </c>
      <c r="AX39" s="9">
        <v>100</v>
      </c>
    </row>
    <row r="40" spans="1:50">
      <c r="A40" s="54" t="s">
        <v>72</v>
      </c>
      <c r="B40" s="58" t="s">
        <v>98</v>
      </c>
      <c r="C40" s="9">
        <v>100</v>
      </c>
      <c r="D40" s="9">
        <v>100</v>
      </c>
      <c r="E40" s="9">
        <v>100</v>
      </c>
      <c r="F40" s="9">
        <v>100</v>
      </c>
      <c r="G40" s="9">
        <v>100</v>
      </c>
      <c r="H40" s="9">
        <v>100</v>
      </c>
      <c r="I40" s="9">
        <v>100</v>
      </c>
      <c r="J40" s="9">
        <v>100</v>
      </c>
      <c r="K40" s="9">
        <v>100</v>
      </c>
      <c r="L40" s="9">
        <v>100</v>
      </c>
      <c r="M40" s="9">
        <v>100</v>
      </c>
      <c r="N40" s="9">
        <v>100</v>
      </c>
      <c r="O40" s="9">
        <v>100</v>
      </c>
      <c r="P40" s="9">
        <v>100</v>
      </c>
      <c r="Q40" s="9">
        <v>100</v>
      </c>
      <c r="R40" s="9">
        <v>100</v>
      </c>
      <c r="S40" s="9">
        <v>100</v>
      </c>
      <c r="T40" s="9">
        <v>100</v>
      </c>
      <c r="U40" s="9">
        <v>100</v>
      </c>
      <c r="V40" s="9">
        <v>100</v>
      </c>
      <c r="W40" s="9">
        <v>100</v>
      </c>
      <c r="X40" s="9">
        <v>100</v>
      </c>
      <c r="Y40" s="9">
        <v>100</v>
      </c>
      <c r="Z40" s="9">
        <v>100</v>
      </c>
      <c r="AA40" s="9">
        <v>100</v>
      </c>
      <c r="AB40" s="9">
        <v>100</v>
      </c>
      <c r="AC40" s="9">
        <v>100</v>
      </c>
      <c r="AD40" s="9">
        <v>100</v>
      </c>
      <c r="AE40" s="9">
        <v>100</v>
      </c>
      <c r="AF40" s="9">
        <v>100</v>
      </c>
      <c r="AG40" s="9">
        <v>100</v>
      </c>
      <c r="AH40" s="9">
        <v>100</v>
      </c>
      <c r="AI40" s="9">
        <v>100</v>
      </c>
      <c r="AJ40" s="9">
        <v>100</v>
      </c>
      <c r="AK40" s="9">
        <v>100</v>
      </c>
      <c r="AL40" s="9">
        <v>100</v>
      </c>
      <c r="AM40" s="9">
        <v>100</v>
      </c>
      <c r="AN40" s="9">
        <v>100</v>
      </c>
      <c r="AO40" s="9">
        <v>100</v>
      </c>
      <c r="AP40" s="9">
        <v>100</v>
      </c>
      <c r="AQ40" s="9">
        <v>100</v>
      </c>
      <c r="AR40" s="9">
        <v>100</v>
      </c>
      <c r="AS40" s="9">
        <v>100</v>
      </c>
      <c r="AT40" s="9">
        <v>100</v>
      </c>
      <c r="AU40" s="9">
        <v>100</v>
      </c>
      <c r="AV40" s="9">
        <v>100</v>
      </c>
      <c r="AW40" s="9">
        <v>100</v>
      </c>
      <c r="AX40" s="9">
        <v>100</v>
      </c>
    </row>
    <row r="41" spans="1:50">
      <c r="A41" s="57" t="s">
        <v>83</v>
      </c>
      <c r="B41" s="58" t="s">
        <v>98</v>
      </c>
      <c r="C41" s="9">
        <v>25</v>
      </c>
      <c r="D41" s="9">
        <v>25</v>
      </c>
      <c r="E41" s="9">
        <v>25</v>
      </c>
      <c r="F41" s="9">
        <v>25</v>
      </c>
      <c r="G41" s="9">
        <v>25</v>
      </c>
      <c r="H41" s="9">
        <v>25</v>
      </c>
      <c r="I41" s="9">
        <v>25</v>
      </c>
      <c r="J41" s="9">
        <v>25</v>
      </c>
      <c r="K41" s="9">
        <v>25</v>
      </c>
      <c r="L41" s="9">
        <v>25</v>
      </c>
      <c r="M41" s="9">
        <v>25</v>
      </c>
      <c r="N41" s="9">
        <v>25</v>
      </c>
      <c r="O41" s="9">
        <v>25</v>
      </c>
      <c r="P41" s="9">
        <v>25</v>
      </c>
      <c r="Q41" s="9">
        <v>25</v>
      </c>
      <c r="R41" s="9">
        <v>25</v>
      </c>
      <c r="S41" s="9">
        <v>25</v>
      </c>
      <c r="T41" s="9">
        <v>25</v>
      </c>
      <c r="U41" s="9">
        <v>25</v>
      </c>
      <c r="V41" s="9">
        <v>25</v>
      </c>
      <c r="W41" s="9">
        <v>25</v>
      </c>
      <c r="X41" s="9">
        <v>25</v>
      </c>
      <c r="Y41" s="9">
        <v>25</v>
      </c>
      <c r="Z41" s="9">
        <v>25</v>
      </c>
      <c r="AA41" s="9">
        <v>25</v>
      </c>
      <c r="AB41" s="9">
        <v>25</v>
      </c>
      <c r="AC41" s="9">
        <v>25</v>
      </c>
      <c r="AD41" s="9">
        <v>25</v>
      </c>
      <c r="AE41" s="9">
        <v>25</v>
      </c>
      <c r="AF41" s="9">
        <v>25</v>
      </c>
      <c r="AG41" s="9">
        <v>25</v>
      </c>
      <c r="AH41" s="9">
        <v>25</v>
      </c>
      <c r="AI41" s="9">
        <v>25</v>
      </c>
      <c r="AJ41" s="9">
        <v>25</v>
      </c>
      <c r="AK41" s="9">
        <v>25</v>
      </c>
      <c r="AL41" s="9">
        <v>25</v>
      </c>
      <c r="AM41" s="9">
        <v>25</v>
      </c>
      <c r="AN41" s="9">
        <v>25</v>
      </c>
      <c r="AO41" s="9">
        <v>25</v>
      </c>
      <c r="AP41" s="9">
        <v>25</v>
      </c>
      <c r="AQ41" s="9">
        <v>25</v>
      </c>
      <c r="AR41" s="9">
        <v>25</v>
      </c>
      <c r="AS41" s="9">
        <v>25</v>
      </c>
      <c r="AT41" s="9">
        <v>25</v>
      </c>
      <c r="AU41" s="9">
        <v>25</v>
      </c>
      <c r="AV41" s="9">
        <v>25</v>
      </c>
      <c r="AW41" s="9">
        <v>25</v>
      </c>
      <c r="AX41" s="9">
        <v>25</v>
      </c>
    </row>
    <row r="42" spans="1:50">
      <c r="A42" s="60" t="s">
        <v>94</v>
      </c>
      <c r="B42" s="58" t="s">
        <v>98</v>
      </c>
      <c r="C42" s="9">
        <v>25</v>
      </c>
      <c r="D42" s="9">
        <v>25</v>
      </c>
      <c r="E42" s="9">
        <v>25</v>
      </c>
      <c r="F42" s="9">
        <v>25</v>
      </c>
      <c r="G42" s="9">
        <v>25</v>
      </c>
      <c r="H42" s="9">
        <v>25</v>
      </c>
      <c r="I42" s="9">
        <v>25</v>
      </c>
      <c r="J42" s="9">
        <v>25</v>
      </c>
      <c r="K42" s="9">
        <v>25</v>
      </c>
      <c r="L42" s="9">
        <v>25</v>
      </c>
      <c r="M42" s="9">
        <v>25</v>
      </c>
      <c r="N42" s="9">
        <v>25</v>
      </c>
      <c r="O42" s="9">
        <v>25</v>
      </c>
      <c r="P42" s="9">
        <v>25</v>
      </c>
      <c r="Q42" s="9">
        <v>25</v>
      </c>
      <c r="R42" s="9">
        <v>25</v>
      </c>
      <c r="S42" s="9">
        <v>25</v>
      </c>
      <c r="T42" s="9">
        <v>25</v>
      </c>
      <c r="U42" s="9">
        <v>25</v>
      </c>
      <c r="V42" s="9">
        <v>25</v>
      </c>
      <c r="W42" s="9">
        <v>25</v>
      </c>
      <c r="X42" s="9">
        <v>25</v>
      </c>
      <c r="Y42" s="9">
        <v>25</v>
      </c>
      <c r="Z42" s="9">
        <v>25</v>
      </c>
      <c r="AA42" s="9">
        <v>25</v>
      </c>
      <c r="AB42" s="9">
        <v>25</v>
      </c>
      <c r="AC42" s="9">
        <v>25</v>
      </c>
      <c r="AD42" s="9">
        <v>25</v>
      </c>
      <c r="AE42" s="9">
        <v>25</v>
      </c>
      <c r="AF42" s="9">
        <v>25</v>
      </c>
      <c r="AG42" s="9">
        <v>25</v>
      </c>
      <c r="AH42" s="9">
        <v>25</v>
      </c>
      <c r="AI42" s="9">
        <v>25</v>
      </c>
      <c r="AJ42" s="9">
        <v>25</v>
      </c>
      <c r="AK42" s="9">
        <v>25</v>
      </c>
      <c r="AL42" s="9">
        <v>25</v>
      </c>
      <c r="AM42" s="9">
        <v>25</v>
      </c>
      <c r="AN42" s="9">
        <v>25</v>
      </c>
      <c r="AO42" s="9">
        <v>25</v>
      </c>
      <c r="AP42" s="9">
        <v>25</v>
      </c>
      <c r="AQ42" s="9">
        <v>25</v>
      </c>
      <c r="AR42" s="9">
        <v>25</v>
      </c>
      <c r="AS42" s="9">
        <v>25</v>
      </c>
      <c r="AT42" s="9">
        <v>25</v>
      </c>
      <c r="AU42" s="9">
        <v>25</v>
      </c>
      <c r="AV42" s="9">
        <v>25</v>
      </c>
      <c r="AW42" s="9">
        <v>25</v>
      </c>
      <c r="AX42" s="9">
        <v>25</v>
      </c>
    </row>
    <row r="43" spans="1:50">
      <c r="A43" s="54" t="s">
        <v>25</v>
      </c>
      <c r="B43" s="58" t="s">
        <v>98</v>
      </c>
      <c r="C43" s="9">
        <v>100</v>
      </c>
      <c r="D43" s="9">
        <v>100</v>
      </c>
      <c r="E43" s="9">
        <v>100</v>
      </c>
      <c r="F43" s="9">
        <v>100</v>
      </c>
      <c r="G43" s="9">
        <v>100</v>
      </c>
      <c r="H43" s="9">
        <v>100</v>
      </c>
      <c r="I43" s="9">
        <v>100</v>
      </c>
      <c r="J43" s="9">
        <v>100</v>
      </c>
      <c r="K43" s="9">
        <v>100</v>
      </c>
      <c r="L43" s="9">
        <v>100</v>
      </c>
      <c r="M43" s="9">
        <v>100</v>
      </c>
      <c r="N43" s="9">
        <v>100</v>
      </c>
      <c r="O43" s="9">
        <v>100</v>
      </c>
      <c r="P43" s="9">
        <v>100</v>
      </c>
      <c r="Q43" s="9">
        <v>100</v>
      </c>
      <c r="R43" s="9">
        <v>100</v>
      </c>
      <c r="S43" s="9">
        <v>100</v>
      </c>
      <c r="T43" s="9">
        <v>100</v>
      </c>
      <c r="U43" s="9">
        <v>100</v>
      </c>
      <c r="V43" s="9">
        <v>100</v>
      </c>
      <c r="W43" s="9">
        <v>100</v>
      </c>
      <c r="X43" s="9">
        <v>100</v>
      </c>
      <c r="Y43" s="9">
        <v>100</v>
      </c>
      <c r="Z43" s="9">
        <v>100</v>
      </c>
      <c r="AA43" s="9">
        <v>100</v>
      </c>
      <c r="AB43" s="9">
        <v>100</v>
      </c>
      <c r="AC43" s="9">
        <v>100</v>
      </c>
      <c r="AD43" s="9">
        <v>100</v>
      </c>
      <c r="AE43" s="9">
        <v>100</v>
      </c>
      <c r="AF43" s="9">
        <v>100</v>
      </c>
      <c r="AG43" s="9">
        <v>100</v>
      </c>
      <c r="AH43" s="9">
        <v>100</v>
      </c>
      <c r="AI43" s="9">
        <v>100</v>
      </c>
      <c r="AJ43" s="9">
        <v>100</v>
      </c>
      <c r="AK43" s="9">
        <v>100</v>
      </c>
      <c r="AL43" s="9">
        <v>100</v>
      </c>
      <c r="AM43" s="9">
        <v>100</v>
      </c>
      <c r="AN43" s="9">
        <v>100</v>
      </c>
      <c r="AO43" s="9">
        <v>100</v>
      </c>
      <c r="AP43" s="9">
        <v>100</v>
      </c>
      <c r="AQ43" s="9">
        <v>100</v>
      </c>
      <c r="AR43" s="9">
        <v>100</v>
      </c>
      <c r="AS43" s="9">
        <v>100</v>
      </c>
      <c r="AT43" s="9">
        <v>100</v>
      </c>
      <c r="AU43" s="9">
        <v>100</v>
      </c>
      <c r="AV43" s="9">
        <v>100</v>
      </c>
      <c r="AW43" s="9">
        <v>100</v>
      </c>
      <c r="AX43" s="9">
        <v>100</v>
      </c>
    </row>
    <row r="44" spans="1:50">
      <c r="A44" s="1" t="s">
        <v>114</v>
      </c>
      <c r="B44" s="58" t="s">
        <v>98</v>
      </c>
      <c r="C44" s="9">
        <v>100</v>
      </c>
      <c r="D44" s="9">
        <v>100</v>
      </c>
      <c r="E44" s="9">
        <v>100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  <c r="K44" s="9">
        <v>100</v>
      </c>
      <c r="L44" s="9">
        <v>100</v>
      </c>
      <c r="M44" s="9">
        <v>100</v>
      </c>
      <c r="N44" s="9">
        <v>100</v>
      </c>
      <c r="O44" s="9">
        <v>100</v>
      </c>
      <c r="P44" s="9">
        <v>100</v>
      </c>
      <c r="Q44" s="9">
        <v>100</v>
      </c>
      <c r="R44" s="9">
        <v>100</v>
      </c>
      <c r="S44" s="9">
        <v>100</v>
      </c>
      <c r="T44" s="9">
        <v>100</v>
      </c>
      <c r="U44" s="9">
        <v>100</v>
      </c>
      <c r="V44" s="9">
        <v>100</v>
      </c>
      <c r="W44" s="9">
        <v>100</v>
      </c>
      <c r="X44" s="9">
        <v>100</v>
      </c>
      <c r="Y44" s="9">
        <v>100</v>
      </c>
      <c r="Z44" s="9">
        <v>100</v>
      </c>
      <c r="AA44" s="9">
        <v>100</v>
      </c>
      <c r="AB44" s="9">
        <v>100</v>
      </c>
      <c r="AC44" s="9">
        <v>100</v>
      </c>
      <c r="AD44" s="9">
        <v>100</v>
      </c>
      <c r="AE44" s="9">
        <v>100</v>
      </c>
      <c r="AF44" s="9">
        <v>100</v>
      </c>
      <c r="AG44" s="9">
        <v>100</v>
      </c>
      <c r="AH44" s="9">
        <v>100</v>
      </c>
      <c r="AI44" s="9">
        <v>100</v>
      </c>
      <c r="AJ44" s="9">
        <v>100</v>
      </c>
      <c r="AK44" s="9">
        <v>100</v>
      </c>
      <c r="AL44" s="9">
        <v>100</v>
      </c>
      <c r="AM44" s="9">
        <v>100</v>
      </c>
      <c r="AN44" s="9">
        <v>100</v>
      </c>
      <c r="AO44" s="9">
        <v>100</v>
      </c>
      <c r="AP44" s="9">
        <v>100</v>
      </c>
      <c r="AQ44" s="9">
        <v>100</v>
      </c>
      <c r="AR44" s="9">
        <v>100</v>
      </c>
      <c r="AS44" s="9">
        <v>100</v>
      </c>
      <c r="AT44" s="9">
        <v>100</v>
      </c>
      <c r="AU44" s="9">
        <v>100</v>
      </c>
      <c r="AV44" s="9">
        <v>100</v>
      </c>
      <c r="AW44" s="9">
        <v>100</v>
      </c>
      <c r="AX44" s="9">
        <v>100</v>
      </c>
    </row>
    <row r="45" spans="1:50">
      <c r="A45" s="1" t="s">
        <v>115</v>
      </c>
      <c r="B45" s="58" t="s">
        <v>98</v>
      </c>
      <c r="C45" s="9">
        <v>100</v>
      </c>
      <c r="D45" s="9">
        <v>100</v>
      </c>
      <c r="E45" s="9">
        <v>100</v>
      </c>
      <c r="F45" s="9">
        <v>100</v>
      </c>
      <c r="G45" s="9">
        <v>100</v>
      </c>
      <c r="H45" s="9">
        <v>100</v>
      </c>
      <c r="I45" s="9">
        <v>100</v>
      </c>
      <c r="J45" s="9">
        <v>100</v>
      </c>
      <c r="K45" s="9">
        <v>100</v>
      </c>
      <c r="L45" s="9">
        <v>100</v>
      </c>
      <c r="M45" s="9">
        <v>100</v>
      </c>
      <c r="N45" s="9">
        <v>100</v>
      </c>
      <c r="O45" s="9">
        <v>100</v>
      </c>
      <c r="P45" s="9">
        <v>100</v>
      </c>
      <c r="Q45" s="9">
        <v>100</v>
      </c>
      <c r="R45" s="9">
        <v>100</v>
      </c>
      <c r="S45" s="9">
        <v>100</v>
      </c>
      <c r="T45" s="9">
        <v>100</v>
      </c>
      <c r="U45" s="9">
        <v>100</v>
      </c>
      <c r="V45" s="9">
        <v>100</v>
      </c>
      <c r="W45" s="9">
        <v>100</v>
      </c>
      <c r="X45" s="9">
        <v>100</v>
      </c>
      <c r="Y45" s="9">
        <v>100</v>
      </c>
      <c r="Z45" s="9">
        <v>100</v>
      </c>
      <c r="AA45" s="9">
        <v>100</v>
      </c>
      <c r="AB45" s="9">
        <v>100</v>
      </c>
      <c r="AC45" s="9">
        <v>100</v>
      </c>
      <c r="AD45" s="9">
        <v>100</v>
      </c>
      <c r="AE45" s="9">
        <v>100</v>
      </c>
      <c r="AF45" s="9">
        <v>100</v>
      </c>
      <c r="AG45" s="9">
        <v>100</v>
      </c>
      <c r="AH45" s="9">
        <v>100</v>
      </c>
      <c r="AI45" s="9">
        <v>100</v>
      </c>
      <c r="AJ45" s="9">
        <v>100</v>
      </c>
      <c r="AK45" s="9">
        <v>100</v>
      </c>
      <c r="AL45" s="9">
        <v>100</v>
      </c>
      <c r="AM45" s="9">
        <v>100</v>
      </c>
      <c r="AN45" s="9">
        <v>100</v>
      </c>
      <c r="AO45" s="9">
        <v>100</v>
      </c>
      <c r="AP45" s="9">
        <v>100</v>
      </c>
      <c r="AQ45" s="9">
        <v>100</v>
      </c>
      <c r="AR45" s="9">
        <v>100</v>
      </c>
      <c r="AS45" s="9">
        <v>100</v>
      </c>
      <c r="AT45" s="9">
        <v>100</v>
      </c>
      <c r="AU45" s="9">
        <v>100</v>
      </c>
      <c r="AV45" s="9">
        <v>100</v>
      </c>
      <c r="AW45" s="9">
        <v>100</v>
      </c>
      <c r="AX45" s="9">
        <v>100</v>
      </c>
    </row>
    <row r="46" spans="1:50">
      <c r="A46" s="1" t="s">
        <v>116</v>
      </c>
      <c r="B46" s="58" t="s">
        <v>98</v>
      </c>
      <c r="C46" s="9">
        <v>100</v>
      </c>
      <c r="D46" s="9">
        <v>100</v>
      </c>
      <c r="E46" s="9">
        <v>100</v>
      </c>
      <c r="F46" s="9">
        <v>100</v>
      </c>
      <c r="G46" s="9">
        <v>100</v>
      </c>
      <c r="H46" s="9">
        <v>100</v>
      </c>
      <c r="I46" s="9">
        <v>100</v>
      </c>
      <c r="J46" s="9">
        <v>100</v>
      </c>
      <c r="K46" s="9">
        <v>100</v>
      </c>
      <c r="L46" s="9">
        <v>100</v>
      </c>
      <c r="M46" s="9">
        <v>100</v>
      </c>
      <c r="N46" s="9">
        <v>100</v>
      </c>
      <c r="O46" s="9">
        <v>100</v>
      </c>
      <c r="P46" s="9">
        <v>100</v>
      </c>
      <c r="Q46" s="9">
        <v>100</v>
      </c>
      <c r="R46" s="9">
        <v>100</v>
      </c>
      <c r="S46" s="9">
        <v>100</v>
      </c>
      <c r="T46" s="9">
        <v>100</v>
      </c>
      <c r="U46" s="9">
        <v>100</v>
      </c>
      <c r="V46" s="9">
        <v>100</v>
      </c>
      <c r="W46" s="9">
        <v>100</v>
      </c>
      <c r="X46" s="9">
        <v>100</v>
      </c>
      <c r="Y46" s="9">
        <v>100</v>
      </c>
      <c r="Z46" s="9">
        <v>100</v>
      </c>
      <c r="AA46" s="9">
        <v>100</v>
      </c>
      <c r="AB46" s="9">
        <v>100</v>
      </c>
      <c r="AC46" s="9">
        <v>100</v>
      </c>
      <c r="AD46" s="9">
        <v>100</v>
      </c>
      <c r="AE46" s="9">
        <v>100</v>
      </c>
      <c r="AF46" s="9">
        <v>100</v>
      </c>
      <c r="AG46" s="9">
        <v>100</v>
      </c>
      <c r="AH46" s="9">
        <v>100</v>
      </c>
      <c r="AI46" s="9">
        <v>100</v>
      </c>
      <c r="AJ46" s="9">
        <v>100</v>
      </c>
      <c r="AK46" s="9">
        <v>100</v>
      </c>
      <c r="AL46" s="9">
        <v>100</v>
      </c>
      <c r="AM46" s="9">
        <v>100</v>
      </c>
      <c r="AN46" s="9">
        <v>100</v>
      </c>
      <c r="AO46" s="9">
        <v>100</v>
      </c>
      <c r="AP46" s="9">
        <v>100</v>
      </c>
      <c r="AQ46" s="9">
        <v>100</v>
      </c>
      <c r="AR46" s="9">
        <v>100</v>
      </c>
      <c r="AS46" s="9">
        <v>100</v>
      </c>
      <c r="AT46" s="9">
        <v>100</v>
      </c>
      <c r="AU46" s="9">
        <v>100</v>
      </c>
      <c r="AV46" s="9">
        <v>100</v>
      </c>
      <c r="AW46" s="9">
        <v>100</v>
      </c>
      <c r="AX46" s="9">
        <v>100</v>
      </c>
    </row>
    <row r="47" spans="1:50">
      <c r="A47" s="1" t="s">
        <v>90</v>
      </c>
      <c r="B47" s="58" t="s">
        <v>98</v>
      </c>
      <c r="C47" s="9">
        <v>100</v>
      </c>
      <c r="D47" s="9">
        <v>100</v>
      </c>
      <c r="E47" s="9">
        <v>100</v>
      </c>
      <c r="F47" s="9">
        <v>100</v>
      </c>
      <c r="G47" s="9">
        <v>100</v>
      </c>
      <c r="H47" s="9">
        <v>100</v>
      </c>
      <c r="I47" s="9">
        <v>100</v>
      </c>
      <c r="J47" s="9">
        <v>100</v>
      </c>
      <c r="K47" s="9">
        <v>100</v>
      </c>
      <c r="L47" s="9">
        <v>100</v>
      </c>
      <c r="M47" s="9">
        <v>100</v>
      </c>
      <c r="N47" s="9">
        <v>100</v>
      </c>
      <c r="O47" s="9">
        <v>100</v>
      </c>
      <c r="P47" s="9">
        <v>100</v>
      </c>
      <c r="Q47" s="9">
        <v>100</v>
      </c>
      <c r="R47" s="9">
        <v>100</v>
      </c>
      <c r="S47" s="9">
        <v>100</v>
      </c>
      <c r="T47" s="9">
        <v>100</v>
      </c>
      <c r="U47" s="9">
        <v>100</v>
      </c>
      <c r="V47" s="9">
        <v>100</v>
      </c>
      <c r="W47" s="9">
        <v>100</v>
      </c>
      <c r="X47" s="9">
        <v>100</v>
      </c>
      <c r="Y47" s="9">
        <v>100</v>
      </c>
      <c r="Z47" s="9">
        <v>100</v>
      </c>
      <c r="AA47" s="9">
        <v>100</v>
      </c>
      <c r="AB47" s="9">
        <v>100</v>
      </c>
      <c r="AC47" s="9">
        <v>100</v>
      </c>
      <c r="AD47" s="9">
        <v>100</v>
      </c>
      <c r="AE47" s="9">
        <v>100</v>
      </c>
      <c r="AF47" s="9">
        <v>100</v>
      </c>
      <c r="AG47" s="9">
        <v>100</v>
      </c>
      <c r="AH47" s="9">
        <v>100</v>
      </c>
      <c r="AI47" s="9">
        <v>100</v>
      </c>
      <c r="AJ47" s="9">
        <v>100</v>
      </c>
      <c r="AK47" s="9">
        <v>100</v>
      </c>
      <c r="AL47" s="9">
        <v>100</v>
      </c>
      <c r="AM47" s="9">
        <v>100</v>
      </c>
      <c r="AN47" s="9">
        <v>100</v>
      </c>
      <c r="AO47" s="9">
        <v>100</v>
      </c>
      <c r="AP47" s="9">
        <v>100</v>
      </c>
      <c r="AQ47" s="9">
        <v>100</v>
      </c>
      <c r="AR47" s="9">
        <v>100</v>
      </c>
      <c r="AS47" s="9">
        <v>100</v>
      </c>
      <c r="AT47" s="9">
        <v>100</v>
      </c>
      <c r="AU47" s="9">
        <v>100</v>
      </c>
      <c r="AV47" s="9">
        <v>100</v>
      </c>
      <c r="AW47" s="9">
        <v>100</v>
      </c>
      <c r="AX47" s="9">
        <v>100</v>
      </c>
    </row>
    <row r="48" spans="1:50">
      <c r="A48" s="1" t="s">
        <v>19</v>
      </c>
      <c r="B48" s="58" t="s">
        <v>98</v>
      </c>
      <c r="C48" s="9">
        <v>100</v>
      </c>
      <c r="D48" s="9">
        <v>100</v>
      </c>
      <c r="E48" s="9">
        <v>100</v>
      </c>
      <c r="F48" s="9">
        <v>100</v>
      </c>
      <c r="G48" s="9">
        <v>100</v>
      </c>
      <c r="H48" s="9">
        <v>100</v>
      </c>
      <c r="I48" s="9">
        <v>100</v>
      </c>
      <c r="J48" s="9">
        <v>100</v>
      </c>
      <c r="K48" s="9">
        <v>100</v>
      </c>
      <c r="L48" s="9">
        <v>100</v>
      </c>
      <c r="M48" s="9">
        <v>100</v>
      </c>
      <c r="N48" s="9">
        <v>100</v>
      </c>
      <c r="O48" s="9">
        <v>100</v>
      </c>
      <c r="P48" s="9">
        <v>100</v>
      </c>
      <c r="Q48" s="9">
        <v>100</v>
      </c>
      <c r="R48" s="9">
        <v>100</v>
      </c>
      <c r="S48" s="9">
        <v>100</v>
      </c>
      <c r="T48" s="9">
        <v>100</v>
      </c>
      <c r="U48" s="9">
        <v>100</v>
      </c>
      <c r="V48" s="9">
        <v>100</v>
      </c>
      <c r="W48" s="9">
        <v>100</v>
      </c>
      <c r="X48" s="9">
        <v>100</v>
      </c>
      <c r="Y48" s="9">
        <v>100</v>
      </c>
      <c r="Z48" s="9">
        <v>100</v>
      </c>
      <c r="AA48" s="9">
        <v>100</v>
      </c>
      <c r="AB48" s="9">
        <v>100</v>
      </c>
      <c r="AC48" s="9">
        <v>100</v>
      </c>
      <c r="AD48" s="9">
        <v>100</v>
      </c>
      <c r="AE48" s="9">
        <v>100</v>
      </c>
      <c r="AF48" s="9">
        <v>100</v>
      </c>
      <c r="AG48" s="9">
        <v>100</v>
      </c>
      <c r="AH48" s="9">
        <v>100</v>
      </c>
      <c r="AI48" s="9">
        <v>100</v>
      </c>
      <c r="AJ48" s="9">
        <v>100</v>
      </c>
      <c r="AK48" s="9">
        <v>100</v>
      </c>
      <c r="AL48" s="9">
        <v>100</v>
      </c>
      <c r="AM48" s="9">
        <v>100</v>
      </c>
      <c r="AN48" s="9">
        <v>100</v>
      </c>
      <c r="AO48" s="9">
        <v>100</v>
      </c>
      <c r="AP48" s="9">
        <v>100</v>
      </c>
      <c r="AQ48" s="9">
        <v>100</v>
      </c>
      <c r="AR48" s="9">
        <v>100</v>
      </c>
      <c r="AS48" s="9">
        <v>100</v>
      </c>
      <c r="AT48" s="9">
        <v>100</v>
      </c>
      <c r="AU48" s="9">
        <v>100</v>
      </c>
      <c r="AV48" s="9">
        <v>100</v>
      </c>
      <c r="AW48" s="9">
        <v>100</v>
      </c>
      <c r="AX48" s="9">
        <v>100</v>
      </c>
    </row>
    <row r="49" spans="1:50">
      <c r="A49" s="1" t="s">
        <v>117</v>
      </c>
      <c r="B49" s="58" t="s">
        <v>98</v>
      </c>
      <c r="C49" s="9">
        <v>100</v>
      </c>
      <c r="D49" s="9">
        <v>100</v>
      </c>
      <c r="E49" s="9">
        <v>100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100</v>
      </c>
      <c r="M49" s="9">
        <v>100</v>
      </c>
      <c r="N49" s="9">
        <v>100</v>
      </c>
      <c r="O49" s="9">
        <v>100</v>
      </c>
      <c r="P49" s="9">
        <v>100</v>
      </c>
      <c r="Q49" s="9">
        <v>100</v>
      </c>
      <c r="R49" s="9">
        <v>100</v>
      </c>
      <c r="S49" s="9">
        <v>100</v>
      </c>
      <c r="T49" s="9">
        <v>100</v>
      </c>
      <c r="U49" s="9">
        <v>100</v>
      </c>
      <c r="V49" s="9">
        <v>100</v>
      </c>
      <c r="W49" s="9">
        <v>100</v>
      </c>
      <c r="X49" s="9">
        <v>100</v>
      </c>
      <c r="Y49" s="9">
        <v>100</v>
      </c>
      <c r="Z49" s="9">
        <v>100</v>
      </c>
      <c r="AA49" s="9">
        <v>100</v>
      </c>
      <c r="AB49" s="9">
        <v>100</v>
      </c>
      <c r="AC49" s="9">
        <v>100</v>
      </c>
      <c r="AD49" s="9">
        <v>100</v>
      </c>
      <c r="AE49" s="9">
        <v>100</v>
      </c>
      <c r="AF49" s="9">
        <v>100</v>
      </c>
      <c r="AG49" s="9">
        <v>100</v>
      </c>
      <c r="AH49" s="9">
        <v>100</v>
      </c>
      <c r="AI49" s="9">
        <v>100</v>
      </c>
      <c r="AJ49" s="9">
        <v>100</v>
      </c>
      <c r="AK49" s="9">
        <v>100</v>
      </c>
      <c r="AL49" s="9">
        <v>100</v>
      </c>
      <c r="AM49" s="9">
        <v>100</v>
      </c>
      <c r="AN49" s="9">
        <v>100</v>
      </c>
      <c r="AO49" s="9">
        <v>100</v>
      </c>
      <c r="AP49" s="9">
        <v>100</v>
      </c>
      <c r="AQ49" s="9">
        <v>100</v>
      </c>
      <c r="AR49" s="9">
        <v>100</v>
      </c>
      <c r="AS49" s="9">
        <v>100</v>
      </c>
      <c r="AT49" s="9">
        <v>100</v>
      </c>
      <c r="AU49" s="9">
        <v>100</v>
      </c>
      <c r="AV49" s="9">
        <v>100</v>
      </c>
      <c r="AW49" s="9">
        <v>100</v>
      </c>
      <c r="AX49" s="9">
        <v>100</v>
      </c>
    </row>
    <row r="50" spans="1:50">
      <c r="A50" s="1" t="s">
        <v>118</v>
      </c>
      <c r="B50" s="58" t="s">
        <v>98</v>
      </c>
      <c r="C50" s="9">
        <v>100</v>
      </c>
      <c r="D50" s="9">
        <v>100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100</v>
      </c>
      <c r="K50" s="9">
        <v>100</v>
      </c>
      <c r="L50" s="9">
        <v>100</v>
      </c>
      <c r="M50" s="9">
        <v>100</v>
      </c>
      <c r="N50" s="9">
        <v>100</v>
      </c>
      <c r="O50" s="9">
        <v>100</v>
      </c>
      <c r="P50" s="9">
        <v>100</v>
      </c>
      <c r="Q50" s="9">
        <v>100</v>
      </c>
      <c r="R50" s="9">
        <v>100</v>
      </c>
      <c r="S50" s="9">
        <v>100</v>
      </c>
      <c r="T50" s="9">
        <v>100</v>
      </c>
      <c r="U50" s="9">
        <v>100</v>
      </c>
      <c r="V50" s="9">
        <v>100</v>
      </c>
      <c r="W50" s="9">
        <v>100</v>
      </c>
      <c r="X50" s="9">
        <v>100</v>
      </c>
      <c r="Y50" s="9">
        <v>100</v>
      </c>
      <c r="Z50" s="9">
        <v>100</v>
      </c>
      <c r="AA50" s="9">
        <v>100</v>
      </c>
      <c r="AB50" s="9">
        <v>100</v>
      </c>
      <c r="AC50" s="9">
        <v>100</v>
      </c>
      <c r="AD50" s="9">
        <v>100</v>
      </c>
      <c r="AE50" s="9">
        <v>100</v>
      </c>
      <c r="AF50" s="9">
        <v>100</v>
      </c>
      <c r="AG50" s="9">
        <v>100</v>
      </c>
      <c r="AH50" s="9">
        <v>100</v>
      </c>
      <c r="AI50" s="9">
        <v>100</v>
      </c>
      <c r="AJ50" s="9">
        <v>100</v>
      </c>
      <c r="AK50" s="9">
        <v>100</v>
      </c>
      <c r="AL50" s="9">
        <v>100</v>
      </c>
      <c r="AM50" s="9">
        <v>100</v>
      </c>
      <c r="AN50" s="9">
        <v>100</v>
      </c>
      <c r="AO50" s="9">
        <v>100</v>
      </c>
      <c r="AP50" s="9">
        <v>100</v>
      </c>
      <c r="AQ50" s="9">
        <v>100</v>
      </c>
      <c r="AR50" s="9">
        <v>100</v>
      </c>
      <c r="AS50" s="9">
        <v>100</v>
      </c>
      <c r="AT50" s="9">
        <v>100</v>
      </c>
      <c r="AU50" s="9">
        <v>100</v>
      </c>
      <c r="AV50" s="9">
        <v>100</v>
      </c>
      <c r="AW50" s="9">
        <v>100</v>
      </c>
      <c r="AX50" s="9">
        <v>100</v>
      </c>
    </row>
    <row r="51" spans="1:50">
      <c r="A51" s="1" t="s">
        <v>119</v>
      </c>
      <c r="B51" s="58" t="s">
        <v>98</v>
      </c>
      <c r="C51" s="9">
        <v>100</v>
      </c>
      <c r="D51" s="9">
        <v>100</v>
      </c>
      <c r="E51" s="9">
        <v>100</v>
      </c>
      <c r="F51" s="9">
        <v>100</v>
      </c>
      <c r="G51" s="9">
        <v>100</v>
      </c>
      <c r="H51" s="9">
        <v>100</v>
      </c>
      <c r="I51" s="9">
        <v>100</v>
      </c>
      <c r="J51" s="9">
        <v>100</v>
      </c>
      <c r="K51" s="9">
        <v>100</v>
      </c>
      <c r="L51" s="9">
        <v>100</v>
      </c>
      <c r="M51" s="9">
        <v>100</v>
      </c>
      <c r="N51" s="9">
        <v>100</v>
      </c>
      <c r="O51" s="9">
        <v>100</v>
      </c>
      <c r="P51" s="9">
        <v>100</v>
      </c>
      <c r="Q51" s="9">
        <v>100</v>
      </c>
      <c r="R51" s="9">
        <v>100</v>
      </c>
      <c r="S51" s="9">
        <v>100</v>
      </c>
      <c r="T51" s="9">
        <v>100</v>
      </c>
      <c r="U51" s="9">
        <v>100</v>
      </c>
      <c r="V51" s="9">
        <v>100</v>
      </c>
      <c r="W51" s="9">
        <v>100</v>
      </c>
      <c r="X51" s="9">
        <v>100</v>
      </c>
      <c r="Y51" s="9">
        <v>100</v>
      </c>
      <c r="Z51" s="9">
        <v>100</v>
      </c>
      <c r="AA51" s="9">
        <v>100</v>
      </c>
      <c r="AB51" s="9">
        <v>100</v>
      </c>
      <c r="AC51" s="9">
        <v>100</v>
      </c>
      <c r="AD51" s="9">
        <v>100</v>
      </c>
      <c r="AE51" s="9">
        <v>100</v>
      </c>
      <c r="AF51" s="9">
        <v>100</v>
      </c>
      <c r="AG51" s="9">
        <v>100</v>
      </c>
      <c r="AH51" s="9">
        <v>100</v>
      </c>
      <c r="AI51" s="9">
        <v>100</v>
      </c>
      <c r="AJ51" s="9">
        <v>100</v>
      </c>
      <c r="AK51" s="9">
        <v>100</v>
      </c>
      <c r="AL51" s="9">
        <v>100</v>
      </c>
      <c r="AM51" s="9">
        <v>100</v>
      </c>
      <c r="AN51" s="9">
        <v>100</v>
      </c>
      <c r="AO51" s="9">
        <v>100</v>
      </c>
      <c r="AP51" s="9">
        <v>100</v>
      </c>
      <c r="AQ51" s="9">
        <v>100</v>
      </c>
      <c r="AR51" s="9">
        <v>100</v>
      </c>
      <c r="AS51" s="9">
        <v>100</v>
      </c>
      <c r="AT51" s="9">
        <v>100</v>
      </c>
      <c r="AU51" s="9">
        <v>100</v>
      </c>
      <c r="AV51" s="9">
        <v>100</v>
      </c>
      <c r="AW51" s="9">
        <v>100</v>
      </c>
      <c r="AX51" s="9">
        <v>100</v>
      </c>
    </row>
    <row r="52" spans="1:50">
      <c r="A52" s="1" t="s">
        <v>120</v>
      </c>
      <c r="B52" s="58" t="s">
        <v>98</v>
      </c>
      <c r="C52" s="9">
        <v>100</v>
      </c>
      <c r="D52" s="9">
        <v>100</v>
      </c>
      <c r="E52" s="9">
        <v>100</v>
      </c>
      <c r="F52" s="9">
        <v>100</v>
      </c>
      <c r="G52" s="9">
        <v>100</v>
      </c>
      <c r="H52" s="9">
        <v>100</v>
      </c>
      <c r="I52" s="9">
        <v>100</v>
      </c>
      <c r="J52" s="9">
        <v>100</v>
      </c>
      <c r="K52" s="9">
        <v>100</v>
      </c>
      <c r="L52" s="9">
        <v>100</v>
      </c>
      <c r="M52" s="9">
        <v>100</v>
      </c>
      <c r="N52" s="9">
        <v>100</v>
      </c>
      <c r="O52" s="9">
        <v>100</v>
      </c>
      <c r="P52" s="9">
        <v>100</v>
      </c>
      <c r="Q52" s="9">
        <v>100</v>
      </c>
      <c r="R52" s="9">
        <v>100</v>
      </c>
      <c r="S52" s="9">
        <v>100</v>
      </c>
      <c r="T52" s="9">
        <v>100</v>
      </c>
      <c r="U52" s="9">
        <v>100</v>
      </c>
      <c r="V52" s="9">
        <v>100</v>
      </c>
      <c r="W52" s="9">
        <v>100</v>
      </c>
      <c r="X52" s="9">
        <v>100</v>
      </c>
      <c r="Y52" s="9">
        <v>100</v>
      </c>
      <c r="Z52" s="9">
        <v>100</v>
      </c>
      <c r="AA52" s="9">
        <v>100</v>
      </c>
      <c r="AB52" s="9">
        <v>100</v>
      </c>
      <c r="AC52" s="9">
        <v>100</v>
      </c>
      <c r="AD52" s="9">
        <v>100</v>
      </c>
      <c r="AE52" s="9">
        <v>100</v>
      </c>
      <c r="AF52" s="9">
        <v>100</v>
      </c>
      <c r="AG52" s="9">
        <v>100</v>
      </c>
      <c r="AH52" s="9">
        <v>100</v>
      </c>
      <c r="AI52" s="9">
        <v>100</v>
      </c>
      <c r="AJ52" s="9">
        <v>100</v>
      </c>
      <c r="AK52" s="9">
        <v>100</v>
      </c>
      <c r="AL52" s="9">
        <v>100</v>
      </c>
      <c r="AM52" s="9">
        <v>100</v>
      </c>
      <c r="AN52" s="9">
        <v>100</v>
      </c>
      <c r="AO52" s="9">
        <v>100</v>
      </c>
      <c r="AP52" s="9">
        <v>100</v>
      </c>
      <c r="AQ52" s="9">
        <v>100</v>
      </c>
      <c r="AR52" s="9">
        <v>100</v>
      </c>
      <c r="AS52" s="9">
        <v>100</v>
      </c>
      <c r="AT52" s="9">
        <v>100</v>
      </c>
      <c r="AU52" s="9">
        <v>100</v>
      </c>
      <c r="AV52" s="9">
        <v>100</v>
      </c>
      <c r="AW52" s="9">
        <v>100</v>
      </c>
      <c r="AX52" s="9">
        <v>100</v>
      </c>
    </row>
    <row r="53" spans="1:50">
      <c r="A53" s="54" t="s">
        <v>32</v>
      </c>
      <c r="B53" s="58" t="s">
        <v>98</v>
      </c>
      <c r="C53" s="9">
        <v>700</v>
      </c>
      <c r="D53" s="9">
        <v>700</v>
      </c>
      <c r="E53" s="9">
        <v>700</v>
      </c>
      <c r="F53" s="9">
        <v>700</v>
      </c>
      <c r="G53" s="9">
        <v>700</v>
      </c>
      <c r="H53" s="9">
        <v>700</v>
      </c>
      <c r="I53" s="9">
        <v>700</v>
      </c>
      <c r="J53" s="9">
        <v>700</v>
      </c>
      <c r="K53" s="9">
        <v>700</v>
      </c>
      <c r="L53" s="9">
        <v>700</v>
      </c>
      <c r="M53" s="9">
        <v>700</v>
      </c>
      <c r="N53" s="9">
        <v>700</v>
      </c>
      <c r="O53" s="9">
        <v>700</v>
      </c>
      <c r="P53" s="9">
        <v>700</v>
      </c>
      <c r="Q53" s="9">
        <v>700</v>
      </c>
      <c r="R53" s="9">
        <v>700</v>
      </c>
      <c r="S53" s="9">
        <v>700</v>
      </c>
      <c r="T53" s="9">
        <v>700</v>
      </c>
      <c r="U53" s="9">
        <v>700</v>
      </c>
      <c r="V53" s="9">
        <v>700</v>
      </c>
      <c r="W53" s="9">
        <v>700</v>
      </c>
      <c r="X53" s="9">
        <v>700</v>
      </c>
      <c r="Y53" s="9">
        <v>700</v>
      </c>
      <c r="Z53" s="9">
        <v>700</v>
      </c>
      <c r="AA53" s="9">
        <v>700</v>
      </c>
      <c r="AB53" s="9">
        <v>700</v>
      </c>
      <c r="AC53" s="9">
        <v>700</v>
      </c>
      <c r="AD53" s="9">
        <v>700</v>
      </c>
      <c r="AE53" s="9">
        <v>700</v>
      </c>
      <c r="AF53" s="9">
        <v>700</v>
      </c>
      <c r="AG53" s="9">
        <v>700</v>
      </c>
      <c r="AH53" s="9">
        <v>700</v>
      </c>
      <c r="AI53" s="9">
        <v>700</v>
      </c>
      <c r="AJ53" s="9">
        <v>700</v>
      </c>
      <c r="AK53" s="9">
        <v>700</v>
      </c>
      <c r="AL53" s="9">
        <v>700</v>
      </c>
      <c r="AM53" s="9">
        <v>700</v>
      </c>
      <c r="AN53" s="9">
        <v>700</v>
      </c>
      <c r="AO53" s="9">
        <v>700</v>
      </c>
      <c r="AP53" s="9">
        <v>700</v>
      </c>
      <c r="AQ53" s="9">
        <v>700</v>
      </c>
      <c r="AR53" s="9">
        <v>700</v>
      </c>
      <c r="AS53" s="9">
        <v>700</v>
      </c>
      <c r="AT53" s="9">
        <v>700</v>
      </c>
      <c r="AU53" s="9">
        <v>700</v>
      </c>
      <c r="AV53" s="9">
        <v>700</v>
      </c>
      <c r="AW53" s="9">
        <v>700</v>
      </c>
      <c r="AX53" s="9">
        <v>700</v>
      </c>
    </row>
  </sheetData>
  <phoneticPr fontId="2" type="noConversion"/>
  <pageMargins left="0" right="0" top="1" bottom="1" header="0.5" footer="0.5"/>
  <pageSetup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99"/>
  <sheetViews>
    <sheetView workbookViewId="0">
      <selection activeCell="A2" sqref="A2:M22"/>
    </sheetView>
  </sheetViews>
  <sheetFormatPr defaultRowHeight="12.75"/>
  <cols>
    <col min="1" max="1" width="48.5703125" style="41" customWidth="1"/>
    <col min="2" max="2" width="11.7109375" style="41" customWidth="1"/>
    <col min="3" max="3" width="10" style="41" customWidth="1"/>
    <col min="4" max="4" width="30.140625" style="41" customWidth="1"/>
    <col min="5" max="5" width="10.42578125" style="41" customWidth="1"/>
    <col min="6" max="8" width="10" style="41" customWidth="1"/>
    <col min="9" max="9" width="10.85546875" style="41" customWidth="1"/>
    <col min="10" max="10" width="10.140625" style="41" customWidth="1"/>
    <col min="11" max="11" width="9.5703125" style="41" customWidth="1"/>
    <col min="12" max="12" width="9.42578125" style="41" customWidth="1"/>
    <col min="13" max="13" width="10.28515625" style="41" customWidth="1"/>
    <col min="14" max="14" width="11.85546875" style="41" customWidth="1"/>
    <col min="15" max="15" width="15" style="41" bestFit="1" customWidth="1"/>
    <col min="16" max="16384" width="9.140625" style="41"/>
  </cols>
  <sheetData>
    <row r="1" spans="1:14" ht="25.5" customHeight="1">
      <c r="B1" s="44" t="s">
        <v>89</v>
      </c>
      <c r="C1" s="8" t="s">
        <v>65</v>
      </c>
      <c r="E1" s="44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8" t="s">
        <v>0</v>
      </c>
      <c r="C2" s="8"/>
      <c r="D2" s="5"/>
      <c r="E2" s="8"/>
      <c r="F2" s="8"/>
      <c r="G2" s="8"/>
      <c r="H2" s="8"/>
      <c r="I2" s="8"/>
      <c r="J2" s="8"/>
      <c r="K2" s="8"/>
      <c r="L2" s="8"/>
      <c r="M2" s="5"/>
      <c r="N2" s="5"/>
    </row>
    <row r="3" spans="1:14">
      <c r="A3" s="8" t="s">
        <v>15</v>
      </c>
      <c r="D3" s="8"/>
      <c r="G3" s="42"/>
      <c r="H3" s="5"/>
      <c r="I3" s="5"/>
      <c r="J3" s="5"/>
      <c r="K3" s="5"/>
      <c r="L3" s="5"/>
      <c r="M3" s="43"/>
      <c r="N3" s="5"/>
    </row>
    <row r="4" spans="1:14">
      <c r="A4" s="8" t="s">
        <v>16</v>
      </c>
      <c r="D4" s="8"/>
      <c r="H4" s="5"/>
      <c r="I4" s="5"/>
      <c r="J4" s="5"/>
      <c r="K4" s="5"/>
      <c r="L4" s="5"/>
      <c r="M4" s="43"/>
      <c r="N4" s="5"/>
    </row>
    <row r="5" spans="1:14">
      <c r="A5" s="17" t="s">
        <v>17</v>
      </c>
      <c r="D5" s="34"/>
      <c r="H5" s="5"/>
      <c r="I5" s="5"/>
      <c r="J5" s="5"/>
      <c r="K5" s="5"/>
      <c r="L5" s="5"/>
      <c r="M5" s="43"/>
      <c r="N5" s="5"/>
    </row>
    <row r="6" spans="1:14">
      <c r="A6" s="8" t="s">
        <v>18</v>
      </c>
      <c r="D6" s="8"/>
      <c r="H6" s="5"/>
      <c r="I6" s="5"/>
      <c r="J6" s="5"/>
      <c r="K6" s="5"/>
      <c r="L6" s="5"/>
      <c r="M6" s="43"/>
      <c r="N6" s="5"/>
    </row>
    <row r="7" spans="1:14">
      <c r="A7" s="8" t="s">
        <v>19</v>
      </c>
      <c r="D7" s="8"/>
      <c r="H7" s="5"/>
      <c r="I7" s="5"/>
      <c r="J7" s="5"/>
      <c r="K7" s="5"/>
      <c r="L7" s="5"/>
      <c r="M7" s="43"/>
      <c r="N7" s="5"/>
    </row>
    <row r="8" spans="1:14">
      <c r="A8" s="17" t="s">
        <v>20</v>
      </c>
      <c r="D8" s="34"/>
      <c r="H8" s="5"/>
      <c r="I8" s="5"/>
      <c r="J8" s="5"/>
      <c r="K8" s="5"/>
      <c r="L8" s="5"/>
      <c r="M8" s="43"/>
      <c r="N8" s="5"/>
    </row>
    <row r="9" spans="1:14">
      <c r="A9" s="17" t="s">
        <v>21</v>
      </c>
      <c r="D9" s="34"/>
      <c r="H9" s="5"/>
      <c r="I9" s="5"/>
      <c r="J9" s="5"/>
      <c r="K9" s="5"/>
      <c r="L9" s="5"/>
      <c r="M9" s="43"/>
      <c r="N9" s="5"/>
    </row>
    <row r="10" spans="1:14">
      <c r="A10" s="17" t="s">
        <v>22</v>
      </c>
      <c r="D10" s="34"/>
      <c r="H10" s="5"/>
      <c r="I10" s="5"/>
      <c r="J10" s="5"/>
      <c r="K10" s="5"/>
      <c r="L10" s="5"/>
      <c r="M10" s="43"/>
      <c r="N10" s="5"/>
    </row>
    <row r="11" spans="1:14">
      <c r="A11" s="17" t="s">
        <v>23</v>
      </c>
      <c r="D11" s="34"/>
      <c r="H11" s="5"/>
      <c r="I11" s="5"/>
      <c r="J11" s="5"/>
      <c r="K11" s="5"/>
      <c r="L11" s="5"/>
      <c r="M11" s="43"/>
      <c r="N11" s="5"/>
    </row>
    <row r="12" spans="1:14">
      <c r="A12" s="17" t="s">
        <v>24</v>
      </c>
      <c r="D12" s="34"/>
      <c r="H12" s="5"/>
      <c r="I12" s="5"/>
      <c r="J12" s="5"/>
      <c r="K12" s="5"/>
      <c r="L12" s="5"/>
      <c r="M12" s="43"/>
      <c r="N12" s="5"/>
    </row>
    <row r="13" spans="1:14">
      <c r="A13" s="17" t="s">
        <v>71</v>
      </c>
      <c r="D13" s="34"/>
      <c r="H13" s="5"/>
      <c r="I13" s="5"/>
      <c r="J13" s="5"/>
      <c r="K13" s="5"/>
      <c r="L13" s="5"/>
      <c r="M13" s="43"/>
      <c r="N13" s="5"/>
    </row>
    <row r="14" spans="1:14">
      <c r="A14" s="17" t="s">
        <v>72</v>
      </c>
      <c r="D14" s="34"/>
      <c r="H14" s="5"/>
      <c r="I14" s="5"/>
      <c r="J14" s="5"/>
      <c r="K14" s="5"/>
      <c r="L14" s="5"/>
      <c r="M14" s="43"/>
      <c r="N14" s="5"/>
    </row>
    <row r="15" spans="1:14">
      <c r="A15" s="17" t="s">
        <v>83</v>
      </c>
      <c r="D15" s="34"/>
      <c r="H15" s="5"/>
      <c r="I15" s="5"/>
      <c r="J15" s="5"/>
      <c r="K15" s="5"/>
      <c r="L15" s="5"/>
      <c r="M15" s="43"/>
      <c r="N15" s="5"/>
    </row>
    <row r="16" spans="1:14">
      <c r="A16" s="8" t="s">
        <v>25</v>
      </c>
      <c r="D16" s="8"/>
      <c r="H16" s="5"/>
      <c r="I16" s="5"/>
      <c r="J16" s="5"/>
      <c r="K16" s="5"/>
      <c r="L16" s="5"/>
      <c r="M16" s="43"/>
      <c r="N16" s="5"/>
    </row>
    <row r="17" spans="1:14">
      <c r="A17" s="17" t="s">
        <v>26</v>
      </c>
      <c r="D17" s="34"/>
      <c r="H17" s="5"/>
      <c r="I17" s="5"/>
      <c r="J17" s="5"/>
      <c r="K17" s="5"/>
      <c r="L17" s="5"/>
      <c r="M17" s="43"/>
      <c r="N17" s="5"/>
    </row>
    <row r="18" spans="1:14">
      <c r="A18" s="34" t="s">
        <v>27</v>
      </c>
      <c r="D18" s="34"/>
      <c r="H18" s="5"/>
      <c r="I18" s="5"/>
      <c r="J18" s="5"/>
      <c r="K18" s="5"/>
      <c r="L18" s="5"/>
      <c r="M18" s="43"/>
      <c r="N18" s="5"/>
    </row>
    <row r="19" spans="1:14">
      <c r="A19" s="17" t="s">
        <v>28</v>
      </c>
      <c r="D19" s="34"/>
      <c r="H19" s="5"/>
      <c r="I19" s="5"/>
      <c r="J19" s="5"/>
      <c r="K19" s="5"/>
      <c r="L19" s="5"/>
      <c r="M19" s="43"/>
      <c r="N19" s="5"/>
    </row>
    <row r="20" spans="1:14">
      <c r="A20" s="8" t="s">
        <v>29</v>
      </c>
      <c r="D20" s="8"/>
      <c r="H20" s="5"/>
      <c r="I20" s="5"/>
      <c r="J20" s="5"/>
      <c r="K20" s="5"/>
      <c r="L20" s="5"/>
      <c r="M20" s="43"/>
      <c r="N20" s="5"/>
    </row>
    <row r="21" spans="1:14">
      <c r="A21" s="17" t="s">
        <v>30</v>
      </c>
      <c r="H21" s="5"/>
      <c r="I21" s="5"/>
      <c r="J21" s="5"/>
      <c r="K21" s="5"/>
      <c r="L21" s="5"/>
      <c r="M21" s="43"/>
      <c r="N21" s="5"/>
    </row>
    <row r="22" spans="1:14">
      <c r="A22" s="17" t="s">
        <v>31</v>
      </c>
      <c r="H22" s="5"/>
      <c r="I22" s="5"/>
      <c r="J22" s="5"/>
      <c r="K22" s="5"/>
      <c r="L22" s="5"/>
      <c r="M22" s="43"/>
      <c r="N22" s="5"/>
    </row>
    <row r="23" spans="1:14">
      <c r="A23" s="1" t="s">
        <v>73</v>
      </c>
      <c r="H23" s="5"/>
      <c r="I23" s="5"/>
      <c r="J23" s="5"/>
      <c r="K23" s="5"/>
      <c r="L23" s="5"/>
      <c r="M23" s="43"/>
      <c r="N23" s="5"/>
    </row>
    <row r="24" spans="1:14">
      <c r="A24" s="17" t="s">
        <v>74</v>
      </c>
    </row>
    <row r="25" spans="1:14">
      <c r="A25" s="8" t="s">
        <v>32</v>
      </c>
    </row>
    <row r="26" spans="1:14">
      <c r="A26" s="17" t="s">
        <v>68</v>
      </c>
    </row>
    <row r="27" spans="1:14">
      <c r="A27" s="17" t="s">
        <v>33</v>
      </c>
    </row>
    <row r="28" spans="1:14">
      <c r="A28" s="45" t="s">
        <v>66</v>
      </c>
    </row>
    <row r="29" spans="1:14">
      <c r="A29" s="46" t="s">
        <v>87</v>
      </c>
      <c r="B29" s="8"/>
      <c r="C29" s="46"/>
      <c r="D29" s="5"/>
      <c r="E29" s="5"/>
      <c r="F29" s="5"/>
    </row>
    <row r="30" spans="1:14">
      <c r="A30" s="46"/>
      <c r="B30" s="8"/>
      <c r="C30" s="46"/>
      <c r="D30" s="5"/>
      <c r="E30" s="5"/>
      <c r="F30" s="5"/>
    </row>
    <row r="31" spans="1:14" ht="25.5">
      <c r="A31" s="47"/>
      <c r="B31" s="44" t="str">
        <f>B1</f>
        <v>2011 Actuals</v>
      </c>
      <c r="C31" s="40" t="s">
        <v>86</v>
      </c>
      <c r="D31" s="5"/>
      <c r="E31" s="5"/>
      <c r="F31" s="5"/>
    </row>
    <row r="32" spans="1:14">
      <c r="B32" s="8" t="s">
        <v>0</v>
      </c>
      <c r="C32" s="8"/>
      <c r="D32" s="8"/>
      <c r="E32" s="5"/>
      <c r="F32" s="5"/>
    </row>
    <row r="33" spans="1:12">
      <c r="A33" s="46" t="s">
        <v>87</v>
      </c>
      <c r="E33" s="5"/>
      <c r="F33" s="5"/>
    </row>
    <row r="34" spans="1:12">
      <c r="A34" s="46"/>
      <c r="B34" s="8"/>
      <c r="C34" s="46"/>
      <c r="D34" s="5"/>
      <c r="E34" s="5"/>
      <c r="F34" s="5"/>
    </row>
    <row r="35" spans="1:12" ht="25.5">
      <c r="A35" s="47"/>
      <c r="B35" s="44" t="str">
        <f>B31</f>
        <v>2011 Actuals</v>
      </c>
      <c r="C35" s="46" t="s">
        <v>85</v>
      </c>
      <c r="D35" s="5"/>
      <c r="E35" s="5"/>
      <c r="F35" s="5"/>
    </row>
    <row r="36" spans="1:12">
      <c r="B36" s="8" t="s"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46" t="s">
        <v>87</v>
      </c>
    </row>
    <row r="38" spans="1:12">
      <c r="A38" s="46"/>
    </row>
    <row r="39" spans="1:12">
      <c r="A39" s="46"/>
    </row>
    <row r="40" spans="1:12" ht="25.5" customHeight="1">
      <c r="B40" s="44" t="s">
        <v>91</v>
      </c>
      <c r="C40" s="8" t="s">
        <v>65</v>
      </c>
    </row>
    <row r="41" spans="1:12">
      <c r="A41" s="5"/>
      <c r="B41" s="8" t="s">
        <v>13</v>
      </c>
    </row>
    <row r="42" spans="1:12">
      <c r="A42" s="8" t="s">
        <v>15</v>
      </c>
      <c r="B42" s="5">
        <v>1726234.8495759999</v>
      </c>
    </row>
    <row r="43" spans="1:12">
      <c r="A43" s="8" t="s">
        <v>16</v>
      </c>
      <c r="B43" s="5">
        <v>663354.38727027969</v>
      </c>
    </row>
    <row r="44" spans="1:12">
      <c r="A44" s="17" t="s">
        <v>17</v>
      </c>
      <c r="B44" s="5">
        <v>1015529.3138675999</v>
      </c>
    </row>
    <row r="45" spans="1:12">
      <c r="A45" s="8" t="s">
        <v>18</v>
      </c>
      <c r="B45" s="5">
        <v>170593.3023288</v>
      </c>
    </row>
    <row r="46" spans="1:12">
      <c r="A46" s="17" t="s">
        <v>20</v>
      </c>
      <c r="B46" s="5">
        <v>165338.11632</v>
      </c>
    </row>
    <row r="47" spans="1:12">
      <c r="A47" s="17" t="s">
        <v>21</v>
      </c>
      <c r="B47" s="5">
        <v>196057.46633359999</v>
      </c>
    </row>
    <row r="48" spans="1:12">
      <c r="A48" s="17" t="s">
        <v>22</v>
      </c>
      <c r="B48" s="5">
        <v>495762.89067799994</v>
      </c>
    </row>
    <row r="49" spans="1:2">
      <c r="A49" s="17" t="s">
        <v>23</v>
      </c>
      <c r="B49" s="5">
        <v>98905.075263600011</v>
      </c>
    </row>
    <row r="50" spans="1:2">
      <c r="A50" s="17" t="s">
        <v>24</v>
      </c>
      <c r="B50" s="5">
        <v>3437</v>
      </c>
    </row>
    <row r="51" spans="1:2">
      <c r="A51" s="17" t="s">
        <v>71</v>
      </c>
      <c r="B51" s="5">
        <v>155460.73064550001</v>
      </c>
    </row>
    <row r="52" spans="1:2">
      <c r="A52" s="17" t="s">
        <v>72</v>
      </c>
      <c r="B52" s="5">
        <v>73626.693925200001</v>
      </c>
    </row>
    <row r="53" spans="1:2">
      <c r="A53" s="17" t="s">
        <v>83</v>
      </c>
      <c r="B53" s="5">
        <v>6085.9708064000006</v>
      </c>
    </row>
    <row r="54" spans="1:2">
      <c r="A54" s="49" t="s">
        <v>92</v>
      </c>
      <c r="B54" s="5">
        <v>25609.633528967635</v>
      </c>
    </row>
    <row r="55" spans="1:2">
      <c r="A55" s="8" t="s">
        <v>25</v>
      </c>
      <c r="B55" s="5">
        <v>97970.019483200012</v>
      </c>
    </row>
    <row r="56" spans="1:2">
      <c r="A56" s="17" t="s">
        <v>28</v>
      </c>
      <c r="B56" s="5">
        <v>12649.3654804</v>
      </c>
    </row>
    <row r="57" spans="1:2">
      <c r="A57" s="8" t="s">
        <v>29</v>
      </c>
      <c r="B57" s="5">
        <v>9334.015114400001</v>
      </c>
    </row>
    <row r="58" spans="1:2">
      <c r="A58" s="17" t="s">
        <v>30</v>
      </c>
      <c r="B58" s="5">
        <v>653.05469039999991</v>
      </c>
    </row>
    <row r="59" spans="1:2">
      <c r="A59" s="17" t="s">
        <v>31</v>
      </c>
      <c r="B59" s="5">
        <v>9422.5909047999994</v>
      </c>
    </row>
    <row r="60" spans="1:2">
      <c r="A60" s="17" t="s">
        <v>73</v>
      </c>
      <c r="B60" s="41">
        <v>0</v>
      </c>
    </row>
    <row r="61" spans="1:2">
      <c r="A61" s="17" t="s">
        <v>74</v>
      </c>
      <c r="B61" s="41">
        <v>5115.3246467999998</v>
      </c>
    </row>
    <row r="62" spans="1:2">
      <c r="A62" s="8" t="s">
        <v>32</v>
      </c>
      <c r="B62" s="41">
        <v>2897516.4248980004</v>
      </c>
    </row>
    <row r="63" spans="1:2">
      <c r="A63" s="45" t="s">
        <v>66</v>
      </c>
      <c r="B63" s="5">
        <v>0</v>
      </c>
    </row>
    <row r="64" spans="1:2">
      <c r="A64" s="46" t="s">
        <v>87</v>
      </c>
      <c r="B64" s="41">
        <v>7828656.2257619472</v>
      </c>
    </row>
    <row r="66" spans="1:4" ht="25.5" customHeight="1">
      <c r="B66" s="44" t="s">
        <v>91</v>
      </c>
      <c r="C66" s="40" t="s">
        <v>86</v>
      </c>
    </row>
    <row r="67" spans="1:4">
      <c r="B67" s="8" t="s">
        <v>13</v>
      </c>
      <c r="C67" s="40"/>
    </row>
    <row r="68" spans="1:4">
      <c r="A68" s="46" t="s">
        <v>87</v>
      </c>
      <c r="B68" s="41">
        <v>226227.86</v>
      </c>
    </row>
    <row r="70" spans="1:4" ht="25.5" customHeight="1">
      <c r="B70" s="44" t="s">
        <v>91</v>
      </c>
      <c r="C70" s="46" t="s">
        <v>85</v>
      </c>
    </row>
    <row r="71" spans="1:4">
      <c r="B71" s="8" t="s">
        <v>13</v>
      </c>
    </row>
    <row r="72" spans="1:4">
      <c r="A72" s="46" t="s">
        <v>87</v>
      </c>
      <c r="B72" s="41">
        <v>8054884.0857619476</v>
      </c>
    </row>
    <row r="74" spans="1:4">
      <c r="B74" s="5"/>
      <c r="C74" s="5"/>
      <c r="D74" s="5"/>
    </row>
    <row r="75" spans="1:4">
      <c r="B75" s="44"/>
      <c r="C75" s="8"/>
    </row>
    <row r="76" spans="1:4">
      <c r="A76" s="5"/>
      <c r="B76" s="8"/>
      <c r="C76" s="8"/>
    </row>
    <row r="77" spans="1:4">
      <c r="A77" s="8"/>
      <c r="D77" s="34"/>
    </row>
    <row r="78" spans="1:4">
      <c r="A78" s="8"/>
      <c r="D78" s="34"/>
    </row>
    <row r="79" spans="1:4">
      <c r="A79" s="34"/>
      <c r="D79" s="34"/>
    </row>
    <row r="80" spans="1:4">
      <c r="A80" s="8"/>
      <c r="D80" s="34"/>
    </row>
    <row r="81" spans="1:4">
      <c r="A81" s="8"/>
      <c r="D81" s="34"/>
    </row>
    <row r="82" spans="1:4">
      <c r="A82" s="34"/>
      <c r="D82" s="34"/>
    </row>
    <row r="83" spans="1:4">
      <c r="A83" s="34"/>
      <c r="D83" s="34"/>
    </row>
    <row r="84" spans="1:4">
      <c r="A84" s="34"/>
      <c r="D84" s="8"/>
    </row>
    <row r="85" spans="1:4">
      <c r="A85" s="34"/>
      <c r="D85" s="34"/>
    </row>
    <row r="86" spans="1:4">
      <c r="A86" s="34"/>
      <c r="D86" s="34"/>
    </row>
    <row r="87" spans="1:4">
      <c r="A87" s="34"/>
      <c r="D87" s="8"/>
    </row>
    <row r="88" spans="1:4">
      <c r="A88" s="34"/>
      <c r="D88" s="34"/>
    </row>
    <row r="89" spans="1:4">
      <c r="A89" s="8"/>
      <c r="D89" s="34"/>
    </row>
    <row r="90" spans="1:4">
      <c r="A90" s="34"/>
    </row>
    <row r="91" spans="1:4">
      <c r="A91" s="34"/>
    </row>
    <row r="92" spans="1:4">
      <c r="A92" s="8"/>
    </row>
    <row r="93" spans="1:4">
      <c r="A93" s="34"/>
      <c r="D93" s="8"/>
    </row>
    <row r="94" spans="1:4">
      <c r="A94" s="34"/>
      <c r="D94" s="8"/>
    </row>
    <row r="95" spans="1:4">
      <c r="A95" s="34"/>
      <c r="D95" s="34"/>
    </row>
    <row r="96" spans="1:4">
      <c r="A96" s="34"/>
      <c r="D96" s="8"/>
    </row>
    <row r="97" spans="1:4">
      <c r="A97" s="8"/>
      <c r="D97" s="8"/>
    </row>
    <row r="98" spans="1:4">
      <c r="A98" s="34"/>
    </row>
    <row r="99" spans="1:4">
      <c r="A99" s="46"/>
      <c r="D99" s="34"/>
    </row>
  </sheetData>
  <phoneticPr fontId="2" type="noConversion"/>
  <printOptions headings="1"/>
  <pageMargins left="0" right="0" top="0.5" bottom="0.5" header="0.5" footer="0.5"/>
  <pageSetup scale="6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4:P54"/>
  <sheetViews>
    <sheetView workbookViewId="0">
      <pane xSplit="2" ySplit="5" topLeftCell="G6" activePane="bottomRight" state="frozen"/>
      <selection pane="topRight" activeCell="C1" sqref="C1"/>
      <selection pane="bottomLeft" activeCell="A3" sqref="A3"/>
      <selection pane="bottomRight" activeCell="P6" sqref="P6"/>
    </sheetView>
  </sheetViews>
  <sheetFormatPr defaultRowHeight="12.75"/>
  <cols>
    <col min="1" max="1" width="42.85546875" style="41" customWidth="1"/>
    <col min="2" max="2" width="22.85546875" style="41" customWidth="1"/>
    <col min="3" max="3" width="11.7109375" style="41" customWidth="1"/>
    <col min="4" max="4" width="10" style="41" customWidth="1"/>
    <col min="5" max="5" width="11.5703125" style="41" customWidth="1"/>
    <col min="6" max="6" width="10.42578125" style="41" customWidth="1"/>
    <col min="7" max="9" width="10" style="41" customWidth="1"/>
    <col min="10" max="10" width="10.85546875" style="41" customWidth="1"/>
    <col min="11" max="11" width="10.140625" style="41" customWidth="1"/>
    <col min="12" max="12" width="9.5703125" style="41" customWidth="1"/>
    <col min="13" max="13" width="9.42578125" style="41" customWidth="1"/>
    <col min="14" max="14" width="10.28515625" style="41" customWidth="1"/>
    <col min="15" max="15" width="11.85546875" style="41" customWidth="1"/>
    <col min="16" max="16" width="15" style="41" bestFit="1" customWidth="1"/>
    <col min="17" max="16384" width="9.140625" style="41"/>
  </cols>
  <sheetData>
    <row r="4" spans="1:16" ht="25.5" customHeight="1">
      <c r="C4" s="8" t="s">
        <v>121</v>
      </c>
      <c r="D4" s="8" t="s">
        <v>121</v>
      </c>
      <c r="E4" s="8" t="s">
        <v>121</v>
      </c>
      <c r="F4" s="8" t="s">
        <v>121</v>
      </c>
      <c r="G4" s="8" t="s">
        <v>121</v>
      </c>
      <c r="H4" s="8" t="s">
        <v>121</v>
      </c>
      <c r="I4" s="8" t="s">
        <v>121</v>
      </c>
      <c r="J4" s="8" t="s">
        <v>121</v>
      </c>
      <c r="K4" s="8" t="s">
        <v>121</v>
      </c>
      <c r="L4" s="8" t="s">
        <v>121</v>
      </c>
      <c r="M4" s="8" t="s">
        <v>121</v>
      </c>
      <c r="N4" s="8" t="s">
        <v>121</v>
      </c>
      <c r="O4" s="65" t="s">
        <v>122</v>
      </c>
      <c r="P4" s="65" t="s">
        <v>123</v>
      </c>
    </row>
    <row r="5" spans="1:16">
      <c r="A5" s="5"/>
      <c r="B5" s="5"/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7</v>
      </c>
      <c r="K5" s="8" t="s">
        <v>8</v>
      </c>
      <c r="L5" s="8" t="s">
        <v>9</v>
      </c>
      <c r="M5" s="8" t="s">
        <v>10</v>
      </c>
      <c r="N5" s="8" t="s">
        <v>11</v>
      </c>
      <c r="O5" s="59" t="s">
        <v>0</v>
      </c>
      <c r="P5" s="65" t="s">
        <v>0</v>
      </c>
    </row>
    <row r="6" spans="1:16">
      <c r="A6" s="54" t="s">
        <v>15</v>
      </c>
      <c r="B6" s="53" t="s">
        <v>65</v>
      </c>
      <c r="C6" s="41">
        <v>203813.39330828429</v>
      </c>
      <c r="D6" s="41">
        <v>254766.74163535534</v>
      </c>
      <c r="E6" s="34">
        <v>203813.39330828429</v>
      </c>
      <c r="F6" s="41">
        <v>203813.39330828429</v>
      </c>
      <c r="G6" s="41">
        <v>254766.74163535534</v>
      </c>
      <c r="H6" s="41">
        <v>203813.39330828429</v>
      </c>
      <c r="I6" s="5">
        <v>203813.39330828429</v>
      </c>
      <c r="J6" s="5">
        <v>254766.74163535534</v>
      </c>
      <c r="K6" s="5">
        <v>203813.39330828429</v>
      </c>
      <c r="L6" s="5">
        <v>203813.39330828429</v>
      </c>
      <c r="M6" s="5">
        <v>254766.74163535534</v>
      </c>
      <c r="N6" s="5">
        <v>203813.39330828429</v>
      </c>
      <c r="O6" s="5">
        <v>2763646.5772244004</v>
      </c>
      <c r="P6" s="41">
        <v>2882978.6926936926</v>
      </c>
    </row>
    <row r="7" spans="1:16">
      <c r="A7" s="54" t="s">
        <v>16</v>
      </c>
      <c r="B7" s="53" t="s">
        <v>65</v>
      </c>
      <c r="C7" s="41">
        <v>116213.20540279998</v>
      </c>
      <c r="D7" s="41">
        <v>133557.31632199997</v>
      </c>
      <c r="E7" s="34">
        <v>115020.76865539998</v>
      </c>
      <c r="F7" s="41">
        <v>114801.38514439999</v>
      </c>
      <c r="G7" s="41">
        <v>114801.38514439999</v>
      </c>
      <c r="H7" s="41">
        <v>114801.38514439999</v>
      </c>
      <c r="I7" s="5">
        <v>115794.47557275755</v>
      </c>
      <c r="J7" s="5">
        <v>144743.09446594695</v>
      </c>
      <c r="K7" s="5">
        <v>115794.47557275755</v>
      </c>
      <c r="L7" s="5">
        <v>115794.47557275755</v>
      </c>
      <c r="M7" s="5">
        <v>144743.09446594695</v>
      </c>
      <c r="N7" s="5">
        <v>115794.47557275755</v>
      </c>
      <c r="O7" s="5">
        <v>1639326.4676483904</v>
      </c>
      <c r="P7" s="41">
        <v>1785379.9058156633</v>
      </c>
    </row>
    <row r="8" spans="1:16">
      <c r="A8" s="54" t="s">
        <v>17</v>
      </c>
      <c r="B8" s="53" t="s">
        <v>65</v>
      </c>
      <c r="C8" s="41">
        <v>121836.39158372981</v>
      </c>
      <c r="D8" s="41">
        <v>151726.09543201223</v>
      </c>
      <c r="E8" s="34">
        <v>122715.4787853298</v>
      </c>
      <c r="F8" s="41">
        <v>121952.36068452981</v>
      </c>
      <c r="G8" s="41">
        <v>150962.97733121223</v>
      </c>
      <c r="H8" s="41">
        <v>121952.36068452981</v>
      </c>
      <c r="I8" s="5">
        <v>121748.87205687469</v>
      </c>
      <c r="J8" s="5">
        <v>152186.09007109332</v>
      </c>
      <c r="K8" s="5">
        <v>121748.87205687469</v>
      </c>
      <c r="L8" s="5">
        <v>121748.87205687469</v>
      </c>
      <c r="M8" s="5">
        <v>152186.09007109332</v>
      </c>
      <c r="N8" s="5">
        <v>121748.87205687469</v>
      </c>
      <c r="O8" s="5">
        <v>1660175.08758912</v>
      </c>
      <c r="P8" s="41">
        <v>1737124.1482210585</v>
      </c>
    </row>
    <row r="9" spans="1:16">
      <c r="A9" s="54" t="s">
        <v>18</v>
      </c>
      <c r="B9" s="53" t="s">
        <v>65</v>
      </c>
      <c r="C9" s="41">
        <v>23094.547503399997</v>
      </c>
      <c r="D9" s="41">
        <v>23525.678167199996</v>
      </c>
      <c r="E9" s="34">
        <v>23526.066456599998</v>
      </c>
      <c r="F9" s="41">
        <v>18838.636819799998</v>
      </c>
      <c r="G9" s="41">
        <v>18838.636819799998</v>
      </c>
      <c r="H9" s="41">
        <v>18838.636819799998</v>
      </c>
      <c r="I9" s="5">
        <v>24797.675229853539</v>
      </c>
      <c r="J9" s="5">
        <v>30997.094037316925</v>
      </c>
      <c r="K9" s="5">
        <v>24797.675229853539</v>
      </c>
      <c r="L9" s="5">
        <v>24797.675229853539</v>
      </c>
      <c r="M9" s="5">
        <v>30997.094037316925</v>
      </c>
      <c r="N9" s="5">
        <v>24797.675229853539</v>
      </c>
      <c r="O9" s="5">
        <v>295076.63065798109</v>
      </c>
      <c r="P9" s="41">
        <v>298440.93774316745</v>
      </c>
    </row>
    <row r="10" spans="1:16">
      <c r="A10" s="54" t="s">
        <v>20</v>
      </c>
      <c r="B10" s="53" t="s">
        <v>65</v>
      </c>
      <c r="C10" s="41">
        <v>29367.492190199995</v>
      </c>
      <c r="D10" s="41">
        <v>33647.088527199994</v>
      </c>
      <c r="E10" s="34">
        <v>28044.719634199995</v>
      </c>
      <c r="F10" s="41">
        <v>27966.673464799995</v>
      </c>
      <c r="G10" s="41">
        <v>28138.297379599997</v>
      </c>
      <c r="H10" s="41">
        <v>27973.662673999996</v>
      </c>
      <c r="I10" s="5">
        <v>26725.671482946149</v>
      </c>
      <c r="J10" s="5">
        <v>33407.089353682692</v>
      </c>
      <c r="K10" s="5">
        <v>26725.671482946149</v>
      </c>
      <c r="L10" s="5">
        <v>26725.671482946149</v>
      </c>
      <c r="M10" s="5">
        <v>33407.089353682692</v>
      </c>
      <c r="N10" s="5">
        <v>26725.671482946149</v>
      </c>
      <c r="O10" s="5">
        <v>357015.68225926318</v>
      </c>
      <c r="P10" s="41">
        <v>366942.91422817711</v>
      </c>
    </row>
    <row r="11" spans="1:16">
      <c r="A11" s="54" t="s">
        <v>21</v>
      </c>
      <c r="B11" s="53" t="s">
        <v>65</v>
      </c>
      <c r="C11" s="41">
        <v>22676.924392387595</v>
      </c>
      <c r="D11" s="41">
        <v>26220.305647955996</v>
      </c>
      <c r="E11" s="34">
        <v>21777.379775459198</v>
      </c>
      <c r="F11" s="41">
        <v>21894.627124963998</v>
      </c>
      <c r="G11" s="41">
        <v>26379.791377252397</v>
      </c>
      <c r="H11" s="41">
        <v>26379.791377252397</v>
      </c>
      <c r="I11" s="5">
        <v>25132.275213971869</v>
      </c>
      <c r="J11" s="5">
        <v>31415.344017464828</v>
      </c>
      <c r="K11" s="5">
        <v>25132.275213971869</v>
      </c>
      <c r="L11" s="5">
        <v>25132.275213971869</v>
      </c>
      <c r="M11" s="5">
        <v>31415.344017464828</v>
      </c>
      <c r="N11" s="5">
        <v>25132.275213971869</v>
      </c>
      <c r="O11" s="5">
        <v>343697.16152410553</v>
      </c>
      <c r="P11" s="41">
        <v>378246.61474085628</v>
      </c>
    </row>
    <row r="12" spans="1:16">
      <c r="A12" s="54" t="s">
        <v>22</v>
      </c>
      <c r="B12" s="53" t="s">
        <v>65</v>
      </c>
      <c r="C12" s="41">
        <v>40875.613427399992</v>
      </c>
      <c r="D12" s="41">
        <v>43491.519115199997</v>
      </c>
      <c r="E12" s="34">
        <v>43464.209427399997</v>
      </c>
      <c r="F12" s="41">
        <v>40962.331393399996</v>
      </c>
      <c r="G12" s="41">
        <v>40989.641081199996</v>
      </c>
      <c r="H12" s="41">
        <v>40962.340553047383</v>
      </c>
      <c r="I12" s="5">
        <v>31519.424103765847</v>
      </c>
      <c r="J12" s="5">
        <v>39399.280129707309</v>
      </c>
      <c r="K12" s="5">
        <v>31519.424103765847</v>
      </c>
      <c r="L12" s="5">
        <v>31519.424103765847</v>
      </c>
      <c r="M12" s="5">
        <v>39399.280129707309</v>
      </c>
      <c r="N12" s="5">
        <v>31519.424103765847</v>
      </c>
      <c r="O12" s="5">
        <v>409752.51334895595</v>
      </c>
      <c r="P12" s="41">
        <v>409752.51334895595</v>
      </c>
    </row>
    <row r="13" spans="1:16">
      <c r="A13" s="53" t="s">
        <v>23</v>
      </c>
      <c r="B13" s="53" t="s">
        <v>65</v>
      </c>
      <c r="C13" s="41">
        <v>6041.1465816983264</v>
      </c>
      <c r="D13" s="41">
        <v>6793.9320495385891</v>
      </c>
      <c r="E13" s="8">
        <v>6019.6555914193486</v>
      </c>
      <c r="F13" s="41">
        <v>5725.766287558994</v>
      </c>
      <c r="G13" s="41">
        <v>6567.5517921508408</v>
      </c>
      <c r="H13" s="41">
        <v>6567.5517921508408</v>
      </c>
      <c r="I13" s="5">
        <v>5570.6247735641709</v>
      </c>
      <c r="J13" s="5">
        <v>6963.2809669552125</v>
      </c>
      <c r="K13" s="5">
        <v>5570.6247735641709</v>
      </c>
      <c r="L13" s="5">
        <v>5570.6247735641709</v>
      </c>
      <c r="M13" s="5">
        <v>6963.2809669552125</v>
      </c>
      <c r="N13" s="5">
        <v>5570.6247735641709</v>
      </c>
      <c r="O13" s="5">
        <v>70312.244416160189</v>
      </c>
      <c r="P13" s="41">
        <v>68275.92387208053</v>
      </c>
    </row>
    <row r="14" spans="1:16">
      <c r="A14" s="54" t="s">
        <v>71</v>
      </c>
      <c r="B14" s="53" t="s">
        <v>65</v>
      </c>
      <c r="C14" s="41">
        <v>959.88356688251622</v>
      </c>
      <c r="D14" s="41">
        <v>1199.1795928976524</v>
      </c>
      <c r="E14" s="21">
        <v>959.88356688251622</v>
      </c>
      <c r="F14" s="41">
        <v>962.86045228251623</v>
      </c>
      <c r="G14" s="41">
        <v>1199.1795928976524</v>
      </c>
      <c r="H14" s="41">
        <v>962.86045228251623</v>
      </c>
      <c r="I14" s="5">
        <v>961.48315891240509</v>
      </c>
      <c r="J14" s="5">
        <v>1201.8539486405064</v>
      </c>
      <c r="K14" s="5">
        <v>961.48315891240509</v>
      </c>
      <c r="L14" s="5">
        <v>961.48315891240509</v>
      </c>
      <c r="M14" s="5">
        <v>1201.8539486405064</v>
      </c>
      <c r="N14" s="5">
        <v>961.48315891240509</v>
      </c>
      <c r="O14" s="5">
        <v>12164.929485525237</v>
      </c>
      <c r="P14" s="41">
        <v>11811.176837796889</v>
      </c>
    </row>
    <row r="15" spans="1:16">
      <c r="A15" s="54" t="s">
        <v>72</v>
      </c>
      <c r="B15" s="53" t="s">
        <v>65</v>
      </c>
      <c r="C15" s="41">
        <v>20749.639520374243</v>
      </c>
      <c r="D15" s="41">
        <v>25507.892541117802</v>
      </c>
      <c r="E15" s="34">
        <v>20566.884642774243</v>
      </c>
      <c r="F15" s="41">
        <v>20679.350862425294</v>
      </c>
      <c r="G15" s="41">
        <v>25894.424293131618</v>
      </c>
      <c r="H15" s="41">
        <v>21678.290058825292</v>
      </c>
      <c r="I15" s="5">
        <v>21086.807436262556</v>
      </c>
      <c r="J15" s="5">
        <v>26303.04862602819</v>
      </c>
      <c r="K15" s="5">
        <v>21086.807436262556</v>
      </c>
      <c r="L15" s="5">
        <v>21086.807436262556</v>
      </c>
      <c r="M15" s="5">
        <v>26303.04862602819</v>
      </c>
      <c r="N15" s="5">
        <v>21086.807436262556</v>
      </c>
      <c r="O15" s="5">
        <v>272924.89451494318</v>
      </c>
      <c r="P15" s="41">
        <v>271550.77675489523</v>
      </c>
    </row>
    <row r="16" spans="1:16">
      <c r="A16" s="54" t="s">
        <v>83</v>
      </c>
      <c r="B16" s="53" t="s">
        <v>65</v>
      </c>
      <c r="C16" s="41">
        <v>445.75623119999995</v>
      </c>
      <c r="D16" s="41">
        <v>445.75623119999995</v>
      </c>
      <c r="E16" s="34">
        <v>445.75623119999995</v>
      </c>
      <c r="F16" s="41">
        <v>446.92109939999995</v>
      </c>
      <c r="G16" s="41">
        <v>446.92109939999995</v>
      </c>
      <c r="H16" s="41">
        <v>446.92109939999995</v>
      </c>
      <c r="I16" s="5">
        <v>408.58170248696644</v>
      </c>
      <c r="J16" s="5">
        <v>510.72712810870797</v>
      </c>
      <c r="K16" s="5">
        <v>408.58170248696644</v>
      </c>
      <c r="L16" s="5">
        <v>408.58170248696644</v>
      </c>
      <c r="M16" s="5">
        <v>510.72712810870797</v>
      </c>
      <c r="N16" s="5">
        <v>408.58170248696644</v>
      </c>
      <c r="O16" s="5">
        <v>5774.8483849838403</v>
      </c>
      <c r="P16" s="41">
        <v>5957.2120181938553</v>
      </c>
    </row>
    <row r="17" spans="1:16">
      <c r="A17" s="54" t="s">
        <v>94</v>
      </c>
      <c r="B17" s="53" t="s">
        <v>65</v>
      </c>
      <c r="C17" s="41">
        <v>267.60803601599997</v>
      </c>
      <c r="D17" s="41">
        <v>320.21333115839985</v>
      </c>
      <c r="E17" s="34">
        <v>260.16846203519992</v>
      </c>
      <c r="F17" s="41">
        <v>260.16846203519992</v>
      </c>
      <c r="G17" s="41">
        <v>334.44533011999988</v>
      </c>
      <c r="H17" s="41">
        <v>267.32430891999996</v>
      </c>
      <c r="I17" s="5">
        <v>265.70183137951511</v>
      </c>
      <c r="J17" s="5">
        <v>332.12728922439391</v>
      </c>
      <c r="K17" s="5">
        <v>265.70183137951511</v>
      </c>
      <c r="L17" s="5">
        <v>265.70183137951511</v>
      </c>
      <c r="M17" s="5">
        <v>332.12728922439391</v>
      </c>
      <c r="N17" s="5">
        <v>265.70183137951511</v>
      </c>
      <c r="O17" s="5">
        <v>3454.1238079336968</v>
      </c>
      <c r="P17" s="41">
        <v>3454.1238079336968</v>
      </c>
    </row>
    <row r="18" spans="1:16">
      <c r="A18" s="54" t="s">
        <v>25</v>
      </c>
      <c r="B18" s="53" t="s">
        <v>65</v>
      </c>
      <c r="C18" s="41">
        <v>5016.4870406419695</v>
      </c>
      <c r="D18" s="41">
        <v>6140.3803478654545</v>
      </c>
      <c r="E18" s="34">
        <v>4975.9872253365402</v>
      </c>
      <c r="F18" s="41">
        <v>4976.4921309845286</v>
      </c>
      <c r="G18" s="41">
        <v>6244.8721010406307</v>
      </c>
      <c r="H18" s="41">
        <v>5250.7269864451418</v>
      </c>
      <c r="I18" s="5">
        <v>4897.6958563610451</v>
      </c>
      <c r="J18" s="5">
        <v>6122.0874630013068</v>
      </c>
      <c r="K18" s="5">
        <v>4897.6958563610451</v>
      </c>
      <c r="L18" s="5">
        <v>4899.0573582956613</v>
      </c>
      <c r="M18" s="5">
        <v>6123.7893404195756</v>
      </c>
      <c r="N18" s="5">
        <v>4898.5127575218139</v>
      </c>
      <c r="O18" s="5">
        <v>64368.718306953917</v>
      </c>
      <c r="P18" s="41">
        <v>64618.68604334641</v>
      </c>
    </row>
    <row r="19" spans="1:16">
      <c r="A19" s="54" t="s">
        <v>114</v>
      </c>
      <c r="B19" s="53" t="s">
        <v>65</v>
      </c>
      <c r="C19" s="41">
        <v>57.855120599999992</v>
      </c>
      <c r="D19" s="41">
        <v>57.855120599999992</v>
      </c>
      <c r="E19" s="34">
        <v>57.855120599999992</v>
      </c>
      <c r="F19" s="41">
        <v>57.855120599999992</v>
      </c>
      <c r="G19" s="41">
        <v>57.855120599999992</v>
      </c>
      <c r="H19" s="41">
        <v>57.855120599999992</v>
      </c>
      <c r="I19" s="5">
        <v>57.855120599999992</v>
      </c>
      <c r="J19" s="5">
        <v>57.855120599999992</v>
      </c>
      <c r="K19" s="5">
        <v>57.855120599999992</v>
      </c>
      <c r="L19" s="5">
        <v>57.855120599999992</v>
      </c>
      <c r="M19" s="5">
        <v>57.855120599999992</v>
      </c>
      <c r="N19" s="5">
        <v>57.855120599999992</v>
      </c>
      <c r="O19" s="5">
        <v>5151.1766101999992</v>
      </c>
      <c r="P19" s="41">
        <v>7232.1489345999989</v>
      </c>
    </row>
    <row r="20" spans="1:16">
      <c r="A20" s="54" t="s">
        <v>115</v>
      </c>
      <c r="B20" s="53" t="s">
        <v>65</v>
      </c>
      <c r="C20" s="41">
        <v>4357.1247871999994</v>
      </c>
      <c r="D20" s="41">
        <v>4357.1247871999994</v>
      </c>
      <c r="E20" s="34">
        <v>4357.1247871999994</v>
      </c>
      <c r="F20" s="41">
        <v>4357.1247871999994</v>
      </c>
      <c r="G20" s="41">
        <v>4357.1247871999994</v>
      </c>
      <c r="H20" s="41">
        <v>4357.1247871999994</v>
      </c>
      <c r="I20" s="5">
        <v>4357.1247871999994</v>
      </c>
      <c r="J20" s="5">
        <v>4357.1247871999994</v>
      </c>
      <c r="K20" s="5">
        <v>4357.1247871999994</v>
      </c>
      <c r="L20" s="5">
        <v>4357.1247871999994</v>
      </c>
      <c r="M20" s="5">
        <v>4357.1247871999994</v>
      </c>
      <c r="N20" s="5">
        <v>4357.1247871999994</v>
      </c>
      <c r="O20" s="5">
        <v>75857.899771399985</v>
      </c>
      <c r="P20" s="41">
        <v>78591.198287799984</v>
      </c>
    </row>
    <row r="21" spans="1:16">
      <c r="A21" s="54" t="s">
        <v>116</v>
      </c>
      <c r="B21" s="53" t="s">
        <v>65</v>
      </c>
      <c r="C21" s="41">
        <v>560.43103399999995</v>
      </c>
      <c r="D21" s="41">
        <v>560.43103399999995</v>
      </c>
      <c r="E21" s="34">
        <v>560.43103399999995</v>
      </c>
      <c r="F21" s="41">
        <v>560.43103399999995</v>
      </c>
      <c r="G21" s="41">
        <v>560.43103399999995</v>
      </c>
      <c r="H21" s="41">
        <v>560.43103399999995</v>
      </c>
      <c r="I21" s="5">
        <v>560.43103399999995</v>
      </c>
      <c r="J21" s="5">
        <v>560.43103399999995</v>
      </c>
      <c r="K21" s="5">
        <v>560.43103399999995</v>
      </c>
      <c r="L21" s="5">
        <v>560.43103399999995</v>
      </c>
      <c r="M21" s="5">
        <v>560.43103399999995</v>
      </c>
      <c r="N21" s="5">
        <v>560.43103399999995</v>
      </c>
      <c r="O21" s="5">
        <v>9803.5307711999994</v>
      </c>
      <c r="P21" s="41">
        <v>10303.647518399999</v>
      </c>
    </row>
    <row r="22" spans="1:16">
      <c r="A22" s="54" t="s">
        <v>90</v>
      </c>
      <c r="B22" s="53" t="s">
        <v>65</v>
      </c>
      <c r="C22" s="41">
        <v>399.03207339999994</v>
      </c>
      <c r="D22" s="41">
        <v>399.03207339999994</v>
      </c>
      <c r="E22" s="34">
        <v>399.03207339999994</v>
      </c>
      <c r="F22" s="41">
        <v>399.03207339999994</v>
      </c>
      <c r="G22" s="41">
        <v>399.03207339999994</v>
      </c>
      <c r="H22" s="41">
        <v>399.03207339999994</v>
      </c>
      <c r="I22" s="5">
        <v>399.03207339999994</v>
      </c>
      <c r="J22" s="5">
        <v>399.03207339999994</v>
      </c>
      <c r="K22" s="5">
        <v>399.03207339999994</v>
      </c>
      <c r="L22" s="5">
        <v>399.03207339999994</v>
      </c>
      <c r="M22" s="5">
        <v>399.03207339999994</v>
      </c>
      <c r="N22" s="5">
        <v>399.03207339999994</v>
      </c>
      <c r="O22" s="5">
        <v>6112.5811645999993</v>
      </c>
      <c r="P22" s="41">
        <v>6252.3653485999994</v>
      </c>
    </row>
    <row r="23" spans="1:16">
      <c r="A23" s="54" t="s">
        <v>19</v>
      </c>
      <c r="B23" s="53" t="s">
        <v>65</v>
      </c>
      <c r="C23" s="41">
        <v>4043.3869519999994</v>
      </c>
      <c r="D23" s="41">
        <v>4043.3869519999994</v>
      </c>
      <c r="E23" s="34">
        <v>4043.3869519999994</v>
      </c>
      <c r="F23" s="41">
        <v>4043.3869519999994</v>
      </c>
      <c r="G23" s="41">
        <v>4043.3869519999994</v>
      </c>
      <c r="H23" s="41">
        <v>4043.3869519999994</v>
      </c>
      <c r="I23" s="5">
        <v>4043.3869519999994</v>
      </c>
      <c r="J23" s="5">
        <v>4043.3869519999994</v>
      </c>
      <c r="K23" s="5">
        <v>4043.3869519999994</v>
      </c>
      <c r="L23" s="5">
        <v>4043.3869519999994</v>
      </c>
      <c r="M23" s="5">
        <v>4043.3869519999994</v>
      </c>
      <c r="N23" s="5">
        <v>4043.3869519999994</v>
      </c>
      <c r="O23" s="5">
        <v>54668.300064399991</v>
      </c>
      <c r="P23" s="41">
        <v>53203.284158199996</v>
      </c>
    </row>
    <row r="24" spans="1:16">
      <c r="A24" s="54" t="s">
        <v>117</v>
      </c>
      <c r="B24" s="53" t="s">
        <v>65</v>
      </c>
      <c r="C24" s="41">
        <v>0</v>
      </c>
      <c r="D24" s="41">
        <v>0</v>
      </c>
      <c r="E24" s="34">
        <v>0</v>
      </c>
      <c r="F24" s="41">
        <v>0</v>
      </c>
      <c r="G24" s="41">
        <v>0</v>
      </c>
      <c r="H24" s="41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35668.264283999997</v>
      </c>
      <c r="P24" s="41">
        <v>103047.08842759999</v>
      </c>
    </row>
    <row r="25" spans="1:16">
      <c r="A25" s="54" t="s">
        <v>118</v>
      </c>
      <c r="B25" s="53" t="s">
        <v>65</v>
      </c>
      <c r="C25" s="41">
        <v>0</v>
      </c>
      <c r="D25" s="41">
        <v>0</v>
      </c>
      <c r="E25" s="34">
        <v>0</v>
      </c>
      <c r="F25" s="41">
        <v>0</v>
      </c>
      <c r="G25" s="41">
        <v>0</v>
      </c>
      <c r="H25" s="41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11358.112098999998</v>
      </c>
      <c r="P25" s="41">
        <v>44176.979335999997</v>
      </c>
    </row>
    <row r="26" spans="1:16">
      <c r="A26" s="54" t="s">
        <v>119</v>
      </c>
      <c r="B26" s="53" t="s">
        <v>65</v>
      </c>
      <c r="C26" s="41">
        <v>0</v>
      </c>
      <c r="D26" s="41">
        <v>0</v>
      </c>
      <c r="E26" s="34">
        <v>0</v>
      </c>
      <c r="F26" s="41">
        <v>0</v>
      </c>
      <c r="G26" s="41">
        <v>0</v>
      </c>
      <c r="H26" s="41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1153.6078074</v>
      </c>
      <c r="P26" s="41">
        <v>5694.3934807999995</v>
      </c>
    </row>
    <row r="27" spans="1:16">
      <c r="A27" s="54" t="s">
        <v>120</v>
      </c>
      <c r="B27" s="53" t="s">
        <v>65</v>
      </c>
      <c r="C27" s="41">
        <v>0</v>
      </c>
      <c r="D27" s="41">
        <v>0</v>
      </c>
      <c r="E27" s="34">
        <v>0</v>
      </c>
      <c r="F27" s="41">
        <v>0</v>
      </c>
      <c r="G27" s="41">
        <v>0</v>
      </c>
      <c r="H27" s="41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1619.9433767999999</v>
      </c>
      <c r="P27" s="41">
        <v>7673.3751227999992</v>
      </c>
    </row>
    <row r="28" spans="1:16">
      <c r="A28" s="53" t="s">
        <v>32</v>
      </c>
      <c r="B28" s="53" t="s">
        <v>65</v>
      </c>
      <c r="C28" s="41">
        <v>67948.70943533408</v>
      </c>
      <c r="D28" s="41">
        <v>71412.30020637819</v>
      </c>
      <c r="E28" s="8">
        <v>67493.611876479379</v>
      </c>
      <c r="F28" s="41">
        <v>66424.40036151938</v>
      </c>
      <c r="G28" s="41">
        <v>74220.168741367597</v>
      </c>
      <c r="H28" s="41">
        <v>68090.494780327601</v>
      </c>
      <c r="I28" s="5">
        <v>66555.539233159245</v>
      </c>
      <c r="J28" s="5">
        <v>80558.263539112828</v>
      </c>
      <c r="K28" s="5">
        <v>64446.610831290258</v>
      </c>
      <c r="L28" s="5">
        <v>64446.610831290258</v>
      </c>
      <c r="M28" s="5">
        <v>80558.263539112828</v>
      </c>
      <c r="N28" s="5">
        <v>64446.610831290258</v>
      </c>
      <c r="O28" s="5">
        <v>846002.64783669845</v>
      </c>
      <c r="P28" s="41">
        <v>852418.62863311288</v>
      </c>
    </row>
    <row r="29" spans="1:16">
      <c r="A29" s="46" t="s">
        <v>95</v>
      </c>
      <c r="B29" s="53" t="s">
        <v>65</v>
      </c>
      <c r="C29" s="41">
        <v>6904.1105999999991</v>
      </c>
      <c r="D29" s="41">
        <v>6904.1105999999991</v>
      </c>
      <c r="E29" s="41">
        <v>6904.1105999999991</v>
      </c>
      <c r="F29" s="41">
        <v>6904.1105999999991</v>
      </c>
      <c r="G29" s="41">
        <v>6904.1105999999991</v>
      </c>
      <c r="H29" s="41">
        <v>6904.1105999999991</v>
      </c>
      <c r="I29" s="5">
        <v>6904.1105999999991</v>
      </c>
      <c r="J29" s="5">
        <v>6904.1105999999991</v>
      </c>
      <c r="K29" s="5">
        <v>6904.1105999999991</v>
      </c>
      <c r="L29" s="5">
        <v>6904.1105999999991</v>
      </c>
      <c r="M29" s="5">
        <v>6904.1105999999991</v>
      </c>
      <c r="N29" s="5">
        <v>6904.1105999999991</v>
      </c>
      <c r="O29" s="5">
        <v>146325.8376</v>
      </c>
      <c r="P29" s="41">
        <v>228426.05610000002</v>
      </c>
    </row>
    <row r="30" spans="1:16">
      <c r="A30" s="34"/>
      <c r="B30" s="34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6">
      <c r="A31" s="54" t="s">
        <v>15</v>
      </c>
      <c r="B31" s="40" t="s">
        <v>86</v>
      </c>
      <c r="C31" s="8">
        <v>3600</v>
      </c>
      <c r="D31" s="8">
        <v>3600</v>
      </c>
      <c r="E31" s="8">
        <v>3600</v>
      </c>
      <c r="F31" s="8">
        <v>3600</v>
      </c>
      <c r="G31" s="8">
        <v>3600</v>
      </c>
      <c r="H31" s="8">
        <v>3600</v>
      </c>
      <c r="I31" s="8">
        <v>3600</v>
      </c>
      <c r="J31" s="8">
        <v>3600</v>
      </c>
      <c r="K31" s="8">
        <v>3600</v>
      </c>
      <c r="L31" s="8">
        <v>3600</v>
      </c>
      <c r="M31" s="8">
        <v>3600</v>
      </c>
      <c r="N31" s="8">
        <v>3600</v>
      </c>
      <c r="O31" s="8">
        <v>43200</v>
      </c>
      <c r="P31" s="41">
        <v>43200</v>
      </c>
    </row>
    <row r="32" spans="1:16">
      <c r="A32" s="54" t="s">
        <v>16</v>
      </c>
      <c r="B32" s="40" t="s">
        <v>86</v>
      </c>
      <c r="C32" s="8">
        <v>3000</v>
      </c>
      <c r="D32" s="8">
        <v>3000</v>
      </c>
      <c r="E32" s="8">
        <v>3000</v>
      </c>
      <c r="F32" s="8">
        <v>3000</v>
      </c>
      <c r="G32" s="8">
        <v>3000</v>
      </c>
      <c r="H32" s="8">
        <v>3000</v>
      </c>
      <c r="I32" s="8">
        <v>3000</v>
      </c>
      <c r="J32" s="8">
        <v>3000</v>
      </c>
      <c r="K32" s="8">
        <v>3000</v>
      </c>
      <c r="L32" s="8">
        <v>3000</v>
      </c>
      <c r="M32" s="8">
        <v>3000</v>
      </c>
      <c r="N32" s="8">
        <v>3000</v>
      </c>
      <c r="O32" s="8">
        <v>36000</v>
      </c>
      <c r="P32" s="41">
        <v>36000</v>
      </c>
    </row>
    <row r="33" spans="1:16">
      <c r="A33" s="54" t="s">
        <v>17</v>
      </c>
      <c r="B33" s="40" t="s">
        <v>86</v>
      </c>
      <c r="C33" s="8">
        <v>3000</v>
      </c>
      <c r="D33" s="8">
        <v>3000</v>
      </c>
      <c r="E33" s="8">
        <v>3000</v>
      </c>
      <c r="F33" s="8">
        <v>3000</v>
      </c>
      <c r="G33" s="8">
        <v>3000</v>
      </c>
      <c r="H33" s="8">
        <v>3000</v>
      </c>
      <c r="I33" s="8">
        <v>3000</v>
      </c>
      <c r="J33" s="8">
        <v>3000</v>
      </c>
      <c r="K33" s="8">
        <v>3000</v>
      </c>
      <c r="L33" s="8">
        <v>3000</v>
      </c>
      <c r="M33" s="8">
        <v>3000</v>
      </c>
      <c r="N33" s="8">
        <v>3000</v>
      </c>
      <c r="O33" s="8">
        <v>36000</v>
      </c>
      <c r="P33" s="41">
        <v>36000</v>
      </c>
    </row>
    <row r="34" spans="1:16">
      <c r="A34" s="54" t="s">
        <v>18</v>
      </c>
      <c r="B34" s="40" t="s">
        <v>86</v>
      </c>
      <c r="C34" s="8">
        <v>600</v>
      </c>
      <c r="D34" s="8">
        <v>600</v>
      </c>
      <c r="E34" s="8">
        <v>600</v>
      </c>
      <c r="F34" s="8">
        <v>600</v>
      </c>
      <c r="G34" s="8">
        <v>600</v>
      </c>
      <c r="H34" s="8">
        <v>600</v>
      </c>
      <c r="I34" s="8">
        <v>600</v>
      </c>
      <c r="J34" s="8">
        <v>600</v>
      </c>
      <c r="K34" s="8">
        <v>600</v>
      </c>
      <c r="L34" s="8">
        <v>600</v>
      </c>
      <c r="M34" s="8">
        <v>600</v>
      </c>
      <c r="N34" s="8">
        <v>600</v>
      </c>
      <c r="O34" s="8">
        <v>7200</v>
      </c>
      <c r="P34" s="41">
        <v>7200</v>
      </c>
    </row>
    <row r="35" spans="1:16">
      <c r="A35" s="54" t="s">
        <v>20</v>
      </c>
      <c r="B35" s="40" t="s">
        <v>86</v>
      </c>
      <c r="C35" s="8">
        <v>1000</v>
      </c>
      <c r="D35" s="8">
        <v>1000</v>
      </c>
      <c r="E35" s="8">
        <v>1000</v>
      </c>
      <c r="F35" s="8">
        <v>1000</v>
      </c>
      <c r="G35" s="8">
        <v>1000</v>
      </c>
      <c r="H35" s="8">
        <v>1000</v>
      </c>
      <c r="I35" s="8">
        <v>1000</v>
      </c>
      <c r="J35" s="8">
        <v>1000</v>
      </c>
      <c r="K35" s="8">
        <v>1000</v>
      </c>
      <c r="L35" s="8">
        <v>1000</v>
      </c>
      <c r="M35" s="8">
        <v>1000</v>
      </c>
      <c r="N35" s="8">
        <v>1000</v>
      </c>
      <c r="O35" s="8">
        <v>12000</v>
      </c>
      <c r="P35" s="41">
        <v>12000</v>
      </c>
    </row>
    <row r="36" spans="1:16">
      <c r="A36" s="54" t="s">
        <v>21</v>
      </c>
      <c r="B36" s="40" t="s">
        <v>86</v>
      </c>
      <c r="C36" s="8">
        <v>1200</v>
      </c>
      <c r="D36" s="8">
        <v>1200</v>
      </c>
      <c r="E36" s="8">
        <v>1200</v>
      </c>
      <c r="F36" s="8">
        <v>1200</v>
      </c>
      <c r="G36" s="8">
        <v>1200</v>
      </c>
      <c r="H36" s="8">
        <v>1200</v>
      </c>
      <c r="I36" s="8">
        <v>1200</v>
      </c>
      <c r="J36" s="8">
        <v>1200</v>
      </c>
      <c r="K36" s="8">
        <v>1200</v>
      </c>
      <c r="L36" s="8">
        <v>1200</v>
      </c>
      <c r="M36" s="8">
        <v>1200</v>
      </c>
      <c r="N36" s="8">
        <v>1200</v>
      </c>
      <c r="O36" s="8">
        <v>14400</v>
      </c>
      <c r="P36" s="41">
        <v>14400</v>
      </c>
    </row>
    <row r="37" spans="1:16">
      <c r="A37" s="54" t="s">
        <v>22</v>
      </c>
      <c r="B37" s="40" t="s">
        <v>86</v>
      </c>
      <c r="C37" s="5">
        <v>1000</v>
      </c>
      <c r="D37" s="5">
        <v>1000</v>
      </c>
      <c r="E37" s="5">
        <v>1000</v>
      </c>
      <c r="F37" s="5">
        <v>1000</v>
      </c>
      <c r="G37" s="5">
        <v>1000</v>
      </c>
      <c r="H37" s="5">
        <v>1000</v>
      </c>
      <c r="I37" s="5">
        <v>1000</v>
      </c>
      <c r="J37" s="5">
        <v>1000</v>
      </c>
      <c r="K37" s="5">
        <v>1000</v>
      </c>
      <c r="L37" s="5">
        <v>1000</v>
      </c>
      <c r="M37" s="5">
        <v>1000</v>
      </c>
      <c r="N37" s="5">
        <v>1000</v>
      </c>
      <c r="O37" s="5">
        <v>12000</v>
      </c>
      <c r="P37" s="41">
        <v>12000</v>
      </c>
    </row>
    <row r="38" spans="1:16">
      <c r="A38" s="57" t="s">
        <v>23</v>
      </c>
      <c r="B38" s="40" t="s">
        <v>86</v>
      </c>
      <c r="C38" s="5">
        <v>300</v>
      </c>
      <c r="D38" s="5">
        <v>300</v>
      </c>
      <c r="E38" s="5">
        <v>300</v>
      </c>
      <c r="F38" s="5">
        <v>300</v>
      </c>
      <c r="G38" s="5">
        <v>300</v>
      </c>
      <c r="H38" s="5">
        <v>300</v>
      </c>
      <c r="I38" s="5">
        <v>300</v>
      </c>
      <c r="J38" s="5">
        <v>300</v>
      </c>
      <c r="K38" s="5">
        <v>300</v>
      </c>
      <c r="L38" s="5">
        <v>300</v>
      </c>
      <c r="M38" s="5">
        <v>300</v>
      </c>
      <c r="N38" s="5">
        <v>300</v>
      </c>
      <c r="O38" s="5">
        <v>3600</v>
      </c>
      <c r="P38" s="41">
        <v>3600</v>
      </c>
    </row>
    <row r="39" spans="1:16">
      <c r="A39" s="54" t="s">
        <v>71</v>
      </c>
      <c r="B39" s="40" t="s">
        <v>86</v>
      </c>
      <c r="C39" s="8">
        <v>100</v>
      </c>
      <c r="D39" s="8">
        <v>100</v>
      </c>
      <c r="E39" s="8">
        <v>100</v>
      </c>
      <c r="F39" s="8">
        <v>100</v>
      </c>
      <c r="G39" s="8">
        <v>100</v>
      </c>
      <c r="H39" s="8">
        <v>100</v>
      </c>
      <c r="I39" s="8">
        <v>100</v>
      </c>
      <c r="J39" s="8">
        <v>100</v>
      </c>
      <c r="K39" s="8">
        <v>100</v>
      </c>
      <c r="L39" s="8">
        <v>100</v>
      </c>
      <c r="M39" s="8">
        <v>100</v>
      </c>
      <c r="N39" s="8">
        <v>100</v>
      </c>
      <c r="O39" s="8">
        <v>1200</v>
      </c>
      <c r="P39" s="41">
        <v>1200</v>
      </c>
    </row>
    <row r="40" spans="1:16">
      <c r="A40" s="54" t="s">
        <v>72</v>
      </c>
      <c r="B40" s="40" t="s">
        <v>86</v>
      </c>
      <c r="C40" s="5">
        <v>100</v>
      </c>
      <c r="D40" s="5">
        <v>100</v>
      </c>
      <c r="E40" s="5">
        <v>100</v>
      </c>
      <c r="F40" s="5">
        <v>100</v>
      </c>
      <c r="G40" s="5">
        <v>100</v>
      </c>
      <c r="H40" s="5">
        <v>100</v>
      </c>
      <c r="I40" s="5">
        <v>100</v>
      </c>
      <c r="J40" s="5">
        <v>100</v>
      </c>
      <c r="K40" s="5">
        <v>100</v>
      </c>
      <c r="L40" s="5">
        <v>100</v>
      </c>
      <c r="M40" s="5">
        <v>100</v>
      </c>
      <c r="N40" s="5">
        <v>100</v>
      </c>
      <c r="O40" s="5">
        <v>1200</v>
      </c>
      <c r="P40" s="41">
        <v>1200</v>
      </c>
    </row>
    <row r="41" spans="1:16">
      <c r="A41" s="57" t="s">
        <v>83</v>
      </c>
      <c r="B41" s="40" t="s">
        <v>86</v>
      </c>
      <c r="C41" s="8">
        <v>25</v>
      </c>
      <c r="D41" s="8">
        <v>25</v>
      </c>
      <c r="E41" s="8">
        <v>25</v>
      </c>
      <c r="F41" s="8">
        <v>25</v>
      </c>
      <c r="G41" s="8">
        <v>25</v>
      </c>
      <c r="H41" s="8">
        <v>25</v>
      </c>
      <c r="I41" s="8">
        <v>25</v>
      </c>
      <c r="J41" s="8">
        <v>25</v>
      </c>
      <c r="K41" s="8">
        <v>25</v>
      </c>
      <c r="L41" s="8">
        <v>25</v>
      </c>
      <c r="M41" s="8">
        <v>25</v>
      </c>
      <c r="N41" s="8">
        <v>25</v>
      </c>
      <c r="O41" s="8">
        <v>300</v>
      </c>
      <c r="P41" s="41">
        <v>300</v>
      </c>
    </row>
    <row r="42" spans="1:16">
      <c r="A42" s="60" t="s">
        <v>94</v>
      </c>
      <c r="B42" s="40" t="s">
        <v>86</v>
      </c>
      <c r="C42" s="5">
        <v>25</v>
      </c>
      <c r="D42" s="5">
        <v>25</v>
      </c>
      <c r="E42" s="5">
        <v>25</v>
      </c>
      <c r="F42" s="5">
        <v>25</v>
      </c>
      <c r="G42" s="5">
        <v>25</v>
      </c>
      <c r="H42" s="5">
        <v>25</v>
      </c>
      <c r="I42" s="5">
        <v>25</v>
      </c>
      <c r="J42" s="5">
        <v>25</v>
      </c>
      <c r="K42" s="5">
        <v>25</v>
      </c>
      <c r="L42" s="5">
        <v>25</v>
      </c>
      <c r="M42" s="5">
        <v>25</v>
      </c>
      <c r="N42" s="5">
        <v>25</v>
      </c>
      <c r="O42" s="5">
        <v>300</v>
      </c>
      <c r="P42" s="41">
        <v>300</v>
      </c>
    </row>
    <row r="43" spans="1:16">
      <c r="A43" s="54" t="s">
        <v>25</v>
      </c>
      <c r="B43" s="40" t="s">
        <v>86</v>
      </c>
      <c r="C43" s="8">
        <v>100</v>
      </c>
      <c r="D43" s="8">
        <v>100</v>
      </c>
      <c r="E43" s="8">
        <v>100</v>
      </c>
      <c r="F43" s="8">
        <v>100</v>
      </c>
      <c r="G43" s="8">
        <v>100</v>
      </c>
      <c r="H43" s="8">
        <v>100</v>
      </c>
      <c r="I43" s="8">
        <v>100</v>
      </c>
      <c r="J43" s="8">
        <v>100</v>
      </c>
      <c r="K43" s="8">
        <v>100</v>
      </c>
      <c r="L43" s="8">
        <v>100</v>
      </c>
      <c r="M43" s="8">
        <v>100</v>
      </c>
      <c r="N43" s="8">
        <v>100</v>
      </c>
      <c r="O43" s="8">
        <v>1200</v>
      </c>
      <c r="P43" s="41">
        <v>1200</v>
      </c>
    </row>
    <row r="44" spans="1:16">
      <c r="A44" s="1" t="s">
        <v>114</v>
      </c>
      <c r="B44" s="40" t="s">
        <v>86</v>
      </c>
      <c r="C44" s="41">
        <v>100</v>
      </c>
      <c r="D44" s="41">
        <v>100</v>
      </c>
      <c r="E44" s="41">
        <v>100</v>
      </c>
      <c r="F44" s="41">
        <v>100</v>
      </c>
      <c r="G44" s="41">
        <v>100</v>
      </c>
      <c r="H44" s="41">
        <v>100</v>
      </c>
      <c r="I44" s="41">
        <v>100</v>
      </c>
      <c r="J44" s="41">
        <v>100</v>
      </c>
      <c r="K44" s="41">
        <v>100</v>
      </c>
      <c r="L44" s="41">
        <v>100</v>
      </c>
      <c r="M44" s="41">
        <v>100</v>
      </c>
      <c r="N44" s="41">
        <v>100</v>
      </c>
      <c r="O44" s="41">
        <v>1200</v>
      </c>
      <c r="P44" s="41">
        <v>1200</v>
      </c>
    </row>
    <row r="45" spans="1:16">
      <c r="A45" s="1" t="s">
        <v>115</v>
      </c>
      <c r="B45" s="40" t="s">
        <v>86</v>
      </c>
      <c r="C45" s="41">
        <v>100</v>
      </c>
      <c r="D45" s="41">
        <v>100</v>
      </c>
      <c r="E45" s="41">
        <v>100</v>
      </c>
      <c r="F45" s="41">
        <v>100</v>
      </c>
      <c r="G45" s="41">
        <v>100</v>
      </c>
      <c r="H45" s="41">
        <v>100</v>
      </c>
      <c r="I45" s="41">
        <v>100</v>
      </c>
      <c r="J45" s="41">
        <v>100</v>
      </c>
      <c r="K45" s="41">
        <v>100</v>
      </c>
      <c r="L45" s="41">
        <v>100</v>
      </c>
      <c r="M45" s="41">
        <v>100</v>
      </c>
      <c r="N45" s="41">
        <v>100</v>
      </c>
      <c r="O45" s="41">
        <v>1200</v>
      </c>
      <c r="P45" s="41">
        <v>1200</v>
      </c>
    </row>
    <row r="46" spans="1:16">
      <c r="A46" s="1" t="s">
        <v>116</v>
      </c>
      <c r="B46" s="40" t="s">
        <v>86</v>
      </c>
      <c r="C46" s="41">
        <v>100</v>
      </c>
      <c r="D46" s="41">
        <v>100</v>
      </c>
      <c r="E46" s="41">
        <v>100</v>
      </c>
      <c r="F46" s="41">
        <v>100</v>
      </c>
      <c r="G46" s="41">
        <v>100</v>
      </c>
      <c r="H46" s="41">
        <v>100</v>
      </c>
      <c r="I46" s="41">
        <v>100</v>
      </c>
      <c r="J46" s="41">
        <v>100</v>
      </c>
      <c r="K46" s="41">
        <v>100</v>
      </c>
      <c r="L46" s="41">
        <v>100</v>
      </c>
      <c r="M46" s="41">
        <v>100</v>
      </c>
      <c r="N46" s="41">
        <v>100</v>
      </c>
      <c r="O46" s="41">
        <v>1200</v>
      </c>
      <c r="P46" s="41">
        <v>1200</v>
      </c>
    </row>
    <row r="47" spans="1:16">
      <c r="A47" s="1" t="s">
        <v>90</v>
      </c>
      <c r="B47" s="40" t="s">
        <v>86</v>
      </c>
      <c r="C47" s="41">
        <v>100</v>
      </c>
      <c r="D47" s="41">
        <v>100</v>
      </c>
      <c r="E47" s="41">
        <v>100</v>
      </c>
      <c r="F47" s="41">
        <v>100</v>
      </c>
      <c r="G47" s="41">
        <v>100</v>
      </c>
      <c r="H47" s="41">
        <v>100</v>
      </c>
      <c r="I47" s="41">
        <v>100</v>
      </c>
      <c r="J47" s="41">
        <v>100</v>
      </c>
      <c r="K47" s="41">
        <v>100</v>
      </c>
      <c r="L47" s="41">
        <v>100</v>
      </c>
      <c r="M47" s="41">
        <v>100</v>
      </c>
      <c r="N47" s="41">
        <v>100</v>
      </c>
      <c r="O47" s="41">
        <v>1200</v>
      </c>
      <c r="P47" s="41">
        <v>1200</v>
      </c>
    </row>
    <row r="48" spans="1:16">
      <c r="A48" s="1" t="s">
        <v>19</v>
      </c>
      <c r="B48" s="40" t="s">
        <v>86</v>
      </c>
      <c r="C48" s="41">
        <v>100</v>
      </c>
      <c r="D48" s="41">
        <v>100</v>
      </c>
      <c r="E48" s="41">
        <v>100</v>
      </c>
      <c r="F48" s="41">
        <v>100</v>
      </c>
      <c r="G48" s="41">
        <v>100</v>
      </c>
      <c r="H48" s="41">
        <v>100</v>
      </c>
      <c r="I48" s="41">
        <v>100</v>
      </c>
      <c r="J48" s="41">
        <v>100</v>
      </c>
      <c r="K48" s="41">
        <v>100</v>
      </c>
      <c r="L48" s="41">
        <v>100</v>
      </c>
      <c r="M48" s="41">
        <v>100</v>
      </c>
      <c r="N48" s="41">
        <v>100</v>
      </c>
      <c r="O48" s="41">
        <v>1200</v>
      </c>
      <c r="P48" s="41">
        <v>1200</v>
      </c>
    </row>
    <row r="49" spans="1:16">
      <c r="A49" s="1" t="s">
        <v>117</v>
      </c>
      <c r="B49" s="40" t="s">
        <v>86</v>
      </c>
      <c r="C49" s="41">
        <v>100</v>
      </c>
      <c r="D49" s="41">
        <v>100</v>
      </c>
      <c r="E49" s="41">
        <v>100</v>
      </c>
      <c r="F49" s="41">
        <v>100</v>
      </c>
      <c r="G49" s="41">
        <v>100</v>
      </c>
      <c r="H49" s="41">
        <v>100</v>
      </c>
      <c r="I49" s="41">
        <v>100</v>
      </c>
      <c r="J49" s="41">
        <v>100</v>
      </c>
      <c r="K49" s="41">
        <v>100</v>
      </c>
      <c r="L49" s="41">
        <v>100</v>
      </c>
      <c r="M49" s="41">
        <v>100</v>
      </c>
      <c r="N49" s="41">
        <v>100</v>
      </c>
      <c r="O49" s="41">
        <v>1200</v>
      </c>
      <c r="P49" s="41">
        <v>1200</v>
      </c>
    </row>
    <row r="50" spans="1:16">
      <c r="A50" s="1" t="s">
        <v>118</v>
      </c>
      <c r="B50" s="40" t="s">
        <v>86</v>
      </c>
      <c r="C50" s="41">
        <v>100</v>
      </c>
      <c r="D50" s="41">
        <v>100</v>
      </c>
      <c r="E50" s="41">
        <v>100</v>
      </c>
      <c r="F50" s="41">
        <v>100</v>
      </c>
      <c r="G50" s="41">
        <v>100</v>
      </c>
      <c r="H50" s="41">
        <v>100</v>
      </c>
      <c r="I50" s="41">
        <v>100</v>
      </c>
      <c r="J50" s="41">
        <v>100</v>
      </c>
      <c r="K50" s="41">
        <v>100</v>
      </c>
      <c r="L50" s="41">
        <v>100</v>
      </c>
      <c r="M50" s="41">
        <v>100</v>
      </c>
      <c r="N50" s="41">
        <v>100</v>
      </c>
      <c r="O50" s="41">
        <v>1200</v>
      </c>
      <c r="P50" s="41">
        <v>1200</v>
      </c>
    </row>
    <row r="51" spans="1:16">
      <c r="A51" s="1" t="s">
        <v>119</v>
      </c>
      <c r="B51" s="40" t="s">
        <v>86</v>
      </c>
      <c r="C51" s="41">
        <v>100</v>
      </c>
      <c r="D51" s="41">
        <v>100</v>
      </c>
      <c r="E51" s="41">
        <v>100</v>
      </c>
      <c r="F51" s="41">
        <v>100</v>
      </c>
      <c r="G51" s="41">
        <v>100</v>
      </c>
      <c r="H51" s="41">
        <v>100</v>
      </c>
      <c r="I51" s="41">
        <v>100</v>
      </c>
      <c r="J51" s="41">
        <v>100</v>
      </c>
      <c r="K51" s="41">
        <v>100</v>
      </c>
      <c r="L51" s="41">
        <v>100</v>
      </c>
      <c r="M51" s="41">
        <v>100</v>
      </c>
      <c r="N51" s="41">
        <v>100</v>
      </c>
      <c r="O51" s="41">
        <v>1200</v>
      </c>
      <c r="P51" s="41">
        <v>1200</v>
      </c>
    </row>
    <row r="52" spans="1:16">
      <c r="A52" s="1" t="s">
        <v>120</v>
      </c>
      <c r="B52" s="40" t="s">
        <v>86</v>
      </c>
      <c r="C52" s="41">
        <v>100</v>
      </c>
      <c r="D52" s="41">
        <v>100</v>
      </c>
      <c r="E52" s="41">
        <v>100</v>
      </c>
      <c r="F52" s="41">
        <v>100</v>
      </c>
      <c r="G52" s="41">
        <v>100</v>
      </c>
      <c r="H52" s="41">
        <v>100</v>
      </c>
      <c r="I52" s="41">
        <v>100</v>
      </c>
      <c r="J52" s="41">
        <v>100</v>
      </c>
      <c r="K52" s="41">
        <v>100</v>
      </c>
      <c r="L52" s="41">
        <v>100</v>
      </c>
      <c r="M52" s="41">
        <v>100</v>
      </c>
      <c r="N52" s="41">
        <v>100</v>
      </c>
      <c r="O52" s="41">
        <v>1200</v>
      </c>
      <c r="P52" s="41">
        <v>1200</v>
      </c>
    </row>
    <row r="53" spans="1:16">
      <c r="A53" s="54" t="s">
        <v>32</v>
      </c>
      <c r="B53" s="40" t="s">
        <v>86</v>
      </c>
      <c r="C53" s="41">
        <v>700</v>
      </c>
      <c r="D53" s="41">
        <v>700</v>
      </c>
      <c r="E53" s="41">
        <v>700</v>
      </c>
      <c r="F53" s="41">
        <v>700</v>
      </c>
      <c r="G53" s="41">
        <v>700</v>
      </c>
      <c r="H53" s="41">
        <v>700</v>
      </c>
      <c r="I53" s="41">
        <v>700</v>
      </c>
      <c r="J53" s="41">
        <v>700</v>
      </c>
      <c r="K53" s="41">
        <v>700</v>
      </c>
      <c r="L53" s="41">
        <v>700</v>
      </c>
      <c r="M53" s="41">
        <v>700</v>
      </c>
      <c r="N53" s="41">
        <v>700</v>
      </c>
      <c r="O53" s="41">
        <v>8400</v>
      </c>
      <c r="P53" s="41">
        <v>8400</v>
      </c>
    </row>
    <row r="54" spans="1:16">
      <c r="A54" s="46" t="s">
        <v>95</v>
      </c>
      <c r="B54" s="40" t="s">
        <v>86</v>
      </c>
      <c r="C54" s="41">
        <v>15650</v>
      </c>
      <c r="D54" s="41">
        <v>15650</v>
      </c>
      <c r="E54" s="41">
        <v>15650</v>
      </c>
      <c r="F54" s="41">
        <v>15650</v>
      </c>
      <c r="G54" s="41">
        <v>15650</v>
      </c>
      <c r="H54" s="41">
        <v>15650</v>
      </c>
      <c r="I54" s="41">
        <v>15650</v>
      </c>
      <c r="J54" s="41">
        <v>15650</v>
      </c>
      <c r="K54" s="41">
        <v>15650</v>
      </c>
      <c r="L54" s="41">
        <v>15650</v>
      </c>
      <c r="M54" s="41">
        <v>15650</v>
      </c>
      <c r="N54" s="41">
        <v>15650</v>
      </c>
      <c r="O54" s="41">
        <v>187800</v>
      </c>
      <c r="P54" s="41">
        <v>187800</v>
      </c>
    </row>
  </sheetData>
  <phoneticPr fontId="2" type="noConversion"/>
  <pageMargins left="0" right="0" top="0.5" bottom="0.5" header="0.5" footer="0.5"/>
  <pageSetup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Pharm Demand</vt:lpstr>
      <vt:lpstr>Pharm Demand b4</vt:lpstr>
      <vt:lpstr>Upload to COV</vt:lpstr>
      <vt:lpstr>Download COV Act</vt:lpstr>
      <vt:lpstr>Check COV Fcst</vt:lpstr>
      <vt:lpstr>'Check COV Fcst'!Print_Area</vt:lpstr>
      <vt:lpstr>'Download COV Act'!Print_Area</vt:lpstr>
      <vt:lpstr>'Pharm Demand'!Print_Area</vt:lpstr>
      <vt:lpstr>'Pharm Demand b4'!Print_Area</vt:lpstr>
      <vt:lpstr>'Upload to COV'!Print_Area</vt:lpstr>
      <vt:lpstr>'Pharm Demand'!Print_Titles</vt:lpstr>
    </vt:vector>
  </TitlesOfParts>
  <Company>Tyco Healthcare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Michael.Pyles</dc:creator>
  <cp:lastModifiedBy>RJM</cp:lastModifiedBy>
  <cp:lastPrinted>2010-09-07T22:38:42Z</cp:lastPrinted>
  <dcterms:created xsi:type="dcterms:W3CDTF">2008-11-24T22:11:49Z</dcterms:created>
  <dcterms:modified xsi:type="dcterms:W3CDTF">2011-04-27T21:46:49Z</dcterms:modified>
</cp:coreProperties>
</file>