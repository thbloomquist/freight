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1120" windowHeight="11250" activeTab="2"/>
  </bookViews>
  <sheets>
    <sheet name="Worksheet 2009" sheetId="4" r:id="rId1"/>
    <sheet name="Worksheet 2010" sheetId="1" r:id="rId2"/>
    <sheet name="Freight 2009-2010" sheetId="2" r:id="rId3"/>
    <sheet name="Freight - total 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calcPr calcId="125725"/>
</workbook>
</file>

<file path=xl/calcChain.xml><?xml version="1.0" encoding="utf-8"?>
<calcChain xmlns="http://schemas.openxmlformats.org/spreadsheetml/2006/main">
  <c r="G19" i="2"/>
  <c r="D19"/>
  <c r="E67" i="3"/>
  <c r="H67"/>
  <c r="K67"/>
  <c r="L67"/>
  <c r="N67"/>
  <c r="P67"/>
  <c r="Q67"/>
  <c r="R67"/>
  <c r="S67"/>
  <c r="U67"/>
  <c r="V67"/>
  <c r="W67"/>
  <c r="Y67"/>
  <c r="Z67"/>
  <c r="AA67"/>
  <c r="AD67"/>
  <c r="B67"/>
  <c r="E54"/>
  <c r="H54"/>
  <c r="K54"/>
  <c r="L54"/>
  <c r="N54"/>
  <c r="P54"/>
  <c r="Q54"/>
  <c r="R54"/>
  <c r="S54"/>
  <c r="U54"/>
  <c r="V54"/>
  <c r="W54"/>
  <c r="Y54"/>
  <c r="Z54"/>
  <c r="AA54"/>
  <c r="AD54"/>
  <c r="B54"/>
  <c r="E41"/>
  <c r="H41"/>
  <c r="K41"/>
  <c r="L41"/>
  <c r="N41"/>
  <c r="P41"/>
  <c r="Q41"/>
  <c r="R41"/>
  <c r="S41"/>
  <c r="U41"/>
  <c r="V41"/>
  <c r="W41"/>
  <c r="Y41"/>
  <c r="Z41"/>
  <c r="AA41"/>
  <c r="AD41"/>
  <c r="B41"/>
  <c r="E27"/>
  <c r="H27"/>
  <c r="K27"/>
  <c r="L27"/>
  <c r="N27"/>
  <c r="P27"/>
  <c r="Q27"/>
  <c r="R27"/>
  <c r="S27"/>
  <c r="U27"/>
  <c r="V27"/>
  <c r="W27"/>
  <c r="Y27"/>
  <c r="Z27"/>
  <c r="AA27"/>
  <c r="AD27"/>
  <c r="B27"/>
  <c r="K14"/>
  <c r="L14"/>
  <c r="N14"/>
  <c r="P14"/>
  <c r="Q14"/>
  <c r="R14"/>
  <c r="S14"/>
  <c r="U14"/>
  <c r="V14"/>
  <c r="W14"/>
  <c r="Y14"/>
  <c r="Z14"/>
  <c r="AA14"/>
  <c r="AD14"/>
  <c r="E14"/>
  <c r="B14"/>
  <c r="I16" i="2"/>
  <c r="J16" s="1"/>
  <c r="J67" i="3" s="1"/>
  <c r="F103" i="1"/>
  <c r="AE16" i="2"/>
  <c r="AE67" i="3" s="1"/>
  <c r="AC16" i="2"/>
  <c r="AC67" i="3" s="1"/>
  <c r="AB16" i="2"/>
  <c r="AF16" s="1"/>
  <c r="AF67" i="3" s="1"/>
  <c r="O16" i="2"/>
  <c r="O67" i="3" s="1"/>
  <c r="M16" i="2"/>
  <c r="M67" i="3" s="1"/>
  <c r="G16" i="2"/>
  <c r="G67" i="3" s="1"/>
  <c r="AE13" i="2"/>
  <c r="AF13" s="1"/>
  <c r="AF54" i="3" s="1"/>
  <c r="AC13" i="2"/>
  <c r="AC54" i="3" s="1"/>
  <c r="AB13" i="2"/>
  <c r="AB54" i="3" s="1"/>
  <c r="O13" i="2"/>
  <c r="O54" i="3" s="1"/>
  <c r="M13" i="2"/>
  <c r="X13" s="1"/>
  <c r="X54" i="3" s="1"/>
  <c r="I13" i="2"/>
  <c r="J13" s="1"/>
  <c r="J54" i="3" s="1"/>
  <c r="G13" i="2"/>
  <c r="G54" i="3" s="1"/>
  <c r="AE10" i="2"/>
  <c r="AE41" i="3" s="1"/>
  <c r="AC10" i="2"/>
  <c r="AC41" i="3" s="1"/>
  <c r="AB10" i="2"/>
  <c r="AB41" i="3" s="1"/>
  <c r="O10" i="2"/>
  <c r="O41" i="3" s="1"/>
  <c r="M10" i="2"/>
  <c r="M41" i="3" s="1"/>
  <c r="I10" i="2"/>
  <c r="J10" s="1"/>
  <c r="J41" i="3" s="1"/>
  <c r="G10" i="2"/>
  <c r="G41" i="3" s="1"/>
  <c r="AF19" i="2"/>
  <c r="AF10"/>
  <c r="AF41" i="3" s="1"/>
  <c r="X19" i="2"/>
  <c r="X16"/>
  <c r="X67" i="3" s="1"/>
  <c r="X10" i="2"/>
  <c r="X41" i="3" s="1"/>
  <c r="T19" i="2"/>
  <c r="T13"/>
  <c r="T54" i="3" s="1"/>
  <c r="C19" i="2"/>
  <c r="F19"/>
  <c r="F10"/>
  <c r="F41" i="3" s="1"/>
  <c r="AE7" i="2"/>
  <c r="AE27" i="3" s="1"/>
  <c r="AC7" i="2"/>
  <c r="AC27" i="3" s="1"/>
  <c r="AB7" i="2"/>
  <c r="AB27" i="3" s="1"/>
  <c r="O7" i="2"/>
  <c r="O27" i="3" s="1"/>
  <c r="M7" i="2"/>
  <c r="M27" i="3" s="1"/>
  <c r="I7" i="2"/>
  <c r="I27" i="3" s="1"/>
  <c r="G7" i="2"/>
  <c r="X7" s="1"/>
  <c r="X27" i="3" s="1"/>
  <c r="T7" i="2"/>
  <c r="T27" i="3" s="1"/>
  <c r="AE4" i="2"/>
  <c r="AE14" i="3" s="1"/>
  <c r="AC4" i="2"/>
  <c r="AC14" i="3" s="1"/>
  <c r="AB4" i="2"/>
  <c r="AB14" i="3" s="1"/>
  <c r="G4" i="2"/>
  <c r="G14" i="3" s="1"/>
  <c r="M4" i="2"/>
  <c r="M14" i="3" s="1"/>
  <c r="O4" i="2"/>
  <c r="O14" i="3" s="1"/>
  <c r="I4" i="2"/>
  <c r="I14" i="3" s="1"/>
  <c r="J103" i="1"/>
  <c r="K103"/>
  <c r="K85"/>
  <c r="J36"/>
  <c r="K36"/>
  <c r="J18"/>
  <c r="K18"/>
  <c r="F36"/>
  <c r="F18"/>
  <c r="G18"/>
  <c r="H223" i="4"/>
  <c r="F223"/>
  <c r="G223"/>
  <c r="C223"/>
  <c r="B223"/>
  <c r="H208"/>
  <c r="G208"/>
  <c r="F208"/>
  <c r="C208"/>
  <c r="B208"/>
  <c r="L196"/>
  <c r="K196"/>
  <c r="H196"/>
  <c r="G196"/>
  <c r="F196"/>
  <c r="C196"/>
  <c r="B196"/>
  <c r="C182"/>
  <c r="B182"/>
  <c r="H177"/>
  <c r="H182" s="1"/>
  <c r="G177"/>
  <c r="G182" s="1"/>
  <c r="F177"/>
  <c r="F182" s="1"/>
  <c r="H167"/>
  <c r="G167"/>
  <c r="F167"/>
  <c r="C167"/>
  <c r="B167"/>
  <c r="H146"/>
  <c r="G146"/>
  <c r="F146"/>
  <c r="C146"/>
  <c r="B146"/>
  <c r="H124"/>
  <c r="G124"/>
  <c r="F124"/>
  <c r="C124"/>
  <c r="B124"/>
  <c r="H103"/>
  <c r="G103"/>
  <c r="F103"/>
  <c r="C103"/>
  <c r="B103"/>
  <c r="L85"/>
  <c r="K85"/>
  <c r="C85"/>
  <c r="B85"/>
  <c r="H72"/>
  <c r="H85" s="1"/>
  <c r="G72"/>
  <c r="G85" s="1"/>
  <c r="F72"/>
  <c r="L62"/>
  <c r="K62"/>
  <c r="C62"/>
  <c r="B62"/>
  <c r="H45"/>
  <c r="G45"/>
  <c r="F45"/>
  <c r="H44"/>
  <c r="H62" s="1"/>
  <c r="G44"/>
  <c r="G62" s="1"/>
  <c r="F44"/>
  <c r="C36"/>
  <c r="B36"/>
  <c r="H23"/>
  <c r="G23"/>
  <c r="F23"/>
  <c r="H22"/>
  <c r="H36" s="1"/>
  <c r="G22"/>
  <c r="G36" s="1"/>
  <c r="F22"/>
  <c r="F36" s="1"/>
  <c r="H18"/>
  <c r="G18"/>
  <c r="F18"/>
  <c r="C18"/>
  <c r="B18"/>
  <c r="H223" i="1"/>
  <c r="G223"/>
  <c r="F223"/>
  <c r="C223"/>
  <c r="B223"/>
  <c r="H208"/>
  <c r="G208"/>
  <c r="F208"/>
  <c r="C208"/>
  <c r="B208"/>
  <c r="L196"/>
  <c r="K196"/>
  <c r="H196"/>
  <c r="G196"/>
  <c r="F196"/>
  <c r="C196"/>
  <c r="B196"/>
  <c r="H182"/>
  <c r="G182"/>
  <c r="F182"/>
  <c r="C182"/>
  <c r="B182"/>
  <c r="H167"/>
  <c r="G167"/>
  <c r="F167"/>
  <c r="C167"/>
  <c r="B167"/>
  <c r="H146"/>
  <c r="G146"/>
  <c r="F146"/>
  <c r="C146"/>
  <c r="B146"/>
  <c r="H124"/>
  <c r="G124"/>
  <c r="C124"/>
  <c r="B124"/>
  <c r="H103"/>
  <c r="G103"/>
  <c r="C103"/>
  <c r="B103"/>
  <c r="H85"/>
  <c r="G85"/>
  <c r="C85"/>
  <c r="B85"/>
  <c r="K62"/>
  <c r="H62"/>
  <c r="G62"/>
  <c r="F62"/>
  <c r="F85" s="1"/>
  <c r="C62"/>
  <c r="B62"/>
  <c r="H36"/>
  <c r="G36"/>
  <c r="C36"/>
  <c r="B36"/>
  <c r="H18"/>
  <c r="C18"/>
  <c r="B18"/>
  <c r="G27" i="3" l="1"/>
  <c r="I41"/>
  <c r="AE54"/>
  <c r="M54"/>
  <c r="I54"/>
  <c r="AB67"/>
  <c r="F13" i="2"/>
  <c r="F54" i="3" s="1"/>
  <c r="C13" i="2"/>
  <c r="T10"/>
  <c r="T41" i="3" s="1"/>
  <c r="I67"/>
  <c r="T16" i="2"/>
  <c r="F16"/>
  <c r="F67" i="3" s="1"/>
  <c r="C7" i="2"/>
  <c r="AF7"/>
  <c r="AF27" i="3" s="1"/>
  <c r="AF4" i="2"/>
  <c r="AF14" i="3" s="1"/>
  <c r="X4" i="2"/>
  <c r="X14" i="3" s="1"/>
  <c r="J7" i="2"/>
  <c r="J27" i="3" s="1"/>
  <c r="F4" i="2"/>
  <c r="F14" i="3" s="1"/>
  <c r="F7" i="2"/>
  <c r="F27" i="3" s="1"/>
  <c r="T4" i="2"/>
  <c r="J4"/>
  <c r="J14" i="3" s="1"/>
  <c r="F62" i="4"/>
  <c r="F85" s="1"/>
  <c r="D7" i="2" l="1"/>
  <c r="D27" i="3" s="1"/>
  <c r="C27"/>
  <c r="C4" i="2"/>
  <c r="T14" i="3"/>
  <c r="D13" i="2"/>
  <c r="D54" i="3" s="1"/>
  <c r="C54"/>
  <c r="C10" i="2"/>
  <c r="C16"/>
  <c r="T67" i="3"/>
  <c r="D16" i="2" l="1"/>
  <c r="D67" i="3" s="1"/>
  <c r="C67"/>
  <c r="C41"/>
  <c r="D10" i="2"/>
  <c r="D41" i="3" s="1"/>
  <c r="D4" i="2"/>
  <c r="D14" i="3" s="1"/>
  <c r="C14"/>
</calcChain>
</file>

<file path=xl/sharedStrings.xml><?xml version="1.0" encoding="utf-8"?>
<sst xmlns="http://schemas.openxmlformats.org/spreadsheetml/2006/main" count="407" uniqueCount="211">
  <si>
    <t xml:space="preserve">UPS </t>
  </si>
  <si>
    <t xml:space="preserve">LTL </t>
  </si>
  <si>
    <t>FED-EX</t>
  </si>
  <si>
    <t>January</t>
  </si>
  <si>
    <t xml:space="preserve">Week Ending </t>
  </si>
  <si>
    <t>Packages</t>
  </si>
  <si>
    <t xml:space="preserve">Dollars </t>
  </si>
  <si>
    <t xml:space="preserve">Number of Orders </t>
  </si>
  <si>
    <t xml:space="preserve">Weight </t>
  </si>
  <si>
    <t>Jan total</t>
  </si>
  <si>
    <t>February</t>
  </si>
  <si>
    <t xml:space="preserve">Feb Total </t>
  </si>
  <si>
    <t xml:space="preserve">March </t>
  </si>
  <si>
    <t xml:space="preserve">Mar Total </t>
  </si>
  <si>
    <t>April</t>
  </si>
  <si>
    <t>Apr Total</t>
  </si>
  <si>
    <t>May</t>
  </si>
  <si>
    <t>May Total</t>
  </si>
  <si>
    <t>June</t>
  </si>
  <si>
    <t>June Total</t>
  </si>
  <si>
    <t>July</t>
  </si>
  <si>
    <t>`</t>
  </si>
  <si>
    <t>July Total</t>
  </si>
  <si>
    <t>August</t>
  </si>
  <si>
    <t>Aug Total</t>
  </si>
  <si>
    <t>September</t>
  </si>
  <si>
    <t>Sept Total</t>
  </si>
  <si>
    <t>October</t>
  </si>
  <si>
    <t>Oct Total</t>
  </si>
  <si>
    <t>November</t>
  </si>
  <si>
    <t>Nov Total</t>
  </si>
  <si>
    <t>December</t>
  </si>
  <si>
    <t>Dec Total</t>
  </si>
  <si>
    <t xml:space="preserve">Net Sales </t>
  </si>
  <si>
    <t xml:space="preserve">Grand Total $ (Freight) </t>
  </si>
  <si>
    <t xml:space="preserve">% of Net Sales </t>
  </si>
  <si>
    <t>Total Units</t>
  </si>
  <si>
    <t>Grand Total Shipments**</t>
  </si>
  <si>
    <t xml:space="preserve">UPS Boxes </t>
  </si>
  <si>
    <t>UPS $</t>
  </si>
  <si>
    <t>Cost per Box (UPS)</t>
  </si>
  <si>
    <t xml:space="preserve">UPS Weight </t>
  </si>
  <si>
    <t xml:space="preserve">Fedex Boxes </t>
  </si>
  <si>
    <t>Fedex$</t>
  </si>
  <si>
    <t>Cost per Box ( FEDEX)</t>
  </si>
  <si>
    <t xml:space="preserve">Fedex Weight </t>
  </si>
  <si>
    <t xml:space="preserve">UPS/Fedex Weight </t>
  </si>
  <si>
    <t xml:space="preserve"> UPS/FEDEX $</t>
  </si>
  <si>
    <t>Difference $ (ADC VS MDC)</t>
  </si>
  <si>
    <t xml:space="preserve"> UPS/FED Units ***</t>
  </si>
  <si>
    <t>Difference Units  (ADC VS MDC)</t>
  </si>
  <si>
    <t xml:space="preserve">LTL Orders </t>
  </si>
  <si>
    <t>LTL Weight</t>
  </si>
  <si>
    <t xml:space="preserve">LTL$ </t>
  </si>
  <si>
    <t xml:space="preserve">Cost per Shipment ( LTL) </t>
  </si>
  <si>
    <t>MDC Jan 2008</t>
  </si>
  <si>
    <t>MDC March 2008</t>
  </si>
  <si>
    <t>MDC April 2008</t>
  </si>
  <si>
    <t>MDC May 2008</t>
  </si>
  <si>
    <t>MDC June 2008</t>
  </si>
  <si>
    <t>MDC July 2008</t>
  </si>
  <si>
    <t>MDC August 2008</t>
  </si>
  <si>
    <t>MDC September 2008</t>
  </si>
  <si>
    <t>MDC October 2008</t>
  </si>
  <si>
    <t>MDC November 2008</t>
  </si>
  <si>
    <t>MDC December 2008</t>
  </si>
  <si>
    <t xml:space="preserve">* Shipments </t>
  </si>
  <si>
    <t xml:space="preserve">UPS: Packages </t>
  </si>
  <si>
    <t xml:space="preserve">LTL:  Pallets </t>
  </si>
  <si>
    <t>UPS MDC ( only) 2000</t>
  </si>
  <si>
    <t>Cost per Box (FEDEX)</t>
  </si>
  <si>
    <t xml:space="preserve">Difference $ (ADC vs MDC Grand Total) </t>
  </si>
  <si>
    <t xml:space="preserve">Difference Units  (ADC vs MDC Grand Total) </t>
  </si>
  <si>
    <t xml:space="preserve">B/O Product </t>
  </si>
  <si>
    <t xml:space="preserve"># orders ( x 2) </t>
  </si>
  <si>
    <t xml:space="preserve">Average Cost /Shipment </t>
  </si>
  <si>
    <t xml:space="preserve">O/N Shipment </t>
  </si>
  <si>
    <t xml:space="preserve">Total Average </t>
  </si>
  <si>
    <t xml:space="preserve">Total O/N </t>
  </si>
  <si>
    <t xml:space="preserve">ADC Jan 1999 </t>
  </si>
  <si>
    <t xml:space="preserve">ADC Jan 2000 </t>
  </si>
  <si>
    <t>MDC Jan 2001</t>
  </si>
  <si>
    <t xml:space="preserve">MDC Jan 2002 </t>
  </si>
  <si>
    <t>MDC Jan 2003</t>
  </si>
  <si>
    <t>MDC Jan 2004</t>
  </si>
  <si>
    <t>MDC Jan 2005</t>
  </si>
  <si>
    <t>MDC Jan 2006</t>
  </si>
  <si>
    <t>MDC Jan 2007</t>
  </si>
  <si>
    <t>MDC Jan 2009</t>
  </si>
  <si>
    <t xml:space="preserve">ADC Feb 1999 </t>
  </si>
  <si>
    <t>ADC Feb 2000</t>
  </si>
  <si>
    <t xml:space="preserve">MDC Feb 2001 </t>
  </si>
  <si>
    <t>MDC Feb 2002</t>
  </si>
  <si>
    <t xml:space="preserve">MDC Feb 2003 </t>
  </si>
  <si>
    <t>MDC Feb 2004</t>
  </si>
  <si>
    <t>MDC Feb 2005</t>
  </si>
  <si>
    <t>MDC Feb 2006</t>
  </si>
  <si>
    <t>MDC Feb 2007</t>
  </si>
  <si>
    <t>MDC Feb 2008</t>
  </si>
  <si>
    <t>MDC Feb 2009</t>
  </si>
  <si>
    <t>ADC March 1999</t>
  </si>
  <si>
    <t xml:space="preserve">ADC March 2000 </t>
  </si>
  <si>
    <t xml:space="preserve">MDC March 2000 </t>
  </si>
  <si>
    <t>MDC March 2001</t>
  </si>
  <si>
    <t>MDC March 2002</t>
  </si>
  <si>
    <t>MDC March 2003</t>
  </si>
  <si>
    <t>MDC March 2004</t>
  </si>
  <si>
    <t>MDC March 2005</t>
  </si>
  <si>
    <t>MDC March 2006</t>
  </si>
  <si>
    <t>MDC March 2007</t>
  </si>
  <si>
    <t>MDC March 2009</t>
  </si>
  <si>
    <t xml:space="preserve">ADC April 1999 </t>
  </si>
  <si>
    <t>MDC April  2000</t>
  </si>
  <si>
    <t>MDC April 2001</t>
  </si>
  <si>
    <t xml:space="preserve">MDC April 2002 </t>
  </si>
  <si>
    <t xml:space="preserve">MDC April 2003 </t>
  </si>
  <si>
    <t xml:space="preserve">MDC April 2004 </t>
  </si>
  <si>
    <t>MDC April 2005</t>
  </si>
  <si>
    <t>MDC April 2006</t>
  </si>
  <si>
    <t>MDC April 2007</t>
  </si>
  <si>
    <t>MDC April 2009</t>
  </si>
  <si>
    <t>ADC May 1999</t>
  </si>
  <si>
    <t xml:space="preserve">MDC May 2000 </t>
  </si>
  <si>
    <t>MDC May 2001</t>
  </si>
  <si>
    <t xml:space="preserve">MDC May 2002 </t>
  </si>
  <si>
    <t xml:space="preserve">MDC May 2003 </t>
  </si>
  <si>
    <t>MDC May 2004</t>
  </si>
  <si>
    <t>MDC May 2005</t>
  </si>
  <si>
    <t>MDC May 2006</t>
  </si>
  <si>
    <t>MDC May 2007</t>
  </si>
  <si>
    <t>MDC May 2009</t>
  </si>
  <si>
    <t xml:space="preserve">ADC June 1999 </t>
  </si>
  <si>
    <t>Endocet 100</t>
  </si>
  <si>
    <t xml:space="preserve">MDC June 2000 </t>
  </si>
  <si>
    <t xml:space="preserve">Endocet 500 </t>
  </si>
  <si>
    <t>MDC June 2001</t>
  </si>
  <si>
    <t xml:space="preserve">MDC June 2002 </t>
  </si>
  <si>
    <t xml:space="preserve">MDC June 2003 </t>
  </si>
  <si>
    <t xml:space="preserve">MDC June 2004 </t>
  </si>
  <si>
    <t>MDC June 2005</t>
  </si>
  <si>
    <t>MDC June 2006</t>
  </si>
  <si>
    <t>MDC June 2007</t>
  </si>
  <si>
    <t>ADC July 1999</t>
  </si>
  <si>
    <t xml:space="preserve">Percocet UD </t>
  </si>
  <si>
    <t>MDC July 2000</t>
  </si>
  <si>
    <t>MDC July 2001</t>
  </si>
  <si>
    <t xml:space="preserve">MDC July 2002 </t>
  </si>
  <si>
    <t xml:space="preserve">MDC July 2003 </t>
  </si>
  <si>
    <t>MDC July 2004</t>
  </si>
  <si>
    <t>MDC July 2005</t>
  </si>
  <si>
    <t>MDC July 2006</t>
  </si>
  <si>
    <t>MDC July 2007</t>
  </si>
  <si>
    <t xml:space="preserve">ADC August 1999 </t>
  </si>
  <si>
    <t>MDC August 2000</t>
  </si>
  <si>
    <t xml:space="preserve">Endocet 100 </t>
  </si>
  <si>
    <t>MDC August 2001</t>
  </si>
  <si>
    <t xml:space="preserve">MDC August 2002 </t>
  </si>
  <si>
    <t xml:space="preserve">MDC August 2003 </t>
  </si>
  <si>
    <t>MDC August 2004</t>
  </si>
  <si>
    <t>MDC August 2005</t>
  </si>
  <si>
    <t>MDC August 2006</t>
  </si>
  <si>
    <t>MDC August 2007</t>
  </si>
  <si>
    <t>ADC September 1999</t>
  </si>
  <si>
    <t>Endocet 500</t>
  </si>
  <si>
    <t>MDC September 2000</t>
  </si>
  <si>
    <t xml:space="preserve">Narcan .4mg </t>
  </si>
  <si>
    <t xml:space="preserve">Total </t>
  </si>
  <si>
    <t>MDC September 2001</t>
  </si>
  <si>
    <t>MDC September 2002</t>
  </si>
  <si>
    <t xml:space="preserve">MDC September 2003 </t>
  </si>
  <si>
    <t>MDC September 2004</t>
  </si>
  <si>
    <t>MDC September 2005</t>
  </si>
  <si>
    <t>MDC September 2006</t>
  </si>
  <si>
    <t>MDC September 2007</t>
  </si>
  <si>
    <t xml:space="preserve">ADC October 1999 </t>
  </si>
  <si>
    <t>MDC October 2000</t>
  </si>
  <si>
    <t>MDC October 2001</t>
  </si>
  <si>
    <t xml:space="preserve">MDC October 2002 </t>
  </si>
  <si>
    <t xml:space="preserve">MDC October 2003 </t>
  </si>
  <si>
    <t>MDC October 2004</t>
  </si>
  <si>
    <t>MDC October 2005</t>
  </si>
  <si>
    <t>MDC October 2006</t>
  </si>
  <si>
    <t>MDC October 2007</t>
  </si>
  <si>
    <t>ADC November 1999</t>
  </si>
  <si>
    <t>MDC November 2000</t>
  </si>
  <si>
    <t xml:space="preserve">MDC November 2001 </t>
  </si>
  <si>
    <t xml:space="preserve">MDC November 2002 </t>
  </si>
  <si>
    <t xml:space="preserve">MDC November 2003 </t>
  </si>
  <si>
    <t xml:space="preserve">MDC November 2004 </t>
  </si>
  <si>
    <t>MDC November 2005</t>
  </si>
  <si>
    <t>MDC November 2006</t>
  </si>
  <si>
    <t>MDC November 2007</t>
  </si>
  <si>
    <t>ADC December 1999</t>
  </si>
  <si>
    <t>MDC December 2000</t>
  </si>
  <si>
    <t>MDC December 2001</t>
  </si>
  <si>
    <t xml:space="preserve">MDC December 2002 </t>
  </si>
  <si>
    <t xml:space="preserve">MDC December 2003 </t>
  </si>
  <si>
    <t>MDC December 2004</t>
  </si>
  <si>
    <t>MDC December 2005</t>
  </si>
  <si>
    <t>MDC December 2006</t>
  </si>
  <si>
    <t>MDC December 2007</t>
  </si>
  <si>
    <t>Grand Total ADC 1999</t>
  </si>
  <si>
    <t>Grand Total ADC/MDC 2000</t>
  </si>
  <si>
    <t>Grand Total MDC 2001</t>
  </si>
  <si>
    <t>Grand Total MDC 2002</t>
  </si>
  <si>
    <t>Grand Total MDC 2003</t>
  </si>
  <si>
    <t>Grand Total MDC 2004</t>
  </si>
  <si>
    <t>Grand Total MDC 2005</t>
  </si>
  <si>
    <t>Grand Total MDC 2006</t>
  </si>
  <si>
    <t xml:space="preserve"> </t>
  </si>
  <si>
    <t xml:space="preserve">* Units for March 2000 - includes ADC and MDC </t>
  </si>
</sst>
</file>

<file path=xl/styles.xml><?xml version="1.0" encoding="utf-8"?>
<styleSheet xmlns="http://schemas.openxmlformats.org/spreadsheetml/2006/main">
  <numFmts count="5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Calibri"/>
      <family val="2"/>
    </font>
    <font>
      <sz val="10.5"/>
      <name val="Consolas"/>
      <family val="3"/>
    </font>
    <font>
      <b/>
      <sz val="10"/>
      <color indexed="8"/>
      <name val="Arial"/>
      <family val="2"/>
    </font>
    <font>
      <b/>
      <sz val="10"/>
      <color indexed="59"/>
      <name val="Arial"/>
      <family val="2"/>
    </font>
    <font>
      <sz val="10"/>
      <color indexed="5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84">
    <xf numFmtId="0" fontId="0" fillId="0" borderId="0" xfId="0"/>
    <xf numFmtId="0" fontId="2" fillId="3" borderId="0" xfId="0" applyFont="1" applyFill="1"/>
    <xf numFmtId="0" fontId="2" fillId="0" borderId="0" xfId="0" applyFont="1"/>
    <xf numFmtId="164" fontId="2" fillId="0" borderId="0" xfId="2" applyNumberFormat="1" applyFont="1"/>
    <xf numFmtId="37" fontId="2" fillId="0" borderId="0" xfId="0" applyNumberFormat="1" applyFont="1"/>
    <xf numFmtId="37" fontId="2" fillId="0" borderId="0" xfId="1" applyNumberFormat="1" applyFont="1"/>
    <xf numFmtId="44" fontId="2" fillId="0" borderId="0" xfId="2" applyFont="1"/>
    <xf numFmtId="164" fontId="0" fillId="0" borderId="0" xfId="2" applyNumberFormat="1" applyFont="1"/>
    <xf numFmtId="0" fontId="0" fillId="3" borderId="0" xfId="0" applyFill="1"/>
    <xf numFmtId="37" fontId="0" fillId="0" borderId="0" xfId="0" applyNumberFormat="1"/>
    <xf numFmtId="37" fontId="0" fillId="0" borderId="0" xfId="1" applyNumberFormat="1" applyFont="1"/>
    <xf numFmtId="44" fontId="0" fillId="0" borderId="0" xfId="2" applyFont="1"/>
    <xf numFmtId="14" fontId="0" fillId="0" borderId="0" xfId="0" applyNumberFormat="1"/>
    <xf numFmtId="164" fontId="0" fillId="0" borderId="0" xfId="0" applyNumberFormat="1"/>
    <xf numFmtId="37" fontId="3" fillId="0" borderId="0" xfId="0" applyNumberFormat="1" applyFont="1"/>
    <xf numFmtId="37" fontId="3" fillId="0" borderId="0" xfId="1" applyNumberFormat="1" applyFont="1"/>
    <xf numFmtId="44" fontId="3" fillId="0" borderId="0" xfId="2" applyFont="1"/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0" fontId="2" fillId="0" borderId="0" xfId="0" applyFont="1" applyBorder="1"/>
    <xf numFmtId="0" fontId="2" fillId="3" borderId="0" xfId="0" applyFont="1" applyFill="1" applyBorder="1"/>
    <xf numFmtId="37" fontId="2" fillId="0" borderId="1" xfId="0" applyNumberFormat="1" applyFont="1" applyBorder="1"/>
    <xf numFmtId="164" fontId="2" fillId="0" borderId="0" xfId="0" applyNumberFormat="1" applyFont="1"/>
    <xf numFmtId="14" fontId="2" fillId="0" borderId="0" xfId="0" applyNumberFormat="1" applyFont="1"/>
    <xf numFmtId="3" fontId="2" fillId="0" borderId="1" xfId="0" applyNumberFormat="1" applyFont="1" applyBorder="1"/>
    <xf numFmtId="0" fontId="4" fillId="0" borderId="2" xfId="0" applyFont="1" applyFill="1" applyBorder="1" applyAlignment="1">
      <alignment horizontal="right" wrapText="1"/>
    </xf>
    <xf numFmtId="164" fontId="4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wrapText="1"/>
    </xf>
    <xf numFmtId="44" fontId="2" fillId="0" borderId="1" xfId="2" applyFont="1" applyBorder="1"/>
    <xf numFmtId="0" fontId="0" fillId="0" borderId="0" xfId="0" applyFill="1"/>
    <xf numFmtId="37" fontId="0" fillId="0" borderId="0" xfId="0" applyNumberFormat="1" applyBorder="1"/>
    <xf numFmtId="37" fontId="0" fillId="0" borderId="0" xfId="0" applyNumberFormat="1" applyFill="1" applyBorder="1"/>
    <xf numFmtId="14" fontId="0" fillId="0" borderId="0" xfId="0" applyNumberFormat="1" applyFill="1"/>
    <xf numFmtId="39" fontId="0" fillId="0" borderId="0" xfId="0" applyNumberFormat="1"/>
    <xf numFmtId="37" fontId="0" fillId="0" borderId="0" xfId="2" applyNumberFormat="1" applyFont="1"/>
    <xf numFmtId="0" fontId="2" fillId="0" borderId="3" xfId="0" applyFont="1" applyBorder="1"/>
    <xf numFmtId="39" fontId="2" fillId="0" borderId="3" xfId="0" applyNumberFormat="1" applyFont="1" applyBorder="1"/>
    <xf numFmtId="0" fontId="5" fillId="0" borderId="0" xfId="0" applyFont="1"/>
    <xf numFmtId="0" fontId="6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 applyAlignment="1">
      <alignment horizontal="center" wrapText="1"/>
    </xf>
    <xf numFmtId="44" fontId="2" fillId="4" borderId="0" xfId="2" applyFont="1" applyFill="1" applyBorder="1" applyAlignment="1">
      <alignment horizontal="center" wrapText="1"/>
    </xf>
    <xf numFmtId="10" fontId="2" fillId="0" borderId="0" xfId="0" applyNumberFormat="1" applyFont="1" applyBorder="1" applyAlignment="1">
      <alignment horizontal="center" wrapText="1"/>
    </xf>
    <xf numFmtId="3" fontId="2" fillId="4" borderId="0" xfId="0" applyNumberFormat="1" applyFont="1" applyFill="1" applyBorder="1" applyAlignment="1">
      <alignment horizontal="center" wrapText="1"/>
    </xf>
    <xf numFmtId="0" fontId="2" fillId="0" borderId="0" xfId="0" applyNumberFormat="1" applyFont="1" applyBorder="1" applyAlignment="1">
      <alignment horizontal="center" wrapText="1"/>
    </xf>
    <xf numFmtId="0" fontId="2" fillId="5" borderId="0" xfId="0" applyFont="1" applyFill="1" applyBorder="1" applyAlignment="1">
      <alignment horizontal="center" wrapText="1"/>
    </xf>
    <xf numFmtId="44" fontId="2" fillId="5" borderId="0" xfId="2" applyFont="1" applyFill="1" applyBorder="1" applyAlignment="1">
      <alignment horizontal="center" wrapText="1"/>
    </xf>
    <xf numFmtId="44" fontId="2" fillId="0" borderId="0" xfId="2" applyFont="1" applyBorder="1" applyAlignment="1">
      <alignment horizontal="center" wrapText="1"/>
    </xf>
    <xf numFmtId="3" fontId="2" fillId="0" borderId="0" xfId="2" applyNumberFormat="1" applyFont="1" applyBorder="1" applyAlignment="1">
      <alignment horizontal="center" wrapText="1"/>
    </xf>
    <xf numFmtId="0" fontId="2" fillId="0" borderId="0" xfId="2" applyNumberFormat="1" applyFont="1" applyFill="1" applyBorder="1" applyAlignment="1">
      <alignment horizontal="center" wrapText="1"/>
    </xf>
    <xf numFmtId="0" fontId="2" fillId="0" borderId="0" xfId="2" applyNumberFormat="1" applyFont="1" applyBorder="1" applyAlignment="1">
      <alignment horizontal="center" wrapText="1"/>
    </xf>
    <xf numFmtId="3" fontId="2" fillId="5" borderId="0" xfId="0" applyNumberFormat="1" applyFont="1" applyFill="1" applyBorder="1" applyAlignment="1">
      <alignment horizontal="center" wrapText="1"/>
    </xf>
    <xf numFmtId="3" fontId="3" fillId="0" borderId="0" xfId="0" applyNumberFormat="1" applyFont="1" applyBorder="1" applyAlignment="1">
      <alignment horizontal="center" wrapText="1"/>
    </xf>
    <xf numFmtId="3" fontId="2" fillId="0" borderId="0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44" fontId="3" fillId="0" borderId="0" xfId="2" applyFont="1" applyBorder="1"/>
    <xf numFmtId="44" fontId="3" fillId="0" borderId="0" xfId="0" applyNumberFormat="1" applyFont="1" applyBorder="1" applyAlignment="1">
      <alignment horizontal="center"/>
    </xf>
    <xf numFmtId="10" fontId="3" fillId="0" borderId="0" xfId="3" applyNumberFormat="1" applyFont="1" applyBorder="1" applyAlignment="1">
      <alignment horizontal="center"/>
    </xf>
    <xf numFmtId="3" fontId="3" fillId="0" borderId="0" xfId="3" applyNumberFormat="1" applyFont="1" applyBorder="1" applyAlignment="1">
      <alignment horizontal="center"/>
    </xf>
    <xf numFmtId="0" fontId="3" fillId="0" borderId="0" xfId="2" applyNumberFormat="1" applyFont="1" applyBorder="1" applyAlignment="1">
      <alignment horizontal="center"/>
    </xf>
    <xf numFmtId="44" fontId="3" fillId="0" borderId="0" xfId="2" applyFont="1" applyBorder="1" applyAlignment="1">
      <alignment horizontal="center"/>
    </xf>
    <xf numFmtId="3" fontId="3" fillId="0" borderId="0" xfId="2" applyNumberFormat="1" applyFont="1" applyBorder="1" applyAlignment="1">
      <alignment horizontal="center" wrapText="1"/>
    </xf>
    <xf numFmtId="44" fontId="3" fillId="0" borderId="0" xfId="2" applyFont="1" applyBorder="1" applyAlignment="1">
      <alignment horizontal="center" wrapText="1"/>
    </xf>
    <xf numFmtId="3" fontId="3" fillId="0" borderId="0" xfId="2" applyNumberFormat="1" applyFont="1" applyBorder="1" applyAlignment="1">
      <alignment horizontal="center"/>
    </xf>
    <xf numFmtId="0" fontId="3" fillId="0" borderId="0" xfId="2" applyNumberFormat="1" applyFont="1" applyBorder="1" applyAlignment="1">
      <alignment horizontal="center" wrapText="1"/>
    </xf>
    <xf numFmtId="37" fontId="3" fillId="0" borderId="0" xfId="0" applyNumberFormat="1" applyFont="1" applyBorder="1" applyAlignment="1">
      <alignment horizontal="center" wrapText="1"/>
    </xf>
    <xf numFmtId="17" fontId="2" fillId="0" borderId="0" xfId="0" applyNumberFormat="1" applyFont="1" applyBorder="1" applyAlignment="1">
      <alignment horizontal="center" wrapText="1"/>
    </xf>
    <xf numFmtId="44" fontId="2" fillId="0" borderId="0" xfId="2" applyFont="1" applyBorder="1"/>
    <xf numFmtId="44" fontId="2" fillId="0" borderId="0" xfId="0" applyNumberFormat="1" applyFont="1" applyBorder="1" applyAlignment="1">
      <alignment horizontal="center"/>
    </xf>
    <xf numFmtId="10" fontId="2" fillId="0" borderId="0" xfId="3" applyNumberFormat="1" applyFont="1" applyBorder="1" applyAlignment="1">
      <alignment horizontal="center"/>
    </xf>
    <xf numFmtId="0" fontId="2" fillId="0" borderId="0" xfId="2" applyNumberFormat="1" applyFont="1" applyBorder="1" applyAlignment="1">
      <alignment horizontal="center"/>
    </xf>
    <xf numFmtId="44" fontId="2" fillId="0" borderId="0" xfId="2" applyFont="1" applyBorder="1" applyAlignment="1">
      <alignment horizontal="center"/>
    </xf>
    <xf numFmtId="37" fontId="2" fillId="0" borderId="0" xfId="0" applyNumberFormat="1" applyFont="1" applyBorder="1" applyAlignment="1">
      <alignment horizontal="center" wrapText="1"/>
    </xf>
    <xf numFmtId="10" fontId="2" fillId="0" borderId="0" xfId="2" applyNumberFormat="1" applyFont="1" applyBorder="1" applyAlignment="1">
      <alignment horizontal="center" wrapText="1"/>
    </xf>
    <xf numFmtId="37" fontId="3" fillId="0" borderId="0" xfId="0" applyNumberFormat="1" applyFont="1" applyBorder="1" applyAlignment="1">
      <alignment horizontal="center"/>
    </xf>
    <xf numFmtId="17" fontId="2" fillId="0" borderId="0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3" fontId="2" fillId="0" borderId="0" xfId="2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7" fontId="2" fillId="0" borderId="0" xfId="0" applyNumberFormat="1" applyFont="1" applyBorder="1" applyAlignment="1">
      <alignment horizontal="center"/>
    </xf>
    <xf numFmtId="10" fontId="2" fillId="0" borderId="0" xfId="2" applyNumberFormat="1" applyFon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37" fontId="0" fillId="0" borderId="0" xfId="0" applyNumberFormat="1" applyBorder="1" applyAlignment="1">
      <alignment horizontal="center"/>
    </xf>
    <xf numFmtId="44" fontId="0" fillId="0" borderId="0" xfId="0" applyNumberFormat="1" applyBorder="1" applyAlignment="1">
      <alignment horizontal="center"/>
    </xf>
    <xf numFmtId="8" fontId="2" fillId="0" borderId="0" xfId="2" applyNumberFormat="1" applyFont="1" applyFill="1" applyBorder="1" applyAlignment="1">
      <alignment horizontal="center"/>
    </xf>
    <xf numFmtId="44" fontId="7" fillId="0" borderId="0" xfId="2" applyFont="1" applyBorder="1"/>
    <xf numFmtId="44" fontId="3" fillId="0" borderId="0" xfId="2" quotePrefix="1" applyFont="1" applyBorder="1" applyAlignment="1">
      <alignment horizontal="center"/>
    </xf>
    <xf numFmtId="44" fontId="2" fillId="0" borderId="0" xfId="2" applyFont="1" applyFill="1" applyBorder="1" applyAlignment="1">
      <alignment horizontal="center"/>
    </xf>
    <xf numFmtId="10" fontId="3" fillId="0" borderId="0" xfId="3" applyNumberFormat="1" applyFont="1" applyFill="1" applyBorder="1" applyAlignment="1">
      <alignment horizontal="center"/>
    </xf>
    <xf numFmtId="3" fontId="3" fillId="0" borderId="0" xfId="2" applyNumberFormat="1" applyFont="1" applyFill="1" applyBorder="1" applyAlignment="1">
      <alignment horizontal="center"/>
    </xf>
    <xf numFmtId="39" fontId="2" fillId="0" borderId="0" xfId="2" applyNumberFormat="1" applyFont="1" applyFill="1" applyBorder="1" applyAlignment="1">
      <alignment horizontal="center"/>
    </xf>
    <xf numFmtId="44" fontId="2" fillId="0" borderId="0" xfId="2" applyFont="1" applyFill="1" applyBorder="1" applyAlignment="1">
      <alignment horizontal="center" wrapText="1"/>
    </xf>
    <xf numFmtId="37" fontId="3" fillId="0" borderId="0" xfId="3" applyNumberFormat="1" applyFont="1" applyBorder="1" applyAlignment="1">
      <alignment horizontal="center"/>
    </xf>
    <xf numFmtId="37" fontId="3" fillId="0" borderId="0" xfId="2" applyNumberFormat="1" applyFont="1" applyBorder="1" applyAlignment="1">
      <alignment horizontal="center"/>
    </xf>
    <xf numFmtId="44" fontId="0" fillId="0" borderId="0" xfId="2" applyFont="1" applyBorder="1"/>
    <xf numFmtId="10" fontId="2" fillId="0" borderId="0" xfId="2" applyNumberFormat="1" applyFont="1" applyBorder="1" applyAlignment="1">
      <alignment horizontal="center" vertical="center"/>
    </xf>
    <xf numFmtId="37" fontId="2" fillId="0" borderId="0" xfId="2" applyNumberFormat="1" applyFont="1" applyBorder="1" applyAlignment="1">
      <alignment horizontal="center" vertical="center"/>
    </xf>
    <xf numFmtId="44" fontId="2" fillId="0" borderId="0" xfId="2" applyFont="1" applyBorder="1" applyAlignment="1">
      <alignment horizontal="center" vertical="center"/>
    </xf>
    <xf numFmtId="10" fontId="0" fillId="0" borderId="0" xfId="3" applyNumberFormat="1" applyFont="1" applyBorder="1" applyAlignment="1">
      <alignment horizontal="center"/>
    </xf>
    <xf numFmtId="3" fontId="0" fillId="0" borderId="0" xfId="3" applyNumberFormat="1" applyFont="1" applyBorder="1" applyAlignment="1">
      <alignment horizontal="center"/>
    </xf>
    <xf numFmtId="10" fontId="3" fillId="0" borderId="0" xfId="2" applyNumberFormat="1" applyFont="1" applyBorder="1" applyAlignment="1">
      <alignment horizontal="center" wrapText="1"/>
    </xf>
    <xf numFmtId="0" fontId="3" fillId="0" borderId="0" xfId="0" applyNumberFormat="1" applyFont="1" applyBorder="1" applyAlignment="1">
      <alignment horizontal="center" wrapText="1"/>
    </xf>
    <xf numFmtId="0" fontId="0" fillId="0" borderId="0" xfId="2" applyNumberFormat="1" applyFont="1" applyBorder="1" applyAlignment="1">
      <alignment horizontal="center"/>
    </xf>
    <xf numFmtId="44" fontId="0" fillId="0" borderId="0" xfId="2" applyFont="1" applyBorder="1" applyAlignment="1">
      <alignment horizontal="center"/>
    </xf>
    <xf numFmtId="44" fontId="2" fillId="0" borderId="0" xfId="2" applyFont="1" applyFill="1" applyBorder="1"/>
    <xf numFmtId="164" fontId="0" fillId="0" borderId="0" xfId="0" applyNumberFormat="1" applyBorder="1"/>
    <xf numFmtId="8" fontId="2" fillId="0" borderId="0" xfId="2" applyNumberFormat="1" applyFont="1" applyBorder="1" applyAlignment="1">
      <alignment horizontal="center"/>
    </xf>
    <xf numFmtId="164" fontId="3" fillId="0" borderId="0" xfId="0" applyNumberFormat="1" applyFont="1" applyBorder="1"/>
    <xf numFmtId="44" fontId="8" fillId="0" borderId="0" xfId="2" applyFont="1" applyBorder="1"/>
    <xf numFmtId="38" fontId="3" fillId="0" borderId="0" xfId="2" applyNumberFormat="1" applyFont="1" applyBorder="1" applyAlignment="1">
      <alignment horizontal="center"/>
    </xf>
    <xf numFmtId="3" fontId="9" fillId="0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44" fontId="9" fillId="0" borderId="0" xfId="2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0" fontId="0" fillId="0" borderId="0" xfId="3" applyNumberFormat="1" applyFont="1" applyFill="1" applyBorder="1" applyAlignment="1">
      <alignment horizontal="center"/>
    </xf>
    <xf numFmtId="37" fontId="2" fillId="0" borderId="0" xfId="2" applyNumberFormat="1" applyFont="1" applyFill="1" applyBorder="1" applyAlignment="1">
      <alignment horizontal="center"/>
    </xf>
    <xf numFmtId="44" fontId="3" fillId="0" borderId="0" xfId="2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2" applyNumberFormat="1" applyFont="1" applyFill="1" applyBorder="1" applyAlignment="1">
      <alignment horizontal="center"/>
    </xf>
    <xf numFmtId="3" fontId="2" fillId="0" borderId="0" xfId="2" applyNumberFormat="1" applyFont="1" applyFill="1" applyBorder="1" applyAlignment="1">
      <alignment horizontal="center"/>
    </xf>
    <xf numFmtId="5" fontId="2" fillId="0" borderId="0" xfId="2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2" applyNumberFormat="1" applyFont="1" applyFill="1" applyBorder="1" applyAlignment="1">
      <alignment horizontal="center"/>
    </xf>
    <xf numFmtId="44" fontId="0" fillId="0" borderId="0" xfId="2" applyFont="1" applyFill="1" applyBorder="1" applyAlignment="1">
      <alignment horizontal="center"/>
    </xf>
    <xf numFmtId="0" fontId="2" fillId="3" borderId="0" xfId="4" applyFont="1" applyFill="1"/>
    <xf numFmtId="0" fontId="2" fillId="0" borderId="0" xfId="4" applyFont="1"/>
    <xf numFmtId="0" fontId="3" fillId="0" borderId="0" xfId="4"/>
    <xf numFmtId="164" fontId="2" fillId="0" borderId="0" xfId="5" applyNumberFormat="1" applyFont="1"/>
    <xf numFmtId="37" fontId="2" fillId="0" borderId="0" xfId="4" applyNumberFormat="1" applyFont="1"/>
    <xf numFmtId="37" fontId="2" fillId="0" borderId="0" xfId="6" applyNumberFormat="1" applyFont="1"/>
    <xf numFmtId="44" fontId="2" fillId="0" borderId="0" xfId="5" applyFont="1"/>
    <xf numFmtId="164" fontId="0" fillId="0" borderId="0" xfId="5" applyNumberFormat="1" applyFont="1"/>
    <xf numFmtId="0" fontId="3" fillId="3" borderId="0" xfId="4" applyFill="1"/>
    <xf numFmtId="37" fontId="3" fillId="0" borderId="0" xfId="4" applyNumberFormat="1"/>
    <xf numFmtId="37" fontId="0" fillId="0" borderId="0" xfId="6" applyNumberFormat="1" applyFont="1"/>
    <xf numFmtId="44" fontId="0" fillId="0" borderId="0" xfId="5" applyFont="1"/>
    <xf numFmtId="14" fontId="3" fillId="0" borderId="0" xfId="4" applyNumberFormat="1"/>
    <xf numFmtId="164" fontId="3" fillId="0" borderId="0" xfId="4" applyNumberFormat="1"/>
    <xf numFmtId="37" fontId="3" fillId="0" borderId="0" xfId="4" applyNumberFormat="1" applyFont="1"/>
    <xf numFmtId="37" fontId="3" fillId="0" borderId="0" xfId="6" applyNumberFormat="1" applyFont="1"/>
    <xf numFmtId="44" fontId="3" fillId="0" borderId="0" xfId="5" applyFont="1"/>
    <xf numFmtId="14" fontId="3" fillId="0" borderId="0" xfId="4" applyNumberFormat="1" applyFont="1"/>
    <xf numFmtId="0" fontId="3" fillId="0" borderId="0" xfId="4" applyFont="1"/>
    <xf numFmtId="164" fontId="3" fillId="0" borderId="0" xfId="4" applyNumberFormat="1" applyFont="1"/>
    <xf numFmtId="0" fontId="2" fillId="0" borderId="1" xfId="4" applyFont="1" applyBorder="1"/>
    <xf numFmtId="164" fontId="2" fillId="0" borderId="1" xfId="4" applyNumberFormat="1" applyFont="1" applyBorder="1"/>
    <xf numFmtId="0" fontId="2" fillId="0" borderId="0" xfId="4" applyFont="1" applyBorder="1"/>
    <xf numFmtId="0" fontId="2" fillId="3" borderId="0" xfId="4" applyFont="1" applyFill="1" applyBorder="1"/>
    <xf numFmtId="37" fontId="2" fillId="0" borderId="1" xfId="4" applyNumberFormat="1" applyFont="1" applyBorder="1"/>
    <xf numFmtId="164" fontId="2" fillId="0" borderId="0" xfId="4" applyNumberFormat="1" applyFont="1"/>
    <xf numFmtId="14" fontId="2" fillId="0" borderId="0" xfId="4" applyNumberFormat="1" applyFont="1"/>
    <xf numFmtId="3" fontId="2" fillId="0" borderId="1" xfId="4" applyNumberFormat="1" applyFont="1" applyBorder="1"/>
    <xf numFmtId="0" fontId="4" fillId="0" borderId="2" xfId="4" applyFont="1" applyFill="1" applyBorder="1" applyAlignment="1">
      <alignment horizontal="right" wrapText="1"/>
    </xf>
    <xf numFmtId="164" fontId="4" fillId="0" borderId="2" xfId="4" applyNumberFormat="1" applyFont="1" applyFill="1" applyBorder="1" applyAlignment="1">
      <alignment horizontal="right" wrapText="1"/>
    </xf>
    <xf numFmtId="0" fontId="4" fillId="0" borderId="2" xfId="4" applyFont="1" applyFill="1" applyBorder="1" applyAlignment="1">
      <alignment wrapText="1"/>
    </xf>
    <xf numFmtId="44" fontId="2" fillId="0" borderId="1" xfId="5" applyFont="1" applyBorder="1"/>
    <xf numFmtId="0" fontId="3" fillId="0" borderId="0" xfId="4" applyFill="1"/>
    <xf numFmtId="37" fontId="3" fillId="0" borderId="0" xfId="4" applyNumberFormat="1" applyBorder="1"/>
    <xf numFmtId="37" fontId="3" fillId="0" borderId="0" xfId="4" applyNumberFormat="1" applyFill="1" applyBorder="1"/>
    <xf numFmtId="14" fontId="3" fillId="0" borderId="0" xfId="4" applyNumberFormat="1" applyFill="1"/>
    <xf numFmtId="39" fontId="3" fillId="0" borderId="0" xfId="4" applyNumberFormat="1"/>
    <xf numFmtId="37" fontId="0" fillId="0" borderId="0" xfId="5" applyNumberFormat="1" applyFont="1"/>
    <xf numFmtId="0" fontId="2" fillId="0" borderId="3" xfId="4" applyFont="1" applyBorder="1"/>
    <xf numFmtId="39" fontId="2" fillId="0" borderId="3" xfId="4" applyNumberFormat="1" applyFont="1" applyBorder="1"/>
    <xf numFmtId="0" fontId="5" fillId="0" borderId="0" xfId="4" applyFont="1"/>
    <xf numFmtId="0" fontId="6" fillId="0" borderId="0" xfId="4" applyFont="1"/>
    <xf numFmtId="0" fontId="2" fillId="0" borderId="4" xfId="4" applyFont="1" applyBorder="1"/>
    <xf numFmtId="0" fontId="2" fillId="0" borderId="5" xfId="4" applyFont="1" applyBorder="1"/>
    <xf numFmtId="0" fontId="2" fillId="0" borderId="6" xfId="4" applyFont="1" applyBorder="1"/>
    <xf numFmtId="8" fontId="0" fillId="0" borderId="0" xfId="5" applyNumberFormat="1" applyFont="1"/>
    <xf numFmtId="14" fontId="0" fillId="6" borderId="0" xfId="0" applyNumberFormat="1" applyFill="1"/>
    <xf numFmtId="0" fontId="0" fillId="6" borderId="0" xfId="0" applyFill="1"/>
    <xf numFmtId="44" fontId="0" fillId="6" borderId="0" xfId="2" applyFont="1" applyFill="1"/>
    <xf numFmtId="37" fontId="2" fillId="0" borderId="0" xfId="2" applyNumberFormat="1" applyFont="1" applyBorder="1" applyAlignment="1">
      <alignment horizontal="center"/>
    </xf>
    <xf numFmtId="0" fontId="2" fillId="2" borderId="0" xfId="4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7">
    <cellStyle name="Comma" xfId="1" builtinId="3"/>
    <cellStyle name="Comma 2" xfId="6"/>
    <cellStyle name="Currency" xfId="2" builtinId="4"/>
    <cellStyle name="Currency 2" xfId="5"/>
    <cellStyle name="Normal" xfId="0" builtinId="0"/>
    <cellStyle name="Normal 2" xfId="4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alker.Lisa\Local%20Settings\Temporary%20Internet%20Files\Content.Outlook\NOMK5H80\Outgoing%20Freight%20Calculations\Endo%20Weekly%20Trans%200214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alker.Lisa\Local%20Settings\Temporary%20Internet%20Files\Content.Outlook\NOMK5H80\Outgoing%20Freight%20Calculations\Endo%20Weekly%20Trans%2002210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atz.Cheryl\Local%20Settings\Temporary%20Internet%20Files\Content.Outlook\GOYR3C0J\Endo%20Weekly%20Trans%200411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alker.Lisa\Local%20Settings\Temporary%20Internet%20Files\Content.Outlook\NOMK5H80\Outgoing%20Freight%20Calculations\Endo%20Weekly%20Trans%2004180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alker.Lisa\Local%20Settings\Temporary%20Internet%20Files\Content.Outlook\NOMK5H80\Outgoing%20Freight%20Calculations\Endo%20Weekly%20Trans%2006060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alker.Lisa\Local%20Settings\Temporary%20Internet%20Files\Content.Outlook\NOMK5H80\Outgoing%20Freight%20Calculations\Endo%20Weekly%20Trans%2011140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65">
          <cell r="D65">
            <v>8030</v>
          </cell>
          <cell r="E65">
            <v>4</v>
          </cell>
          <cell r="H65">
            <v>93842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63">
          <cell r="D63">
            <v>26102.340000000004</v>
          </cell>
          <cell r="E63">
            <v>47</v>
          </cell>
          <cell r="H63">
            <v>239908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161">
          <cell r="D161">
            <v>116115.53000000003</v>
          </cell>
          <cell r="E161">
            <v>152</v>
          </cell>
          <cell r="H161">
            <v>192327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78">
          <cell r="D78">
            <v>72072.289999999994</v>
          </cell>
          <cell r="E78">
            <v>74</v>
          </cell>
          <cell r="H78">
            <v>118953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emphis"/>
      <sheetName val="Atlanta"/>
    </sheetNames>
    <sheetDataSet>
      <sheetData sheetId="0">
        <row r="4">
          <cell r="D4">
            <v>195</v>
          </cell>
          <cell r="E4">
            <v>2</v>
          </cell>
          <cell r="H4">
            <v>306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ndo 111409"/>
      <sheetName val="Sheet1"/>
    </sheetNames>
    <sheetDataSet>
      <sheetData sheetId="0">
        <row r="2">
          <cell r="D2">
            <v>561.1</v>
          </cell>
          <cell r="E2">
            <v>1</v>
          </cell>
          <cell r="H2">
            <v>524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3"/>
  <sheetViews>
    <sheetView workbookViewId="0">
      <selection activeCell="F18" activeCellId="1" sqref="B18 F18"/>
    </sheetView>
  </sheetViews>
  <sheetFormatPr defaultRowHeight="15"/>
  <cols>
    <col min="1" max="1" width="12.7109375" style="134" bestFit="1" customWidth="1"/>
    <col min="2" max="2" width="9.140625" style="134"/>
    <col min="3" max="3" width="14" style="134" bestFit="1" customWidth="1"/>
    <col min="4" max="4" width="9.140625" style="134"/>
    <col min="5" max="5" width="3.28515625" style="134" customWidth="1"/>
    <col min="6" max="6" width="9.140625" style="141"/>
    <col min="7" max="7" width="11.28515625" style="141" bestFit="1" customWidth="1"/>
    <col min="8" max="8" width="12.28515625" style="143" bestFit="1" customWidth="1"/>
    <col min="9" max="9" width="3" style="134" customWidth="1"/>
    <col min="10" max="10" width="11" style="134" bestFit="1" customWidth="1"/>
    <col min="11" max="11" width="9.140625" style="134"/>
    <col min="12" max="12" width="9.7109375" style="134" bestFit="1" customWidth="1"/>
    <col min="13" max="16384" width="9.140625" style="134"/>
  </cols>
  <sheetData>
    <row r="1" spans="1:12" ht="12.75">
      <c r="A1" s="182" t="s">
        <v>0</v>
      </c>
      <c r="B1" s="182"/>
      <c r="C1" s="182"/>
      <c r="D1" s="182"/>
      <c r="E1" s="132"/>
      <c r="F1" s="182" t="s">
        <v>1</v>
      </c>
      <c r="G1" s="182"/>
      <c r="H1" s="182"/>
      <c r="I1" s="132"/>
      <c r="J1" s="182" t="s">
        <v>2</v>
      </c>
      <c r="K1" s="182"/>
      <c r="L1" s="133"/>
    </row>
    <row r="2" spans="1:12" ht="12.75">
      <c r="A2" s="133"/>
      <c r="B2" s="133"/>
      <c r="C2" s="135"/>
      <c r="D2" s="133"/>
      <c r="E2" s="132"/>
      <c r="F2" s="136"/>
      <c r="G2" s="137"/>
      <c r="H2" s="138"/>
      <c r="I2" s="132"/>
      <c r="J2" s="133"/>
      <c r="K2" s="133"/>
      <c r="L2" s="133"/>
    </row>
    <row r="3" spans="1:12" ht="12.75">
      <c r="A3" s="133" t="s">
        <v>3</v>
      </c>
      <c r="B3" s="133"/>
      <c r="C3" s="135"/>
      <c r="D3" s="133"/>
      <c r="E3" s="132"/>
      <c r="F3" s="136"/>
      <c r="G3" s="137"/>
      <c r="H3" s="138"/>
      <c r="I3" s="132"/>
      <c r="J3" s="133"/>
      <c r="K3" s="133"/>
      <c r="L3" s="133"/>
    </row>
    <row r="4" spans="1:12">
      <c r="A4" s="134" t="s">
        <v>4</v>
      </c>
      <c r="B4" s="134" t="s">
        <v>5</v>
      </c>
      <c r="C4" s="139" t="s">
        <v>6</v>
      </c>
      <c r="E4" s="140"/>
      <c r="F4" s="141" t="s">
        <v>7</v>
      </c>
      <c r="G4" s="142" t="s">
        <v>8</v>
      </c>
      <c r="H4" s="143" t="s">
        <v>6</v>
      </c>
      <c r="I4" s="140"/>
    </row>
    <row r="5" spans="1:12">
      <c r="A5" s="144">
        <v>39816</v>
      </c>
      <c r="B5" s="134">
        <v>199</v>
      </c>
      <c r="C5" s="145">
        <v>10114.14</v>
      </c>
      <c r="E5" s="140"/>
      <c r="F5" s="141">
        <v>1</v>
      </c>
      <c r="G5" s="142">
        <v>390</v>
      </c>
      <c r="H5" s="143">
        <v>70</v>
      </c>
      <c r="I5" s="140"/>
    </row>
    <row r="6" spans="1:12">
      <c r="A6" s="144">
        <v>39823</v>
      </c>
      <c r="B6" s="134">
        <v>299</v>
      </c>
      <c r="C6" s="145">
        <v>11197.57</v>
      </c>
      <c r="E6" s="140"/>
      <c r="F6" s="141">
        <v>52</v>
      </c>
      <c r="G6" s="142">
        <v>78067</v>
      </c>
      <c r="H6" s="143">
        <v>32454.699999999993</v>
      </c>
      <c r="I6" s="140"/>
    </row>
    <row r="7" spans="1:12">
      <c r="A7" s="144">
        <v>39830</v>
      </c>
      <c r="B7" s="134">
        <v>378</v>
      </c>
      <c r="C7" s="143">
        <v>15941.13</v>
      </c>
      <c r="E7" s="140"/>
      <c r="F7" s="146">
        <v>56</v>
      </c>
      <c r="G7" s="147">
        <v>69537</v>
      </c>
      <c r="H7" s="148">
        <v>23401.77</v>
      </c>
      <c r="I7" s="140"/>
    </row>
    <row r="8" spans="1:12">
      <c r="A8" s="144">
        <v>39837</v>
      </c>
      <c r="B8" s="134">
        <v>386</v>
      </c>
      <c r="C8" s="145">
        <v>14807.9</v>
      </c>
      <c r="E8" s="140"/>
      <c r="F8" s="146">
        <v>53</v>
      </c>
      <c r="G8" s="142">
        <v>179891</v>
      </c>
      <c r="H8" s="143">
        <v>33633.22</v>
      </c>
      <c r="I8" s="140"/>
    </row>
    <row r="9" spans="1:12">
      <c r="A9" s="144">
        <v>39844</v>
      </c>
      <c r="B9" s="134">
        <v>402</v>
      </c>
      <c r="C9" s="145">
        <v>15301.26</v>
      </c>
      <c r="E9" s="140"/>
      <c r="F9" s="146">
        <v>58</v>
      </c>
      <c r="G9" s="142">
        <v>143618</v>
      </c>
      <c r="H9" s="143">
        <v>23792.16</v>
      </c>
      <c r="I9" s="140"/>
    </row>
    <row r="10" spans="1:12">
      <c r="A10" s="144"/>
      <c r="C10" s="145"/>
      <c r="E10" s="140"/>
      <c r="F10" s="146">
        <v>13</v>
      </c>
      <c r="G10" s="142">
        <v>11863</v>
      </c>
      <c r="H10" s="143">
        <v>2508.34</v>
      </c>
      <c r="I10" s="140"/>
    </row>
    <row r="11" spans="1:12">
      <c r="A11" s="144"/>
      <c r="C11" s="145"/>
      <c r="E11" s="140"/>
      <c r="F11" s="146">
        <v>5</v>
      </c>
      <c r="G11" s="142">
        <v>4337</v>
      </c>
      <c r="H11" s="143">
        <v>934.75</v>
      </c>
      <c r="I11" s="140"/>
    </row>
    <row r="12" spans="1:12">
      <c r="A12" s="149"/>
      <c r="B12" s="150"/>
      <c r="C12" s="151"/>
      <c r="E12" s="140"/>
      <c r="F12" s="146">
        <v>57</v>
      </c>
      <c r="G12" s="142">
        <v>27265</v>
      </c>
      <c r="H12" s="143">
        <v>15575.550000000001</v>
      </c>
      <c r="I12" s="140"/>
    </row>
    <row r="13" spans="1:12">
      <c r="A13" s="149"/>
      <c r="B13" s="150"/>
      <c r="C13" s="151"/>
      <c r="E13" s="140"/>
      <c r="F13" s="146">
        <v>1</v>
      </c>
      <c r="G13" s="142">
        <v>2</v>
      </c>
      <c r="H13" s="143">
        <v>133.82</v>
      </c>
      <c r="I13" s="140"/>
    </row>
    <row r="14" spans="1:12">
      <c r="A14" s="149"/>
      <c r="B14" s="150"/>
      <c r="C14" s="151"/>
      <c r="E14" s="140"/>
      <c r="F14" s="146">
        <v>4</v>
      </c>
      <c r="G14" s="142">
        <v>11413</v>
      </c>
      <c r="H14" s="143">
        <v>1306.3800000000001</v>
      </c>
      <c r="I14" s="140"/>
    </row>
    <row r="15" spans="1:12">
      <c r="A15" s="149"/>
      <c r="B15" s="150"/>
      <c r="C15" s="151"/>
      <c r="E15" s="140"/>
      <c r="F15" s="146">
        <v>2</v>
      </c>
      <c r="G15" s="142">
        <v>4</v>
      </c>
      <c r="H15" s="143">
        <v>109.71</v>
      </c>
      <c r="I15" s="140"/>
    </row>
    <row r="16" spans="1:12">
      <c r="A16" s="149"/>
      <c r="B16" s="150"/>
      <c r="C16" s="151"/>
      <c r="E16" s="140"/>
      <c r="F16" s="146">
        <v>4</v>
      </c>
      <c r="G16" s="142">
        <v>8</v>
      </c>
      <c r="H16" s="143">
        <v>914.49</v>
      </c>
      <c r="I16" s="140"/>
    </row>
    <row r="17" spans="1:12">
      <c r="A17" s="149"/>
      <c r="B17" s="150"/>
      <c r="C17" s="151"/>
      <c r="E17" s="140"/>
      <c r="F17" s="146"/>
      <c r="G17" s="142"/>
      <c r="I17" s="140"/>
    </row>
    <row r="18" spans="1:12" ht="13.5" thickBot="1">
      <c r="A18" s="133" t="s">
        <v>9</v>
      </c>
      <c r="B18" s="152">
        <f>SUM(B5:B13)</f>
        <v>1664</v>
      </c>
      <c r="C18" s="153">
        <f>SUM(C5:C13)</f>
        <v>67362</v>
      </c>
      <c r="D18" s="154"/>
      <c r="E18" s="155"/>
      <c r="F18" s="156">
        <f>SUM(F5:F17)</f>
        <v>306</v>
      </c>
      <c r="G18" s="156">
        <f>SUM(G5:G17)</f>
        <v>526395</v>
      </c>
      <c r="H18" s="156">
        <f>SUM(H5:H17)</f>
        <v>134834.88999999998</v>
      </c>
      <c r="I18" s="132"/>
      <c r="J18" s="133"/>
      <c r="K18" s="133"/>
      <c r="L18" s="133"/>
    </row>
    <row r="19" spans="1:12" ht="12.75">
      <c r="A19" s="133"/>
      <c r="B19" s="133"/>
      <c r="C19" s="157"/>
      <c r="D19" s="133"/>
      <c r="E19" s="132"/>
      <c r="F19" s="136"/>
      <c r="G19" s="137"/>
      <c r="H19" s="138"/>
      <c r="I19" s="132"/>
      <c r="J19" s="133"/>
      <c r="K19" s="133"/>
      <c r="L19" s="133"/>
    </row>
    <row r="20" spans="1:12">
      <c r="A20" s="133" t="s">
        <v>10</v>
      </c>
      <c r="C20" s="143"/>
      <c r="E20" s="140"/>
      <c r="G20" s="142"/>
      <c r="I20" s="140"/>
    </row>
    <row r="21" spans="1:12">
      <c r="A21" s="134" t="s">
        <v>4</v>
      </c>
      <c r="B21" s="134" t="s">
        <v>5</v>
      </c>
      <c r="C21" s="143" t="s">
        <v>6</v>
      </c>
      <c r="E21" s="140"/>
      <c r="F21" s="141" t="s">
        <v>7</v>
      </c>
      <c r="G21" s="142" t="s">
        <v>8</v>
      </c>
      <c r="H21" s="143" t="s">
        <v>6</v>
      </c>
      <c r="I21" s="140"/>
    </row>
    <row r="22" spans="1:12" ht="12.75">
      <c r="A22" s="149">
        <v>39851</v>
      </c>
      <c r="B22" s="150">
        <v>426</v>
      </c>
      <c r="C22" s="148">
        <v>15968.13</v>
      </c>
      <c r="E22" s="140"/>
      <c r="F22" s="146">
        <f>[1]Sheet1!$E$65</f>
        <v>4</v>
      </c>
      <c r="G22" s="147">
        <f>[1]Sheet1!$H$65</f>
        <v>93842</v>
      </c>
      <c r="H22" s="148">
        <f>[1]Sheet1!$D$65</f>
        <v>8030</v>
      </c>
      <c r="I22" s="140"/>
    </row>
    <row r="23" spans="1:12">
      <c r="A23" s="144">
        <v>39858</v>
      </c>
      <c r="B23" s="150">
        <v>431</v>
      </c>
      <c r="C23" s="148">
        <v>16708.240000000002</v>
      </c>
      <c r="E23" s="140"/>
      <c r="F23" s="141">
        <f>[2]Sheet1!$E$63</f>
        <v>47</v>
      </c>
      <c r="G23" s="142">
        <f>[2]Sheet1!$H$63</f>
        <v>239908</v>
      </c>
      <c r="H23" s="143">
        <f>[2]Sheet1!$D$63</f>
        <v>26102.340000000004</v>
      </c>
      <c r="I23" s="140"/>
    </row>
    <row r="24" spans="1:12">
      <c r="A24" s="144">
        <v>39865</v>
      </c>
      <c r="B24" s="134">
        <v>331</v>
      </c>
      <c r="C24" s="143">
        <v>12332.01</v>
      </c>
      <c r="E24" s="140"/>
      <c r="F24" s="141">
        <v>65</v>
      </c>
      <c r="G24" s="142">
        <v>282514</v>
      </c>
      <c r="H24" s="143">
        <v>40794.06</v>
      </c>
      <c r="I24" s="140"/>
    </row>
    <row r="25" spans="1:12">
      <c r="A25" s="144">
        <v>39872</v>
      </c>
      <c r="B25" s="134">
        <v>441</v>
      </c>
      <c r="C25" s="143">
        <v>18541.46</v>
      </c>
      <c r="E25" s="140"/>
      <c r="F25" s="141">
        <v>101</v>
      </c>
      <c r="G25" s="142">
        <v>212610</v>
      </c>
      <c r="H25" s="143">
        <v>38207.780000000006</v>
      </c>
      <c r="I25" s="140"/>
    </row>
    <row r="26" spans="1:12">
      <c r="A26" s="144"/>
      <c r="C26" s="143"/>
      <c r="E26" s="140"/>
      <c r="F26" s="141">
        <v>80</v>
      </c>
      <c r="G26" s="142">
        <v>136752</v>
      </c>
      <c r="H26" s="143">
        <v>28914.059999999998</v>
      </c>
      <c r="I26" s="140"/>
    </row>
    <row r="27" spans="1:12">
      <c r="A27" s="144"/>
      <c r="C27" s="143"/>
      <c r="E27" s="140"/>
      <c r="F27" s="141">
        <v>17</v>
      </c>
      <c r="G27" s="142">
        <v>8459</v>
      </c>
      <c r="H27" s="143">
        <v>2949.25</v>
      </c>
      <c r="I27" s="140"/>
    </row>
    <row r="28" spans="1:12">
      <c r="A28" s="144"/>
      <c r="C28" s="143"/>
      <c r="E28" s="140"/>
      <c r="F28" s="141">
        <v>28</v>
      </c>
      <c r="G28" s="142">
        <v>12105</v>
      </c>
      <c r="H28" s="143">
        <v>5831.8899999999994</v>
      </c>
      <c r="I28" s="140"/>
    </row>
    <row r="29" spans="1:12">
      <c r="A29" s="144"/>
      <c r="C29" s="143"/>
      <c r="E29" s="140"/>
      <c r="F29" s="141">
        <v>6</v>
      </c>
      <c r="G29" s="142">
        <v>4370</v>
      </c>
      <c r="H29" s="143">
        <v>856.56</v>
      </c>
      <c r="I29" s="140"/>
    </row>
    <row r="30" spans="1:12">
      <c r="A30" s="144"/>
      <c r="C30" s="143"/>
      <c r="E30" s="140"/>
      <c r="F30" s="141">
        <v>6</v>
      </c>
      <c r="G30" s="142">
        <v>8926</v>
      </c>
      <c r="H30" s="143">
        <v>3880.9099999999994</v>
      </c>
      <c r="I30" s="140"/>
    </row>
    <row r="31" spans="1:12">
      <c r="A31" s="144"/>
      <c r="C31" s="143"/>
      <c r="E31" s="140"/>
      <c r="F31" s="141">
        <v>2</v>
      </c>
      <c r="G31" s="142">
        <v>4</v>
      </c>
      <c r="H31" s="143">
        <v>860.42000000000007</v>
      </c>
      <c r="I31" s="140"/>
    </row>
    <row r="32" spans="1:12">
      <c r="A32" s="144"/>
      <c r="C32" s="143"/>
      <c r="E32" s="140"/>
      <c r="F32" s="141">
        <v>2</v>
      </c>
      <c r="G32" s="142">
        <v>4</v>
      </c>
      <c r="H32" s="143">
        <v>193.37</v>
      </c>
      <c r="I32" s="140"/>
    </row>
    <row r="33" spans="1:12">
      <c r="A33" s="144"/>
      <c r="C33" s="143"/>
      <c r="E33" s="140"/>
      <c r="F33" s="141">
        <v>2</v>
      </c>
      <c r="G33" s="142">
        <v>4</v>
      </c>
      <c r="H33" s="143">
        <v>96.77000000000001</v>
      </c>
      <c r="I33" s="140"/>
    </row>
    <row r="34" spans="1:12">
      <c r="A34" s="144"/>
      <c r="C34" s="143"/>
      <c r="E34" s="140"/>
      <c r="F34" s="141">
        <v>1</v>
      </c>
      <c r="G34" s="142">
        <v>2</v>
      </c>
      <c r="H34" s="143">
        <v>25.42</v>
      </c>
      <c r="I34" s="140"/>
    </row>
    <row r="35" spans="1:12">
      <c r="A35" s="144"/>
      <c r="C35" s="143"/>
      <c r="E35" s="140"/>
      <c r="F35" s="141">
        <v>4</v>
      </c>
      <c r="G35" s="142">
        <v>8</v>
      </c>
      <c r="H35" s="143">
        <v>1206.6299999999999</v>
      </c>
      <c r="I35" s="140"/>
    </row>
    <row r="36" spans="1:12" ht="13.5" thickBot="1">
      <c r="A36" s="158" t="s">
        <v>11</v>
      </c>
      <c r="B36" s="159">
        <f>SUM(B22:B29)</f>
        <v>1629</v>
      </c>
      <c r="C36" s="153">
        <f>SUM(C22:C29)</f>
        <v>63549.840000000004</v>
      </c>
      <c r="D36" s="154"/>
      <c r="E36" s="132"/>
      <c r="F36" s="156">
        <f>SUM(F22:F35)</f>
        <v>365</v>
      </c>
      <c r="G36" s="156">
        <f>SUM(G22:G35)</f>
        <v>999508</v>
      </c>
      <c r="H36" s="156">
        <f>SUM(H22:H35)</f>
        <v>157949.46000000002</v>
      </c>
      <c r="I36" s="132"/>
      <c r="J36" s="133"/>
      <c r="K36" s="133"/>
      <c r="L36" s="133"/>
    </row>
    <row r="37" spans="1:12">
      <c r="C37" s="145"/>
      <c r="E37" s="140"/>
      <c r="G37" s="142"/>
      <c r="I37" s="140"/>
    </row>
    <row r="38" spans="1:12">
      <c r="A38" s="133" t="s">
        <v>12</v>
      </c>
      <c r="C38" s="145"/>
      <c r="E38" s="140"/>
      <c r="G38" s="142"/>
      <c r="I38" s="140"/>
    </row>
    <row r="39" spans="1:12">
      <c r="A39" s="134" t="s">
        <v>4</v>
      </c>
      <c r="B39" s="134" t="s">
        <v>5</v>
      </c>
      <c r="C39" s="143" t="s">
        <v>6</v>
      </c>
      <c r="E39" s="140"/>
      <c r="F39" s="141" t="s">
        <v>7</v>
      </c>
      <c r="G39" s="142" t="s">
        <v>8</v>
      </c>
      <c r="H39" s="143" t="s">
        <v>6</v>
      </c>
      <c r="I39" s="140"/>
      <c r="K39" s="134">
        <v>1</v>
      </c>
      <c r="L39" s="134">
        <v>46.9</v>
      </c>
    </row>
    <row r="40" spans="1:12">
      <c r="A40" s="144">
        <v>39879</v>
      </c>
      <c r="B40" s="134">
        <v>359</v>
      </c>
      <c r="C40" s="143">
        <v>14661.11</v>
      </c>
      <c r="E40" s="140"/>
      <c r="F40" s="141">
        <v>1</v>
      </c>
      <c r="G40" s="142">
        <v>33205</v>
      </c>
      <c r="H40" s="143">
        <v>1175</v>
      </c>
      <c r="I40" s="140"/>
      <c r="K40" s="134">
        <v>1</v>
      </c>
      <c r="L40" s="134">
        <v>46.9</v>
      </c>
    </row>
    <row r="41" spans="1:12">
      <c r="A41" s="144">
        <v>39886</v>
      </c>
      <c r="B41" s="134">
        <v>327</v>
      </c>
      <c r="C41" s="143">
        <v>6827.29</v>
      </c>
      <c r="E41" s="140"/>
      <c r="F41" s="141">
        <v>78</v>
      </c>
      <c r="G41" s="142">
        <v>240434</v>
      </c>
      <c r="H41" s="143">
        <v>35185.800000000003</v>
      </c>
      <c r="I41" s="140"/>
    </row>
    <row r="42" spans="1:12">
      <c r="A42" s="144">
        <v>39893</v>
      </c>
      <c r="B42" s="134">
        <v>376</v>
      </c>
      <c r="C42" s="143">
        <v>16849.46</v>
      </c>
      <c r="E42" s="140"/>
      <c r="F42" s="141">
        <v>66</v>
      </c>
      <c r="G42" s="160">
        <v>267489</v>
      </c>
      <c r="H42" s="161">
        <v>33444.010000000009</v>
      </c>
      <c r="I42" s="140"/>
    </row>
    <row r="43" spans="1:12">
      <c r="A43" s="144">
        <v>39900</v>
      </c>
      <c r="B43" s="134">
        <v>425</v>
      </c>
      <c r="C43" s="143">
        <v>18591.95</v>
      </c>
      <c r="E43" s="140"/>
      <c r="F43" s="141">
        <v>100</v>
      </c>
      <c r="G43" s="142">
        <v>211441</v>
      </c>
      <c r="H43" s="143">
        <v>93101.229999999938</v>
      </c>
      <c r="I43" s="140"/>
    </row>
    <row r="44" spans="1:12">
      <c r="A44" s="144"/>
      <c r="C44" s="143"/>
      <c r="E44" s="140"/>
      <c r="F44" s="141">
        <f>[3]Sheet1!$E$161</f>
        <v>152</v>
      </c>
      <c r="G44" s="141">
        <f>[3]Sheet1!$H$161</f>
        <v>192327</v>
      </c>
      <c r="H44" s="143">
        <f>[3]Sheet1!$D$161</f>
        <v>116115.53000000003</v>
      </c>
      <c r="I44" s="140"/>
    </row>
    <row r="45" spans="1:12">
      <c r="A45" s="144"/>
      <c r="C45" s="143"/>
      <c r="E45" s="140"/>
      <c r="F45" s="141">
        <f>[4]Sheet1!$E$78</f>
        <v>74</v>
      </c>
      <c r="G45" s="142">
        <f>[4]Sheet1!$H$78</f>
        <v>118953</v>
      </c>
      <c r="H45" s="143">
        <f>[4]Sheet1!$D$78</f>
        <v>72072.289999999994</v>
      </c>
      <c r="I45" s="140"/>
    </row>
    <row r="46" spans="1:12">
      <c r="A46" s="144"/>
      <c r="C46" s="143"/>
      <c r="E46" s="140"/>
      <c r="F46" s="162">
        <v>1</v>
      </c>
      <c r="G46" s="160">
        <v>2110</v>
      </c>
      <c r="H46" s="143">
        <v>162.97</v>
      </c>
      <c r="I46" s="140"/>
    </row>
    <row r="47" spans="1:12">
      <c r="A47" s="144"/>
      <c r="C47" s="143"/>
      <c r="E47" s="140"/>
      <c r="F47" s="141">
        <v>1</v>
      </c>
      <c r="G47" s="142">
        <v>2</v>
      </c>
      <c r="H47" s="143">
        <v>24.25</v>
      </c>
      <c r="I47" s="140"/>
    </row>
    <row r="48" spans="1:12">
      <c r="A48" s="144"/>
      <c r="C48" s="143"/>
      <c r="E48" s="140"/>
      <c r="F48" s="141">
        <v>3</v>
      </c>
      <c r="G48" s="142">
        <v>1317</v>
      </c>
      <c r="H48" s="143">
        <v>596.46</v>
      </c>
      <c r="I48" s="140"/>
    </row>
    <row r="49" spans="1:12">
      <c r="A49" s="144"/>
      <c r="C49" s="143"/>
      <c r="E49" s="140"/>
      <c r="F49" s="141">
        <v>1</v>
      </c>
      <c r="G49" s="142">
        <v>2</v>
      </c>
      <c r="H49" s="143">
        <v>17.82</v>
      </c>
      <c r="I49" s="140"/>
    </row>
    <row r="50" spans="1:12">
      <c r="A50" s="144"/>
      <c r="C50" s="143"/>
      <c r="E50" s="140"/>
      <c r="F50" s="141">
        <v>3</v>
      </c>
      <c r="G50" s="142">
        <v>6</v>
      </c>
      <c r="H50" s="143">
        <v>529.63</v>
      </c>
      <c r="I50" s="140"/>
    </row>
    <row r="51" spans="1:12">
      <c r="A51" s="144"/>
      <c r="C51" s="143"/>
      <c r="E51" s="140"/>
      <c r="G51" s="142"/>
      <c r="I51" s="140"/>
    </row>
    <row r="52" spans="1:12">
      <c r="A52" s="144"/>
      <c r="C52" s="143"/>
      <c r="E52" s="140"/>
      <c r="G52" s="142"/>
      <c r="I52" s="140"/>
    </row>
    <row r="53" spans="1:12">
      <c r="A53" s="144"/>
      <c r="C53" s="143"/>
      <c r="E53" s="140"/>
      <c r="G53" s="142"/>
      <c r="I53" s="140"/>
    </row>
    <row r="54" spans="1:12">
      <c r="A54" s="144"/>
      <c r="C54" s="143"/>
      <c r="E54" s="140"/>
      <c r="G54" s="142"/>
      <c r="I54" s="140"/>
    </row>
    <row r="55" spans="1:12">
      <c r="A55" s="144"/>
      <c r="C55" s="143"/>
      <c r="E55" s="140"/>
      <c r="G55" s="142"/>
      <c r="I55" s="140"/>
    </row>
    <row r="56" spans="1:12">
      <c r="A56" s="144"/>
      <c r="C56" s="143"/>
      <c r="E56" s="140"/>
      <c r="G56" s="142"/>
      <c r="I56" s="140"/>
    </row>
    <row r="57" spans="1:12">
      <c r="A57" s="144"/>
      <c r="C57" s="143"/>
      <c r="E57" s="140"/>
      <c r="G57" s="142"/>
      <c r="I57" s="140"/>
    </row>
    <row r="58" spans="1:12">
      <c r="A58" s="144"/>
      <c r="C58" s="143"/>
      <c r="E58" s="140"/>
      <c r="G58" s="142"/>
      <c r="I58" s="140"/>
    </row>
    <row r="59" spans="1:12">
      <c r="A59" s="144"/>
      <c r="C59" s="143"/>
      <c r="E59" s="140"/>
      <c r="G59" s="142"/>
      <c r="I59" s="140"/>
    </row>
    <row r="60" spans="1:12">
      <c r="A60" s="144"/>
      <c r="C60" s="143"/>
      <c r="E60" s="140"/>
      <c r="G60" s="142"/>
      <c r="I60" s="140"/>
    </row>
    <row r="61" spans="1:12">
      <c r="A61" s="144"/>
      <c r="C61" s="143"/>
      <c r="E61" s="140"/>
      <c r="G61" s="142"/>
      <c r="I61" s="140"/>
    </row>
    <row r="62" spans="1:12" ht="13.5" thickBot="1">
      <c r="A62" s="158" t="s">
        <v>13</v>
      </c>
      <c r="B62" s="159">
        <f>SUM(B40:B49)</f>
        <v>1487</v>
      </c>
      <c r="C62" s="163">
        <f>SUM(C40:C49)</f>
        <v>56929.81</v>
      </c>
      <c r="D62" s="133"/>
      <c r="E62" s="132"/>
      <c r="F62" s="156">
        <f>SUM(F40:F61)</f>
        <v>480</v>
      </c>
      <c r="G62" s="156">
        <f>SUM(G40:G61)</f>
        <v>1067286</v>
      </c>
      <c r="H62" s="156">
        <f>SUM(H40:H61)</f>
        <v>352424.98999999993</v>
      </c>
      <c r="I62" s="132"/>
      <c r="J62" s="133"/>
      <c r="K62" s="133">
        <f>SUM(K39:K61)</f>
        <v>2</v>
      </c>
      <c r="L62" s="133">
        <f>SUM(L39:L61)</f>
        <v>93.8</v>
      </c>
    </row>
    <row r="63" spans="1:12">
      <c r="C63" s="145"/>
      <c r="E63" s="140"/>
      <c r="G63" s="142"/>
      <c r="I63" s="140"/>
    </row>
    <row r="64" spans="1:12">
      <c r="A64" s="133" t="s">
        <v>14</v>
      </c>
      <c r="C64" s="145"/>
      <c r="E64" s="140"/>
      <c r="G64" s="142"/>
      <c r="I64" s="140"/>
    </row>
    <row r="65" spans="1:12">
      <c r="A65" s="134" t="s">
        <v>4</v>
      </c>
      <c r="B65" s="134" t="s">
        <v>5</v>
      </c>
      <c r="C65" s="143" t="s">
        <v>6</v>
      </c>
      <c r="E65" s="140"/>
      <c r="F65" s="141" t="s">
        <v>7</v>
      </c>
      <c r="G65" s="142" t="s">
        <v>8</v>
      </c>
      <c r="H65" s="143" t="s">
        <v>6</v>
      </c>
      <c r="I65" s="140"/>
    </row>
    <row r="66" spans="1:12">
      <c r="A66" s="144">
        <v>39907</v>
      </c>
      <c r="B66" s="134">
        <v>701</v>
      </c>
      <c r="C66" s="143">
        <v>11672.64</v>
      </c>
      <c r="E66" s="140"/>
      <c r="F66" s="141">
        <v>13</v>
      </c>
      <c r="G66" s="142">
        <v>19459</v>
      </c>
      <c r="H66" s="143">
        <v>3048.28</v>
      </c>
      <c r="I66" s="140"/>
      <c r="K66" s="134">
        <v>1</v>
      </c>
      <c r="L66" s="134">
        <v>47.25</v>
      </c>
    </row>
    <row r="67" spans="1:12">
      <c r="A67" s="144">
        <v>39914</v>
      </c>
      <c r="B67" s="164">
        <v>701</v>
      </c>
      <c r="C67" s="143">
        <v>20698.599999999999</v>
      </c>
      <c r="E67" s="140"/>
      <c r="F67" s="141">
        <v>81</v>
      </c>
      <c r="G67" s="142">
        <v>156827</v>
      </c>
      <c r="H67" s="143">
        <v>41496.040000000008</v>
      </c>
      <c r="I67" s="140"/>
    </row>
    <row r="68" spans="1:12">
      <c r="A68" s="144">
        <v>39921</v>
      </c>
      <c r="B68" s="134">
        <v>460</v>
      </c>
      <c r="C68" s="143">
        <v>25420.65</v>
      </c>
      <c r="E68" s="140"/>
      <c r="F68" s="141">
        <v>99</v>
      </c>
      <c r="G68" s="141">
        <v>214506</v>
      </c>
      <c r="H68" s="143">
        <v>62589.05000000001</v>
      </c>
      <c r="I68" s="140"/>
    </row>
    <row r="69" spans="1:12">
      <c r="A69" s="144">
        <v>39928</v>
      </c>
      <c r="B69" s="134">
        <v>431</v>
      </c>
      <c r="C69" s="143">
        <v>16316.17</v>
      </c>
      <c r="E69" s="140"/>
      <c r="F69" s="141">
        <v>51</v>
      </c>
      <c r="G69" s="142">
        <v>174515</v>
      </c>
      <c r="H69" s="143">
        <v>23211.200000000001</v>
      </c>
      <c r="I69" s="140"/>
    </row>
    <row r="70" spans="1:12">
      <c r="A70" s="144"/>
      <c r="C70" s="143"/>
      <c r="E70" s="140"/>
      <c r="F70" s="141">
        <v>70</v>
      </c>
      <c r="G70" s="142">
        <v>112337</v>
      </c>
      <c r="H70" s="143">
        <v>27295.079999999994</v>
      </c>
      <c r="I70" s="140"/>
    </row>
    <row r="71" spans="1:12">
      <c r="A71" s="144"/>
      <c r="C71" s="143"/>
      <c r="E71" s="140"/>
      <c r="F71" s="141">
        <v>8</v>
      </c>
      <c r="G71" s="142">
        <v>64436</v>
      </c>
      <c r="H71" s="143">
        <v>4289.67</v>
      </c>
      <c r="I71" s="140"/>
    </row>
    <row r="72" spans="1:12">
      <c r="A72" s="144"/>
      <c r="C72" s="143"/>
      <c r="E72" s="140"/>
      <c r="F72" s="141">
        <f>[5]Memphis!$E$4</f>
        <v>2</v>
      </c>
      <c r="G72" s="142">
        <f>[5]Memphis!$H$4</f>
        <v>306</v>
      </c>
      <c r="H72" s="143">
        <f>[5]Memphis!$D$4</f>
        <v>195</v>
      </c>
      <c r="I72" s="140"/>
    </row>
    <row r="73" spans="1:12">
      <c r="A73" s="144"/>
      <c r="C73" s="143"/>
      <c r="E73" s="140"/>
      <c r="F73" s="141">
        <v>2</v>
      </c>
      <c r="G73" s="142">
        <v>2098</v>
      </c>
      <c r="H73" s="143">
        <v>259.93</v>
      </c>
      <c r="I73" s="140"/>
    </row>
    <row r="74" spans="1:12">
      <c r="A74" s="144"/>
      <c r="C74" s="143"/>
      <c r="E74" s="140"/>
      <c r="F74" s="141">
        <v>2</v>
      </c>
      <c r="G74" s="142">
        <v>3134</v>
      </c>
      <c r="H74" s="143">
        <v>566.65</v>
      </c>
      <c r="I74" s="140"/>
    </row>
    <row r="75" spans="1:12">
      <c r="A75" s="144"/>
      <c r="C75" s="143"/>
      <c r="E75" s="140"/>
      <c r="G75" s="142"/>
      <c r="I75" s="140"/>
    </row>
    <row r="76" spans="1:12">
      <c r="A76" s="144"/>
      <c r="C76" s="143"/>
      <c r="E76" s="140"/>
      <c r="G76" s="142"/>
      <c r="I76" s="140"/>
    </row>
    <row r="77" spans="1:12">
      <c r="A77" s="144"/>
      <c r="C77" s="143"/>
      <c r="E77" s="140"/>
      <c r="G77" s="142"/>
      <c r="I77" s="140"/>
    </row>
    <row r="78" spans="1:12">
      <c r="A78" s="144"/>
      <c r="C78" s="143"/>
      <c r="E78" s="140"/>
      <c r="G78" s="142"/>
      <c r="I78" s="140"/>
    </row>
    <row r="79" spans="1:12">
      <c r="A79" s="144"/>
      <c r="C79" s="143"/>
      <c r="E79" s="140"/>
      <c r="G79" s="142"/>
      <c r="I79" s="140"/>
    </row>
    <row r="80" spans="1:12">
      <c r="A80" s="144"/>
      <c r="C80" s="143"/>
      <c r="E80" s="140"/>
      <c r="G80" s="142"/>
      <c r="I80" s="140"/>
    </row>
    <row r="81" spans="1:12">
      <c r="A81" s="144"/>
      <c r="C81" s="143"/>
      <c r="E81" s="140"/>
      <c r="G81" s="142"/>
      <c r="I81" s="140"/>
    </row>
    <row r="82" spans="1:12">
      <c r="A82" s="144"/>
      <c r="C82" s="143"/>
      <c r="E82" s="140"/>
      <c r="G82" s="142"/>
      <c r="I82" s="140"/>
    </row>
    <row r="83" spans="1:12">
      <c r="A83" s="144"/>
      <c r="C83" s="143"/>
      <c r="E83" s="140"/>
      <c r="G83" s="142"/>
      <c r="I83" s="140"/>
    </row>
    <row r="84" spans="1:12">
      <c r="A84" s="144"/>
      <c r="C84" s="143"/>
      <c r="E84" s="140"/>
      <c r="I84" s="140"/>
    </row>
    <row r="85" spans="1:12" ht="13.5" thickBot="1">
      <c r="A85" s="158" t="s">
        <v>15</v>
      </c>
      <c r="B85" s="159">
        <f>SUM(B66:B74)</f>
        <v>2293</v>
      </c>
      <c r="C85" s="163">
        <f>SUM(C66:C74)</f>
        <v>74108.06</v>
      </c>
      <c r="D85" s="133"/>
      <c r="E85" s="132"/>
      <c r="F85" s="156">
        <f>SUM(F44:F84)</f>
        <v>1043</v>
      </c>
      <c r="G85" s="156">
        <f>SUM(G66:G83)</f>
        <v>747618</v>
      </c>
      <c r="H85" s="156">
        <f>SUM(H66:H84)</f>
        <v>162950.90000000002</v>
      </c>
      <c r="I85" s="132"/>
      <c r="J85" s="133"/>
      <c r="K85" s="133">
        <f>SUM(K66:K84)</f>
        <v>1</v>
      </c>
      <c r="L85" s="133">
        <f>SUM(L66:L84)</f>
        <v>47.25</v>
      </c>
    </row>
    <row r="86" spans="1:12">
      <c r="C86" s="145"/>
      <c r="E86" s="140"/>
      <c r="G86" s="142"/>
      <c r="I86" s="140"/>
    </row>
    <row r="87" spans="1:12">
      <c r="A87" s="133" t="s">
        <v>16</v>
      </c>
      <c r="C87" s="145"/>
      <c r="E87" s="140"/>
      <c r="G87" s="142"/>
      <c r="I87" s="140"/>
    </row>
    <row r="88" spans="1:12">
      <c r="A88" s="134" t="s">
        <v>4</v>
      </c>
      <c r="B88" s="134" t="s">
        <v>5</v>
      </c>
      <c r="C88" s="143" t="s">
        <v>6</v>
      </c>
      <c r="E88" s="140"/>
      <c r="F88" s="141" t="s">
        <v>7</v>
      </c>
      <c r="G88" s="142" t="s">
        <v>8</v>
      </c>
      <c r="H88" s="143" t="s">
        <v>6</v>
      </c>
      <c r="I88" s="140"/>
    </row>
    <row r="89" spans="1:12">
      <c r="A89" s="144">
        <v>39935</v>
      </c>
      <c r="B89" s="134">
        <v>505</v>
      </c>
      <c r="C89" s="143">
        <v>19882.21</v>
      </c>
      <c r="E89" s="140"/>
      <c r="F89" s="141">
        <v>2</v>
      </c>
      <c r="G89" s="142">
        <v>6705</v>
      </c>
      <c r="H89" s="143">
        <v>2392</v>
      </c>
      <c r="I89" s="140"/>
    </row>
    <row r="90" spans="1:12">
      <c r="A90" s="144">
        <v>39942</v>
      </c>
      <c r="B90" s="134">
        <v>473</v>
      </c>
      <c r="C90" s="143">
        <v>16941.61</v>
      </c>
      <c r="E90" s="140"/>
      <c r="F90" s="141">
        <v>54</v>
      </c>
      <c r="G90" s="142">
        <v>175636</v>
      </c>
      <c r="H90" s="143">
        <v>24175.750000000011</v>
      </c>
      <c r="I90" s="140"/>
    </row>
    <row r="91" spans="1:12">
      <c r="A91" s="144">
        <v>39949</v>
      </c>
      <c r="B91" s="134">
        <v>506</v>
      </c>
      <c r="C91" s="143">
        <v>19644.419999999998</v>
      </c>
      <c r="E91" s="140"/>
      <c r="F91" s="141">
        <v>96</v>
      </c>
      <c r="G91" s="142">
        <v>225093</v>
      </c>
      <c r="H91" s="143">
        <v>64548.459999999985</v>
      </c>
      <c r="I91" s="140"/>
    </row>
    <row r="92" spans="1:12">
      <c r="A92" s="144">
        <v>39956</v>
      </c>
      <c r="B92" s="134">
        <v>434</v>
      </c>
      <c r="C92" s="143">
        <v>22835.01</v>
      </c>
      <c r="E92" s="140"/>
      <c r="F92" s="141">
        <v>99</v>
      </c>
      <c r="G92" s="141">
        <v>86078</v>
      </c>
      <c r="H92" s="143">
        <v>35141.440000000002</v>
      </c>
      <c r="I92" s="140"/>
    </row>
    <row r="93" spans="1:12">
      <c r="A93" s="144">
        <v>39963</v>
      </c>
      <c r="B93" s="134">
        <v>268</v>
      </c>
      <c r="C93" s="143">
        <v>9810.32</v>
      </c>
      <c r="E93" s="140"/>
      <c r="F93" s="141">
        <v>19</v>
      </c>
      <c r="G93" s="142">
        <v>7331</v>
      </c>
      <c r="H93" s="143">
        <v>6348.04</v>
      </c>
      <c r="I93" s="140"/>
    </row>
    <row r="94" spans="1:12">
      <c r="A94" s="144"/>
      <c r="C94" s="143"/>
      <c r="E94" s="140"/>
      <c r="G94" s="142"/>
      <c r="I94" s="140"/>
    </row>
    <row r="95" spans="1:12">
      <c r="A95" s="144"/>
      <c r="C95" s="143"/>
      <c r="E95" s="140"/>
      <c r="F95" s="165"/>
      <c r="G95" s="142"/>
      <c r="I95" s="140"/>
    </row>
    <row r="96" spans="1:12">
      <c r="A96" s="144"/>
      <c r="C96" s="143"/>
      <c r="E96" s="140"/>
      <c r="F96" s="166"/>
      <c r="G96" s="142"/>
      <c r="I96" s="140"/>
    </row>
    <row r="97" spans="1:12">
      <c r="A97" s="167"/>
      <c r="B97" s="164"/>
      <c r="C97" s="143"/>
      <c r="E97" s="140"/>
      <c r="F97" s="166"/>
      <c r="G97" s="142"/>
      <c r="I97" s="140"/>
    </row>
    <row r="98" spans="1:12">
      <c r="A98" s="144"/>
      <c r="C98" s="143"/>
      <c r="E98" s="140"/>
      <c r="F98" s="166"/>
      <c r="G98" s="142"/>
      <c r="I98" s="140"/>
    </row>
    <row r="99" spans="1:12">
      <c r="A99" s="144"/>
      <c r="C99" s="143"/>
      <c r="E99" s="140"/>
      <c r="F99" s="166"/>
      <c r="G99" s="142"/>
      <c r="I99" s="140"/>
    </row>
    <row r="100" spans="1:12">
      <c r="A100" s="144"/>
      <c r="C100" s="143"/>
      <c r="E100" s="140"/>
      <c r="F100" s="166"/>
      <c r="G100" s="142"/>
      <c r="I100" s="140"/>
    </row>
    <row r="101" spans="1:12">
      <c r="A101" s="144"/>
      <c r="C101" s="143"/>
      <c r="E101" s="140"/>
      <c r="F101" s="166"/>
      <c r="G101" s="142"/>
      <c r="I101" s="140"/>
    </row>
    <row r="102" spans="1:12">
      <c r="A102" s="144"/>
      <c r="C102" s="143"/>
      <c r="D102" s="133"/>
      <c r="E102" s="140"/>
      <c r="F102" s="166"/>
      <c r="G102" s="142"/>
      <c r="I102" s="140"/>
    </row>
    <row r="103" spans="1:12" ht="13.5" thickBot="1">
      <c r="A103" s="158" t="s">
        <v>17</v>
      </c>
      <c r="B103" s="159">
        <f>SUM(B89:B97)</f>
        <v>2186</v>
      </c>
      <c r="C103" s="163">
        <f>SUM(C89:C97)</f>
        <v>89113.57</v>
      </c>
      <c r="E103" s="132"/>
      <c r="F103" s="156">
        <f>SUM(F89:F102)</f>
        <v>270</v>
      </c>
      <c r="G103" s="156">
        <f>SUM(G89:G102)</f>
        <v>500843</v>
      </c>
      <c r="H103" s="156">
        <f>SUM(H89:H102)</f>
        <v>132605.69</v>
      </c>
      <c r="I103" s="132"/>
      <c r="J103" s="133"/>
      <c r="K103" s="133"/>
      <c r="L103" s="133"/>
    </row>
    <row r="104" spans="1:12">
      <c r="C104" s="145"/>
      <c r="E104" s="140"/>
      <c r="G104" s="142"/>
      <c r="I104" s="140"/>
    </row>
    <row r="105" spans="1:12">
      <c r="A105" s="133" t="s">
        <v>18</v>
      </c>
      <c r="C105" s="145"/>
      <c r="E105" s="140"/>
      <c r="G105" s="142"/>
      <c r="I105" s="140"/>
    </row>
    <row r="106" spans="1:12">
      <c r="A106" s="134" t="s">
        <v>4</v>
      </c>
      <c r="B106" s="134" t="s">
        <v>5</v>
      </c>
      <c r="C106" s="143" t="s">
        <v>6</v>
      </c>
      <c r="E106" s="140"/>
      <c r="F106" s="141" t="s">
        <v>7</v>
      </c>
      <c r="G106" s="142" t="s">
        <v>8</v>
      </c>
      <c r="H106" s="143" t="s">
        <v>6</v>
      </c>
      <c r="I106" s="140"/>
    </row>
    <row r="107" spans="1:12">
      <c r="A107" s="144">
        <v>39970</v>
      </c>
      <c r="B107" s="134">
        <v>494</v>
      </c>
      <c r="C107" s="143">
        <v>20060.330000000002</v>
      </c>
      <c r="E107" s="140"/>
      <c r="F107" s="141">
        <v>3</v>
      </c>
      <c r="G107" s="142">
        <v>10917</v>
      </c>
      <c r="H107" s="143">
        <v>2673.69</v>
      </c>
      <c r="I107" s="140"/>
    </row>
    <row r="108" spans="1:12">
      <c r="A108" s="144">
        <v>39977</v>
      </c>
      <c r="B108" s="164">
        <v>370</v>
      </c>
      <c r="C108" s="143">
        <v>14649.09</v>
      </c>
      <c r="E108" s="140"/>
      <c r="F108" s="141">
        <v>57</v>
      </c>
      <c r="G108" s="142">
        <v>104071</v>
      </c>
      <c r="H108" s="143">
        <v>25617.290000000005</v>
      </c>
      <c r="I108" s="140"/>
    </row>
    <row r="109" spans="1:12">
      <c r="A109" s="144">
        <v>39984</v>
      </c>
      <c r="B109" s="134">
        <v>443</v>
      </c>
      <c r="C109" s="143">
        <v>17802.78</v>
      </c>
      <c r="E109" s="140"/>
      <c r="F109" s="165">
        <v>59</v>
      </c>
      <c r="G109" s="142">
        <v>144738</v>
      </c>
      <c r="H109" s="143">
        <v>29038.409999999996</v>
      </c>
      <c r="I109" s="140"/>
    </row>
    <row r="110" spans="1:12">
      <c r="A110" s="144">
        <v>39991</v>
      </c>
      <c r="B110" s="134">
        <v>417</v>
      </c>
      <c r="C110" s="145">
        <v>18997.580000000002</v>
      </c>
      <c r="E110" s="140"/>
      <c r="F110" s="141">
        <v>63</v>
      </c>
      <c r="G110" s="142">
        <v>69667</v>
      </c>
      <c r="H110" s="143">
        <v>23456.89</v>
      </c>
      <c r="I110" s="140"/>
    </row>
    <row r="111" spans="1:12">
      <c r="A111" s="144"/>
      <c r="C111" s="143"/>
      <c r="E111" s="140"/>
      <c r="F111" s="141">
        <v>25</v>
      </c>
      <c r="G111" s="142">
        <v>68724</v>
      </c>
      <c r="H111" s="143">
        <v>6017.4</v>
      </c>
      <c r="I111" s="140"/>
    </row>
    <row r="112" spans="1:12">
      <c r="A112" s="144"/>
      <c r="C112" s="143"/>
      <c r="E112" s="140"/>
      <c r="F112" s="141">
        <v>69</v>
      </c>
      <c r="G112" s="142">
        <v>43372</v>
      </c>
      <c r="H112" s="143">
        <v>36675.39</v>
      </c>
      <c r="I112" s="140"/>
    </row>
    <row r="113" spans="1:12">
      <c r="A113" s="144"/>
      <c r="C113" s="143"/>
      <c r="E113" s="140"/>
      <c r="F113" s="141">
        <v>67</v>
      </c>
      <c r="G113" s="142">
        <v>110342</v>
      </c>
      <c r="H113" s="143">
        <v>26187.839999999993</v>
      </c>
      <c r="I113" s="140"/>
    </row>
    <row r="114" spans="1:12">
      <c r="A114" s="144"/>
      <c r="C114" s="143"/>
      <c r="E114" s="140"/>
      <c r="F114" s="141">
        <v>4</v>
      </c>
      <c r="G114" s="142">
        <v>2664</v>
      </c>
      <c r="H114" s="143">
        <v>824.87</v>
      </c>
      <c r="I114" s="140"/>
    </row>
    <row r="115" spans="1:12">
      <c r="C115" s="145"/>
      <c r="E115" s="140"/>
      <c r="F115" s="141">
        <v>19</v>
      </c>
      <c r="G115" s="142">
        <v>23866</v>
      </c>
      <c r="H115" s="143">
        <v>14321.350000000002</v>
      </c>
      <c r="I115" s="140"/>
    </row>
    <row r="116" spans="1:12">
      <c r="C116" s="145"/>
      <c r="E116" s="140"/>
      <c r="F116" s="141">
        <v>2</v>
      </c>
      <c r="G116" s="142">
        <v>263</v>
      </c>
      <c r="H116" s="143">
        <v>379.98</v>
      </c>
      <c r="I116" s="140"/>
    </row>
    <row r="117" spans="1:12">
      <c r="C117" s="145"/>
      <c r="E117" s="140"/>
      <c r="G117" s="142"/>
      <c r="I117" s="140"/>
    </row>
    <row r="118" spans="1:12">
      <c r="C118" s="145"/>
      <c r="E118" s="140"/>
      <c r="G118" s="142"/>
      <c r="I118" s="140"/>
    </row>
    <row r="119" spans="1:12">
      <c r="C119" s="145"/>
      <c r="E119" s="140"/>
      <c r="G119" s="142"/>
      <c r="I119" s="140"/>
    </row>
    <row r="120" spans="1:12">
      <c r="C120" s="145"/>
      <c r="E120" s="140"/>
      <c r="G120" s="142"/>
      <c r="I120" s="140"/>
    </row>
    <row r="121" spans="1:12">
      <c r="C121" s="145"/>
      <c r="E121" s="140"/>
      <c r="G121" s="142"/>
      <c r="I121" s="140"/>
    </row>
    <row r="122" spans="1:12">
      <c r="C122" s="145"/>
      <c r="E122" s="140"/>
      <c r="G122" s="142"/>
      <c r="I122" s="140"/>
    </row>
    <row r="123" spans="1:12">
      <c r="C123" s="145"/>
      <c r="D123" s="133"/>
      <c r="E123" s="140"/>
      <c r="G123" s="142"/>
      <c r="I123" s="140"/>
    </row>
    <row r="124" spans="1:12" ht="13.5" thickBot="1">
      <c r="A124" s="158" t="s">
        <v>19</v>
      </c>
      <c r="B124" s="159">
        <f>SUM(B107:B114)</f>
        <v>1724</v>
      </c>
      <c r="C124" s="163">
        <f>SUM(C107:C114)</f>
        <v>71509.78</v>
      </c>
      <c r="E124" s="132"/>
      <c r="F124" s="156">
        <f>SUM(F107:F123)</f>
        <v>368</v>
      </c>
      <c r="G124" s="156">
        <f>SUM(G107:G123)</f>
        <v>578624</v>
      </c>
      <c r="H124" s="156">
        <f>SUM(H107:H123)</f>
        <v>165193.10999999999</v>
      </c>
      <c r="I124" s="132"/>
      <c r="J124" s="133"/>
      <c r="K124" s="133"/>
      <c r="L124" s="133"/>
    </row>
    <row r="125" spans="1:12">
      <c r="C125" s="145"/>
      <c r="E125" s="140"/>
      <c r="G125" s="142"/>
      <c r="I125" s="140"/>
    </row>
    <row r="126" spans="1:12">
      <c r="A126" s="133" t="s">
        <v>20</v>
      </c>
      <c r="C126" s="145"/>
      <c r="E126" s="140"/>
      <c r="G126" s="142"/>
      <c r="I126" s="140"/>
    </row>
    <row r="127" spans="1:12">
      <c r="A127" s="134" t="s">
        <v>4</v>
      </c>
      <c r="B127" s="134" t="s">
        <v>5</v>
      </c>
      <c r="C127" s="143" t="s">
        <v>6</v>
      </c>
      <c r="E127" s="140"/>
      <c r="F127" s="141" t="s">
        <v>7</v>
      </c>
      <c r="G127" s="142" t="s">
        <v>8</v>
      </c>
      <c r="H127" s="143" t="s">
        <v>6</v>
      </c>
      <c r="I127" s="140"/>
    </row>
    <row r="128" spans="1:12">
      <c r="A128" s="144">
        <v>39998</v>
      </c>
      <c r="B128" s="134">
        <v>487</v>
      </c>
      <c r="C128" s="143">
        <v>29695.56</v>
      </c>
      <c r="E128" s="140"/>
      <c r="F128" s="141">
        <v>74</v>
      </c>
      <c r="G128" s="141">
        <v>113033</v>
      </c>
      <c r="H128" s="143">
        <v>37601.889999999992</v>
      </c>
      <c r="I128" s="140"/>
      <c r="J128" s="144"/>
      <c r="L128" s="168"/>
    </row>
    <row r="129" spans="1:19">
      <c r="A129" s="144">
        <v>40005</v>
      </c>
      <c r="B129" s="134">
        <v>441</v>
      </c>
      <c r="C129" s="143">
        <v>17889.95</v>
      </c>
      <c r="E129" s="140"/>
      <c r="F129" s="141">
        <v>86</v>
      </c>
      <c r="G129" s="142">
        <v>116949</v>
      </c>
      <c r="H129" s="143">
        <v>27681.810000000009</v>
      </c>
      <c r="I129" s="140"/>
      <c r="L129" s="168"/>
    </row>
    <row r="130" spans="1:19">
      <c r="A130" s="144">
        <v>39648</v>
      </c>
      <c r="C130" s="143"/>
      <c r="E130" s="140"/>
      <c r="F130" s="141">
        <v>103</v>
      </c>
      <c r="G130" s="142">
        <v>296421</v>
      </c>
      <c r="H130" s="143">
        <v>53646.37</v>
      </c>
      <c r="I130" s="140"/>
      <c r="L130" s="168"/>
    </row>
    <row r="131" spans="1:19">
      <c r="A131" s="144">
        <v>39655</v>
      </c>
      <c r="B131" s="134">
        <v>465</v>
      </c>
      <c r="C131" s="143">
        <v>19568.28</v>
      </c>
      <c r="E131" s="140"/>
      <c r="F131" s="141">
        <v>24</v>
      </c>
      <c r="G131" s="142">
        <v>16614</v>
      </c>
      <c r="H131" s="143">
        <v>10269.59</v>
      </c>
      <c r="I131" s="140"/>
      <c r="L131" s="168"/>
    </row>
    <row r="132" spans="1:19">
      <c r="A132" s="144"/>
      <c r="C132" s="143"/>
      <c r="E132" s="140"/>
      <c r="F132" s="141">
        <v>2</v>
      </c>
      <c r="G132" s="142">
        <v>874</v>
      </c>
      <c r="H132" s="143">
        <v>124</v>
      </c>
      <c r="I132" s="140"/>
      <c r="L132" s="168"/>
    </row>
    <row r="133" spans="1:19">
      <c r="A133" s="144"/>
      <c r="C133" s="143"/>
      <c r="E133" s="140"/>
      <c r="F133" s="141">
        <v>1</v>
      </c>
      <c r="G133" s="142">
        <v>699</v>
      </c>
      <c r="H133" s="143">
        <v>97.21</v>
      </c>
      <c r="I133" s="140"/>
      <c r="L133" s="168"/>
      <c r="S133" s="134" t="s">
        <v>21</v>
      </c>
    </row>
    <row r="134" spans="1:19">
      <c r="A134" s="144"/>
      <c r="C134" s="143"/>
      <c r="E134" s="140"/>
      <c r="F134" s="141">
        <v>1</v>
      </c>
      <c r="G134" s="142">
        <v>1546</v>
      </c>
      <c r="H134" s="143">
        <v>153.07</v>
      </c>
      <c r="I134" s="140"/>
      <c r="J134" s="144"/>
      <c r="L134" s="168"/>
    </row>
    <row r="135" spans="1:19">
      <c r="A135" s="144"/>
      <c r="C135" s="143"/>
      <c r="E135" s="140"/>
      <c r="F135" s="141">
        <v>3</v>
      </c>
      <c r="G135" s="142">
        <v>6</v>
      </c>
      <c r="H135" s="143">
        <v>647.42000000000007</v>
      </c>
      <c r="I135" s="140"/>
      <c r="L135" s="168"/>
    </row>
    <row r="136" spans="1:19">
      <c r="A136" s="144"/>
      <c r="C136" s="143"/>
      <c r="E136" s="140"/>
      <c r="G136" s="142"/>
      <c r="I136" s="140"/>
      <c r="L136" s="168"/>
    </row>
    <row r="137" spans="1:19">
      <c r="A137" s="144"/>
      <c r="C137" s="143"/>
      <c r="E137" s="140"/>
      <c r="G137" s="142"/>
      <c r="I137" s="140"/>
      <c r="L137" s="168"/>
    </row>
    <row r="138" spans="1:19">
      <c r="A138" s="144"/>
      <c r="C138" s="143"/>
      <c r="E138" s="140"/>
      <c r="G138" s="142"/>
      <c r="I138" s="140"/>
      <c r="L138" s="168"/>
    </row>
    <row r="139" spans="1:19">
      <c r="A139" s="144"/>
      <c r="C139" s="143"/>
      <c r="E139" s="140"/>
      <c r="G139" s="169"/>
      <c r="I139" s="140"/>
      <c r="L139" s="168"/>
    </row>
    <row r="140" spans="1:19">
      <c r="A140" s="144"/>
      <c r="C140" s="143"/>
      <c r="E140" s="140"/>
      <c r="G140" s="169"/>
      <c r="I140" s="140"/>
      <c r="L140" s="168"/>
    </row>
    <row r="141" spans="1:19">
      <c r="A141" s="144"/>
      <c r="C141" s="143"/>
      <c r="E141" s="140"/>
      <c r="G141" s="169"/>
      <c r="I141" s="140"/>
      <c r="L141" s="168"/>
    </row>
    <row r="142" spans="1:19">
      <c r="A142" s="144"/>
      <c r="C142" s="143"/>
      <c r="E142" s="140"/>
      <c r="G142" s="169"/>
      <c r="I142" s="140"/>
      <c r="L142" s="168"/>
    </row>
    <row r="143" spans="1:19">
      <c r="A143" s="144"/>
      <c r="C143" s="143"/>
      <c r="E143" s="140"/>
      <c r="G143" s="169"/>
      <c r="I143" s="140"/>
      <c r="L143" s="168"/>
    </row>
    <row r="144" spans="1:19">
      <c r="A144" s="144"/>
      <c r="C144" s="143"/>
      <c r="E144" s="140"/>
      <c r="G144" s="169"/>
      <c r="I144" s="140"/>
      <c r="L144" s="168"/>
    </row>
    <row r="145" spans="1:12">
      <c r="A145" s="144"/>
      <c r="C145" s="143"/>
      <c r="D145" s="133"/>
      <c r="E145" s="140"/>
      <c r="G145" s="169"/>
      <c r="I145" s="140"/>
      <c r="L145" s="168"/>
    </row>
    <row r="146" spans="1:12" ht="13.5" thickBot="1">
      <c r="A146" s="158" t="s">
        <v>22</v>
      </c>
      <c r="B146" s="159">
        <f>SUM(B128:B136)</f>
        <v>1393</v>
      </c>
      <c r="C146" s="163">
        <f>SUM(C128:C136)</f>
        <v>67153.790000000008</v>
      </c>
      <c r="E146" s="132"/>
      <c r="F146" s="156">
        <f>SUM(F128:F145)</f>
        <v>294</v>
      </c>
      <c r="G146" s="156">
        <f>SUM(G128:G145)</f>
        <v>546142</v>
      </c>
      <c r="H146" s="156">
        <f>SUM(H128:H145)</f>
        <v>130221.36000000002</v>
      </c>
      <c r="I146" s="132"/>
      <c r="J146" s="170"/>
      <c r="K146" s="170"/>
      <c r="L146" s="171"/>
    </row>
    <row r="147" spans="1:12">
      <c r="C147" s="145"/>
      <c r="E147" s="140"/>
      <c r="G147" s="142"/>
      <c r="I147" s="140"/>
    </row>
    <row r="148" spans="1:12">
      <c r="A148" s="133" t="s">
        <v>23</v>
      </c>
      <c r="C148" s="145"/>
      <c r="E148" s="140"/>
      <c r="G148" s="142"/>
      <c r="I148" s="140"/>
    </row>
    <row r="149" spans="1:12">
      <c r="A149" s="134" t="s">
        <v>4</v>
      </c>
      <c r="B149" s="134" t="s">
        <v>5</v>
      </c>
      <c r="C149" s="143" t="s">
        <v>6</v>
      </c>
      <c r="E149" s="140"/>
      <c r="F149" s="141" t="s">
        <v>7</v>
      </c>
      <c r="G149" s="142" t="s">
        <v>8</v>
      </c>
      <c r="H149" s="143" t="s">
        <v>6</v>
      </c>
      <c r="I149" s="140"/>
    </row>
    <row r="150" spans="1:12">
      <c r="A150" s="144">
        <v>40026</v>
      </c>
      <c r="B150" s="172">
        <v>409</v>
      </c>
      <c r="C150" s="143">
        <v>16733.14</v>
      </c>
      <c r="E150" s="140"/>
      <c r="F150" s="141">
        <v>39</v>
      </c>
      <c r="G150" s="142">
        <v>53272</v>
      </c>
      <c r="H150" s="143">
        <v>5387.54</v>
      </c>
      <c r="I150" s="140"/>
    </row>
    <row r="151" spans="1:12">
      <c r="A151" s="144">
        <v>40033</v>
      </c>
      <c r="B151" s="172">
        <v>418</v>
      </c>
      <c r="C151" s="143">
        <v>16210.74</v>
      </c>
      <c r="E151" s="140"/>
      <c r="F151" s="141">
        <v>77</v>
      </c>
      <c r="G151" s="142">
        <v>90369</v>
      </c>
      <c r="H151" s="143">
        <v>26459.570000000014</v>
      </c>
      <c r="I151" s="140"/>
    </row>
    <row r="152" spans="1:12">
      <c r="A152" s="144">
        <v>40040</v>
      </c>
      <c r="B152" s="172">
        <v>383</v>
      </c>
      <c r="C152" s="143">
        <v>14805.98</v>
      </c>
      <c r="E152" s="140"/>
      <c r="F152" s="141">
        <v>9</v>
      </c>
      <c r="G152" s="142">
        <v>38454</v>
      </c>
      <c r="H152" s="143">
        <v>3591</v>
      </c>
      <c r="I152" s="140"/>
    </row>
    <row r="153" spans="1:12">
      <c r="A153" s="144">
        <v>40047</v>
      </c>
      <c r="B153" s="173">
        <v>403</v>
      </c>
      <c r="C153" s="143">
        <v>16333.25</v>
      </c>
      <c r="E153" s="140"/>
      <c r="F153" s="141">
        <v>91</v>
      </c>
      <c r="G153" s="142">
        <v>135468</v>
      </c>
      <c r="H153" s="143">
        <v>44835.78</v>
      </c>
      <c r="I153" s="140"/>
    </row>
    <row r="154" spans="1:12">
      <c r="A154" s="144">
        <v>40054</v>
      </c>
      <c r="B154" s="173">
        <v>421</v>
      </c>
      <c r="C154" s="143">
        <v>16929.03</v>
      </c>
      <c r="E154" s="140"/>
      <c r="F154" s="141">
        <v>31</v>
      </c>
      <c r="G154" s="142">
        <v>23448</v>
      </c>
      <c r="H154" s="143">
        <v>15003.870000000003</v>
      </c>
      <c r="I154" s="140"/>
    </row>
    <row r="155" spans="1:12">
      <c r="A155" s="144"/>
      <c r="C155" s="143"/>
      <c r="E155" s="140"/>
      <c r="F155" s="141">
        <v>27</v>
      </c>
      <c r="G155" s="142">
        <v>32553</v>
      </c>
      <c r="H155" s="143">
        <v>21623.750000000004</v>
      </c>
      <c r="I155" s="140"/>
    </row>
    <row r="156" spans="1:12">
      <c r="A156" s="144"/>
      <c r="C156" s="143"/>
      <c r="E156" s="140"/>
      <c r="F156" s="141">
        <v>2</v>
      </c>
      <c r="G156" s="142">
        <v>1665</v>
      </c>
      <c r="H156" s="143">
        <v>1604.6000000000001</v>
      </c>
      <c r="I156" s="140"/>
    </row>
    <row r="157" spans="1:12">
      <c r="A157" s="144"/>
      <c r="C157" s="143"/>
      <c r="E157" s="140"/>
      <c r="F157" s="141">
        <v>18</v>
      </c>
      <c r="G157" s="142">
        <v>21361</v>
      </c>
      <c r="H157" s="143">
        <v>2315.2099999999996</v>
      </c>
      <c r="I157" s="140"/>
    </row>
    <row r="158" spans="1:12">
      <c r="A158" s="144"/>
      <c r="C158" s="143"/>
      <c r="E158" s="140"/>
      <c r="F158" s="141">
        <v>57</v>
      </c>
      <c r="G158" s="142">
        <v>52145</v>
      </c>
      <c r="H158" s="143">
        <v>8855.18</v>
      </c>
      <c r="I158" s="140"/>
    </row>
    <row r="159" spans="1:12">
      <c r="A159" s="144"/>
      <c r="C159" s="143"/>
      <c r="E159" s="140"/>
      <c r="F159" s="141">
        <v>5</v>
      </c>
      <c r="G159" s="142">
        <v>2987</v>
      </c>
      <c r="H159" s="143">
        <v>511.90999999999997</v>
      </c>
      <c r="I159" s="140"/>
    </row>
    <row r="160" spans="1:12">
      <c r="A160" s="144"/>
      <c r="C160" s="143"/>
      <c r="E160" s="140"/>
      <c r="G160" s="142"/>
      <c r="I160" s="140"/>
    </row>
    <row r="161" spans="1:12">
      <c r="A161" s="144"/>
      <c r="C161" s="143"/>
      <c r="E161" s="140"/>
      <c r="G161" s="142"/>
      <c r="I161" s="140"/>
    </row>
    <row r="162" spans="1:12">
      <c r="A162" s="144"/>
      <c r="C162" s="143"/>
      <c r="E162" s="140"/>
      <c r="G162" s="142"/>
      <c r="I162" s="140"/>
    </row>
    <row r="163" spans="1:12">
      <c r="A163" s="144"/>
      <c r="C163" s="143"/>
      <c r="E163" s="140"/>
      <c r="G163" s="142"/>
      <c r="I163" s="140"/>
    </row>
    <row r="164" spans="1:12">
      <c r="A164" s="144"/>
      <c r="C164" s="143"/>
      <c r="E164" s="140"/>
      <c r="G164" s="142"/>
      <c r="I164" s="140"/>
    </row>
    <row r="165" spans="1:12">
      <c r="A165" s="144"/>
      <c r="C165" s="143"/>
      <c r="E165" s="140"/>
      <c r="G165" s="142"/>
      <c r="I165" s="140"/>
    </row>
    <row r="166" spans="1:12" ht="15.75" thickBot="1">
      <c r="A166" s="144"/>
      <c r="C166" s="143"/>
      <c r="D166" s="133"/>
      <c r="E166" s="140"/>
      <c r="G166" s="142"/>
      <c r="I166" s="140"/>
    </row>
    <row r="167" spans="1:12" ht="13.5" thickBot="1">
      <c r="A167" s="158" t="s">
        <v>24</v>
      </c>
      <c r="B167" s="159">
        <f>SUM(B150:B158)</f>
        <v>2034</v>
      </c>
      <c r="C167" s="163">
        <f>SUM(C150:C158)</f>
        <v>81012.14</v>
      </c>
      <c r="E167" s="132"/>
      <c r="F167" s="156">
        <f>SUM(F150:F166)</f>
        <v>356</v>
      </c>
      <c r="G167" s="156">
        <f>SUM(G150:G166)</f>
        <v>451722</v>
      </c>
      <c r="H167" s="156">
        <f>SUM(H150:H166)</f>
        <v>130188.41000000003</v>
      </c>
      <c r="I167" s="132"/>
      <c r="J167" s="174"/>
      <c r="K167" s="175"/>
      <c r="L167" s="176"/>
    </row>
    <row r="168" spans="1:12">
      <c r="C168" s="145"/>
      <c r="E168" s="140"/>
      <c r="G168" s="142"/>
      <c r="I168" s="140"/>
    </row>
    <row r="169" spans="1:12">
      <c r="A169" s="133" t="s">
        <v>25</v>
      </c>
      <c r="C169" s="145"/>
      <c r="E169" s="140"/>
      <c r="G169" s="142"/>
      <c r="I169" s="140"/>
    </row>
    <row r="170" spans="1:12">
      <c r="A170" s="134" t="s">
        <v>4</v>
      </c>
      <c r="B170" s="134" t="s">
        <v>5</v>
      </c>
      <c r="C170" s="143" t="s">
        <v>6</v>
      </c>
      <c r="E170" s="140"/>
      <c r="F170" s="141" t="s">
        <v>7</v>
      </c>
      <c r="G170" s="142" t="s">
        <v>8</v>
      </c>
      <c r="H170" s="143" t="s">
        <v>6</v>
      </c>
      <c r="I170" s="140"/>
    </row>
    <row r="171" spans="1:12">
      <c r="A171" s="144">
        <v>40061</v>
      </c>
      <c r="B171" s="172">
        <v>386</v>
      </c>
      <c r="C171" s="143">
        <v>20973.599999999999</v>
      </c>
      <c r="E171" s="140"/>
      <c r="F171" s="141">
        <v>10</v>
      </c>
      <c r="G171" s="142">
        <v>12110</v>
      </c>
      <c r="H171" s="143">
        <v>1204.33</v>
      </c>
      <c r="I171" s="140"/>
    </row>
    <row r="172" spans="1:12">
      <c r="A172" s="144">
        <v>40068</v>
      </c>
      <c r="B172" s="173">
        <v>340</v>
      </c>
      <c r="C172" s="143">
        <v>14233.57</v>
      </c>
      <c r="E172" s="140"/>
      <c r="F172" s="141">
        <v>3</v>
      </c>
      <c r="G172" s="142">
        <v>37215</v>
      </c>
      <c r="H172" s="143">
        <v>3683.5</v>
      </c>
      <c r="I172" s="140"/>
    </row>
    <row r="173" spans="1:12">
      <c r="A173" s="144">
        <v>40075</v>
      </c>
      <c r="B173" s="172">
        <v>456</v>
      </c>
      <c r="C173" s="143">
        <v>17481.169999999998</v>
      </c>
      <c r="E173" s="140"/>
      <c r="F173" s="141">
        <v>176</v>
      </c>
      <c r="G173" s="142">
        <v>291473</v>
      </c>
      <c r="H173" s="143">
        <v>82322.810000000027</v>
      </c>
      <c r="I173" s="140"/>
    </row>
    <row r="174" spans="1:12">
      <c r="A174" s="144">
        <v>40082</v>
      </c>
      <c r="B174" s="173">
        <v>420</v>
      </c>
      <c r="C174" s="143">
        <v>16179.27</v>
      </c>
      <c r="E174" s="140"/>
      <c r="F174" s="141">
        <v>80</v>
      </c>
      <c r="G174" s="142">
        <v>116589</v>
      </c>
      <c r="H174" s="143">
        <v>30428.010000000006</v>
      </c>
      <c r="I174" s="140"/>
    </row>
    <row r="175" spans="1:12">
      <c r="A175" s="144"/>
      <c r="C175" s="143"/>
      <c r="E175" s="140"/>
      <c r="F175" s="141">
        <v>65</v>
      </c>
      <c r="G175" s="142">
        <v>78413</v>
      </c>
      <c r="H175" s="143">
        <v>68221.780000000013</v>
      </c>
      <c r="I175" s="140"/>
    </row>
    <row r="176" spans="1:12">
      <c r="A176" s="144"/>
      <c r="C176" s="143"/>
      <c r="E176" s="140"/>
      <c r="F176" s="141">
        <v>47</v>
      </c>
      <c r="G176" s="142">
        <v>54334</v>
      </c>
      <c r="H176" s="143">
        <v>47069.750000000022</v>
      </c>
      <c r="I176" s="140"/>
    </row>
    <row r="177" spans="1:12">
      <c r="A177" s="144"/>
      <c r="C177" s="143"/>
      <c r="E177" s="140"/>
      <c r="F177" s="141">
        <f>'[6]Endo 111409'!$E$2</f>
        <v>1</v>
      </c>
      <c r="G177" s="142">
        <f>'[6]Endo 111409'!$H$2</f>
        <v>524</v>
      </c>
      <c r="H177" s="143">
        <f>'[6]Endo 111409'!$D$2</f>
        <v>561.1</v>
      </c>
      <c r="I177" s="140"/>
    </row>
    <row r="178" spans="1:12">
      <c r="A178" s="144"/>
      <c r="C178" s="143"/>
      <c r="E178" s="140"/>
      <c r="F178" s="141">
        <v>1</v>
      </c>
      <c r="G178" s="142">
        <v>5743</v>
      </c>
      <c r="H178" s="143">
        <v>389.47999999999996</v>
      </c>
      <c r="I178" s="140"/>
    </row>
    <row r="179" spans="1:12">
      <c r="A179" s="144"/>
      <c r="E179" s="140"/>
      <c r="F179" s="141">
        <v>1</v>
      </c>
      <c r="G179" s="142">
        <v>575</v>
      </c>
      <c r="H179" s="143">
        <v>62</v>
      </c>
      <c r="I179" s="140"/>
    </row>
    <row r="180" spans="1:12">
      <c r="A180" s="144"/>
      <c r="C180" s="143"/>
      <c r="E180" s="140"/>
      <c r="G180" s="142"/>
      <c r="I180" s="140"/>
    </row>
    <row r="181" spans="1:12">
      <c r="A181" s="144"/>
      <c r="C181" s="143"/>
      <c r="D181" s="133"/>
      <c r="E181" s="140"/>
      <c r="G181" s="142"/>
      <c r="I181" s="140"/>
    </row>
    <row r="182" spans="1:12" ht="13.5" thickBot="1">
      <c r="A182" s="158" t="s">
        <v>26</v>
      </c>
      <c r="B182" s="159">
        <f>SUM(B171:B180)</f>
        <v>1602</v>
      </c>
      <c r="C182" s="163">
        <f>SUM(C171:C178)</f>
        <v>68867.61</v>
      </c>
      <c r="E182" s="132"/>
      <c r="F182" s="156">
        <f>SUM(F171:F181)</f>
        <v>384</v>
      </c>
      <c r="G182" s="156">
        <f>SUM(G171:G181)</f>
        <v>596976</v>
      </c>
      <c r="H182" s="156">
        <f>SUM(H171:H181)</f>
        <v>233942.7600000001</v>
      </c>
      <c r="I182" s="132"/>
      <c r="J182" s="133"/>
      <c r="K182" s="133"/>
      <c r="L182" s="133"/>
    </row>
    <row r="183" spans="1:12">
      <c r="C183" s="145"/>
      <c r="E183" s="140"/>
      <c r="G183" s="142"/>
      <c r="I183" s="140"/>
    </row>
    <row r="184" spans="1:12">
      <c r="A184" s="133" t="s">
        <v>27</v>
      </c>
      <c r="C184" s="145"/>
      <c r="E184" s="140"/>
      <c r="G184" s="142"/>
      <c r="I184" s="140"/>
    </row>
    <row r="185" spans="1:12">
      <c r="A185" s="134" t="s">
        <v>4</v>
      </c>
      <c r="B185" s="134" t="s">
        <v>5</v>
      </c>
      <c r="C185" s="143" t="s">
        <v>6</v>
      </c>
      <c r="E185" s="140"/>
      <c r="F185" s="141" t="s">
        <v>7</v>
      </c>
      <c r="G185" s="142" t="s">
        <v>8</v>
      </c>
      <c r="H185" s="143" t="s">
        <v>6</v>
      </c>
      <c r="I185" s="140"/>
    </row>
    <row r="186" spans="1:12">
      <c r="A186" s="144">
        <v>40089</v>
      </c>
      <c r="B186" s="173">
        <v>453</v>
      </c>
      <c r="C186" s="143">
        <v>22919.439999999999</v>
      </c>
      <c r="E186" s="140"/>
      <c r="F186" s="141">
        <v>55</v>
      </c>
      <c r="G186" s="142">
        <v>65202</v>
      </c>
      <c r="H186" s="143">
        <v>7373.0300000000007</v>
      </c>
      <c r="I186" s="140"/>
    </row>
    <row r="187" spans="1:12">
      <c r="A187" s="144">
        <v>40096</v>
      </c>
      <c r="B187" s="173">
        <v>469</v>
      </c>
      <c r="C187" s="143">
        <v>18117.689999999999</v>
      </c>
      <c r="E187" s="140"/>
      <c r="F187" s="141">
        <v>15</v>
      </c>
      <c r="G187" s="142">
        <v>21604</v>
      </c>
      <c r="H187" s="143">
        <v>2128.44</v>
      </c>
      <c r="I187" s="140"/>
    </row>
    <row r="188" spans="1:12">
      <c r="A188" s="144">
        <v>39738</v>
      </c>
      <c r="B188" s="173">
        <v>494</v>
      </c>
      <c r="C188" s="143">
        <v>21811.14</v>
      </c>
      <c r="E188" s="140"/>
      <c r="F188" s="141">
        <v>87</v>
      </c>
      <c r="G188" s="142">
        <v>139119</v>
      </c>
      <c r="H188" s="143">
        <v>26508.009999999991</v>
      </c>
      <c r="I188" s="140"/>
      <c r="K188" s="134">
        <v>1</v>
      </c>
      <c r="L188" s="134">
        <v>23.16</v>
      </c>
    </row>
    <row r="189" spans="1:12">
      <c r="A189" s="144">
        <v>40110</v>
      </c>
      <c r="B189" s="173">
        <v>541</v>
      </c>
      <c r="C189" s="143">
        <v>22483</v>
      </c>
      <c r="E189" s="140"/>
      <c r="F189" s="141">
        <v>92</v>
      </c>
      <c r="G189" s="142">
        <v>103561</v>
      </c>
      <c r="H189" s="143">
        <v>47419.588999999985</v>
      </c>
      <c r="I189" s="140"/>
      <c r="K189" s="134">
        <v>1</v>
      </c>
      <c r="L189" s="134">
        <v>23.6</v>
      </c>
    </row>
    <row r="190" spans="1:12">
      <c r="A190" s="144">
        <v>40117</v>
      </c>
      <c r="C190" s="143"/>
      <c r="E190" s="140"/>
      <c r="F190" s="141">
        <v>28</v>
      </c>
      <c r="G190" s="142">
        <v>15460</v>
      </c>
      <c r="H190" s="143">
        <v>8351.18</v>
      </c>
      <c r="I190" s="140"/>
    </row>
    <row r="191" spans="1:12">
      <c r="A191" s="144"/>
      <c r="C191" s="143"/>
      <c r="E191" s="140"/>
      <c r="F191" s="141">
        <v>1</v>
      </c>
      <c r="G191" s="142">
        <v>703</v>
      </c>
      <c r="H191" s="143">
        <v>776.81999999999994</v>
      </c>
      <c r="I191" s="140"/>
    </row>
    <row r="192" spans="1:12">
      <c r="A192" s="144"/>
      <c r="C192" s="143"/>
      <c r="E192" s="140"/>
      <c r="F192" s="141">
        <v>10</v>
      </c>
      <c r="G192" s="142">
        <v>4065</v>
      </c>
      <c r="H192" s="143">
        <v>1569.99</v>
      </c>
      <c r="I192" s="140"/>
    </row>
    <row r="193" spans="1:12">
      <c r="A193" s="144"/>
      <c r="C193" s="143"/>
      <c r="E193" s="140"/>
      <c r="F193" s="141">
        <v>3</v>
      </c>
      <c r="G193" s="142">
        <v>8353</v>
      </c>
      <c r="H193" s="143">
        <v>837.9</v>
      </c>
      <c r="I193" s="140"/>
    </row>
    <row r="194" spans="1:12">
      <c r="A194" s="144"/>
      <c r="C194" s="143"/>
      <c r="E194" s="140"/>
      <c r="G194" s="142"/>
      <c r="I194" s="140"/>
    </row>
    <row r="195" spans="1:12">
      <c r="A195" s="144"/>
      <c r="C195" s="143"/>
      <c r="D195" s="133"/>
      <c r="E195" s="140"/>
      <c r="G195" s="142"/>
      <c r="I195" s="140"/>
    </row>
    <row r="196" spans="1:12" ht="13.5" thickBot="1">
      <c r="A196" s="158" t="s">
        <v>28</v>
      </c>
      <c r="B196" s="159">
        <f>SUM(B186:B195)</f>
        <v>1957</v>
      </c>
      <c r="C196" s="163">
        <f>SUM(C186:C195)</f>
        <v>85331.26999999999</v>
      </c>
      <c r="E196" s="132"/>
      <c r="F196" s="156">
        <f>SUM(F186:F195)</f>
        <v>291</v>
      </c>
      <c r="G196" s="156">
        <f>SUM(G186:G195)</f>
        <v>358067</v>
      </c>
      <c r="H196" s="163">
        <f>SUM(H186:H195)</f>
        <v>94964.958999999988</v>
      </c>
      <c r="I196" s="132"/>
      <c r="J196" s="133"/>
      <c r="K196" s="133">
        <f>SUM(K188:K195)</f>
        <v>2</v>
      </c>
      <c r="L196" s="133">
        <f>SUM(L188:L195)</f>
        <v>46.760000000000005</v>
      </c>
    </row>
    <row r="197" spans="1:12">
      <c r="C197" s="145"/>
      <c r="E197" s="140"/>
      <c r="G197" s="142"/>
      <c r="I197" s="140"/>
    </row>
    <row r="198" spans="1:12">
      <c r="A198" s="133" t="s">
        <v>29</v>
      </c>
      <c r="C198" s="145"/>
      <c r="E198" s="140"/>
      <c r="G198" s="142"/>
      <c r="I198" s="140"/>
    </row>
    <row r="199" spans="1:12">
      <c r="A199" s="134" t="s">
        <v>4</v>
      </c>
      <c r="B199" s="134" t="s">
        <v>5</v>
      </c>
      <c r="C199" s="143" t="s">
        <v>6</v>
      </c>
      <c r="E199" s="140"/>
      <c r="F199" s="141" t="s">
        <v>7</v>
      </c>
      <c r="G199" s="142" t="s">
        <v>8</v>
      </c>
      <c r="H199" s="143" t="s">
        <v>6</v>
      </c>
      <c r="I199" s="140"/>
    </row>
    <row r="200" spans="1:12">
      <c r="A200" s="144">
        <v>40124</v>
      </c>
      <c r="B200" s="134">
        <v>600</v>
      </c>
      <c r="C200" s="143">
        <v>24111.53</v>
      </c>
      <c r="E200" s="140"/>
      <c r="F200" s="141">
        <v>24</v>
      </c>
      <c r="G200" s="142">
        <v>48926</v>
      </c>
      <c r="H200" s="143">
        <v>7326.7099999999991</v>
      </c>
      <c r="I200" s="140"/>
    </row>
    <row r="201" spans="1:12">
      <c r="A201" s="144">
        <v>40131</v>
      </c>
      <c r="B201" s="134">
        <v>700</v>
      </c>
      <c r="C201" s="143">
        <v>28383.25</v>
      </c>
      <c r="E201" s="140"/>
      <c r="F201" s="141">
        <v>74</v>
      </c>
      <c r="G201" s="142">
        <v>83572</v>
      </c>
      <c r="H201" s="143">
        <v>35668.280000000013</v>
      </c>
      <c r="I201" s="140"/>
    </row>
    <row r="202" spans="1:12">
      <c r="A202" s="144">
        <v>40138</v>
      </c>
      <c r="B202" s="134">
        <v>600</v>
      </c>
      <c r="C202" s="143">
        <v>25806</v>
      </c>
      <c r="E202" s="140"/>
      <c r="F202" s="141">
        <v>79</v>
      </c>
      <c r="G202" s="142">
        <v>145502</v>
      </c>
      <c r="H202" s="143">
        <v>25472</v>
      </c>
      <c r="I202" s="140"/>
      <c r="K202" s="134">
        <v>1</v>
      </c>
      <c r="L202" s="134">
        <v>24.78</v>
      </c>
    </row>
    <row r="203" spans="1:12">
      <c r="A203" s="144">
        <v>40145</v>
      </c>
      <c r="C203" s="143">
        <v>18055.43</v>
      </c>
      <c r="E203" s="140"/>
      <c r="F203" s="141">
        <v>30</v>
      </c>
      <c r="G203" s="142">
        <v>35311</v>
      </c>
      <c r="H203" s="143">
        <v>28395.679999999997</v>
      </c>
      <c r="I203" s="140"/>
    </row>
    <row r="204" spans="1:12">
      <c r="A204" s="144"/>
      <c r="C204" s="143"/>
      <c r="E204" s="140"/>
      <c r="F204" s="141">
        <v>127</v>
      </c>
      <c r="G204" s="142">
        <v>138692</v>
      </c>
      <c r="H204" s="143">
        <v>92779.040000000037</v>
      </c>
      <c r="I204" s="140"/>
    </row>
    <row r="205" spans="1:12">
      <c r="A205" s="144"/>
      <c r="C205" s="143"/>
      <c r="E205" s="140"/>
      <c r="F205" s="141">
        <v>9</v>
      </c>
      <c r="G205" s="142">
        <v>45235</v>
      </c>
      <c r="H205" s="143">
        <v>6621.47</v>
      </c>
      <c r="I205" s="140"/>
    </row>
    <row r="206" spans="1:12">
      <c r="A206" s="144"/>
      <c r="C206" s="143"/>
      <c r="E206" s="140"/>
      <c r="G206" s="142"/>
      <c r="I206" s="140"/>
    </row>
    <row r="207" spans="1:12">
      <c r="A207" s="144"/>
      <c r="B207" s="164"/>
      <c r="C207" s="143"/>
      <c r="D207" s="133"/>
      <c r="E207" s="140"/>
      <c r="G207" s="142"/>
      <c r="I207" s="140"/>
    </row>
    <row r="208" spans="1:12" ht="13.5" thickBot="1">
      <c r="A208" s="158" t="s">
        <v>30</v>
      </c>
      <c r="B208" s="159">
        <f>SUM(B200:B207)</f>
        <v>1900</v>
      </c>
      <c r="C208" s="163">
        <f>SUM(C200:C207)</f>
        <v>96356.209999999992</v>
      </c>
      <c r="E208" s="132"/>
      <c r="F208" s="156">
        <f>SUM(F200:F207)</f>
        <v>343</v>
      </c>
      <c r="G208" s="156">
        <f>SUM(G200:G207)</f>
        <v>497238</v>
      </c>
      <c r="H208" s="163">
        <f>SUM(H200:H207)</f>
        <v>196263.18000000005</v>
      </c>
      <c r="I208" s="132"/>
      <c r="J208" s="133"/>
      <c r="K208" s="133"/>
      <c r="L208" s="133"/>
    </row>
    <row r="209" spans="1:12">
      <c r="C209" s="145"/>
      <c r="E209" s="140"/>
      <c r="G209" s="142"/>
      <c r="I209" s="140"/>
    </row>
    <row r="210" spans="1:12">
      <c r="A210" s="133" t="s">
        <v>31</v>
      </c>
      <c r="C210" s="145"/>
      <c r="E210" s="140"/>
      <c r="G210" s="142"/>
      <c r="I210" s="140"/>
    </row>
    <row r="211" spans="1:12">
      <c r="A211" s="134" t="s">
        <v>4</v>
      </c>
      <c r="B211" s="134" t="s">
        <v>5</v>
      </c>
      <c r="C211" s="143" t="s">
        <v>6</v>
      </c>
      <c r="E211" s="140"/>
      <c r="F211" s="141" t="s">
        <v>7</v>
      </c>
      <c r="G211" s="142" t="s">
        <v>8</v>
      </c>
      <c r="H211" s="143" t="s">
        <v>6</v>
      </c>
      <c r="I211" s="140"/>
    </row>
    <row r="212" spans="1:12">
      <c r="A212" s="144">
        <v>40152</v>
      </c>
      <c r="B212" s="134">
        <v>750</v>
      </c>
      <c r="C212" s="143">
        <v>32592</v>
      </c>
      <c r="E212" s="140"/>
      <c r="F212" s="141">
        <v>26</v>
      </c>
      <c r="G212" s="142">
        <v>32716</v>
      </c>
      <c r="H212" s="143">
        <v>4821.2</v>
      </c>
      <c r="I212" s="140"/>
    </row>
    <row r="213" spans="1:12">
      <c r="A213" s="144">
        <v>40159</v>
      </c>
      <c r="B213" s="134">
        <v>600</v>
      </c>
      <c r="C213" s="143">
        <v>23688.720000000001</v>
      </c>
      <c r="E213" s="140"/>
      <c r="F213" s="141">
        <v>45</v>
      </c>
      <c r="G213" s="142">
        <v>57026</v>
      </c>
      <c r="H213" s="143">
        <v>15292.23</v>
      </c>
      <c r="I213" s="140"/>
    </row>
    <row r="214" spans="1:12">
      <c r="A214" s="144">
        <v>40166</v>
      </c>
      <c r="B214" s="134">
        <v>850</v>
      </c>
      <c r="C214" s="143">
        <v>34433.050000000003</v>
      </c>
      <c r="E214" s="140"/>
      <c r="F214" s="141">
        <v>64</v>
      </c>
      <c r="G214" s="142">
        <v>72695</v>
      </c>
      <c r="H214" s="143">
        <v>20346.419999999991</v>
      </c>
      <c r="I214" s="140"/>
    </row>
    <row r="215" spans="1:12">
      <c r="A215" s="144">
        <v>40173</v>
      </c>
      <c r="B215" s="134">
        <v>650</v>
      </c>
      <c r="C215" s="143">
        <v>25789.02</v>
      </c>
      <c r="E215" s="140"/>
      <c r="F215" s="141">
        <v>39</v>
      </c>
      <c r="G215" s="142">
        <v>68953</v>
      </c>
      <c r="H215" s="177">
        <v>37490.83</v>
      </c>
      <c r="I215" s="140"/>
    </row>
    <row r="216" spans="1:12">
      <c r="A216" s="144"/>
      <c r="C216" s="143"/>
      <c r="E216" s="140"/>
      <c r="F216" s="141">
        <v>113</v>
      </c>
      <c r="G216" s="142">
        <v>155817</v>
      </c>
      <c r="H216" s="143">
        <v>97947.199999999968</v>
      </c>
      <c r="I216" s="140"/>
    </row>
    <row r="217" spans="1:12">
      <c r="A217" s="144"/>
      <c r="C217" s="143"/>
      <c r="E217" s="140"/>
      <c r="F217" s="141">
        <v>71</v>
      </c>
      <c r="G217" s="142">
        <v>81472</v>
      </c>
      <c r="H217" s="143">
        <v>75316.830000000016</v>
      </c>
      <c r="I217" s="140"/>
    </row>
    <row r="218" spans="1:12">
      <c r="A218" s="144"/>
      <c r="C218" s="143"/>
      <c r="E218" s="140"/>
      <c r="G218" s="142"/>
      <c r="I218" s="140"/>
    </row>
    <row r="219" spans="1:12">
      <c r="A219" s="144"/>
      <c r="C219" s="143"/>
      <c r="E219" s="140"/>
      <c r="G219" s="142"/>
      <c r="I219" s="140"/>
    </row>
    <row r="220" spans="1:12">
      <c r="A220" s="144"/>
      <c r="C220" s="143"/>
      <c r="E220" s="140"/>
      <c r="G220" s="142"/>
      <c r="I220" s="140"/>
    </row>
    <row r="221" spans="1:12">
      <c r="A221" s="144"/>
      <c r="C221" s="143"/>
      <c r="E221" s="140"/>
      <c r="G221" s="142"/>
      <c r="I221" s="140"/>
    </row>
    <row r="222" spans="1:12">
      <c r="A222" s="144"/>
      <c r="C222" s="143"/>
      <c r="D222" s="133"/>
      <c r="E222" s="140"/>
      <c r="G222" s="142"/>
      <c r="I222" s="140"/>
    </row>
    <row r="223" spans="1:12" ht="13.5" thickBot="1">
      <c r="A223" s="158" t="s">
        <v>32</v>
      </c>
      <c r="B223" s="159">
        <f>SUM(B212:B222)</f>
        <v>2850</v>
      </c>
      <c r="C223" s="163">
        <f>SUM(C212:C222)</f>
        <v>116502.79000000001</v>
      </c>
      <c r="E223" s="132"/>
      <c r="F223" s="156">
        <f>SUM(F212:F222)</f>
        <v>358</v>
      </c>
      <c r="G223" s="156">
        <f>SUM(G212:G222)</f>
        <v>468679</v>
      </c>
      <c r="H223" s="156">
        <f>SUM(H212:H222)</f>
        <v>251214.70999999996</v>
      </c>
      <c r="I223" s="132"/>
      <c r="J223" s="133"/>
      <c r="K223" s="133"/>
      <c r="L223" s="133"/>
    </row>
  </sheetData>
  <mergeCells count="3">
    <mergeCell ref="A1:D1"/>
    <mergeCell ref="F1:H1"/>
    <mergeCell ref="J1:K1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23"/>
  <sheetViews>
    <sheetView workbookViewId="0">
      <selection activeCell="F103" sqref="F103"/>
    </sheetView>
  </sheetViews>
  <sheetFormatPr defaultRowHeight="15"/>
  <cols>
    <col min="1" max="1" width="12.7109375" bestFit="1" customWidth="1"/>
    <col min="3" max="3" width="14" bestFit="1" customWidth="1"/>
    <col min="5" max="5" width="3.28515625" customWidth="1"/>
    <col min="6" max="6" width="9.140625" style="9"/>
    <col min="7" max="7" width="11.28515625" style="9" bestFit="1" customWidth="1"/>
    <col min="8" max="8" width="12.28515625" style="11" bestFit="1" customWidth="1"/>
    <col min="9" max="9" width="3" customWidth="1"/>
    <col min="10" max="10" width="11" bestFit="1" customWidth="1"/>
    <col min="12" max="12" width="9.7109375" bestFit="1" customWidth="1"/>
  </cols>
  <sheetData>
    <row r="1" spans="1:12">
      <c r="A1" s="183" t="s">
        <v>0</v>
      </c>
      <c r="B1" s="183"/>
      <c r="C1" s="183"/>
      <c r="D1" s="183"/>
      <c r="E1" s="1"/>
      <c r="F1" s="183" t="s">
        <v>1</v>
      </c>
      <c r="G1" s="183"/>
      <c r="H1" s="183"/>
      <c r="I1" s="1"/>
      <c r="J1" s="183" t="s">
        <v>2</v>
      </c>
      <c r="K1" s="183"/>
      <c r="L1" s="2"/>
    </row>
    <row r="2" spans="1:12">
      <c r="A2" s="2"/>
      <c r="B2" s="2"/>
      <c r="C2" s="3"/>
      <c r="D2" s="2"/>
      <c r="E2" s="1"/>
      <c r="F2" s="4"/>
      <c r="G2" s="5"/>
      <c r="H2" s="6"/>
      <c r="I2" s="1"/>
      <c r="J2" s="2"/>
      <c r="K2" s="2"/>
      <c r="L2" s="2"/>
    </row>
    <row r="3" spans="1:12">
      <c r="A3" s="2" t="s">
        <v>3</v>
      </c>
      <c r="B3" s="2"/>
      <c r="C3" s="3"/>
      <c r="D3" s="2"/>
      <c r="E3" s="1"/>
      <c r="F3" s="4"/>
      <c r="G3" s="5"/>
      <c r="H3" s="6"/>
      <c r="I3" s="1"/>
      <c r="J3" s="2"/>
      <c r="K3" s="2"/>
      <c r="L3" s="2"/>
    </row>
    <row r="4" spans="1:12">
      <c r="A4" t="s">
        <v>4</v>
      </c>
      <c r="B4" t="s">
        <v>5</v>
      </c>
      <c r="C4" s="7" t="s">
        <v>6</v>
      </c>
      <c r="E4" s="8"/>
      <c r="F4" s="9" t="s">
        <v>7</v>
      </c>
      <c r="G4" s="10" t="s">
        <v>8</v>
      </c>
      <c r="H4" s="11" t="s">
        <v>6</v>
      </c>
      <c r="I4" s="8"/>
    </row>
    <row r="5" spans="1:12">
      <c r="A5" s="12">
        <v>40180</v>
      </c>
      <c r="C5" s="13">
        <v>29226.23</v>
      </c>
      <c r="E5" s="8"/>
      <c r="F5" s="9">
        <v>33</v>
      </c>
      <c r="G5" s="10">
        <v>56303</v>
      </c>
      <c r="H5" s="11">
        <v>5285.66</v>
      </c>
      <c r="I5" s="8"/>
    </row>
    <row r="6" spans="1:12">
      <c r="A6" s="12">
        <v>40187</v>
      </c>
      <c r="C6" s="13">
        <v>31531.75</v>
      </c>
      <c r="E6" s="8"/>
      <c r="F6" s="9">
        <v>53</v>
      </c>
      <c r="G6" s="10">
        <v>65558</v>
      </c>
      <c r="H6" s="11">
        <v>14757.38</v>
      </c>
      <c r="I6" s="8"/>
      <c r="J6">
        <v>1</v>
      </c>
      <c r="K6">
        <v>25.01</v>
      </c>
    </row>
    <row r="7" spans="1:12">
      <c r="A7" s="12">
        <v>40194</v>
      </c>
      <c r="C7" s="11">
        <v>25234</v>
      </c>
      <c r="E7" s="8"/>
      <c r="F7" s="14">
        <v>41</v>
      </c>
      <c r="G7" s="15">
        <v>42384</v>
      </c>
      <c r="H7" s="16">
        <v>36237.18</v>
      </c>
      <c r="I7" s="8"/>
    </row>
    <row r="8" spans="1:12">
      <c r="A8" s="12">
        <v>40201</v>
      </c>
      <c r="C8" s="11">
        <v>25234</v>
      </c>
      <c r="E8" s="8"/>
      <c r="F8" s="14">
        <v>51</v>
      </c>
      <c r="G8" s="10">
        <v>39386</v>
      </c>
      <c r="H8" s="11">
        <v>26577.940000000002</v>
      </c>
      <c r="I8" s="8"/>
    </row>
    <row r="9" spans="1:12">
      <c r="A9" s="12">
        <v>40208</v>
      </c>
      <c r="C9" s="13">
        <v>25746.720000000001</v>
      </c>
      <c r="E9" s="8"/>
      <c r="F9" s="14">
        <v>129</v>
      </c>
      <c r="G9" s="10">
        <v>157209</v>
      </c>
      <c r="H9" s="11">
        <v>50564.66</v>
      </c>
      <c r="I9" s="8"/>
    </row>
    <row r="10" spans="1:12">
      <c r="A10" s="12"/>
      <c r="C10" s="13"/>
      <c r="E10" s="8"/>
      <c r="F10" s="14">
        <v>8</v>
      </c>
      <c r="G10" s="10">
        <v>4626</v>
      </c>
      <c r="H10" s="11">
        <v>5416.62</v>
      </c>
      <c r="I10" s="8"/>
    </row>
    <row r="11" spans="1:12">
      <c r="A11" s="12"/>
      <c r="C11" s="13"/>
      <c r="E11" s="8"/>
      <c r="F11" s="9">
        <v>9</v>
      </c>
      <c r="G11" s="10">
        <v>3485</v>
      </c>
      <c r="H11" s="11">
        <v>1552.96</v>
      </c>
      <c r="I11" s="8"/>
    </row>
    <row r="12" spans="1:12">
      <c r="A12" s="17"/>
      <c r="B12" s="18"/>
      <c r="C12" s="19"/>
      <c r="E12" s="8"/>
      <c r="F12" s="14">
        <v>1</v>
      </c>
      <c r="G12" s="10">
        <v>2</v>
      </c>
      <c r="H12" s="11">
        <v>52.41</v>
      </c>
      <c r="I12" s="8"/>
    </row>
    <row r="13" spans="1:12">
      <c r="A13" s="17"/>
      <c r="B13" s="18"/>
      <c r="C13" s="19"/>
      <c r="E13" s="8"/>
      <c r="F13" s="14">
        <v>3</v>
      </c>
      <c r="G13" s="10">
        <v>2029</v>
      </c>
      <c r="H13" s="11">
        <v>401.3</v>
      </c>
      <c r="I13" s="8"/>
    </row>
    <row r="14" spans="1:12">
      <c r="A14" s="17"/>
      <c r="B14" s="18"/>
      <c r="C14" s="19"/>
      <c r="E14" s="8"/>
      <c r="F14" s="14"/>
      <c r="G14" s="10"/>
      <c r="I14" s="8"/>
    </row>
    <row r="15" spans="1:12">
      <c r="A15" s="17"/>
      <c r="B15" s="18"/>
      <c r="C15" s="19"/>
      <c r="E15" s="8"/>
      <c r="F15" s="14"/>
      <c r="G15" s="10"/>
      <c r="I15" s="8"/>
    </row>
    <row r="16" spans="1:12">
      <c r="A16" s="17"/>
      <c r="B16" s="18"/>
      <c r="C16" s="19"/>
      <c r="E16" s="8"/>
      <c r="F16" s="14"/>
      <c r="G16" s="10"/>
      <c r="I16" s="8"/>
    </row>
    <row r="17" spans="1:12">
      <c r="A17" s="17"/>
      <c r="B17" s="18"/>
      <c r="C17" s="19"/>
      <c r="E17" s="8"/>
      <c r="F17" s="14"/>
      <c r="G17" s="10"/>
      <c r="I17" s="8"/>
    </row>
    <row r="18" spans="1:12" ht="15.75" thickBot="1">
      <c r="A18" s="2" t="s">
        <v>9</v>
      </c>
      <c r="B18" s="20">
        <f>SUM(B5:B13)</f>
        <v>0</v>
      </c>
      <c r="C18" s="21">
        <f>SUM(C5:C13)</f>
        <v>136972.70000000001</v>
      </c>
      <c r="D18" s="22"/>
      <c r="E18" s="23"/>
      <c r="F18" s="24">
        <f>SUM(F5:F17)</f>
        <v>328</v>
      </c>
      <c r="G18" s="24">
        <f>SUM(G5:G17)</f>
        <v>370982</v>
      </c>
      <c r="H18" s="24">
        <f>SUM(H5:H17)</f>
        <v>140846.10999999999</v>
      </c>
      <c r="I18" s="1"/>
      <c r="J18" s="2">
        <f>SUM(J6:J17)</f>
        <v>1</v>
      </c>
      <c r="K18" s="2">
        <f>SUM(K6:K17)</f>
        <v>25.01</v>
      </c>
      <c r="L18" s="2"/>
    </row>
    <row r="19" spans="1:12">
      <c r="A19" s="2"/>
      <c r="B19" s="2"/>
      <c r="C19" s="25"/>
      <c r="D19" s="2"/>
      <c r="E19" s="1"/>
      <c r="F19" s="4"/>
      <c r="G19" s="5"/>
      <c r="H19" s="6"/>
      <c r="I19" s="1"/>
      <c r="J19" s="2"/>
      <c r="K19" s="2"/>
      <c r="L19" s="2"/>
    </row>
    <row r="20" spans="1:12">
      <c r="A20" s="2" t="s">
        <v>10</v>
      </c>
      <c r="C20" s="11"/>
      <c r="E20" s="8"/>
      <c r="G20" s="10"/>
      <c r="I20" s="8"/>
    </row>
    <row r="21" spans="1:12">
      <c r="A21" t="s">
        <v>4</v>
      </c>
      <c r="B21" t="s">
        <v>5</v>
      </c>
      <c r="C21" s="11" t="s">
        <v>6</v>
      </c>
      <c r="E21" s="8"/>
      <c r="F21" s="9" t="s">
        <v>7</v>
      </c>
      <c r="G21" s="10" t="s">
        <v>8</v>
      </c>
      <c r="H21" s="11" t="s">
        <v>6</v>
      </c>
      <c r="I21" s="8"/>
    </row>
    <row r="22" spans="1:12">
      <c r="A22" s="17">
        <v>40215</v>
      </c>
      <c r="B22" s="18"/>
      <c r="C22" s="16">
        <v>25154.720000000001</v>
      </c>
      <c r="E22" s="8"/>
      <c r="F22" s="14">
        <v>29</v>
      </c>
      <c r="G22" s="15">
        <v>39896</v>
      </c>
      <c r="H22" s="16">
        <v>4033.6799999999994</v>
      </c>
      <c r="I22" s="8"/>
      <c r="J22">
        <v>1</v>
      </c>
      <c r="K22">
        <v>25.04</v>
      </c>
    </row>
    <row r="23" spans="1:12">
      <c r="A23" s="12">
        <v>40222</v>
      </c>
      <c r="B23" s="18"/>
      <c r="C23" s="16">
        <v>24991</v>
      </c>
      <c r="E23" s="8"/>
      <c r="F23" s="9">
        <v>52</v>
      </c>
      <c r="G23" s="10">
        <v>65207</v>
      </c>
      <c r="H23" s="11">
        <v>20720.38</v>
      </c>
      <c r="I23" s="8"/>
    </row>
    <row r="24" spans="1:12">
      <c r="A24" s="12">
        <v>40229</v>
      </c>
      <c r="C24" s="11">
        <v>22977.74</v>
      </c>
      <c r="E24" s="8"/>
      <c r="F24" s="9">
        <v>105</v>
      </c>
      <c r="G24" s="9">
        <v>106497</v>
      </c>
      <c r="H24" s="11">
        <v>63493.229999999974</v>
      </c>
      <c r="I24" s="8"/>
      <c r="J24">
        <v>1</v>
      </c>
      <c r="K24">
        <v>26.17</v>
      </c>
    </row>
    <row r="25" spans="1:12">
      <c r="A25" s="178">
        <v>40236</v>
      </c>
      <c r="B25" s="179"/>
      <c r="C25" s="180"/>
      <c r="E25" s="8"/>
      <c r="F25" s="9">
        <v>101</v>
      </c>
      <c r="G25" s="10">
        <v>103115</v>
      </c>
      <c r="H25" s="11">
        <v>43553.409999999996</v>
      </c>
      <c r="I25" s="8"/>
    </row>
    <row r="26" spans="1:12">
      <c r="A26" s="12"/>
      <c r="C26" s="11"/>
      <c r="E26" s="8"/>
      <c r="F26" s="9">
        <v>15</v>
      </c>
      <c r="G26" s="10">
        <v>5676</v>
      </c>
      <c r="H26" s="11">
        <v>4326.5200000000004</v>
      </c>
      <c r="I26" s="8"/>
    </row>
    <row r="27" spans="1:12">
      <c r="A27" s="12"/>
      <c r="C27" s="11"/>
      <c r="E27" s="8"/>
      <c r="F27" s="9">
        <v>1</v>
      </c>
      <c r="G27" s="10">
        <v>618</v>
      </c>
      <c r="H27" s="11">
        <v>74.03</v>
      </c>
      <c r="I27" s="8"/>
    </row>
    <row r="28" spans="1:12">
      <c r="A28" s="12"/>
      <c r="C28" s="11"/>
      <c r="E28" s="8"/>
      <c r="F28" s="9">
        <v>1</v>
      </c>
      <c r="G28" s="10">
        <v>2</v>
      </c>
      <c r="H28" s="11">
        <v>559.16</v>
      </c>
      <c r="I28" s="8"/>
    </row>
    <row r="29" spans="1:12">
      <c r="A29" s="12"/>
      <c r="C29" s="11"/>
      <c r="E29" s="8"/>
      <c r="F29" s="9">
        <v>1</v>
      </c>
      <c r="G29" s="10">
        <v>2</v>
      </c>
      <c r="H29" s="11">
        <v>11.01</v>
      </c>
      <c r="I29" s="8"/>
    </row>
    <row r="30" spans="1:12">
      <c r="A30" s="12"/>
      <c r="C30" s="11"/>
      <c r="E30" s="8"/>
      <c r="F30" s="9">
        <v>1</v>
      </c>
      <c r="G30" s="10">
        <v>2</v>
      </c>
      <c r="H30" s="11">
        <v>12.24</v>
      </c>
      <c r="I30" s="8"/>
    </row>
    <row r="31" spans="1:12">
      <c r="A31" s="12"/>
      <c r="C31" s="11"/>
      <c r="E31" s="8"/>
      <c r="F31" s="9">
        <v>2</v>
      </c>
      <c r="G31" s="10">
        <v>2378</v>
      </c>
      <c r="H31" s="11">
        <v>297.15000000000003</v>
      </c>
      <c r="I31" s="8"/>
    </row>
    <row r="32" spans="1:12">
      <c r="A32" s="12"/>
      <c r="C32" s="11"/>
      <c r="E32" s="8"/>
      <c r="G32" s="10"/>
      <c r="I32" s="8"/>
    </row>
    <row r="33" spans="1:12">
      <c r="A33" s="12"/>
      <c r="C33" s="11"/>
      <c r="E33" s="8"/>
      <c r="G33" s="10"/>
      <c r="I33" s="8"/>
    </row>
    <row r="34" spans="1:12">
      <c r="A34" s="12"/>
      <c r="C34" s="11"/>
      <c r="E34" s="8"/>
      <c r="G34" s="10"/>
      <c r="I34" s="8"/>
    </row>
    <row r="35" spans="1:12">
      <c r="A35" s="12"/>
      <c r="C35" s="11"/>
      <c r="E35" s="8"/>
      <c r="G35" s="10"/>
      <c r="I35" s="8"/>
    </row>
    <row r="36" spans="1:12" ht="15.75" thickBot="1">
      <c r="A36" s="26" t="s">
        <v>11</v>
      </c>
      <c r="B36" s="27">
        <f>SUM(B22:B29)</f>
        <v>0</v>
      </c>
      <c r="C36" s="21">
        <f>SUM(C22:C29)</f>
        <v>73123.460000000006</v>
      </c>
      <c r="D36" s="22"/>
      <c r="E36" s="1"/>
      <c r="F36" s="24">
        <f>SUM(F22:F35)</f>
        <v>308</v>
      </c>
      <c r="G36" s="24">
        <f>SUM(G22:G35)</f>
        <v>323393</v>
      </c>
      <c r="H36" s="24">
        <f>SUM(H22:H35)</f>
        <v>137080.80999999997</v>
      </c>
      <c r="I36" s="1"/>
      <c r="J36" s="2">
        <f>SUM(J22:J35)</f>
        <v>2</v>
      </c>
      <c r="K36" s="2">
        <f>SUM(K22:K35)</f>
        <v>51.21</v>
      </c>
      <c r="L36" s="2"/>
    </row>
    <row r="37" spans="1:12">
      <c r="C37" s="13"/>
      <c r="E37" s="8"/>
      <c r="G37" s="10"/>
      <c r="I37" s="8"/>
    </row>
    <row r="38" spans="1:12">
      <c r="A38" s="2" t="s">
        <v>12</v>
      </c>
      <c r="C38" s="13"/>
      <c r="E38" s="8"/>
      <c r="G38" s="10"/>
      <c r="I38" s="8"/>
    </row>
    <row r="39" spans="1:12">
      <c r="A39" t="s">
        <v>4</v>
      </c>
      <c r="B39" t="s">
        <v>5</v>
      </c>
      <c r="C39" s="11" t="s">
        <v>6</v>
      </c>
      <c r="E39" s="8"/>
      <c r="F39" s="9" t="s">
        <v>7</v>
      </c>
      <c r="G39" s="10" t="s">
        <v>8</v>
      </c>
      <c r="H39" s="11" t="s">
        <v>6</v>
      </c>
      <c r="I39" s="8"/>
    </row>
    <row r="40" spans="1:12">
      <c r="A40" s="12">
        <v>40243</v>
      </c>
      <c r="C40" s="11">
        <v>29225.98</v>
      </c>
      <c r="E40" s="8"/>
      <c r="F40" s="9">
        <v>60</v>
      </c>
      <c r="G40" s="10">
        <v>84121</v>
      </c>
      <c r="H40" s="11">
        <v>28688.33</v>
      </c>
      <c r="I40" s="8"/>
    </row>
    <row r="41" spans="1:12">
      <c r="A41" s="12">
        <v>40250</v>
      </c>
      <c r="C41" s="11">
        <v>25504.799999999999</v>
      </c>
      <c r="E41" s="8"/>
      <c r="F41" s="9">
        <v>79</v>
      </c>
      <c r="G41" s="10">
        <v>79190</v>
      </c>
      <c r="H41" s="11">
        <v>34309.19</v>
      </c>
      <c r="I41" s="8"/>
      <c r="J41">
        <v>1</v>
      </c>
      <c r="K41">
        <v>26.17</v>
      </c>
    </row>
    <row r="42" spans="1:12">
      <c r="A42" s="12">
        <v>40257</v>
      </c>
      <c r="C42" s="11">
        <v>27131.52</v>
      </c>
      <c r="E42" s="8"/>
      <c r="F42" s="9">
        <v>85</v>
      </c>
      <c r="G42" s="28">
        <v>80742</v>
      </c>
      <c r="H42" s="29">
        <v>34566.729999999996</v>
      </c>
      <c r="I42" s="8"/>
    </row>
    <row r="43" spans="1:12">
      <c r="A43" s="12">
        <v>40264</v>
      </c>
      <c r="C43" s="11">
        <v>38796.01</v>
      </c>
      <c r="E43" s="8"/>
      <c r="F43" s="9">
        <v>39</v>
      </c>
      <c r="G43" s="10">
        <v>57115</v>
      </c>
      <c r="H43" s="11">
        <v>14740.16</v>
      </c>
      <c r="I43" s="8"/>
    </row>
    <row r="44" spans="1:12">
      <c r="A44" s="12"/>
      <c r="C44" s="11"/>
      <c r="E44" s="8"/>
      <c r="F44" s="9">
        <v>73</v>
      </c>
      <c r="G44" s="9">
        <v>76182</v>
      </c>
      <c r="H44" s="11">
        <v>69746.73000000001</v>
      </c>
      <c r="I44" s="8"/>
    </row>
    <row r="45" spans="1:12">
      <c r="A45" s="12"/>
      <c r="C45" s="11"/>
      <c r="E45" s="8"/>
      <c r="F45" s="9">
        <v>35</v>
      </c>
      <c r="G45" s="10">
        <v>24865</v>
      </c>
      <c r="H45" s="11">
        <v>20527.150000000001</v>
      </c>
      <c r="I45" s="8"/>
    </row>
    <row r="46" spans="1:12">
      <c r="A46" s="12"/>
      <c r="C46" s="11"/>
      <c r="E46" s="8"/>
      <c r="F46" s="30"/>
      <c r="G46" s="28"/>
      <c r="I46" s="8"/>
    </row>
    <row r="47" spans="1:12">
      <c r="A47" s="12"/>
      <c r="C47" s="11"/>
      <c r="E47" s="8"/>
      <c r="G47" s="10"/>
      <c r="I47" s="8"/>
    </row>
    <row r="48" spans="1:12">
      <c r="A48" s="12"/>
      <c r="C48" s="11"/>
      <c r="E48" s="8"/>
      <c r="G48" s="10"/>
      <c r="I48" s="8"/>
    </row>
    <row r="49" spans="1:12">
      <c r="A49" s="12"/>
      <c r="C49" s="11"/>
      <c r="E49" s="8"/>
      <c r="G49" s="10"/>
      <c r="I49" s="8"/>
    </row>
    <row r="50" spans="1:12">
      <c r="A50" s="12"/>
      <c r="C50" s="11"/>
      <c r="E50" s="8"/>
      <c r="G50" s="10"/>
      <c r="I50" s="8"/>
    </row>
    <row r="51" spans="1:12">
      <c r="A51" s="12"/>
      <c r="C51" s="11"/>
      <c r="E51" s="8"/>
      <c r="G51" s="10"/>
      <c r="I51" s="8"/>
    </row>
    <row r="52" spans="1:12">
      <c r="A52" s="12"/>
      <c r="C52" s="11"/>
      <c r="E52" s="8"/>
      <c r="G52" s="10"/>
      <c r="I52" s="8"/>
    </row>
    <row r="53" spans="1:12">
      <c r="A53" s="12"/>
      <c r="C53" s="11"/>
      <c r="E53" s="8"/>
      <c r="G53" s="10"/>
      <c r="I53" s="8"/>
    </row>
    <row r="54" spans="1:12">
      <c r="A54" s="12"/>
      <c r="C54" s="11"/>
      <c r="E54" s="8"/>
      <c r="G54" s="10"/>
      <c r="I54" s="8"/>
    </row>
    <row r="55" spans="1:12">
      <c r="A55" s="12"/>
      <c r="C55" s="11"/>
      <c r="E55" s="8"/>
      <c r="G55" s="10"/>
      <c r="I55" s="8"/>
    </row>
    <row r="56" spans="1:12">
      <c r="A56" s="12"/>
      <c r="C56" s="11"/>
      <c r="E56" s="8"/>
      <c r="G56" s="10"/>
      <c r="I56" s="8"/>
    </row>
    <row r="57" spans="1:12">
      <c r="A57" s="12"/>
      <c r="C57" s="11"/>
      <c r="E57" s="8"/>
      <c r="G57" s="10"/>
      <c r="I57" s="8"/>
    </row>
    <row r="58" spans="1:12">
      <c r="A58" s="12"/>
      <c r="C58" s="11"/>
      <c r="E58" s="8"/>
      <c r="G58" s="10"/>
      <c r="I58" s="8"/>
    </row>
    <row r="59" spans="1:12">
      <c r="A59" s="12"/>
      <c r="C59" s="11"/>
      <c r="E59" s="8"/>
      <c r="G59" s="10"/>
      <c r="I59" s="8"/>
    </row>
    <row r="60" spans="1:12">
      <c r="A60" s="12"/>
      <c r="C60" s="11"/>
      <c r="E60" s="8"/>
      <c r="G60" s="10"/>
      <c r="I60" s="8"/>
    </row>
    <row r="61" spans="1:12">
      <c r="A61" s="12"/>
      <c r="C61" s="11"/>
      <c r="E61" s="8"/>
      <c r="G61" s="10"/>
      <c r="I61" s="8"/>
    </row>
    <row r="62" spans="1:12" ht="15.75" thickBot="1">
      <c r="A62" s="26" t="s">
        <v>13</v>
      </c>
      <c r="B62" s="27">
        <f>SUM(B40:B49)</f>
        <v>0</v>
      </c>
      <c r="C62" s="31">
        <f>SUM(C40:C49)</f>
        <v>120658.31</v>
      </c>
      <c r="D62" s="2"/>
      <c r="E62" s="1"/>
      <c r="F62" s="24">
        <f>SUM(F40:F61)</f>
        <v>371</v>
      </c>
      <c r="G62" s="24">
        <f>SUM(G40:G61)</f>
        <v>402215</v>
      </c>
      <c r="H62" s="24">
        <f>SUM(H40:H61)</f>
        <v>202578.29</v>
      </c>
      <c r="I62" s="1"/>
      <c r="J62" s="2">
        <v>1</v>
      </c>
      <c r="K62" s="2">
        <f>SUM(K39:K61)</f>
        <v>26.17</v>
      </c>
      <c r="L62" s="2"/>
    </row>
    <row r="63" spans="1:12">
      <c r="C63" s="13"/>
      <c r="E63" s="8"/>
      <c r="G63" s="10"/>
      <c r="I63" s="8"/>
    </row>
    <row r="64" spans="1:12">
      <c r="A64" s="2" t="s">
        <v>14</v>
      </c>
      <c r="C64" s="13"/>
      <c r="E64" s="8"/>
      <c r="G64" s="10"/>
      <c r="I64" s="8"/>
    </row>
    <row r="65" spans="1:9">
      <c r="A65" t="s">
        <v>4</v>
      </c>
      <c r="B65" t="s">
        <v>5</v>
      </c>
      <c r="C65" s="11" t="s">
        <v>6</v>
      </c>
      <c r="E65" s="8"/>
      <c r="F65" s="9" t="s">
        <v>7</v>
      </c>
      <c r="G65" s="10" t="s">
        <v>8</v>
      </c>
      <c r="H65" s="11" t="s">
        <v>6</v>
      </c>
      <c r="I65" s="8"/>
    </row>
    <row r="66" spans="1:9">
      <c r="A66" s="12">
        <v>40271</v>
      </c>
      <c r="C66" s="11">
        <v>27056.09</v>
      </c>
      <c r="E66" s="8"/>
      <c r="F66" s="9">
        <v>3</v>
      </c>
      <c r="G66" s="10">
        <v>7652</v>
      </c>
      <c r="H66" s="11">
        <v>741.79</v>
      </c>
      <c r="I66" s="8"/>
    </row>
    <row r="67" spans="1:9">
      <c r="A67" s="12">
        <v>40278</v>
      </c>
      <c r="B67" s="32"/>
      <c r="C67" s="11">
        <v>27847.62</v>
      </c>
      <c r="E67" s="8"/>
      <c r="F67" s="9">
        <v>82</v>
      </c>
      <c r="G67" s="10">
        <v>86964</v>
      </c>
      <c r="H67" s="11">
        <v>38467.160000000003</v>
      </c>
      <c r="I67" s="8"/>
    </row>
    <row r="68" spans="1:9">
      <c r="A68" s="12">
        <v>40285</v>
      </c>
      <c r="C68" s="11">
        <v>24855.74</v>
      </c>
      <c r="E68" s="8"/>
      <c r="F68" s="9">
        <v>63</v>
      </c>
      <c r="G68" s="9">
        <v>45061</v>
      </c>
      <c r="H68" s="11">
        <v>35884.87000000001</v>
      </c>
      <c r="I68" s="8"/>
    </row>
    <row r="69" spans="1:9">
      <c r="A69" s="12">
        <v>40292</v>
      </c>
      <c r="C69" s="11">
        <v>22136.58</v>
      </c>
      <c r="E69" s="8"/>
      <c r="F69" s="9">
        <v>75</v>
      </c>
      <c r="G69" s="10">
        <v>80011</v>
      </c>
      <c r="H69" s="11">
        <v>30868.319999999992</v>
      </c>
      <c r="I69" s="8"/>
    </row>
    <row r="70" spans="1:9">
      <c r="A70" s="12"/>
      <c r="C70" s="11"/>
      <c r="E70" s="8"/>
      <c r="F70" s="9">
        <v>85</v>
      </c>
      <c r="G70" s="10">
        <v>120892</v>
      </c>
      <c r="H70" s="11">
        <v>33232.30000000001</v>
      </c>
      <c r="I70" s="8"/>
    </row>
    <row r="71" spans="1:9">
      <c r="A71" s="12"/>
      <c r="C71" s="11"/>
      <c r="E71" s="8"/>
      <c r="F71" s="9">
        <v>1</v>
      </c>
      <c r="G71" s="10">
        <v>355</v>
      </c>
      <c r="H71" s="11">
        <v>70</v>
      </c>
      <c r="I71" s="8"/>
    </row>
    <row r="72" spans="1:9">
      <c r="A72" s="12"/>
      <c r="C72" s="11"/>
      <c r="E72" s="8"/>
      <c r="G72" s="10"/>
      <c r="I72" s="8"/>
    </row>
    <row r="73" spans="1:9">
      <c r="A73" s="12"/>
      <c r="C73" s="11"/>
      <c r="E73" s="8"/>
      <c r="G73" s="10"/>
      <c r="I73" s="8"/>
    </row>
    <row r="74" spans="1:9">
      <c r="A74" s="12"/>
      <c r="C74" s="11"/>
      <c r="E74" s="8"/>
      <c r="G74" s="10"/>
      <c r="I74" s="8"/>
    </row>
    <row r="75" spans="1:9">
      <c r="A75" s="12"/>
      <c r="C75" s="11"/>
      <c r="E75" s="8"/>
      <c r="G75" s="10"/>
      <c r="I75" s="8"/>
    </row>
    <row r="76" spans="1:9">
      <c r="A76" s="12"/>
      <c r="C76" s="11"/>
      <c r="E76" s="8"/>
      <c r="G76" s="10"/>
      <c r="I76" s="8"/>
    </row>
    <row r="77" spans="1:9">
      <c r="A77" s="12"/>
      <c r="C77" s="11"/>
      <c r="E77" s="8"/>
      <c r="G77" s="10"/>
      <c r="I77" s="8"/>
    </row>
    <row r="78" spans="1:9">
      <c r="A78" s="12"/>
      <c r="C78" s="11"/>
      <c r="E78" s="8"/>
      <c r="G78" s="10"/>
      <c r="I78" s="8"/>
    </row>
    <row r="79" spans="1:9">
      <c r="A79" s="12"/>
      <c r="C79" s="11"/>
      <c r="E79" s="8"/>
      <c r="G79" s="10"/>
      <c r="I79" s="8"/>
    </row>
    <row r="80" spans="1:9">
      <c r="A80" s="12"/>
      <c r="C80" s="11"/>
      <c r="E80" s="8"/>
      <c r="G80" s="10"/>
      <c r="I80" s="8"/>
    </row>
    <row r="81" spans="1:12">
      <c r="A81" s="12"/>
      <c r="C81" s="11"/>
      <c r="E81" s="8"/>
      <c r="G81" s="10"/>
      <c r="I81" s="8"/>
    </row>
    <row r="82" spans="1:12">
      <c r="A82" s="12"/>
      <c r="C82" s="11"/>
      <c r="E82" s="8"/>
      <c r="G82" s="10"/>
      <c r="I82" s="8"/>
    </row>
    <row r="83" spans="1:12">
      <c r="A83" s="12"/>
      <c r="C83" s="11"/>
      <c r="E83" s="8"/>
      <c r="G83" s="10"/>
      <c r="I83" s="8"/>
    </row>
    <row r="84" spans="1:12">
      <c r="A84" s="12"/>
      <c r="C84" s="11"/>
      <c r="E84" s="8"/>
      <c r="I84" s="8"/>
    </row>
    <row r="85" spans="1:12" ht="15.75" thickBot="1">
      <c r="A85" s="26" t="s">
        <v>15</v>
      </c>
      <c r="B85" s="27">
        <f>SUM(B66:B74)</f>
        <v>0</v>
      </c>
      <c r="C85" s="31">
        <f>SUM(C66:C74)</f>
        <v>101896.03</v>
      </c>
      <c r="D85" s="2"/>
      <c r="E85" s="1"/>
      <c r="F85" s="24">
        <f>SUM(F44:F84)</f>
        <v>788</v>
      </c>
      <c r="G85" s="24">
        <f>SUM(G66:G83)</f>
        <v>340935</v>
      </c>
      <c r="H85" s="24">
        <f>SUM(H66:H84)</f>
        <v>139264.44</v>
      </c>
      <c r="I85" s="1"/>
      <c r="J85" s="2"/>
      <c r="K85" s="2">
        <f>SUM(J85)</f>
        <v>0</v>
      </c>
      <c r="L85" s="2"/>
    </row>
    <row r="86" spans="1:12">
      <c r="C86" s="13"/>
      <c r="E86" s="8"/>
      <c r="G86" s="10"/>
      <c r="I86" s="8"/>
    </row>
    <row r="87" spans="1:12">
      <c r="A87" s="2" t="s">
        <v>16</v>
      </c>
      <c r="C87" s="13"/>
      <c r="E87" s="8"/>
      <c r="G87" s="10"/>
      <c r="I87" s="8"/>
    </row>
    <row r="88" spans="1:12">
      <c r="A88" t="s">
        <v>4</v>
      </c>
      <c r="B88" t="s">
        <v>5</v>
      </c>
      <c r="C88" s="11" t="s">
        <v>6</v>
      </c>
      <c r="E88" s="8"/>
      <c r="F88" s="9" t="s">
        <v>7</v>
      </c>
      <c r="G88" s="10" t="s">
        <v>8</v>
      </c>
      <c r="H88" s="11" t="s">
        <v>6</v>
      </c>
      <c r="I88" s="8"/>
    </row>
    <row r="89" spans="1:12">
      <c r="A89" s="12">
        <v>40299</v>
      </c>
      <c r="B89">
        <v>557</v>
      </c>
      <c r="C89" s="11">
        <v>21635.69</v>
      </c>
      <c r="E89" s="8"/>
      <c r="F89" s="9">
        <v>74</v>
      </c>
      <c r="G89" s="10">
        <v>88265</v>
      </c>
      <c r="H89" s="11">
        <v>28957.129999999997</v>
      </c>
      <c r="I89" s="8"/>
    </row>
    <row r="90" spans="1:12">
      <c r="A90" s="12">
        <v>40306</v>
      </c>
      <c r="C90" s="11">
        <v>29210.35</v>
      </c>
      <c r="E90" s="8"/>
      <c r="G90" s="10"/>
      <c r="I90" s="8"/>
      <c r="J90">
        <v>1</v>
      </c>
      <c r="K90">
        <v>26.29</v>
      </c>
    </row>
    <row r="91" spans="1:12">
      <c r="A91" s="12">
        <v>40313</v>
      </c>
      <c r="C91" s="11">
        <v>25817.72</v>
      </c>
      <c r="E91" s="8"/>
      <c r="G91" s="10"/>
      <c r="I91" s="8"/>
    </row>
    <row r="92" spans="1:12">
      <c r="A92" s="12">
        <v>40320</v>
      </c>
      <c r="C92" s="11">
        <v>18106.71</v>
      </c>
      <c r="E92" s="8"/>
      <c r="I92" s="8"/>
      <c r="J92">
        <v>1</v>
      </c>
      <c r="K92">
        <v>26.66</v>
      </c>
    </row>
    <row r="93" spans="1:12">
      <c r="A93" s="12">
        <v>40327</v>
      </c>
      <c r="C93" s="11"/>
      <c r="E93" s="8"/>
      <c r="G93" s="10"/>
      <c r="I93" s="8"/>
    </row>
    <row r="94" spans="1:12">
      <c r="A94" s="12"/>
      <c r="C94" s="11"/>
      <c r="E94" s="8"/>
      <c r="G94" s="10"/>
      <c r="I94" s="8"/>
    </row>
    <row r="95" spans="1:12">
      <c r="A95" s="12"/>
      <c r="C95" s="11"/>
      <c r="E95" s="8"/>
      <c r="F95" s="33"/>
      <c r="G95" s="10"/>
      <c r="I95" s="8"/>
    </row>
    <row r="96" spans="1:12">
      <c r="A96" s="12"/>
      <c r="C96" s="11"/>
      <c r="E96" s="8"/>
      <c r="F96" s="34"/>
      <c r="G96" s="10"/>
      <c r="I96" s="8"/>
    </row>
    <row r="97" spans="1:12">
      <c r="A97" s="35"/>
      <c r="B97" s="32"/>
      <c r="C97" s="11"/>
      <c r="E97" s="8"/>
      <c r="F97" s="34"/>
      <c r="G97" s="10"/>
      <c r="I97" s="8"/>
    </row>
    <row r="98" spans="1:12">
      <c r="A98" s="12"/>
      <c r="C98" s="11"/>
      <c r="E98" s="8"/>
      <c r="F98" s="34"/>
      <c r="G98" s="10"/>
      <c r="I98" s="8"/>
    </row>
    <row r="99" spans="1:12">
      <c r="A99" s="12"/>
      <c r="C99" s="11"/>
      <c r="E99" s="8"/>
      <c r="F99" s="34"/>
      <c r="G99" s="10"/>
      <c r="I99" s="8"/>
    </row>
    <row r="100" spans="1:12">
      <c r="A100" s="12"/>
      <c r="C100" s="11"/>
      <c r="E100" s="8"/>
      <c r="F100" s="34"/>
      <c r="G100" s="10"/>
      <c r="I100" s="8"/>
    </row>
    <row r="101" spans="1:12">
      <c r="A101" s="12"/>
      <c r="C101" s="11"/>
      <c r="E101" s="8"/>
      <c r="F101" s="34"/>
      <c r="G101" s="10"/>
      <c r="I101" s="8"/>
    </row>
    <row r="102" spans="1:12">
      <c r="A102" s="12"/>
      <c r="C102" s="11"/>
      <c r="D102" s="2"/>
      <c r="E102" s="8"/>
      <c r="F102" s="34"/>
      <c r="G102" s="10"/>
      <c r="I102" s="8"/>
    </row>
    <row r="103" spans="1:12" ht="15.75" thickBot="1">
      <c r="A103" s="26" t="s">
        <v>17</v>
      </c>
      <c r="B103" s="27">
        <f>SUM(B89:B97)</f>
        <v>557</v>
      </c>
      <c r="C103" s="31">
        <f>SUM(C89:C97)</f>
        <v>94770.47</v>
      </c>
      <c r="E103" s="1"/>
      <c r="F103" s="24">
        <f>SUM(F89:F102)</f>
        <v>74</v>
      </c>
      <c r="G103" s="24">
        <f>SUM(G89:G102)</f>
        <v>88265</v>
      </c>
      <c r="H103" s="24">
        <f>SUM(H89:H102)</f>
        <v>28957.129999999997</v>
      </c>
      <c r="I103" s="1"/>
      <c r="J103" s="2">
        <f>SUM(J90:J102)</f>
        <v>2</v>
      </c>
      <c r="K103" s="2">
        <f>SUM(K90:K102)</f>
        <v>52.95</v>
      </c>
      <c r="L103" s="2"/>
    </row>
    <row r="104" spans="1:12">
      <c r="C104" s="13"/>
      <c r="E104" s="8"/>
      <c r="G104" s="10"/>
      <c r="I104" s="8"/>
    </row>
    <row r="105" spans="1:12">
      <c r="A105" s="2" t="s">
        <v>18</v>
      </c>
      <c r="C105" s="13"/>
      <c r="E105" s="8"/>
      <c r="G105" s="10"/>
      <c r="I105" s="8"/>
    </row>
    <row r="106" spans="1:12">
      <c r="A106" t="s">
        <v>4</v>
      </c>
      <c r="B106" t="s">
        <v>5</v>
      </c>
      <c r="C106" s="11" t="s">
        <v>6</v>
      </c>
      <c r="E106" s="8"/>
      <c r="G106" s="10" t="s">
        <v>8</v>
      </c>
      <c r="H106" s="11" t="s">
        <v>6</v>
      </c>
      <c r="I106" s="8"/>
    </row>
    <row r="107" spans="1:12">
      <c r="A107" s="12"/>
      <c r="C107" s="11"/>
      <c r="E107" s="8"/>
      <c r="G107" s="10"/>
      <c r="I107" s="8"/>
    </row>
    <row r="108" spans="1:12">
      <c r="A108" s="12"/>
      <c r="B108" s="32"/>
      <c r="C108" s="11"/>
      <c r="E108" s="8"/>
      <c r="G108" s="10"/>
      <c r="I108" s="8"/>
    </row>
    <row r="109" spans="1:12">
      <c r="A109" s="12"/>
      <c r="C109" s="11"/>
      <c r="E109" s="8"/>
      <c r="F109" s="33"/>
      <c r="G109" s="10"/>
      <c r="I109" s="8"/>
    </row>
    <row r="110" spans="1:12">
      <c r="A110" s="12"/>
      <c r="C110" s="13"/>
      <c r="E110" s="8"/>
      <c r="G110" s="10"/>
      <c r="I110" s="8"/>
    </row>
    <row r="111" spans="1:12">
      <c r="A111" s="12"/>
      <c r="C111" s="11"/>
      <c r="E111" s="8"/>
      <c r="G111" s="10"/>
      <c r="I111" s="8"/>
    </row>
    <row r="112" spans="1:12">
      <c r="A112" s="12"/>
      <c r="C112" s="11"/>
      <c r="E112" s="8"/>
      <c r="G112" s="10"/>
      <c r="I112" s="8"/>
    </row>
    <row r="113" spans="1:12">
      <c r="A113" s="12"/>
      <c r="C113" s="11"/>
      <c r="E113" s="8"/>
      <c r="G113" s="10"/>
      <c r="I113" s="8"/>
    </row>
    <row r="114" spans="1:12">
      <c r="A114" s="12"/>
      <c r="C114" s="11"/>
      <c r="E114" s="8"/>
      <c r="G114" s="10"/>
      <c r="I114" s="8"/>
    </row>
    <row r="115" spans="1:12">
      <c r="C115" s="13"/>
      <c r="E115" s="8"/>
      <c r="G115" s="10"/>
      <c r="I115" s="8"/>
    </row>
    <row r="116" spans="1:12">
      <c r="C116" s="13"/>
      <c r="E116" s="8"/>
      <c r="G116" s="10"/>
      <c r="I116" s="8"/>
    </row>
    <row r="117" spans="1:12">
      <c r="C117" s="13"/>
      <c r="E117" s="8"/>
      <c r="G117" s="10"/>
      <c r="I117" s="8"/>
    </row>
    <row r="118" spans="1:12">
      <c r="C118" s="13"/>
      <c r="E118" s="8"/>
      <c r="G118" s="10"/>
      <c r="I118" s="8"/>
    </row>
    <row r="119" spans="1:12">
      <c r="C119" s="13"/>
      <c r="E119" s="8"/>
      <c r="G119" s="10"/>
      <c r="I119" s="8"/>
    </row>
    <row r="120" spans="1:12">
      <c r="C120" s="13"/>
      <c r="E120" s="8"/>
      <c r="G120" s="10"/>
      <c r="I120" s="8"/>
    </row>
    <row r="121" spans="1:12">
      <c r="C121" s="13"/>
      <c r="E121" s="8"/>
      <c r="G121" s="10"/>
      <c r="I121" s="8"/>
    </row>
    <row r="122" spans="1:12">
      <c r="C122" s="13"/>
      <c r="E122" s="8"/>
      <c r="G122" s="10"/>
      <c r="I122" s="8"/>
    </row>
    <row r="123" spans="1:12">
      <c r="C123" s="13"/>
      <c r="D123" s="2"/>
      <c r="E123" s="8"/>
      <c r="G123" s="10"/>
      <c r="I123" s="8"/>
    </row>
    <row r="124" spans="1:12" ht="15.75" thickBot="1">
      <c r="A124" s="26" t="s">
        <v>19</v>
      </c>
      <c r="B124" s="27">
        <f>SUM(B107:B114)</f>
        <v>0</v>
      </c>
      <c r="C124" s="31">
        <f>SUM(C107:C114)</f>
        <v>0</v>
      </c>
      <c r="E124" s="1"/>
      <c r="F124" s="24"/>
      <c r="G124" s="24">
        <f>SUM(G107:G123)</f>
        <v>0</v>
      </c>
      <c r="H124" s="24">
        <f>SUM(H107:H123)</f>
        <v>0</v>
      </c>
      <c r="I124" s="1"/>
      <c r="J124" s="2"/>
      <c r="K124" s="2"/>
      <c r="L124" s="2"/>
    </row>
    <row r="125" spans="1:12">
      <c r="C125" s="13"/>
      <c r="E125" s="8"/>
      <c r="G125" s="10"/>
      <c r="I125" s="8"/>
    </row>
    <row r="126" spans="1:12">
      <c r="A126" s="2" t="s">
        <v>20</v>
      </c>
      <c r="C126" s="13"/>
      <c r="E126" s="8"/>
      <c r="G126" s="10"/>
      <c r="I126" s="8"/>
    </row>
    <row r="127" spans="1:12">
      <c r="A127" t="s">
        <v>4</v>
      </c>
      <c r="B127" t="s">
        <v>5</v>
      </c>
      <c r="C127" s="11" t="s">
        <v>6</v>
      </c>
      <c r="E127" s="8"/>
      <c r="G127" s="10" t="s">
        <v>8</v>
      </c>
      <c r="H127" s="11" t="s">
        <v>6</v>
      </c>
      <c r="I127" s="8"/>
    </row>
    <row r="128" spans="1:12">
      <c r="A128" s="12"/>
      <c r="C128" s="11"/>
      <c r="E128" s="8"/>
      <c r="I128" s="8"/>
      <c r="J128" s="12"/>
      <c r="L128" s="36"/>
    </row>
    <row r="129" spans="1:19">
      <c r="A129" s="12"/>
      <c r="C129" s="11"/>
      <c r="E129" s="8"/>
      <c r="G129" s="10"/>
      <c r="I129" s="8"/>
      <c r="L129" s="36"/>
    </row>
    <row r="130" spans="1:19">
      <c r="A130" s="12"/>
      <c r="C130" s="11"/>
      <c r="E130" s="8"/>
      <c r="G130" s="10"/>
      <c r="I130" s="8"/>
      <c r="L130" s="36"/>
    </row>
    <row r="131" spans="1:19">
      <c r="A131" s="12"/>
      <c r="C131" s="11"/>
      <c r="E131" s="8"/>
      <c r="G131" s="10"/>
      <c r="I131" s="8"/>
      <c r="L131" s="36"/>
    </row>
    <row r="132" spans="1:19">
      <c r="A132" s="12"/>
      <c r="C132" s="11"/>
      <c r="E132" s="8"/>
      <c r="G132" s="10"/>
      <c r="I132" s="8"/>
      <c r="L132" s="36"/>
    </row>
    <row r="133" spans="1:19">
      <c r="A133" s="12"/>
      <c r="C133" s="11"/>
      <c r="E133" s="8"/>
      <c r="G133" s="10"/>
      <c r="I133" s="8"/>
      <c r="L133" s="36"/>
      <c r="S133" t="s">
        <v>21</v>
      </c>
    </row>
    <row r="134" spans="1:19">
      <c r="A134" s="12"/>
      <c r="C134" s="11"/>
      <c r="E134" s="8"/>
      <c r="G134" s="10"/>
      <c r="I134" s="8"/>
      <c r="J134" s="12"/>
      <c r="L134" s="36"/>
    </row>
    <row r="135" spans="1:19">
      <c r="A135" s="12"/>
      <c r="C135" s="11"/>
      <c r="E135" s="8"/>
      <c r="G135" s="10"/>
      <c r="I135" s="8"/>
      <c r="L135" s="36"/>
    </row>
    <row r="136" spans="1:19">
      <c r="A136" s="12"/>
      <c r="C136" s="11"/>
      <c r="E136" s="8"/>
      <c r="G136" s="10"/>
      <c r="I136" s="8"/>
      <c r="L136" s="36"/>
    </row>
    <row r="137" spans="1:19">
      <c r="A137" s="12"/>
      <c r="C137" s="11"/>
      <c r="E137" s="8"/>
      <c r="G137" s="10"/>
      <c r="I137" s="8"/>
      <c r="L137" s="36"/>
    </row>
    <row r="138" spans="1:19">
      <c r="A138" s="12"/>
      <c r="C138" s="11"/>
      <c r="E138" s="8"/>
      <c r="G138" s="10"/>
      <c r="I138" s="8"/>
      <c r="L138" s="36"/>
    </row>
    <row r="139" spans="1:19">
      <c r="A139" s="12"/>
      <c r="C139" s="11"/>
      <c r="E139" s="8"/>
      <c r="G139" s="37"/>
      <c r="I139" s="8"/>
      <c r="L139" s="36"/>
    </row>
    <row r="140" spans="1:19">
      <c r="A140" s="12"/>
      <c r="C140" s="11"/>
      <c r="E140" s="8"/>
      <c r="G140" s="37"/>
      <c r="I140" s="8"/>
      <c r="L140" s="36"/>
    </row>
    <row r="141" spans="1:19">
      <c r="A141" s="12"/>
      <c r="C141" s="11"/>
      <c r="E141" s="8"/>
      <c r="G141" s="37"/>
      <c r="I141" s="8"/>
      <c r="L141" s="36"/>
    </row>
    <row r="142" spans="1:19">
      <c r="A142" s="12"/>
      <c r="C142" s="11"/>
      <c r="E142" s="8"/>
      <c r="G142" s="37"/>
      <c r="I142" s="8"/>
      <c r="L142" s="36"/>
    </row>
    <row r="143" spans="1:19">
      <c r="A143" s="12"/>
      <c r="C143" s="11"/>
      <c r="E143" s="8"/>
      <c r="G143" s="37"/>
      <c r="I143" s="8"/>
      <c r="L143" s="36"/>
    </row>
    <row r="144" spans="1:19">
      <c r="A144" s="12"/>
      <c r="C144" s="11"/>
      <c r="E144" s="8"/>
      <c r="G144" s="37"/>
      <c r="I144" s="8"/>
      <c r="L144" s="36"/>
    </row>
    <row r="145" spans="1:12">
      <c r="A145" s="12"/>
      <c r="C145" s="11"/>
      <c r="D145" s="2"/>
      <c r="E145" s="8"/>
      <c r="G145" s="37"/>
      <c r="I145" s="8"/>
      <c r="L145" s="36"/>
    </row>
    <row r="146" spans="1:12" ht="15.75" thickBot="1">
      <c r="A146" s="26" t="s">
        <v>22</v>
      </c>
      <c r="B146" s="27">
        <f>SUM(B128:B136)</f>
        <v>0</v>
      </c>
      <c r="C146" s="31">
        <f>SUM(C128:C136)</f>
        <v>0</v>
      </c>
      <c r="E146" s="1"/>
      <c r="F146" s="24">
        <f>SUM(F128:F145)</f>
        <v>0</v>
      </c>
      <c r="G146" s="24">
        <f>SUM(G128:G145)</f>
        <v>0</v>
      </c>
      <c r="H146" s="24">
        <f>SUM(H128:H145)</f>
        <v>0</v>
      </c>
      <c r="I146" s="1"/>
      <c r="J146" s="38"/>
      <c r="K146" s="38"/>
      <c r="L146" s="39"/>
    </row>
    <row r="147" spans="1:12">
      <c r="C147" s="13"/>
      <c r="E147" s="8"/>
      <c r="G147" s="10"/>
      <c r="I147" s="8"/>
    </row>
    <row r="148" spans="1:12">
      <c r="A148" s="2" t="s">
        <v>23</v>
      </c>
      <c r="C148" s="13"/>
      <c r="E148" s="8"/>
      <c r="G148" s="10"/>
      <c r="I148" s="8"/>
    </row>
    <row r="149" spans="1:12">
      <c r="A149" t="s">
        <v>4</v>
      </c>
      <c r="B149" t="s">
        <v>5</v>
      </c>
      <c r="C149" s="11" t="s">
        <v>6</v>
      </c>
      <c r="E149" s="8"/>
      <c r="F149" s="9" t="s">
        <v>7</v>
      </c>
      <c r="G149" s="10" t="s">
        <v>8</v>
      </c>
      <c r="H149" s="11" t="s">
        <v>6</v>
      </c>
      <c r="I149" s="8"/>
    </row>
    <row r="150" spans="1:12">
      <c r="A150" s="12"/>
      <c r="B150" s="40"/>
      <c r="C150" s="11"/>
      <c r="E150" s="8"/>
      <c r="G150" s="10"/>
      <c r="I150" s="8"/>
    </row>
    <row r="151" spans="1:12">
      <c r="A151" s="12"/>
      <c r="B151" s="40"/>
      <c r="C151" s="11"/>
      <c r="E151" s="8"/>
      <c r="G151" s="10"/>
      <c r="I151" s="8"/>
    </row>
    <row r="152" spans="1:12">
      <c r="A152" s="12"/>
      <c r="B152" s="40"/>
      <c r="C152" s="11"/>
      <c r="E152" s="8"/>
      <c r="G152" s="10"/>
      <c r="I152" s="8"/>
    </row>
    <row r="153" spans="1:12">
      <c r="A153" s="12"/>
      <c r="B153" s="41"/>
      <c r="C153" s="11"/>
      <c r="E153" s="8"/>
      <c r="G153" s="10"/>
      <c r="I153" s="8"/>
    </row>
    <row r="154" spans="1:12">
      <c r="A154" s="12"/>
      <c r="B154" s="41"/>
      <c r="C154" s="11"/>
      <c r="E154" s="8"/>
      <c r="G154" s="10"/>
      <c r="I154" s="8"/>
    </row>
    <row r="155" spans="1:12">
      <c r="A155" s="12"/>
      <c r="C155" s="11"/>
      <c r="E155" s="8"/>
      <c r="G155" s="10"/>
      <c r="I155" s="8"/>
    </row>
    <row r="156" spans="1:12">
      <c r="A156" s="12"/>
      <c r="C156" s="11"/>
      <c r="E156" s="8"/>
      <c r="G156" s="10"/>
      <c r="I156" s="8"/>
    </row>
    <row r="157" spans="1:12">
      <c r="A157" s="12"/>
      <c r="C157" s="11"/>
      <c r="E157" s="8"/>
      <c r="G157" s="10"/>
      <c r="I157" s="8"/>
    </row>
    <row r="158" spans="1:12">
      <c r="A158" s="12"/>
      <c r="C158" s="11"/>
      <c r="E158" s="8"/>
      <c r="G158" s="10"/>
      <c r="I158" s="8"/>
    </row>
    <row r="159" spans="1:12">
      <c r="A159" s="12"/>
      <c r="C159" s="11"/>
      <c r="E159" s="8"/>
      <c r="G159" s="10"/>
      <c r="I159" s="8"/>
    </row>
    <row r="160" spans="1:12">
      <c r="A160" s="12"/>
      <c r="C160" s="11"/>
      <c r="E160" s="8"/>
      <c r="G160" s="10"/>
      <c r="I160" s="8"/>
    </row>
    <row r="161" spans="1:12">
      <c r="A161" s="12"/>
      <c r="C161" s="11"/>
      <c r="E161" s="8"/>
      <c r="G161" s="10"/>
      <c r="I161" s="8"/>
    </row>
    <row r="162" spans="1:12">
      <c r="A162" s="12"/>
      <c r="C162" s="11"/>
      <c r="E162" s="8"/>
      <c r="G162" s="10"/>
      <c r="I162" s="8"/>
    </row>
    <row r="163" spans="1:12">
      <c r="A163" s="12"/>
      <c r="C163" s="11"/>
      <c r="E163" s="8"/>
      <c r="G163" s="10"/>
      <c r="I163" s="8"/>
    </row>
    <row r="164" spans="1:12">
      <c r="A164" s="12"/>
      <c r="C164" s="11"/>
      <c r="E164" s="8"/>
      <c r="G164" s="10"/>
      <c r="I164" s="8"/>
    </row>
    <row r="165" spans="1:12">
      <c r="A165" s="12"/>
      <c r="C165" s="11"/>
      <c r="E165" s="8"/>
      <c r="G165" s="10"/>
      <c r="I165" s="8"/>
    </row>
    <row r="166" spans="1:12" ht="15.75" thickBot="1">
      <c r="A166" s="12"/>
      <c r="C166" s="11"/>
      <c r="D166" s="2"/>
      <c r="E166" s="8"/>
      <c r="G166" s="10"/>
      <c r="I166" s="8"/>
    </row>
    <row r="167" spans="1:12" ht="15.75" thickBot="1">
      <c r="A167" s="26" t="s">
        <v>24</v>
      </c>
      <c r="B167" s="27">
        <f>SUM(B150:B158)</f>
        <v>0</v>
      </c>
      <c r="C167" s="31">
        <f>SUM(C150:C158)</f>
        <v>0</v>
      </c>
      <c r="E167" s="1"/>
      <c r="F167" s="24">
        <f>SUM(F150:F166)</f>
        <v>0</v>
      </c>
      <c r="G167" s="24">
        <f>SUM(G150:G166)</f>
        <v>0</v>
      </c>
      <c r="H167" s="24">
        <f>SUM(H150:H166)</f>
        <v>0</v>
      </c>
      <c r="I167" s="1"/>
      <c r="J167" s="42"/>
      <c r="K167" s="43"/>
      <c r="L167" s="44"/>
    </row>
    <row r="168" spans="1:12">
      <c r="C168" s="13"/>
      <c r="E168" s="8"/>
      <c r="G168" s="10"/>
      <c r="I168" s="8"/>
    </row>
    <row r="169" spans="1:12">
      <c r="A169" s="2" t="s">
        <v>25</v>
      </c>
      <c r="C169" s="13"/>
      <c r="E169" s="8"/>
      <c r="G169" s="10"/>
      <c r="I169" s="8"/>
    </row>
    <row r="170" spans="1:12">
      <c r="A170" t="s">
        <v>4</v>
      </c>
      <c r="B170" t="s">
        <v>5</v>
      </c>
      <c r="C170" s="11" t="s">
        <v>6</v>
      </c>
      <c r="E170" s="8"/>
      <c r="F170" s="9" t="s">
        <v>7</v>
      </c>
      <c r="G170" s="10" t="s">
        <v>8</v>
      </c>
      <c r="H170" s="11" t="s">
        <v>6</v>
      </c>
      <c r="I170" s="8"/>
    </row>
    <row r="171" spans="1:12">
      <c r="A171" s="12"/>
      <c r="B171" s="40"/>
      <c r="C171" s="11"/>
      <c r="E171" s="8"/>
      <c r="G171" s="10"/>
      <c r="I171" s="8"/>
    </row>
    <row r="172" spans="1:12">
      <c r="A172" s="12"/>
      <c r="B172" s="41"/>
      <c r="C172" s="11"/>
      <c r="E172" s="8"/>
      <c r="G172" s="10"/>
      <c r="I172" s="8"/>
    </row>
    <row r="173" spans="1:12">
      <c r="A173" s="12"/>
      <c r="B173" s="40"/>
      <c r="C173" s="11"/>
      <c r="E173" s="8"/>
      <c r="G173" s="10"/>
      <c r="I173" s="8"/>
    </row>
    <row r="174" spans="1:12">
      <c r="A174" s="12"/>
      <c r="B174" s="41"/>
      <c r="C174" s="11"/>
      <c r="E174" s="8"/>
      <c r="G174" s="10"/>
      <c r="I174" s="8"/>
    </row>
    <row r="175" spans="1:12">
      <c r="A175" s="12"/>
      <c r="C175" s="11"/>
      <c r="E175" s="8"/>
      <c r="G175" s="10"/>
      <c r="I175" s="8"/>
    </row>
    <row r="176" spans="1:12">
      <c r="A176" s="12"/>
      <c r="C176" s="11"/>
      <c r="E176" s="8"/>
      <c r="G176" s="10"/>
      <c r="I176" s="8"/>
    </row>
    <row r="177" spans="1:12">
      <c r="A177" s="12"/>
      <c r="C177" s="11"/>
      <c r="E177" s="8"/>
      <c r="G177" s="10"/>
      <c r="I177" s="8"/>
    </row>
    <row r="178" spans="1:12">
      <c r="A178" s="12"/>
      <c r="C178" s="11"/>
      <c r="E178" s="8"/>
      <c r="G178" s="10"/>
      <c r="I178" s="8"/>
    </row>
    <row r="179" spans="1:12">
      <c r="A179" s="12"/>
      <c r="E179" s="8"/>
      <c r="G179" s="10"/>
      <c r="I179" s="8"/>
    </row>
    <row r="180" spans="1:12">
      <c r="A180" s="12"/>
      <c r="C180" s="11"/>
      <c r="E180" s="8"/>
      <c r="G180" s="10"/>
      <c r="I180" s="8"/>
    </row>
    <row r="181" spans="1:12">
      <c r="A181" s="12"/>
      <c r="C181" s="11"/>
      <c r="D181" s="2"/>
      <c r="E181" s="8"/>
      <c r="G181" s="10"/>
      <c r="I181" s="8"/>
    </row>
    <row r="182" spans="1:12" ht="15.75" thickBot="1">
      <c r="A182" s="26" t="s">
        <v>26</v>
      </c>
      <c r="B182" s="27">
        <f>SUM(B171:B180)</f>
        <v>0</v>
      </c>
      <c r="C182" s="31">
        <f>SUM(C171:C178)</f>
        <v>0</v>
      </c>
      <c r="E182" s="1"/>
      <c r="F182" s="24">
        <f>SUM(F171:F181)</f>
        <v>0</v>
      </c>
      <c r="G182" s="24">
        <f>SUM(G171:G181)</f>
        <v>0</v>
      </c>
      <c r="H182" s="24">
        <f>SUM(H171:H181)</f>
        <v>0</v>
      </c>
      <c r="I182" s="1"/>
      <c r="J182" s="2"/>
      <c r="K182" s="2"/>
      <c r="L182" s="2"/>
    </row>
    <row r="183" spans="1:12">
      <c r="C183" s="13"/>
      <c r="E183" s="8"/>
      <c r="G183" s="10"/>
      <c r="I183" s="8"/>
    </row>
    <row r="184" spans="1:12">
      <c r="A184" s="2" t="s">
        <v>27</v>
      </c>
      <c r="C184" s="13"/>
      <c r="E184" s="8"/>
      <c r="G184" s="10"/>
      <c r="I184" s="8"/>
    </row>
    <row r="185" spans="1:12">
      <c r="A185" t="s">
        <v>4</v>
      </c>
      <c r="B185" t="s">
        <v>5</v>
      </c>
      <c r="C185" s="11" t="s">
        <v>6</v>
      </c>
      <c r="E185" s="8"/>
      <c r="F185" s="9" t="s">
        <v>7</v>
      </c>
      <c r="G185" s="10" t="s">
        <v>8</v>
      </c>
      <c r="H185" s="11" t="s">
        <v>6</v>
      </c>
      <c r="I185" s="8"/>
    </row>
    <row r="186" spans="1:12">
      <c r="A186" s="12"/>
      <c r="B186" s="41"/>
      <c r="C186" s="11"/>
      <c r="E186" s="8"/>
      <c r="G186" s="10"/>
      <c r="I186" s="8"/>
    </row>
    <row r="187" spans="1:12">
      <c r="A187" s="12"/>
      <c r="B187" s="41"/>
      <c r="C187" s="11"/>
      <c r="E187" s="8"/>
      <c r="G187" s="10"/>
      <c r="I187" s="8"/>
    </row>
    <row r="188" spans="1:12">
      <c r="A188" s="12"/>
      <c r="B188" s="41"/>
      <c r="C188" s="11"/>
      <c r="E188" s="8"/>
      <c r="G188" s="10"/>
      <c r="I188" s="8"/>
    </row>
    <row r="189" spans="1:12">
      <c r="A189" s="12"/>
      <c r="B189" s="41"/>
      <c r="C189" s="11"/>
      <c r="E189" s="8"/>
      <c r="G189" s="10"/>
      <c r="I189" s="8"/>
    </row>
    <row r="190" spans="1:12">
      <c r="A190" s="12"/>
      <c r="C190" s="11"/>
      <c r="E190" s="8"/>
      <c r="G190" s="10"/>
      <c r="I190" s="8"/>
    </row>
    <row r="191" spans="1:12">
      <c r="A191" s="12"/>
      <c r="C191" s="11"/>
      <c r="E191" s="8"/>
      <c r="G191" s="10"/>
      <c r="I191" s="8"/>
    </row>
    <row r="192" spans="1:12">
      <c r="A192" s="12"/>
      <c r="C192" s="11"/>
      <c r="E192" s="8"/>
      <c r="G192" s="10"/>
      <c r="I192" s="8"/>
    </row>
    <row r="193" spans="1:12">
      <c r="A193" s="12"/>
      <c r="C193" s="11"/>
      <c r="E193" s="8"/>
      <c r="G193" s="10"/>
      <c r="I193" s="8"/>
    </row>
    <row r="194" spans="1:12">
      <c r="A194" s="12"/>
      <c r="C194" s="11"/>
      <c r="E194" s="8"/>
      <c r="G194" s="10"/>
      <c r="I194" s="8"/>
    </row>
    <row r="195" spans="1:12">
      <c r="A195" s="12"/>
      <c r="C195" s="11"/>
      <c r="D195" s="2"/>
      <c r="E195" s="8"/>
      <c r="G195" s="10"/>
      <c r="I195" s="8"/>
    </row>
    <row r="196" spans="1:12" ht="15.75" thickBot="1">
      <c r="A196" s="26" t="s">
        <v>28</v>
      </c>
      <c r="B196" s="27">
        <f>SUM(B186:B195)</f>
        <v>0</v>
      </c>
      <c r="C196" s="31">
        <f>SUM(C186:C195)</f>
        <v>0</v>
      </c>
      <c r="E196" s="1"/>
      <c r="F196" s="24">
        <f>SUM(F186:F195)</f>
        <v>0</v>
      </c>
      <c r="G196" s="24">
        <f>SUM(G186:G195)</f>
        <v>0</v>
      </c>
      <c r="H196" s="31">
        <f>SUM(H186:H195)</f>
        <v>0</v>
      </c>
      <c r="I196" s="1"/>
      <c r="J196" s="2"/>
      <c r="K196" s="2">
        <f>SUM(K188:K195)</f>
        <v>0</v>
      </c>
      <c r="L196" s="2">
        <f>SUM(L188:L195)</f>
        <v>0</v>
      </c>
    </row>
    <row r="197" spans="1:12">
      <c r="C197" s="13"/>
      <c r="E197" s="8"/>
      <c r="G197" s="10"/>
      <c r="I197" s="8"/>
    </row>
    <row r="198" spans="1:12">
      <c r="A198" s="2" t="s">
        <v>29</v>
      </c>
      <c r="C198" s="13"/>
      <c r="E198" s="8"/>
      <c r="G198" s="10"/>
      <c r="I198" s="8"/>
    </row>
    <row r="199" spans="1:12">
      <c r="A199" t="s">
        <v>4</v>
      </c>
      <c r="B199" t="s">
        <v>5</v>
      </c>
      <c r="C199" s="11" t="s">
        <v>6</v>
      </c>
      <c r="E199" s="8"/>
      <c r="F199" s="9" t="s">
        <v>7</v>
      </c>
      <c r="G199" s="10" t="s">
        <v>8</v>
      </c>
      <c r="H199" s="11" t="s">
        <v>6</v>
      </c>
      <c r="I199" s="8"/>
    </row>
    <row r="200" spans="1:12">
      <c r="A200" s="12"/>
      <c r="C200" s="11"/>
      <c r="E200" s="8"/>
      <c r="G200" s="10"/>
      <c r="I200" s="8"/>
    </row>
    <row r="201" spans="1:12">
      <c r="A201" s="12"/>
      <c r="C201" s="11"/>
      <c r="E201" s="8"/>
      <c r="G201" s="10"/>
      <c r="I201" s="8"/>
    </row>
    <row r="202" spans="1:12">
      <c r="A202" s="12"/>
      <c r="C202" s="11"/>
      <c r="E202" s="8"/>
      <c r="G202" s="10"/>
      <c r="I202" s="8"/>
    </row>
    <row r="203" spans="1:12">
      <c r="A203" s="12"/>
      <c r="C203" s="11"/>
      <c r="E203" s="8"/>
      <c r="G203" s="10"/>
      <c r="I203" s="8"/>
    </row>
    <row r="204" spans="1:12">
      <c r="A204" s="12"/>
      <c r="C204" s="11"/>
      <c r="E204" s="8"/>
      <c r="G204" s="10"/>
      <c r="I204" s="8"/>
    </row>
    <row r="205" spans="1:12">
      <c r="A205" s="12"/>
      <c r="C205" s="11"/>
      <c r="E205" s="8"/>
      <c r="G205" s="10"/>
      <c r="I205" s="8"/>
    </row>
    <row r="206" spans="1:12">
      <c r="A206" s="12"/>
      <c r="C206" s="11"/>
      <c r="E206" s="8"/>
      <c r="G206" s="10"/>
      <c r="I206" s="8"/>
    </row>
    <row r="207" spans="1:12">
      <c r="A207" s="12"/>
      <c r="B207" s="32"/>
      <c r="C207" s="11"/>
      <c r="D207" s="2"/>
      <c r="E207" s="8"/>
      <c r="G207" s="10"/>
      <c r="I207" s="8"/>
    </row>
    <row r="208" spans="1:12" ht="15.75" thickBot="1">
      <c r="A208" s="26" t="s">
        <v>30</v>
      </c>
      <c r="B208" s="27">
        <f>SUM(B200:B207)</f>
        <v>0</v>
      </c>
      <c r="C208" s="31">
        <f>SUM(C200:C207)</f>
        <v>0</v>
      </c>
      <c r="E208" s="1"/>
      <c r="F208" s="24">
        <f>SUM(F200:F207)</f>
        <v>0</v>
      </c>
      <c r="G208" s="24">
        <f>SUM(G200:G207)</f>
        <v>0</v>
      </c>
      <c r="H208" s="31">
        <f>SUM(H200:H207)</f>
        <v>0</v>
      </c>
      <c r="I208" s="1"/>
      <c r="J208" s="2"/>
      <c r="K208" s="2"/>
      <c r="L208" s="2"/>
    </row>
    <row r="209" spans="1:12">
      <c r="C209" s="13"/>
      <c r="E209" s="8"/>
      <c r="G209" s="10"/>
      <c r="I209" s="8"/>
    </row>
    <row r="210" spans="1:12">
      <c r="A210" s="2" t="s">
        <v>31</v>
      </c>
      <c r="C210" s="13"/>
      <c r="E210" s="8"/>
      <c r="G210" s="10"/>
      <c r="I210" s="8"/>
    </row>
    <row r="211" spans="1:12">
      <c r="A211" t="s">
        <v>4</v>
      </c>
      <c r="B211" t="s">
        <v>5</v>
      </c>
      <c r="C211" s="11" t="s">
        <v>6</v>
      </c>
      <c r="E211" s="8"/>
      <c r="F211" s="9" t="s">
        <v>7</v>
      </c>
      <c r="G211" s="10" t="s">
        <v>8</v>
      </c>
      <c r="H211" s="11" t="s">
        <v>6</v>
      </c>
      <c r="I211" s="8"/>
    </row>
    <row r="212" spans="1:12">
      <c r="A212" s="12"/>
      <c r="C212" s="11"/>
      <c r="E212" s="8"/>
      <c r="G212" s="10"/>
      <c r="I212" s="8"/>
    </row>
    <row r="213" spans="1:12">
      <c r="A213" s="12"/>
      <c r="C213" s="11"/>
      <c r="E213" s="8"/>
      <c r="G213" s="10"/>
      <c r="I213" s="8"/>
    </row>
    <row r="214" spans="1:12">
      <c r="A214" s="12"/>
      <c r="C214" s="11"/>
      <c r="E214" s="8"/>
      <c r="G214" s="10"/>
      <c r="I214" s="8"/>
    </row>
    <row r="215" spans="1:12">
      <c r="A215" s="12"/>
      <c r="C215" s="11"/>
      <c r="E215" s="8"/>
      <c r="G215" s="10"/>
      <c r="I215" s="8"/>
    </row>
    <row r="216" spans="1:12">
      <c r="A216" s="12"/>
      <c r="C216" s="11"/>
      <c r="E216" s="8"/>
      <c r="G216" s="10"/>
      <c r="I216" s="8"/>
    </row>
    <row r="217" spans="1:12">
      <c r="A217" s="12"/>
      <c r="C217" s="11"/>
      <c r="E217" s="8"/>
      <c r="G217" s="10"/>
      <c r="I217" s="8"/>
    </row>
    <row r="218" spans="1:12">
      <c r="A218" s="12"/>
      <c r="C218" s="11"/>
      <c r="E218" s="8"/>
      <c r="G218" s="10"/>
      <c r="I218" s="8"/>
    </row>
    <row r="219" spans="1:12">
      <c r="A219" s="12"/>
      <c r="C219" s="11"/>
      <c r="E219" s="8"/>
      <c r="G219" s="10"/>
      <c r="I219" s="8"/>
    </row>
    <row r="220" spans="1:12">
      <c r="A220" s="12"/>
      <c r="C220" s="11"/>
      <c r="E220" s="8"/>
      <c r="G220" s="10"/>
      <c r="I220" s="8"/>
    </row>
    <row r="221" spans="1:12">
      <c r="A221" s="12"/>
      <c r="C221" s="11"/>
      <c r="E221" s="8"/>
      <c r="G221" s="10"/>
      <c r="I221" s="8"/>
    </row>
    <row r="222" spans="1:12">
      <c r="A222" s="12"/>
      <c r="C222" s="11"/>
      <c r="D222" s="2"/>
      <c r="E222" s="8"/>
      <c r="G222" s="10"/>
      <c r="I222" s="8"/>
    </row>
    <row r="223" spans="1:12" ht="15.75" thickBot="1">
      <c r="A223" s="26" t="s">
        <v>32</v>
      </c>
      <c r="B223" s="27">
        <f>SUM(B212:B222)</f>
        <v>0</v>
      </c>
      <c r="C223" s="31">
        <f>SUM(C212:C222)</f>
        <v>0</v>
      </c>
      <c r="E223" s="1"/>
      <c r="F223" s="24">
        <f>SUM(F212:F222)</f>
        <v>0</v>
      </c>
      <c r="G223" s="24">
        <f>SUM(G212:G222)</f>
        <v>0</v>
      </c>
      <c r="H223" s="24">
        <f>SUM(H212:H222)</f>
        <v>0</v>
      </c>
      <c r="I223" s="1"/>
      <c r="J223" s="2"/>
      <c r="K223" s="2"/>
      <c r="L223" s="2"/>
    </row>
  </sheetData>
  <mergeCells count="3">
    <mergeCell ref="A1:D1"/>
    <mergeCell ref="F1:H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3"/>
  <sheetViews>
    <sheetView tabSelected="1" workbookViewId="0">
      <selection activeCell="B4" sqref="B4"/>
    </sheetView>
  </sheetViews>
  <sheetFormatPr defaultRowHeight="15"/>
  <cols>
    <col min="1" max="1" width="35.85546875" style="84" customWidth="1"/>
    <col min="2" max="2" width="16" style="76" bestFit="1" customWidth="1"/>
    <col min="3" max="3" width="14.5703125" style="76" bestFit="1" customWidth="1"/>
    <col min="4" max="4" width="14.85546875" style="86" customWidth="1"/>
    <col min="5" max="5" width="17.5703125" style="68" customWidth="1"/>
    <col min="6" max="6" width="12.140625" style="87" customWidth="1"/>
    <col min="7" max="7" width="11.28515625" style="88" bestFit="1" customWidth="1"/>
    <col min="8" max="8" width="2" style="88" customWidth="1"/>
    <col min="9" max="9" width="12.28515625" style="65" bestFit="1" customWidth="1"/>
    <col min="10" max="10" width="9" style="65" bestFit="1" customWidth="1"/>
    <col min="11" max="11" width="12.28515625" style="68" hidden="1" customWidth="1"/>
    <col min="12" max="12" width="2" style="65" customWidth="1"/>
    <col min="13" max="13" width="8" style="88" customWidth="1"/>
    <col min="14" max="14" width="2" style="88" customWidth="1"/>
    <col min="15" max="15" width="12.28515625" style="65" bestFit="1" customWidth="1"/>
    <col min="16" max="16" width="11.28515625" style="65" customWidth="1"/>
    <col min="17" max="17" width="7.5703125" style="68" customWidth="1"/>
    <col min="18" max="18" width="8.42578125" style="68" customWidth="1"/>
    <col min="19" max="19" width="1.5703125" style="65" customWidth="1"/>
    <col min="20" max="20" width="12.85546875" style="65" customWidth="1"/>
    <col min="21" max="21" width="2" style="65" customWidth="1"/>
    <col min="22" max="22" width="12.85546875" style="65" hidden="1" customWidth="1"/>
    <col min="23" max="23" width="2.140625" style="65" customWidth="1"/>
    <col min="24" max="24" width="11.140625" style="64" customWidth="1"/>
    <col min="25" max="25" width="2.140625" style="64" customWidth="1"/>
    <col min="26" max="26" width="11.140625" style="64" hidden="1" customWidth="1"/>
    <col min="27" max="27" width="2.140625" style="64" customWidth="1"/>
    <col min="28" max="28" width="11.5703125" style="88" bestFit="1" customWidth="1"/>
    <col min="29" max="29" width="12.28515625" style="89" bestFit="1" customWidth="1"/>
    <col min="30" max="30" width="2.140625" style="88" customWidth="1"/>
    <col min="31" max="31" width="14" style="65" bestFit="1" customWidth="1"/>
    <col min="32" max="32" width="10.42578125" style="65" customWidth="1"/>
    <col min="33" max="33" width="2.140625" style="65" customWidth="1"/>
    <col min="34" max="16384" width="9.140625" style="88"/>
  </cols>
  <sheetData>
    <row r="1" spans="1:33" s="45" customFormat="1" ht="38.25">
      <c r="B1" s="46" t="s">
        <v>33</v>
      </c>
      <c r="C1" s="45" t="s">
        <v>34</v>
      </c>
      <c r="D1" s="47" t="s">
        <v>35</v>
      </c>
      <c r="E1" s="48" t="s">
        <v>36</v>
      </c>
      <c r="F1" s="49" t="s">
        <v>37</v>
      </c>
      <c r="G1" s="50" t="s">
        <v>38</v>
      </c>
      <c r="I1" s="51" t="s">
        <v>39</v>
      </c>
      <c r="J1" s="52" t="s">
        <v>40</v>
      </c>
      <c r="K1" s="53" t="s">
        <v>41</v>
      </c>
      <c r="L1" s="52"/>
      <c r="M1" s="45" t="s">
        <v>42</v>
      </c>
      <c r="O1" s="52" t="s">
        <v>43</v>
      </c>
      <c r="P1" s="52" t="s">
        <v>44</v>
      </c>
      <c r="Q1" s="53" t="s">
        <v>45</v>
      </c>
      <c r="R1" s="53" t="s">
        <v>46</v>
      </c>
      <c r="S1" s="52"/>
      <c r="T1" s="52" t="s">
        <v>47</v>
      </c>
      <c r="U1" s="52"/>
      <c r="V1" s="52" t="s">
        <v>48</v>
      </c>
      <c r="W1" s="52"/>
      <c r="X1" s="54" t="s">
        <v>49</v>
      </c>
      <c r="Y1" s="55"/>
      <c r="Z1" s="52" t="s">
        <v>50</v>
      </c>
      <c r="AA1" s="55"/>
      <c r="AB1" s="50" t="s">
        <v>51</v>
      </c>
      <c r="AC1" s="56" t="s">
        <v>52</v>
      </c>
      <c r="AE1" s="51" t="s">
        <v>53</v>
      </c>
      <c r="AF1" s="52" t="s">
        <v>54</v>
      </c>
      <c r="AG1" s="52"/>
    </row>
    <row r="2" spans="1:33" s="45" customFormat="1" ht="12.75">
      <c r="B2" s="52"/>
      <c r="D2" s="47"/>
      <c r="E2" s="57"/>
      <c r="F2" s="49"/>
      <c r="I2" s="52"/>
      <c r="J2" s="52"/>
      <c r="K2" s="53"/>
      <c r="L2" s="52"/>
      <c r="O2" s="52"/>
      <c r="P2" s="52"/>
      <c r="Q2" s="53"/>
      <c r="R2" s="53"/>
      <c r="S2" s="52"/>
      <c r="T2" s="52"/>
      <c r="U2" s="52"/>
      <c r="V2" s="52"/>
      <c r="W2" s="52"/>
      <c r="X2" s="55"/>
      <c r="Y2" s="55"/>
      <c r="Z2" s="52"/>
      <c r="AA2" s="55"/>
      <c r="AC2" s="58"/>
      <c r="AE2" s="52"/>
      <c r="AF2" s="52"/>
      <c r="AG2" s="52"/>
    </row>
    <row r="3" spans="1:33" s="45" customFormat="1" ht="12.75">
      <c r="A3" s="71">
        <v>39814</v>
      </c>
      <c r="B3" s="72">
        <v>100016803.81999999</v>
      </c>
      <c r="C3" s="73">
        <v>202196.88999999998</v>
      </c>
      <c r="D3" s="74">
        <v>2.021629189070001E-3</v>
      </c>
      <c r="E3" s="58">
        <v>1169614</v>
      </c>
      <c r="F3" s="75">
        <v>1970</v>
      </c>
      <c r="G3" s="45">
        <v>1664</v>
      </c>
      <c r="I3" s="52">
        <v>67362</v>
      </c>
      <c r="J3" s="76">
        <v>40.481971153846153</v>
      </c>
      <c r="K3" s="53"/>
      <c r="L3" s="52"/>
      <c r="O3" s="52"/>
      <c r="P3" s="52"/>
      <c r="Q3" s="53"/>
      <c r="R3" s="53"/>
      <c r="S3" s="52"/>
      <c r="T3" s="76">
        <v>67362</v>
      </c>
      <c r="U3" s="52"/>
      <c r="V3" s="52"/>
      <c r="W3" s="52"/>
      <c r="X3" s="75">
        <v>1664</v>
      </c>
      <c r="Y3" s="55"/>
      <c r="Z3" s="52"/>
      <c r="AA3" s="55"/>
      <c r="AB3" s="77">
        <v>306</v>
      </c>
      <c r="AC3" s="58">
        <v>526395</v>
      </c>
      <c r="AE3" s="52">
        <v>134834.88999999998</v>
      </c>
      <c r="AF3" s="76">
        <v>440.63689542483655</v>
      </c>
      <c r="AG3" s="52"/>
    </row>
    <row r="4" spans="1:33" s="45" customFormat="1" ht="12.75">
      <c r="A4" s="71">
        <v>40179</v>
      </c>
      <c r="B4" s="72">
        <v>131335287.53</v>
      </c>
      <c r="C4" s="73">
        <f>SUM(I4,O4,T4)</f>
        <v>273995.42000000004</v>
      </c>
      <c r="D4" s="74">
        <f>C4/B4</f>
        <v>2.0862285007554665E-3</v>
      </c>
      <c r="E4" s="58">
        <v>1305602</v>
      </c>
      <c r="F4" s="181">
        <f>SUM(G4,M4,AB4)</f>
        <v>329</v>
      </c>
      <c r="G4" s="45">
        <f>'Worksheet 2010'!B18</f>
        <v>0</v>
      </c>
      <c r="I4" s="52">
        <f>'Worksheet 2010'!C18</f>
        <v>136972.70000000001</v>
      </c>
      <c r="J4" s="75" t="e">
        <f>I4/G4</f>
        <v>#DIV/0!</v>
      </c>
      <c r="K4" s="53"/>
      <c r="L4" s="52"/>
      <c r="M4" s="45">
        <f>'Worksheet 2010'!J18</f>
        <v>1</v>
      </c>
      <c r="O4" s="52">
        <f>'Worksheet 2010'!K18</f>
        <v>25.01</v>
      </c>
      <c r="P4" s="52"/>
      <c r="Q4" s="53"/>
      <c r="R4" s="53"/>
      <c r="S4" s="52"/>
      <c r="T4" s="76">
        <f>SUM(I4,O4)</f>
        <v>136997.71000000002</v>
      </c>
      <c r="U4" s="52"/>
      <c r="V4" s="52"/>
      <c r="W4" s="52"/>
      <c r="X4" s="75">
        <f>SUM(G4,M4)</f>
        <v>1</v>
      </c>
      <c r="Y4" s="55"/>
      <c r="Z4" s="52"/>
      <c r="AA4" s="55"/>
      <c r="AB4" s="77">
        <f>'Worksheet 2010'!F18</f>
        <v>328</v>
      </c>
      <c r="AC4" s="58">
        <f>'Worksheet 2010'!G18</f>
        <v>370982</v>
      </c>
      <c r="AE4" s="52">
        <f>'Worksheet 2010'!H18</f>
        <v>140846.10999999999</v>
      </c>
      <c r="AF4" s="76">
        <f>AE4/AB4</f>
        <v>429.40887195121945</v>
      </c>
      <c r="AG4" s="52"/>
    </row>
    <row r="5" spans="1:33" s="45" customFormat="1" ht="12.75">
      <c r="A5" s="71"/>
      <c r="B5" s="52"/>
      <c r="D5" s="47"/>
      <c r="E5" s="57"/>
      <c r="F5" s="49"/>
      <c r="I5" s="52"/>
      <c r="J5" s="52"/>
      <c r="K5" s="53"/>
      <c r="L5" s="52"/>
      <c r="O5" s="52"/>
      <c r="P5" s="52"/>
      <c r="Q5" s="53"/>
      <c r="R5" s="53"/>
      <c r="S5" s="52"/>
      <c r="T5" s="52"/>
      <c r="U5" s="52"/>
      <c r="V5" s="52"/>
      <c r="W5" s="52"/>
      <c r="X5" s="55"/>
      <c r="Y5" s="55"/>
      <c r="Z5" s="52"/>
      <c r="AA5" s="55"/>
      <c r="AC5" s="58"/>
      <c r="AE5" s="52"/>
      <c r="AF5" s="52"/>
      <c r="AG5" s="52"/>
    </row>
    <row r="6" spans="1:33" s="45" customFormat="1" ht="12.75">
      <c r="A6" s="71">
        <v>39845</v>
      </c>
      <c r="B6" s="25">
        <v>105120494.20999999</v>
      </c>
      <c r="C6" s="73">
        <v>221499.30000000002</v>
      </c>
      <c r="D6" s="74">
        <v>2.1070991119724876E-3</v>
      </c>
      <c r="E6" s="53">
        <v>1394613</v>
      </c>
      <c r="F6" s="75">
        <v>1994</v>
      </c>
      <c r="G6" s="58">
        <v>1629</v>
      </c>
      <c r="I6" s="52">
        <v>63549.840000000004</v>
      </c>
      <c r="J6" s="76">
        <v>39.011565377532229</v>
      </c>
      <c r="K6" s="53"/>
      <c r="L6" s="52"/>
      <c r="O6" s="52"/>
      <c r="P6" s="52"/>
      <c r="Q6" s="53"/>
      <c r="R6" s="53"/>
      <c r="S6" s="52"/>
      <c r="T6" s="76">
        <v>63549.840000000004</v>
      </c>
      <c r="U6" s="52"/>
      <c r="V6" s="52"/>
      <c r="W6" s="52"/>
      <c r="X6" s="75">
        <v>1629</v>
      </c>
      <c r="Y6" s="55"/>
      <c r="Z6" s="55"/>
      <c r="AA6" s="55"/>
      <c r="AB6" s="77">
        <v>365</v>
      </c>
      <c r="AC6" s="58">
        <v>999508</v>
      </c>
      <c r="AE6" s="52">
        <v>157949.46000000002</v>
      </c>
      <c r="AF6" s="76">
        <v>432.73824657534254</v>
      </c>
      <c r="AG6" s="52"/>
    </row>
    <row r="7" spans="1:33" s="45" customFormat="1" ht="12.75">
      <c r="A7" s="71">
        <v>40219</v>
      </c>
      <c r="B7" s="25">
        <v>108414253.2</v>
      </c>
      <c r="C7" s="73">
        <f>SUM(I7,O7,T7)</f>
        <v>146349.34000000003</v>
      </c>
      <c r="D7" s="74">
        <f>C7/B7</f>
        <v>1.3499086668061835E-3</v>
      </c>
      <c r="E7" s="53">
        <v>984652</v>
      </c>
      <c r="F7" s="181">
        <f>SUM(G7,M7,AB7)</f>
        <v>310</v>
      </c>
      <c r="G7" s="58">
        <f>'Worksheet 2010'!B36</f>
        <v>0</v>
      </c>
      <c r="I7" s="52">
        <f>'Worksheet 2010'!C36</f>
        <v>73123.460000000006</v>
      </c>
      <c r="J7" s="75" t="e">
        <f>I7/G7</f>
        <v>#DIV/0!</v>
      </c>
      <c r="K7" s="53"/>
      <c r="L7" s="52"/>
      <c r="M7" s="45">
        <f>'Worksheet 2010'!J36</f>
        <v>2</v>
      </c>
      <c r="O7" s="52">
        <f>'Worksheet 2010'!K36</f>
        <v>51.21</v>
      </c>
      <c r="P7" s="52"/>
      <c r="Q7" s="53"/>
      <c r="R7" s="53"/>
      <c r="S7" s="52"/>
      <c r="T7" s="76">
        <f>SUM(I7,O7)</f>
        <v>73174.670000000013</v>
      </c>
      <c r="U7" s="52"/>
      <c r="V7" s="52"/>
      <c r="W7" s="52"/>
      <c r="X7" s="75">
        <f>SUM(G7,M7)</f>
        <v>2</v>
      </c>
      <c r="Y7" s="55"/>
      <c r="Z7" s="55"/>
      <c r="AA7" s="55"/>
      <c r="AB7" s="77">
        <f>'Worksheet 2010'!F36</f>
        <v>308</v>
      </c>
      <c r="AC7" s="58">
        <f>'Worksheet 2010'!G36</f>
        <v>323393</v>
      </c>
      <c r="AE7" s="52">
        <f>'Worksheet 2010'!H36</f>
        <v>137080.80999999997</v>
      </c>
      <c r="AF7" s="76">
        <f>AE7/AB7</f>
        <v>445.06756493506481</v>
      </c>
      <c r="AG7" s="52"/>
    </row>
    <row r="8" spans="1:33" s="45" customFormat="1" ht="12.75">
      <c r="A8" s="71"/>
      <c r="B8" s="52"/>
      <c r="C8" s="52"/>
      <c r="D8" s="78"/>
      <c r="E8" s="66"/>
      <c r="F8" s="49"/>
      <c r="I8" s="52"/>
      <c r="J8" s="52"/>
      <c r="K8" s="53"/>
      <c r="L8" s="52"/>
      <c r="O8" s="52"/>
      <c r="P8" s="52"/>
      <c r="Q8" s="53"/>
      <c r="R8" s="53"/>
      <c r="S8" s="52"/>
      <c r="T8" s="52"/>
      <c r="U8" s="52"/>
      <c r="V8" s="52"/>
      <c r="W8" s="52"/>
      <c r="X8" s="55"/>
      <c r="Y8" s="55"/>
      <c r="Z8" s="55"/>
      <c r="AA8" s="55"/>
      <c r="AC8" s="58"/>
      <c r="AE8" s="52"/>
      <c r="AF8" s="52"/>
      <c r="AG8" s="52"/>
    </row>
    <row r="9" spans="1:33" s="84" customFormat="1" ht="12.75">
      <c r="A9" s="80">
        <v>39873</v>
      </c>
      <c r="B9" s="81">
        <v>143007366.34</v>
      </c>
      <c r="C9" s="73">
        <v>409448.59999999992</v>
      </c>
      <c r="D9" s="74">
        <v>2.8631294350707492E-3</v>
      </c>
      <c r="E9" s="82">
        <v>1747620</v>
      </c>
      <c r="F9" s="75">
        <v>1969</v>
      </c>
      <c r="G9" s="83">
        <v>1487</v>
      </c>
      <c r="I9" s="76">
        <v>56929.81</v>
      </c>
      <c r="J9" s="76">
        <v>38.28501008742434</v>
      </c>
      <c r="K9" s="82"/>
      <c r="L9" s="76"/>
      <c r="M9" s="84">
        <v>2</v>
      </c>
      <c r="O9" s="76">
        <v>93.8</v>
      </c>
      <c r="P9" s="76"/>
      <c r="Q9" s="82"/>
      <c r="R9" s="82"/>
      <c r="S9" s="76"/>
      <c r="T9" s="76">
        <v>57023.61</v>
      </c>
      <c r="U9" s="76"/>
      <c r="V9" s="76"/>
      <c r="W9" s="76"/>
      <c r="X9" s="75">
        <v>1489</v>
      </c>
      <c r="Y9" s="75"/>
      <c r="Z9" s="75"/>
      <c r="AA9" s="75"/>
      <c r="AB9" s="85">
        <v>480</v>
      </c>
      <c r="AC9" s="83">
        <v>1067286</v>
      </c>
      <c r="AE9" s="76">
        <v>352424.98999999993</v>
      </c>
      <c r="AF9" s="76">
        <v>734.21872916666655</v>
      </c>
      <c r="AG9" s="76"/>
    </row>
    <row r="10" spans="1:33" s="84" customFormat="1" ht="12.75">
      <c r="A10" s="80">
        <v>40238</v>
      </c>
      <c r="B10" s="81">
        <v>135297338.84999999</v>
      </c>
      <c r="C10" s="73">
        <f>SUM(I10,O10,T10)</f>
        <v>241368.95999999999</v>
      </c>
      <c r="D10" s="74">
        <f>C10/B10</f>
        <v>1.7839889686788175E-3</v>
      </c>
      <c r="E10" s="82">
        <v>1253261</v>
      </c>
      <c r="F10" s="181">
        <f>SUM(G10,M10,AB10)</f>
        <v>372</v>
      </c>
      <c r="G10" s="83">
        <f>'Worksheet 2010'!B62</f>
        <v>0</v>
      </c>
      <c r="I10" s="76">
        <f>'Worksheet 2010'!C62</f>
        <v>120658.31</v>
      </c>
      <c r="J10" s="75" t="e">
        <f>I10/G10</f>
        <v>#DIV/0!</v>
      </c>
      <c r="K10" s="82"/>
      <c r="L10" s="76"/>
      <c r="M10" s="84">
        <f>'Worksheet 2010'!J62</f>
        <v>1</v>
      </c>
      <c r="O10" s="76">
        <f>'Worksheet 2010'!K62</f>
        <v>26.17</v>
      </c>
      <c r="P10" s="76"/>
      <c r="Q10" s="82"/>
      <c r="R10" s="82"/>
      <c r="S10" s="76"/>
      <c r="T10" s="76">
        <f>SUM(I10,O10)</f>
        <v>120684.48</v>
      </c>
      <c r="U10" s="76"/>
      <c r="V10" s="76"/>
      <c r="W10" s="76"/>
      <c r="X10" s="75">
        <f>SUM(G10,M10)</f>
        <v>1</v>
      </c>
      <c r="Y10" s="75"/>
      <c r="Z10" s="75"/>
      <c r="AA10" s="75"/>
      <c r="AB10" s="85">
        <f>'Worksheet 2010'!F62</f>
        <v>371</v>
      </c>
      <c r="AC10" s="83">
        <f>'Worksheet 2010'!G62</f>
        <v>402215</v>
      </c>
      <c r="AE10" s="76">
        <f>'Worksheet 2010'!H62</f>
        <v>202578.29</v>
      </c>
      <c r="AF10" s="76">
        <f>AE10/AB10</f>
        <v>546.03312668463616</v>
      </c>
      <c r="AG10" s="76"/>
    </row>
    <row r="11" spans="1:33">
      <c r="B11" s="81"/>
    </row>
    <row r="12" spans="1:33" s="84" customFormat="1" ht="12.75">
      <c r="A12" s="80">
        <v>39904</v>
      </c>
      <c r="B12" s="25">
        <v>130639947.95</v>
      </c>
      <c r="C12" s="73">
        <v>237106.21000000002</v>
      </c>
      <c r="D12" s="74">
        <v>1.8149594647017769E-3</v>
      </c>
      <c r="E12" s="82">
        <v>1370883</v>
      </c>
      <c r="F12" s="75">
        <v>3337</v>
      </c>
      <c r="G12" s="83">
        <v>2293</v>
      </c>
      <c r="I12" s="76">
        <v>74108.06</v>
      </c>
      <c r="J12" s="76">
        <v>32.319258613170518</v>
      </c>
      <c r="K12" s="82"/>
      <c r="L12" s="76"/>
      <c r="M12" s="84">
        <v>1</v>
      </c>
      <c r="O12" s="76">
        <v>47.25</v>
      </c>
      <c r="P12" s="76"/>
      <c r="Q12" s="82"/>
      <c r="R12" s="82"/>
      <c r="S12" s="76"/>
      <c r="T12" s="76">
        <v>74155.31</v>
      </c>
      <c r="U12" s="76"/>
      <c r="V12" s="76"/>
      <c r="W12" s="76"/>
      <c r="X12" s="75">
        <v>2294</v>
      </c>
      <c r="Y12" s="75"/>
      <c r="Z12" s="75"/>
      <c r="AA12" s="75"/>
      <c r="AB12" s="85">
        <v>1043</v>
      </c>
      <c r="AC12" s="83">
        <v>747618</v>
      </c>
      <c r="AE12" s="76">
        <v>162950.90000000002</v>
      </c>
      <c r="AF12" s="76">
        <v>156.23288590604028</v>
      </c>
      <c r="AG12" s="76"/>
    </row>
    <row r="13" spans="1:33" s="84" customFormat="1" ht="12.75">
      <c r="A13" s="80">
        <v>40269</v>
      </c>
      <c r="B13" s="25">
        <v>135829223.18000001</v>
      </c>
      <c r="C13" s="73">
        <f>SUM(I13,O13,T13)</f>
        <v>203792.06</v>
      </c>
      <c r="D13" s="74">
        <f>C13/B13</f>
        <v>1.5003550431112757E-3</v>
      </c>
      <c r="E13" s="82">
        <v>1233908</v>
      </c>
      <c r="F13" s="181">
        <f>SUM(G13,M13,AB13)</f>
        <v>788</v>
      </c>
      <c r="G13" s="83">
        <f>'Worksheet 2010'!B85</f>
        <v>0</v>
      </c>
      <c r="I13" s="76">
        <f>'Worksheet 2010'!C85</f>
        <v>101896.03</v>
      </c>
      <c r="J13" s="75" t="e">
        <f>I13/G13</f>
        <v>#DIV/0!</v>
      </c>
      <c r="K13" s="82"/>
      <c r="L13" s="76"/>
      <c r="M13" s="84">
        <f>'Worksheet 2010'!J85</f>
        <v>0</v>
      </c>
      <c r="O13" s="76">
        <f>'Worksheet 2010'!K85</f>
        <v>0</v>
      </c>
      <c r="P13" s="76"/>
      <c r="Q13" s="82"/>
      <c r="R13" s="82"/>
      <c r="S13" s="76"/>
      <c r="T13" s="76">
        <f>SUM(I13,O13)</f>
        <v>101896.03</v>
      </c>
      <c r="U13" s="76"/>
      <c r="V13" s="76"/>
      <c r="W13" s="76"/>
      <c r="X13" s="75">
        <f>SUM(G13,M13)</f>
        <v>0</v>
      </c>
      <c r="Y13" s="75"/>
      <c r="Z13" s="75"/>
      <c r="AA13" s="75"/>
      <c r="AB13" s="85">
        <f>'Worksheet 2010'!F85</f>
        <v>788</v>
      </c>
      <c r="AC13" s="83">
        <f>'Worksheet 2010'!G85</f>
        <v>340935</v>
      </c>
      <c r="AE13" s="76">
        <f>'Worksheet 2010'!H85</f>
        <v>139264.44</v>
      </c>
      <c r="AF13" s="76">
        <f>AE13/AB13</f>
        <v>176.73152284263961</v>
      </c>
      <c r="AG13" s="76"/>
    </row>
    <row r="15" spans="1:33">
      <c r="A15" s="80">
        <v>39934</v>
      </c>
      <c r="B15" s="76">
        <v>109415894.42</v>
      </c>
      <c r="C15" s="61">
        <v>221719.26</v>
      </c>
      <c r="D15" s="62">
        <v>2.0263898693631864E-3</v>
      </c>
      <c r="E15" s="68">
        <v>1079187</v>
      </c>
      <c r="F15" s="64">
        <v>2456</v>
      </c>
      <c r="G15" s="89">
        <v>2186</v>
      </c>
      <c r="I15" s="65">
        <v>89113.57</v>
      </c>
      <c r="J15" s="65">
        <v>40.765585544373288</v>
      </c>
      <c r="T15" s="65">
        <v>89113.57</v>
      </c>
      <c r="X15" s="64">
        <v>2186</v>
      </c>
      <c r="AB15" s="90">
        <v>270</v>
      </c>
      <c r="AC15" s="89">
        <v>500843</v>
      </c>
      <c r="AE15" s="65">
        <v>132605.69</v>
      </c>
      <c r="AF15" s="65">
        <v>491.13218518518522</v>
      </c>
    </row>
    <row r="16" spans="1:33">
      <c r="A16" s="80">
        <v>40299</v>
      </c>
      <c r="B16" s="76">
        <v>128456839.04000001</v>
      </c>
      <c r="C16" s="73">
        <f>SUM(I16,O16,T16)</f>
        <v>189646.84</v>
      </c>
      <c r="D16" s="74">
        <f>C16/B16</f>
        <v>1.4763467746621581E-3</v>
      </c>
      <c r="E16" s="68">
        <v>1184712</v>
      </c>
      <c r="F16" s="181">
        <f>SUM(G16,M16,AB16)</f>
        <v>633</v>
      </c>
      <c r="G16" s="89">
        <f>'Worksheet 2010'!B103</f>
        <v>557</v>
      </c>
      <c r="I16" s="65">
        <f>'Worksheet 2010'!C103</f>
        <v>94770.47</v>
      </c>
      <c r="J16" s="75">
        <f>I16/G16</f>
        <v>170.14447037701976</v>
      </c>
      <c r="M16" s="88">
        <f>'Worksheet 2010'!J103</f>
        <v>2</v>
      </c>
      <c r="O16" s="65">
        <f>'Worksheet 2010'!K103</f>
        <v>52.95</v>
      </c>
      <c r="T16" s="76">
        <f>SUM(I16,O16)</f>
        <v>94823.42</v>
      </c>
      <c r="X16" s="75">
        <f>SUM(G16,M16)</f>
        <v>559</v>
      </c>
      <c r="AB16" s="90">
        <f>'Worksheet 2010'!F103</f>
        <v>74</v>
      </c>
      <c r="AC16" s="89">
        <f>'Worksheet 2010'!G103</f>
        <v>88265</v>
      </c>
      <c r="AE16" s="65">
        <f>'Worksheet 2010'!H103</f>
        <v>28957.129999999997</v>
      </c>
      <c r="AF16" s="76">
        <f>AE16/AB16</f>
        <v>391.31256756756756</v>
      </c>
    </row>
    <row r="17" spans="1:32">
      <c r="A17" s="80"/>
    </row>
    <row r="18" spans="1:32">
      <c r="A18" s="80">
        <v>39965</v>
      </c>
      <c r="B18" s="25">
        <v>115073809.8</v>
      </c>
      <c r="C18" s="61">
        <v>236702.88999999998</v>
      </c>
      <c r="D18" s="62">
        <v>2.0569657892737987E-3</v>
      </c>
      <c r="E18" s="63">
        <v>1155004</v>
      </c>
      <c r="F18" s="64">
        <v>2092</v>
      </c>
      <c r="G18" s="89">
        <v>1724</v>
      </c>
      <c r="I18" s="65">
        <v>71509.78</v>
      </c>
      <c r="J18" s="65">
        <v>41.478990719257538</v>
      </c>
      <c r="T18" s="65">
        <v>71509.78</v>
      </c>
      <c r="X18" s="64">
        <v>1724</v>
      </c>
      <c r="AB18" s="90">
        <v>368</v>
      </c>
      <c r="AC18" s="89">
        <v>578624</v>
      </c>
      <c r="AE18" s="65">
        <v>165193.10999999999</v>
      </c>
      <c r="AF18" s="65">
        <v>448.89432065217386</v>
      </c>
    </row>
    <row r="19" spans="1:32">
      <c r="A19" s="80">
        <v>40330</v>
      </c>
      <c r="B19" s="25"/>
      <c r="C19" s="73">
        <f>SUM(I19,O19,T19)</f>
        <v>0</v>
      </c>
      <c r="D19" s="74" t="e">
        <f>C19/B19</f>
        <v>#DIV/0!</v>
      </c>
      <c r="E19" s="63"/>
      <c r="F19" s="181">
        <f>SUM(G19,M19,AB19)</f>
        <v>0</v>
      </c>
      <c r="G19" s="89">
        <f>'Worksheet 2010'!B124</f>
        <v>0</v>
      </c>
      <c r="T19" s="76">
        <f>SUM(I19,O19)</f>
        <v>0</v>
      </c>
      <c r="X19" s="75">
        <f>SUM(G19,M19)</f>
        <v>0</v>
      </c>
      <c r="AB19" s="90"/>
      <c r="AF19" s="76" t="e">
        <f>AE19/AB19</f>
        <v>#DIV/0!</v>
      </c>
    </row>
    <row r="21" spans="1:32">
      <c r="A21" s="80">
        <v>39995</v>
      </c>
      <c r="B21" s="25">
        <v>126351728.63</v>
      </c>
      <c r="C21" s="61">
        <v>197375.15000000002</v>
      </c>
      <c r="D21" s="62">
        <v>1.5621088222542668E-3</v>
      </c>
      <c r="E21" s="63">
        <v>1202463</v>
      </c>
      <c r="F21" s="64">
        <v>1687</v>
      </c>
      <c r="G21" s="89">
        <v>1393</v>
      </c>
      <c r="I21" s="65">
        <v>67153.790000000008</v>
      </c>
      <c r="J21" s="65">
        <v>48.208033022254135</v>
      </c>
      <c r="T21" s="65">
        <v>67153.790000000008</v>
      </c>
      <c r="X21" s="64">
        <v>1393</v>
      </c>
      <c r="AB21" s="90">
        <v>294</v>
      </c>
      <c r="AC21" s="89">
        <v>546142</v>
      </c>
      <c r="AE21" s="65">
        <v>130221.36000000002</v>
      </c>
      <c r="AF21" s="65">
        <v>442.9297959183674</v>
      </c>
    </row>
    <row r="22" spans="1:32">
      <c r="C22" s="91"/>
      <c r="D22" s="62"/>
      <c r="E22" s="63"/>
      <c r="F22" s="64"/>
    </row>
    <row r="23" spans="1:32">
      <c r="A23" s="80">
        <v>40026</v>
      </c>
      <c r="B23" s="25">
        <v>106803055.27</v>
      </c>
      <c r="C23" s="61">
        <v>211200.55000000005</v>
      </c>
      <c r="D23" s="62">
        <v>1.9774766692402324E-3</v>
      </c>
      <c r="E23" s="63">
        <v>1089383</v>
      </c>
      <c r="F23" s="64">
        <v>2390</v>
      </c>
      <c r="G23" s="89">
        <v>2034</v>
      </c>
      <c r="I23" s="65">
        <v>81012.14</v>
      </c>
      <c r="J23" s="65">
        <v>39.82897738446411</v>
      </c>
      <c r="T23" s="65">
        <v>81012.14</v>
      </c>
      <c r="X23" s="64">
        <v>2034</v>
      </c>
      <c r="AB23" s="90">
        <v>356</v>
      </c>
      <c r="AC23" s="89">
        <v>451722</v>
      </c>
      <c r="AE23" s="89">
        <v>130188.41000000003</v>
      </c>
      <c r="AF23" s="65">
        <v>365.69778089887649</v>
      </c>
    </row>
    <row r="24" spans="1:32">
      <c r="C24" s="91"/>
      <c r="D24" s="62"/>
      <c r="E24" s="63"/>
      <c r="F24" s="64"/>
    </row>
    <row r="25" spans="1:32">
      <c r="A25" s="80">
        <v>40057</v>
      </c>
      <c r="B25" s="25">
        <v>120092249.08</v>
      </c>
      <c r="C25" s="61">
        <v>302857.13000000012</v>
      </c>
      <c r="D25" s="62">
        <v>2.5218707478635899E-3</v>
      </c>
      <c r="E25" s="68">
        <v>1221043</v>
      </c>
      <c r="F25" s="64">
        <v>1988</v>
      </c>
      <c r="G25" s="89">
        <v>1602</v>
      </c>
      <c r="I25" s="65">
        <v>68867.61</v>
      </c>
      <c r="J25" s="65">
        <v>42.98852059925094</v>
      </c>
      <c r="M25" s="88">
        <v>2</v>
      </c>
      <c r="O25" s="94">
        <v>46.760000000000005</v>
      </c>
      <c r="T25" s="65">
        <v>68914.37</v>
      </c>
      <c r="X25" s="64">
        <v>1604</v>
      </c>
      <c r="AB25" s="90">
        <v>384</v>
      </c>
      <c r="AC25" s="89">
        <v>596976</v>
      </c>
      <c r="AE25" s="60">
        <v>233942.7600000001</v>
      </c>
      <c r="AF25" s="65">
        <v>609.22593750000021</v>
      </c>
    </row>
    <row r="27" spans="1:32">
      <c r="A27" s="80">
        <v>40087</v>
      </c>
      <c r="B27" s="92">
        <v>143882181.75</v>
      </c>
      <c r="C27" s="61">
        <v>180342.98899999997</v>
      </c>
      <c r="D27" s="62">
        <v>1.2534073837812093E-3</v>
      </c>
      <c r="E27" s="63">
        <v>1352901</v>
      </c>
      <c r="F27" s="64">
        <v>2250</v>
      </c>
      <c r="G27" s="89">
        <v>1957</v>
      </c>
      <c r="I27" s="65">
        <v>85331.26999999999</v>
      </c>
      <c r="J27" s="65">
        <v>43.603101686254469</v>
      </c>
      <c r="M27" s="88">
        <v>2</v>
      </c>
      <c r="O27" s="65">
        <v>46.760000000000005</v>
      </c>
      <c r="T27" s="65">
        <v>85378.029999999984</v>
      </c>
      <c r="X27" s="64">
        <v>1959</v>
      </c>
      <c r="AB27" s="90">
        <v>291</v>
      </c>
      <c r="AC27" s="89">
        <v>358067</v>
      </c>
      <c r="AE27" s="89">
        <v>94964.958999999988</v>
      </c>
      <c r="AF27" s="65">
        <v>326.3400652920962</v>
      </c>
    </row>
    <row r="29" spans="1:32">
      <c r="A29" s="80">
        <v>40118</v>
      </c>
      <c r="B29" s="92">
        <v>125686990.14</v>
      </c>
      <c r="C29" s="61">
        <v>292644.17000000004</v>
      </c>
      <c r="D29" s="62">
        <v>2.3283568941704315E-3</v>
      </c>
      <c r="E29" s="63">
        <v>1174335</v>
      </c>
      <c r="F29" s="64">
        <v>2244</v>
      </c>
      <c r="G29" s="89">
        <v>1900</v>
      </c>
      <c r="I29" s="65">
        <v>96356.209999999992</v>
      </c>
      <c r="J29" s="65">
        <v>50.713794736842104</v>
      </c>
      <c r="M29" s="88">
        <v>1</v>
      </c>
      <c r="O29" s="65">
        <v>24.78</v>
      </c>
      <c r="T29" s="65">
        <v>96380.989999999991</v>
      </c>
      <c r="X29" s="64">
        <v>1901</v>
      </c>
      <c r="AB29" s="90">
        <v>343</v>
      </c>
      <c r="AC29" s="89">
        <v>497238</v>
      </c>
      <c r="AE29" s="89">
        <v>196263.18000000005</v>
      </c>
      <c r="AF29" s="65">
        <v>572.19586005830922</v>
      </c>
    </row>
    <row r="31" spans="1:32">
      <c r="A31" s="80">
        <v>40148</v>
      </c>
      <c r="B31" s="92">
        <v>132099542.42</v>
      </c>
      <c r="C31" s="61">
        <v>136616.22</v>
      </c>
      <c r="D31" s="62">
        <v>1.0341914702901814E-3</v>
      </c>
      <c r="E31" s="63">
        <v>1258399</v>
      </c>
      <c r="F31" s="64">
        <v>2921</v>
      </c>
      <c r="G31" s="89">
        <v>2850</v>
      </c>
      <c r="I31" s="65">
        <v>116502.79000000001</v>
      </c>
      <c r="J31" s="65">
        <v>40.878171929824568</v>
      </c>
      <c r="T31" s="65">
        <v>116502.79000000001</v>
      </c>
      <c r="X31" s="64">
        <v>2850</v>
      </c>
      <c r="AB31" s="90">
        <v>71</v>
      </c>
      <c r="AC31" s="89">
        <v>89742</v>
      </c>
      <c r="AE31" s="89">
        <v>20113.43</v>
      </c>
      <c r="AF31" s="65">
        <v>283.28774647887326</v>
      </c>
    </row>
    <row r="33" spans="1:15">
      <c r="B33" s="95"/>
      <c r="C33" s="95"/>
      <c r="D33" s="96"/>
      <c r="E33" s="97"/>
      <c r="F33" s="98"/>
      <c r="G33" s="98"/>
      <c r="I33" s="95"/>
      <c r="O33" s="95"/>
    </row>
    <row r="34" spans="1:15">
      <c r="A34" s="84" t="s">
        <v>66</v>
      </c>
    </row>
    <row r="35" spans="1:15">
      <c r="A35" s="84" t="s">
        <v>67</v>
      </c>
    </row>
    <row r="36" spans="1:15">
      <c r="A36" s="84" t="s">
        <v>68</v>
      </c>
    </row>
    <row r="43" spans="1:15">
      <c r="A43" s="84" t="s">
        <v>69</v>
      </c>
      <c r="I43" s="65">
        <v>674466.34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178"/>
  <sheetViews>
    <sheetView workbookViewId="0">
      <selection activeCell="A81" sqref="A81"/>
    </sheetView>
  </sheetViews>
  <sheetFormatPr defaultRowHeight="15"/>
  <cols>
    <col min="1" max="1" width="35.85546875" style="84" customWidth="1"/>
    <col min="2" max="2" width="18.28515625" style="76" customWidth="1"/>
    <col min="3" max="3" width="14" style="76" bestFit="1" customWidth="1"/>
    <col min="4" max="4" width="14.85546875" style="86" customWidth="1"/>
    <col min="5" max="5" width="14" style="82" bestFit="1" customWidth="1"/>
    <col min="6" max="6" width="12.140625" style="87" customWidth="1"/>
    <col min="7" max="7" width="11.28515625" style="88" bestFit="1" customWidth="1"/>
    <col min="8" max="8" width="2" style="88" customWidth="1"/>
    <col min="9" max="9" width="15" style="65" bestFit="1" customWidth="1"/>
    <col min="10" max="10" width="11.28515625" style="65" bestFit="1" customWidth="1"/>
    <col min="11" max="11" width="12.28515625" style="68" hidden="1" customWidth="1"/>
    <col min="12" max="12" width="2" style="65" customWidth="1"/>
    <col min="13" max="13" width="8" style="88" customWidth="1"/>
    <col min="14" max="14" width="2" style="88" customWidth="1"/>
    <col min="15" max="15" width="12.28515625" style="65" bestFit="1" customWidth="1"/>
    <col min="16" max="16" width="11.28515625" style="65" customWidth="1"/>
    <col min="17" max="18" width="11.28515625" style="68" customWidth="1"/>
    <col min="19" max="19" width="1.5703125" style="65" customWidth="1"/>
    <col min="20" max="20" width="12.85546875" style="65" customWidth="1"/>
    <col min="21" max="21" width="2" style="65" customWidth="1"/>
    <col min="22" max="22" width="12.85546875" style="65" customWidth="1"/>
    <col min="23" max="23" width="2.140625" style="65" customWidth="1"/>
    <col min="24" max="24" width="11.140625" style="64" customWidth="1"/>
    <col min="25" max="25" width="2.140625" style="64" customWidth="1"/>
    <col min="26" max="26" width="11.140625" style="64" customWidth="1"/>
    <col min="27" max="27" width="2.140625" style="64" customWidth="1"/>
    <col min="28" max="28" width="11.5703125" style="88" bestFit="1" customWidth="1"/>
    <col min="29" max="29" width="12.28515625" style="89" bestFit="1" customWidth="1"/>
    <col min="30" max="30" width="2.140625" style="88" customWidth="1"/>
    <col min="31" max="31" width="15" style="65" bestFit="1" customWidth="1"/>
    <col min="32" max="32" width="10.42578125" style="65" customWidth="1"/>
    <col min="33" max="33" width="3" style="65" customWidth="1"/>
    <col min="34" max="34" width="12.85546875" style="88" hidden="1" customWidth="1"/>
    <col min="35" max="35" width="12.140625" style="87" hidden="1" customWidth="1"/>
    <col min="36" max="36" width="14.5703125" style="87" hidden="1" customWidth="1"/>
    <col min="37" max="37" width="13.5703125" style="110" hidden="1" customWidth="1"/>
    <col min="38" max="38" width="12.28515625" style="111" hidden="1" customWidth="1"/>
    <col min="39" max="39" width="9.7109375" style="111" hidden="1" customWidth="1"/>
    <col min="40" max="41" width="12.28515625" style="88" hidden="1" customWidth="1"/>
    <col min="42" max="16384" width="9.140625" style="88"/>
  </cols>
  <sheetData>
    <row r="1" spans="1:41" s="45" customFormat="1" ht="63.75">
      <c r="B1" s="46" t="s">
        <v>33</v>
      </c>
      <c r="C1" s="45" t="s">
        <v>34</v>
      </c>
      <c r="D1" s="47" t="s">
        <v>35</v>
      </c>
      <c r="E1" s="48" t="s">
        <v>36</v>
      </c>
      <c r="F1" s="49" t="s">
        <v>37</v>
      </c>
      <c r="G1" s="50" t="s">
        <v>38</v>
      </c>
      <c r="I1" s="51" t="s">
        <v>39</v>
      </c>
      <c r="J1" s="52" t="s">
        <v>40</v>
      </c>
      <c r="K1" s="53" t="s">
        <v>41</v>
      </c>
      <c r="L1" s="52"/>
      <c r="M1" s="45" t="s">
        <v>42</v>
      </c>
      <c r="O1" s="52" t="s">
        <v>43</v>
      </c>
      <c r="P1" s="52" t="s">
        <v>70</v>
      </c>
      <c r="Q1" s="53" t="s">
        <v>45</v>
      </c>
      <c r="R1" s="53" t="s">
        <v>46</v>
      </c>
      <c r="S1" s="52"/>
      <c r="T1" s="99" t="s">
        <v>47</v>
      </c>
      <c r="U1" s="52"/>
      <c r="V1" s="52" t="s">
        <v>48</v>
      </c>
      <c r="W1" s="52"/>
      <c r="X1" s="54" t="s">
        <v>49</v>
      </c>
      <c r="Y1" s="55"/>
      <c r="Z1" s="52" t="s">
        <v>50</v>
      </c>
      <c r="AA1" s="55"/>
      <c r="AB1" s="50" t="s">
        <v>51</v>
      </c>
      <c r="AC1" s="56" t="s">
        <v>52</v>
      </c>
      <c r="AE1" s="51" t="s">
        <v>53</v>
      </c>
      <c r="AF1" s="52" t="s">
        <v>54</v>
      </c>
      <c r="AG1" s="52"/>
      <c r="AH1" s="45" t="s">
        <v>71</v>
      </c>
      <c r="AI1" s="49" t="s">
        <v>72</v>
      </c>
      <c r="AJ1" s="49" t="s">
        <v>73</v>
      </c>
      <c r="AK1" s="55" t="s">
        <v>74</v>
      </c>
      <c r="AL1" s="52" t="s">
        <v>75</v>
      </c>
      <c r="AM1" s="52" t="s">
        <v>76</v>
      </c>
      <c r="AN1" s="45" t="s">
        <v>77</v>
      </c>
      <c r="AO1" s="45" t="s">
        <v>78</v>
      </c>
    </row>
    <row r="2" spans="1:41" s="45" customFormat="1" ht="12.75">
      <c r="B2" s="52"/>
      <c r="D2" s="47"/>
      <c r="E2" s="58"/>
      <c r="F2" s="49"/>
      <c r="I2" s="52"/>
      <c r="J2" s="52"/>
      <c r="K2" s="53"/>
      <c r="L2" s="52"/>
      <c r="O2" s="52"/>
      <c r="P2" s="52"/>
      <c r="Q2" s="53"/>
      <c r="R2" s="53"/>
      <c r="S2" s="52"/>
      <c r="T2" s="52"/>
      <c r="U2" s="52"/>
      <c r="V2" s="52"/>
      <c r="W2" s="52"/>
      <c r="X2" s="55"/>
      <c r="Y2" s="55"/>
      <c r="Z2" s="52"/>
      <c r="AA2" s="55"/>
      <c r="AC2" s="58"/>
      <c r="AE2" s="52"/>
      <c r="AF2" s="52"/>
      <c r="AG2" s="52"/>
      <c r="AI2" s="49"/>
      <c r="AJ2" s="49"/>
      <c r="AK2" s="55"/>
      <c r="AL2" s="52"/>
      <c r="AM2" s="52"/>
    </row>
    <row r="3" spans="1:41" s="45" customFormat="1" ht="12.75">
      <c r="A3" s="45" t="s">
        <v>79</v>
      </c>
      <c r="B3" s="52">
        <v>7400000</v>
      </c>
      <c r="C3" s="61">
        <v>87671.01</v>
      </c>
      <c r="D3" s="62">
        <v>1.1847433783783784E-2</v>
      </c>
      <c r="E3" s="100"/>
      <c r="F3" s="101">
        <v>4669</v>
      </c>
      <c r="G3" s="70">
        <v>1606</v>
      </c>
      <c r="I3" s="67">
        <v>8516.81</v>
      </c>
      <c r="J3" s="65">
        <v>5.3031195516811955</v>
      </c>
      <c r="K3" s="66">
        <v>8516.81</v>
      </c>
      <c r="L3" s="52"/>
      <c r="M3" s="59">
        <v>2812</v>
      </c>
      <c r="O3" s="67">
        <v>48768.89</v>
      </c>
      <c r="P3" s="65">
        <v>17.343133001422476</v>
      </c>
      <c r="Q3" s="66">
        <v>48802</v>
      </c>
      <c r="R3" s="68">
        <v>57318.81</v>
      </c>
      <c r="S3" s="52"/>
      <c r="T3" s="65">
        <v>57285.7</v>
      </c>
      <c r="U3" s="52"/>
      <c r="V3" s="52">
        <v>0</v>
      </c>
      <c r="W3" s="52"/>
      <c r="X3" s="64">
        <v>4418</v>
      </c>
      <c r="Y3" s="55"/>
      <c r="Z3" s="64">
        <v>-2482</v>
      </c>
      <c r="AA3" s="55"/>
      <c r="AB3" s="59">
        <v>251</v>
      </c>
      <c r="AC3" s="57">
        <v>59451</v>
      </c>
      <c r="AE3" s="67">
        <v>30385.31</v>
      </c>
      <c r="AF3" s="65">
        <v>121.05701195219125</v>
      </c>
      <c r="AG3" s="52"/>
      <c r="AI3" s="49"/>
      <c r="AJ3" s="49"/>
      <c r="AK3" s="55"/>
      <c r="AL3" s="52"/>
      <c r="AM3" s="52"/>
    </row>
    <row r="4" spans="1:41" s="45" customFormat="1">
      <c r="A4" s="45" t="s">
        <v>80</v>
      </c>
      <c r="B4" s="52">
        <v>7826992.6399999997</v>
      </c>
      <c r="C4" s="61">
        <v>137398.76999999999</v>
      </c>
      <c r="D4" s="62">
        <v>1.7554477986579529E-2</v>
      </c>
      <c r="E4" s="100">
        <v>909758</v>
      </c>
      <c r="F4" s="101">
        <v>7298</v>
      </c>
      <c r="G4" s="70">
        <v>3924</v>
      </c>
      <c r="I4" s="67">
        <v>15127.84</v>
      </c>
      <c r="J4" s="65">
        <v>3.8552089704383281</v>
      </c>
      <c r="K4" s="66">
        <v>47545.38</v>
      </c>
      <c r="L4" s="52"/>
      <c r="M4" s="59">
        <v>2976</v>
      </c>
      <c r="O4" s="67">
        <v>57560.41</v>
      </c>
      <c r="P4" s="65">
        <v>19.341535618279572</v>
      </c>
      <c r="Q4" s="66">
        <v>58079</v>
      </c>
      <c r="R4" s="68">
        <v>105624.38</v>
      </c>
      <c r="S4" s="52"/>
      <c r="T4" s="65">
        <v>72688.25</v>
      </c>
      <c r="U4" s="52"/>
      <c r="V4" s="52"/>
      <c r="W4" s="52"/>
      <c r="X4" s="64">
        <v>6900</v>
      </c>
      <c r="Y4" s="55"/>
      <c r="Z4" s="64"/>
      <c r="AA4" s="55"/>
      <c r="AB4" s="59">
        <v>398</v>
      </c>
      <c r="AC4" s="57">
        <v>133480.37</v>
      </c>
      <c r="AE4" s="67">
        <v>64710.52</v>
      </c>
      <c r="AF4" s="65">
        <v>162.58924623115578</v>
      </c>
      <c r="AG4" s="52"/>
      <c r="AH4" s="91"/>
      <c r="AI4" s="49"/>
      <c r="AJ4" s="49"/>
      <c r="AK4" s="55"/>
      <c r="AL4" s="52"/>
      <c r="AM4" s="52"/>
    </row>
    <row r="5" spans="1:41" s="45" customFormat="1" ht="12.75">
      <c r="A5" s="45" t="s">
        <v>81</v>
      </c>
      <c r="B5" s="72">
        <v>13641310</v>
      </c>
      <c r="C5" s="61">
        <v>73365.850000000006</v>
      </c>
      <c r="D5" s="62">
        <v>5.3782114767569984E-3</v>
      </c>
      <c r="E5" s="100">
        <v>466018</v>
      </c>
      <c r="F5" s="101">
        <v>2057</v>
      </c>
      <c r="G5" s="70">
        <v>1905</v>
      </c>
      <c r="I5" s="67">
        <v>38953.85</v>
      </c>
      <c r="J5" s="65">
        <v>20.448215223097112</v>
      </c>
      <c r="K5" s="66"/>
      <c r="L5" s="52"/>
      <c r="M5" s="59"/>
      <c r="O5" s="67"/>
      <c r="P5" s="65"/>
      <c r="Q5" s="66"/>
      <c r="R5" s="68"/>
      <c r="S5" s="52"/>
      <c r="T5" s="65">
        <v>38953.85</v>
      </c>
      <c r="U5" s="52"/>
      <c r="V5" s="52"/>
      <c r="W5" s="52"/>
      <c r="X5" s="64">
        <v>1905</v>
      </c>
      <c r="Y5" s="55"/>
      <c r="Z5" s="64"/>
      <c r="AA5" s="55"/>
      <c r="AB5" s="59">
        <v>152</v>
      </c>
      <c r="AC5" s="57">
        <v>64991</v>
      </c>
      <c r="AE5" s="67">
        <v>34412</v>
      </c>
      <c r="AF5" s="65">
        <v>226.39473684210526</v>
      </c>
      <c r="AG5" s="52"/>
      <c r="AI5" s="49"/>
      <c r="AJ5" s="49"/>
      <c r="AK5" s="55"/>
      <c r="AL5" s="52"/>
      <c r="AM5" s="52"/>
    </row>
    <row r="6" spans="1:41" s="45" customFormat="1" ht="12.75">
      <c r="A6" s="45" t="s">
        <v>82</v>
      </c>
      <c r="B6" s="52">
        <v>34731081.299999997</v>
      </c>
      <c r="C6" s="61">
        <v>136306.97</v>
      </c>
      <c r="D6" s="62">
        <v>3.9246393978525519E-3</v>
      </c>
      <c r="E6" s="100">
        <v>805305</v>
      </c>
      <c r="F6" s="101">
        <v>7975</v>
      </c>
      <c r="G6" s="70">
        <v>7753</v>
      </c>
      <c r="I6" s="67">
        <v>79111.56</v>
      </c>
      <c r="J6" s="65">
        <v>10.20399329291887</v>
      </c>
      <c r="K6" s="66"/>
      <c r="L6" s="52"/>
      <c r="M6" s="59">
        <v>16</v>
      </c>
      <c r="O6" s="67">
        <v>675.1</v>
      </c>
      <c r="P6" s="65">
        <v>42.193750000000001</v>
      </c>
      <c r="Q6" s="66"/>
      <c r="R6" s="68"/>
      <c r="S6" s="52"/>
      <c r="T6" s="65">
        <v>79786.66</v>
      </c>
      <c r="U6" s="52"/>
      <c r="V6" s="52"/>
      <c r="W6" s="52"/>
      <c r="X6" s="64">
        <v>7769</v>
      </c>
      <c r="Y6" s="55"/>
      <c r="Z6" s="64"/>
      <c r="AA6" s="55"/>
      <c r="AB6" s="59">
        <v>206</v>
      </c>
      <c r="AC6" s="57">
        <v>58753</v>
      </c>
      <c r="AE6" s="67">
        <v>56520.31</v>
      </c>
      <c r="AF6" s="65">
        <v>274.37043689320387</v>
      </c>
      <c r="AG6" s="52"/>
      <c r="AI6" s="49"/>
      <c r="AJ6" s="49"/>
      <c r="AK6" s="55"/>
      <c r="AL6" s="52"/>
      <c r="AM6" s="52"/>
    </row>
    <row r="7" spans="1:41" s="45" customFormat="1" ht="12.75">
      <c r="A7" s="45" t="s">
        <v>83</v>
      </c>
      <c r="B7" s="72">
        <v>64075074.509999998</v>
      </c>
      <c r="C7" s="61">
        <v>254354.96999999997</v>
      </c>
      <c r="D7" s="62">
        <v>3.9696398630063795E-3</v>
      </c>
      <c r="E7" s="100">
        <v>1004762</v>
      </c>
      <c r="F7" s="101">
        <v>7590</v>
      </c>
      <c r="G7" s="70">
        <v>6983</v>
      </c>
      <c r="I7" s="67">
        <v>89992.76</v>
      </c>
      <c r="J7" s="65">
        <v>12.887406558785621</v>
      </c>
      <c r="K7" s="66"/>
      <c r="L7" s="52"/>
      <c r="M7" s="59"/>
      <c r="O7" s="67"/>
      <c r="P7" s="65"/>
      <c r="Q7" s="66"/>
      <c r="R7" s="68"/>
      <c r="S7" s="52"/>
      <c r="T7" s="65">
        <v>89992.76</v>
      </c>
      <c r="U7" s="52"/>
      <c r="V7" s="52"/>
      <c r="W7" s="52"/>
      <c r="X7" s="64">
        <v>6983</v>
      </c>
      <c r="Y7" s="55"/>
      <c r="Z7" s="64"/>
      <c r="AA7" s="55"/>
      <c r="AB7" s="59">
        <v>607</v>
      </c>
      <c r="AC7" s="57">
        <v>358240</v>
      </c>
      <c r="AE7" s="67">
        <v>164362.21</v>
      </c>
      <c r="AF7" s="65">
        <v>270.77794069192748</v>
      </c>
      <c r="AG7" s="52"/>
      <c r="AI7" s="49"/>
      <c r="AJ7" s="49"/>
      <c r="AK7" s="55"/>
      <c r="AL7" s="52"/>
      <c r="AM7" s="52"/>
    </row>
    <row r="8" spans="1:41" s="45" customFormat="1">
      <c r="A8" s="45" t="s">
        <v>84</v>
      </c>
      <c r="B8" s="72">
        <v>83549000.25</v>
      </c>
      <c r="C8" s="61">
        <v>341593.53</v>
      </c>
      <c r="D8" s="62">
        <v>4.0885412031007517E-3</v>
      </c>
      <c r="E8" s="100">
        <v>1397122</v>
      </c>
      <c r="F8" s="101">
        <v>7921</v>
      </c>
      <c r="G8" s="70">
        <v>7355</v>
      </c>
      <c r="I8" s="102">
        <v>147372.5</v>
      </c>
      <c r="J8" s="65">
        <v>20.03704962610469</v>
      </c>
      <c r="K8" s="66"/>
      <c r="L8" s="52"/>
      <c r="M8" s="59"/>
      <c r="O8" s="67"/>
      <c r="P8" s="65"/>
      <c r="Q8" s="66"/>
      <c r="R8" s="68"/>
      <c r="S8" s="52"/>
      <c r="T8" s="65">
        <v>147372.5</v>
      </c>
      <c r="U8" s="52"/>
      <c r="V8" s="52"/>
      <c r="W8" s="52"/>
      <c r="X8" s="64">
        <v>7355</v>
      </c>
      <c r="Y8" s="55"/>
      <c r="Z8" s="64"/>
      <c r="AA8" s="55"/>
      <c r="AB8" s="59">
        <v>566</v>
      </c>
      <c r="AC8" s="57">
        <v>413229</v>
      </c>
      <c r="AE8" s="67">
        <v>194221.03</v>
      </c>
      <c r="AF8" s="65">
        <v>343.1466961130742</v>
      </c>
      <c r="AG8" s="52"/>
      <c r="AI8" s="49"/>
      <c r="AJ8" s="49"/>
      <c r="AK8" s="55"/>
      <c r="AL8" s="52"/>
      <c r="AM8" s="52"/>
    </row>
    <row r="9" spans="1:41" s="45" customFormat="1">
      <c r="A9" s="45" t="s">
        <v>85</v>
      </c>
      <c r="B9" s="72">
        <v>55669432.740000002</v>
      </c>
      <c r="C9" s="61">
        <v>157015.23000000001</v>
      </c>
      <c r="D9" s="62">
        <v>2.8204927241369266E-3</v>
      </c>
      <c r="E9" s="100">
        <v>807575</v>
      </c>
      <c r="F9" s="101">
        <v>4216</v>
      </c>
      <c r="G9" s="90">
        <v>4059</v>
      </c>
      <c r="I9" s="102">
        <v>80599.53</v>
      </c>
      <c r="J9" s="65">
        <v>19.856991869918698</v>
      </c>
      <c r="K9" s="66"/>
      <c r="L9" s="52"/>
      <c r="M9" s="59"/>
      <c r="O9" s="67"/>
      <c r="P9" s="65"/>
      <c r="Q9" s="66"/>
      <c r="R9" s="68"/>
      <c r="S9" s="52"/>
      <c r="T9" s="65">
        <v>80599.53</v>
      </c>
      <c r="U9" s="52"/>
      <c r="V9" s="52"/>
      <c r="W9" s="52"/>
      <c r="X9" s="64">
        <v>4059</v>
      </c>
      <c r="Y9" s="55"/>
      <c r="Z9" s="64"/>
      <c r="AA9" s="55"/>
      <c r="AB9" s="59">
        <v>157</v>
      </c>
      <c r="AC9" s="57">
        <v>242465</v>
      </c>
      <c r="AE9" s="67">
        <v>76415.700000000012</v>
      </c>
      <c r="AF9" s="65">
        <v>486.72420382165615</v>
      </c>
      <c r="AG9" s="52"/>
      <c r="AI9" s="49"/>
      <c r="AJ9" s="49"/>
      <c r="AK9" s="55"/>
      <c r="AL9" s="52"/>
      <c r="AM9" s="52"/>
    </row>
    <row r="10" spans="1:41" s="45" customFormat="1" ht="12.75">
      <c r="A10" s="45" t="s">
        <v>86</v>
      </c>
      <c r="B10" s="72">
        <v>65062458.350000001</v>
      </c>
      <c r="C10" s="61">
        <v>310711.39</v>
      </c>
      <c r="D10" s="62">
        <v>4.7755863808364692E-3</v>
      </c>
      <c r="E10" s="100">
        <v>974900</v>
      </c>
      <c r="F10" s="101">
        <v>4037</v>
      </c>
      <c r="G10" s="70">
        <v>3571</v>
      </c>
      <c r="H10" s="59"/>
      <c r="I10" s="60">
        <v>60334.97</v>
      </c>
      <c r="J10" s="65">
        <v>16.895819098291796</v>
      </c>
      <c r="K10" s="66"/>
      <c r="L10" s="52"/>
      <c r="M10" s="59">
        <v>0</v>
      </c>
      <c r="O10" s="66">
        <v>0</v>
      </c>
      <c r="R10" s="68"/>
      <c r="S10" s="52"/>
      <c r="T10" s="65">
        <v>60334.97</v>
      </c>
      <c r="U10" s="52"/>
      <c r="V10" s="52"/>
      <c r="W10" s="52"/>
      <c r="X10" s="64">
        <v>3571</v>
      </c>
      <c r="Y10" s="55"/>
      <c r="Z10" s="64"/>
      <c r="AA10" s="55"/>
      <c r="AB10" s="59">
        <v>466</v>
      </c>
      <c r="AC10" s="57">
        <v>541835</v>
      </c>
      <c r="AE10" s="67">
        <v>250376.42000000004</v>
      </c>
      <c r="AF10" s="65">
        <v>537.28845493562244</v>
      </c>
      <c r="AG10" s="52"/>
    </row>
    <row r="11" spans="1:41" s="45" customFormat="1" ht="12.75">
      <c r="A11" s="45" t="s">
        <v>87</v>
      </c>
      <c r="B11" s="72">
        <v>75469564.579999998</v>
      </c>
      <c r="C11" s="61">
        <v>183877.04</v>
      </c>
      <c r="D11" s="62">
        <v>2.4364396564801275E-3</v>
      </c>
      <c r="E11" s="100">
        <v>867354</v>
      </c>
      <c r="F11" s="101">
        <v>2233</v>
      </c>
      <c r="G11" s="70">
        <v>1833</v>
      </c>
      <c r="H11" s="59"/>
      <c r="I11" s="60">
        <v>34341.230000000003</v>
      </c>
      <c r="J11" s="65">
        <v>18.734986361156576</v>
      </c>
      <c r="K11" s="66"/>
      <c r="L11" s="52"/>
      <c r="M11" s="59">
        <v>0</v>
      </c>
      <c r="O11" s="66">
        <v>0</v>
      </c>
      <c r="R11" s="68"/>
      <c r="S11" s="52"/>
      <c r="T11" s="65">
        <v>34341.230000000003</v>
      </c>
      <c r="U11" s="52"/>
      <c r="V11" s="52"/>
      <c r="W11" s="52"/>
      <c r="X11" s="64">
        <v>1833</v>
      </c>
      <c r="Y11" s="55"/>
      <c r="Z11" s="64"/>
      <c r="AA11" s="55"/>
      <c r="AB11" s="59">
        <v>400</v>
      </c>
      <c r="AC11" s="57">
        <v>479034</v>
      </c>
      <c r="AE11" s="67">
        <v>149535.81</v>
      </c>
      <c r="AF11" s="65">
        <v>373.83952499999998</v>
      </c>
      <c r="AG11" s="52"/>
    </row>
    <row r="12" spans="1:41" s="45" customFormat="1" ht="12.75">
      <c r="A12" s="45" t="s">
        <v>55</v>
      </c>
      <c r="B12" s="72">
        <v>96198919.700000003</v>
      </c>
      <c r="C12" s="61">
        <v>170894.65999999997</v>
      </c>
      <c r="D12" s="62">
        <v>1.7764717164490151E-3</v>
      </c>
      <c r="E12" s="100">
        <v>885123</v>
      </c>
      <c r="F12" s="101">
        <v>1800</v>
      </c>
      <c r="G12" s="70">
        <v>1485</v>
      </c>
      <c r="H12" s="59"/>
      <c r="I12" s="60">
        <v>28774.05</v>
      </c>
      <c r="J12" s="65">
        <v>19.376464646464648</v>
      </c>
      <c r="K12" s="66"/>
      <c r="L12" s="52"/>
      <c r="M12" s="59"/>
      <c r="O12" s="66"/>
      <c r="R12" s="68"/>
      <c r="S12" s="52"/>
      <c r="T12" s="65">
        <v>28774.05</v>
      </c>
      <c r="U12" s="52"/>
      <c r="V12" s="52"/>
      <c r="W12" s="52"/>
      <c r="X12" s="64">
        <v>1485</v>
      </c>
      <c r="Y12" s="55"/>
      <c r="Z12" s="64"/>
      <c r="AA12" s="55"/>
      <c r="AB12" s="59">
        <v>315</v>
      </c>
      <c r="AC12" s="57">
        <v>495654</v>
      </c>
      <c r="AE12" s="67">
        <v>142120.60999999999</v>
      </c>
      <c r="AF12" s="65">
        <v>451.17653968253961</v>
      </c>
      <c r="AG12" s="52"/>
    </row>
    <row r="13" spans="1:41" s="45" customFormat="1" ht="12.75">
      <c r="A13" s="45" t="s">
        <v>88</v>
      </c>
      <c r="B13" s="72">
        <v>100016803.81999999</v>
      </c>
      <c r="C13" s="72">
        <v>202196.88999999998</v>
      </c>
      <c r="D13" s="103">
        <v>2.021629189070001E-3</v>
      </c>
      <c r="E13" s="104">
        <v>1169614</v>
      </c>
      <c r="F13" s="104">
        <v>1970</v>
      </c>
      <c r="G13" s="104">
        <v>1664</v>
      </c>
      <c r="H13" s="72">
        <v>0</v>
      </c>
      <c r="I13" s="72">
        <v>67362</v>
      </c>
      <c r="J13" s="72">
        <v>40.481971153846153</v>
      </c>
      <c r="K13" s="72">
        <v>0</v>
      </c>
      <c r="L13" s="72">
        <v>0</v>
      </c>
      <c r="M13" s="59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67362</v>
      </c>
      <c r="U13" s="72">
        <v>0</v>
      </c>
      <c r="V13" s="72">
        <v>0</v>
      </c>
      <c r="W13" s="72">
        <v>0</v>
      </c>
      <c r="X13" s="64">
        <v>1664</v>
      </c>
      <c r="Y13" s="105">
        <v>0</v>
      </c>
      <c r="Z13" s="105">
        <v>0</v>
      </c>
      <c r="AA13" s="105">
        <v>0</v>
      </c>
      <c r="AB13" s="59">
        <v>306</v>
      </c>
      <c r="AC13" s="104">
        <v>526395</v>
      </c>
      <c r="AD13" s="72">
        <v>0</v>
      </c>
      <c r="AE13" s="72">
        <v>134834.88999999998</v>
      </c>
      <c r="AF13" s="72">
        <v>440.63689542483655</v>
      </c>
      <c r="AG13" s="52"/>
    </row>
    <row r="14" spans="1:41" s="45" customFormat="1" ht="12.75">
      <c r="A14" s="71">
        <v>40179</v>
      </c>
      <c r="B14" s="72">
        <f>'Freight 2009-2010'!B4</f>
        <v>131335287.53</v>
      </c>
      <c r="C14" s="72">
        <f>'Freight 2009-2010'!C4</f>
        <v>273995.42000000004</v>
      </c>
      <c r="D14" s="103">
        <f>'Freight 2009-2010'!D4</f>
        <v>2.0862285007554665E-3</v>
      </c>
      <c r="E14" s="104">
        <f>'Freight 2009-2010'!E4</f>
        <v>1305602</v>
      </c>
      <c r="F14" s="104">
        <f>'Freight 2009-2010'!F4</f>
        <v>329</v>
      </c>
      <c r="G14" s="104">
        <f>'Freight 2009-2010'!G4</f>
        <v>0</v>
      </c>
      <c r="H14" s="72"/>
      <c r="I14" s="72">
        <f>'Freight 2009-2010'!I4</f>
        <v>136972.70000000001</v>
      </c>
      <c r="J14" s="72" t="e">
        <f>'Freight 2009-2010'!J4</f>
        <v>#DIV/0!</v>
      </c>
      <c r="K14" s="72">
        <f>'Freight 2009-2010'!K4</f>
        <v>0</v>
      </c>
      <c r="L14" s="72">
        <f>'Freight 2009-2010'!L4</f>
        <v>0</v>
      </c>
      <c r="M14" s="59">
        <f>'Freight 2009-2010'!M4</f>
        <v>1</v>
      </c>
      <c r="N14" s="72">
        <f>'Freight 2009-2010'!N4</f>
        <v>0</v>
      </c>
      <c r="O14" s="72">
        <f>'Freight 2009-2010'!O4</f>
        <v>25.01</v>
      </c>
      <c r="P14" s="72">
        <f>'Freight 2009-2010'!P4</f>
        <v>0</v>
      </c>
      <c r="Q14" s="72">
        <f>'Freight 2009-2010'!Q4</f>
        <v>0</v>
      </c>
      <c r="R14" s="72">
        <f>'Freight 2009-2010'!R4</f>
        <v>0</v>
      </c>
      <c r="S14" s="72">
        <f>'Freight 2009-2010'!S4</f>
        <v>0</v>
      </c>
      <c r="T14" s="72">
        <f>'Freight 2009-2010'!T4</f>
        <v>136997.71000000002</v>
      </c>
      <c r="U14" s="72">
        <f>'Freight 2009-2010'!U4</f>
        <v>0</v>
      </c>
      <c r="V14" s="72">
        <f>'Freight 2009-2010'!V4</f>
        <v>0</v>
      </c>
      <c r="W14" s="72">
        <f>'Freight 2009-2010'!W4</f>
        <v>0</v>
      </c>
      <c r="X14" s="64">
        <f>'Freight 2009-2010'!X4</f>
        <v>1</v>
      </c>
      <c r="Y14" s="72">
        <f>'Freight 2009-2010'!Y4</f>
        <v>0</v>
      </c>
      <c r="Z14" s="72">
        <f>'Freight 2009-2010'!Z4</f>
        <v>0</v>
      </c>
      <c r="AA14" s="72">
        <f>'Freight 2009-2010'!AA4</f>
        <v>0</v>
      </c>
      <c r="AB14" s="59">
        <f>'Freight 2009-2010'!AB4</f>
        <v>328</v>
      </c>
      <c r="AC14" s="72">
        <f>'Freight 2009-2010'!AC4</f>
        <v>370982</v>
      </c>
      <c r="AD14" s="72">
        <f>'Freight 2009-2010'!AD4</f>
        <v>0</v>
      </c>
      <c r="AE14" s="72">
        <f>'Freight 2009-2010'!AE4</f>
        <v>140846.10999999999</v>
      </c>
      <c r="AF14" s="72">
        <f>'Freight 2009-2010'!AF4</f>
        <v>429.40887195121945</v>
      </c>
      <c r="AG14" s="52"/>
    </row>
    <row r="15" spans="1:41" s="45" customFormat="1">
      <c r="B15" s="72"/>
      <c r="C15" s="61"/>
      <c r="D15" s="62"/>
      <c r="E15" s="63"/>
      <c r="F15" s="64"/>
      <c r="G15" s="59"/>
      <c r="I15" s="102"/>
      <c r="J15" s="65"/>
      <c r="K15" s="66"/>
      <c r="L15" s="52"/>
      <c r="M15" s="59"/>
      <c r="O15" s="67"/>
      <c r="P15" s="65"/>
      <c r="Q15" s="66"/>
      <c r="R15" s="68"/>
      <c r="S15" s="52"/>
      <c r="T15" s="65"/>
      <c r="U15" s="52"/>
      <c r="V15" s="52"/>
      <c r="W15" s="52"/>
      <c r="X15" s="64"/>
      <c r="Y15" s="55"/>
      <c r="Z15" s="64"/>
      <c r="AA15" s="55"/>
      <c r="AB15" s="59"/>
      <c r="AC15" s="57"/>
      <c r="AE15" s="67"/>
      <c r="AF15" s="65"/>
      <c r="AG15" s="52"/>
      <c r="AI15" s="49"/>
      <c r="AJ15" s="49"/>
      <c r="AK15" s="55"/>
      <c r="AL15" s="52"/>
      <c r="AM15" s="52"/>
    </row>
    <row r="16" spans="1:41" s="45" customFormat="1">
      <c r="A16" s="45" t="s">
        <v>89</v>
      </c>
      <c r="B16" s="52">
        <v>10487000</v>
      </c>
      <c r="C16" s="91">
        <v>37863.35</v>
      </c>
      <c r="D16" s="106">
        <v>3.6105034804996662E-3</v>
      </c>
      <c r="E16" s="107"/>
      <c r="F16" s="64">
        <v>3408</v>
      </c>
      <c r="G16" s="59">
        <v>2833</v>
      </c>
      <c r="I16" s="67">
        <v>12155.1</v>
      </c>
      <c r="J16" s="65">
        <v>4.2905400635368869</v>
      </c>
      <c r="K16" s="66">
        <v>31967.3</v>
      </c>
      <c r="L16" s="52"/>
      <c r="M16" s="59">
        <v>356</v>
      </c>
      <c r="O16" s="67">
        <v>6774.25</v>
      </c>
      <c r="P16" s="65">
        <v>19.028792134831459</v>
      </c>
      <c r="Q16" s="66">
        <v>6464</v>
      </c>
      <c r="R16" s="68">
        <v>38431.300000000003</v>
      </c>
      <c r="S16" s="52"/>
      <c r="T16" s="65">
        <v>18929.349999999999</v>
      </c>
      <c r="U16" s="52"/>
      <c r="V16" s="65">
        <v>0</v>
      </c>
      <c r="W16" s="52"/>
      <c r="X16" s="64">
        <v>3189</v>
      </c>
      <c r="Y16" s="55"/>
      <c r="Z16" s="64">
        <v>-4457</v>
      </c>
      <c r="AA16" s="55"/>
      <c r="AB16" s="59">
        <v>219</v>
      </c>
      <c r="AC16" s="57">
        <v>48725</v>
      </c>
      <c r="AE16" s="67">
        <v>18934</v>
      </c>
      <c r="AF16" s="65">
        <v>86.456621004566216</v>
      </c>
      <c r="AG16" s="52"/>
      <c r="AI16" s="49"/>
      <c r="AJ16" s="49"/>
      <c r="AK16" s="55"/>
      <c r="AL16" s="52"/>
      <c r="AM16" s="52"/>
    </row>
    <row r="17" spans="1:39" s="45" customFormat="1">
      <c r="A17" s="45" t="s">
        <v>90</v>
      </c>
      <c r="B17" s="52">
        <v>8131359.79</v>
      </c>
      <c r="C17" s="91">
        <v>74472.459999999992</v>
      </c>
      <c r="D17" s="106">
        <v>9.1586723405827786E-3</v>
      </c>
      <c r="E17" s="107">
        <v>970965</v>
      </c>
      <c r="F17" s="64">
        <v>7944</v>
      </c>
      <c r="G17" s="59">
        <v>5691</v>
      </c>
      <c r="I17" s="67">
        <v>11802.86</v>
      </c>
      <c r="J17" s="65">
        <v>2.0739518538042523</v>
      </c>
      <c r="K17" s="66">
        <v>32547.19</v>
      </c>
      <c r="L17" s="52"/>
      <c r="M17" s="59">
        <v>1955</v>
      </c>
      <c r="O17" s="67">
        <v>37365.599999999999</v>
      </c>
      <c r="P17" s="65">
        <v>19.112838874680307</v>
      </c>
      <c r="Q17" s="66">
        <v>34971</v>
      </c>
      <c r="R17" s="68">
        <v>67518.19</v>
      </c>
      <c r="S17" s="52"/>
      <c r="T17" s="65">
        <v>49168.46</v>
      </c>
      <c r="U17" s="52"/>
      <c r="V17" s="65"/>
      <c r="W17" s="52"/>
      <c r="X17" s="64">
        <v>7646</v>
      </c>
      <c r="Y17" s="55"/>
      <c r="Z17" s="64"/>
      <c r="AA17" s="55"/>
      <c r="AB17" s="59">
        <v>298</v>
      </c>
      <c r="AC17" s="57">
        <v>163911</v>
      </c>
      <c r="AE17" s="67">
        <v>25304</v>
      </c>
      <c r="AF17" s="65">
        <v>84.912751677852356</v>
      </c>
      <c r="AG17" s="52"/>
      <c r="AI17" s="49"/>
      <c r="AJ17" s="49"/>
      <c r="AK17" s="55"/>
      <c r="AL17" s="52"/>
      <c r="AM17" s="52"/>
    </row>
    <row r="18" spans="1:39" s="45" customFormat="1">
      <c r="A18" s="45" t="s">
        <v>91</v>
      </c>
      <c r="B18" s="72">
        <v>9544805.0099999998</v>
      </c>
      <c r="C18" s="91">
        <v>69678.989999999991</v>
      </c>
      <c r="D18" s="106">
        <v>7.3002004678982954E-3</v>
      </c>
      <c r="E18" s="107">
        <v>389763</v>
      </c>
      <c r="F18" s="64">
        <v>4363</v>
      </c>
      <c r="G18" s="59">
        <v>4290</v>
      </c>
      <c r="I18" s="67">
        <v>47056.57</v>
      </c>
      <c r="J18" s="65">
        <v>10.968897435897436</v>
      </c>
      <c r="K18" s="66"/>
      <c r="L18" s="52"/>
      <c r="M18" s="59"/>
      <c r="O18" s="67">
        <v>291.77999999999997</v>
      </c>
      <c r="P18" s="65"/>
      <c r="Q18" s="66"/>
      <c r="R18" s="68"/>
      <c r="S18" s="52"/>
      <c r="T18" s="65">
        <v>47348.35</v>
      </c>
      <c r="U18" s="52"/>
      <c r="V18" s="65"/>
      <c r="W18" s="52"/>
      <c r="X18" s="64">
        <v>4290</v>
      </c>
      <c r="Y18" s="55"/>
      <c r="Z18" s="64"/>
      <c r="AA18" s="55"/>
      <c r="AB18" s="59">
        <v>73</v>
      </c>
      <c r="AC18" s="57">
        <v>34808</v>
      </c>
      <c r="AE18" s="67">
        <v>22330.639999999999</v>
      </c>
      <c r="AF18" s="65">
        <v>305.89917808219178</v>
      </c>
      <c r="AG18" s="52"/>
      <c r="AI18" s="49"/>
      <c r="AJ18" s="49"/>
      <c r="AK18" s="55"/>
      <c r="AL18" s="52"/>
      <c r="AM18" s="52"/>
    </row>
    <row r="19" spans="1:39" s="45" customFormat="1">
      <c r="A19" s="45" t="s">
        <v>92</v>
      </c>
      <c r="B19" s="52">
        <v>26001714.940000001</v>
      </c>
      <c r="C19" s="91">
        <v>85313.19</v>
      </c>
      <c r="D19" s="106">
        <v>3.2810601222597667E-3</v>
      </c>
      <c r="E19" s="107">
        <v>427195</v>
      </c>
      <c r="F19" s="64">
        <v>4227</v>
      </c>
      <c r="G19" s="59">
        <v>4085</v>
      </c>
      <c r="I19" s="67">
        <v>45303.87</v>
      </c>
      <c r="J19" s="65">
        <v>11.090298653610771</v>
      </c>
      <c r="K19" s="66"/>
      <c r="L19" s="52"/>
      <c r="M19" s="59">
        <v>6</v>
      </c>
      <c r="O19" s="67"/>
      <c r="P19" s="65">
        <v>215.57</v>
      </c>
      <c r="Q19" s="66"/>
      <c r="R19" s="68"/>
      <c r="S19" s="52"/>
      <c r="T19" s="65">
        <v>45303.87</v>
      </c>
      <c r="U19" s="52"/>
      <c r="V19" s="65"/>
      <c r="W19" s="52"/>
      <c r="X19" s="64">
        <v>4091</v>
      </c>
      <c r="Y19" s="55"/>
      <c r="Z19" s="64"/>
      <c r="AA19" s="55"/>
      <c r="AB19" s="59">
        <v>136</v>
      </c>
      <c r="AC19" s="57">
        <v>56649</v>
      </c>
      <c r="AE19" s="67">
        <v>40009.32</v>
      </c>
      <c r="AF19" s="65">
        <v>294.18617647058824</v>
      </c>
      <c r="AG19" s="52"/>
      <c r="AI19" s="49"/>
      <c r="AJ19" s="49"/>
      <c r="AK19" s="55"/>
      <c r="AL19" s="52"/>
      <c r="AM19" s="52"/>
    </row>
    <row r="20" spans="1:39" s="45" customFormat="1">
      <c r="A20" s="45" t="s">
        <v>93</v>
      </c>
      <c r="B20" s="72">
        <v>49389005.18</v>
      </c>
      <c r="C20" s="91">
        <v>195541.58000000002</v>
      </c>
      <c r="D20" s="106">
        <v>3.9592127698734108E-3</v>
      </c>
      <c r="E20" s="107">
        <v>789649</v>
      </c>
      <c r="F20" s="64">
        <v>5152</v>
      </c>
      <c r="G20" s="59">
        <v>4713</v>
      </c>
      <c r="I20" s="67">
        <v>97265.59</v>
      </c>
      <c r="J20" s="65">
        <v>20.637723318480798</v>
      </c>
      <c r="K20" s="66"/>
      <c r="L20" s="52"/>
      <c r="M20" s="59"/>
      <c r="O20" s="67"/>
      <c r="P20" s="65"/>
      <c r="Q20" s="66"/>
      <c r="R20" s="68"/>
      <c r="S20" s="52"/>
      <c r="T20" s="65">
        <v>97265.59</v>
      </c>
      <c r="U20" s="52"/>
      <c r="V20" s="65"/>
      <c r="W20" s="52"/>
      <c r="X20" s="64">
        <v>4713</v>
      </c>
      <c r="Y20" s="55"/>
      <c r="Z20" s="64"/>
      <c r="AA20" s="55"/>
      <c r="AB20" s="59">
        <v>439</v>
      </c>
      <c r="AC20" s="57">
        <v>207093</v>
      </c>
      <c r="AE20" s="67">
        <v>98275.99</v>
      </c>
      <c r="AF20" s="65">
        <v>223.86330296127565</v>
      </c>
      <c r="AG20" s="52"/>
      <c r="AI20" s="49"/>
      <c r="AJ20" s="49"/>
      <c r="AK20" s="55"/>
      <c r="AL20" s="52"/>
      <c r="AM20" s="52"/>
    </row>
    <row r="21" spans="1:39" s="45" customFormat="1">
      <c r="A21" s="45" t="s">
        <v>94</v>
      </c>
      <c r="B21" s="72">
        <v>53403528.119999997</v>
      </c>
      <c r="C21" s="91">
        <v>192709.74999999997</v>
      </c>
      <c r="D21" s="62">
        <v>3.6085584002422642E-3</v>
      </c>
      <c r="E21" s="63">
        <v>793259</v>
      </c>
      <c r="F21" s="64">
        <v>5002</v>
      </c>
      <c r="G21" s="59">
        <v>4570</v>
      </c>
      <c r="H21" s="102"/>
      <c r="I21" s="102">
        <v>58406.39</v>
      </c>
      <c r="J21" s="65">
        <v>12.780391684901531</v>
      </c>
      <c r="K21" s="66"/>
      <c r="L21" s="52"/>
      <c r="M21" s="59">
        <v>2</v>
      </c>
      <c r="O21" s="67">
        <v>19.38</v>
      </c>
      <c r="P21" s="65"/>
      <c r="Q21" s="66"/>
      <c r="R21" s="68"/>
      <c r="S21" s="52"/>
      <c r="T21" s="65">
        <v>58425.77</v>
      </c>
      <c r="U21" s="52"/>
      <c r="V21" s="65"/>
      <c r="W21" s="52"/>
      <c r="X21" s="64">
        <v>4572</v>
      </c>
      <c r="Y21" s="55"/>
      <c r="Z21" s="64"/>
      <c r="AA21" s="55"/>
      <c r="AB21" s="59">
        <v>430</v>
      </c>
      <c r="AC21" s="57">
        <v>427269</v>
      </c>
      <c r="AE21" s="67">
        <v>134283.97999999998</v>
      </c>
      <c r="AF21" s="65">
        <v>312.28832558139533</v>
      </c>
      <c r="AG21" s="52"/>
      <c r="AI21" s="49"/>
      <c r="AJ21" s="49"/>
      <c r="AK21" s="55"/>
      <c r="AL21" s="52"/>
      <c r="AM21" s="52"/>
    </row>
    <row r="22" spans="1:39" s="45" customFormat="1">
      <c r="A22" s="45" t="s">
        <v>95</v>
      </c>
      <c r="B22" s="72">
        <v>32347054.52</v>
      </c>
      <c r="C22" s="91">
        <v>180922.96999999997</v>
      </c>
      <c r="D22" s="62">
        <v>5.593182213488289E-3</v>
      </c>
      <c r="E22" s="63">
        <v>640148</v>
      </c>
      <c r="F22" s="64">
        <v>5113</v>
      </c>
      <c r="G22" s="59">
        <v>4758</v>
      </c>
      <c r="H22" s="102"/>
      <c r="I22" s="102">
        <v>64437.279999999999</v>
      </c>
      <c r="J22" s="65">
        <v>13.542934005884826</v>
      </c>
      <c r="K22" s="66"/>
      <c r="L22" s="52"/>
      <c r="M22" s="59"/>
      <c r="O22" s="67"/>
      <c r="P22" s="65"/>
      <c r="Q22" s="66"/>
      <c r="R22" s="68"/>
      <c r="S22" s="52"/>
      <c r="T22" s="65">
        <v>64437.279999999999</v>
      </c>
      <c r="U22" s="52"/>
      <c r="V22" s="65"/>
      <c r="W22" s="52"/>
      <c r="X22" s="64">
        <v>4758</v>
      </c>
      <c r="Y22" s="55"/>
      <c r="Z22" s="64"/>
      <c r="AA22" s="55"/>
      <c r="AB22" s="59">
        <v>355</v>
      </c>
      <c r="AC22" s="57">
        <v>337913</v>
      </c>
      <c r="AE22" s="67">
        <v>116485.68999999999</v>
      </c>
      <c r="AF22" s="65">
        <v>328.12870422535207</v>
      </c>
      <c r="AG22" s="52"/>
      <c r="AI22" s="49"/>
      <c r="AJ22" s="49"/>
      <c r="AK22" s="55"/>
      <c r="AL22" s="52"/>
      <c r="AM22" s="52"/>
    </row>
    <row r="23" spans="1:39" s="45" customFormat="1" ht="12.75">
      <c r="A23" s="45" t="s">
        <v>96</v>
      </c>
      <c r="B23" s="76">
        <v>64339938.920000002</v>
      </c>
      <c r="C23" s="67">
        <v>252806.24</v>
      </c>
      <c r="D23" s="108">
        <v>3.9292272302952937E-3</v>
      </c>
      <c r="E23" s="66">
        <v>893205</v>
      </c>
      <c r="F23" s="109">
        <v>4159</v>
      </c>
      <c r="G23" s="57">
        <v>3706</v>
      </c>
      <c r="I23" s="67">
        <v>57676.68</v>
      </c>
      <c r="J23" s="65">
        <v>15.563054506206152</v>
      </c>
      <c r="K23" s="66"/>
      <c r="L23" s="67"/>
      <c r="M23" s="59"/>
      <c r="O23" s="52"/>
      <c r="P23" s="52"/>
      <c r="Q23" s="53"/>
      <c r="R23" s="53"/>
      <c r="S23" s="52"/>
      <c r="T23" s="67">
        <v>57676.68</v>
      </c>
      <c r="U23" s="67"/>
      <c r="V23" s="67"/>
      <c r="W23" s="67"/>
      <c r="X23" s="64">
        <v>3706</v>
      </c>
      <c r="Y23" s="69"/>
      <c r="Z23" s="69"/>
      <c r="AA23" s="69"/>
      <c r="AB23" s="59">
        <v>453</v>
      </c>
      <c r="AC23" s="57">
        <v>534947</v>
      </c>
      <c r="AE23" s="67">
        <v>195129.56</v>
      </c>
      <c r="AF23" s="65">
        <v>430.74958057395145</v>
      </c>
      <c r="AG23" s="52"/>
      <c r="AI23" s="49"/>
      <c r="AJ23" s="49"/>
      <c r="AK23" s="55"/>
      <c r="AL23" s="52"/>
      <c r="AM23" s="52"/>
    </row>
    <row r="24" spans="1:39" s="45" customFormat="1" ht="12.75">
      <c r="A24" s="45" t="s">
        <v>97</v>
      </c>
      <c r="B24" s="76">
        <v>75547676.450000003</v>
      </c>
      <c r="C24" s="67">
        <v>120775.66000000002</v>
      </c>
      <c r="D24" s="108">
        <v>1.5986680951059218E-3</v>
      </c>
      <c r="E24" s="66">
        <v>819664</v>
      </c>
      <c r="F24" s="109">
        <v>1982</v>
      </c>
      <c r="G24" s="57">
        <v>1735</v>
      </c>
      <c r="I24" s="67">
        <v>30727.03</v>
      </c>
      <c r="J24" s="65">
        <v>17.710103746397692</v>
      </c>
      <c r="K24" s="66"/>
      <c r="L24" s="67"/>
      <c r="M24" s="59"/>
      <c r="O24" s="52"/>
      <c r="P24" s="52"/>
      <c r="Q24" s="53"/>
      <c r="R24" s="53"/>
      <c r="S24" s="52"/>
      <c r="T24" s="67">
        <v>30727.03</v>
      </c>
      <c r="U24" s="67"/>
      <c r="V24" s="67"/>
      <c r="W24" s="67"/>
      <c r="X24" s="64">
        <v>1735</v>
      </c>
      <c r="Y24" s="69"/>
      <c r="Z24" s="69"/>
      <c r="AA24" s="69"/>
      <c r="AB24" s="59">
        <v>247</v>
      </c>
      <c r="AC24" s="57">
        <v>261660</v>
      </c>
      <c r="AE24" s="67">
        <v>90048.630000000019</v>
      </c>
      <c r="AF24" s="65">
        <v>364.56935222672075</v>
      </c>
      <c r="AG24" s="52"/>
      <c r="AI24" s="49"/>
      <c r="AJ24" s="49"/>
      <c r="AK24" s="55"/>
      <c r="AL24" s="52"/>
      <c r="AM24" s="52"/>
    </row>
    <row r="25" spans="1:39" s="45" customFormat="1" ht="12.75">
      <c r="A25" s="45" t="s">
        <v>98</v>
      </c>
      <c r="B25" s="76">
        <v>86737515.420000002</v>
      </c>
      <c r="C25" s="67">
        <v>144724.78000000003</v>
      </c>
      <c r="D25" s="108">
        <v>1.6685373024488235E-3</v>
      </c>
      <c r="E25" s="66">
        <v>870275</v>
      </c>
      <c r="F25" s="109">
        <v>2008</v>
      </c>
      <c r="G25" s="57">
        <v>1692</v>
      </c>
      <c r="I25" s="67">
        <v>30171.95</v>
      </c>
      <c r="J25" s="65">
        <v>17.832121749408984</v>
      </c>
      <c r="K25" s="66"/>
      <c r="L25" s="67"/>
      <c r="M25" s="59"/>
      <c r="O25" s="52"/>
      <c r="P25" s="52"/>
      <c r="Q25" s="53"/>
      <c r="R25" s="53"/>
      <c r="S25" s="52"/>
      <c r="T25" s="65">
        <v>30171.95</v>
      </c>
      <c r="U25" s="67"/>
      <c r="V25" s="67"/>
      <c r="W25" s="67"/>
      <c r="X25" s="64">
        <v>1692</v>
      </c>
      <c r="Y25" s="69"/>
      <c r="Z25" s="69"/>
      <c r="AA25" s="69"/>
      <c r="AB25" s="59">
        <v>316</v>
      </c>
      <c r="AC25" s="57">
        <v>455121</v>
      </c>
      <c r="AE25" s="67">
        <v>114552.83000000002</v>
      </c>
      <c r="AF25" s="65">
        <v>362.50895569620258</v>
      </c>
      <c r="AG25" s="52"/>
      <c r="AI25" s="49"/>
      <c r="AJ25" s="49"/>
      <c r="AK25" s="55"/>
      <c r="AL25" s="52"/>
      <c r="AM25" s="52"/>
    </row>
    <row r="26" spans="1:39" s="45" customFormat="1" ht="12.75">
      <c r="A26" s="45" t="s">
        <v>99</v>
      </c>
      <c r="B26" s="76">
        <v>105120494.20999999</v>
      </c>
      <c r="C26" s="52">
        <v>221499.30000000002</v>
      </c>
      <c r="D26" s="78">
        <v>2.1070991119724876E-3</v>
      </c>
      <c r="E26" s="53">
        <v>1394613</v>
      </c>
      <c r="F26" s="49">
        <v>1994</v>
      </c>
      <c r="G26" s="58">
        <v>1629</v>
      </c>
      <c r="H26" s="45">
        <v>0</v>
      </c>
      <c r="I26" s="52">
        <v>63549.840000000004</v>
      </c>
      <c r="J26" s="76">
        <v>39.011565377532229</v>
      </c>
      <c r="K26" s="53">
        <v>0</v>
      </c>
      <c r="L26" s="52">
        <v>0</v>
      </c>
      <c r="M26" s="59">
        <v>0</v>
      </c>
      <c r="N26" s="45">
        <v>0</v>
      </c>
      <c r="O26" s="52">
        <v>0</v>
      </c>
      <c r="P26" s="52">
        <v>0</v>
      </c>
      <c r="Q26" s="53">
        <v>0</v>
      </c>
      <c r="R26" s="53">
        <v>0</v>
      </c>
      <c r="S26" s="52">
        <v>0</v>
      </c>
      <c r="T26" s="76">
        <v>63549.840000000004</v>
      </c>
      <c r="U26" s="52">
        <v>0</v>
      </c>
      <c r="V26" s="52">
        <v>0</v>
      </c>
      <c r="W26" s="52">
        <v>0</v>
      </c>
      <c r="X26" s="64">
        <v>1629</v>
      </c>
      <c r="Y26" s="55">
        <v>0</v>
      </c>
      <c r="Z26" s="55">
        <v>0</v>
      </c>
      <c r="AA26" s="55">
        <v>0</v>
      </c>
      <c r="AB26" s="59">
        <v>365</v>
      </c>
      <c r="AC26" s="58">
        <v>999508</v>
      </c>
      <c r="AD26" s="45">
        <v>0</v>
      </c>
      <c r="AE26" s="52">
        <v>157949.46000000002</v>
      </c>
      <c r="AF26" s="76">
        <v>432.73824657534254</v>
      </c>
      <c r="AG26" s="52"/>
      <c r="AI26" s="49"/>
      <c r="AJ26" s="49"/>
      <c r="AK26" s="55"/>
      <c r="AL26" s="52"/>
      <c r="AM26" s="52"/>
    </row>
    <row r="27" spans="1:39" s="45" customFormat="1" ht="12.75">
      <c r="A27" s="71">
        <v>40210</v>
      </c>
      <c r="B27" s="72">
        <f>'Freight 2009-2010'!B7</f>
        <v>108414253.2</v>
      </c>
      <c r="C27" s="72">
        <f>'Freight 2009-2010'!C7</f>
        <v>146349.34000000003</v>
      </c>
      <c r="D27" s="103">
        <f>'Freight 2009-2010'!D7</f>
        <v>1.3499086668061835E-3</v>
      </c>
      <c r="E27" s="104">
        <f>'Freight 2009-2010'!E7</f>
        <v>984652</v>
      </c>
      <c r="F27" s="104">
        <f>'Freight 2009-2010'!F7</f>
        <v>310</v>
      </c>
      <c r="G27" s="104">
        <f>'Freight 2009-2010'!G7</f>
        <v>0</v>
      </c>
      <c r="H27" s="72">
        <f>'Freight 2009-2010'!H7</f>
        <v>0</v>
      </c>
      <c r="I27" s="72">
        <f>'Freight 2009-2010'!I7</f>
        <v>73123.460000000006</v>
      </c>
      <c r="J27" s="72" t="e">
        <f>'Freight 2009-2010'!J7</f>
        <v>#DIV/0!</v>
      </c>
      <c r="K27" s="72">
        <f>'Freight 2009-2010'!K7</f>
        <v>0</v>
      </c>
      <c r="L27" s="72">
        <f>'Freight 2009-2010'!L7</f>
        <v>0</v>
      </c>
      <c r="M27" s="59">
        <f>'Freight 2009-2010'!M7</f>
        <v>2</v>
      </c>
      <c r="N27" s="72">
        <f>'Freight 2009-2010'!N7</f>
        <v>0</v>
      </c>
      <c r="O27" s="72">
        <f>'Freight 2009-2010'!O7</f>
        <v>51.21</v>
      </c>
      <c r="P27" s="72">
        <f>'Freight 2009-2010'!P7</f>
        <v>0</v>
      </c>
      <c r="Q27" s="72">
        <f>'Freight 2009-2010'!Q7</f>
        <v>0</v>
      </c>
      <c r="R27" s="72">
        <f>'Freight 2009-2010'!R7</f>
        <v>0</v>
      </c>
      <c r="S27" s="72">
        <f>'Freight 2009-2010'!S7</f>
        <v>0</v>
      </c>
      <c r="T27" s="72">
        <f>'Freight 2009-2010'!T7</f>
        <v>73174.670000000013</v>
      </c>
      <c r="U27" s="72">
        <f>'Freight 2009-2010'!U7</f>
        <v>0</v>
      </c>
      <c r="V27" s="72">
        <f>'Freight 2009-2010'!V7</f>
        <v>0</v>
      </c>
      <c r="W27" s="72">
        <f>'Freight 2009-2010'!W7</f>
        <v>0</v>
      </c>
      <c r="X27" s="64">
        <f>'Freight 2009-2010'!X7</f>
        <v>2</v>
      </c>
      <c r="Y27" s="72">
        <f>'Freight 2009-2010'!Y7</f>
        <v>0</v>
      </c>
      <c r="Z27" s="72">
        <f>'Freight 2009-2010'!Z7</f>
        <v>0</v>
      </c>
      <c r="AA27" s="72">
        <f>'Freight 2009-2010'!AA7</f>
        <v>0</v>
      </c>
      <c r="AB27" s="59">
        <f>'Freight 2009-2010'!AB7</f>
        <v>308</v>
      </c>
      <c r="AC27" s="72">
        <f>'Freight 2009-2010'!AC7</f>
        <v>323393</v>
      </c>
      <c r="AD27" s="72">
        <f>'Freight 2009-2010'!AD7</f>
        <v>0</v>
      </c>
      <c r="AE27" s="72">
        <f>'Freight 2009-2010'!AE7</f>
        <v>137080.80999999997</v>
      </c>
      <c r="AF27" s="72">
        <f>'Freight 2009-2010'!AF7</f>
        <v>445.06756493506481</v>
      </c>
      <c r="AG27" s="52"/>
    </row>
    <row r="28" spans="1:39" s="45" customFormat="1" ht="12.75">
      <c r="B28" s="52"/>
      <c r="C28" s="52"/>
      <c r="D28" s="78"/>
      <c r="E28" s="53"/>
      <c r="F28" s="49"/>
      <c r="I28" s="52"/>
      <c r="J28" s="52"/>
      <c r="K28" s="53"/>
      <c r="L28" s="52"/>
      <c r="M28" s="59"/>
      <c r="O28" s="52"/>
      <c r="P28" s="52"/>
      <c r="Q28" s="53"/>
      <c r="R28" s="53"/>
      <c r="S28" s="52"/>
      <c r="T28" s="52"/>
      <c r="U28" s="52"/>
      <c r="V28" s="52"/>
      <c r="W28" s="52"/>
      <c r="X28" s="64"/>
      <c r="Y28" s="55"/>
      <c r="Z28" s="55"/>
      <c r="AA28" s="55"/>
      <c r="AB28" s="59"/>
      <c r="AC28" s="58"/>
      <c r="AE28" s="52"/>
      <c r="AF28" s="52"/>
      <c r="AG28" s="52"/>
      <c r="AI28" s="49"/>
      <c r="AJ28" s="49"/>
      <c r="AK28" s="55"/>
      <c r="AL28" s="52"/>
      <c r="AM28" s="52"/>
    </row>
    <row r="29" spans="1:39">
      <c r="A29" s="84" t="s">
        <v>100</v>
      </c>
      <c r="B29" s="76">
        <v>10200000</v>
      </c>
      <c r="C29" s="91">
        <v>128393.24999999999</v>
      </c>
      <c r="D29" s="106">
        <v>1.2587573529411764E-2</v>
      </c>
      <c r="E29" s="107">
        <v>464105</v>
      </c>
      <c r="F29" s="64">
        <v>7141</v>
      </c>
      <c r="G29" s="88">
        <v>2539</v>
      </c>
      <c r="I29" s="65">
        <v>11330.21</v>
      </c>
      <c r="J29" s="65">
        <v>4.4624694761717212</v>
      </c>
      <c r="K29" s="68">
        <v>26052.35</v>
      </c>
      <c r="M29" s="59">
        <v>4326</v>
      </c>
      <c r="O29" s="65">
        <v>81674.649999999994</v>
      </c>
      <c r="P29" s="65">
        <v>18.879946833102171</v>
      </c>
      <c r="Q29" s="68">
        <v>80147</v>
      </c>
      <c r="R29" s="68">
        <v>106199.35</v>
      </c>
      <c r="T29" s="65">
        <v>93004.859999999986</v>
      </c>
      <c r="V29" s="65">
        <v>0</v>
      </c>
      <c r="X29" s="64">
        <v>6865</v>
      </c>
      <c r="Z29" s="64">
        <v>3962</v>
      </c>
      <c r="AB29" s="59">
        <v>276</v>
      </c>
      <c r="AC29" s="89">
        <v>79292.05</v>
      </c>
      <c r="AE29" s="65">
        <v>35388.39</v>
      </c>
      <c r="AF29" s="65">
        <v>128.21880434782608</v>
      </c>
      <c r="AH29" s="91"/>
    </row>
    <row r="30" spans="1:39">
      <c r="A30" s="84" t="s">
        <v>101</v>
      </c>
      <c r="B30" s="76">
        <v>8100261</v>
      </c>
      <c r="C30" s="91">
        <v>43895.350000000006</v>
      </c>
      <c r="D30" s="106">
        <v>5.4190043999816804E-3</v>
      </c>
      <c r="E30" s="63">
        <v>719507</v>
      </c>
      <c r="F30" s="64">
        <v>2958</v>
      </c>
      <c r="G30" s="88">
        <v>1502</v>
      </c>
      <c r="I30" s="65">
        <v>5886.3</v>
      </c>
      <c r="J30" s="65">
        <v>3.9189747003994677</v>
      </c>
      <c r="K30" s="68">
        <v>16389.21</v>
      </c>
      <c r="M30" s="59">
        <v>1401</v>
      </c>
      <c r="O30" s="65">
        <v>30457.08</v>
      </c>
      <c r="P30" s="65">
        <v>21.739528907922914</v>
      </c>
      <c r="Q30" s="68">
        <v>27723</v>
      </c>
      <c r="R30" s="68">
        <v>44112.21</v>
      </c>
      <c r="T30" s="65">
        <v>36343.380000000005</v>
      </c>
      <c r="V30" s="65">
        <v>15610.130000000005</v>
      </c>
      <c r="X30" s="64">
        <v>2903</v>
      </c>
      <c r="Z30" s="64">
        <v>830</v>
      </c>
      <c r="AB30" s="59">
        <v>55</v>
      </c>
      <c r="AC30" s="89">
        <v>13404</v>
      </c>
      <c r="AE30" s="65">
        <v>7551.97</v>
      </c>
      <c r="AF30" s="65">
        <v>137.30854545454545</v>
      </c>
      <c r="AH30" s="91">
        <v>21432.690000000006</v>
      </c>
      <c r="AI30" s="87">
        <v>878</v>
      </c>
    </row>
    <row r="31" spans="1:39">
      <c r="A31" s="84" t="s">
        <v>102</v>
      </c>
      <c r="B31" s="76">
        <v>2860931</v>
      </c>
      <c r="C31" s="91">
        <v>22462.66</v>
      </c>
      <c r="D31" s="106">
        <v>7.8515210608015359E-3</v>
      </c>
      <c r="E31" s="107">
        <v>464105</v>
      </c>
      <c r="F31" s="64">
        <v>2080</v>
      </c>
      <c r="G31" s="88">
        <v>2073</v>
      </c>
      <c r="I31" s="65">
        <v>20733.25</v>
      </c>
      <c r="J31" s="65">
        <v>10.001567776169802</v>
      </c>
      <c r="M31" s="59"/>
      <c r="T31" s="65">
        <v>20733.25</v>
      </c>
      <c r="X31" s="64">
        <v>2073</v>
      </c>
      <c r="AB31" s="59">
        <v>7</v>
      </c>
      <c r="AC31" s="89">
        <v>3588</v>
      </c>
      <c r="AE31" s="65">
        <v>1729.41</v>
      </c>
      <c r="AF31" s="65">
        <v>247.05857142857144</v>
      </c>
      <c r="AH31" s="91"/>
    </row>
    <row r="32" spans="1:39">
      <c r="A32" s="84" t="s">
        <v>103</v>
      </c>
      <c r="B32" s="72">
        <v>16445897</v>
      </c>
      <c r="C32" s="91">
        <v>82428.850000000006</v>
      </c>
      <c r="D32" s="106">
        <v>5.0121224765058425E-3</v>
      </c>
      <c r="E32" s="107">
        <v>464105</v>
      </c>
      <c r="F32" s="64">
        <v>3282</v>
      </c>
      <c r="G32" s="88">
        <v>3145</v>
      </c>
      <c r="I32" s="65">
        <v>50786.19</v>
      </c>
      <c r="J32" s="65">
        <v>16.148232114467408</v>
      </c>
      <c r="M32" s="59"/>
      <c r="O32" s="65">
        <v>364.78</v>
      </c>
      <c r="T32" s="65">
        <v>51150.97</v>
      </c>
      <c r="X32" s="64">
        <v>3145</v>
      </c>
      <c r="AB32" s="59">
        <v>137</v>
      </c>
      <c r="AC32" s="89">
        <v>51295</v>
      </c>
      <c r="AE32" s="65">
        <v>31277.88</v>
      </c>
      <c r="AF32" s="65">
        <v>228.30569343065693</v>
      </c>
      <c r="AH32" s="91"/>
    </row>
    <row r="33" spans="1:35">
      <c r="A33" s="84" t="s">
        <v>104</v>
      </c>
      <c r="B33" s="76">
        <v>26222267.77</v>
      </c>
      <c r="C33" s="91">
        <v>47632.28</v>
      </c>
      <c r="D33" s="106">
        <v>1.816482099023276E-3</v>
      </c>
      <c r="E33" s="107">
        <v>383406</v>
      </c>
      <c r="F33" s="64">
        <v>10990</v>
      </c>
      <c r="G33" s="88">
        <v>10784</v>
      </c>
      <c r="I33" s="65">
        <v>43048.67</v>
      </c>
      <c r="J33" s="65">
        <v>3.9919018916913944</v>
      </c>
      <c r="M33" s="59"/>
      <c r="O33" s="65">
        <v>55.56</v>
      </c>
      <c r="T33" s="65">
        <v>43104.229999999996</v>
      </c>
      <c r="X33" s="64">
        <v>10784</v>
      </c>
      <c r="AB33" s="59">
        <v>206</v>
      </c>
      <c r="AC33" s="89">
        <v>38633</v>
      </c>
      <c r="AE33" s="65">
        <v>4528.05</v>
      </c>
      <c r="AF33" s="65">
        <v>21.980825242718449</v>
      </c>
      <c r="AH33" s="91"/>
    </row>
    <row r="34" spans="1:35">
      <c r="A34" s="84" t="s">
        <v>105</v>
      </c>
      <c r="B34" s="76">
        <v>46282727.25</v>
      </c>
      <c r="C34" s="91">
        <v>213091.23</v>
      </c>
      <c r="D34" s="106">
        <v>4.6041199959753884E-3</v>
      </c>
      <c r="E34" s="107">
        <v>857054</v>
      </c>
      <c r="F34" s="64">
        <v>4618</v>
      </c>
      <c r="G34" s="88">
        <v>4110</v>
      </c>
      <c r="I34" s="65">
        <v>71330.69</v>
      </c>
      <c r="J34" s="65">
        <v>17.35539902676399</v>
      </c>
      <c r="M34" s="59"/>
      <c r="T34" s="65">
        <v>71330.69</v>
      </c>
      <c r="X34" s="64">
        <v>4110</v>
      </c>
      <c r="AB34" s="59">
        <v>508</v>
      </c>
      <c r="AC34" s="89">
        <v>274920</v>
      </c>
      <c r="AE34" s="65">
        <v>141760.54</v>
      </c>
      <c r="AF34" s="65">
        <v>279.05618110236225</v>
      </c>
      <c r="AH34" s="91"/>
    </row>
    <row r="35" spans="1:35">
      <c r="A35" s="84" t="s">
        <v>106</v>
      </c>
      <c r="B35" s="76">
        <v>33154203.079999998</v>
      </c>
      <c r="C35" s="91">
        <v>113620.31999999998</v>
      </c>
      <c r="D35" s="106">
        <v>3.4270261217209143E-3</v>
      </c>
      <c r="E35" s="63">
        <v>611930</v>
      </c>
      <c r="F35" s="64">
        <v>3924</v>
      </c>
      <c r="G35" s="88">
        <v>3683</v>
      </c>
      <c r="H35" s="102"/>
      <c r="I35" s="65">
        <v>43775.81</v>
      </c>
      <c r="J35" s="65">
        <v>11.885910942166712</v>
      </c>
      <c r="M35" s="59">
        <v>2</v>
      </c>
      <c r="O35" s="65">
        <v>19.7</v>
      </c>
      <c r="T35" s="65">
        <v>43795.509999999995</v>
      </c>
      <c r="X35" s="64">
        <v>3685</v>
      </c>
      <c r="AB35" s="59">
        <v>239</v>
      </c>
      <c r="AC35" s="89">
        <v>126002</v>
      </c>
      <c r="AE35" s="65">
        <v>69824.809999999983</v>
      </c>
      <c r="AF35" s="65">
        <v>292.15401673640162</v>
      </c>
      <c r="AH35" s="91"/>
    </row>
    <row r="36" spans="1:35">
      <c r="A36" s="84" t="s">
        <v>107</v>
      </c>
      <c r="B36" s="76">
        <v>45238680.520000003</v>
      </c>
      <c r="C36" s="91">
        <v>220374.80000000002</v>
      </c>
      <c r="D36" s="106">
        <v>4.8713799223779834E-3</v>
      </c>
      <c r="E36" s="63">
        <v>707379</v>
      </c>
      <c r="F36" s="64">
        <v>5223</v>
      </c>
      <c r="G36" s="89">
        <v>4843</v>
      </c>
      <c r="H36" s="102"/>
      <c r="I36" s="65">
        <v>64027</v>
      </c>
      <c r="J36" s="65">
        <v>13.22052446830477</v>
      </c>
      <c r="M36" s="59"/>
      <c r="T36" s="65">
        <v>64027</v>
      </c>
      <c r="X36" s="64">
        <v>4843</v>
      </c>
      <c r="AB36" s="59">
        <v>380</v>
      </c>
      <c r="AC36" s="89">
        <v>434353</v>
      </c>
      <c r="AE36" s="91">
        <v>156347.80000000002</v>
      </c>
      <c r="AF36" s="65">
        <v>411.44157894736844</v>
      </c>
      <c r="AH36" s="91"/>
    </row>
    <row r="37" spans="1:35">
      <c r="A37" s="84" t="s">
        <v>108</v>
      </c>
      <c r="B37" s="76">
        <v>84503070.219999999</v>
      </c>
      <c r="C37" s="91">
        <v>326433.60999999987</v>
      </c>
      <c r="D37" s="108">
        <v>3.8629792876181237E-3</v>
      </c>
      <c r="E37" s="63">
        <v>1172205</v>
      </c>
      <c r="F37" s="64">
        <v>4071</v>
      </c>
      <c r="G37" s="89">
        <v>3582</v>
      </c>
      <c r="H37" s="102"/>
      <c r="I37" s="65">
        <v>55620.6</v>
      </c>
      <c r="J37" s="65">
        <v>15.527805695142378</v>
      </c>
      <c r="M37" s="59"/>
      <c r="T37" s="65">
        <v>55620.6</v>
      </c>
      <c r="X37" s="64">
        <v>3582</v>
      </c>
      <c r="AB37" s="59">
        <v>489</v>
      </c>
      <c r="AC37" s="89">
        <v>585985</v>
      </c>
      <c r="AE37" s="91">
        <v>270813.00999999989</v>
      </c>
      <c r="AF37" s="65">
        <v>553.80983640081774</v>
      </c>
      <c r="AH37" s="91"/>
    </row>
    <row r="38" spans="1:35">
      <c r="A38" s="84" t="s">
        <v>109</v>
      </c>
      <c r="B38" s="76">
        <v>90619680.489999995</v>
      </c>
      <c r="C38" s="91">
        <v>238475.09000000003</v>
      </c>
      <c r="D38" s="108">
        <v>2.6316037389506807E-3</v>
      </c>
      <c r="E38" s="63">
        <v>998516</v>
      </c>
      <c r="F38" s="64">
        <v>2683</v>
      </c>
      <c r="G38" s="89">
        <v>2332</v>
      </c>
      <c r="H38" s="102"/>
      <c r="I38" s="65">
        <v>48835.89</v>
      </c>
      <c r="J38" s="65">
        <v>20.941633790737566</v>
      </c>
      <c r="M38" s="59"/>
      <c r="T38" s="65">
        <v>48835.89</v>
      </c>
      <c r="X38" s="64">
        <v>2332</v>
      </c>
      <c r="AB38" s="59">
        <v>351</v>
      </c>
      <c r="AC38" s="89">
        <v>408330</v>
      </c>
      <c r="AE38" s="91">
        <v>189639.2</v>
      </c>
      <c r="AF38" s="65">
        <v>540.28262108262106</v>
      </c>
      <c r="AH38" s="91"/>
    </row>
    <row r="39" spans="1:35">
      <c r="A39" s="84" t="s">
        <v>56</v>
      </c>
      <c r="B39" s="76">
        <v>112664210.2</v>
      </c>
      <c r="C39" s="91">
        <v>252902.65</v>
      </c>
      <c r="D39" s="108">
        <v>2.2447470190493555E-3</v>
      </c>
      <c r="E39" s="63">
        <v>1249899</v>
      </c>
      <c r="F39" s="64">
        <v>2678</v>
      </c>
      <c r="G39" s="89">
        <v>2317</v>
      </c>
      <c r="H39" s="102"/>
      <c r="I39" s="65">
        <v>50864.24</v>
      </c>
      <c r="J39" s="65">
        <v>21.952628398791539</v>
      </c>
      <c r="M39" s="59"/>
      <c r="T39" s="65">
        <v>50864.24</v>
      </c>
      <c r="X39" s="64">
        <v>2317</v>
      </c>
      <c r="AB39" s="59">
        <v>361</v>
      </c>
      <c r="AC39" s="89">
        <v>517632</v>
      </c>
      <c r="AE39" s="91">
        <v>202038.41</v>
      </c>
      <c r="AF39" s="65">
        <v>559.66318559556782</v>
      </c>
      <c r="AH39" s="91"/>
    </row>
    <row r="40" spans="1:35">
      <c r="A40" s="84" t="s">
        <v>110</v>
      </c>
      <c r="B40" s="76">
        <v>143007366.34</v>
      </c>
      <c r="C40" s="52">
        <v>409448.59999999992</v>
      </c>
      <c r="D40" s="78">
        <v>2.8631294350707492E-3</v>
      </c>
      <c r="E40" s="53">
        <v>1747620</v>
      </c>
      <c r="F40" s="49">
        <v>1969</v>
      </c>
      <c r="G40" s="58">
        <v>1487</v>
      </c>
      <c r="H40" s="45">
        <v>0</v>
      </c>
      <c r="I40" s="52">
        <v>56929.81</v>
      </c>
      <c r="J40" s="76">
        <v>38.28501008742434</v>
      </c>
      <c r="K40" s="53">
        <v>0</v>
      </c>
      <c r="L40" s="52">
        <v>0</v>
      </c>
      <c r="M40" s="59">
        <v>2</v>
      </c>
      <c r="N40" s="45">
        <v>0</v>
      </c>
      <c r="O40" s="52">
        <v>93.8</v>
      </c>
      <c r="P40" s="52">
        <v>0</v>
      </c>
      <c r="Q40" s="53">
        <v>0</v>
      </c>
      <c r="R40" s="53">
        <v>0</v>
      </c>
      <c r="S40" s="52">
        <v>0</v>
      </c>
      <c r="T40" s="76">
        <v>57023.61</v>
      </c>
      <c r="U40" s="52">
        <v>0</v>
      </c>
      <c r="V40" s="52">
        <v>0</v>
      </c>
      <c r="W40" s="52">
        <v>0</v>
      </c>
      <c r="X40" s="64">
        <v>1489</v>
      </c>
      <c r="Y40" s="55">
        <v>0</v>
      </c>
      <c r="Z40" s="55">
        <v>0</v>
      </c>
      <c r="AA40" s="55">
        <v>0</v>
      </c>
      <c r="AB40" s="59">
        <v>480</v>
      </c>
      <c r="AC40" s="58">
        <v>1067286</v>
      </c>
      <c r="AD40" s="45">
        <v>0</v>
      </c>
      <c r="AE40" s="52">
        <v>352424.98999999993</v>
      </c>
      <c r="AF40" s="76">
        <v>734.21872916666655</v>
      </c>
      <c r="AH40" s="91"/>
    </row>
    <row r="41" spans="1:35" s="45" customFormat="1" ht="12.75">
      <c r="A41" s="71">
        <v>40238</v>
      </c>
      <c r="B41" s="72">
        <f>'Freight 2009-2010'!B10</f>
        <v>135297338.84999999</v>
      </c>
      <c r="C41" s="72">
        <f>'Freight 2009-2010'!C10</f>
        <v>241368.95999999999</v>
      </c>
      <c r="D41" s="103">
        <f>'Freight 2009-2010'!D10</f>
        <v>1.7839889686788175E-3</v>
      </c>
      <c r="E41" s="104">
        <f>'Freight 2009-2010'!E10</f>
        <v>1253261</v>
      </c>
      <c r="F41" s="104">
        <f>'Freight 2009-2010'!F10</f>
        <v>372</v>
      </c>
      <c r="G41" s="104">
        <f>'Freight 2009-2010'!G10</f>
        <v>0</v>
      </c>
      <c r="H41" s="72">
        <f>'Freight 2009-2010'!H10</f>
        <v>0</v>
      </c>
      <c r="I41" s="72">
        <f>'Freight 2009-2010'!I10</f>
        <v>120658.31</v>
      </c>
      <c r="J41" s="72" t="e">
        <f>'Freight 2009-2010'!J10</f>
        <v>#DIV/0!</v>
      </c>
      <c r="K41" s="72">
        <f>'Freight 2009-2010'!K10</f>
        <v>0</v>
      </c>
      <c r="L41" s="72">
        <f>'Freight 2009-2010'!L10</f>
        <v>0</v>
      </c>
      <c r="M41" s="59">
        <f>'Freight 2009-2010'!M10</f>
        <v>1</v>
      </c>
      <c r="N41" s="72">
        <f>'Freight 2009-2010'!N10</f>
        <v>0</v>
      </c>
      <c r="O41" s="72">
        <f>'Freight 2009-2010'!O10</f>
        <v>26.17</v>
      </c>
      <c r="P41" s="72">
        <f>'Freight 2009-2010'!P10</f>
        <v>0</v>
      </c>
      <c r="Q41" s="72">
        <f>'Freight 2009-2010'!Q10</f>
        <v>0</v>
      </c>
      <c r="R41" s="72">
        <f>'Freight 2009-2010'!R10</f>
        <v>0</v>
      </c>
      <c r="S41" s="72">
        <f>'Freight 2009-2010'!S10</f>
        <v>0</v>
      </c>
      <c r="T41" s="72">
        <f>'Freight 2009-2010'!T10</f>
        <v>120684.48</v>
      </c>
      <c r="U41" s="72">
        <f>'Freight 2009-2010'!U10</f>
        <v>0</v>
      </c>
      <c r="V41" s="72">
        <f>'Freight 2009-2010'!V10</f>
        <v>0</v>
      </c>
      <c r="W41" s="72">
        <f>'Freight 2009-2010'!W10</f>
        <v>0</v>
      </c>
      <c r="X41" s="64">
        <f>'Freight 2009-2010'!X10</f>
        <v>1</v>
      </c>
      <c r="Y41" s="72">
        <f>'Freight 2009-2010'!Y10</f>
        <v>0</v>
      </c>
      <c r="Z41" s="72">
        <f>'Freight 2009-2010'!Z10</f>
        <v>0</v>
      </c>
      <c r="AA41" s="72">
        <f>'Freight 2009-2010'!AA10</f>
        <v>0</v>
      </c>
      <c r="AB41" s="59">
        <f>'Freight 2009-2010'!AB10</f>
        <v>371</v>
      </c>
      <c r="AC41" s="72">
        <f>'Freight 2009-2010'!AC10</f>
        <v>402215</v>
      </c>
      <c r="AD41" s="72">
        <f>'Freight 2009-2010'!AD10</f>
        <v>0</v>
      </c>
      <c r="AE41" s="72">
        <f>'Freight 2009-2010'!AE10</f>
        <v>202578.29</v>
      </c>
      <c r="AF41" s="72">
        <f>'Freight 2009-2010'!AF10</f>
        <v>546.03312668463616</v>
      </c>
      <c r="AG41" s="52"/>
    </row>
    <row r="42" spans="1:35">
      <c r="M42" s="59"/>
      <c r="AB42" s="59"/>
    </row>
    <row r="43" spans="1:35">
      <c r="A43" s="84" t="s">
        <v>111</v>
      </c>
      <c r="B43" s="76">
        <v>3757200</v>
      </c>
      <c r="C43" s="91">
        <v>72319.66</v>
      </c>
      <c r="D43" s="106">
        <v>1.9248285957628022E-2</v>
      </c>
      <c r="E43" s="107">
        <v>415564</v>
      </c>
      <c r="F43" s="64">
        <v>4888</v>
      </c>
      <c r="G43" s="88">
        <v>2384</v>
      </c>
      <c r="I43" s="65">
        <v>11478.37</v>
      </c>
      <c r="J43" s="65">
        <v>4.8147525167785235</v>
      </c>
      <c r="K43" s="68">
        <v>21176.36</v>
      </c>
      <c r="M43" s="59">
        <v>2349</v>
      </c>
      <c r="O43" s="65">
        <v>43605.07</v>
      </c>
      <c r="P43" s="65">
        <v>18.563248190719456</v>
      </c>
      <c r="Q43" s="68">
        <v>39821</v>
      </c>
      <c r="R43" s="68">
        <v>60997.36</v>
      </c>
      <c r="T43" s="65">
        <v>55083.44</v>
      </c>
      <c r="V43" s="65">
        <v>12624.650000000001</v>
      </c>
      <c r="X43" s="64">
        <v>4733</v>
      </c>
      <c r="Z43" s="64">
        <v>2051</v>
      </c>
      <c r="AB43" s="59">
        <v>155</v>
      </c>
      <c r="AC43" s="89">
        <v>24832</v>
      </c>
      <c r="AE43" s="65">
        <v>17236.22</v>
      </c>
      <c r="AF43" s="65">
        <v>111.20141935483872</v>
      </c>
      <c r="AH43" s="91">
        <v>15368.89</v>
      </c>
      <c r="AI43" s="87">
        <v>2133</v>
      </c>
    </row>
    <row r="44" spans="1:35">
      <c r="A44" s="84" t="s">
        <v>112</v>
      </c>
      <c r="B44" s="76">
        <v>12563556</v>
      </c>
      <c r="C44" s="91">
        <v>56950.770000000004</v>
      </c>
      <c r="D44" s="106">
        <v>4.5330135830970149E-3</v>
      </c>
      <c r="E44" s="107">
        <v>731336</v>
      </c>
      <c r="F44" s="64">
        <v>2755</v>
      </c>
      <c r="G44" s="88">
        <v>2682</v>
      </c>
      <c r="I44" s="65">
        <v>42458.79</v>
      </c>
      <c r="J44" s="65">
        <v>15.831017897091723</v>
      </c>
      <c r="M44" s="59"/>
      <c r="T44" s="65">
        <v>42458.79</v>
      </c>
      <c r="X44" s="64">
        <v>2682</v>
      </c>
      <c r="AB44" s="59">
        <v>73</v>
      </c>
      <c r="AC44" s="89">
        <v>24251</v>
      </c>
      <c r="AE44" s="65">
        <v>14491.98</v>
      </c>
      <c r="AF44" s="65">
        <v>198.52027397260272</v>
      </c>
      <c r="AH44" s="91"/>
    </row>
    <row r="45" spans="1:35">
      <c r="A45" s="84" t="s">
        <v>113</v>
      </c>
      <c r="B45" s="72">
        <v>18358000</v>
      </c>
      <c r="C45" s="91">
        <v>78922.990000000005</v>
      </c>
      <c r="D45" s="106">
        <v>4.2991061117768825E-3</v>
      </c>
      <c r="E45" s="107">
        <v>498898</v>
      </c>
      <c r="F45" s="64">
        <v>4472</v>
      </c>
      <c r="G45" s="88">
        <v>4329</v>
      </c>
      <c r="I45" s="65">
        <v>44001.4</v>
      </c>
      <c r="J45" s="65">
        <v>10.164333564333564</v>
      </c>
      <c r="M45" s="59"/>
      <c r="O45" s="65">
        <v>345.23</v>
      </c>
      <c r="T45" s="65">
        <v>44346.630000000005</v>
      </c>
      <c r="X45" s="64">
        <v>4329</v>
      </c>
      <c r="AB45" s="59">
        <v>143</v>
      </c>
      <c r="AC45" s="89">
        <v>54656</v>
      </c>
      <c r="AE45" s="65">
        <v>34576.36</v>
      </c>
      <c r="AF45" s="65">
        <v>241.79272727272729</v>
      </c>
      <c r="AH45" s="91"/>
    </row>
    <row r="46" spans="1:35">
      <c r="A46" s="84" t="s">
        <v>114</v>
      </c>
      <c r="B46" s="76">
        <v>40634106.979999997</v>
      </c>
      <c r="C46" s="91">
        <v>152976.48000000001</v>
      </c>
      <c r="D46" s="106">
        <v>3.7647309457371522E-3</v>
      </c>
      <c r="E46" s="107">
        <v>859868</v>
      </c>
      <c r="F46" s="64">
        <v>7080</v>
      </c>
      <c r="G46" s="88">
        <v>6741</v>
      </c>
      <c r="I46" s="65">
        <v>71358.86</v>
      </c>
      <c r="J46" s="65">
        <v>10.585797359442219</v>
      </c>
      <c r="M46" s="59"/>
      <c r="O46" s="65">
        <v>91.77</v>
      </c>
      <c r="T46" s="65">
        <v>71450.63</v>
      </c>
      <c r="X46" s="64">
        <v>6741</v>
      </c>
      <c r="AB46" s="59">
        <v>339</v>
      </c>
      <c r="AC46" s="89">
        <v>140425</v>
      </c>
      <c r="AE46" s="65">
        <v>81525.850000000006</v>
      </c>
      <c r="AF46" s="65">
        <v>240.48923303834809</v>
      </c>
      <c r="AH46" s="91"/>
    </row>
    <row r="47" spans="1:35">
      <c r="A47" s="84" t="s">
        <v>115</v>
      </c>
      <c r="B47" s="76">
        <v>67316571.709999993</v>
      </c>
      <c r="C47" s="91">
        <v>321220.40000000002</v>
      </c>
      <c r="D47" s="106">
        <v>4.7717878650121778E-3</v>
      </c>
      <c r="E47" s="107">
        <v>1027876</v>
      </c>
      <c r="F47" s="64">
        <v>6085</v>
      </c>
      <c r="G47" s="88">
        <v>5410</v>
      </c>
      <c r="I47" s="65">
        <v>120179.7</v>
      </c>
      <c r="J47" s="65">
        <v>22.214362292051756</v>
      </c>
      <c r="M47" s="59"/>
      <c r="T47" s="65">
        <v>120179.7</v>
      </c>
      <c r="X47" s="64">
        <v>5410</v>
      </c>
      <c r="AB47" s="59">
        <v>675</v>
      </c>
      <c r="AC47" s="89">
        <v>388292</v>
      </c>
      <c r="AE47" s="65">
        <v>201040.7</v>
      </c>
      <c r="AF47" s="65">
        <v>297.83807407407409</v>
      </c>
      <c r="AH47" s="91"/>
    </row>
    <row r="48" spans="1:35">
      <c r="A48" s="84" t="s">
        <v>116</v>
      </c>
      <c r="B48" s="76">
        <v>47571094.310000002</v>
      </c>
      <c r="C48" s="91">
        <v>174821.03999999998</v>
      </c>
      <c r="D48" s="106">
        <v>3.6749425788014834E-3</v>
      </c>
      <c r="E48" s="63">
        <v>887335</v>
      </c>
      <c r="F48" s="64">
        <v>4057</v>
      </c>
      <c r="G48" s="88">
        <v>3698</v>
      </c>
      <c r="I48" s="65">
        <v>55705.919999999998</v>
      </c>
      <c r="J48" s="65">
        <v>15.063796646836128</v>
      </c>
      <c r="M48" s="59">
        <v>2</v>
      </c>
      <c r="O48" s="65">
        <v>19.52</v>
      </c>
      <c r="T48" s="65">
        <v>55725.439999999995</v>
      </c>
      <c r="X48" s="64">
        <v>3700</v>
      </c>
      <c r="AB48" s="59">
        <v>357</v>
      </c>
      <c r="AC48" s="89">
        <v>262230</v>
      </c>
      <c r="AE48" s="91">
        <v>119095.59999999999</v>
      </c>
      <c r="AF48" s="65">
        <v>333.60112044817924</v>
      </c>
      <c r="AH48" s="91"/>
    </row>
    <row r="49" spans="1:35">
      <c r="A49" s="84" t="s">
        <v>117</v>
      </c>
      <c r="B49" s="76">
        <v>40375039.229999997</v>
      </c>
      <c r="C49" s="91">
        <v>221392.70000000004</v>
      </c>
      <c r="D49" s="106">
        <v>5.4834051984152107E-3</v>
      </c>
      <c r="E49" s="63">
        <v>607276</v>
      </c>
      <c r="F49" s="64">
        <v>5530</v>
      </c>
      <c r="G49" s="89">
        <v>5151</v>
      </c>
      <c r="I49" s="65">
        <v>68351</v>
      </c>
      <c r="J49" s="65">
        <v>13.269462240341682</v>
      </c>
      <c r="M49" s="59"/>
      <c r="T49" s="65">
        <v>68351</v>
      </c>
      <c r="X49" s="64">
        <v>5151</v>
      </c>
      <c r="AB49" s="59">
        <v>379</v>
      </c>
      <c r="AC49" s="89">
        <v>536011.64</v>
      </c>
      <c r="AE49" s="65">
        <v>153041.70000000004</v>
      </c>
      <c r="AF49" s="65">
        <v>403.80395778364129</v>
      </c>
      <c r="AH49" s="91"/>
    </row>
    <row r="50" spans="1:35">
      <c r="A50" s="84" t="s">
        <v>118</v>
      </c>
      <c r="B50" s="76">
        <v>62385463.969999999</v>
      </c>
      <c r="C50" s="91">
        <v>169469.29</v>
      </c>
      <c r="D50" s="106">
        <v>2.7164868098359359E-3</v>
      </c>
      <c r="E50" s="63">
        <v>860909</v>
      </c>
      <c r="F50" s="64">
        <v>3580</v>
      </c>
      <c r="G50" s="89">
        <v>3314</v>
      </c>
      <c r="I50" s="65">
        <v>61703.89</v>
      </c>
      <c r="J50" s="65">
        <v>18.61915811707906</v>
      </c>
      <c r="M50" s="59"/>
      <c r="T50" s="65">
        <v>61703.89</v>
      </c>
      <c r="X50" s="64">
        <v>3314</v>
      </c>
      <c r="AB50" s="59">
        <v>266</v>
      </c>
      <c r="AC50" s="89">
        <v>283678</v>
      </c>
      <c r="AE50" s="65">
        <v>107765.40000000001</v>
      </c>
      <c r="AF50" s="65">
        <v>405.13308270676697</v>
      </c>
      <c r="AH50" s="91"/>
    </row>
    <row r="51" spans="1:35">
      <c r="A51" s="84" t="s">
        <v>119</v>
      </c>
      <c r="B51" s="76">
        <v>74150070.680000007</v>
      </c>
      <c r="C51" s="91">
        <v>156667</v>
      </c>
      <c r="D51" s="106">
        <v>2.1128368262264747E-3</v>
      </c>
      <c r="E51" s="63">
        <v>790246</v>
      </c>
      <c r="F51" s="64">
        <v>1994</v>
      </c>
      <c r="G51" s="89">
        <v>1682</v>
      </c>
      <c r="I51" s="65">
        <v>26201.16</v>
      </c>
      <c r="J51" s="65">
        <v>15.577384066587395</v>
      </c>
      <c r="M51" s="59"/>
      <c r="T51" s="65">
        <v>26201.16</v>
      </c>
      <c r="X51" s="64">
        <v>1682</v>
      </c>
      <c r="AB51" s="59">
        <v>312</v>
      </c>
      <c r="AC51" s="89">
        <v>428863</v>
      </c>
      <c r="AE51" s="65">
        <v>130465.84</v>
      </c>
      <c r="AF51" s="65">
        <v>418.15974358974358</v>
      </c>
      <c r="AH51" s="91"/>
    </row>
    <row r="52" spans="1:35">
      <c r="A52" s="84" t="s">
        <v>57</v>
      </c>
      <c r="B52" s="76">
        <v>103351855</v>
      </c>
      <c r="C52" s="91">
        <v>153353.85999999999</v>
      </c>
      <c r="D52" s="108">
        <v>1.7485973226360164E-3</v>
      </c>
      <c r="E52" s="63">
        <v>1058319</v>
      </c>
      <c r="F52" s="64">
        <v>2121</v>
      </c>
      <c r="G52" s="89">
        <v>1808</v>
      </c>
      <c r="I52" s="65">
        <v>33948.5</v>
      </c>
      <c r="J52" s="65">
        <v>18.776825221238937</v>
      </c>
      <c r="M52" s="59"/>
      <c r="T52" s="65">
        <v>33948.5</v>
      </c>
      <c r="X52" s="64">
        <v>1808</v>
      </c>
      <c r="AB52" s="59">
        <v>313</v>
      </c>
      <c r="AC52" s="89">
        <v>448339</v>
      </c>
      <c r="AE52" s="65">
        <v>119405.35999999999</v>
      </c>
      <c r="AF52" s="65">
        <v>381.48677316293924</v>
      </c>
      <c r="AH52" s="91"/>
    </row>
    <row r="53" spans="1:35">
      <c r="A53" s="84" t="s">
        <v>120</v>
      </c>
      <c r="B53" s="76">
        <v>130639947.95</v>
      </c>
      <c r="C53" s="52">
        <v>237106.21000000002</v>
      </c>
      <c r="D53" s="78">
        <v>1.8149594647017769E-3</v>
      </c>
      <c r="E53" s="53">
        <v>1370883</v>
      </c>
      <c r="F53" s="49">
        <v>3337</v>
      </c>
      <c r="G53" s="58">
        <v>2293</v>
      </c>
      <c r="H53" s="45">
        <v>0</v>
      </c>
      <c r="I53" s="52">
        <v>74108.06</v>
      </c>
      <c r="J53" s="76">
        <v>32.319258613170518</v>
      </c>
      <c r="K53" s="53">
        <v>0</v>
      </c>
      <c r="L53" s="52">
        <v>0</v>
      </c>
      <c r="M53" s="59">
        <v>1</v>
      </c>
      <c r="N53" s="45">
        <v>0</v>
      </c>
      <c r="O53" s="52">
        <v>47.25</v>
      </c>
      <c r="P53" s="52">
        <v>0</v>
      </c>
      <c r="Q53" s="53">
        <v>0</v>
      </c>
      <c r="R53" s="53">
        <v>0</v>
      </c>
      <c r="S53" s="52">
        <v>0</v>
      </c>
      <c r="T53" s="76">
        <v>74155.31</v>
      </c>
      <c r="U53" s="52">
        <v>0</v>
      </c>
      <c r="V53" s="52">
        <v>0</v>
      </c>
      <c r="W53" s="52">
        <v>0</v>
      </c>
      <c r="X53" s="64">
        <v>2294</v>
      </c>
      <c r="Y53" s="55">
        <v>0</v>
      </c>
      <c r="Z53" s="55">
        <v>0</v>
      </c>
      <c r="AA53" s="55">
        <v>0</v>
      </c>
      <c r="AB53" s="59">
        <v>1043</v>
      </c>
      <c r="AC53" s="58">
        <v>747618</v>
      </c>
      <c r="AD53" s="45">
        <v>0</v>
      </c>
      <c r="AE53" s="52">
        <v>162950.90000000002</v>
      </c>
      <c r="AF53" s="76">
        <v>156.23288590604028</v>
      </c>
      <c r="AH53" s="91"/>
    </row>
    <row r="54" spans="1:35" s="45" customFormat="1" ht="12.75">
      <c r="A54" s="71">
        <v>40269</v>
      </c>
      <c r="B54" s="72">
        <f>'Freight 2009-2010'!B13</f>
        <v>135829223.18000001</v>
      </c>
      <c r="C54" s="72">
        <f>'Freight 2009-2010'!C13</f>
        <v>203792.06</v>
      </c>
      <c r="D54" s="103">
        <f>'Freight 2009-2010'!D13</f>
        <v>1.5003550431112757E-3</v>
      </c>
      <c r="E54" s="104">
        <f>'Freight 2009-2010'!E13</f>
        <v>1233908</v>
      </c>
      <c r="F54" s="104">
        <f>'Freight 2009-2010'!F13</f>
        <v>788</v>
      </c>
      <c r="G54" s="104">
        <f>'Freight 2009-2010'!G13</f>
        <v>0</v>
      </c>
      <c r="H54" s="72">
        <f>'Freight 2009-2010'!H13</f>
        <v>0</v>
      </c>
      <c r="I54" s="72">
        <f>'Freight 2009-2010'!I13</f>
        <v>101896.03</v>
      </c>
      <c r="J54" s="72" t="e">
        <f>'Freight 2009-2010'!J13</f>
        <v>#DIV/0!</v>
      </c>
      <c r="K54" s="72">
        <f>'Freight 2009-2010'!K13</f>
        <v>0</v>
      </c>
      <c r="L54" s="72">
        <f>'Freight 2009-2010'!L13</f>
        <v>0</v>
      </c>
      <c r="M54" s="59">
        <f>'Freight 2009-2010'!M13</f>
        <v>0</v>
      </c>
      <c r="N54" s="72">
        <f>'Freight 2009-2010'!N13</f>
        <v>0</v>
      </c>
      <c r="O54" s="72">
        <f>'Freight 2009-2010'!O13</f>
        <v>0</v>
      </c>
      <c r="P54" s="72">
        <f>'Freight 2009-2010'!P13</f>
        <v>0</v>
      </c>
      <c r="Q54" s="72">
        <f>'Freight 2009-2010'!Q13</f>
        <v>0</v>
      </c>
      <c r="R54" s="72">
        <f>'Freight 2009-2010'!R13</f>
        <v>0</v>
      </c>
      <c r="S54" s="72">
        <f>'Freight 2009-2010'!S13</f>
        <v>0</v>
      </c>
      <c r="T54" s="72">
        <f>'Freight 2009-2010'!T13</f>
        <v>101896.03</v>
      </c>
      <c r="U54" s="72">
        <f>'Freight 2009-2010'!U13</f>
        <v>0</v>
      </c>
      <c r="V54" s="72">
        <f>'Freight 2009-2010'!V13</f>
        <v>0</v>
      </c>
      <c r="W54" s="72">
        <f>'Freight 2009-2010'!W13</f>
        <v>0</v>
      </c>
      <c r="X54" s="64">
        <f>'Freight 2009-2010'!X13</f>
        <v>0</v>
      </c>
      <c r="Y54" s="72">
        <f>'Freight 2009-2010'!Y13</f>
        <v>0</v>
      </c>
      <c r="Z54" s="72">
        <f>'Freight 2009-2010'!Z13</f>
        <v>0</v>
      </c>
      <c r="AA54" s="72">
        <f>'Freight 2009-2010'!AA13</f>
        <v>0</v>
      </c>
      <c r="AB54" s="59">
        <f>'Freight 2009-2010'!AB13</f>
        <v>788</v>
      </c>
      <c r="AC54" s="72">
        <f>'Freight 2009-2010'!AC13</f>
        <v>340935</v>
      </c>
      <c r="AD54" s="72">
        <f>'Freight 2009-2010'!AD13</f>
        <v>0</v>
      </c>
      <c r="AE54" s="72">
        <f>'Freight 2009-2010'!AE13</f>
        <v>139264.44</v>
      </c>
      <c r="AF54" s="72">
        <f>'Freight 2009-2010'!AF13</f>
        <v>176.73152284263961</v>
      </c>
      <c r="AG54" s="52"/>
    </row>
    <row r="55" spans="1:35">
      <c r="M55" s="59"/>
      <c r="AB55" s="59"/>
    </row>
    <row r="56" spans="1:35">
      <c r="A56" s="84" t="s">
        <v>121</v>
      </c>
      <c r="B56" s="76">
        <v>8594563</v>
      </c>
      <c r="C56" s="91">
        <v>45488.86</v>
      </c>
      <c r="D56" s="106">
        <v>5.2927484503865994E-3</v>
      </c>
      <c r="E56" s="107">
        <v>449115</v>
      </c>
      <c r="F56" s="64">
        <v>5322</v>
      </c>
      <c r="G56" s="88">
        <v>4482</v>
      </c>
      <c r="I56" s="65">
        <v>20417.150000000001</v>
      </c>
      <c r="J56" s="65">
        <v>4.5553659080767517</v>
      </c>
      <c r="K56" s="68">
        <v>40104.629999999997</v>
      </c>
      <c r="M56" s="59">
        <v>690</v>
      </c>
      <c r="O56" s="65">
        <v>11080.5</v>
      </c>
      <c r="P56" s="65">
        <v>16.058695652173913</v>
      </c>
      <c r="Q56" s="68">
        <v>8533</v>
      </c>
      <c r="R56" s="68">
        <v>48637.63</v>
      </c>
      <c r="T56" s="65">
        <v>31497.65</v>
      </c>
      <c r="V56" s="65">
        <v>-20815.43</v>
      </c>
      <c r="X56" s="64">
        <v>5172</v>
      </c>
      <c r="Z56" s="64">
        <v>1359</v>
      </c>
      <c r="AB56" s="59">
        <v>150</v>
      </c>
      <c r="AC56" s="89">
        <v>32695</v>
      </c>
      <c r="AE56" s="65">
        <v>13991.21</v>
      </c>
      <c r="AF56" s="65">
        <v>93.27473333333333</v>
      </c>
      <c r="AH56" s="91">
        <v>-27649.490000000005</v>
      </c>
      <c r="AI56" s="87">
        <v>1362</v>
      </c>
    </row>
    <row r="57" spans="1:35">
      <c r="A57" s="84" t="s">
        <v>122</v>
      </c>
      <c r="B57" s="76">
        <v>13286255</v>
      </c>
      <c r="C57" s="91">
        <v>73138.350000000006</v>
      </c>
      <c r="D57" s="106">
        <v>5.5048130568019363E-3</v>
      </c>
      <c r="E57" s="107">
        <v>489075</v>
      </c>
      <c r="F57" s="64">
        <v>3960</v>
      </c>
      <c r="G57" s="88">
        <v>3813</v>
      </c>
      <c r="I57" s="65">
        <v>52313.08</v>
      </c>
      <c r="J57" s="65">
        <v>13.719664306320484</v>
      </c>
      <c r="M57" s="59"/>
      <c r="T57" s="65">
        <v>52313.08</v>
      </c>
      <c r="X57" s="64">
        <v>3813</v>
      </c>
      <c r="AB57" s="59">
        <v>147</v>
      </c>
      <c r="AC57" s="89">
        <v>45874</v>
      </c>
      <c r="AE57" s="65">
        <v>20825.27</v>
      </c>
      <c r="AF57" s="65">
        <v>141.66850340136054</v>
      </c>
      <c r="AH57" s="91"/>
    </row>
    <row r="58" spans="1:35">
      <c r="A58" s="84" t="s">
        <v>123</v>
      </c>
      <c r="B58" s="72">
        <v>26759272</v>
      </c>
      <c r="C58" s="91">
        <v>83533.77</v>
      </c>
      <c r="D58" s="106">
        <v>3.121675731686572E-3</v>
      </c>
      <c r="E58" s="90">
        <v>568352</v>
      </c>
      <c r="F58" s="64">
        <v>5577</v>
      </c>
      <c r="G58" s="88">
        <v>5473</v>
      </c>
      <c r="I58" s="65">
        <v>50874.91</v>
      </c>
      <c r="J58" s="65">
        <v>9.2956166636214146</v>
      </c>
      <c r="M58" s="59"/>
      <c r="O58" s="65">
        <v>224.12</v>
      </c>
      <c r="T58" s="65">
        <v>51099.030000000006</v>
      </c>
      <c r="X58" s="64">
        <v>5473</v>
      </c>
      <c r="AB58" s="59">
        <v>104</v>
      </c>
      <c r="AC58" s="89">
        <v>57324</v>
      </c>
      <c r="AE58" s="65">
        <v>32434.74</v>
      </c>
      <c r="AF58" s="65">
        <v>311.8725</v>
      </c>
      <c r="AH58" s="91"/>
    </row>
    <row r="59" spans="1:35">
      <c r="A59" s="84" t="s">
        <v>124</v>
      </c>
      <c r="B59" s="76">
        <v>41539481.590000004</v>
      </c>
      <c r="C59" s="91">
        <v>158740.16</v>
      </c>
      <c r="D59" s="106">
        <v>3.8214285283284391E-3</v>
      </c>
      <c r="E59" s="90">
        <v>788868</v>
      </c>
      <c r="F59" s="64">
        <v>3848</v>
      </c>
      <c r="G59" s="88">
        <v>3500</v>
      </c>
      <c r="I59" s="65">
        <v>58474.38</v>
      </c>
      <c r="J59" s="65">
        <v>16.706965714285715</v>
      </c>
      <c r="M59" s="59"/>
      <c r="O59" s="65">
        <v>103.76</v>
      </c>
      <c r="T59" s="65">
        <v>58578.14</v>
      </c>
      <c r="X59" s="64">
        <v>3500</v>
      </c>
      <c r="AB59" s="59">
        <v>348</v>
      </c>
      <c r="AC59" s="89">
        <v>82658</v>
      </c>
      <c r="AE59" s="65">
        <v>100162.02</v>
      </c>
      <c r="AF59" s="65">
        <v>287.82189655172414</v>
      </c>
      <c r="AH59" s="91"/>
    </row>
    <row r="60" spans="1:35">
      <c r="A60" s="84" t="s">
        <v>125</v>
      </c>
      <c r="B60" s="112">
        <v>58458555.039999999</v>
      </c>
      <c r="C60" s="91">
        <v>266162.52999999997</v>
      </c>
      <c r="D60" s="106">
        <v>4.5530124687118848E-3</v>
      </c>
      <c r="E60" s="90">
        <v>832727</v>
      </c>
      <c r="F60" s="64">
        <v>6394</v>
      </c>
      <c r="G60" s="88">
        <v>5803</v>
      </c>
      <c r="I60" s="102">
        <v>99825.95</v>
      </c>
      <c r="J60" s="65">
        <v>17.202472858866102</v>
      </c>
      <c r="M60" s="59"/>
      <c r="T60" s="65">
        <v>99825.95</v>
      </c>
      <c r="X60" s="64">
        <v>5803</v>
      </c>
      <c r="AB60" s="59">
        <v>591</v>
      </c>
      <c r="AC60" s="89">
        <v>377133</v>
      </c>
      <c r="AE60" s="65">
        <v>166336.57999999999</v>
      </c>
      <c r="AF60" s="65">
        <v>281.44937394247034</v>
      </c>
      <c r="AH60" s="91"/>
    </row>
    <row r="61" spans="1:35">
      <c r="A61" s="84" t="s">
        <v>126</v>
      </c>
      <c r="B61" s="73">
        <v>35062747.200000003</v>
      </c>
      <c r="C61" s="91">
        <v>154261.66999999998</v>
      </c>
      <c r="D61" s="106">
        <v>4.3995888034694544E-3</v>
      </c>
      <c r="E61" s="90">
        <v>682886</v>
      </c>
      <c r="F61" s="64">
        <v>4802</v>
      </c>
      <c r="G61" s="88">
        <v>4470</v>
      </c>
      <c r="I61" s="65">
        <v>60662.77</v>
      </c>
      <c r="J61" s="65">
        <v>13.571089485458613</v>
      </c>
      <c r="M61" s="59">
        <v>2</v>
      </c>
      <c r="O61" s="65">
        <v>19.62</v>
      </c>
      <c r="T61" s="65">
        <v>60682.39</v>
      </c>
      <c r="X61" s="64">
        <v>4472</v>
      </c>
      <c r="AB61" s="59">
        <v>330</v>
      </c>
      <c r="AC61" s="89">
        <v>218810</v>
      </c>
      <c r="AE61" s="91">
        <v>93579.28</v>
      </c>
      <c r="AF61" s="65">
        <v>283.57357575757578</v>
      </c>
      <c r="AH61" s="91"/>
    </row>
    <row r="62" spans="1:35">
      <c r="A62" s="84" t="s">
        <v>127</v>
      </c>
      <c r="B62" s="73">
        <v>54129960.810000002</v>
      </c>
      <c r="C62" s="91">
        <v>264919.21000000002</v>
      </c>
      <c r="D62" s="106">
        <v>4.8941326769085464E-3</v>
      </c>
      <c r="E62" s="79">
        <v>704925</v>
      </c>
      <c r="F62" s="64">
        <v>5837</v>
      </c>
      <c r="G62" s="89">
        <v>5461</v>
      </c>
      <c r="I62" s="65">
        <v>75193.58</v>
      </c>
      <c r="J62" s="65">
        <v>13.76919611792712</v>
      </c>
      <c r="M62" s="59"/>
      <c r="T62" s="65">
        <v>75193.58</v>
      </c>
      <c r="X62" s="64">
        <v>5461</v>
      </c>
      <c r="AB62" s="59">
        <v>376</v>
      </c>
      <c r="AC62" s="89">
        <v>632454</v>
      </c>
      <c r="AE62" s="65">
        <v>189725.63</v>
      </c>
      <c r="AF62" s="65">
        <v>504.58944148936172</v>
      </c>
      <c r="AH62" s="91"/>
    </row>
    <row r="63" spans="1:35">
      <c r="A63" s="84" t="s">
        <v>128</v>
      </c>
      <c r="B63" s="73">
        <v>77755565.769999996</v>
      </c>
      <c r="C63" s="91">
        <v>129853.16</v>
      </c>
      <c r="D63" s="106">
        <v>1.6700175571238726E-3</v>
      </c>
      <c r="E63" s="79">
        <v>1045192</v>
      </c>
      <c r="F63" s="64">
        <v>2072</v>
      </c>
      <c r="G63" s="89">
        <v>1842</v>
      </c>
      <c r="I63" s="65">
        <v>38464.74</v>
      </c>
      <c r="J63" s="65">
        <v>20.882052117263843</v>
      </c>
      <c r="M63" s="59"/>
      <c r="T63" s="65">
        <v>38464.74</v>
      </c>
      <c r="X63" s="64">
        <v>1842</v>
      </c>
      <c r="AB63" s="59">
        <v>230</v>
      </c>
      <c r="AC63" s="89">
        <v>269448</v>
      </c>
      <c r="AE63" s="65">
        <v>91388.42</v>
      </c>
      <c r="AF63" s="65">
        <v>397.34095652173914</v>
      </c>
      <c r="AH63" s="91"/>
    </row>
    <row r="64" spans="1:35">
      <c r="A64" s="84" t="s">
        <v>129</v>
      </c>
      <c r="B64" s="73">
        <v>91102018.060000002</v>
      </c>
      <c r="C64" s="91">
        <v>114965.37999999999</v>
      </c>
      <c r="D64" s="106">
        <v>1.2619410903091468E-3</v>
      </c>
      <c r="E64" s="79">
        <v>953091</v>
      </c>
      <c r="F64" s="64">
        <v>1900</v>
      </c>
      <c r="G64" s="89">
        <v>1682</v>
      </c>
      <c r="I64" s="65">
        <v>25969.39</v>
      </c>
      <c r="J64" s="65">
        <v>15.439589774078478</v>
      </c>
      <c r="M64" s="59"/>
      <c r="T64" s="65">
        <v>25969.39</v>
      </c>
      <c r="X64" s="64">
        <v>1682</v>
      </c>
      <c r="AB64" s="59">
        <v>218</v>
      </c>
      <c r="AC64" s="89">
        <v>262963</v>
      </c>
      <c r="AE64" s="65">
        <v>88995.989999999991</v>
      </c>
      <c r="AF64" s="65">
        <v>408.23848623853206</v>
      </c>
      <c r="AH64" s="91"/>
    </row>
    <row r="65" spans="1:41">
      <c r="A65" s="84" t="s">
        <v>58</v>
      </c>
      <c r="B65" s="73">
        <v>103915729</v>
      </c>
      <c r="C65" s="91">
        <v>152403.64000000001</v>
      </c>
      <c r="D65" s="108">
        <v>0</v>
      </c>
      <c r="E65" s="79">
        <v>982234</v>
      </c>
      <c r="F65" s="64">
        <v>1907</v>
      </c>
      <c r="G65" s="89">
        <v>1634</v>
      </c>
      <c r="I65" s="65">
        <v>40657.99</v>
      </c>
      <c r="J65" s="65">
        <v>24.882490820073439</v>
      </c>
      <c r="M65" s="59"/>
      <c r="T65" s="65">
        <v>40657.99</v>
      </c>
      <c r="X65" s="64">
        <v>1634</v>
      </c>
      <c r="AB65" s="59">
        <v>273</v>
      </c>
      <c r="AC65" s="89">
        <v>341231</v>
      </c>
      <c r="AE65" s="65">
        <v>111745.65000000001</v>
      </c>
      <c r="AF65" s="65">
        <v>409.32472527472532</v>
      </c>
      <c r="AH65" s="91"/>
    </row>
    <row r="66" spans="1:41">
      <c r="A66" s="84" t="s">
        <v>130</v>
      </c>
      <c r="B66" s="76">
        <v>109415894.42</v>
      </c>
      <c r="C66" s="52">
        <v>221719.26</v>
      </c>
      <c r="D66" s="78">
        <v>2.0263898693631864E-3</v>
      </c>
      <c r="E66" s="53">
        <v>1079187</v>
      </c>
      <c r="F66" s="49">
        <v>2456</v>
      </c>
      <c r="G66" s="58">
        <v>2186</v>
      </c>
      <c r="H66" s="45">
        <v>0</v>
      </c>
      <c r="I66" s="52">
        <v>89113.57</v>
      </c>
      <c r="J66" s="76">
        <v>40.765585544373288</v>
      </c>
      <c r="K66" s="53">
        <v>0</v>
      </c>
      <c r="L66" s="52">
        <v>0</v>
      </c>
      <c r="M66" s="59">
        <v>0</v>
      </c>
      <c r="N66" s="45">
        <v>0</v>
      </c>
      <c r="O66" s="52">
        <v>0</v>
      </c>
      <c r="P66" s="52">
        <v>0</v>
      </c>
      <c r="Q66" s="53">
        <v>0</v>
      </c>
      <c r="R66" s="53">
        <v>0</v>
      </c>
      <c r="S66" s="52">
        <v>0</v>
      </c>
      <c r="T66" s="76">
        <v>89113.57</v>
      </c>
      <c r="U66" s="52">
        <v>0</v>
      </c>
      <c r="V66" s="52">
        <v>0</v>
      </c>
      <c r="W66" s="52">
        <v>0</v>
      </c>
      <c r="X66" s="64">
        <v>2186</v>
      </c>
      <c r="Y66" s="55">
        <v>0</v>
      </c>
      <c r="Z66" s="55">
        <v>0</v>
      </c>
      <c r="AA66" s="55">
        <v>0</v>
      </c>
      <c r="AB66" s="59">
        <v>270</v>
      </c>
      <c r="AC66" s="58">
        <v>500843</v>
      </c>
      <c r="AD66" s="45">
        <v>0</v>
      </c>
      <c r="AE66" s="52">
        <v>132605.69</v>
      </c>
      <c r="AF66" s="76">
        <v>491.13218518518522</v>
      </c>
      <c r="AH66" s="91"/>
    </row>
    <row r="67" spans="1:41" s="45" customFormat="1" ht="12.75">
      <c r="A67" s="71">
        <v>40299</v>
      </c>
      <c r="B67" s="72">
        <f>'Freight 2009-2010'!B16</f>
        <v>128456839.04000001</v>
      </c>
      <c r="C67" s="72">
        <f>'Freight 2009-2010'!C16</f>
        <v>189646.84</v>
      </c>
      <c r="D67" s="103">
        <f>'Freight 2009-2010'!D16</f>
        <v>1.4763467746621581E-3</v>
      </c>
      <c r="E67" s="104">
        <f>'Freight 2009-2010'!E16</f>
        <v>1184712</v>
      </c>
      <c r="F67" s="104">
        <f>'Freight 2009-2010'!F16</f>
        <v>633</v>
      </c>
      <c r="G67" s="104">
        <f>'Freight 2009-2010'!G16</f>
        <v>557</v>
      </c>
      <c r="H67" s="72">
        <f>'Freight 2009-2010'!H16</f>
        <v>0</v>
      </c>
      <c r="I67" s="72">
        <f>'Freight 2009-2010'!I16</f>
        <v>94770.47</v>
      </c>
      <c r="J67" s="72">
        <f>'Freight 2009-2010'!J16</f>
        <v>170.14447037701976</v>
      </c>
      <c r="K67" s="72">
        <f>'Freight 2009-2010'!K16</f>
        <v>0</v>
      </c>
      <c r="L67" s="72">
        <f>'Freight 2009-2010'!L16</f>
        <v>0</v>
      </c>
      <c r="M67" s="59">
        <f>'Freight 2009-2010'!M16</f>
        <v>2</v>
      </c>
      <c r="N67" s="72">
        <f>'Freight 2009-2010'!N16</f>
        <v>0</v>
      </c>
      <c r="O67" s="72">
        <f>'Freight 2009-2010'!O16</f>
        <v>52.95</v>
      </c>
      <c r="P67" s="72">
        <f>'Freight 2009-2010'!P16</f>
        <v>0</v>
      </c>
      <c r="Q67" s="72">
        <f>'Freight 2009-2010'!Q16</f>
        <v>0</v>
      </c>
      <c r="R67" s="72">
        <f>'Freight 2009-2010'!R16</f>
        <v>0</v>
      </c>
      <c r="S67" s="72">
        <f>'Freight 2009-2010'!S16</f>
        <v>0</v>
      </c>
      <c r="T67" s="72">
        <f>'Freight 2009-2010'!T16</f>
        <v>94823.42</v>
      </c>
      <c r="U67" s="72">
        <f>'Freight 2009-2010'!U16</f>
        <v>0</v>
      </c>
      <c r="V67" s="72">
        <f>'Freight 2009-2010'!V16</f>
        <v>0</v>
      </c>
      <c r="W67" s="72">
        <f>'Freight 2009-2010'!W16</f>
        <v>0</v>
      </c>
      <c r="X67" s="64">
        <f>'Freight 2009-2010'!X16</f>
        <v>559</v>
      </c>
      <c r="Y67" s="72">
        <f>'Freight 2009-2010'!Y16</f>
        <v>0</v>
      </c>
      <c r="Z67" s="72">
        <f>'Freight 2009-2010'!Z16</f>
        <v>0</v>
      </c>
      <c r="AA67" s="72">
        <f>'Freight 2009-2010'!AA16</f>
        <v>0</v>
      </c>
      <c r="AB67" s="59">
        <f>'Freight 2009-2010'!AB16</f>
        <v>74</v>
      </c>
      <c r="AC67" s="72">
        <f>'Freight 2009-2010'!AC16</f>
        <v>88265</v>
      </c>
      <c r="AD67" s="72">
        <f>'Freight 2009-2010'!AD16</f>
        <v>0</v>
      </c>
      <c r="AE67" s="72">
        <f>'Freight 2009-2010'!AE16</f>
        <v>28957.129999999997</v>
      </c>
      <c r="AF67" s="72">
        <f>'Freight 2009-2010'!AF16</f>
        <v>391.31256756756756</v>
      </c>
      <c r="AG67" s="52"/>
    </row>
    <row r="68" spans="1:41">
      <c r="M68" s="59"/>
      <c r="AB68" s="59"/>
    </row>
    <row r="69" spans="1:41">
      <c r="A69" s="84" t="s">
        <v>131</v>
      </c>
      <c r="B69" s="76">
        <v>10228251</v>
      </c>
      <c r="C69" s="91">
        <v>87150.78</v>
      </c>
      <c r="D69" s="106">
        <v>8.5205945767267543E-3</v>
      </c>
      <c r="E69" s="107">
        <v>601549</v>
      </c>
      <c r="F69" s="64">
        <v>7197</v>
      </c>
      <c r="G69" s="88">
        <v>5027</v>
      </c>
      <c r="I69" s="65">
        <v>19238.57</v>
      </c>
      <c r="J69" s="65">
        <v>3.827047941117963</v>
      </c>
      <c r="K69" s="68">
        <v>43279.31</v>
      </c>
      <c r="M69" s="59">
        <v>1875</v>
      </c>
      <c r="O69" s="65">
        <v>33217.379999999997</v>
      </c>
      <c r="P69" s="65">
        <v>17.715935999999999</v>
      </c>
      <c r="Q69" s="68">
        <v>32237</v>
      </c>
      <c r="R69" s="68">
        <v>75516.31</v>
      </c>
      <c r="T69" s="65">
        <v>52455.95</v>
      </c>
      <c r="V69" s="65">
        <v>-52126.28</v>
      </c>
      <c r="X69" s="64">
        <v>6902</v>
      </c>
      <c r="Z69" s="64">
        <v>452</v>
      </c>
      <c r="AB69" s="59">
        <v>295</v>
      </c>
      <c r="AC69" s="89">
        <v>73669</v>
      </c>
      <c r="AE69" s="65">
        <v>34694.83</v>
      </c>
      <c r="AF69" s="65">
        <v>117.60959322033899</v>
      </c>
      <c r="AH69" s="91">
        <v>-48958.649999999994</v>
      </c>
      <c r="AI69" s="87">
        <v>572</v>
      </c>
      <c r="AJ69" s="87" t="s">
        <v>132</v>
      </c>
      <c r="AK69" s="110">
        <v>920</v>
      </c>
      <c r="AL69" s="111">
        <v>30</v>
      </c>
      <c r="AM69" s="111">
        <v>45</v>
      </c>
      <c r="AN69" s="91">
        <v>27600</v>
      </c>
      <c r="AO69" s="91">
        <v>41400</v>
      </c>
    </row>
    <row r="70" spans="1:41">
      <c r="A70" s="84" t="s">
        <v>133</v>
      </c>
      <c r="B70" s="76">
        <v>15267925</v>
      </c>
      <c r="C70" s="91">
        <v>136109.43</v>
      </c>
      <c r="D70" s="106">
        <v>8.9147300631880234E-3</v>
      </c>
      <c r="E70" s="107">
        <v>556915</v>
      </c>
      <c r="F70" s="64">
        <v>6625</v>
      </c>
      <c r="G70" s="88">
        <v>6450</v>
      </c>
      <c r="I70" s="65">
        <v>104582.23</v>
      </c>
      <c r="J70" s="65">
        <v>16.214299224806201</v>
      </c>
      <c r="M70" s="59"/>
      <c r="T70" s="65">
        <v>104582.23</v>
      </c>
      <c r="X70" s="64">
        <v>6450</v>
      </c>
      <c r="AB70" s="59">
        <v>175</v>
      </c>
      <c r="AC70" s="89">
        <v>31693</v>
      </c>
      <c r="AE70" s="65">
        <v>31527.200000000001</v>
      </c>
      <c r="AF70" s="65">
        <v>180.15542857142859</v>
      </c>
      <c r="AH70" s="91"/>
      <c r="AJ70" s="87" t="s">
        <v>134</v>
      </c>
      <c r="AK70" s="110">
        <v>445</v>
      </c>
      <c r="AL70" s="111">
        <v>30</v>
      </c>
      <c r="AM70" s="111">
        <v>45</v>
      </c>
      <c r="AN70" s="91">
        <v>13350</v>
      </c>
      <c r="AO70" s="91">
        <v>20025</v>
      </c>
    </row>
    <row r="71" spans="1:41">
      <c r="A71" s="84" t="s">
        <v>135</v>
      </c>
      <c r="B71" s="72">
        <v>24693147</v>
      </c>
      <c r="C71" s="91">
        <v>112950.18000000002</v>
      </c>
      <c r="D71" s="106">
        <v>4.5741508767594514E-3</v>
      </c>
      <c r="E71" s="107">
        <v>626487</v>
      </c>
      <c r="F71" s="64">
        <v>7443</v>
      </c>
      <c r="G71" s="88">
        <v>7308</v>
      </c>
      <c r="I71" s="65">
        <v>74544.88</v>
      </c>
      <c r="J71" s="65">
        <v>10.200448823207445</v>
      </c>
      <c r="M71" s="59"/>
      <c r="O71" s="65">
        <v>195.32</v>
      </c>
      <c r="T71" s="65">
        <v>74740.200000000012</v>
      </c>
      <c r="X71" s="64">
        <v>7308</v>
      </c>
      <c r="AB71" s="59">
        <v>135</v>
      </c>
      <c r="AC71" s="89">
        <v>70959</v>
      </c>
      <c r="AE71" s="65">
        <v>38209.980000000003</v>
      </c>
      <c r="AF71" s="65">
        <v>283.03688888888894</v>
      </c>
      <c r="AH71" s="91"/>
      <c r="AN71" s="91"/>
      <c r="AO71" s="91"/>
    </row>
    <row r="72" spans="1:41">
      <c r="A72" s="84" t="s">
        <v>136</v>
      </c>
      <c r="B72" s="76">
        <v>31762810.829999998</v>
      </c>
      <c r="C72" s="91">
        <v>162487.84999999998</v>
      </c>
      <c r="D72" s="106">
        <v>5.115663436389895E-3</v>
      </c>
      <c r="E72" s="107">
        <v>673857</v>
      </c>
      <c r="F72" s="64">
        <v>5242</v>
      </c>
      <c r="G72" s="88">
        <v>4933</v>
      </c>
      <c r="I72" s="65">
        <v>54416.67</v>
      </c>
      <c r="J72" s="65">
        <v>11.031151429150619</v>
      </c>
      <c r="M72" s="59"/>
      <c r="T72" s="65">
        <v>54416.67</v>
      </c>
      <c r="X72" s="64">
        <v>4933</v>
      </c>
      <c r="AB72" s="59">
        <v>309</v>
      </c>
      <c r="AC72" s="89">
        <v>143358</v>
      </c>
      <c r="AE72" s="65">
        <v>108071.18</v>
      </c>
      <c r="AF72" s="65">
        <v>349.74491909385114</v>
      </c>
      <c r="AH72" s="91"/>
      <c r="AN72" s="91"/>
      <c r="AO72" s="91"/>
    </row>
    <row r="73" spans="1:41">
      <c r="A73" s="84" t="s">
        <v>137</v>
      </c>
      <c r="B73" s="76">
        <v>36560534.969999999</v>
      </c>
      <c r="C73" s="91">
        <v>166491.68</v>
      </c>
      <c r="D73" s="106">
        <v>4.5538633429903557E-3</v>
      </c>
      <c r="E73" s="107">
        <v>562038</v>
      </c>
      <c r="F73" s="64">
        <v>4053</v>
      </c>
      <c r="G73" s="88">
        <v>3635</v>
      </c>
      <c r="I73" s="65">
        <v>55780.24</v>
      </c>
      <c r="J73" s="65">
        <v>15.345320495185694</v>
      </c>
      <c r="M73" s="59"/>
      <c r="T73" s="65">
        <v>55780.24</v>
      </c>
      <c r="X73" s="64">
        <v>3635</v>
      </c>
      <c r="AB73" s="59">
        <v>418</v>
      </c>
      <c r="AC73" s="89">
        <v>277180</v>
      </c>
      <c r="AE73" s="65">
        <v>110711.44</v>
      </c>
      <c r="AF73" s="65">
        <v>264.85990430622007</v>
      </c>
      <c r="AH73" s="91"/>
      <c r="AN73" s="91"/>
      <c r="AO73" s="91"/>
    </row>
    <row r="74" spans="1:41">
      <c r="A74" s="84" t="s">
        <v>138</v>
      </c>
      <c r="B74" s="76">
        <v>49136656.18</v>
      </c>
      <c r="C74" s="91">
        <v>166913.71</v>
      </c>
      <c r="D74" s="106">
        <v>3.3969285453318773E-3</v>
      </c>
      <c r="E74" s="63">
        <v>788024</v>
      </c>
      <c r="F74" s="64">
        <v>3893</v>
      </c>
      <c r="G74" s="88">
        <v>3511</v>
      </c>
      <c r="I74" s="65">
        <v>45685.37</v>
      </c>
      <c r="J74" s="65">
        <v>13.012067786955285</v>
      </c>
      <c r="M74" s="59">
        <v>3</v>
      </c>
      <c r="O74" s="65">
        <v>29.43</v>
      </c>
      <c r="T74" s="65">
        <v>45714.8</v>
      </c>
      <c r="X74" s="64">
        <v>3514</v>
      </c>
      <c r="AB74" s="59">
        <v>379</v>
      </c>
      <c r="AC74" s="89">
        <v>315104</v>
      </c>
      <c r="AE74" s="65">
        <v>121198.90999999999</v>
      </c>
      <c r="AF74" s="65">
        <v>319.78604221635879</v>
      </c>
      <c r="AH74" s="91"/>
      <c r="AN74" s="91"/>
      <c r="AO74" s="91"/>
    </row>
    <row r="75" spans="1:41">
      <c r="A75" s="84" t="s">
        <v>139</v>
      </c>
      <c r="B75" s="76">
        <v>105540415.19</v>
      </c>
      <c r="C75" s="91">
        <v>587781.57000000007</v>
      </c>
      <c r="D75" s="106">
        <v>5.5692558053883102E-3</v>
      </c>
      <c r="E75" s="63">
        <v>1344228</v>
      </c>
      <c r="F75" s="64">
        <v>6233</v>
      </c>
      <c r="G75" s="89">
        <v>5884</v>
      </c>
      <c r="I75" s="65">
        <v>88749.79</v>
      </c>
      <c r="J75" s="65">
        <v>15.083240992522093</v>
      </c>
      <c r="M75" s="59">
        <v>0</v>
      </c>
      <c r="O75" s="65">
        <v>0</v>
      </c>
      <c r="P75" s="65">
        <v>0</v>
      </c>
      <c r="Q75" s="68">
        <v>0</v>
      </c>
      <c r="R75" s="68">
        <v>0</v>
      </c>
      <c r="T75" s="65">
        <v>88749.79</v>
      </c>
      <c r="X75" s="64">
        <v>5884</v>
      </c>
      <c r="AB75" s="59">
        <v>349</v>
      </c>
      <c r="AC75" s="89">
        <v>375568</v>
      </c>
      <c r="AE75" s="65">
        <v>499031.78000000009</v>
      </c>
      <c r="AF75" s="65">
        <v>1429.8904871060174</v>
      </c>
      <c r="AH75" s="91"/>
      <c r="AN75" s="91"/>
      <c r="AO75" s="91"/>
    </row>
    <row r="76" spans="1:41">
      <c r="A76" s="84" t="s">
        <v>140</v>
      </c>
      <c r="B76" s="76">
        <v>84651527.450000003</v>
      </c>
      <c r="C76" s="91">
        <v>255026.05999999997</v>
      </c>
      <c r="D76" s="106">
        <v>3.0126575111197236E-3</v>
      </c>
      <c r="E76" s="63">
        <v>1122425</v>
      </c>
      <c r="F76" s="64">
        <v>2866</v>
      </c>
      <c r="G76" s="89">
        <v>2512</v>
      </c>
      <c r="I76" s="65">
        <v>44905.57</v>
      </c>
      <c r="J76" s="65">
        <v>17.87642117834395</v>
      </c>
      <c r="M76" s="59"/>
      <c r="T76" s="65">
        <v>44905.57</v>
      </c>
      <c r="X76" s="64">
        <v>2512</v>
      </c>
      <c r="AB76" s="59">
        <v>354</v>
      </c>
      <c r="AC76" s="89">
        <v>415528</v>
      </c>
      <c r="AE76" s="65">
        <v>210120.48999999996</v>
      </c>
      <c r="AF76" s="65">
        <v>593.56070621468916</v>
      </c>
      <c r="AH76" s="91"/>
      <c r="AN76" s="91"/>
      <c r="AO76" s="91"/>
    </row>
    <row r="77" spans="1:41">
      <c r="A77" s="84" t="s">
        <v>141</v>
      </c>
      <c r="B77" s="76">
        <v>92514977.780000001</v>
      </c>
      <c r="C77" s="91">
        <v>215551.9</v>
      </c>
      <c r="D77" s="106">
        <v>2.3299135466754474E-3</v>
      </c>
      <c r="E77" s="63">
        <v>1003125</v>
      </c>
      <c r="F77" s="64">
        <v>2518</v>
      </c>
      <c r="G77" s="89">
        <v>2145</v>
      </c>
      <c r="I77" s="65">
        <v>40376.99</v>
      </c>
      <c r="J77" s="65">
        <v>18.823771561771562</v>
      </c>
      <c r="M77" s="59"/>
      <c r="T77" s="65">
        <v>40376.99</v>
      </c>
      <c r="X77" s="64">
        <v>2145</v>
      </c>
      <c r="AB77" s="59">
        <v>373</v>
      </c>
      <c r="AC77" s="89">
        <v>575892</v>
      </c>
      <c r="AE77" s="65">
        <v>175174.91</v>
      </c>
      <c r="AF77" s="65">
        <v>469.63782841823058</v>
      </c>
      <c r="AH77" s="91"/>
      <c r="AN77" s="91"/>
      <c r="AO77" s="91"/>
    </row>
    <row r="78" spans="1:41">
      <c r="A78" s="84" t="s">
        <v>59</v>
      </c>
      <c r="B78" s="76">
        <v>94695546</v>
      </c>
      <c r="C78" s="91">
        <v>151501.5</v>
      </c>
      <c r="D78" s="106">
        <v>1.5998798929782823E-3</v>
      </c>
      <c r="E78" s="63">
        <v>948993</v>
      </c>
      <c r="F78" s="64">
        <v>1251</v>
      </c>
      <c r="G78" s="89">
        <v>1009</v>
      </c>
      <c r="I78" s="65">
        <v>44164.08</v>
      </c>
      <c r="J78" s="65">
        <v>43.770148662041628</v>
      </c>
      <c r="M78" s="59"/>
      <c r="T78" s="65">
        <v>44164.08</v>
      </c>
      <c r="X78" s="64">
        <v>1009</v>
      </c>
      <c r="AB78" s="59">
        <v>242</v>
      </c>
      <c r="AC78" s="89">
        <v>300528</v>
      </c>
      <c r="AE78" s="65">
        <v>107337.42000000001</v>
      </c>
      <c r="AF78" s="65">
        <v>443.54305785123972</v>
      </c>
      <c r="AH78" s="91"/>
      <c r="AN78" s="91"/>
      <c r="AO78" s="91"/>
    </row>
    <row r="79" spans="1:41">
      <c r="A79" s="80">
        <v>39965</v>
      </c>
      <c r="B79" s="76">
        <v>115073809.8</v>
      </c>
      <c r="C79" s="91">
        <v>236702.88999999998</v>
      </c>
      <c r="D79" s="106">
        <v>2.0569657892737987E-3</v>
      </c>
      <c r="E79" s="63">
        <v>1155004</v>
      </c>
      <c r="F79" s="64">
        <v>2092</v>
      </c>
      <c r="G79" s="89">
        <v>1724</v>
      </c>
      <c r="I79" s="65">
        <v>71509.78</v>
      </c>
      <c r="J79" s="65">
        <v>41.478990719257538</v>
      </c>
      <c r="M79" s="59"/>
      <c r="T79" s="65">
        <v>71509.78</v>
      </c>
      <c r="X79" s="64">
        <v>1724</v>
      </c>
      <c r="AB79" s="59">
        <v>368</v>
      </c>
      <c r="AC79" s="89">
        <v>578624</v>
      </c>
      <c r="AE79" s="65">
        <v>165193.10999999999</v>
      </c>
      <c r="AF79" s="65">
        <v>448.89432065217386</v>
      </c>
      <c r="AH79" s="91"/>
      <c r="AN79" s="91"/>
      <c r="AO79" s="91"/>
    </row>
    <row r="80" spans="1:41">
      <c r="A80" s="80">
        <v>40330</v>
      </c>
      <c r="C80" s="91"/>
      <c r="D80" s="106"/>
      <c r="E80" s="63"/>
      <c r="F80" s="64"/>
      <c r="G80" s="89"/>
      <c r="M80" s="59"/>
      <c r="AB80" s="59"/>
      <c r="AH80" s="91"/>
      <c r="AN80" s="91"/>
      <c r="AO80" s="91"/>
    </row>
    <row r="81" spans="1:41">
      <c r="M81" s="59"/>
      <c r="AB81" s="59"/>
    </row>
    <row r="82" spans="1:41">
      <c r="A82" s="84" t="s">
        <v>142</v>
      </c>
      <c r="B82" s="76">
        <v>9106067</v>
      </c>
      <c r="C82" s="91">
        <v>48372.45</v>
      </c>
      <c r="D82" s="106">
        <v>5.3121122434087072E-3</v>
      </c>
      <c r="E82" s="107">
        <v>447276</v>
      </c>
      <c r="F82" s="64">
        <v>6158</v>
      </c>
      <c r="G82" s="88">
        <v>4643</v>
      </c>
      <c r="I82" s="65">
        <v>14454.09</v>
      </c>
      <c r="J82" s="65">
        <v>3.1130928279129875</v>
      </c>
      <c r="K82" s="68">
        <v>35154.18</v>
      </c>
      <c r="M82" s="59">
        <v>1337</v>
      </c>
      <c r="O82" s="65">
        <v>23253.72</v>
      </c>
      <c r="P82" s="65">
        <v>17.392460732984294</v>
      </c>
      <c r="Q82" s="68">
        <v>23719</v>
      </c>
      <c r="R82" s="68">
        <v>58873.18</v>
      </c>
      <c r="T82" s="65">
        <v>37707.81</v>
      </c>
      <c r="V82" s="65">
        <v>-16377.840000000004</v>
      </c>
      <c r="X82" s="64">
        <v>5980</v>
      </c>
      <c r="Z82" s="64">
        <v>1382</v>
      </c>
      <c r="AB82" s="59">
        <v>178</v>
      </c>
      <c r="AC82" s="89">
        <v>24730</v>
      </c>
      <c r="AE82" s="65">
        <v>10664.64</v>
      </c>
      <c r="AF82" s="65">
        <v>59.913707865168533</v>
      </c>
      <c r="AH82" s="91">
        <v>-21170.37000000001</v>
      </c>
      <c r="AI82" s="87">
        <v>1475</v>
      </c>
      <c r="AJ82" s="87" t="s">
        <v>143</v>
      </c>
      <c r="AK82" s="110">
        <v>441</v>
      </c>
      <c r="AL82" s="111">
        <v>20</v>
      </c>
      <c r="AM82" s="111">
        <v>45</v>
      </c>
      <c r="AN82" s="91">
        <v>8820</v>
      </c>
      <c r="AO82" s="91">
        <v>19845</v>
      </c>
    </row>
    <row r="83" spans="1:41">
      <c r="A83" s="84" t="s">
        <v>144</v>
      </c>
      <c r="B83" s="76">
        <v>10725689</v>
      </c>
      <c r="C83" s="91">
        <v>69542.820000000007</v>
      </c>
      <c r="D83" s="106">
        <v>6.4837624883585573E-3</v>
      </c>
      <c r="E83" s="107">
        <v>467800</v>
      </c>
      <c r="F83" s="64">
        <v>4683</v>
      </c>
      <c r="G83" s="88">
        <v>4598</v>
      </c>
      <c r="I83" s="65">
        <v>54085.65</v>
      </c>
      <c r="J83" s="65">
        <v>11.762864288821227</v>
      </c>
      <c r="M83" s="59"/>
      <c r="T83" s="65">
        <v>54085.65</v>
      </c>
      <c r="X83" s="64">
        <v>4598</v>
      </c>
      <c r="AB83" s="59">
        <v>85</v>
      </c>
      <c r="AC83" s="89">
        <v>27536</v>
      </c>
      <c r="AE83" s="65">
        <v>15457.17</v>
      </c>
      <c r="AF83" s="65">
        <v>181.84905882352942</v>
      </c>
      <c r="AJ83" s="87" t="s">
        <v>132</v>
      </c>
      <c r="AK83" s="110">
        <v>369</v>
      </c>
      <c r="AL83" s="111">
        <v>30</v>
      </c>
      <c r="AM83" s="111">
        <v>45</v>
      </c>
      <c r="AN83" s="91">
        <v>11070</v>
      </c>
      <c r="AO83" s="91">
        <v>16605</v>
      </c>
    </row>
    <row r="84" spans="1:41">
      <c r="A84" s="84" t="s">
        <v>145</v>
      </c>
      <c r="B84" s="72">
        <v>18099600</v>
      </c>
      <c r="C84" s="91">
        <v>73761.55</v>
      </c>
      <c r="D84" s="106">
        <v>4.0753138190899249E-3</v>
      </c>
      <c r="E84" s="107">
        <v>432580</v>
      </c>
      <c r="F84" s="64">
        <v>7343</v>
      </c>
      <c r="G84" s="88">
        <v>7279</v>
      </c>
      <c r="I84" s="113">
        <v>53994.59</v>
      </c>
      <c r="J84" s="65">
        <v>7.4178582222832805</v>
      </c>
      <c r="M84" s="59"/>
      <c r="O84" s="65">
        <v>141.69</v>
      </c>
      <c r="T84" s="65">
        <v>54136.28</v>
      </c>
      <c r="X84" s="64">
        <v>7279</v>
      </c>
      <c r="AB84" s="59">
        <v>64</v>
      </c>
      <c r="AC84" s="89">
        <v>39392</v>
      </c>
      <c r="AE84" s="65">
        <v>19625.27</v>
      </c>
      <c r="AF84" s="65">
        <v>306.64484375000001</v>
      </c>
      <c r="AN84" s="91"/>
      <c r="AO84" s="91"/>
    </row>
    <row r="85" spans="1:41">
      <c r="A85" s="84" t="s">
        <v>146</v>
      </c>
      <c r="B85" s="76">
        <v>44243311.640000001</v>
      </c>
      <c r="C85" s="91">
        <v>154377.9</v>
      </c>
      <c r="D85" s="106">
        <v>3.4892935062398956E-3</v>
      </c>
      <c r="E85" s="107">
        <v>799318</v>
      </c>
      <c r="F85" s="64">
        <v>6140</v>
      </c>
      <c r="G85" s="88">
        <v>5725</v>
      </c>
      <c r="I85" s="65">
        <v>54815.79</v>
      </c>
      <c r="J85" s="65">
        <v>9.5748104803493455</v>
      </c>
      <c r="M85" s="59"/>
      <c r="O85" s="65">
        <v>27.18</v>
      </c>
      <c r="T85" s="65">
        <v>54842.97</v>
      </c>
      <c r="X85" s="64">
        <v>5725</v>
      </c>
      <c r="AB85" s="59">
        <v>415</v>
      </c>
      <c r="AC85" s="89">
        <v>215079</v>
      </c>
      <c r="AE85" s="65">
        <v>99534.93</v>
      </c>
      <c r="AF85" s="65">
        <v>239.8432048192771</v>
      </c>
      <c r="AN85" s="91"/>
      <c r="AO85" s="91"/>
    </row>
    <row r="86" spans="1:41">
      <c r="A86" s="84" t="s">
        <v>147</v>
      </c>
      <c r="B86" s="72">
        <v>84272832.150000006</v>
      </c>
      <c r="C86" s="91">
        <v>363145.95</v>
      </c>
      <c r="D86" s="106">
        <v>4.3091698799635038E-3</v>
      </c>
      <c r="E86" s="107">
        <v>1367487</v>
      </c>
      <c r="F86" s="64">
        <v>6211</v>
      </c>
      <c r="G86" s="88">
        <v>5469</v>
      </c>
      <c r="I86" s="65">
        <v>97404.76</v>
      </c>
      <c r="J86" s="65">
        <v>17.810341927226183</v>
      </c>
      <c r="M86" s="59"/>
      <c r="T86" s="65">
        <v>97404.76</v>
      </c>
      <c r="X86" s="64">
        <v>5469</v>
      </c>
      <c r="AB86" s="59">
        <v>742</v>
      </c>
      <c r="AC86" s="89">
        <v>501753</v>
      </c>
      <c r="AE86" s="65">
        <v>265741.19</v>
      </c>
      <c r="AF86" s="65">
        <v>358.14176549865232</v>
      </c>
      <c r="AN86" s="91"/>
      <c r="AO86" s="91"/>
    </row>
    <row r="87" spans="1:41">
      <c r="A87" s="84" t="s">
        <v>148</v>
      </c>
      <c r="B87" s="72">
        <v>47519402.149999999</v>
      </c>
      <c r="C87" s="91">
        <v>226126.69</v>
      </c>
      <c r="D87" s="106">
        <v>4.758618159508979E-3</v>
      </c>
      <c r="E87" s="63">
        <v>809842</v>
      </c>
      <c r="F87" s="64">
        <v>4412</v>
      </c>
      <c r="G87" s="88">
        <v>3909</v>
      </c>
      <c r="I87" s="102">
        <v>68634.73</v>
      </c>
      <c r="J87" s="65">
        <v>17.558129956510616</v>
      </c>
      <c r="M87" s="59">
        <v>2</v>
      </c>
      <c r="O87" s="65">
        <v>19.88</v>
      </c>
      <c r="T87" s="65">
        <v>68654.61</v>
      </c>
      <c r="X87" s="64">
        <v>3911</v>
      </c>
      <c r="AB87" s="59">
        <v>501</v>
      </c>
      <c r="AC87" s="89">
        <v>352691</v>
      </c>
      <c r="AE87" s="65">
        <v>157472.07999999999</v>
      </c>
      <c r="AF87" s="65">
        <v>314.31552894211575</v>
      </c>
      <c r="AN87" s="91"/>
      <c r="AO87" s="91"/>
    </row>
    <row r="88" spans="1:41">
      <c r="A88" s="84" t="s">
        <v>149</v>
      </c>
      <c r="B88" s="72">
        <v>101348030.28</v>
      </c>
      <c r="C88" s="91">
        <v>407967.62999999989</v>
      </c>
      <c r="D88" s="106">
        <v>4.0254125203310256E-3</v>
      </c>
      <c r="E88" s="63">
        <v>1236586</v>
      </c>
      <c r="F88" s="64">
        <v>7543</v>
      </c>
      <c r="G88" s="89">
        <v>7022</v>
      </c>
      <c r="I88" s="102">
        <v>107128.91000000002</v>
      </c>
      <c r="J88" s="65">
        <v>15.256181999430364</v>
      </c>
      <c r="M88" s="59">
        <v>1</v>
      </c>
      <c r="O88" s="65">
        <v>4008.98</v>
      </c>
      <c r="P88" s="65">
        <v>4008.98</v>
      </c>
      <c r="T88" s="65">
        <v>111137.89000000001</v>
      </c>
      <c r="X88" s="64">
        <v>7023</v>
      </c>
      <c r="AB88" s="59">
        <v>520</v>
      </c>
      <c r="AC88" s="89">
        <v>593093</v>
      </c>
      <c r="AE88" s="65">
        <v>296829.73999999987</v>
      </c>
      <c r="AF88" s="65">
        <v>570.82642307692288</v>
      </c>
      <c r="AN88" s="91"/>
      <c r="AO88" s="91"/>
    </row>
    <row r="89" spans="1:41">
      <c r="A89" s="84" t="s">
        <v>150</v>
      </c>
      <c r="B89" s="72">
        <v>58753954.759999998</v>
      </c>
      <c r="C89" s="91">
        <v>273394.89</v>
      </c>
      <c r="D89" s="106">
        <v>4.6532168109665482E-3</v>
      </c>
      <c r="E89" s="63">
        <v>728369</v>
      </c>
      <c r="F89" s="64">
        <v>2566</v>
      </c>
      <c r="G89" s="89">
        <v>2286</v>
      </c>
      <c r="I89" s="102">
        <v>43575.950000000004</v>
      </c>
      <c r="J89" s="65">
        <v>19.062095363079617</v>
      </c>
      <c r="M89" s="59">
        <v>41</v>
      </c>
      <c r="O89" s="65">
        <v>80362.42</v>
      </c>
      <c r="P89" s="65">
        <v>1960.0590243902438</v>
      </c>
      <c r="T89" s="65">
        <v>123938.37</v>
      </c>
      <c r="X89" s="64">
        <v>2327</v>
      </c>
      <c r="AB89" s="59">
        <v>239</v>
      </c>
      <c r="AC89" s="89">
        <v>258323</v>
      </c>
      <c r="AE89" s="65">
        <v>149456.51999999999</v>
      </c>
      <c r="AF89" s="65">
        <v>625.34108786610875</v>
      </c>
      <c r="AN89" s="91"/>
      <c r="AO89" s="91"/>
    </row>
    <row r="90" spans="1:41">
      <c r="A90" s="84" t="s">
        <v>151</v>
      </c>
      <c r="B90" s="76">
        <v>82765367.489999995</v>
      </c>
      <c r="C90" s="91">
        <v>144723.29999999999</v>
      </c>
      <c r="D90" s="106">
        <v>1.7485973226360164E-3</v>
      </c>
      <c r="E90" s="107">
        <v>815342</v>
      </c>
      <c r="F90" s="64">
        <v>2142</v>
      </c>
      <c r="G90" s="89">
        <v>1778</v>
      </c>
      <c r="I90" s="65">
        <v>31434.36</v>
      </c>
      <c r="J90" s="65">
        <v>17.679617547806526</v>
      </c>
      <c r="M90" s="59"/>
      <c r="T90" s="65">
        <v>31434.36</v>
      </c>
      <c r="X90" s="64">
        <v>1778</v>
      </c>
      <c r="AB90" s="59">
        <v>364</v>
      </c>
      <c r="AC90" s="89">
        <v>395338</v>
      </c>
      <c r="AE90" s="65">
        <v>113288.93999999997</v>
      </c>
      <c r="AF90" s="65">
        <v>311.23335164835157</v>
      </c>
      <c r="AJ90" s="87" t="s">
        <v>134</v>
      </c>
      <c r="AK90" s="110">
        <v>117</v>
      </c>
      <c r="AL90" s="111">
        <v>30</v>
      </c>
      <c r="AM90" s="111">
        <v>45</v>
      </c>
      <c r="AN90" s="91">
        <v>3510</v>
      </c>
      <c r="AO90" s="91">
        <v>5265</v>
      </c>
    </row>
    <row r="91" spans="1:41">
      <c r="A91" s="84" t="s">
        <v>60</v>
      </c>
      <c r="B91" s="76">
        <v>119691609.26000001</v>
      </c>
      <c r="C91" s="91">
        <v>152343.12999999998</v>
      </c>
      <c r="D91" s="106">
        <v>1.2727970735949645E-3</v>
      </c>
      <c r="E91" s="107">
        <v>1175719</v>
      </c>
      <c r="F91" s="64">
        <v>1752</v>
      </c>
      <c r="G91" s="89">
        <v>1461</v>
      </c>
      <c r="I91" s="65">
        <v>48706.01</v>
      </c>
      <c r="J91" s="65">
        <v>33.337446954141001</v>
      </c>
      <c r="M91" s="59"/>
      <c r="T91" s="65">
        <v>48706.01</v>
      </c>
      <c r="X91" s="64">
        <v>1461</v>
      </c>
      <c r="AB91" s="59">
        <v>291</v>
      </c>
      <c r="AC91" s="89">
        <v>304176</v>
      </c>
      <c r="AE91" s="65">
        <v>103637.11999999998</v>
      </c>
      <c r="AF91" s="65">
        <v>356.14130584192435</v>
      </c>
      <c r="AN91" s="91"/>
      <c r="AO91" s="91"/>
    </row>
    <row r="92" spans="1:41">
      <c r="A92" s="80">
        <v>39995</v>
      </c>
      <c r="B92" s="76">
        <v>126351728.63</v>
      </c>
      <c r="C92" s="91">
        <v>197375.15000000002</v>
      </c>
      <c r="D92" s="106">
        <v>1.5621088222542668E-3</v>
      </c>
      <c r="E92" s="107">
        <v>1202463</v>
      </c>
      <c r="F92" s="64">
        <v>1687</v>
      </c>
      <c r="G92" s="89">
        <v>1393</v>
      </c>
      <c r="I92" s="65">
        <v>67153.790000000008</v>
      </c>
      <c r="J92" s="65">
        <v>48.208033022254135</v>
      </c>
      <c r="M92" s="59"/>
      <c r="T92" s="65">
        <v>67153.790000000008</v>
      </c>
      <c r="X92" s="64">
        <v>1393</v>
      </c>
      <c r="AB92" s="59">
        <v>294</v>
      </c>
      <c r="AC92" s="89">
        <v>546142</v>
      </c>
      <c r="AE92" s="65">
        <v>130188.41000000003</v>
      </c>
      <c r="AF92" s="65">
        <v>442.81772108843546</v>
      </c>
      <c r="AN92" s="91"/>
      <c r="AO92" s="91"/>
    </row>
    <row r="93" spans="1:41">
      <c r="C93" s="91"/>
      <c r="D93" s="106"/>
      <c r="E93" s="107"/>
      <c r="F93" s="64"/>
      <c r="M93" s="59"/>
      <c r="AB93" s="59"/>
      <c r="AN93" s="91"/>
      <c r="AO93" s="91"/>
    </row>
    <row r="94" spans="1:41">
      <c r="A94" s="84" t="s">
        <v>152</v>
      </c>
      <c r="B94" s="76">
        <v>8429545</v>
      </c>
      <c r="C94" s="91">
        <v>37943.211000000003</v>
      </c>
      <c r="D94" s="106">
        <v>4.5012169695991897E-3</v>
      </c>
      <c r="E94" s="107">
        <v>413844</v>
      </c>
      <c r="F94" s="64">
        <v>3912</v>
      </c>
      <c r="G94" s="88">
        <v>2944</v>
      </c>
      <c r="I94" s="65">
        <v>8045.1409999999996</v>
      </c>
      <c r="J94" s="65">
        <v>2.7327245244565215</v>
      </c>
      <c r="K94" s="68">
        <v>21528.02</v>
      </c>
      <c r="M94" s="59">
        <v>741</v>
      </c>
      <c r="O94" s="65">
        <v>14691.99</v>
      </c>
      <c r="P94" s="65">
        <v>19.827246963562754</v>
      </c>
      <c r="Q94" s="68">
        <v>15207</v>
      </c>
      <c r="R94" s="68">
        <v>36735.020000000004</v>
      </c>
      <c r="T94" s="65">
        <v>22737.131000000001</v>
      </c>
      <c r="V94" s="65">
        <v>-98600.809000000008</v>
      </c>
      <c r="X94" s="64">
        <v>3685</v>
      </c>
      <c r="Z94" s="64">
        <v>-7280</v>
      </c>
      <c r="AB94" s="59">
        <v>227</v>
      </c>
      <c r="AC94" s="89">
        <v>43475.75</v>
      </c>
      <c r="AE94" s="65">
        <v>15206.08</v>
      </c>
      <c r="AF94" s="65">
        <v>66.987136563876646</v>
      </c>
      <c r="AH94" s="91">
        <v>-103534.56899999999</v>
      </c>
      <c r="AI94" s="87">
        <v>-7124</v>
      </c>
      <c r="AJ94" s="87" t="s">
        <v>143</v>
      </c>
      <c r="AK94" s="110">
        <v>249</v>
      </c>
      <c r="AL94" s="111">
        <v>20</v>
      </c>
      <c r="AM94" s="111">
        <v>45</v>
      </c>
      <c r="AN94" s="91">
        <v>4980</v>
      </c>
      <c r="AO94" s="91">
        <v>11205</v>
      </c>
    </row>
    <row r="95" spans="1:41">
      <c r="A95" s="84" t="s">
        <v>153</v>
      </c>
      <c r="B95" s="76">
        <v>18511426</v>
      </c>
      <c r="C95" s="91">
        <v>141477.78</v>
      </c>
      <c r="D95" s="106">
        <v>7.6427272539673604E-3</v>
      </c>
      <c r="E95" s="107">
        <v>593269</v>
      </c>
      <c r="F95" s="64">
        <v>11036</v>
      </c>
      <c r="G95" s="88">
        <v>10965</v>
      </c>
      <c r="I95" s="65">
        <v>121337.94</v>
      </c>
      <c r="J95" s="65">
        <v>11.065931600547195</v>
      </c>
      <c r="M95" s="59"/>
      <c r="T95" s="65">
        <v>121337.94</v>
      </c>
      <c r="X95" s="64">
        <v>10965</v>
      </c>
      <c r="AB95" s="59">
        <v>71</v>
      </c>
      <c r="AC95" s="89">
        <v>18299</v>
      </c>
      <c r="AE95" s="65">
        <v>20139.84</v>
      </c>
      <c r="AF95" s="65">
        <v>283.65971830985916</v>
      </c>
      <c r="AJ95" s="87" t="s">
        <v>154</v>
      </c>
      <c r="AK95" s="110">
        <v>365</v>
      </c>
      <c r="AL95" s="111">
        <v>30</v>
      </c>
      <c r="AM95" s="111">
        <v>45</v>
      </c>
      <c r="AN95" s="91">
        <v>10950</v>
      </c>
      <c r="AO95" s="91">
        <v>16425</v>
      </c>
    </row>
    <row r="96" spans="1:41">
      <c r="A96" s="84" t="s">
        <v>155</v>
      </c>
      <c r="B96" s="72">
        <v>25584668</v>
      </c>
      <c r="C96" s="91">
        <v>110186.1</v>
      </c>
      <c r="D96" s="106">
        <v>4.3067238550838337E-3</v>
      </c>
      <c r="E96" s="107">
        <v>3119168</v>
      </c>
      <c r="F96" s="64">
        <v>3905</v>
      </c>
      <c r="G96" s="88">
        <v>3658</v>
      </c>
      <c r="I96" s="65">
        <v>62747.91</v>
      </c>
      <c r="J96" s="65">
        <v>17.15361126298524</v>
      </c>
      <c r="M96" s="59"/>
      <c r="T96" s="65">
        <v>62747.91</v>
      </c>
      <c r="X96" s="64">
        <v>3658</v>
      </c>
      <c r="AB96" s="59">
        <v>247</v>
      </c>
      <c r="AC96" s="89">
        <v>215925</v>
      </c>
      <c r="AE96" s="65">
        <v>47438.19</v>
      </c>
      <c r="AF96" s="65">
        <v>192.05744939271256</v>
      </c>
      <c r="AN96" s="91"/>
      <c r="AO96" s="91"/>
    </row>
    <row r="97" spans="1:41">
      <c r="A97" s="84" t="s">
        <v>156</v>
      </c>
      <c r="B97" s="76">
        <v>31720582.43</v>
      </c>
      <c r="C97" s="91">
        <v>106697.48999999999</v>
      </c>
      <c r="D97" s="106">
        <v>3.3636674306172249E-3</v>
      </c>
      <c r="E97" s="107">
        <v>593796</v>
      </c>
      <c r="F97" s="64">
        <v>5340</v>
      </c>
      <c r="G97" s="88">
        <v>5066</v>
      </c>
      <c r="I97" s="113">
        <v>50183.92</v>
      </c>
      <c r="J97" s="65">
        <v>9.9060244769048555</v>
      </c>
      <c r="M97" s="59">
        <v>4</v>
      </c>
      <c r="O97" s="65">
        <v>35.42</v>
      </c>
      <c r="P97" s="65">
        <v>8.8550000000000004</v>
      </c>
      <c r="T97" s="65">
        <v>50219.34</v>
      </c>
      <c r="X97" s="64">
        <v>5070</v>
      </c>
      <c r="AB97" s="59">
        <v>270</v>
      </c>
      <c r="AC97" s="89">
        <v>46683</v>
      </c>
      <c r="AE97" s="65">
        <v>56478.15</v>
      </c>
      <c r="AF97" s="65">
        <v>209.17833333333334</v>
      </c>
      <c r="AN97" s="91"/>
      <c r="AO97" s="91"/>
    </row>
    <row r="98" spans="1:41">
      <c r="A98" s="84" t="s">
        <v>157</v>
      </c>
      <c r="B98" s="95">
        <v>46514931.18</v>
      </c>
      <c r="C98" s="91">
        <v>144938.5</v>
      </c>
      <c r="D98" s="106">
        <v>3.1159564536197603E-3</v>
      </c>
      <c r="E98" s="107">
        <v>756073</v>
      </c>
      <c r="F98" s="64">
        <v>3351</v>
      </c>
      <c r="G98" s="88">
        <v>2918</v>
      </c>
      <c r="I98" s="113">
        <v>40040.92</v>
      </c>
      <c r="J98" s="65">
        <v>13.722042494859492</v>
      </c>
      <c r="M98" s="59"/>
      <c r="T98" s="65">
        <v>40040.92</v>
      </c>
      <c r="X98" s="64">
        <v>2918</v>
      </c>
      <c r="AB98" s="59">
        <v>433</v>
      </c>
      <c r="AC98" s="89">
        <v>221878</v>
      </c>
      <c r="AE98" s="65">
        <v>104897.58</v>
      </c>
      <c r="AF98" s="65">
        <v>242.25769053117784</v>
      </c>
      <c r="AN98" s="91"/>
      <c r="AO98" s="91"/>
    </row>
    <row r="99" spans="1:41">
      <c r="A99" s="84" t="s">
        <v>158</v>
      </c>
      <c r="B99" s="95">
        <v>55002750.670000002</v>
      </c>
      <c r="C99" s="91">
        <v>197266.64</v>
      </c>
      <c r="D99" s="106">
        <v>3.5864868137875624E-3</v>
      </c>
      <c r="E99" s="107">
        <v>823241</v>
      </c>
      <c r="F99" s="64">
        <v>3386</v>
      </c>
      <c r="G99" s="88">
        <v>2943</v>
      </c>
      <c r="I99" s="65">
        <v>50882.66</v>
      </c>
      <c r="J99" s="65">
        <v>17.289384981311589</v>
      </c>
      <c r="M99" s="59">
        <v>2</v>
      </c>
      <c r="O99" s="65">
        <v>19.8</v>
      </c>
      <c r="T99" s="65">
        <v>50902.460000000006</v>
      </c>
      <c r="X99" s="64">
        <v>2945</v>
      </c>
      <c r="AB99" s="59">
        <v>441</v>
      </c>
      <c r="AC99" s="89">
        <v>405518</v>
      </c>
      <c r="AE99" s="65">
        <v>146364.18</v>
      </c>
      <c r="AF99" s="65">
        <v>331.89156462585032</v>
      </c>
      <c r="AN99" s="91"/>
      <c r="AO99" s="91"/>
    </row>
    <row r="100" spans="1:41">
      <c r="A100" s="84" t="s">
        <v>159</v>
      </c>
      <c r="B100" s="95">
        <v>82370119.120000005</v>
      </c>
      <c r="C100" s="91">
        <v>522133.96</v>
      </c>
      <c r="D100" s="106">
        <v>6.3388758639444836E-3</v>
      </c>
      <c r="E100" s="107">
        <v>1043528</v>
      </c>
      <c r="F100" s="64">
        <v>5767</v>
      </c>
      <c r="G100" s="89">
        <v>5328</v>
      </c>
      <c r="I100" s="65">
        <v>67061.440000000017</v>
      </c>
      <c r="J100" s="65">
        <v>12.58660660660661</v>
      </c>
      <c r="M100" s="59">
        <v>0</v>
      </c>
      <c r="O100" s="65">
        <v>0</v>
      </c>
      <c r="P100" s="64"/>
      <c r="T100" s="65">
        <v>67061.440000000017</v>
      </c>
      <c r="X100" s="64">
        <v>5328</v>
      </c>
      <c r="AB100" s="59">
        <v>439</v>
      </c>
      <c r="AC100" s="89">
        <v>623281</v>
      </c>
      <c r="AE100" s="65">
        <v>455072.52</v>
      </c>
      <c r="AF100" s="65">
        <v>1036.6116628701595</v>
      </c>
      <c r="AN100" s="91"/>
      <c r="AO100" s="91"/>
    </row>
    <row r="101" spans="1:41">
      <c r="A101" s="84" t="s">
        <v>160</v>
      </c>
      <c r="B101" s="92">
        <v>59177309.710000001</v>
      </c>
      <c r="C101" s="91">
        <v>110594.37</v>
      </c>
      <c r="D101" s="106">
        <v>1.8688644438547592E-3</v>
      </c>
      <c r="E101" s="107">
        <v>828649</v>
      </c>
      <c r="F101" s="64">
        <v>2015</v>
      </c>
      <c r="G101" s="89">
        <v>1804</v>
      </c>
      <c r="I101" s="65">
        <v>31715.670000000002</v>
      </c>
      <c r="J101" s="65">
        <v>17.580748337028826</v>
      </c>
      <c r="M101" s="59"/>
      <c r="P101" s="64"/>
      <c r="T101" s="65">
        <v>31715.670000000002</v>
      </c>
      <c r="X101" s="64">
        <v>1804</v>
      </c>
      <c r="AB101" s="59">
        <v>211</v>
      </c>
      <c r="AC101" s="89">
        <v>221335</v>
      </c>
      <c r="AE101" s="65">
        <v>78878.7</v>
      </c>
      <c r="AF101" s="65">
        <v>373.83270142180095</v>
      </c>
      <c r="AN101" s="91"/>
      <c r="AO101" s="91"/>
    </row>
    <row r="102" spans="1:41">
      <c r="A102" s="84" t="s">
        <v>161</v>
      </c>
      <c r="B102" s="92">
        <v>88641594.540000007</v>
      </c>
      <c r="C102" s="91">
        <v>146032.93</v>
      </c>
      <c r="D102" s="106">
        <v>1.6474537801111173E-3</v>
      </c>
      <c r="E102" s="107">
        <v>890487</v>
      </c>
      <c r="F102" s="64">
        <v>2017</v>
      </c>
      <c r="G102" s="89">
        <v>1721</v>
      </c>
      <c r="I102" s="65">
        <v>26881.370000000003</v>
      </c>
      <c r="J102" s="65">
        <v>15.61962231260895</v>
      </c>
      <c r="M102" s="59"/>
      <c r="P102" s="64"/>
      <c r="T102" s="65">
        <v>26881.370000000003</v>
      </c>
      <c r="X102" s="64">
        <v>1721</v>
      </c>
      <c r="AB102" s="59">
        <v>296</v>
      </c>
      <c r="AC102" s="89">
        <v>413355</v>
      </c>
      <c r="AE102" s="65">
        <v>119151.56</v>
      </c>
      <c r="AF102" s="65">
        <v>402.53905405405402</v>
      </c>
      <c r="AN102" s="91"/>
      <c r="AO102" s="91"/>
    </row>
    <row r="103" spans="1:41">
      <c r="A103" s="84" t="s">
        <v>61</v>
      </c>
      <c r="B103" s="114">
        <v>93273604.319999993</v>
      </c>
      <c r="C103" s="91">
        <v>112394.97</v>
      </c>
      <c r="D103" s="106">
        <v>1.2050029675533826E-3</v>
      </c>
      <c r="E103" s="107">
        <v>953473</v>
      </c>
      <c r="F103" s="64">
        <v>1299</v>
      </c>
      <c r="G103" s="89">
        <v>1111</v>
      </c>
      <c r="I103" s="65">
        <v>41752.54</v>
      </c>
      <c r="J103" s="65">
        <v>37.581044104410445</v>
      </c>
      <c r="M103" s="59">
        <v>1</v>
      </c>
      <c r="O103" s="65">
        <v>28.74</v>
      </c>
      <c r="T103" s="65">
        <v>41781.279999999999</v>
      </c>
      <c r="X103" s="64">
        <v>1112</v>
      </c>
      <c r="AB103" s="59">
        <v>187</v>
      </c>
      <c r="AC103" s="89">
        <v>213528</v>
      </c>
      <c r="AE103" s="65">
        <v>70613.69</v>
      </c>
      <c r="AF103" s="65">
        <v>377.6133155080214</v>
      </c>
      <c r="AJ103" s="87" t="s">
        <v>134</v>
      </c>
      <c r="AK103" s="110">
        <v>564</v>
      </c>
      <c r="AL103" s="111">
        <v>30</v>
      </c>
      <c r="AM103" s="111">
        <v>45</v>
      </c>
      <c r="AN103" s="91">
        <v>16920</v>
      </c>
      <c r="AO103" s="91">
        <v>25380</v>
      </c>
    </row>
    <row r="104" spans="1:41">
      <c r="A104" s="80">
        <v>40026</v>
      </c>
      <c r="B104" s="114">
        <v>106803055.27</v>
      </c>
      <c r="C104" s="91">
        <v>211200.55000000005</v>
      </c>
      <c r="D104" s="106">
        <v>1.9774766692402324E-3</v>
      </c>
      <c r="E104" s="107">
        <v>1089383</v>
      </c>
      <c r="F104" s="64">
        <v>2390</v>
      </c>
      <c r="G104" s="89">
        <v>2034</v>
      </c>
      <c r="I104" s="65">
        <v>81012.14</v>
      </c>
      <c r="J104" s="65">
        <v>39.82897738446411</v>
      </c>
      <c r="M104" s="59"/>
      <c r="T104" s="65">
        <v>81012.14</v>
      </c>
      <c r="X104" s="64">
        <v>2034</v>
      </c>
      <c r="AB104" s="59">
        <v>356</v>
      </c>
      <c r="AC104" s="89">
        <v>451722</v>
      </c>
      <c r="AE104" s="65">
        <v>130188.41000000003</v>
      </c>
      <c r="AF104" s="65">
        <v>365.69778089887649</v>
      </c>
      <c r="AN104" s="91"/>
      <c r="AO104" s="91"/>
    </row>
    <row r="105" spans="1:41">
      <c r="C105" s="91"/>
      <c r="D105" s="106"/>
      <c r="E105" s="107"/>
      <c r="F105" s="64"/>
      <c r="M105" s="59"/>
      <c r="AB105" s="59"/>
      <c r="AN105" s="91"/>
      <c r="AO105" s="91"/>
    </row>
    <row r="106" spans="1:41">
      <c r="A106" s="84" t="s">
        <v>162</v>
      </c>
      <c r="B106" s="76">
        <v>14954410</v>
      </c>
      <c r="C106" s="91">
        <v>71208.23000000001</v>
      </c>
      <c r="D106" s="106">
        <v>4.7616876894508052E-3</v>
      </c>
      <c r="E106" s="107">
        <v>560836</v>
      </c>
      <c r="F106" s="64">
        <v>6486</v>
      </c>
      <c r="G106" s="88">
        <v>4299</v>
      </c>
      <c r="I106" s="65">
        <v>12198.53</v>
      </c>
      <c r="J106" s="65">
        <v>2.8375273319376602</v>
      </c>
      <c r="K106" s="68">
        <v>36225.75</v>
      </c>
      <c r="M106" s="59">
        <v>1918</v>
      </c>
      <c r="O106" s="65">
        <v>32648.63</v>
      </c>
      <c r="P106" s="65">
        <v>17.022226277372262</v>
      </c>
      <c r="Q106" s="68">
        <v>33589</v>
      </c>
      <c r="R106" s="68">
        <v>69814.75</v>
      </c>
      <c r="T106" s="65">
        <v>44847.16</v>
      </c>
      <c r="V106" s="65">
        <v>-33102.87999999999</v>
      </c>
      <c r="X106" s="64">
        <v>6217</v>
      </c>
      <c r="Z106" s="64">
        <v>-522</v>
      </c>
      <c r="AB106" s="59">
        <v>269</v>
      </c>
      <c r="AC106" s="89">
        <v>56673</v>
      </c>
      <c r="AE106" s="65">
        <v>26361.07</v>
      </c>
      <c r="AF106" s="65">
        <v>97.996542750929365</v>
      </c>
      <c r="AH106" s="91">
        <v>-59894.809999999969</v>
      </c>
      <c r="AI106" s="87">
        <v>-486</v>
      </c>
      <c r="AJ106" s="87" t="s">
        <v>163</v>
      </c>
      <c r="AK106" s="110">
        <v>437</v>
      </c>
      <c r="AL106" s="111">
        <v>30</v>
      </c>
      <c r="AM106" s="111">
        <v>45</v>
      </c>
      <c r="AN106" s="91">
        <v>13110</v>
      </c>
      <c r="AO106" s="91">
        <v>19665</v>
      </c>
    </row>
    <row r="107" spans="1:41">
      <c r="A107" s="80" t="s">
        <v>164</v>
      </c>
      <c r="B107" s="76">
        <v>21303632</v>
      </c>
      <c r="C107" s="91">
        <v>131103.03999999998</v>
      </c>
      <c r="D107" s="106">
        <v>6.1540229384360367E-3</v>
      </c>
      <c r="E107" s="107">
        <v>743120</v>
      </c>
      <c r="F107" s="64">
        <v>6972</v>
      </c>
      <c r="G107" s="88">
        <v>6739</v>
      </c>
      <c r="I107" s="65">
        <v>77950.039999999994</v>
      </c>
      <c r="J107" s="65">
        <v>11.567004006529158</v>
      </c>
      <c r="M107" s="59"/>
      <c r="T107" s="65">
        <v>77950.039999999994</v>
      </c>
      <c r="X107" s="64">
        <v>6739</v>
      </c>
      <c r="AB107" s="59">
        <v>233</v>
      </c>
      <c r="AC107" s="89">
        <v>120694</v>
      </c>
      <c r="AE107" s="65">
        <v>53153</v>
      </c>
      <c r="AF107" s="65">
        <v>228.12446351931331</v>
      </c>
      <c r="AJ107" s="87" t="s">
        <v>143</v>
      </c>
      <c r="AK107" s="110">
        <v>424</v>
      </c>
      <c r="AL107" s="111">
        <v>20</v>
      </c>
      <c r="AM107" s="111">
        <v>45</v>
      </c>
      <c r="AN107" s="91">
        <v>8480</v>
      </c>
      <c r="AO107" s="91">
        <v>19080</v>
      </c>
    </row>
    <row r="108" spans="1:41" hidden="1">
      <c r="M108" s="59"/>
      <c r="AB108" s="59"/>
      <c r="AJ108" s="87" t="s">
        <v>165</v>
      </c>
      <c r="AK108" s="110">
        <v>388</v>
      </c>
      <c r="AL108" s="111">
        <v>10</v>
      </c>
      <c r="AM108" s="111">
        <v>45</v>
      </c>
      <c r="AN108" s="91">
        <v>3880</v>
      </c>
      <c r="AO108" s="91">
        <v>17460</v>
      </c>
    </row>
    <row r="109" spans="1:41" hidden="1">
      <c r="A109" s="84" t="s">
        <v>166</v>
      </c>
      <c r="B109" s="76">
        <v>94519414</v>
      </c>
      <c r="C109" s="76">
        <v>630784.85</v>
      </c>
      <c r="D109" s="106">
        <v>6.6736009387447113E-3</v>
      </c>
      <c r="E109" s="107"/>
      <c r="M109" s="59"/>
      <c r="AB109" s="59"/>
    </row>
    <row r="110" spans="1:41">
      <c r="A110" s="84" t="s">
        <v>167</v>
      </c>
      <c r="B110" s="93">
        <v>20884582.559999999</v>
      </c>
      <c r="C110" s="91">
        <v>112686.17</v>
      </c>
      <c r="D110" s="106">
        <v>5.3956630292350937E-3</v>
      </c>
      <c r="E110" s="68">
        <v>652575</v>
      </c>
      <c r="F110" s="64">
        <v>6945</v>
      </c>
      <c r="G110" s="88">
        <v>6642</v>
      </c>
      <c r="I110" s="65">
        <v>64282.25</v>
      </c>
      <c r="J110" s="65">
        <v>9.6781466425775378</v>
      </c>
      <c r="M110" s="59">
        <v>27</v>
      </c>
      <c r="O110" s="65">
        <v>441.52</v>
      </c>
      <c r="P110" s="65">
        <v>16.352592592592593</v>
      </c>
      <c r="T110" s="65">
        <v>64723.77</v>
      </c>
      <c r="X110" s="64">
        <v>6669</v>
      </c>
      <c r="AB110" s="59">
        <v>276</v>
      </c>
      <c r="AC110" s="89">
        <v>74738</v>
      </c>
      <c r="AE110" s="65">
        <v>47962.400000000001</v>
      </c>
      <c r="AF110" s="65">
        <v>173.77681159420291</v>
      </c>
    </row>
    <row r="111" spans="1:41">
      <c r="A111" s="84" t="s">
        <v>168</v>
      </c>
      <c r="B111" s="93">
        <v>37001723.289999999</v>
      </c>
      <c r="C111" s="91">
        <v>151247.57999999999</v>
      </c>
      <c r="D111" s="106">
        <v>4.0875820516412488E-3</v>
      </c>
      <c r="E111" s="68">
        <v>716377</v>
      </c>
      <c r="F111" s="64">
        <v>6365</v>
      </c>
      <c r="G111" s="88">
        <v>6036</v>
      </c>
      <c r="I111" s="65">
        <v>63028.24</v>
      </c>
      <c r="J111" s="65">
        <v>10.44205434062293</v>
      </c>
      <c r="M111" s="59"/>
      <c r="T111" s="65">
        <v>63028.24</v>
      </c>
      <c r="X111" s="64">
        <v>6036</v>
      </c>
      <c r="AB111" s="59">
        <v>329</v>
      </c>
      <c r="AC111" s="89">
        <v>166788</v>
      </c>
      <c r="AE111" s="65">
        <v>88219.34</v>
      </c>
      <c r="AF111" s="65">
        <v>268.14389057750759</v>
      </c>
    </row>
    <row r="112" spans="1:41">
      <c r="A112" s="84" t="s">
        <v>169</v>
      </c>
      <c r="B112" s="93">
        <v>38582301.469999999</v>
      </c>
      <c r="C112" s="91">
        <v>148604.21</v>
      </c>
      <c r="D112" s="106">
        <v>3.8516160088466595E-3</v>
      </c>
      <c r="E112" s="68">
        <v>635606</v>
      </c>
      <c r="F112" s="64">
        <v>4184</v>
      </c>
      <c r="G112" s="88">
        <v>3860</v>
      </c>
      <c r="I112" s="65">
        <v>48519.86</v>
      </c>
      <c r="J112" s="65">
        <v>12.569911917098446</v>
      </c>
      <c r="M112" s="59"/>
      <c r="O112" s="65">
        <v>106.13</v>
      </c>
      <c r="T112" s="65">
        <v>48625.99</v>
      </c>
      <c r="X112" s="64">
        <v>3860</v>
      </c>
      <c r="AB112" s="59">
        <v>324</v>
      </c>
      <c r="AC112" s="89">
        <v>230242</v>
      </c>
      <c r="AE112" s="102">
        <v>99978.22</v>
      </c>
      <c r="AF112" s="65">
        <v>308.57475308641978</v>
      </c>
    </row>
    <row r="113" spans="1:41">
      <c r="A113" s="84" t="s">
        <v>170</v>
      </c>
      <c r="B113" s="93">
        <v>67783702.900000006</v>
      </c>
      <c r="C113" s="91">
        <v>189729.76</v>
      </c>
      <c r="D113" s="106">
        <v>2.7990468487669473E-3</v>
      </c>
      <c r="E113" s="68">
        <v>984501</v>
      </c>
      <c r="F113" s="64">
        <v>4596</v>
      </c>
      <c r="G113" s="88">
        <v>4238</v>
      </c>
      <c r="I113" s="65">
        <v>57354.22</v>
      </c>
      <c r="J113" s="65">
        <v>13.53332232184993</v>
      </c>
      <c r="M113" s="59">
        <v>20</v>
      </c>
      <c r="O113" s="65">
        <v>7268.02</v>
      </c>
      <c r="T113" s="65">
        <v>64622.240000000005</v>
      </c>
      <c r="X113" s="64">
        <v>4258</v>
      </c>
      <c r="AB113" s="59">
        <v>338</v>
      </c>
      <c r="AC113" s="89">
        <v>222720</v>
      </c>
      <c r="AE113" s="60">
        <v>125107.51999999999</v>
      </c>
      <c r="AF113" s="65">
        <v>370.14059171597631</v>
      </c>
    </row>
    <row r="114" spans="1:41">
      <c r="A114" s="84" t="s">
        <v>171</v>
      </c>
      <c r="B114" s="93">
        <v>77195708.230000004</v>
      </c>
      <c r="C114" s="91">
        <v>224691.7</v>
      </c>
      <c r="D114" s="106">
        <v>2.9106760615570039E-3</v>
      </c>
      <c r="E114" s="68">
        <v>990299</v>
      </c>
      <c r="F114" s="64">
        <v>5563</v>
      </c>
      <c r="G114" s="89">
        <v>5308</v>
      </c>
      <c r="I114" s="65">
        <v>69495.02</v>
      </c>
      <c r="J114" s="65">
        <v>13.09250565184627</v>
      </c>
      <c r="M114" s="59">
        <v>0</v>
      </c>
      <c r="O114" s="65">
        <v>0</v>
      </c>
      <c r="T114" s="65">
        <v>69495.02</v>
      </c>
      <c r="X114" s="64">
        <v>5308</v>
      </c>
      <c r="AB114" s="59">
        <v>255</v>
      </c>
      <c r="AC114" s="89">
        <v>239497</v>
      </c>
      <c r="AE114" s="60">
        <v>155196.68</v>
      </c>
      <c r="AF114" s="65">
        <v>608.61443137254901</v>
      </c>
    </row>
    <row r="115" spans="1:41">
      <c r="A115" s="84" t="s">
        <v>172</v>
      </c>
      <c r="B115" s="93">
        <v>90185251.579999998</v>
      </c>
      <c r="C115" s="91">
        <v>234970.03000000003</v>
      </c>
      <c r="D115" s="106">
        <v>2.6054152523105932E-3</v>
      </c>
      <c r="E115" s="68">
        <v>1134477</v>
      </c>
      <c r="F115" s="64">
        <v>2756</v>
      </c>
      <c r="G115" s="89">
        <v>2444</v>
      </c>
      <c r="I115" s="65">
        <v>37423.82</v>
      </c>
      <c r="J115" s="65">
        <v>15.312528641571195</v>
      </c>
      <c r="M115" s="59"/>
      <c r="T115" s="65">
        <v>37423.82</v>
      </c>
      <c r="X115" s="64">
        <v>2444</v>
      </c>
      <c r="AB115" s="59">
        <v>312</v>
      </c>
      <c r="AC115" s="89">
        <v>356203</v>
      </c>
      <c r="AE115" s="60">
        <v>197546.21000000002</v>
      </c>
      <c r="AF115" s="65">
        <v>633.1609294871796</v>
      </c>
    </row>
    <row r="116" spans="1:41">
      <c r="A116" s="84" t="s">
        <v>173</v>
      </c>
      <c r="B116" s="93">
        <v>87229706.590000004</v>
      </c>
      <c r="C116" s="91">
        <v>165678.94999999998</v>
      </c>
      <c r="D116" s="106">
        <v>1.8993409066332156E-3</v>
      </c>
      <c r="E116" s="68">
        <v>875225</v>
      </c>
      <c r="F116" s="64">
        <v>2479</v>
      </c>
      <c r="G116" s="89">
        <v>2211</v>
      </c>
      <c r="I116" s="65">
        <v>41133.71</v>
      </c>
      <c r="J116" s="65">
        <v>18.604120307553142</v>
      </c>
      <c r="M116" s="59"/>
      <c r="T116" s="65">
        <v>41133.71</v>
      </c>
      <c r="X116" s="64">
        <v>2211</v>
      </c>
      <c r="AB116" s="59">
        <v>268</v>
      </c>
      <c r="AC116" s="89">
        <v>404214</v>
      </c>
      <c r="AE116" s="60">
        <v>124545.23999999999</v>
      </c>
      <c r="AF116" s="65">
        <v>464.72104477611936</v>
      </c>
    </row>
    <row r="117" spans="1:41">
      <c r="A117" s="84" t="s">
        <v>62</v>
      </c>
      <c r="B117" s="93">
        <v>109613965.56</v>
      </c>
      <c r="C117" s="91">
        <v>242700.26999999996</v>
      </c>
      <c r="D117" s="106">
        <v>2.2141363900127467E-3</v>
      </c>
      <c r="E117" s="68">
        <v>1175719</v>
      </c>
      <c r="F117" s="64">
        <v>1975</v>
      </c>
      <c r="G117" s="89">
        <v>1684</v>
      </c>
      <c r="I117" s="65">
        <v>70764.41</v>
      </c>
      <c r="J117" s="65">
        <v>42.021621140142521</v>
      </c>
      <c r="M117" s="59">
        <v>2</v>
      </c>
      <c r="O117" s="65">
        <v>57.48</v>
      </c>
      <c r="T117" s="65">
        <v>70821.89</v>
      </c>
      <c r="X117" s="64">
        <v>1686</v>
      </c>
      <c r="AB117" s="59">
        <v>289</v>
      </c>
      <c r="AC117" s="89">
        <v>428539</v>
      </c>
      <c r="AE117" s="60">
        <v>171878.37999999998</v>
      </c>
      <c r="AF117" s="65">
        <v>594.73487889273349</v>
      </c>
    </row>
    <row r="118" spans="1:41">
      <c r="A118" s="80">
        <v>40057</v>
      </c>
      <c r="B118" s="93">
        <v>120092249.08</v>
      </c>
      <c r="C118" s="91">
        <v>302857.13000000012</v>
      </c>
      <c r="D118" s="106">
        <v>2.5218707478635899E-3</v>
      </c>
      <c r="E118" s="68">
        <v>1221043</v>
      </c>
      <c r="F118" s="64">
        <v>1986</v>
      </c>
      <c r="G118" s="89">
        <v>1602</v>
      </c>
      <c r="I118" s="65">
        <v>68867.61</v>
      </c>
      <c r="J118" s="65">
        <v>42.98852059925094</v>
      </c>
      <c r="M118" s="59"/>
      <c r="T118" s="65">
        <v>68867.61</v>
      </c>
      <c r="X118" s="64">
        <v>1602</v>
      </c>
      <c r="AB118" s="59">
        <v>384</v>
      </c>
      <c r="AC118" s="89">
        <v>596976</v>
      </c>
      <c r="AE118" s="60">
        <v>233942.7600000001</v>
      </c>
      <c r="AF118" s="65">
        <v>609.22593750000021</v>
      </c>
    </row>
    <row r="119" spans="1:41">
      <c r="M119" s="59"/>
      <c r="AB119" s="59"/>
      <c r="AK119" s="110" t="s">
        <v>166</v>
      </c>
      <c r="AN119" s="91">
        <v>122670</v>
      </c>
      <c r="AO119" s="91">
        <v>212355</v>
      </c>
    </row>
    <row r="120" spans="1:41">
      <c r="A120" s="84" t="s">
        <v>174</v>
      </c>
      <c r="B120" s="76">
        <v>12110890</v>
      </c>
      <c r="C120" s="91">
        <v>113072.35</v>
      </c>
      <c r="D120" s="106">
        <v>9.3364195364667672E-3</v>
      </c>
      <c r="E120" s="107">
        <v>544328</v>
      </c>
      <c r="F120" s="64">
        <v>8202</v>
      </c>
      <c r="G120" s="88">
        <v>5189</v>
      </c>
      <c r="I120" s="65">
        <v>20532.78</v>
      </c>
      <c r="J120" s="65">
        <v>3.956982077471574</v>
      </c>
      <c r="K120" s="68">
        <v>50872.5</v>
      </c>
      <c r="M120" s="59">
        <v>2646</v>
      </c>
      <c r="O120" s="65">
        <v>49407</v>
      </c>
      <c r="P120" s="65">
        <v>18.672335600907029</v>
      </c>
      <c r="Q120" s="68">
        <v>51453</v>
      </c>
      <c r="R120" s="68">
        <v>102325.5</v>
      </c>
      <c r="T120" s="65">
        <v>69939.78</v>
      </c>
      <c r="V120" s="65">
        <v>-17703.22</v>
      </c>
      <c r="X120" s="64">
        <v>7835</v>
      </c>
      <c r="Z120" s="64">
        <v>36</v>
      </c>
      <c r="AB120" s="59">
        <v>367</v>
      </c>
      <c r="AC120" s="89">
        <v>113349</v>
      </c>
      <c r="AE120" s="65">
        <v>43132.57</v>
      </c>
      <c r="AF120" s="65">
        <v>117.52743869209809</v>
      </c>
      <c r="AH120" s="91">
        <v>-8108.9100000000035</v>
      </c>
      <c r="AI120" s="87">
        <v>234</v>
      </c>
    </row>
    <row r="121" spans="1:41">
      <c r="A121" s="84" t="s">
        <v>175</v>
      </c>
      <c r="B121" s="76">
        <v>18723127</v>
      </c>
      <c r="C121" s="91">
        <v>121181.26000000001</v>
      </c>
      <c r="D121" s="106">
        <v>6.4722767729984421E-3</v>
      </c>
      <c r="E121" s="107">
        <v>689876</v>
      </c>
      <c r="F121" s="64">
        <v>7968</v>
      </c>
      <c r="G121" s="88">
        <v>7799</v>
      </c>
      <c r="I121" s="65">
        <v>87643</v>
      </c>
      <c r="J121" s="65">
        <v>11.237722784972432</v>
      </c>
      <c r="M121" s="59"/>
      <c r="T121" s="65">
        <v>87643</v>
      </c>
      <c r="X121" s="64">
        <v>7799</v>
      </c>
      <c r="AB121" s="59">
        <v>169</v>
      </c>
      <c r="AC121" s="89">
        <v>54951</v>
      </c>
      <c r="AE121" s="65">
        <v>33538.26</v>
      </c>
      <c r="AF121" s="65">
        <v>198.4512426035503</v>
      </c>
    </row>
    <row r="122" spans="1:41">
      <c r="A122" s="84" t="s">
        <v>176</v>
      </c>
      <c r="B122" s="93">
        <v>22739494</v>
      </c>
      <c r="C122" s="91">
        <v>102676.80000000002</v>
      </c>
      <c r="D122" s="106">
        <v>4.5153511331430685E-3</v>
      </c>
      <c r="E122" s="107">
        <v>485799</v>
      </c>
      <c r="F122" s="64">
        <v>5356</v>
      </c>
      <c r="G122" s="88">
        <v>5202</v>
      </c>
      <c r="I122" s="65">
        <v>66719.44</v>
      </c>
      <c r="J122" s="65">
        <v>12.825728565936179</v>
      </c>
      <c r="M122" s="59">
        <v>16</v>
      </c>
      <c r="O122" s="65">
        <v>366.46</v>
      </c>
      <c r="P122" s="65">
        <v>22.903749999999999</v>
      </c>
      <c r="T122" s="65">
        <v>67085.900000000009</v>
      </c>
      <c r="X122" s="64">
        <v>5218</v>
      </c>
      <c r="AB122" s="59">
        <v>138</v>
      </c>
      <c r="AC122" s="89">
        <v>58647</v>
      </c>
      <c r="AE122" s="65">
        <v>35590.9</v>
      </c>
      <c r="AF122" s="65">
        <v>257.90507246376814</v>
      </c>
    </row>
    <row r="123" spans="1:41">
      <c r="A123" s="84" t="s">
        <v>177</v>
      </c>
      <c r="B123" s="76">
        <v>33035878.370000001</v>
      </c>
      <c r="C123" s="91">
        <v>105490.86</v>
      </c>
      <c r="D123" s="106">
        <v>3.1932209829116159E-3</v>
      </c>
      <c r="E123" s="107">
        <v>584826</v>
      </c>
      <c r="F123" s="64">
        <v>4602</v>
      </c>
      <c r="G123" s="88">
        <v>4316</v>
      </c>
      <c r="I123" s="65">
        <v>46696.44</v>
      </c>
      <c r="J123" s="65">
        <v>10.81937905468026</v>
      </c>
      <c r="M123" s="59"/>
      <c r="T123" s="65">
        <v>46696.44</v>
      </c>
      <c r="X123" s="64">
        <v>4316</v>
      </c>
      <c r="AB123" s="59">
        <v>286</v>
      </c>
      <c r="AC123" s="89">
        <v>121909</v>
      </c>
      <c r="AE123" s="65">
        <v>58794.42</v>
      </c>
      <c r="AF123" s="65">
        <v>205.57489510489509</v>
      </c>
    </row>
    <row r="124" spans="1:41">
      <c r="A124" s="84" t="s">
        <v>178</v>
      </c>
      <c r="B124" s="76">
        <v>69438177.719999999</v>
      </c>
      <c r="C124" s="91">
        <v>213291.91999999998</v>
      </c>
      <c r="D124" s="106">
        <v>3.0716808390345526E-3</v>
      </c>
      <c r="E124" s="107">
        <v>1061061</v>
      </c>
      <c r="F124" s="64">
        <v>5297</v>
      </c>
      <c r="G124" s="88">
        <v>4793</v>
      </c>
      <c r="I124" s="102">
        <v>63274.38</v>
      </c>
      <c r="J124" s="65">
        <v>13.201414562904235</v>
      </c>
      <c r="M124" s="59">
        <v>5</v>
      </c>
      <c r="O124" s="65">
        <v>48.54</v>
      </c>
      <c r="P124" s="65">
        <v>9.7080000000000002</v>
      </c>
      <c r="T124" s="65">
        <v>63322.92</v>
      </c>
      <c r="X124" s="64">
        <v>4798</v>
      </c>
      <c r="AB124" s="59">
        <v>499</v>
      </c>
      <c r="AC124" s="89">
        <v>326804</v>
      </c>
      <c r="AE124" s="65">
        <v>149969</v>
      </c>
      <c r="AF124" s="65">
        <v>300.5390781563126</v>
      </c>
    </row>
    <row r="125" spans="1:41">
      <c r="A125" s="84" t="s">
        <v>179</v>
      </c>
      <c r="B125" s="76">
        <v>54833097</v>
      </c>
      <c r="C125" s="91">
        <v>215792.34000000003</v>
      </c>
      <c r="D125" s="106">
        <v>3.9354395758459532E-3</v>
      </c>
      <c r="E125" s="107">
        <v>901980</v>
      </c>
      <c r="F125" s="64">
        <v>5139</v>
      </c>
      <c r="G125" s="88">
        <v>4647</v>
      </c>
      <c r="I125" s="60">
        <v>60454.82</v>
      </c>
      <c r="J125" s="65">
        <v>13.009429739616957</v>
      </c>
      <c r="M125" s="59">
        <v>12</v>
      </c>
      <c r="O125" s="65">
        <v>315.94</v>
      </c>
      <c r="P125" s="65">
        <v>26.328333333333333</v>
      </c>
      <c r="T125" s="65">
        <v>60770.76</v>
      </c>
      <c r="X125" s="64">
        <v>4659</v>
      </c>
      <c r="AB125" s="59">
        <v>480</v>
      </c>
      <c r="AC125" s="89">
        <v>464721</v>
      </c>
      <c r="AE125" s="65">
        <v>155021.58000000002</v>
      </c>
      <c r="AF125" s="65">
        <v>322.96162500000003</v>
      </c>
    </row>
    <row r="126" spans="1:41">
      <c r="A126" s="84" t="s">
        <v>180</v>
      </c>
      <c r="B126" s="76">
        <v>63443819.229999997</v>
      </c>
      <c r="C126" s="91">
        <v>251914.25999999995</v>
      </c>
      <c r="D126" s="106">
        <v>3.970666694682214E-3</v>
      </c>
      <c r="E126" s="107">
        <v>844131</v>
      </c>
      <c r="F126" s="64">
        <v>6154</v>
      </c>
      <c r="G126" s="89">
        <v>5782</v>
      </c>
      <c r="I126" s="60">
        <v>86436.37</v>
      </c>
      <c r="J126" s="65">
        <v>14.949216534071255</v>
      </c>
      <c r="M126" s="59">
        <v>0</v>
      </c>
      <c r="O126" s="65">
        <v>0</v>
      </c>
      <c r="P126" s="65">
        <v>0</v>
      </c>
      <c r="Q126" s="68">
        <v>0</v>
      </c>
      <c r="R126" s="68">
        <v>0</v>
      </c>
      <c r="T126" s="65">
        <v>86436.37</v>
      </c>
      <c r="X126" s="64">
        <v>5782</v>
      </c>
      <c r="AB126" s="59">
        <v>372</v>
      </c>
      <c r="AC126" s="89">
        <v>431792</v>
      </c>
      <c r="AE126" s="115">
        <v>165477.88999999996</v>
      </c>
      <c r="AF126" s="65">
        <v>444.83303763440847</v>
      </c>
    </row>
    <row r="127" spans="1:41">
      <c r="A127" s="84" t="s">
        <v>181</v>
      </c>
      <c r="B127" s="114">
        <v>86388657.890000001</v>
      </c>
      <c r="C127" s="91">
        <v>155022.35</v>
      </c>
      <c r="D127" s="106">
        <v>1.7944757308001281E-3</v>
      </c>
      <c r="E127" s="107">
        <v>1051289</v>
      </c>
      <c r="F127" s="64">
        <v>2298</v>
      </c>
      <c r="G127" s="89">
        <v>1967</v>
      </c>
      <c r="I127" s="60">
        <v>36188.119999999995</v>
      </c>
      <c r="J127" s="65">
        <v>18.397620742247074</v>
      </c>
      <c r="M127" s="59"/>
      <c r="T127" s="65">
        <v>36188.119999999995</v>
      </c>
      <c r="X127" s="64">
        <v>1967</v>
      </c>
      <c r="AB127" s="59">
        <v>331</v>
      </c>
      <c r="AC127" s="89">
        <v>349627</v>
      </c>
      <c r="AE127" s="115">
        <v>118834.23000000001</v>
      </c>
      <c r="AF127" s="65">
        <v>359.01580060422964</v>
      </c>
    </row>
    <row r="128" spans="1:41">
      <c r="A128" s="84" t="s">
        <v>182</v>
      </c>
      <c r="B128" s="114">
        <v>100268165.54000001</v>
      </c>
      <c r="C128" s="91">
        <v>162790.44999999998</v>
      </c>
      <c r="D128" s="106">
        <v>1.6235506965075366E-3</v>
      </c>
      <c r="E128" s="107">
        <v>983059</v>
      </c>
      <c r="F128" s="64">
        <v>2021</v>
      </c>
      <c r="G128" s="89">
        <v>1701</v>
      </c>
      <c r="I128" s="60">
        <v>31039.589999999997</v>
      </c>
      <c r="J128" s="65">
        <v>18.24784832451499</v>
      </c>
      <c r="M128" s="59"/>
      <c r="T128" s="65">
        <v>31039.589999999997</v>
      </c>
      <c r="X128" s="64">
        <v>1701</v>
      </c>
      <c r="AB128" s="59">
        <v>320</v>
      </c>
      <c r="AC128" s="89">
        <v>472381</v>
      </c>
      <c r="AE128" s="115">
        <v>131750.85999999999</v>
      </c>
      <c r="AF128" s="65">
        <v>411.72143749999998</v>
      </c>
    </row>
    <row r="129" spans="1:35">
      <c r="A129" s="84" t="s">
        <v>63</v>
      </c>
      <c r="B129" s="114">
        <v>119564424.36</v>
      </c>
      <c r="C129" s="91">
        <v>181354.07</v>
      </c>
      <c r="D129" s="106">
        <v>1.5167895548424653E-3</v>
      </c>
      <c r="E129" s="107">
        <v>1334583</v>
      </c>
      <c r="F129" s="64">
        <v>1973</v>
      </c>
      <c r="G129" s="89">
        <v>1676</v>
      </c>
      <c r="I129" s="60">
        <v>69491.490000000005</v>
      </c>
      <c r="J129" s="65">
        <v>41.462702863961816</v>
      </c>
      <c r="M129" s="59">
        <v>2</v>
      </c>
      <c r="O129" s="65">
        <v>55.87</v>
      </c>
      <c r="T129" s="65">
        <v>69547.360000000001</v>
      </c>
      <c r="X129" s="64">
        <v>1678</v>
      </c>
      <c r="AB129" s="59">
        <v>295</v>
      </c>
      <c r="AC129" s="89">
        <v>350518</v>
      </c>
      <c r="AE129" s="115">
        <v>111806.71000000002</v>
      </c>
      <c r="AF129" s="65">
        <v>379.00579661016957</v>
      </c>
    </row>
    <row r="130" spans="1:35">
      <c r="A130" s="80">
        <v>40087</v>
      </c>
      <c r="B130" s="114">
        <v>143882181.75</v>
      </c>
      <c r="C130" s="91">
        <v>180342.98899999997</v>
      </c>
      <c r="D130" s="106">
        <v>1.2534073837812093E-3</v>
      </c>
      <c r="E130" s="107">
        <v>1352901</v>
      </c>
      <c r="F130" s="64">
        <v>2248</v>
      </c>
      <c r="G130" s="89">
        <v>1957</v>
      </c>
      <c r="I130" s="60">
        <v>85331.26999999999</v>
      </c>
      <c r="J130" s="65">
        <v>43.603101686254469</v>
      </c>
      <c r="M130" s="59"/>
      <c r="T130" s="65">
        <v>85331.26999999999</v>
      </c>
      <c r="X130" s="64">
        <v>1957</v>
      </c>
      <c r="AB130" s="59">
        <v>291</v>
      </c>
      <c r="AC130" s="89">
        <v>94964.958999999988</v>
      </c>
      <c r="AE130" s="115">
        <v>94964.958999999988</v>
      </c>
      <c r="AF130" s="65">
        <v>326.3400652920962</v>
      </c>
    </row>
    <row r="131" spans="1:35">
      <c r="M131" s="59"/>
      <c r="AB131" s="59"/>
    </row>
    <row r="132" spans="1:35">
      <c r="A132" s="84" t="s">
        <v>183</v>
      </c>
      <c r="B132" s="76">
        <v>14750220</v>
      </c>
      <c r="C132" s="91">
        <v>64214.01</v>
      </c>
      <c r="D132" s="106">
        <v>4.3534272709152815E-3</v>
      </c>
      <c r="E132" s="107">
        <v>487148</v>
      </c>
      <c r="F132" s="64">
        <v>4569</v>
      </c>
      <c r="G132" s="88">
        <v>2547</v>
      </c>
      <c r="I132" s="65">
        <v>7358.02</v>
      </c>
      <c r="J132" s="65">
        <v>2.8888967412642326</v>
      </c>
      <c r="K132" s="68">
        <v>22961.56</v>
      </c>
      <c r="M132" s="59">
        <v>1709</v>
      </c>
      <c r="O132" s="65">
        <v>31142.99</v>
      </c>
      <c r="P132" s="65">
        <v>18.222931538911645</v>
      </c>
      <c r="Q132" s="68">
        <v>32050</v>
      </c>
      <c r="R132" s="68">
        <v>55011.56</v>
      </c>
      <c r="T132" s="65">
        <v>38501.01</v>
      </c>
      <c r="V132" s="65">
        <v>6591.9000000000015</v>
      </c>
      <c r="X132" s="64">
        <v>4256</v>
      </c>
      <c r="Z132" s="64">
        <v>1054</v>
      </c>
      <c r="AB132" s="59">
        <v>313</v>
      </c>
      <c r="AC132" s="89">
        <v>59597</v>
      </c>
      <c r="AE132" s="65">
        <v>25713</v>
      </c>
      <c r="AF132" s="65">
        <v>82.150159744408953</v>
      </c>
      <c r="AH132" s="91">
        <v>14557.57</v>
      </c>
      <c r="AI132" s="87">
        <v>1302</v>
      </c>
    </row>
    <row r="133" spans="1:35">
      <c r="A133" s="84" t="s">
        <v>184</v>
      </c>
      <c r="B133" s="76">
        <v>23396664</v>
      </c>
      <c r="C133" s="91">
        <v>49656.44</v>
      </c>
      <c r="D133" s="106">
        <v>2.1223726596236113E-3</v>
      </c>
      <c r="E133" s="107">
        <v>647917</v>
      </c>
      <c r="F133" s="64">
        <v>3267</v>
      </c>
      <c r="G133" s="88">
        <v>3202</v>
      </c>
      <c r="I133" s="65">
        <v>31909.11</v>
      </c>
      <c r="J133" s="65">
        <v>9.965368519675204</v>
      </c>
      <c r="M133" s="59"/>
      <c r="T133" s="65">
        <v>31909.11</v>
      </c>
      <c r="X133" s="64">
        <v>3202</v>
      </c>
      <c r="AB133" s="59">
        <v>65</v>
      </c>
      <c r="AC133" s="89">
        <v>70819</v>
      </c>
      <c r="AE133" s="65">
        <v>17747.330000000002</v>
      </c>
      <c r="AF133" s="65">
        <v>273.03584615384619</v>
      </c>
    </row>
    <row r="134" spans="1:35">
      <c r="A134" s="84" t="s">
        <v>185</v>
      </c>
      <c r="B134" s="116">
        <v>34125884.920000002</v>
      </c>
      <c r="C134" s="91">
        <v>113316.32</v>
      </c>
      <c r="D134" s="106">
        <v>3.3205386546207695E-3</v>
      </c>
      <c r="E134" s="107">
        <v>693793</v>
      </c>
      <c r="F134" s="64">
        <v>6292</v>
      </c>
      <c r="G134" s="88">
        <v>6092</v>
      </c>
      <c r="I134" s="65">
        <v>60516.13</v>
      </c>
      <c r="J134" s="65">
        <v>9.9337048588312538</v>
      </c>
      <c r="M134" s="59">
        <v>6</v>
      </c>
      <c r="O134" s="65">
        <v>251.25</v>
      </c>
      <c r="P134" s="65">
        <v>41.875</v>
      </c>
      <c r="T134" s="65">
        <v>60767.38</v>
      </c>
      <c r="X134" s="64">
        <v>6098</v>
      </c>
      <c r="AB134" s="59">
        <v>194</v>
      </c>
      <c r="AC134" s="89">
        <v>117287</v>
      </c>
      <c r="AE134" s="65">
        <v>52548.94</v>
      </c>
      <c r="AF134" s="65">
        <v>270.87082474226804</v>
      </c>
    </row>
    <row r="135" spans="1:35">
      <c r="A135" s="84" t="s">
        <v>186</v>
      </c>
      <c r="B135" s="76">
        <v>40914828.049999997</v>
      </c>
      <c r="C135" s="91">
        <v>151997.44</v>
      </c>
      <c r="D135" s="106">
        <v>3.7149719855660008E-3</v>
      </c>
      <c r="E135" s="107">
        <v>739491</v>
      </c>
      <c r="F135" s="64">
        <v>5587</v>
      </c>
      <c r="G135" s="88">
        <v>5197</v>
      </c>
      <c r="I135" s="65">
        <v>64581.98</v>
      </c>
      <c r="J135" s="65">
        <v>12.426780835097173</v>
      </c>
      <c r="M135" s="59">
        <v>2</v>
      </c>
      <c r="O135" s="65">
        <v>18.07</v>
      </c>
      <c r="P135" s="65">
        <v>9.0350000000000001</v>
      </c>
      <c r="T135" s="65">
        <v>64600.05</v>
      </c>
      <c r="X135" s="64">
        <v>5199</v>
      </c>
      <c r="AB135" s="59">
        <v>388</v>
      </c>
      <c r="AC135" s="89">
        <v>197363</v>
      </c>
      <c r="AE135" s="65">
        <v>87397.39</v>
      </c>
      <c r="AF135" s="65">
        <v>225.25100515463919</v>
      </c>
    </row>
    <row r="136" spans="1:35">
      <c r="A136" s="84" t="s">
        <v>187</v>
      </c>
      <c r="B136" s="76">
        <v>47949673.659999996</v>
      </c>
      <c r="C136" s="91">
        <v>157699.74</v>
      </c>
      <c r="D136" s="106">
        <v>3.2888595054517415E-3</v>
      </c>
      <c r="E136" s="107">
        <v>767742</v>
      </c>
      <c r="F136" s="64">
        <v>4974</v>
      </c>
      <c r="G136" s="88">
        <v>4628</v>
      </c>
      <c r="I136" s="65">
        <v>55120.95</v>
      </c>
      <c r="J136" s="65">
        <v>11.910317631806395</v>
      </c>
      <c r="M136" s="59">
        <v>2</v>
      </c>
      <c r="O136" s="65">
        <v>19</v>
      </c>
      <c r="P136" s="65">
        <v>9.5</v>
      </c>
      <c r="T136" s="65">
        <v>55139.95</v>
      </c>
      <c r="X136" s="64">
        <v>4630</v>
      </c>
      <c r="AB136" s="59">
        <v>344</v>
      </c>
      <c r="AC136" s="89">
        <v>207877</v>
      </c>
      <c r="AE136" s="65">
        <v>102559.79</v>
      </c>
      <c r="AF136" s="65">
        <v>298.13892441860463</v>
      </c>
    </row>
    <row r="137" spans="1:35">
      <c r="A137" s="84" t="s">
        <v>188</v>
      </c>
      <c r="B137" s="76">
        <v>53188973</v>
      </c>
      <c r="C137" s="91">
        <v>203513.37</v>
      </c>
      <c r="D137" s="106">
        <v>3.8262323658702717E-3</v>
      </c>
      <c r="E137" s="68">
        <v>868196</v>
      </c>
      <c r="F137" s="64">
        <v>4001</v>
      </c>
      <c r="G137" s="88">
        <v>3615</v>
      </c>
      <c r="I137" s="65">
        <v>45349</v>
      </c>
      <c r="J137" s="65">
        <v>12.544674965421853</v>
      </c>
      <c r="M137" s="59"/>
      <c r="T137" s="65">
        <v>45349</v>
      </c>
      <c r="X137" s="64">
        <v>3615</v>
      </c>
      <c r="AB137" s="59">
        <v>386</v>
      </c>
      <c r="AC137" s="89">
        <v>380233</v>
      </c>
      <c r="AE137" s="65">
        <v>158164.37</v>
      </c>
      <c r="AF137" s="65">
        <v>409.75225388601035</v>
      </c>
    </row>
    <row r="138" spans="1:35">
      <c r="A138" s="84" t="s">
        <v>189</v>
      </c>
      <c r="B138" s="76">
        <v>104177046.23</v>
      </c>
      <c r="C138" s="91">
        <v>270748.28000000003</v>
      </c>
      <c r="D138" s="106">
        <v>2.5989245212639967E-3</v>
      </c>
      <c r="E138" s="68">
        <v>1206726</v>
      </c>
      <c r="F138" s="64">
        <v>3764</v>
      </c>
      <c r="G138" s="89">
        <v>3278</v>
      </c>
      <c r="I138" s="65">
        <v>50213.869999999995</v>
      </c>
      <c r="J138" s="65">
        <v>15.318447223917021</v>
      </c>
      <c r="M138" s="59"/>
      <c r="T138" s="65">
        <v>50213.869999999995</v>
      </c>
      <c r="X138" s="64">
        <v>3278</v>
      </c>
      <c r="AB138" s="59">
        <v>486</v>
      </c>
      <c r="AC138" s="89">
        <v>539936</v>
      </c>
      <c r="AE138" s="65">
        <v>220534.41000000003</v>
      </c>
      <c r="AF138" s="65">
        <v>453.77450617283955</v>
      </c>
    </row>
    <row r="139" spans="1:35">
      <c r="A139" s="84" t="s">
        <v>190</v>
      </c>
      <c r="B139" s="114">
        <v>86130700.280000001</v>
      </c>
      <c r="C139" s="91">
        <v>184991.81</v>
      </c>
      <c r="D139" s="106">
        <v>2.1478033894838317E-3</v>
      </c>
      <c r="E139" s="68">
        <v>1082248</v>
      </c>
      <c r="F139" s="64">
        <v>2200</v>
      </c>
      <c r="G139" s="89">
        <v>1875</v>
      </c>
      <c r="I139" s="65">
        <v>35860.86</v>
      </c>
      <c r="J139" s="65">
        <v>19.125792000000001</v>
      </c>
      <c r="M139" s="59"/>
      <c r="T139" s="65">
        <v>35860.86</v>
      </c>
      <c r="X139" s="64">
        <v>1875</v>
      </c>
      <c r="AB139" s="59">
        <v>325</v>
      </c>
      <c r="AC139" s="89">
        <v>395760</v>
      </c>
      <c r="AE139" s="65">
        <v>149130.95000000001</v>
      </c>
      <c r="AF139" s="65">
        <v>458.86446153846157</v>
      </c>
    </row>
    <row r="140" spans="1:35">
      <c r="A140" s="84" t="s">
        <v>191</v>
      </c>
      <c r="B140" s="114">
        <v>102137769.42</v>
      </c>
      <c r="C140" s="91">
        <v>178646.45000000007</v>
      </c>
      <c r="D140" s="106">
        <v>1.7490733448993709E-3</v>
      </c>
      <c r="E140" s="68">
        <v>1025996</v>
      </c>
      <c r="F140" s="64">
        <v>1864</v>
      </c>
      <c r="G140" s="89">
        <v>1580</v>
      </c>
      <c r="I140" s="65">
        <v>30334.230000000003</v>
      </c>
      <c r="J140" s="65">
        <v>19.198879746835445</v>
      </c>
      <c r="M140" s="59"/>
      <c r="T140" s="65">
        <v>30334.230000000003</v>
      </c>
      <c r="X140" s="64">
        <v>1580</v>
      </c>
      <c r="AB140" s="59">
        <v>284</v>
      </c>
      <c r="AC140" s="89">
        <v>387519</v>
      </c>
      <c r="AE140" s="65">
        <v>148312.22000000006</v>
      </c>
      <c r="AF140" s="65">
        <v>522.2261267605636</v>
      </c>
    </row>
    <row r="141" spans="1:35">
      <c r="A141" s="84" t="s">
        <v>64</v>
      </c>
      <c r="B141" s="114">
        <v>106594100.70999999</v>
      </c>
      <c r="C141" s="91">
        <v>199648.84</v>
      </c>
      <c r="D141" s="106">
        <v>1.8729820756513047E-3</v>
      </c>
      <c r="E141" s="117">
        <v>1206481</v>
      </c>
      <c r="F141" s="64">
        <v>2240</v>
      </c>
      <c r="G141" s="117">
        <v>2027</v>
      </c>
      <c r="I141" s="65">
        <v>88683.34</v>
      </c>
      <c r="J141" s="65">
        <v>43.751031080414407</v>
      </c>
      <c r="K141" s="65">
        <v>0</v>
      </c>
      <c r="L141" s="65">
        <v>0</v>
      </c>
      <c r="M141" s="59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88683.34</v>
      </c>
      <c r="U141" s="65">
        <v>0</v>
      </c>
      <c r="V141" s="65">
        <v>0</v>
      </c>
      <c r="W141" s="65">
        <v>0</v>
      </c>
      <c r="X141" s="64">
        <v>2027</v>
      </c>
      <c r="Y141" s="101"/>
      <c r="Z141" s="101">
        <v>0</v>
      </c>
      <c r="AA141" s="101"/>
      <c r="AB141" s="59">
        <v>213</v>
      </c>
      <c r="AC141" s="101">
        <v>277690</v>
      </c>
      <c r="AD141" s="65">
        <v>0</v>
      </c>
      <c r="AE141" s="65">
        <v>110965.5</v>
      </c>
      <c r="AF141" s="65">
        <v>520.96478873239437</v>
      </c>
    </row>
    <row r="142" spans="1:35">
      <c r="A142" s="80">
        <v>40118</v>
      </c>
      <c r="B142" s="114">
        <v>125686990.14</v>
      </c>
      <c r="C142" s="91">
        <v>292619.39</v>
      </c>
      <c r="D142" s="106">
        <v>2.3281597377266942E-3</v>
      </c>
      <c r="E142" s="117">
        <v>1174335</v>
      </c>
      <c r="F142" s="64">
        <v>2243</v>
      </c>
      <c r="G142" s="117">
        <v>1900</v>
      </c>
      <c r="I142" s="65">
        <v>96356.209999999992</v>
      </c>
      <c r="J142" s="65">
        <v>50.713794736842104</v>
      </c>
      <c r="K142" s="65"/>
      <c r="M142" s="59"/>
      <c r="N142" s="65"/>
      <c r="Q142" s="65"/>
      <c r="R142" s="65"/>
      <c r="T142" s="65">
        <v>96356.209999999992</v>
      </c>
      <c r="X142" s="64">
        <v>1900</v>
      </c>
      <c r="Y142" s="101"/>
      <c r="Z142" s="101"/>
      <c r="AA142" s="101"/>
      <c r="AB142" s="59">
        <v>343</v>
      </c>
      <c r="AC142" s="101">
        <v>497238</v>
      </c>
      <c r="AD142" s="65"/>
      <c r="AE142" s="65">
        <v>196263.18000000005</v>
      </c>
      <c r="AF142" s="65">
        <v>572.19586005830922</v>
      </c>
    </row>
    <row r="143" spans="1:35">
      <c r="M143" s="59"/>
      <c r="AB143" s="59"/>
    </row>
    <row r="144" spans="1:35">
      <c r="A144" s="84" t="s">
        <v>192</v>
      </c>
      <c r="B144" s="76">
        <v>23999904</v>
      </c>
      <c r="C144" s="91">
        <v>68961.98</v>
      </c>
      <c r="D144" s="106">
        <v>2.8734273270426412E-3</v>
      </c>
      <c r="E144" s="107">
        <v>896491</v>
      </c>
      <c r="F144" s="64">
        <v>5318</v>
      </c>
      <c r="G144" s="88">
        <v>3345</v>
      </c>
      <c r="I144" s="65">
        <v>11529.03</v>
      </c>
      <c r="J144" s="65">
        <v>3.4466457399103141</v>
      </c>
      <c r="K144" s="68">
        <v>35106.910000000003</v>
      </c>
      <c r="M144" s="59">
        <v>1788</v>
      </c>
      <c r="O144" s="65">
        <v>32802.949999999997</v>
      </c>
      <c r="P144" s="65">
        <v>18.346168903803129</v>
      </c>
      <c r="Q144" s="68">
        <v>33567</v>
      </c>
      <c r="R144" s="68">
        <v>68673.91</v>
      </c>
      <c r="T144" s="65">
        <v>44331.979999999996</v>
      </c>
      <c r="V144" s="65">
        <v>-37121.270000000004</v>
      </c>
      <c r="X144" s="64">
        <v>5133</v>
      </c>
      <c r="Z144" s="64">
        <v>-2433</v>
      </c>
      <c r="AB144" s="59">
        <v>185</v>
      </c>
      <c r="AC144" s="89">
        <v>48764</v>
      </c>
      <c r="AE144" s="65">
        <v>24630</v>
      </c>
      <c r="AF144" s="65">
        <v>133.13513513513513</v>
      </c>
      <c r="AH144" s="91">
        <v>-78761.309999999983</v>
      </c>
      <c r="AI144" s="87">
        <v>-2464</v>
      </c>
    </row>
    <row r="145" spans="1:39">
      <c r="A145" s="84" t="s">
        <v>193</v>
      </c>
      <c r="B145" s="76">
        <v>34311307</v>
      </c>
      <c r="C145" s="91">
        <v>147723.28999999998</v>
      </c>
      <c r="D145" s="106">
        <v>4.305382187860112E-3</v>
      </c>
      <c r="E145" s="107">
        <v>679969</v>
      </c>
      <c r="F145" s="64">
        <v>7782</v>
      </c>
      <c r="G145" s="88">
        <v>7566</v>
      </c>
      <c r="I145" s="67">
        <v>81453.25</v>
      </c>
      <c r="J145" s="65">
        <v>10.765695215437484</v>
      </c>
      <c r="M145" s="59"/>
      <c r="T145" s="65">
        <v>81453.25</v>
      </c>
      <c r="X145" s="64">
        <v>7566</v>
      </c>
      <c r="AB145" s="59">
        <v>216</v>
      </c>
      <c r="AC145" s="118">
        <v>75487</v>
      </c>
      <c r="AD145" s="119"/>
      <c r="AE145" s="120">
        <v>66270.039999999994</v>
      </c>
      <c r="AF145" s="65">
        <v>306.8057407407407</v>
      </c>
    </row>
    <row r="146" spans="1:39">
      <c r="A146" s="80" t="s">
        <v>194</v>
      </c>
      <c r="B146" s="116">
        <v>23550993.25</v>
      </c>
      <c r="C146" s="91">
        <v>99789.709999999992</v>
      </c>
      <c r="D146" s="106">
        <v>4.2371762813018512E-3</v>
      </c>
      <c r="E146" s="68">
        <v>499472</v>
      </c>
      <c r="F146" s="64">
        <v>4713</v>
      </c>
      <c r="G146" s="88">
        <v>4518</v>
      </c>
      <c r="I146" s="65">
        <v>59552.27</v>
      </c>
      <c r="J146" s="65">
        <v>13.181113324479858</v>
      </c>
      <c r="M146" s="59">
        <v>26</v>
      </c>
      <c r="O146" s="65">
        <v>965.35</v>
      </c>
      <c r="P146" s="65">
        <v>37.128846153846155</v>
      </c>
      <c r="T146" s="65">
        <v>60517.619999999995</v>
      </c>
      <c r="X146" s="64">
        <v>4544</v>
      </c>
      <c r="AB146" s="59">
        <v>169</v>
      </c>
      <c r="AC146" s="89">
        <v>107898</v>
      </c>
      <c r="AE146" s="65">
        <v>39272.089999999997</v>
      </c>
      <c r="AF146" s="65">
        <v>232.37923076923076</v>
      </c>
    </row>
    <row r="147" spans="1:39">
      <c r="A147" s="80" t="s">
        <v>195</v>
      </c>
      <c r="B147" s="76">
        <v>45140023.899999999</v>
      </c>
      <c r="C147" s="91">
        <v>184282.18</v>
      </c>
      <c r="D147" s="106">
        <v>4.082456411814173E-3</v>
      </c>
      <c r="E147" s="68">
        <v>753006</v>
      </c>
      <c r="F147" s="64">
        <v>3443</v>
      </c>
      <c r="G147" s="88">
        <v>3050</v>
      </c>
      <c r="I147" s="65">
        <v>36817.18</v>
      </c>
      <c r="J147" s="65">
        <v>12.07120655737705</v>
      </c>
      <c r="M147" s="59"/>
      <c r="T147" s="65">
        <v>36817.18</v>
      </c>
      <c r="X147" s="64">
        <v>3050</v>
      </c>
      <c r="AB147" s="59">
        <v>393</v>
      </c>
      <c r="AC147" s="89">
        <v>223648</v>
      </c>
      <c r="AE147" s="65">
        <v>147465</v>
      </c>
      <c r="AF147" s="65">
        <v>375.2290076335878</v>
      </c>
    </row>
    <row r="148" spans="1:39">
      <c r="A148" s="80" t="s">
        <v>196</v>
      </c>
      <c r="B148" s="76">
        <v>35145353.460000001</v>
      </c>
      <c r="C148" s="91">
        <v>174012.40999999997</v>
      </c>
      <c r="D148" s="106">
        <v>4.9512209401464356E-3</v>
      </c>
      <c r="E148" s="68">
        <v>517671</v>
      </c>
      <c r="F148" s="64">
        <v>2794</v>
      </c>
      <c r="G148" s="88">
        <v>2495</v>
      </c>
      <c r="I148" s="65">
        <v>36738.949999999997</v>
      </c>
      <c r="J148" s="65">
        <v>14.72503006012024</v>
      </c>
      <c r="M148" s="59"/>
      <c r="T148" s="65">
        <v>36738.949999999997</v>
      </c>
      <c r="X148" s="64">
        <v>2495</v>
      </c>
      <c r="AB148" s="59">
        <v>299</v>
      </c>
      <c r="AC148" s="89">
        <v>272892</v>
      </c>
      <c r="AE148" s="65">
        <v>137273.46</v>
      </c>
      <c r="AF148" s="65">
        <v>459.10856187290966</v>
      </c>
    </row>
    <row r="149" spans="1:39">
      <c r="A149" s="80" t="s">
        <v>197</v>
      </c>
      <c r="B149" s="76">
        <v>55124627</v>
      </c>
      <c r="C149" s="91">
        <v>218504.46000000002</v>
      </c>
      <c r="D149" s="106">
        <v>3.9638265488853106E-3</v>
      </c>
      <c r="E149" s="68">
        <v>873480</v>
      </c>
      <c r="F149" s="64">
        <v>3774</v>
      </c>
      <c r="G149" s="88">
        <v>3397</v>
      </c>
      <c r="I149" s="65">
        <v>58341.240000000005</v>
      </c>
      <c r="J149" s="65">
        <v>17.174342066529292</v>
      </c>
      <c r="M149" s="59">
        <v>19</v>
      </c>
      <c r="O149" s="65">
        <v>11473.96</v>
      </c>
      <c r="T149" s="65">
        <v>69815.200000000012</v>
      </c>
      <c r="X149" s="64">
        <v>3416</v>
      </c>
      <c r="AB149" s="59">
        <v>358</v>
      </c>
      <c r="AC149" s="89">
        <v>658416</v>
      </c>
      <c r="AE149" s="65">
        <v>148689.26</v>
      </c>
      <c r="AF149" s="65">
        <v>415.33312849162013</v>
      </c>
    </row>
    <row r="150" spans="1:39">
      <c r="A150" s="80" t="s">
        <v>198</v>
      </c>
      <c r="B150" s="76">
        <v>101607138.28</v>
      </c>
      <c r="C150" s="91">
        <v>352384.3899999999</v>
      </c>
      <c r="D150" s="106">
        <v>3.4681066307460607E-3</v>
      </c>
      <c r="E150" s="68">
        <v>1338337</v>
      </c>
      <c r="F150" s="64">
        <v>4800</v>
      </c>
      <c r="G150" s="88">
        <v>4321</v>
      </c>
      <c r="I150" s="65">
        <v>76943.929999999993</v>
      </c>
      <c r="J150" s="65">
        <v>17.806972922934506</v>
      </c>
      <c r="M150" s="59"/>
      <c r="T150" s="65">
        <v>76943.929999999993</v>
      </c>
      <c r="X150" s="64">
        <v>4321</v>
      </c>
      <c r="AB150" s="59">
        <v>479</v>
      </c>
      <c r="AC150" s="89">
        <v>635299</v>
      </c>
      <c r="AE150" s="65">
        <v>275440.4599999999</v>
      </c>
      <c r="AF150" s="65">
        <v>575.03227557411253</v>
      </c>
    </row>
    <row r="151" spans="1:39">
      <c r="A151" s="80" t="s">
        <v>199</v>
      </c>
      <c r="B151" s="76">
        <v>82865090.069999993</v>
      </c>
      <c r="C151" s="91">
        <v>155832.79999999999</v>
      </c>
      <c r="D151" s="106">
        <v>1.8805603163933181E-3</v>
      </c>
      <c r="E151" s="68">
        <v>1133457</v>
      </c>
      <c r="F151" s="64">
        <v>2480</v>
      </c>
      <c r="G151" s="89">
        <v>2185</v>
      </c>
      <c r="I151" s="65">
        <v>39660.18</v>
      </c>
      <c r="J151" s="65">
        <v>18.151112128146455</v>
      </c>
      <c r="M151" s="59"/>
      <c r="T151" s="65">
        <v>39660.18</v>
      </c>
      <c r="X151" s="64">
        <v>2185</v>
      </c>
      <c r="AB151" s="59">
        <v>295</v>
      </c>
      <c r="AC151" s="89">
        <v>412202</v>
      </c>
      <c r="AE151" s="65">
        <v>116172.62</v>
      </c>
      <c r="AF151" s="65">
        <v>393.80549152542369</v>
      </c>
    </row>
    <row r="152" spans="1:39">
      <c r="A152" s="80" t="s">
        <v>200</v>
      </c>
      <c r="B152" s="76">
        <v>104762331.87</v>
      </c>
      <c r="C152" s="91">
        <v>88489.400000000009</v>
      </c>
      <c r="D152" s="106">
        <v>8.446681017926067E-4</v>
      </c>
      <c r="E152" s="68">
        <v>1081894</v>
      </c>
      <c r="F152" s="64">
        <v>2083</v>
      </c>
      <c r="G152" s="89">
        <v>1951</v>
      </c>
      <c r="I152" s="65">
        <v>35436.230000000003</v>
      </c>
      <c r="J152" s="65">
        <v>18.163111225012816</v>
      </c>
      <c r="M152" s="59"/>
      <c r="T152" s="65">
        <v>35436.230000000003</v>
      </c>
      <c r="X152" s="64">
        <v>1951</v>
      </c>
      <c r="AB152" s="59">
        <v>132</v>
      </c>
      <c r="AC152" s="89">
        <v>222444</v>
      </c>
      <c r="AE152" s="65">
        <v>53053.170000000006</v>
      </c>
      <c r="AF152" s="65">
        <v>401.91795454545456</v>
      </c>
    </row>
    <row r="153" spans="1:39">
      <c r="A153" s="80" t="s">
        <v>65</v>
      </c>
      <c r="B153" s="76">
        <v>117923656.66</v>
      </c>
      <c r="C153" s="91">
        <v>253279.58</v>
      </c>
      <c r="D153" s="106">
        <v>2.1478267141109867E-3</v>
      </c>
      <c r="E153" s="68"/>
      <c r="F153" s="64">
        <v>1838</v>
      </c>
      <c r="G153" s="89">
        <v>1556</v>
      </c>
      <c r="I153" s="65">
        <v>68075.489999999991</v>
      </c>
      <c r="J153" s="65">
        <v>43.7503149100257</v>
      </c>
      <c r="M153" s="59"/>
      <c r="T153" s="65">
        <v>68075.489999999991</v>
      </c>
      <c r="X153" s="64">
        <v>1556</v>
      </c>
      <c r="AB153" s="59">
        <v>282</v>
      </c>
      <c r="AC153" s="89">
        <v>343664</v>
      </c>
      <c r="AE153" s="65">
        <v>185204.09</v>
      </c>
      <c r="AF153" s="65">
        <v>656.75209219858152</v>
      </c>
    </row>
    <row r="154" spans="1:39">
      <c r="A154" s="80">
        <v>40148</v>
      </c>
      <c r="B154" s="114">
        <v>132099542.42</v>
      </c>
      <c r="C154" s="91">
        <v>136616.22</v>
      </c>
      <c r="D154" s="106">
        <v>1.0341914702901814E-3</v>
      </c>
      <c r="E154" s="68">
        <v>1258399</v>
      </c>
      <c r="F154" s="64">
        <v>2921</v>
      </c>
      <c r="G154" s="89">
        <v>2850</v>
      </c>
      <c r="I154" s="65">
        <v>116502.79000000001</v>
      </c>
      <c r="J154" s="65">
        <v>40.878171929824568</v>
      </c>
      <c r="M154" s="59"/>
      <c r="T154" s="65">
        <v>116502.79000000001</v>
      </c>
      <c r="X154" s="64">
        <v>2850</v>
      </c>
      <c r="AB154" s="59">
        <v>71</v>
      </c>
      <c r="AC154" s="89">
        <v>89742</v>
      </c>
      <c r="AE154" s="65">
        <v>20113.43</v>
      </c>
      <c r="AF154" s="65">
        <v>283.28774647887326</v>
      </c>
    </row>
    <row r="155" spans="1:39">
      <c r="M155" s="59"/>
      <c r="AB155" s="59"/>
    </row>
    <row r="156" spans="1:39" s="125" customFormat="1">
      <c r="A156" s="121" t="s">
        <v>201</v>
      </c>
      <c r="B156" s="95">
        <v>134018050</v>
      </c>
      <c r="C156" s="95">
        <v>862659.14100000006</v>
      </c>
      <c r="D156" s="122">
        <v>6.436887725198211E-3</v>
      </c>
      <c r="E156" s="123">
        <v>5280256</v>
      </c>
      <c r="F156" s="123">
        <v>67270</v>
      </c>
      <c r="G156" s="123">
        <v>41838</v>
      </c>
      <c r="H156" s="95">
        <v>0</v>
      </c>
      <c r="I156" s="95">
        <v>157253.80099999998</v>
      </c>
      <c r="J156" s="65">
        <v>3.7586357139442605</v>
      </c>
      <c r="K156" s="97"/>
      <c r="L156" s="124"/>
      <c r="M156" s="59"/>
      <c r="O156" s="95">
        <v>409068.02</v>
      </c>
      <c r="P156" s="65"/>
      <c r="Q156" s="97"/>
      <c r="R156" s="97"/>
      <c r="S156" s="124"/>
      <c r="T156" s="65">
        <v>566321.821</v>
      </c>
      <c r="U156" s="124"/>
      <c r="V156" s="124"/>
      <c r="W156" s="124"/>
      <c r="X156" s="64">
        <v>41838</v>
      </c>
      <c r="Y156" s="126"/>
      <c r="Z156" s="126"/>
      <c r="AA156" s="126"/>
      <c r="AB156" s="59">
        <v>2885</v>
      </c>
      <c r="AC156" s="128">
        <v>665252.80000000005</v>
      </c>
      <c r="AE156" s="95">
        <v>296337.32</v>
      </c>
      <c r="AF156" s="65">
        <v>102.71657538994801</v>
      </c>
      <c r="AG156" s="124"/>
      <c r="AI156" s="129"/>
      <c r="AJ156" s="129"/>
      <c r="AK156" s="130"/>
      <c r="AL156" s="131"/>
      <c r="AM156" s="131"/>
    </row>
    <row r="157" spans="1:39" s="125" customFormat="1">
      <c r="A157" s="95" t="s">
        <v>202</v>
      </c>
      <c r="B157" s="95">
        <v>195009125.42999998</v>
      </c>
      <c r="C157" s="95">
        <v>1205112.42</v>
      </c>
      <c r="D157" s="122">
        <v>6.1797744969251927E-3</v>
      </c>
      <c r="E157" s="123">
        <v>8663612</v>
      </c>
      <c r="F157" s="123">
        <v>75328</v>
      </c>
      <c r="G157" s="123">
        <v>67004</v>
      </c>
      <c r="I157" s="95">
        <v>707283.34</v>
      </c>
      <c r="J157" s="65">
        <v>10.555837561936601</v>
      </c>
      <c r="K157" s="97"/>
      <c r="L157" s="124"/>
      <c r="M157" s="59"/>
      <c r="O157" s="95">
        <v>125383.09</v>
      </c>
      <c r="P157" s="124"/>
      <c r="Q157" s="97"/>
      <c r="R157" s="97"/>
      <c r="S157" s="124"/>
      <c r="T157" s="65">
        <v>832666.42999999993</v>
      </c>
      <c r="U157" s="124"/>
      <c r="V157" s="124"/>
      <c r="W157" s="124"/>
      <c r="X157" s="64">
        <v>67004</v>
      </c>
      <c r="Y157" s="126"/>
      <c r="Z157" s="126"/>
      <c r="AA157" s="126"/>
      <c r="AB157" s="59">
        <v>1992</v>
      </c>
      <c r="AC157" s="128">
        <v>783987.37</v>
      </c>
      <c r="AE157" s="95">
        <v>372445.99</v>
      </c>
      <c r="AF157" s="65">
        <v>186.97087851405621</v>
      </c>
      <c r="AG157" s="124"/>
      <c r="AI157" s="129"/>
      <c r="AJ157" s="129"/>
      <c r="AK157" s="130"/>
      <c r="AL157" s="131"/>
      <c r="AM157" s="131"/>
    </row>
    <row r="158" spans="1:39" s="125" customFormat="1">
      <c r="A158" s="121" t="s">
        <v>203</v>
      </c>
      <c r="B158" s="95">
        <v>254427653.74000001</v>
      </c>
      <c r="C158" s="95">
        <v>1113297.28</v>
      </c>
      <c r="D158" s="122">
        <v>4.375692907728026E-3</v>
      </c>
      <c r="E158" s="123">
        <v>8897010</v>
      </c>
      <c r="F158" s="123">
        <v>61748</v>
      </c>
      <c r="G158" s="123">
        <v>59841</v>
      </c>
      <c r="I158" s="95">
        <v>674030.3899999999</v>
      </c>
      <c r="J158" s="65">
        <v>11.263688608144916</v>
      </c>
      <c r="K158" s="97"/>
      <c r="L158" s="124"/>
      <c r="M158" s="59"/>
      <c r="O158" s="95">
        <v>3587.5</v>
      </c>
      <c r="P158" s="124"/>
      <c r="Q158" s="97"/>
      <c r="R158" s="97"/>
      <c r="S158" s="124"/>
      <c r="T158" s="65">
        <v>677617.8899999999</v>
      </c>
      <c r="U158" s="124"/>
      <c r="V158" s="124"/>
      <c r="W158" s="124"/>
      <c r="X158" s="64">
        <v>59841</v>
      </c>
      <c r="Y158" s="126"/>
      <c r="Z158" s="126"/>
      <c r="AA158" s="126"/>
      <c r="AB158" s="59">
        <v>1832</v>
      </c>
      <c r="AC158" s="128">
        <v>947920</v>
      </c>
      <c r="AE158" s="95">
        <v>435679.38999999996</v>
      </c>
      <c r="AF158" s="65">
        <v>237.81626091703055</v>
      </c>
      <c r="AG158" s="124"/>
      <c r="AI158" s="129"/>
      <c r="AJ158" s="129"/>
      <c r="AK158" s="130"/>
      <c r="AL158" s="131"/>
      <c r="AM158" s="131"/>
    </row>
    <row r="159" spans="1:39">
      <c r="A159" s="84" t="s">
        <v>204</v>
      </c>
      <c r="B159" s="95">
        <v>432947811.09000003</v>
      </c>
      <c r="C159" s="95">
        <v>1597550.38</v>
      </c>
      <c r="D159" s="122">
        <v>3.6899375376860501E-3</v>
      </c>
      <c r="E159" s="127">
        <v>8125313</v>
      </c>
      <c r="F159" s="98">
        <v>70839</v>
      </c>
      <c r="G159" s="98">
        <v>67186</v>
      </c>
      <c r="I159" s="95">
        <v>667837.56000000006</v>
      </c>
      <c r="J159" s="65">
        <v>9.9401297889441267</v>
      </c>
      <c r="M159" s="59"/>
      <c r="O159" s="95">
        <v>1006.86</v>
      </c>
      <c r="T159" s="65">
        <v>668844.42000000004</v>
      </c>
      <c r="X159" s="64">
        <v>67186</v>
      </c>
      <c r="AB159" s="59">
        <v>3625</v>
      </c>
      <c r="AC159" s="127">
        <v>1491946</v>
      </c>
      <c r="AE159" s="95">
        <v>928705.96</v>
      </c>
      <c r="AF159" s="65">
        <v>256.19474758620686</v>
      </c>
    </row>
    <row r="160" spans="1:39">
      <c r="A160" s="84" t="s">
        <v>205</v>
      </c>
      <c r="B160" s="95">
        <v>643985738.29999995</v>
      </c>
      <c r="C160" s="95">
        <v>2618555.12</v>
      </c>
      <c r="D160" s="122">
        <v>4.0661694262243888E-3</v>
      </c>
      <c r="E160" s="127">
        <v>10179746</v>
      </c>
      <c r="F160" s="98">
        <v>60703</v>
      </c>
      <c r="G160" s="98">
        <v>54817</v>
      </c>
      <c r="I160" s="95">
        <v>875474.74999999988</v>
      </c>
      <c r="J160" s="65">
        <v>15.970862141306528</v>
      </c>
      <c r="M160" s="59"/>
      <c r="O160" s="95">
        <v>173.67</v>
      </c>
      <c r="T160" s="65">
        <v>875648.41999999993</v>
      </c>
      <c r="X160" s="64">
        <v>54817</v>
      </c>
      <c r="AB160" s="59">
        <v>5879</v>
      </c>
      <c r="AC160" s="127">
        <v>3644304</v>
      </c>
      <c r="AE160" s="95">
        <v>1742906.7</v>
      </c>
      <c r="AF160" s="65">
        <v>296.46312298009866</v>
      </c>
    </row>
    <row r="161" spans="1:32">
      <c r="A161" s="84" t="s">
        <v>206</v>
      </c>
      <c r="B161" s="95">
        <v>635329781.8599999</v>
      </c>
      <c r="C161" s="95">
        <v>2394853.2800000003</v>
      </c>
      <c r="D161" s="122">
        <v>3.7694648486157789E-3</v>
      </c>
      <c r="E161" s="127">
        <v>10421796</v>
      </c>
      <c r="F161" s="98">
        <v>54907</v>
      </c>
      <c r="G161" s="98">
        <v>50036</v>
      </c>
      <c r="I161" s="95">
        <v>752625.43</v>
      </c>
      <c r="J161" s="65">
        <v>15.041678591414183</v>
      </c>
      <c r="M161" s="59"/>
      <c r="O161" s="95">
        <v>19205.25</v>
      </c>
      <c r="T161" s="65">
        <v>771830.68</v>
      </c>
      <c r="X161" s="64">
        <v>50036</v>
      </c>
      <c r="AB161" s="59">
        <v>4805</v>
      </c>
      <c r="AC161" s="127">
        <v>4246943</v>
      </c>
      <c r="AE161" s="95">
        <v>1623022.6</v>
      </c>
      <c r="AF161" s="65">
        <v>337.77785639958381</v>
      </c>
    </row>
    <row r="162" spans="1:32">
      <c r="A162" s="84" t="s">
        <v>207</v>
      </c>
      <c r="B162" s="95">
        <v>863442444.37999988</v>
      </c>
      <c r="C162" s="95">
        <v>3662246.6999999997</v>
      </c>
      <c r="D162" s="122">
        <v>4.2414485456870243E-3</v>
      </c>
      <c r="E162" s="127">
        <v>11471138</v>
      </c>
      <c r="F162" s="98">
        <v>65743</v>
      </c>
      <c r="G162" s="98">
        <v>61195</v>
      </c>
      <c r="I162" s="95">
        <v>898637.72000000009</v>
      </c>
      <c r="J162" s="65">
        <v>14.684822616226818</v>
      </c>
      <c r="M162" s="59"/>
      <c r="O162" s="95">
        <v>4008.98</v>
      </c>
      <c r="T162" s="65">
        <v>902646.70000000007</v>
      </c>
      <c r="X162" s="64">
        <v>61195</v>
      </c>
      <c r="AB162" s="59">
        <v>4547</v>
      </c>
      <c r="AC162" s="127">
        <v>5621662.6399999997</v>
      </c>
      <c r="AE162" s="95">
        <v>2759600</v>
      </c>
      <c r="AF162" s="65">
        <v>606.90565207829343</v>
      </c>
    </row>
    <row r="163" spans="1:32">
      <c r="A163" s="84" t="s">
        <v>208</v>
      </c>
      <c r="B163" s="95">
        <v>902198988.97000003</v>
      </c>
      <c r="C163" s="95">
        <v>2559106</v>
      </c>
      <c r="D163" s="122">
        <v>2.8365205805890074E-3</v>
      </c>
      <c r="E163" s="127">
        <v>12027325</v>
      </c>
      <c r="F163" s="98">
        <v>35100</v>
      </c>
      <c r="G163" s="98">
        <v>31088</v>
      </c>
      <c r="I163" s="95">
        <v>543131.05000000005</v>
      </c>
      <c r="J163" s="65">
        <v>17.470762030365417</v>
      </c>
      <c r="M163" s="59"/>
      <c r="O163" s="95">
        <v>80362.42</v>
      </c>
      <c r="T163" s="65">
        <v>623493.47000000009</v>
      </c>
      <c r="X163" s="64">
        <v>31088</v>
      </c>
      <c r="AB163" s="59">
        <v>3971</v>
      </c>
      <c r="AC163" s="127">
        <v>4624871</v>
      </c>
      <c r="AE163" s="95">
        <v>1935612.5299999998</v>
      </c>
      <c r="AF163" s="65">
        <v>487.43705112062446</v>
      </c>
    </row>
    <row r="164" spans="1:32">
      <c r="A164" s="84">
        <v>2007</v>
      </c>
      <c r="B164" s="95">
        <v>1065208923.4899999</v>
      </c>
      <c r="C164" s="95">
        <v>1916673.5499999998</v>
      </c>
      <c r="D164" s="122">
        <v>1.7993404934313747E-3</v>
      </c>
      <c r="E164" s="127">
        <v>11103999</v>
      </c>
      <c r="F164" s="98">
        <v>25916</v>
      </c>
      <c r="G164" s="98">
        <v>22351</v>
      </c>
      <c r="I164" s="95">
        <v>402711.17999999993</v>
      </c>
      <c r="J164" s="65">
        <v>18.017591159232246</v>
      </c>
      <c r="M164" s="59"/>
      <c r="O164" s="95">
        <v>0</v>
      </c>
      <c r="T164" s="65">
        <v>402711.17999999993</v>
      </c>
      <c r="X164" s="64">
        <v>22351</v>
      </c>
      <c r="AB164" s="59">
        <v>3565</v>
      </c>
      <c r="AC164" s="127">
        <v>4711993</v>
      </c>
      <c r="AE164" s="95">
        <v>1513962.37</v>
      </c>
      <c r="AF164" s="65">
        <v>424.67387657784013</v>
      </c>
    </row>
    <row r="165" spans="1:32">
      <c r="A165" s="84">
        <v>2008</v>
      </c>
      <c r="B165" s="95">
        <v>1264225136.1899998</v>
      </c>
      <c r="C165" s="95">
        <v>2167501.9499999997</v>
      </c>
      <c r="D165" s="122">
        <v>1.7144904716356207E-3</v>
      </c>
      <c r="E165" s="127">
        <v>11840818</v>
      </c>
      <c r="F165" s="98">
        <v>22842</v>
      </c>
      <c r="G165" s="98">
        <v>19460</v>
      </c>
      <c r="I165" s="95">
        <v>616054.09</v>
      </c>
      <c r="J165" s="65">
        <v>31.657455806783144</v>
      </c>
      <c r="M165" s="59"/>
      <c r="O165" s="95">
        <v>142.09</v>
      </c>
      <c r="T165" s="65">
        <v>616196.17999999993</v>
      </c>
      <c r="X165" s="64">
        <v>19460</v>
      </c>
      <c r="AB165" s="59">
        <v>3377</v>
      </c>
      <c r="AC165" s="127">
        <v>4476620</v>
      </c>
      <c r="AE165" s="95">
        <v>1551305.77</v>
      </c>
      <c r="AF165" s="65">
        <v>459.37393248445369</v>
      </c>
    </row>
    <row r="166" spans="1:32">
      <c r="A166" s="84">
        <v>2009</v>
      </c>
      <c r="B166" s="95">
        <v>1458190063.8300002</v>
      </c>
      <c r="C166" s="95">
        <v>2849684.5789999999</v>
      </c>
      <c r="D166" s="122">
        <v>1.9542614160428292E-3</v>
      </c>
      <c r="E166" s="127">
        <v>15215445</v>
      </c>
      <c r="F166" s="98">
        <v>27293</v>
      </c>
      <c r="G166" s="98">
        <v>22719</v>
      </c>
      <c r="I166" s="95">
        <v>937796.87000000023</v>
      </c>
      <c r="J166" s="65">
        <v>41.27808750385141</v>
      </c>
      <c r="M166" s="59"/>
      <c r="O166" s="95"/>
      <c r="T166" s="65">
        <v>937796.87000000023</v>
      </c>
      <c r="X166" s="64">
        <v>22719</v>
      </c>
      <c r="AB166" s="59">
        <v>4571</v>
      </c>
      <c r="AC166" s="127">
        <v>6697058.9589999998</v>
      </c>
      <c r="AE166" s="95">
        <v>1911620.1890000002</v>
      </c>
      <c r="AF166" s="65">
        <v>418.20612316779705</v>
      </c>
    </row>
    <row r="167" spans="1:32">
      <c r="B167" s="95"/>
      <c r="C167" s="95"/>
      <c r="D167" s="122"/>
      <c r="E167" s="127"/>
      <c r="F167" s="98"/>
      <c r="G167" s="98"/>
      <c r="I167" s="95"/>
      <c r="O167" s="95"/>
      <c r="AB167" s="59"/>
      <c r="AC167" s="127"/>
      <c r="AE167" s="95"/>
    </row>
    <row r="168" spans="1:32">
      <c r="B168" s="95"/>
      <c r="C168" s="95"/>
      <c r="D168" s="122"/>
      <c r="E168" s="127"/>
      <c r="F168" s="98"/>
      <c r="G168" s="98"/>
      <c r="I168" s="95"/>
      <c r="O168" s="95"/>
      <c r="AB168" s="59"/>
      <c r="AC168" s="127"/>
      <c r="AE168" s="95"/>
    </row>
    <row r="169" spans="1:32">
      <c r="A169" s="84" t="s">
        <v>66</v>
      </c>
      <c r="AB169" s="59"/>
    </row>
    <row r="170" spans="1:32">
      <c r="A170" s="84" t="s">
        <v>67</v>
      </c>
    </row>
    <row r="171" spans="1:32">
      <c r="A171" s="84" t="s">
        <v>68</v>
      </c>
    </row>
    <row r="172" spans="1:32">
      <c r="D172" s="86" t="s">
        <v>209</v>
      </c>
    </row>
    <row r="173" spans="1:32">
      <c r="A173" s="84" t="s">
        <v>210</v>
      </c>
    </row>
    <row r="178" spans="1:9">
      <c r="A178" s="84" t="s">
        <v>69</v>
      </c>
      <c r="I178" s="65">
        <v>674466.34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 2009</vt:lpstr>
      <vt:lpstr>Worksheet 2010</vt:lpstr>
      <vt:lpstr>Freight 2009-2010</vt:lpstr>
      <vt:lpstr>Freight - total </vt:lpstr>
    </vt:vector>
  </TitlesOfParts>
  <Company>Endo Pharmaceuticals, Inc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matz.cheryl</dc:creator>
  <cp:lastModifiedBy>Lisa Walker</cp:lastModifiedBy>
  <dcterms:created xsi:type="dcterms:W3CDTF">2010-05-18T20:35:29Z</dcterms:created>
  <dcterms:modified xsi:type="dcterms:W3CDTF">2010-11-22T21:00:57Z</dcterms:modified>
</cp:coreProperties>
</file>