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35" yWindow="315" windowWidth="15180" windowHeight="8340"/>
  </bookViews>
  <sheets>
    <sheet name="Spread" sheetId="6" r:id="rId1"/>
    <sheet name="JE" sheetId="8" r:id="rId2"/>
  </sheets>
  <definedNames>
    <definedName name="_xlnm.Print_Area" localSheetId="0">Spread!$A$1:$N$153</definedName>
    <definedName name="_xlnm.Print_Titles" localSheetId="0">Spread!$1:$5</definedName>
  </definedNames>
  <calcPr calcId="145621"/>
</workbook>
</file>

<file path=xl/calcChain.xml><?xml version="1.0" encoding="utf-8"?>
<calcChain xmlns="http://schemas.openxmlformats.org/spreadsheetml/2006/main">
  <c r="N96" i="6" l="1"/>
  <c r="B60" i="8" s="1"/>
  <c r="B88" i="8"/>
  <c r="B87" i="8"/>
  <c r="B86" i="8"/>
  <c r="B85" i="8"/>
  <c r="B84" i="8"/>
  <c r="B82" i="8"/>
  <c r="B81" i="8"/>
  <c r="B80" i="8"/>
  <c r="B79" i="8"/>
  <c r="B78" i="8"/>
  <c r="B77" i="8"/>
  <c r="B76" i="8"/>
  <c r="B75" i="8"/>
  <c r="B74" i="8"/>
  <c r="B73" i="8"/>
  <c r="B72" i="8"/>
  <c r="B71" i="8"/>
  <c r="B69" i="8"/>
  <c r="B68" i="8"/>
  <c r="B67" i="8"/>
  <c r="B66" i="8"/>
  <c r="B65" i="8"/>
  <c r="B64" i="8"/>
  <c r="B63" i="8"/>
  <c r="B62" i="8"/>
  <c r="B61" i="8"/>
  <c r="B59" i="8"/>
  <c r="B58" i="8"/>
  <c r="B56" i="8"/>
  <c r="B55" i="8"/>
  <c r="B54" i="8"/>
  <c r="B53" i="8"/>
  <c r="B52" i="8"/>
  <c r="B51" i="8"/>
  <c r="B50" i="8"/>
  <c r="B49" i="8"/>
  <c r="B48" i="8"/>
  <c r="B47" i="8"/>
  <c r="B46" i="8"/>
  <c r="B45" i="8"/>
  <c r="B43" i="8"/>
  <c r="B42" i="8"/>
  <c r="B41" i="8"/>
  <c r="B40" i="8"/>
  <c r="B39" i="8"/>
  <c r="B38" i="8"/>
  <c r="B37" i="8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20" i="8"/>
  <c r="B19" i="8"/>
  <c r="B17" i="8"/>
  <c r="B16" i="8"/>
  <c r="B15" i="8"/>
  <c r="B14" i="8"/>
  <c r="B13" i="8"/>
  <c r="B12" i="8"/>
  <c r="B11" i="8"/>
  <c r="B10" i="8"/>
  <c r="B9" i="8"/>
  <c r="B8" i="8"/>
  <c r="B7" i="8"/>
  <c r="B6" i="8"/>
  <c r="M96" i="6" l="1"/>
  <c r="L96" i="6" l="1"/>
  <c r="D122" i="6" l="1"/>
  <c r="C122" i="6" l="1"/>
  <c r="O33" i="6" l="1"/>
  <c r="O32" i="6"/>
  <c r="O31" i="6"/>
  <c r="O30" i="6"/>
  <c r="O29" i="6"/>
  <c r="O28" i="6"/>
  <c r="O27" i="6"/>
  <c r="O26" i="6"/>
  <c r="O25" i="6"/>
  <c r="O24" i="6"/>
  <c r="O23" i="6"/>
  <c r="O22" i="6"/>
  <c r="N90" i="6" l="1"/>
  <c r="M90" i="6"/>
  <c r="L90" i="6"/>
  <c r="K90" i="6"/>
  <c r="J90" i="6"/>
  <c r="I90" i="6"/>
  <c r="H90" i="6"/>
  <c r="G90" i="6"/>
  <c r="N88" i="6"/>
  <c r="M88" i="6"/>
  <c r="L88" i="6"/>
  <c r="K88" i="6"/>
  <c r="I88" i="6"/>
  <c r="H88" i="6"/>
  <c r="G88" i="6"/>
  <c r="F88" i="6"/>
  <c r="E88" i="6"/>
  <c r="D88" i="6"/>
  <c r="N122" i="6"/>
  <c r="M122" i="6"/>
  <c r="L122" i="6"/>
  <c r="K122" i="6"/>
  <c r="J122" i="6"/>
  <c r="I122" i="6"/>
  <c r="H122" i="6"/>
  <c r="G122" i="6"/>
  <c r="N119" i="6"/>
  <c r="M119" i="6"/>
  <c r="L119" i="6"/>
  <c r="K119" i="6"/>
  <c r="J119" i="6"/>
  <c r="I119" i="6"/>
  <c r="H119" i="6"/>
  <c r="G119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L148" i="6" l="1"/>
  <c r="L146" i="6"/>
  <c r="K146" i="6"/>
  <c r="K148" i="6"/>
  <c r="H148" i="6"/>
  <c r="H146" i="6"/>
  <c r="G148" i="6"/>
  <c r="G146" i="6"/>
  <c r="I146" i="6"/>
  <c r="M146" i="6"/>
  <c r="I148" i="6"/>
  <c r="M148" i="6"/>
  <c r="N146" i="6"/>
  <c r="J148" i="6"/>
  <c r="N148" i="6"/>
  <c r="F146" i="6"/>
  <c r="D146" i="6"/>
  <c r="O117" i="6"/>
  <c r="L184" i="6" l="1"/>
  <c r="L197" i="6" s="1"/>
  <c r="L64" i="6"/>
  <c r="L38" i="6"/>
  <c r="L34" i="6"/>
  <c r="L87" i="6" s="1"/>
  <c r="L92" i="6" l="1"/>
  <c r="L93" i="6"/>
  <c r="L151" i="6" s="1"/>
  <c r="L89" i="6"/>
  <c r="L91" i="6"/>
  <c r="L85" i="6"/>
  <c r="L86" i="6"/>
  <c r="L83" i="6"/>
  <c r="L84" i="6"/>
  <c r="L69" i="6"/>
  <c r="L82" i="6"/>
  <c r="L81" i="6"/>
  <c r="L78" i="6"/>
  <c r="L70" i="6"/>
  <c r="L57" i="6"/>
  <c r="L55" i="6"/>
  <c r="L53" i="6"/>
  <c r="L51" i="6"/>
  <c r="L49" i="6"/>
  <c r="L47" i="6"/>
  <c r="L45" i="6"/>
  <c r="L43" i="6"/>
  <c r="L41" i="6"/>
  <c r="L58" i="6"/>
  <c r="L56" i="6"/>
  <c r="L54" i="6"/>
  <c r="L52" i="6"/>
  <c r="L50" i="6"/>
  <c r="L48" i="6"/>
  <c r="L46" i="6"/>
  <c r="L44" i="6"/>
  <c r="L42" i="6"/>
  <c r="L40" i="6"/>
  <c r="L211" i="6"/>
  <c r="L120" i="6" s="1"/>
  <c r="L209" i="6"/>
  <c r="L118" i="6" s="1"/>
  <c r="L207" i="6"/>
  <c r="L116" i="6" s="1"/>
  <c r="L145" i="6" s="1"/>
  <c r="L205" i="6"/>
  <c r="L114" i="6" s="1"/>
  <c r="L212" i="6"/>
  <c r="L121" i="6" s="1"/>
  <c r="L210" i="6"/>
  <c r="L208" i="6"/>
  <c r="L206" i="6"/>
  <c r="L115" i="6" s="1"/>
  <c r="L204" i="6"/>
  <c r="L113" i="6" s="1"/>
  <c r="L203" i="6"/>
  <c r="L112" i="6" s="1"/>
  <c r="L192" i="6"/>
  <c r="L101" i="6" s="1"/>
  <c r="L189" i="6"/>
  <c r="L98" i="6" s="1"/>
  <c r="L73" i="6"/>
  <c r="L77" i="6"/>
  <c r="L200" i="6"/>
  <c r="L109" i="6" s="1"/>
  <c r="L193" i="6"/>
  <c r="L102" i="6" s="1"/>
  <c r="L201" i="6"/>
  <c r="L110" i="6" s="1"/>
  <c r="L74" i="6"/>
  <c r="L188" i="6"/>
  <c r="L97" i="6" s="1"/>
  <c r="L196" i="6"/>
  <c r="L105" i="6" s="1"/>
  <c r="L67" i="6"/>
  <c r="L71" i="6"/>
  <c r="L75" i="6"/>
  <c r="L79" i="6"/>
  <c r="L190" i="6"/>
  <c r="L99" i="6" s="1"/>
  <c r="L194" i="6"/>
  <c r="L103" i="6" s="1"/>
  <c r="L198" i="6"/>
  <c r="L107" i="6" s="1"/>
  <c r="L136" i="6" s="1"/>
  <c r="L202" i="6"/>
  <c r="L111" i="6" s="1"/>
  <c r="L68" i="6"/>
  <c r="L72" i="6"/>
  <c r="L76" i="6"/>
  <c r="L80" i="6"/>
  <c r="L187" i="6"/>
  <c r="L191" i="6"/>
  <c r="L100" i="6" s="1"/>
  <c r="L195" i="6"/>
  <c r="L104" i="6" s="1"/>
  <c r="L199" i="6"/>
  <c r="L108" i="6" s="1"/>
  <c r="L106" i="6"/>
  <c r="M64" i="6"/>
  <c r="L147" i="6" l="1"/>
  <c r="L143" i="6"/>
  <c r="L140" i="6"/>
  <c r="L141" i="6"/>
  <c r="L144" i="6"/>
  <c r="L150" i="6"/>
  <c r="L142" i="6"/>
  <c r="L149" i="6"/>
  <c r="L127" i="6"/>
  <c r="L139" i="6"/>
  <c r="L128" i="6"/>
  <c r="L138" i="6"/>
  <c r="L130" i="6"/>
  <c r="L126" i="6"/>
  <c r="L137" i="6"/>
  <c r="L131" i="6"/>
  <c r="L134" i="6"/>
  <c r="L133" i="6"/>
  <c r="L129" i="6"/>
  <c r="L132" i="6"/>
  <c r="L135" i="6"/>
  <c r="L59" i="6"/>
  <c r="L213" i="6"/>
  <c r="L123" i="6"/>
  <c r="L94" i="6"/>
  <c r="M184" i="6"/>
  <c r="M38" i="6"/>
  <c r="M34" i="6"/>
  <c r="M93" i="6" l="1"/>
  <c r="M151" i="6" s="1"/>
  <c r="M87" i="6"/>
  <c r="M91" i="6"/>
  <c r="M92" i="6"/>
  <c r="M86" i="6"/>
  <c r="M89" i="6"/>
  <c r="M84" i="6"/>
  <c r="M85" i="6"/>
  <c r="M143" i="6" s="1"/>
  <c r="M82" i="6"/>
  <c r="M83" i="6"/>
  <c r="L125" i="6"/>
  <c r="M56" i="6"/>
  <c r="M52" i="6"/>
  <c r="M42" i="6"/>
  <c r="M54" i="6"/>
  <c r="M50" i="6"/>
  <c r="M40" i="6"/>
  <c r="M57" i="6"/>
  <c r="M55" i="6"/>
  <c r="M53" i="6"/>
  <c r="M51" i="6"/>
  <c r="M49" i="6"/>
  <c r="M47" i="6"/>
  <c r="M45" i="6"/>
  <c r="M43" i="6"/>
  <c r="M41" i="6"/>
  <c r="M58" i="6"/>
  <c r="M48" i="6"/>
  <c r="M46" i="6"/>
  <c r="M44" i="6"/>
  <c r="M210" i="6"/>
  <c r="M206" i="6"/>
  <c r="M115" i="6" s="1"/>
  <c r="M203" i="6"/>
  <c r="M112" i="6" s="1"/>
  <c r="M209" i="6"/>
  <c r="M118" i="6" s="1"/>
  <c r="M205" i="6"/>
  <c r="M114" i="6" s="1"/>
  <c r="M212" i="6"/>
  <c r="M121" i="6" s="1"/>
  <c r="M208" i="6"/>
  <c r="M204" i="6"/>
  <c r="M113" i="6" s="1"/>
  <c r="M211" i="6"/>
  <c r="M120" i="6" s="1"/>
  <c r="M207" i="6"/>
  <c r="M116" i="6" s="1"/>
  <c r="M196" i="6"/>
  <c r="M105" i="6" s="1"/>
  <c r="M188" i="6"/>
  <c r="M97" i="6" s="1"/>
  <c r="M197" i="6"/>
  <c r="M106" i="6" s="1"/>
  <c r="M189" i="6"/>
  <c r="M98" i="6" s="1"/>
  <c r="M200" i="6"/>
  <c r="M109" i="6" s="1"/>
  <c r="M192" i="6"/>
  <c r="M101" i="6" s="1"/>
  <c r="L152" i="6"/>
  <c r="M74" i="6"/>
  <c r="M69" i="6"/>
  <c r="M77" i="6"/>
  <c r="M70" i="6"/>
  <c r="M78" i="6"/>
  <c r="M73" i="6"/>
  <c r="M81" i="6"/>
  <c r="M193" i="6"/>
  <c r="M102" i="6" s="1"/>
  <c r="M201" i="6"/>
  <c r="M110" i="6" s="1"/>
  <c r="M67" i="6"/>
  <c r="M71" i="6"/>
  <c r="M75" i="6"/>
  <c r="M79" i="6"/>
  <c r="M190" i="6"/>
  <c r="M99" i="6" s="1"/>
  <c r="M194" i="6"/>
  <c r="M103" i="6" s="1"/>
  <c r="M198" i="6"/>
  <c r="M107" i="6" s="1"/>
  <c r="M202" i="6"/>
  <c r="M111" i="6" s="1"/>
  <c r="M68" i="6"/>
  <c r="M72" i="6"/>
  <c r="M130" i="6" s="1"/>
  <c r="M76" i="6"/>
  <c r="M80" i="6"/>
  <c r="M187" i="6"/>
  <c r="M191" i="6"/>
  <c r="M100" i="6" s="1"/>
  <c r="M195" i="6"/>
  <c r="M104" i="6" s="1"/>
  <c r="M199" i="6"/>
  <c r="M108" i="6" s="1"/>
  <c r="M134" i="6" l="1"/>
  <c r="M150" i="6"/>
  <c r="M142" i="6"/>
  <c r="M149" i="6"/>
  <c r="M140" i="6"/>
  <c r="M147" i="6"/>
  <c r="M145" i="6"/>
  <c r="M141" i="6"/>
  <c r="M144" i="6"/>
  <c r="M139" i="6"/>
  <c r="M127" i="6"/>
  <c r="M128" i="6"/>
  <c r="M129" i="6"/>
  <c r="M135" i="6"/>
  <c r="M126" i="6"/>
  <c r="M131" i="6"/>
  <c r="M138" i="6"/>
  <c r="M137" i="6"/>
  <c r="M136" i="6"/>
  <c r="M132" i="6"/>
  <c r="M133" i="6"/>
  <c r="M59" i="6"/>
  <c r="M94" i="6"/>
  <c r="M213" i="6"/>
  <c r="M123" i="6"/>
  <c r="M125" i="6" l="1"/>
  <c r="M152" i="6" s="1"/>
  <c r="J184" i="6"/>
  <c r="J64" i="6"/>
  <c r="J38" i="6"/>
  <c r="J34" i="6"/>
  <c r="J88" i="6" s="1"/>
  <c r="J146" i="6" s="1"/>
  <c r="J93" i="6" l="1"/>
  <c r="J151" i="6" s="1"/>
  <c r="J87" i="6"/>
  <c r="J91" i="6"/>
  <c r="J92" i="6"/>
  <c r="J86" i="6"/>
  <c r="J89" i="6"/>
  <c r="J84" i="6"/>
  <c r="J85" i="6"/>
  <c r="J82" i="6"/>
  <c r="J83" i="6"/>
  <c r="J58" i="6"/>
  <c r="J56" i="6"/>
  <c r="J54" i="6"/>
  <c r="J52" i="6"/>
  <c r="J50" i="6"/>
  <c r="J48" i="6"/>
  <c r="J46" i="6"/>
  <c r="J44" i="6"/>
  <c r="J42" i="6"/>
  <c r="J40" i="6"/>
  <c r="J57" i="6"/>
  <c r="J55" i="6"/>
  <c r="J53" i="6"/>
  <c r="J51" i="6"/>
  <c r="J49" i="6"/>
  <c r="J47" i="6"/>
  <c r="J45" i="6"/>
  <c r="J43" i="6"/>
  <c r="J41" i="6"/>
  <c r="J212" i="6"/>
  <c r="J121" i="6" s="1"/>
  <c r="J211" i="6"/>
  <c r="J120" i="6" s="1"/>
  <c r="J210" i="6"/>
  <c r="J209" i="6"/>
  <c r="J118" i="6" s="1"/>
  <c r="J208" i="6"/>
  <c r="J207" i="6"/>
  <c r="J116" i="6" s="1"/>
  <c r="J206" i="6"/>
  <c r="J115" i="6" s="1"/>
  <c r="J205" i="6"/>
  <c r="J114" i="6" s="1"/>
  <c r="J204" i="6"/>
  <c r="J113" i="6" s="1"/>
  <c r="J203" i="6"/>
  <c r="J112" i="6" s="1"/>
  <c r="J70" i="6"/>
  <c r="J196" i="6"/>
  <c r="J105" i="6" s="1"/>
  <c r="J187" i="6"/>
  <c r="J96" i="6" s="1"/>
  <c r="J197" i="6"/>
  <c r="J106" i="6" s="1"/>
  <c r="J188" i="6"/>
  <c r="J97" i="6" s="1"/>
  <c r="J193" i="6"/>
  <c r="J102" i="6" s="1"/>
  <c r="J199" i="6"/>
  <c r="J108" i="6" s="1"/>
  <c r="J191" i="6"/>
  <c r="J100" i="6" s="1"/>
  <c r="J201" i="6"/>
  <c r="J110" i="6" s="1"/>
  <c r="J192" i="6"/>
  <c r="J101" i="6" s="1"/>
  <c r="J189" i="6"/>
  <c r="J98" i="6" s="1"/>
  <c r="J195" i="6"/>
  <c r="J104" i="6" s="1"/>
  <c r="J200" i="6"/>
  <c r="J109" i="6" s="1"/>
  <c r="J81" i="6"/>
  <c r="J77" i="6"/>
  <c r="J73" i="6"/>
  <c r="J69" i="6"/>
  <c r="J80" i="6"/>
  <c r="J76" i="6"/>
  <c r="J72" i="6"/>
  <c r="J68" i="6"/>
  <c r="J79" i="6"/>
  <c r="J75" i="6"/>
  <c r="J71" i="6"/>
  <c r="J129" i="6" s="1"/>
  <c r="J67" i="6"/>
  <c r="J78" i="6"/>
  <c r="J74" i="6"/>
  <c r="J190" i="6"/>
  <c r="J99" i="6" s="1"/>
  <c r="J194" i="6"/>
  <c r="J103" i="6" s="1"/>
  <c r="J198" i="6"/>
  <c r="J107" i="6" s="1"/>
  <c r="J202" i="6"/>
  <c r="J111" i="6" s="1"/>
  <c r="J142" i="6" l="1"/>
  <c r="J150" i="6"/>
  <c r="J141" i="6"/>
  <c r="J144" i="6"/>
  <c r="J143" i="6"/>
  <c r="J149" i="6"/>
  <c r="J132" i="6"/>
  <c r="J134" i="6"/>
  <c r="J140" i="6"/>
  <c r="J147" i="6"/>
  <c r="J145" i="6"/>
  <c r="J133" i="6"/>
  <c r="J135" i="6"/>
  <c r="J138" i="6"/>
  <c r="J139" i="6"/>
  <c r="J126" i="6"/>
  <c r="J137" i="6"/>
  <c r="J125" i="6"/>
  <c r="J127" i="6"/>
  <c r="J128" i="6"/>
  <c r="J136" i="6"/>
  <c r="J130" i="6"/>
  <c r="J131" i="6"/>
  <c r="J123" i="6"/>
  <c r="J94" i="6"/>
  <c r="J213" i="6"/>
  <c r="J59" i="6"/>
  <c r="J152" i="6" l="1"/>
  <c r="G64" i="6" l="1"/>
  <c r="G38" i="6"/>
  <c r="G34" i="6"/>
  <c r="H34" i="6"/>
  <c r="I34" i="6"/>
  <c r="K34" i="6"/>
  <c r="N34" i="6"/>
  <c r="N93" i="6" l="1"/>
  <c r="N151" i="6" s="1"/>
  <c r="N87" i="6"/>
  <c r="N91" i="6"/>
  <c r="N92" i="6"/>
  <c r="N86" i="6"/>
  <c r="N89" i="6"/>
  <c r="N84" i="6"/>
  <c r="N85" i="6"/>
  <c r="N82" i="6"/>
  <c r="N83" i="6"/>
  <c r="K93" i="6"/>
  <c r="K87" i="6"/>
  <c r="K91" i="6"/>
  <c r="K92" i="6"/>
  <c r="K86" i="6"/>
  <c r="K89" i="6"/>
  <c r="K84" i="6"/>
  <c r="K85" i="6"/>
  <c r="K82" i="6"/>
  <c r="K83" i="6"/>
  <c r="I93" i="6"/>
  <c r="I151" i="6" s="1"/>
  <c r="I87" i="6"/>
  <c r="I91" i="6"/>
  <c r="I92" i="6"/>
  <c r="I86" i="6"/>
  <c r="I89" i="6"/>
  <c r="I84" i="6"/>
  <c r="I85" i="6"/>
  <c r="I82" i="6"/>
  <c r="I83" i="6"/>
  <c r="H93" i="6"/>
  <c r="H151" i="6" s="1"/>
  <c r="H87" i="6"/>
  <c r="H91" i="6"/>
  <c r="H92" i="6"/>
  <c r="H86" i="6"/>
  <c r="H89" i="6"/>
  <c r="H84" i="6"/>
  <c r="H85" i="6"/>
  <c r="H82" i="6"/>
  <c r="H83" i="6"/>
  <c r="G93" i="6"/>
  <c r="G151" i="6" s="1"/>
  <c r="G87" i="6"/>
  <c r="G91" i="6"/>
  <c r="G92" i="6"/>
  <c r="G86" i="6"/>
  <c r="G89" i="6"/>
  <c r="G84" i="6"/>
  <c r="G85" i="6"/>
  <c r="G82" i="6"/>
  <c r="G83" i="6"/>
  <c r="G51" i="6"/>
  <c r="G47" i="6"/>
  <c r="G41" i="6"/>
  <c r="G57" i="6"/>
  <c r="G49" i="6"/>
  <c r="G45" i="6"/>
  <c r="G58" i="6"/>
  <c r="G56" i="6"/>
  <c r="G54" i="6"/>
  <c r="G52" i="6"/>
  <c r="G50" i="6"/>
  <c r="G48" i="6"/>
  <c r="G46" i="6"/>
  <c r="G44" i="6"/>
  <c r="G42" i="6"/>
  <c r="G40" i="6"/>
  <c r="G55" i="6"/>
  <c r="G53" i="6"/>
  <c r="G43" i="6"/>
  <c r="K78" i="6"/>
  <c r="K74" i="6"/>
  <c r="K70" i="6"/>
  <c r="K80" i="6"/>
  <c r="K76" i="6"/>
  <c r="K72" i="6"/>
  <c r="K68" i="6"/>
  <c r="K79" i="6"/>
  <c r="K71" i="6"/>
  <c r="K81" i="6"/>
  <c r="K77" i="6"/>
  <c r="K73" i="6"/>
  <c r="K69" i="6"/>
  <c r="K75" i="6"/>
  <c r="K67" i="6"/>
  <c r="H79" i="6"/>
  <c r="H75" i="6"/>
  <c r="H71" i="6"/>
  <c r="H67" i="6"/>
  <c r="H81" i="6"/>
  <c r="H73" i="6"/>
  <c r="H80" i="6"/>
  <c r="H72" i="6"/>
  <c r="H78" i="6"/>
  <c r="H74" i="6"/>
  <c r="H70" i="6"/>
  <c r="H77" i="6"/>
  <c r="H69" i="6"/>
  <c r="H76" i="6"/>
  <c r="H68" i="6"/>
  <c r="I70" i="6"/>
  <c r="I74" i="6"/>
  <c r="I78" i="6"/>
  <c r="I75" i="6"/>
  <c r="I68" i="6"/>
  <c r="I76" i="6"/>
  <c r="I80" i="6"/>
  <c r="I69" i="6"/>
  <c r="I73" i="6"/>
  <c r="I77" i="6"/>
  <c r="I81" i="6"/>
  <c r="I71" i="6"/>
  <c r="I79" i="6"/>
  <c r="I72" i="6"/>
  <c r="G81" i="6"/>
  <c r="G80" i="6"/>
  <c r="G78" i="6"/>
  <c r="G79" i="6"/>
  <c r="G77" i="6"/>
  <c r="G76" i="6"/>
  <c r="G75" i="6"/>
  <c r="G73" i="6"/>
  <c r="G74" i="6"/>
  <c r="G72" i="6"/>
  <c r="G70" i="6"/>
  <c r="G71" i="6"/>
  <c r="G69" i="6"/>
  <c r="G68" i="6"/>
  <c r="G67" i="6"/>
  <c r="K151" i="6" l="1"/>
  <c r="G94" i="6"/>
  <c r="G59" i="6"/>
  <c r="A202" i="6" l="1"/>
  <c r="B55" i="6"/>
  <c r="B83" i="6" s="1"/>
  <c r="A140" i="6" s="1"/>
  <c r="A173" i="6" s="1"/>
  <c r="B111" i="6" l="1"/>
  <c r="D34" i="6" l="1"/>
  <c r="D87" i="6" l="1"/>
  <c r="D90" i="6"/>
  <c r="D91" i="6"/>
  <c r="D93" i="6"/>
  <c r="D92" i="6"/>
  <c r="D86" i="6"/>
  <c r="D89" i="6"/>
  <c r="D84" i="6"/>
  <c r="D85" i="6"/>
  <c r="D82" i="6"/>
  <c r="D83" i="6"/>
  <c r="I67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D184" i="6"/>
  <c r="E184" i="6"/>
  <c r="F184" i="6"/>
  <c r="G184" i="6"/>
  <c r="H184" i="6"/>
  <c r="I184" i="6"/>
  <c r="K184" i="6"/>
  <c r="N184" i="6"/>
  <c r="C184" i="6"/>
  <c r="D151" i="6" l="1"/>
  <c r="C212" i="6"/>
  <c r="C121" i="6" s="1"/>
  <c r="C211" i="6"/>
  <c r="C120" i="6" s="1"/>
  <c r="C210" i="6"/>
  <c r="C119" i="6" s="1"/>
  <c r="C209" i="6"/>
  <c r="C118" i="6" s="1"/>
  <c r="C208" i="6"/>
  <c r="C207" i="6"/>
  <c r="C116" i="6" s="1"/>
  <c r="C206" i="6"/>
  <c r="C115" i="6" s="1"/>
  <c r="C205" i="6"/>
  <c r="C114" i="6" s="1"/>
  <c r="C204" i="6"/>
  <c r="C113" i="6" s="1"/>
  <c r="C203" i="6"/>
  <c r="C112" i="6" s="1"/>
  <c r="H211" i="6"/>
  <c r="H120" i="6" s="1"/>
  <c r="H149" i="6" s="1"/>
  <c r="H207" i="6"/>
  <c r="H116" i="6" s="1"/>
  <c r="H145" i="6" s="1"/>
  <c r="H203" i="6"/>
  <c r="H112" i="6" s="1"/>
  <c r="H141" i="6" s="1"/>
  <c r="H209" i="6"/>
  <c r="H118" i="6" s="1"/>
  <c r="H147" i="6" s="1"/>
  <c r="H204" i="6"/>
  <c r="H113" i="6" s="1"/>
  <c r="H142" i="6" s="1"/>
  <c r="H210" i="6"/>
  <c r="H206" i="6"/>
  <c r="H115" i="6" s="1"/>
  <c r="H144" i="6" s="1"/>
  <c r="H205" i="6"/>
  <c r="H114" i="6" s="1"/>
  <c r="H143" i="6" s="1"/>
  <c r="H212" i="6"/>
  <c r="H121" i="6" s="1"/>
  <c r="H150" i="6" s="1"/>
  <c r="H208" i="6"/>
  <c r="D211" i="6"/>
  <c r="D120" i="6" s="1"/>
  <c r="D207" i="6"/>
  <c r="D116" i="6" s="1"/>
  <c r="D203" i="6"/>
  <c r="D112" i="6" s="1"/>
  <c r="D205" i="6"/>
  <c r="D114" i="6" s="1"/>
  <c r="D212" i="6"/>
  <c r="D121" i="6" s="1"/>
  <c r="D208" i="6"/>
  <c r="D210" i="6"/>
  <c r="D119" i="6" s="1"/>
  <c r="D206" i="6"/>
  <c r="D115" i="6" s="1"/>
  <c r="D209" i="6"/>
  <c r="D118" i="6" s="1"/>
  <c r="D204" i="6"/>
  <c r="D113" i="6" s="1"/>
  <c r="N209" i="6"/>
  <c r="N118" i="6" s="1"/>
  <c r="N147" i="6" s="1"/>
  <c r="N205" i="6"/>
  <c r="N114" i="6" s="1"/>
  <c r="N143" i="6" s="1"/>
  <c r="N211" i="6"/>
  <c r="N120" i="6" s="1"/>
  <c r="N149" i="6" s="1"/>
  <c r="N207" i="6"/>
  <c r="N116" i="6" s="1"/>
  <c r="N145" i="6" s="1"/>
  <c r="N203" i="6"/>
  <c r="N112" i="6" s="1"/>
  <c r="N141" i="6" s="1"/>
  <c r="N210" i="6"/>
  <c r="N206" i="6"/>
  <c r="N115" i="6" s="1"/>
  <c r="N144" i="6" s="1"/>
  <c r="N212" i="6"/>
  <c r="N121" i="6" s="1"/>
  <c r="N150" i="6" s="1"/>
  <c r="N208" i="6"/>
  <c r="N204" i="6"/>
  <c r="N113" i="6" s="1"/>
  <c r="N142" i="6" s="1"/>
  <c r="G212" i="6"/>
  <c r="G121" i="6" s="1"/>
  <c r="G150" i="6" s="1"/>
  <c r="G208" i="6"/>
  <c r="G204" i="6"/>
  <c r="G113" i="6" s="1"/>
  <c r="G142" i="6" s="1"/>
  <c r="G210" i="6"/>
  <c r="G209" i="6"/>
  <c r="G118" i="6" s="1"/>
  <c r="G147" i="6" s="1"/>
  <c r="G205" i="6"/>
  <c r="G114" i="6" s="1"/>
  <c r="G143" i="6" s="1"/>
  <c r="G211" i="6"/>
  <c r="G120" i="6" s="1"/>
  <c r="G149" i="6" s="1"/>
  <c r="G207" i="6"/>
  <c r="G116" i="6" s="1"/>
  <c r="G145" i="6" s="1"/>
  <c r="G203" i="6"/>
  <c r="G112" i="6" s="1"/>
  <c r="G141" i="6" s="1"/>
  <c r="G206" i="6"/>
  <c r="G115" i="6" s="1"/>
  <c r="G144" i="6" s="1"/>
  <c r="K212" i="6"/>
  <c r="K121" i="6" s="1"/>
  <c r="K208" i="6"/>
  <c r="K204" i="6"/>
  <c r="K113" i="6" s="1"/>
  <c r="K206" i="6"/>
  <c r="K115" i="6" s="1"/>
  <c r="K211" i="6"/>
  <c r="K120" i="6" s="1"/>
  <c r="K207" i="6"/>
  <c r="K116" i="6" s="1"/>
  <c r="K203" i="6"/>
  <c r="K112" i="6" s="1"/>
  <c r="K210" i="6"/>
  <c r="K209" i="6"/>
  <c r="K118" i="6" s="1"/>
  <c r="K205" i="6"/>
  <c r="K114" i="6" s="1"/>
  <c r="F209" i="6"/>
  <c r="F118" i="6" s="1"/>
  <c r="F205" i="6"/>
  <c r="F114" i="6" s="1"/>
  <c r="F211" i="6"/>
  <c r="F120" i="6" s="1"/>
  <c r="F210" i="6"/>
  <c r="F119" i="6" s="1"/>
  <c r="F212" i="6"/>
  <c r="F121" i="6" s="1"/>
  <c r="F208" i="6"/>
  <c r="F204" i="6"/>
  <c r="F113" i="6" s="1"/>
  <c r="F207" i="6"/>
  <c r="F116" i="6" s="1"/>
  <c r="F203" i="6"/>
  <c r="F112" i="6" s="1"/>
  <c r="F206" i="6"/>
  <c r="F115" i="6" s="1"/>
  <c r="I210" i="6"/>
  <c r="I206" i="6"/>
  <c r="I115" i="6" s="1"/>
  <c r="I144" i="6" s="1"/>
  <c r="I212" i="6"/>
  <c r="I121" i="6" s="1"/>
  <c r="I150" i="6" s="1"/>
  <c r="I208" i="6"/>
  <c r="I204" i="6"/>
  <c r="I113" i="6" s="1"/>
  <c r="I142" i="6" s="1"/>
  <c r="I211" i="6"/>
  <c r="I120" i="6" s="1"/>
  <c r="I149" i="6" s="1"/>
  <c r="I207" i="6"/>
  <c r="I116" i="6" s="1"/>
  <c r="I145" i="6" s="1"/>
  <c r="I209" i="6"/>
  <c r="I118" i="6" s="1"/>
  <c r="I147" i="6" s="1"/>
  <c r="I205" i="6"/>
  <c r="I114" i="6" s="1"/>
  <c r="I143" i="6" s="1"/>
  <c r="I203" i="6"/>
  <c r="I112" i="6" s="1"/>
  <c r="I141" i="6" s="1"/>
  <c r="E210" i="6"/>
  <c r="E119" i="6" s="1"/>
  <c r="E206" i="6"/>
  <c r="E115" i="6" s="1"/>
  <c r="E203" i="6"/>
  <c r="E112" i="6" s="1"/>
  <c r="E209" i="6"/>
  <c r="E118" i="6" s="1"/>
  <c r="E205" i="6"/>
  <c r="E114" i="6" s="1"/>
  <c r="E212" i="6"/>
  <c r="E121" i="6" s="1"/>
  <c r="E208" i="6"/>
  <c r="E204" i="6"/>
  <c r="E113" i="6" s="1"/>
  <c r="E211" i="6"/>
  <c r="E120" i="6" s="1"/>
  <c r="E207" i="6"/>
  <c r="E116" i="6" s="1"/>
  <c r="H202" i="6"/>
  <c r="H111" i="6" s="1"/>
  <c r="H140" i="6" s="1"/>
  <c r="H198" i="6"/>
  <c r="H107" i="6" s="1"/>
  <c r="H136" i="6" s="1"/>
  <c r="H194" i="6"/>
  <c r="H103" i="6" s="1"/>
  <c r="H132" i="6" s="1"/>
  <c r="H190" i="6"/>
  <c r="H99" i="6" s="1"/>
  <c r="H128" i="6" s="1"/>
  <c r="H200" i="6"/>
  <c r="H109" i="6" s="1"/>
  <c r="H138" i="6" s="1"/>
  <c r="H192" i="6"/>
  <c r="H101" i="6" s="1"/>
  <c r="H130" i="6" s="1"/>
  <c r="H201" i="6"/>
  <c r="H110" i="6" s="1"/>
  <c r="H139" i="6" s="1"/>
  <c r="H197" i="6"/>
  <c r="H106" i="6" s="1"/>
  <c r="H135" i="6" s="1"/>
  <c r="H193" i="6"/>
  <c r="H102" i="6" s="1"/>
  <c r="H131" i="6" s="1"/>
  <c r="H189" i="6"/>
  <c r="H98" i="6" s="1"/>
  <c r="H127" i="6" s="1"/>
  <c r="H196" i="6"/>
  <c r="H105" i="6" s="1"/>
  <c r="H134" i="6" s="1"/>
  <c r="H188" i="6"/>
  <c r="H199" i="6"/>
  <c r="H108" i="6" s="1"/>
  <c r="H137" i="6" s="1"/>
  <c r="H195" i="6"/>
  <c r="H191" i="6"/>
  <c r="H100" i="6" s="1"/>
  <c r="H129" i="6" s="1"/>
  <c r="H187" i="6"/>
  <c r="H96" i="6" s="1"/>
  <c r="G191" i="6"/>
  <c r="G100" i="6" s="1"/>
  <c r="G129" i="6" s="1"/>
  <c r="G195" i="6"/>
  <c r="G104" i="6" s="1"/>
  <c r="G133" i="6" s="1"/>
  <c r="G199" i="6"/>
  <c r="G108" i="6" s="1"/>
  <c r="G137" i="6" s="1"/>
  <c r="G193" i="6"/>
  <c r="G102" i="6" s="1"/>
  <c r="G131" i="6" s="1"/>
  <c r="G201" i="6"/>
  <c r="G110" i="6" s="1"/>
  <c r="G139" i="6" s="1"/>
  <c r="G190" i="6"/>
  <c r="G99" i="6" s="1"/>
  <c r="G128" i="6" s="1"/>
  <c r="G194" i="6"/>
  <c r="G103" i="6" s="1"/>
  <c r="G132" i="6" s="1"/>
  <c r="G198" i="6"/>
  <c r="G107" i="6" s="1"/>
  <c r="G136" i="6" s="1"/>
  <c r="G188" i="6"/>
  <c r="G97" i="6" s="1"/>
  <c r="G126" i="6" s="1"/>
  <c r="G192" i="6"/>
  <c r="G101" i="6" s="1"/>
  <c r="G130" i="6" s="1"/>
  <c r="G196" i="6"/>
  <c r="G105" i="6" s="1"/>
  <c r="G134" i="6" s="1"/>
  <c r="G200" i="6"/>
  <c r="G189" i="6"/>
  <c r="G98" i="6" s="1"/>
  <c r="G127" i="6" s="1"/>
  <c r="G197" i="6"/>
  <c r="G106" i="6" s="1"/>
  <c r="G135" i="6" s="1"/>
  <c r="G202" i="6"/>
  <c r="G111" i="6" s="1"/>
  <c r="G140" i="6" s="1"/>
  <c r="K202" i="6"/>
  <c r="K111" i="6" s="1"/>
  <c r="K198" i="6"/>
  <c r="K107" i="6" s="1"/>
  <c r="K194" i="6"/>
  <c r="K103" i="6" s="1"/>
  <c r="K190" i="6"/>
  <c r="K99" i="6" s="1"/>
  <c r="K201" i="6"/>
  <c r="K110" i="6" s="1"/>
  <c r="K197" i="6"/>
  <c r="K106" i="6" s="1"/>
  <c r="K193" i="6"/>
  <c r="K102" i="6" s="1"/>
  <c r="K189" i="6"/>
  <c r="K98" i="6" s="1"/>
  <c r="K200" i="6"/>
  <c r="K109" i="6" s="1"/>
  <c r="K196" i="6"/>
  <c r="K105" i="6" s="1"/>
  <c r="K192" i="6"/>
  <c r="K101" i="6" s="1"/>
  <c r="K188" i="6"/>
  <c r="K97" i="6" s="1"/>
  <c r="K199" i="6"/>
  <c r="K108" i="6" s="1"/>
  <c r="K195" i="6"/>
  <c r="K104" i="6" s="1"/>
  <c r="K191" i="6"/>
  <c r="K100" i="6" s="1"/>
  <c r="K187" i="6"/>
  <c r="F202" i="6"/>
  <c r="F111" i="6" s="1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111" i="6" s="1"/>
  <c r="N140" i="6" s="1"/>
  <c r="I187" i="6"/>
  <c r="I96" i="6" s="1"/>
  <c r="I188" i="6"/>
  <c r="I97" i="6" s="1"/>
  <c r="I126" i="6" s="1"/>
  <c r="I189" i="6"/>
  <c r="I98" i="6" s="1"/>
  <c r="I127" i="6" s="1"/>
  <c r="I190" i="6"/>
  <c r="I99" i="6" s="1"/>
  <c r="I128" i="6" s="1"/>
  <c r="I191" i="6"/>
  <c r="I100" i="6" s="1"/>
  <c r="I129" i="6" s="1"/>
  <c r="I192" i="6"/>
  <c r="I101" i="6" s="1"/>
  <c r="I130" i="6" s="1"/>
  <c r="I193" i="6"/>
  <c r="I102" i="6" s="1"/>
  <c r="I131" i="6" s="1"/>
  <c r="I194" i="6"/>
  <c r="I103" i="6" s="1"/>
  <c r="I132" i="6" s="1"/>
  <c r="I195" i="6"/>
  <c r="I104" i="6" s="1"/>
  <c r="I133" i="6" s="1"/>
  <c r="I196" i="6"/>
  <c r="I105" i="6" s="1"/>
  <c r="I134" i="6" s="1"/>
  <c r="I197" i="6"/>
  <c r="I106" i="6" s="1"/>
  <c r="I135" i="6" s="1"/>
  <c r="I198" i="6"/>
  <c r="I107" i="6" s="1"/>
  <c r="I136" i="6" s="1"/>
  <c r="I199" i="6"/>
  <c r="I108" i="6" s="1"/>
  <c r="I137" i="6" s="1"/>
  <c r="I200" i="6"/>
  <c r="I109" i="6" s="1"/>
  <c r="I138" i="6" s="1"/>
  <c r="I201" i="6"/>
  <c r="I110" i="6" s="1"/>
  <c r="I139" i="6" s="1"/>
  <c r="I202" i="6"/>
  <c r="I111" i="6" s="1"/>
  <c r="I140" i="6" s="1"/>
  <c r="H104" i="6"/>
  <c r="H133" i="6" s="1"/>
  <c r="G187" i="6"/>
  <c r="G96" i="6" s="1"/>
  <c r="G109" i="6"/>
  <c r="G138" i="6" s="1"/>
  <c r="C202" i="6"/>
  <c r="C111" i="6" s="1"/>
  <c r="E202" i="6"/>
  <c r="E111" i="6" s="1"/>
  <c r="D202" i="6"/>
  <c r="D111" i="6" s="1"/>
  <c r="E201" i="6"/>
  <c r="N64" i="6"/>
  <c r="K64" i="6"/>
  <c r="I64" i="6"/>
  <c r="H64" i="6"/>
  <c r="F64" i="6"/>
  <c r="E64" i="6"/>
  <c r="D64" i="6"/>
  <c r="N38" i="6"/>
  <c r="K38" i="6"/>
  <c r="I38" i="6"/>
  <c r="H38" i="6"/>
  <c r="F38" i="6"/>
  <c r="E38" i="6"/>
  <c r="D38" i="6"/>
  <c r="F34" i="6"/>
  <c r="F87" i="6" s="1"/>
  <c r="E34" i="6"/>
  <c r="E90" i="6" s="1"/>
  <c r="D79" i="6"/>
  <c r="C64" i="6"/>
  <c r="C38" i="6"/>
  <c r="C34" i="6"/>
  <c r="N213" i="6" l="1"/>
  <c r="K137" i="6"/>
  <c r="K140" i="6"/>
  <c r="K127" i="6"/>
  <c r="K141" i="6"/>
  <c r="K133" i="6"/>
  <c r="K134" i="6"/>
  <c r="K135" i="6"/>
  <c r="K136" i="6"/>
  <c r="K147" i="6"/>
  <c r="K149" i="6"/>
  <c r="K150" i="6"/>
  <c r="K139" i="6"/>
  <c r="K96" i="6"/>
  <c r="K128" i="6"/>
  <c r="K142" i="6"/>
  <c r="K138" i="6"/>
  <c r="K144" i="6"/>
  <c r="K126" i="6"/>
  <c r="K129" i="6"/>
  <c r="K130" i="6"/>
  <c r="K131" i="6"/>
  <c r="K132" i="6"/>
  <c r="K143" i="6"/>
  <c r="K145" i="6"/>
  <c r="F145" i="6"/>
  <c r="F93" i="6"/>
  <c r="F90" i="6"/>
  <c r="E148" i="6"/>
  <c r="F91" i="6"/>
  <c r="F92" i="6"/>
  <c r="F86" i="6"/>
  <c r="F89" i="6"/>
  <c r="F84" i="6"/>
  <c r="F85" i="6"/>
  <c r="F83" i="6"/>
  <c r="F82" i="6"/>
  <c r="E93" i="6"/>
  <c r="E87" i="6"/>
  <c r="E91" i="6"/>
  <c r="E92" i="6"/>
  <c r="E150" i="6" s="1"/>
  <c r="E86" i="6"/>
  <c r="E89" i="6"/>
  <c r="E84" i="6"/>
  <c r="E85" i="6"/>
  <c r="E82" i="6"/>
  <c r="E83" i="6"/>
  <c r="H57" i="6"/>
  <c r="H49" i="6"/>
  <c r="H41" i="6"/>
  <c r="H52" i="6"/>
  <c r="H44" i="6"/>
  <c r="H47" i="6"/>
  <c r="H50" i="6"/>
  <c r="H53" i="6"/>
  <c r="H45" i="6"/>
  <c r="H56" i="6"/>
  <c r="H48" i="6"/>
  <c r="H40" i="6"/>
  <c r="H51" i="6"/>
  <c r="H43" i="6"/>
  <c r="H54" i="6"/>
  <c r="H46" i="6"/>
  <c r="H55" i="6"/>
  <c r="H58" i="6"/>
  <c r="H42" i="6"/>
  <c r="I58" i="6"/>
  <c r="I46" i="6"/>
  <c r="I53" i="6"/>
  <c r="I45" i="6"/>
  <c r="I54" i="6"/>
  <c r="I44" i="6"/>
  <c r="I57" i="6"/>
  <c r="I49" i="6"/>
  <c r="I41" i="6"/>
  <c r="I40" i="6"/>
  <c r="I42" i="6"/>
  <c r="I43" i="6"/>
  <c r="I52" i="6"/>
  <c r="I55" i="6"/>
  <c r="I47" i="6"/>
  <c r="I56" i="6"/>
  <c r="I48" i="6"/>
  <c r="I51" i="6"/>
  <c r="I50" i="6"/>
  <c r="K45" i="6"/>
  <c r="K56" i="6"/>
  <c r="K48" i="6"/>
  <c r="K40" i="6"/>
  <c r="K41" i="6"/>
  <c r="K54" i="6"/>
  <c r="K57" i="6"/>
  <c r="K43" i="6"/>
  <c r="K52" i="6"/>
  <c r="K44" i="6"/>
  <c r="K49" i="6"/>
  <c r="K51" i="6"/>
  <c r="K55" i="6"/>
  <c r="K58" i="6"/>
  <c r="K50" i="6"/>
  <c r="K42" i="6"/>
  <c r="K47" i="6"/>
  <c r="K53" i="6"/>
  <c r="K46" i="6"/>
  <c r="F58" i="6"/>
  <c r="F56" i="6"/>
  <c r="F54" i="6"/>
  <c r="F52" i="6"/>
  <c r="F50" i="6"/>
  <c r="F48" i="6"/>
  <c r="F46" i="6"/>
  <c r="F44" i="6"/>
  <c r="F42" i="6"/>
  <c r="F40" i="6"/>
  <c r="F57" i="6"/>
  <c r="F55" i="6"/>
  <c r="F53" i="6"/>
  <c r="F51" i="6"/>
  <c r="F49" i="6"/>
  <c r="F47" i="6"/>
  <c r="F45" i="6"/>
  <c r="F43" i="6"/>
  <c r="F41" i="6"/>
  <c r="E54" i="6"/>
  <c r="E50" i="6"/>
  <c r="E58" i="6"/>
  <c r="E56" i="6"/>
  <c r="E48" i="6"/>
  <c r="E40" i="6"/>
  <c r="E57" i="6"/>
  <c r="E55" i="6"/>
  <c r="E53" i="6"/>
  <c r="E51" i="6"/>
  <c r="E49" i="6"/>
  <c r="E47" i="6"/>
  <c r="E45" i="6"/>
  <c r="E43" i="6"/>
  <c r="E41" i="6"/>
  <c r="E52" i="6"/>
  <c r="E46" i="6"/>
  <c r="E44" i="6"/>
  <c r="E42" i="6"/>
  <c r="N56" i="6"/>
  <c r="N48" i="6"/>
  <c r="N40" i="6"/>
  <c r="N51" i="6"/>
  <c r="N43" i="6"/>
  <c r="N46" i="6"/>
  <c r="N49" i="6"/>
  <c r="N52" i="6"/>
  <c r="N44" i="6"/>
  <c r="N55" i="6"/>
  <c r="N47" i="6"/>
  <c r="N41" i="6"/>
  <c r="N58" i="6"/>
  <c r="N50" i="6"/>
  <c r="N42" i="6"/>
  <c r="N53" i="6"/>
  <c r="N45" i="6"/>
  <c r="N54" i="6"/>
  <c r="N57" i="6"/>
  <c r="D150" i="6"/>
  <c r="D147" i="6"/>
  <c r="D144" i="6"/>
  <c r="D141" i="6"/>
  <c r="D142" i="6"/>
  <c r="D145" i="6"/>
  <c r="D143" i="6"/>
  <c r="D148" i="6"/>
  <c r="D140" i="6"/>
  <c r="D149" i="6"/>
  <c r="O114" i="6"/>
  <c r="O115" i="6"/>
  <c r="O111" i="6"/>
  <c r="O112" i="6"/>
  <c r="O116" i="6"/>
  <c r="O120" i="6"/>
  <c r="O118" i="6"/>
  <c r="O119" i="6"/>
  <c r="O113" i="6"/>
  <c r="O121" i="6"/>
  <c r="D52" i="6"/>
  <c r="D54" i="6"/>
  <c r="D57" i="6"/>
  <c r="D41" i="6"/>
  <c r="D55" i="6"/>
  <c r="D48" i="6"/>
  <c r="D46" i="6"/>
  <c r="D53" i="6"/>
  <c r="D58" i="6"/>
  <c r="D43" i="6"/>
  <c r="D44" i="6"/>
  <c r="D51" i="6"/>
  <c r="D49" i="6"/>
  <c r="D50" i="6"/>
  <c r="D56" i="6"/>
  <c r="D40" i="6"/>
  <c r="D47" i="6"/>
  <c r="D45" i="6"/>
  <c r="D42" i="6"/>
  <c r="C57" i="6"/>
  <c r="C55" i="6"/>
  <c r="C53" i="6"/>
  <c r="C51" i="6"/>
  <c r="C49" i="6"/>
  <c r="C47" i="6"/>
  <c r="C45" i="6"/>
  <c r="C43" i="6"/>
  <c r="C41" i="6"/>
  <c r="C58" i="6"/>
  <c r="C56" i="6"/>
  <c r="C54" i="6"/>
  <c r="C52" i="6"/>
  <c r="C50" i="6"/>
  <c r="C48" i="6"/>
  <c r="C46" i="6"/>
  <c r="C44" i="6"/>
  <c r="C42" i="6"/>
  <c r="C40" i="6"/>
  <c r="C88" i="6"/>
  <c r="C90" i="6"/>
  <c r="C91" i="6"/>
  <c r="C87" i="6"/>
  <c r="C86" i="6"/>
  <c r="C89" i="6"/>
  <c r="C93" i="6"/>
  <c r="C92" i="6"/>
  <c r="C85" i="6"/>
  <c r="C84" i="6"/>
  <c r="C82" i="6"/>
  <c r="C83" i="6"/>
  <c r="C141" i="6" s="1"/>
  <c r="H213" i="6"/>
  <c r="H97" i="6"/>
  <c r="H126" i="6" s="1"/>
  <c r="K213" i="6"/>
  <c r="I213" i="6"/>
  <c r="H125" i="6"/>
  <c r="F81" i="6"/>
  <c r="F77" i="6"/>
  <c r="F73" i="6"/>
  <c r="F69" i="6"/>
  <c r="F68" i="6"/>
  <c r="F78" i="6"/>
  <c r="F70" i="6"/>
  <c r="F80" i="6"/>
  <c r="F76" i="6"/>
  <c r="F72" i="6"/>
  <c r="F79" i="6"/>
  <c r="F75" i="6"/>
  <c r="F71" i="6"/>
  <c r="F67" i="6"/>
  <c r="F74" i="6"/>
  <c r="G125" i="6"/>
  <c r="G213" i="6"/>
  <c r="E151" i="6"/>
  <c r="E81" i="6"/>
  <c r="E79" i="6"/>
  <c r="E80" i="6"/>
  <c r="E77" i="6"/>
  <c r="E78" i="6"/>
  <c r="E75" i="6"/>
  <c r="E76" i="6"/>
  <c r="E73" i="6"/>
  <c r="E74" i="6"/>
  <c r="E71" i="6"/>
  <c r="E72" i="6"/>
  <c r="E69" i="6"/>
  <c r="E70" i="6"/>
  <c r="E67" i="6"/>
  <c r="E68" i="6"/>
  <c r="N107" i="6"/>
  <c r="N136" i="6" s="1"/>
  <c r="C196" i="6"/>
  <c r="C105" i="6" s="1"/>
  <c r="D197" i="6"/>
  <c r="D106" i="6" s="1"/>
  <c r="F187" i="6"/>
  <c r="F96" i="6" s="1"/>
  <c r="N102" i="6"/>
  <c r="N131" i="6" s="1"/>
  <c r="C188" i="6"/>
  <c r="C97" i="6" s="1"/>
  <c r="D188" i="6"/>
  <c r="D97" i="6" s="1"/>
  <c r="E190" i="6"/>
  <c r="E99" i="6" s="1"/>
  <c r="D193" i="6"/>
  <c r="D102" i="6" s="1"/>
  <c r="C192" i="6"/>
  <c r="C101" i="6" s="1"/>
  <c r="E110" i="6"/>
  <c r="F190" i="6"/>
  <c r="F99" i="6" s="1"/>
  <c r="E193" i="6"/>
  <c r="E102" i="6" s="1"/>
  <c r="C189" i="6"/>
  <c r="C98" i="6" s="1"/>
  <c r="C197" i="6"/>
  <c r="C106" i="6" s="1"/>
  <c r="D78" i="6"/>
  <c r="D189" i="6"/>
  <c r="D98" i="6" s="1"/>
  <c r="N99" i="6"/>
  <c r="N128" i="6" s="1"/>
  <c r="E197" i="6"/>
  <c r="E106" i="6" s="1"/>
  <c r="N106" i="6"/>
  <c r="N135" i="6" s="1"/>
  <c r="D200" i="6"/>
  <c r="D109" i="6" s="1"/>
  <c r="C200" i="6"/>
  <c r="C109" i="6" s="1"/>
  <c r="D69" i="6"/>
  <c r="D71" i="6"/>
  <c r="E189" i="6"/>
  <c r="E98" i="6" s="1"/>
  <c r="N98" i="6"/>
  <c r="N127" i="6" s="1"/>
  <c r="D192" i="6"/>
  <c r="D101" i="6" s="1"/>
  <c r="E198" i="6"/>
  <c r="E107" i="6" s="1"/>
  <c r="D201" i="6"/>
  <c r="D110" i="6" s="1"/>
  <c r="C193" i="6"/>
  <c r="C102" i="6" s="1"/>
  <c r="C201" i="6"/>
  <c r="C110" i="6" s="1"/>
  <c r="F195" i="6"/>
  <c r="F104" i="6" s="1"/>
  <c r="D196" i="6"/>
  <c r="D105" i="6" s="1"/>
  <c r="F198" i="6"/>
  <c r="F107" i="6" s="1"/>
  <c r="N110" i="6"/>
  <c r="N139" i="6" s="1"/>
  <c r="D73" i="6"/>
  <c r="D75" i="6"/>
  <c r="D70" i="6"/>
  <c r="D77" i="6"/>
  <c r="D80" i="6"/>
  <c r="D76" i="6"/>
  <c r="D72" i="6"/>
  <c r="D68" i="6"/>
  <c r="D81" i="6"/>
  <c r="D67" i="6"/>
  <c r="D74" i="6"/>
  <c r="E199" i="6"/>
  <c r="E108" i="6" s="1"/>
  <c r="E195" i="6"/>
  <c r="E104" i="6" s="1"/>
  <c r="E191" i="6"/>
  <c r="E100" i="6" s="1"/>
  <c r="E187" i="6"/>
  <c r="E96" i="6" s="1"/>
  <c r="E200" i="6"/>
  <c r="E109" i="6" s="1"/>
  <c r="E196" i="6"/>
  <c r="E105" i="6" s="1"/>
  <c r="E192" i="6"/>
  <c r="E101" i="6" s="1"/>
  <c r="E188" i="6"/>
  <c r="E97" i="6" s="1"/>
  <c r="N108" i="6"/>
  <c r="N137" i="6" s="1"/>
  <c r="N104" i="6"/>
  <c r="N133" i="6" s="1"/>
  <c r="N100" i="6"/>
  <c r="N129" i="6" s="1"/>
  <c r="N109" i="6"/>
  <c r="N138" i="6" s="1"/>
  <c r="N105" i="6"/>
  <c r="N134" i="6" s="1"/>
  <c r="N101" i="6"/>
  <c r="N130" i="6" s="1"/>
  <c r="N97" i="6"/>
  <c r="N126" i="6" s="1"/>
  <c r="F191" i="6"/>
  <c r="F100" i="6" s="1"/>
  <c r="E194" i="6"/>
  <c r="E103" i="6" s="1"/>
  <c r="N103" i="6"/>
  <c r="N132" i="6" s="1"/>
  <c r="F199" i="6"/>
  <c r="F108" i="6" s="1"/>
  <c r="F200" i="6"/>
  <c r="F109" i="6" s="1"/>
  <c r="F196" i="6"/>
  <c r="F105" i="6" s="1"/>
  <c r="F192" i="6"/>
  <c r="F101" i="6" s="1"/>
  <c r="F188" i="6"/>
  <c r="F97" i="6" s="1"/>
  <c r="F201" i="6"/>
  <c r="F110" i="6" s="1"/>
  <c r="F197" i="6"/>
  <c r="F106" i="6" s="1"/>
  <c r="F193" i="6"/>
  <c r="F102" i="6" s="1"/>
  <c r="F189" i="6"/>
  <c r="F98" i="6" s="1"/>
  <c r="F194" i="6"/>
  <c r="F103" i="6" s="1"/>
  <c r="D187" i="6"/>
  <c r="D96" i="6" s="1"/>
  <c r="D191" i="6"/>
  <c r="D100" i="6" s="1"/>
  <c r="D195" i="6"/>
  <c r="D104" i="6" s="1"/>
  <c r="D199" i="6"/>
  <c r="D190" i="6"/>
  <c r="D99" i="6" s="1"/>
  <c r="D194" i="6"/>
  <c r="D103" i="6" s="1"/>
  <c r="D198" i="6"/>
  <c r="D107" i="6" s="1"/>
  <c r="C190" i="6"/>
  <c r="C99" i="6" s="1"/>
  <c r="C194" i="6"/>
  <c r="C103" i="6" s="1"/>
  <c r="C198" i="6"/>
  <c r="C107" i="6" s="1"/>
  <c r="C69" i="6"/>
  <c r="C73" i="6"/>
  <c r="C131" i="6" s="1"/>
  <c r="C77" i="6"/>
  <c r="C81" i="6"/>
  <c r="C187" i="6"/>
  <c r="C96" i="6" s="1"/>
  <c r="C191" i="6"/>
  <c r="C100" i="6" s="1"/>
  <c r="C195" i="6"/>
  <c r="C104" i="6" s="1"/>
  <c r="C199" i="6"/>
  <c r="C108" i="6" s="1"/>
  <c r="C67" i="6"/>
  <c r="C71" i="6"/>
  <c r="C129" i="6" s="1"/>
  <c r="C75" i="6"/>
  <c r="C133" i="6" s="1"/>
  <c r="C79" i="6"/>
  <c r="C137" i="6" s="1"/>
  <c r="C68" i="6"/>
  <c r="C72" i="6"/>
  <c r="C130" i="6" s="1"/>
  <c r="C76" i="6"/>
  <c r="C80" i="6"/>
  <c r="C70" i="6"/>
  <c r="C74" i="6"/>
  <c r="C78" i="6"/>
  <c r="C132" i="6" l="1"/>
  <c r="C138" i="6"/>
  <c r="K125" i="6"/>
  <c r="N59" i="6"/>
  <c r="F141" i="6"/>
  <c r="F147" i="6"/>
  <c r="C126" i="6"/>
  <c r="C127" i="6"/>
  <c r="F140" i="6"/>
  <c r="F144" i="6"/>
  <c r="F148" i="6"/>
  <c r="F143" i="6"/>
  <c r="F150" i="6"/>
  <c r="F151" i="6"/>
  <c r="F142" i="6"/>
  <c r="F149" i="6"/>
  <c r="F134" i="6"/>
  <c r="F126" i="6"/>
  <c r="E140" i="6"/>
  <c r="E145" i="6"/>
  <c r="E141" i="6"/>
  <c r="E142" i="6"/>
  <c r="F133" i="6"/>
  <c r="F127" i="6"/>
  <c r="F132" i="6"/>
  <c r="F137" i="6"/>
  <c r="F128" i="6"/>
  <c r="F131" i="6"/>
  <c r="F129" i="6"/>
  <c r="F139" i="6"/>
  <c r="F138" i="6"/>
  <c r="F125" i="6"/>
  <c r="F130" i="6"/>
  <c r="F136" i="6"/>
  <c r="F135" i="6"/>
  <c r="D134" i="6"/>
  <c r="O85" i="6"/>
  <c r="O143" i="6" s="1"/>
  <c r="C143" i="6"/>
  <c r="C128" i="6"/>
  <c r="D126" i="6"/>
  <c r="D135" i="6"/>
  <c r="D131" i="6"/>
  <c r="C136" i="6"/>
  <c r="C134" i="6"/>
  <c r="C135" i="6"/>
  <c r="D132" i="6"/>
  <c r="D130" i="6"/>
  <c r="D128" i="6"/>
  <c r="O84" i="6"/>
  <c r="O142" i="6" s="1"/>
  <c r="C142" i="6"/>
  <c r="O89" i="6"/>
  <c r="O147" i="6" s="1"/>
  <c r="C147" i="6"/>
  <c r="O90" i="6"/>
  <c r="O148" i="6" s="1"/>
  <c r="C148" i="6"/>
  <c r="O57" i="6"/>
  <c r="O86" i="6"/>
  <c r="O144" i="6" s="1"/>
  <c r="C144" i="6"/>
  <c r="O88" i="6"/>
  <c r="O146" i="6" s="1"/>
  <c r="C146" i="6"/>
  <c r="D139" i="6"/>
  <c r="D138" i="6"/>
  <c r="D133" i="6"/>
  <c r="D129" i="6"/>
  <c r="D136" i="6"/>
  <c r="O92" i="6"/>
  <c r="O150" i="6" s="1"/>
  <c r="C150" i="6"/>
  <c r="O87" i="6"/>
  <c r="O145" i="6" s="1"/>
  <c r="C145" i="6"/>
  <c r="C139" i="6"/>
  <c r="D127" i="6"/>
  <c r="O82" i="6"/>
  <c r="O140" i="6" s="1"/>
  <c r="C140" i="6"/>
  <c r="O93" i="6"/>
  <c r="C151" i="6"/>
  <c r="O91" i="6"/>
  <c r="O149" i="6" s="1"/>
  <c r="C149" i="6"/>
  <c r="O55" i="6"/>
  <c r="O56" i="6"/>
  <c r="O83" i="6"/>
  <c r="O141" i="6" s="1"/>
  <c r="H152" i="6"/>
  <c r="K59" i="6"/>
  <c r="I59" i="6"/>
  <c r="H59" i="6"/>
  <c r="F94" i="6"/>
  <c r="F123" i="6"/>
  <c r="F59" i="6"/>
  <c r="D59" i="6"/>
  <c r="G123" i="6"/>
  <c r="O43" i="6"/>
  <c r="F213" i="6"/>
  <c r="E213" i="6"/>
  <c r="O58" i="6"/>
  <c r="O48" i="6"/>
  <c r="O50" i="6"/>
  <c r="E132" i="6"/>
  <c r="E59" i="6"/>
  <c r="D213" i="6"/>
  <c r="D108" i="6"/>
  <c r="C213" i="6"/>
  <c r="E146" i="6"/>
  <c r="E131" i="6"/>
  <c r="E128" i="6"/>
  <c r="E144" i="6"/>
  <c r="E130" i="6"/>
  <c r="E134" i="6"/>
  <c r="E149" i="6"/>
  <c r="E127" i="6"/>
  <c r="E135" i="6"/>
  <c r="E147" i="6"/>
  <c r="E136" i="6"/>
  <c r="O78" i="6"/>
  <c r="E143" i="6"/>
  <c r="E139" i="6"/>
  <c r="O49" i="6"/>
  <c r="O73" i="6"/>
  <c r="O45" i="6"/>
  <c r="O51" i="6"/>
  <c r="O46" i="6"/>
  <c r="O44" i="6"/>
  <c r="O41" i="6"/>
  <c r="E137" i="6"/>
  <c r="O52" i="6"/>
  <c r="E129" i="6"/>
  <c r="O40" i="6"/>
  <c r="E138" i="6"/>
  <c r="O80" i="6"/>
  <c r="H123" i="6"/>
  <c r="O69" i="6"/>
  <c r="O76" i="6"/>
  <c r="O81" i="6"/>
  <c r="O67" i="6"/>
  <c r="O42" i="6"/>
  <c r="N125" i="6"/>
  <c r="E94" i="6"/>
  <c r="E126" i="6"/>
  <c r="I94" i="6"/>
  <c r="D94" i="6"/>
  <c r="O68" i="6"/>
  <c r="O74" i="6"/>
  <c r="N94" i="6"/>
  <c r="O71" i="6"/>
  <c r="O77" i="6"/>
  <c r="O53" i="6"/>
  <c r="O47" i="6"/>
  <c r="O54" i="6"/>
  <c r="K94" i="6"/>
  <c r="E133" i="6"/>
  <c r="H94" i="6"/>
  <c r="O70" i="6"/>
  <c r="C59" i="6"/>
  <c r="O75" i="6"/>
  <c r="O79" i="6"/>
  <c r="O72" i="6"/>
  <c r="C94" i="6"/>
  <c r="O102" i="6"/>
  <c r="I123" i="6" l="1"/>
  <c r="I125" i="6"/>
  <c r="I152" i="6" s="1"/>
  <c r="B3" i="8"/>
  <c r="D137" i="6"/>
  <c r="O131" i="6"/>
  <c r="K123" i="6"/>
  <c r="K152" i="6"/>
  <c r="F152" i="6"/>
  <c r="G152" i="6"/>
  <c r="D123" i="6"/>
  <c r="C123" i="6"/>
  <c r="C125" i="6"/>
  <c r="C152" i="6" s="1"/>
  <c r="E123" i="6"/>
  <c r="E125" i="6"/>
  <c r="E152" i="6" s="1"/>
  <c r="N123" i="6"/>
  <c r="N152" i="6"/>
  <c r="D125" i="6"/>
  <c r="O37" i="6"/>
  <c r="O36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D152" i="6" l="1"/>
  <c r="O184" i="6"/>
  <c r="O97" i="6" l="1"/>
  <c r="O126" i="6" s="1"/>
  <c r="O103" i="6"/>
  <c r="O132" i="6" s="1"/>
  <c r="O99" i="6"/>
  <c r="O128" i="6" s="1"/>
  <c r="O109" i="6"/>
  <c r="O138" i="6" s="1"/>
  <c r="O100" i="6"/>
  <c r="O129" i="6" s="1"/>
  <c r="O108" i="6"/>
  <c r="O137" i="6" s="1"/>
  <c r="O110" i="6"/>
  <c r="O139" i="6" s="1"/>
  <c r="O107" i="6"/>
  <c r="O136" i="6" s="1"/>
  <c r="O98" i="6"/>
  <c r="O127" i="6" s="1"/>
  <c r="O104" i="6"/>
  <c r="O133" i="6" s="1"/>
  <c r="O101" i="6"/>
  <c r="O130" i="6" s="1"/>
  <c r="O106" i="6"/>
  <c r="O135" i="6" s="1"/>
  <c r="O105" i="6"/>
  <c r="O134" i="6" s="1"/>
  <c r="B45" i="6"/>
  <c r="B72" i="6" s="1"/>
  <c r="B101" i="6" s="1"/>
  <c r="A163" i="6" l="1"/>
  <c r="A192" i="6" s="1"/>
  <c r="A130" i="6"/>
  <c r="O96" i="6"/>
  <c r="O125" i="6" s="1"/>
  <c r="O122" i="6" l="1"/>
  <c r="O151" i="6" s="1"/>
  <c r="O7" i="6" l="1"/>
  <c r="O34" i="6" s="1"/>
  <c r="O63" i="6"/>
  <c r="O62" i="6"/>
  <c r="A4" i="6"/>
  <c r="A3" i="6"/>
  <c r="O38" i="6" l="1"/>
  <c r="O64" i="6"/>
  <c r="O94" i="6" l="1"/>
  <c r="O59" i="6" l="1"/>
  <c r="O123" i="6"/>
  <c r="O152" i="6" l="1"/>
</calcChain>
</file>

<file path=xl/comments1.xml><?xml version="1.0" encoding="utf-8"?>
<comments xmlns="http://schemas.openxmlformats.org/spreadsheetml/2006/main">
  <authors>
    <author>erich.singer</author>
  </authors>
  <commentList>
    <comment ref="A122" authorId="0">
      <text>
        <r>
          <rPr>
            <b/>
            <sz val="9"/>
            <color indexed="81"/>
            <rFont val="Tahoma"/>
            <family val="2"/>
          </rPr>
          <t>erich.singer:</t>
        </r>
        <r>
          <rPr>
            <sz val="9"/>
            <color indexed="81"/>
            <rFont val="Tahoma"/>
            <family val="2"/>
          </rPr>
          <t xml:space="preserve">
Comes from Daily Sales File, Sales Detail tab, total Qty Shipped</t>
        </r>
      </text>
    </comment>
  </commentList>
</comments>
</file>

<file path=xl/sharedStrings.xml><?xml version="1.0" encoding="utf-8"?>
<sst xmlns="http://schemas.openxmlformats.org/spreadsheetml/2006/main" count="461" uniqueCount="171">
  <si>
    <t>Dosage Pharmaceuticals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</si>
  <si>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</si>
  <si>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</si>
  <si>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</si>
  <si>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</si>
  <si>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</si>
  <si>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</si>
  <si>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</si>
  <si>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</si>
  <si>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</si>
  <si>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</si>
  <si>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</si>
  <si>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</si>
  <si>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</si>
  <si>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AT</t>
  </si>
  <si>
    <t>HB</t>
  </si>
  <si>
    <t>Oxy</t>
  </si>
  <si>
    <t>ADHD</t>
  </si>
  <si>
    <t>Other Generic</t>
  </si>
  <si>
    <t>CNS N/Pro</t>
  </si>
  <si>
    <t>Auto Write/off</t>
  </si>
  <si>
    <t>Subtotal</t>
  </si>
  <si>
    <t>Freight Expense</t>
  </si>
  <si>
    <t>Total Freight</t>
  </si>
  <si>
    <t>Freight In</t>
  </si>
  <si>
    <t>Freight Out</t>
  </si>
  <si>
    <t>Total Freight Expense</t>
  </si>
  <si>
    <t>Modified Sales Dollars</t>
  </si>
  <si>
    <t>Morphine ER</t>
  </si>
  <si>
    <t>APAP/Codeine</t>
  </si>
  <si>
    <t xml:space="preserve">       Morphine ER</t>
  </si>
  <si>
    <t xml:space="preserve">      APAP/Codeine</t>
  </si>
  <si>
    <t>Oxy APAP</t>
  </si>
  <si>
    <t>Hydromorphone</t>
  </si>
  <si>
    <t>Methadone</t>
  </si>
  <si>
    <t xml:space="preserve">       Hydromorphone</t>
  </si>
  <si>
    <t xml:space="preserve">       Methadone</t>
  </si>
  <si>
    <t>Total Bottles Shipped</t>
  </si>
  <si>
    <t>% of Total Bottles Shipped</t>
  </si>
  <si>
    <t>Temazepam</t>
  </si>
  <si>
    <t>Fentanyl Lozenge</t>
  </si>
  <si>
    <t xml:space="preserve">      Fentanyl Lozenge</t>
  </si>
  <si>
    <t>Pennsaid</t>
  </si>
  <si>
    <t>Exalgo</t>
  </si>
  <si>
    <t>Imipramine Pamoate</t>
  </si>
  <si>
    <t>Fentanyl Patch</t>
  </si>
  <si>
    <t xml:space="preserve">      Fentanyl Patch</t>
  </si>
  <si>
    <t>Methylphenidate</t>
  </si>
  <si>
    <t>Dextroamphetamine</t>
  </si>
  <si>
    <t>Roxicodone</t>
  </si>
  <si>
    <t>Methylphenidate ER</t>
  </si>
  <si>
    <t>Oxymorphone IR</t>
  </si>
  <si>
    <t>AT-Ext Mfg</t>
  </si>
  <si>
    <t>AT-Ext</t>
  </si>
  <si>
    <t xml:space="preserve">       AT-Ext Mfg</t>
  </si>
  <si>
    <t>Mixed Amphet Salts</t>
  </si>
  <si>
    <t>Pennsaid 2%</t>
  </si>
  <si>
    <t>Xartemis</t>
  </si>
  <si>
    <t>Exalgo AG</t>
  </si>
  <si>
    <t>Meth Oral Solutions</t>
  </si>
  <si>
    <t>157001000209.4313</t>
  </si>
  <si>
    <t>157001000209.4313.0100</t>
  </si>
  <si>
    <t>157001150209.7165</t>
  </si>
  <si>
    <t>157001150209.7171</t>
  </si>
  <si>
    <t>Acct#</t>
  </si>
  <si>
    <t>Amount</t>
  </si>
  <si>
    <t>Explanation 2</t>
  </si>
  <si>
    <t>Explanation</t>
  </si>
  <si>
    <t>Allowances Reclass</t>
  </si>
  <si>
    <t>157001000211.4313</t>
  </si>
  <si>
    <t>157001000210.4313</t>
  </si>
  <si>
    <t>157001000244.4313</t>
  </si>
  <si>
    <t>157001000222.4313</t>
  </si>
  <si>
    <t>157001000263.4313</t>
  </si>
  <si>
    <t>157001000238.4313</t>
  </si>
  <si>
    <t>157001000248.4313</t>
  </si>
  <si>
    <t>157001000229.4313</t>
  </si>
  <si>
    <t>157001000230.4313</t>
  </si>
  <si>
    <t>157001000231.4313</t>
  </si>
  <si>
    <t>157001000232.4313</t>
  </si>
  <si>
    <t>157001000234.4313</t>
  </si>
  <si>
    <t>157001000236.4313</t>
  </si>
  <si>
    <t>157001000253.4313</t>
  </si>
  <si>
    <t>157001000254.4313</t>
  </si>
  <si>
    <t>157001000264.4313</t>
  </si>
  <si>
    <t>157001000270.4313</t>
  </si>
  <si>
    <t>157001000212.4313</t>
  </si>
  <si>
    <t>Freight Reclass</t>
  </si>
  <si>
    <t>157001150210.7165</t>
  </si>
  <si>
    <t>157001150244.7165</t>
  </si>
  <si>
    <t>157001150222.7165</t>
  </si>
  <si>
    <t>157001150263.7165</t>
  </si>
  <si>
    <t>157001150238.7165</t>
  </si>
  <si>
    <t>157001150248.7165</t>
  </si>
  <si>
    <t>157001150229.7165</t>
  </si>
  <si>
    <t>157001150230.7165</t>
  </si>
  <si>
    <t>157001150231.7165</t>
  </si>
  <si>
    <t>157001150232.7165</t>
  </si>
  <si>
    <t>157001150234.7165</t>
  </si>
  <si>
    <t>157001150236.7165</t>
  </si>
  <si>
    <t>157001150253.7165</t>
  </si>
  <si>
    <t>157001150254.7165</t>
  </si>
  <si>
    <t>157001150270.7165</t>
  </si>
  <si>
    <t>157001150264.7165</t>
  </si>
  <si>
    <t>157001150212.7165</t>
  </si>
  <si>
    <t>157001150225.7165</t>
  </si>
  <si>
    <t>157001150250.7165</t>
  </si>
  <si>
    <t>157001150251.7165</t>
  </si>
  <si>
    <t>157001150252.7165</t>
  </si>
  <si>
    <t>157001150255.7165</t>
  </si>
  <si>
    <t>157001150268.7165</t>
  </si>
  <si>
    <t>157001150271.7165</t>
  </si>
  <si>
    <t>157001150221.7165</t>
  </si>
  <si>
    <t>157001150211.7171</t>
  </si>
  <si>
    <t>157001150210.7171</t>
  </si>
  <si>
    <t>157001150244.7171</t>
  </si>
  <si>
    <t>157001150222.7171</t>
  </si>
  <si>
    <t>157001150263.7171</t>
  </si>
  <si>
    <t>157001150238.7171</t>
  </si>
  <si>
    <t>157001150248.7171</t>
  </si>
  <si>
    <t>157001150229.7171</t>
  </si>
  <si>
    <t>157001150230.7171</t>
  </si>
  <si>
    <t>157001150231.7171</t>
  </si>
  <si>
    <t>157001150232.7171</t>
  </si>
  <si>
    <t>157001150234.7171</t>
  </si>
  <si>
    <t>157001150236.7171</t>
  </si>
  <si>
    <t>157001150253.7171</t>
  </si>
  <si>
    <t>157001150254.7171</t>
  </si>
  <si>
    <t>157001150264.7171</t>
  </si>
  <si>
    <t>157001150225.7171</t>
  </si>
  <si>
    <t>157001150250.7171</t>
  </si>
  <si>
    <t>157001150251.7171</t>
  </si>
  <si>
    <t>157001150252.7171</t>
  </si>
  <si>
    <t>157001150255.7171</t>
  </si>
  <si>
    <t>157001150268.7171</t>
  </si>
  <si>
    <t>157001150271.7171</t>
  </si>
  <si>
    <t>157001150221.7171</t>
  </si>
  <si>
    <t>157001150211.7165</t>
  </si>
  <si>
    <t>157001150270.7171</t>
  </si>
  <si>
    <t>157001150212.7171</t>
  </si>
  <si>
    <t>JE#</t>
  </si>
  <si>
    <t>Sum</t>
  </si>
  <si>
    <t>157001000211.4010</t>
  </si>
  <si>
    <t>157001000210.4010</t>
  </si>
  <si>
    <t>157001000244.4010</t>
  </si>
  <si>
    <t>157001000222.4010</t>
  </si>
  <si>
    <t>157001000263.4010</t>
  </si>
  <si>
    <t>157001000238.4010</t>
  </si>
  <si>
    <t>157001000248.4010</t>
  </si>
  <si>
    <t>157001000229.4010</t>
  </si>
  <si>
    <t>157001000230.4010</t>
  </si>
  <si>
    <t>157001000231.4010</t>
  </si>
  <si>
    <t>157001000232.4010</t>
  </si>
  <si>
    <t>157001000234.4010</t>
  </si>
  <si>
    <t>157001000236.4010</t>
  </si>
  <si>
    <t>157001000253.4010</t>
  </si>
  <si>
    <t>157001000254.4010</t>
  </si>
  <si>
    <t>157001000270.4010</t>
  </si>
  <si>
    <t>157001000264.4010</t>
  </si>
  <si>
    <t>157001000212.4010</t>
  </si>
  <si>
    <t>157001000209.4010</t>
  </si>
  <si>
    <t>157001000225.4010</t>
  </si>
  <si>
    <t>157001000250.4010</t>
  </si>
  <si>
    <t>157001000251.4010</t>
  </si>
  <si>
    <t>157001000252.4010</t>
  </si>
  <si>
    <t>157001000255.4010</t>
  </si>
  <si>
    <t>157001000268.4010</t>
  </si>
  <si>
    <t>157001000271.4010</t>
  </si>
  <si>
    <t>157001000221.4010</t>
  </si>
  <si>
    <t>FY15 Allocations</t>
  </si>
  <si>
    <t>September Dosage Reclass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</si>
</sst>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b/>
      <u/>
      <sz val="9"/>
      <color indexed="12"/>
      <name val="Arial"/>
      <family val="2"/>
    </font>
    <font>
      <b/>
      <sz val="9"/>
      <name val="Arial"/>
      <family val="2"/>
    </font>
    <font>
      <b/>
      <sz val="9"/>
      <color indexed="57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3" borderId="0" applyNumberFormat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5" fillId="0" borderId="0" xfId="0" applyFont="1"/>
    <xf numFmtId="0" fontId="7" fillId="0" borderId="0" xfId="0" applyFont="1"/>
    <xf numFmtId="43" fontId="2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0" xfId="0" applyFont="1"/>
    <xf numFmtId="0" fontId="5" fillId="0" borderId="0" xfId="0" applyFont="1" applyBorder="1"/>
    <xf numFmtId="0" fontId="5" fillId="0" borderId="3" xfId="0" applyFont="1" applyBorder="1"/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2" fillId="0" borderId="4" xfId="1" applyNumberFormat="1" applyFont="1" applyBorder="1"/>
    <xf numFmtId="165" fontId="10" fillId="0" borderId="0" xfId="2" applyNumberFormat="1" applyFont="1" applyAlignment="1">
      <alignment horizontal="center"/>
    </xf>
    <xf numFmtId="0" fontId="9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9" fillId="0" borderId="0" xfId="0" applyFont="1" applyAlignment="1">
      <alignment horizontal="centerContinuous"/>
    </xf>
    <xf numFmtId="43" fontId="5" fillId="0" borderId="0" xfId="1" applyNumberFormat="1" applyFont="1" applyBorder="1"/>
    <xf numFmtId="43" fontId="2" fillId="0" borderId="0" xfId="1" applyFont="1" applyBorder="1"/>
    <xf numFmtId="164" fontId="11" fillId="0" borderId="4" xfId="1" applyNumberFormat="1" applyFont="1" applyBorder="1"/>
    <xf numFmtId="164" fontId="0" fillId="0" borderId="5" xfId="0" applyNumberFormat="1" applyBorder="1"/>
    <xf numFmtId="164" fontId="2" fillId="0" borderId="5" xfId="0" applyNumberFormat="1" applyFont="1" applyBorder="1"/>
    <xf numFmtId="0" fontId="0" fillId="0" borderId="5" xfId="0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39" fontId="2" fillId="0" borderId="0" xfId="0" applyNumberFormat="1" applyFont="1" applyBorder="1"/>
    <xf numFmtId="39" fontId="5" fillId="0" borderId="0" xfId="1" applyNumberFormat="1" applyFont="1" applyBorder="1"/>
    <xf numFmtId="43" fontId="2" fillId="0" borderId="8" xfId="1" applyNumberFormat="1" applyFont="1" applyBorder="1"/>
    <xf numFmtId="0" fontId="7" fillId="0" borderId="0" xfId="0" applyFont="1" applyAlignment="1"/>
    <xf numFmtId="39" fontId="6" fillId="0" borderId="4" xfId="1" applyNumberFormat="1" applyFont="1" applyBorder="1"/>
    <xf numFmtId="39" fontId="2" fillId="0" borderId="4" xfId="1" applyNumberFormat="1" applyFont="1" applyBorder="1"/>
    <xf numFmtId="39" fontId="2" fillId="0" borderId="0" xfId="1" applyNumberFormat="1" applyFont="1" applyBorder="1"/>
    <xf numFmtId="39" fontId="2" fillId="0" borderId="4" xfId="0" applyNumberFormat="1" applyFont="1" applyBorder="1"/>
    <xf numFmtId="39" fontId="6" fillId="0" borderId="9" xfId="1" applyNumberFormat="1" applyFont="1" applyBorder="1"/>
    <xf numFmtId="39" fontId="2" fillId="0" borderId="10" xfId="1" applyNumberFormat="1" applyFont="1" applyBorder="1"/>
    <xf numFmtId="164" fontId="12" fillId="0" borderId="0" xfId="1" applyNumberFormat="1" applyFont="1"/>
    <xf numFmtId="164" fontId="12" fillId="0" borderId="7" xfId="1" applyNumberFormat="1" applyFont="1" applyBorder="1"/>
    <xf numFmtId="0" fontId="9" fillId="0" borderId="0" xfId="0" applyFont="1" applyAlignment="1"/>
    <xf numFmtId="9" fontId="0" fillId="0" borderId="0" xfId="2" applyFont="1"/>
    <xf numFmtId="9" fontId="2" fillId="0" borderId="0" xfId="0" applyNumberFormat="1" applyFont="1"/>
    <xf numFmtId="43" fontId="6" fillId="0" borderId="7" xfId="1" applyNumberFormat="1" applyFont="1" applyBorder="1"/>
    <xf numFmtId="164" fontId="12" fillId="0" borderId="0" xfId="1" applyNumberFormat="1" applyFont="1" applyBorder="1"/>
    <xf numFmtId="43" fontId="2" fillId="0" borderId="11" xfId="1" applyFont="1" applyBorder="1"/>
    <xf numFmtId="0" fontId="0" fillId="0" borderId="0" xfId="0" applyBorder="1"/>
    <xf numFmtId="0" fontId="7" fillId="0" borderId="0" xfId="0" applyFont="1" applyBorder="1" applyAlignment="1">
      <alignment horizontal="left" indent="2"/>
    </xf>
    <xf numFmtId="39" fontId="0" fillId="0" borderId="0" xfId="0" applyNumberForma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indent="2"/>
    </xf>
    <xf numFmtId="2" fontId="5" fillId="0" borderId="0" xfId="1" applyNumberFormat="1" applyFont="1" applyBorder="1"/>
    <xf numFmtId="49" fontId="7" fillId="0" borderId="0" xfId="0" applyNumberFormat="1" applyFont="1"/>
    <xf numFmtId="0" fontId="1" fillId="0" borderId="0" xfId="0" applyFont="1"/>
    <xf numFmtId="2" fontId="14" fillId="0" borderId="0" xfId="3" applyNumberFormat="1" applyFont="1" applyFill="1" applyBorder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4" fontId="2" fillId="0" borderId="0" xfId="0" applyNumberFormat="1" applyFont="1"/>
    <xf numFmtId="0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39" fontId="0" fillId="0" borderId="0" xfId="0" applyNumberFormat="1" applyAlignment="1">
      <alignment horizontal="left"/>
    </xf>
    <xf numFmtId="39" fontId="2" fillId="0" borderId="12" xfId="1" applyNumberFormat="1" applyFont="1" applyBorder="1"/>
    <xf numFmtId="164" fontId="2" fillId="0" borderId="8" xfId="0" applyNumberFormat="1" applyFont="1" applyBorder="1"/>
    <xf numFmtId="0" fontId="7" fillId="0" borderId="0" xfId="0" applyFont="1" applyFill="1" applyAlignment="1">
      <alignment horizontal="center"/>
    </xf>
    <xf numFmtId="164" fontId="11" fillId="0" borderId="4" xfId="1" applyNumberFormat="1" applyFont="1" applyFill="1" applyBorder="1"/>
    <xf numFmtId="164" fontId="0" fillId="0" borderId="5" xfId="0" applyNumberFormat="1" applyFill="1" applyBorder="1"/>
    <xf numFmtId="164" fontId="11" fillId="0" borderId="5" xfId="1" applyNumberFormat="1" applyFont="1" applyFill="1" applyBorder="1"/>
    <xf numFmtId="164" fontId="0" fillId="0" borderId="0" xfId="1" applyNumberFormat="1" applyFont="1" applyFill="1"/>
    <xf numFmtId="0" fontId="7" fillId="0" borderId="0" xfId="0" applyFont="1" applyFill="1" applyAlignment="1">
      <alignment horizontal="left" indent="2"/>
    </xf>
    <xf numFmtId="0" fontId="7" fillId="0" borderId="0" xfId="0" applyFont="1" applyFill="1" applyBorder="1" applyAlignment="1">
      <alignment horizontal="left" indent="2"/>
    </xf>
  </cellXfs>
  <cellStyles count="4">
    <cellStyle name="60% - Accent6" xfId="3" builtinId="52"/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13"/>
  <sheetViews>
    <sheetView tabSelected="1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2.75" x14ac:dyDescent="0.2"/>
  <cols>
    <col min="1" max="1" width="18.7109375" customWidth="1"/>
    <col min="2" max="2" width="15.42578125" customWidth="1"/>
    <col min="3" max="3" width="13.7109375" customWidth="1"/>
    <col min="4" max="6" width="13.5703125" customWidth="1"/>
    <col min="7" max="7" width="13.140625" customWidth="1"/>
    <col min="8" max="8" width="12.85546875" customWidth="1"/>
    <col min="9" max="10" width="13.7109375" customWidth="1"/>
    <col min="11" max="12" width="13.5703125" customWidth="1"/>
    <col min="13" max="13" width="14.42578125" customWidth="1"/>
    <col min="14" max="14" width="13.5703125" customWidth="1"/>
    <col min="15" max="15" width="14.85546875" customWidth="1"/>
    <col min="16" max="18" width="11.28515625" bestFit="1" customWidth="1"/>
  </cols>
  <sheetData>
    <row r="1" spans="1:18" ht="15" x14ac:dyDescent="0.25">
      <c r="A1" s="2" t="s">
        <v>0</v>
      </c>
      <c r="B1" s="2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8" x14ac:dyDescent="0.2">
      <c r="A2" s="1" t="s">
        <v>169</v>
      </c>
      <c r="B2" s="1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8" x14ac:dyDescent="0.2">
      <c r="A3" s="3" t="str">
        <f ca="1">CELL("Filename")</f>
        <v>N:\Hazelwood01\Shared Services\Finance\Commercial\PSG_Finance\GRPFINCE\Forecast - FY15\Freight\[Freight Reclass - FY15.xlsx]Spread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8" x14ac:dyDescent="0.2">
      <c r="A4" s="4">
        <f ca="1">NOW()</f>
        <v>42276.327318171294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8" x14ac:dyDescent="0.2">
      <c r="A5" s="5"/>
      <c r="B5" s="5"/>
      <c r="C5" s="8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8" t="s">
        <v>12</v>
      </c>
      <c r="O5" s="8" t="s">
        <v>13</v>
      </c>
    </row>
    <row r="6" spans="1:18" x14ac:dyDescent="0.2">
      <c r="A6" s="9" t="s">
        <v>27</v>
      </c>
      <c r="B6" s="9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8" x14ac:dyDescent="0.2">
      <c r="A7" s="53" t="s">
        <v>142</v>
      </c>
      <c r="B7" s="12" t="s">
        <v>15</v>
      </c>
      <c r="C7" s="23">
        <v>35670716.710000001</v>
      </c>
      <c r="D7" s="23">
        <v>27274218.127314106</v>
      </c>
      <c r="E7" s="23">
        <v>32977110.470000003</v>
      </c>
      <c r="F7" s="23">
        <v>16352795.688620962</v>
      </c>
      <c r="G7" s="23">
        <v>33240656.618980844</v>
      </c>
      <c r="H7" s="23">
        <v>42521964.820000008</v>
      </c>
      <c r="I7" s="23">
        <v>30244788.110000014</v>
      </c>
      <c r="J7" s="23">
        <v>47092926.740000017</v>
      </c>
      <c r="K7" s="23">
        <v>40039096.009999998</v>
      </c>
      <c r="L7" s="23">
        <v>39983532.63000001</v>
      </c>
      <c r="M7" s="23">
        <v>38126195.339999996</v>
      </c>
      <c r="N7" s="23">
        <v>30298024.720000006</v>
      </c>
      <c r="O7" s="24">
        <f t="shared" ref="O7:O33" si="0">SUM(C7:N7)</f>
        <v>413822025.98491597</v>
      </c>
      <c r="P7" s="42"/>
      <c r="Q7" s="42"/>
      <c r="R7" s="42"/>
    </row>
    <row r="8" spans="1:18" x14ac:dyDescent="0.2">
      <c r="A8" s="53" t="s">
        <v>143</v>
      </c>
      <c r="B8" s="12" t="s">
        <v>16</v>
      </c>
      <c r="C8" s="23">
        <v>7621643.3799999999</v>
      </c>
      <c r="D8" s="23">
        <v>3308516.8032084177</v>
      </c>
      <c r="E8" s="23">
        <v>5928628.4900000021</v>
      </c>
      <c r="F8" s="23">
        <v>1212476.7302723986</v>
      </c>
      <c r="G8" s="23">
        <v>4899436.8442664957</v>
      </c>
      <c r="H8" s="23">
        <v>4212735.0600000005</v>
      </c>
      <c r="I8" s="23">
        <v>5567003.1499999976</v>
      </c>
      <c r="J8" s="23">
        <v>7675156.8299999991</v>
      </c>
      <c r="K8" s="23">
        <v>6463722.2599999998</v>
      </c>
      <c r="L8" s="23">
        <v>5898623.2100000009</v>
      </c>
      <c r="M8" s="23">
        <v>8016856.0900000054</v>
      </c>
      <c r="N8" s="23">
        <v>7260037.1400000025</v>
      </c>
      <c r="O8" s="24">
        <f t="shared" si="0"/>
        <v>68064835.987747312</v>
      </c>
      <c r="P8" s="42"/>
      <c r="Q8" s="42"/>
      <c r="R8" s="42"/>
    </row>
    <row r="9" spans="1:18" x14ac:dyDescent="0.2">
      <c r="A9" s="53" t="s">
        <v>144</v>
      </c>
      <c r="B9" s="12" t="s">
        <v>32</v>
      </c>
      <c r="C9" s="23">
        <v>19121415.98</v>
      </c>
      <c r="D9" s="23">
        <v>16113145.047095126</v>
      </c>
      <c r="E9" s="23">
        <v>13411790.890000001</v>
      </c>
      <c r="F9" s="23">
        <v>11724419.187979333</v>
      </c>
      <c r="G9" s="23">
        <v>18099637.44424504</v>
      </c>
      <c r="H9" s="23">
        <v>12909861.890000002</v>
      </c>
      <c r="I9" s="23">
        <v>9290990.7400000002</v>
      </c>
      <c r="J9" s="23">
        <v>16902889.25</v>
      </c>
      <c r="K9" s="23">
        <v>9747493.540000001</v>
      </c>
      <c r="L9" s="23">
        <v>8780236.3100000005</v>
      </c>
      <c r="M9" s="23">
        <v>12040034.200000001</v>
      </c>
      <c r="N9" s="23">
        <v>9487105.5800000001</v>
      </c>
      <c r="O9" s="24">
        <f t="shared" si="0"/>
        <v>157629020.0593195</v>
      </c>
      <c r="P9" s="42"/>
      <c r="Q9" s="42"/>
      <c r="R9" s="42"/>
    </row>
    <row r="10" spans="1:18" x14ac:dyDescent="0.2">
      <c r="A10" s="53" t="s">
        <v>145</v>
      </c>
      <c r="B10" s="12" t="s">
        <v>47</v>
      </c>
      <c r="C10" s="23">
        <v>9535951.2399999984</v>
      </c>
      <c r="D10" s="23">
        <v>6155238.8427259438</v>
      </c>
      <c r="E10" s="23">
        <v>10113895.66</v>
      </c>
      <c r="F10" s="23">
        <v>3720419.1644622455</v>
      </c>
      <c r="G10" s="23">
        <v>8516287.8627496287</v>
      </c>
      <c r="H10" s="23">
        <v>12187975.020000001</v>
      </c>
      <c r="I10" s="23">
        <v>8556016.9499999993</v>
      </c>
      <c r="J10" s="23">
        <v>15151612.52</v>
      </c>
      <c r="K10" s="23">
        <v>11223948.489999998</v>
      </c>
      <c r="L10" s="23">
        <v>9934298.75</v>
      </c>
      <c r="M10" s="23">
        <v>10059468.940000001</v>
      </c>
      <c r="N10" s="23">
        <v>8778105.1000000015</v>
      </c>
      <c r="O10" s="24">
        <f t="shared" si="0"/>
        <v>113933218.53993779</v>
      </c>
      <c r="P10" s="42"/>
      <c r="Q10" s="42"/>
      <c r="R10" s="42"/>
    </row>
    <row r="11" spans="1:18" x14ac:dyDescent="0.2">
      <c r="A11" s="53" t="s">
        <v>146</v>
      </c>
      <c r="B11" s="12" t="s">
        <v>48</v>
      </c>
      <c r="C11" s="23">
        <v>1425523.53</v>
      </c>
      <c r="D11" s="23">
        <v>915588.00310015073</v>
      </c>
      <c r="E11" s="23">
        <v>595101.35</v>
      </c>
      <c r="F11" s="23">
        <v>88271.688287174315</v>
      </c>
      <c r="G11" s="23">
        <v>628893.13096711703</v>
      </c>
      <c r="H11" s="23">
        <v>2405639.67</v>
      </c>
      <c r="I11" s="23">
        <v>700033.23</v>
      </c>
      <c r="J11" s="23">
        <v>1287902.48</v>
      </c>
      <c r="K11" s="23">
        <v>2362943.7599999998</v>
      </c>
      <c r="L11" s="23">
        <v>1061579.96</v>
      </c>
      <c r="M11" s="23">
        <v>2640617.29</v>
      </c>
      <c r="N11" s="23">
        <v>1877222.96</v>
      </c>
      <c r="O11" s="24">
        <f t="shared" si="0"/>
        <v>15989317.052354444</v>
      </c>
      <c r="P11" s="42"/>
      <c r="Q11" s="42"/>
      <c r="R11" s="42"/>
    </row>
    <row r="12" spans="1:18" x14ac:dyDescent="0.2">
      <c r="A12" s="53" t="s">
        <v>147</v>
      </c>
      <c r="B12" s="12" t="s">
        <v>50</v>
      </c>
      <c r="C12" s="23">
        <v>34286246.299999997</v>
      </c>
      <c r="D12" s="23">
        <v>22204259.829999998</v>
      </c>
      <c r="E12" s="23">
        <v>19733594.599999998</v>
      </c>
      <c r="F12" s="23">
        <v>10346580.761674576</v>
      </c>
      <c r="G12" s="23">
        <v>13699294.44623754</v>
      </c>
      <c r="H12" s="23">
        <v>19124998.460000001</v>
      </c>
      <c r="I12" s="23">
        <v>13316076.49</v>
      </c>
      <c r="J12" s="23">
        <v>22493305.689999998</v>
      </c>
      <c r="K12" s="23">
        <v>16223056.989999998</v>
      </c>
      <c r="L12" s="23">
        <v>11759837.660000002</v>
      </c>
      <c r="M12" s="23">
        <v>18657286.169999998</v>
      </c>
      <c r="N12" s="23">
        <v>15329734.49</v>
      </c>
      <c r="O12" s="24">
        <f t="shared" si="0"/>
        <v>217174271.88791209</v>
      </c>
      <c r="P12" s="42"/>
      <c r="Q12" s="42"/>
      <c r="R12" s="42"/>
    </row>
    <row r="13" spans="1:18" x14ac:dyDescent="0.2">
      <c r="A13" s="53" t="s">
        <v>148</v>
      </c>
      <c r="B13" s="12" t="s">
        <v>51</v>
      </c>
      <c r="C13" s="23">
        <v>214076.7</v>
      </c>
      <c r="D13" s="23">
        <v>257702.58126205002</v>
      </c>
      <c r="E13" s="23">
        <v>442441.01000000007</v>
      </c>
      <c r="F13" s="23">
        <v>192799.8818798539</v>
      </c>
      <c r="G13" s="23">
        <v>214006.08570066642</v>
      </c>
      <c r="H13" s="23">
        <v>169219.79</v>
      </c>
      <c r="I13" s="23">
        <v>145679.83000000002</v>
      </c>
      <c r="J13" s="23">
        <v>270047.84999999998</v>
      </c>
      <c r="K13" s="23">
        <v>278811.18</v>
      </c>
      <c r="L13" s="23">
        <v>130390.37000000001</v>
      </c>
      <c r="M13" s="23">
        <v>204352.98</v>
      </c>
      <c r="N13" s="23">
        <v>164760.61000000002</v>
      </c>
      <c r="O13" s="24">
        <f t="shared" si="0"/>
        <v>2684288.868842571</v>
      </c>
      <c r="P13" s="42"/>
      <c r="Q13" s="42"/>
      <c r="R13" s="42"/>
    </row>
    <row r="14" spans="1:18" x14ac:dyDescent="0.2">
      <c r="A14" s="53" t="s">
        <v>149</v>
      </c>
      <c r="B14" s="12" t="s">
        <v>28</v>
      </c>
      <c r="C14" s="23">
        <v>9800849.7100000009</v>
      </c>
      <c r="D14" s="23">
        <v>13910648.111466777</v>
      </c>
      <c r="E14" s="23">
        <v>10209905.639999999</v>
      </c>
      <c r="F14" s="23">
        <v>5151083.6834206637</v>
      </c>
      <c r="G14" s="23">
        <v>9917848.8892876469</v>
      </c>
      <c r="H14" s="23">
        <v>10538564.560000002</v>
      </c>
      <c r="I14" s="23">
        <v>6856681.6399999997</v>
      </c>
      <c r="J14" s="23">
        <v>12850672.970000003</v>
      </c>
      <c r="K14" s="23">
        <v>11691409.010000002</v>
      </c>
      <c r="L14" s="23">
        <v>9724833.0200000014</v>
      </c>
      <c r="M14" s="23">
        <v>10774067.450000001</v>
      </c>
      <c r="N14" s="23">
        <v>9982130.4499999993</v>
      </c>
      <c r="O14" s="24">
        <f t="shared" si="0"/>
        <v>121408695.13417509</v>
      </c>
      <c r="P14" s="42"/>
      <c r="Q14" s="42"/>
      <c r="R14" s="42"/>
    </row>
    <row r="15" spans="1:18" x14ac:dyDescent="0.2">
      <c r="A15" s="53" t="s">
        <v>150</v>
      </c>
      <c r="B15" s="12" t="s">
        <v>33</v>
      </c>
      <c r="C15" s="23">
        <v>1275488.6999999997</v>
      </c>
      <c r="D15" s="23">
        <v>812438.40614609921</v>
      </c>
      <c r="E15" s="23">
        <v>1102035.3999999999</v>
      </c>
      <c r="F15" s="23">
        <v>218002.51628806436</v>
      </c>
      <c r="G15" s="23">
        <v>1060287.0994013541</v>
      </c>
      <c r="H15" s="23">
        <v>1609309.3</v>
      </c>
      <c r="I15" s="23">
        <v>1012396.3400000001</v>
      </c>
      <c r="J15" s="23">
        <v>1522762.6799999995</v>
      </c>
      <c r="K15" s="23">
        <v>1315560.9099999999</v>
      </c>
      <c r="L15" s="23">
        <v>1201940.4899999998</v>
      </c>
      <c r="M15" s="23">
        <v>1773659.5899999996</v>
      </c>
      <c r="N15" s="23">
        <v>922605.84999999986</v>
      </c>
      <c r="O15" s="24">
        <f t="shared" si="0"/>
        <v>13826487.281835517</v>
      </c>
      <c r="P15" s="42"/>
      <c r="Q15" s="42"/>
      <c r="R15" s="42"/>
    </row>
    <row r="16" spans="1:18" x14ac:dyDescent="0.2">
      <c r="A16" s="53" t="s">
        <v>151</v>
      </c>
      <c r="B16" s="12" t="s">
        <v>34</v>
      </c>
      <c r="C16" s="23">
        <v>2919527.08</v>
      </c>
      <c r="D16" s="23">
        <v>664326.9030201186</v>
      </c>
      <c r="E16" s="23">
        <v>1761710.82</v>
      </c>
      <c r="F16" s="23">
        <v>1347293.7585988266</v>
      </c>
      <c r="G16" s="23">
        <v>1135968.3712772713</v>
      </c>
      <c r="H16" s="23">
        <v>3752755.7800000003</v>
      </c>
      <c r="I16" s="23">
        <v>1780791.99</v>
      </c>
      <c r="J16" s="23">
        <v>3225879.6100000022</v>
      </c>
      <c r="K16" s="23">
        <v>3213602.1499999994</v>
      </c>
      <c r="L16" s="23">
        <v>3000633.189999999</v>
      </c>
      <c r="M16" s="23">
        <v>2902817.15</v>
      </c>
      <c r="N16" s="23">
        <v>2283073.42</v>
      </c>
      <c r="O16" s="24">
        <f t="shared" si="0"/>
        <v>27988380.222896211</v>
      </c>
      <c r="P16" s="42"/>
      <c r="Q16" s="42"/>
      <c r="R16" s="42"/>
    </row>
    <row r="17" spans="1:18" x14ac:dyDescent="0.2">
      <c r="A17" s="53" t="s">
        <v>152</v>
      </c>
      <c r="B17" s="12" t="s">
        <v>29</v>
      </c>
      <c r="C17" s="23">
        <v>915527.7300000001</v>
      </c>
      <c r="D17" s="23">
        <v>459241.37792722852</v>
      </c>
      <c r="E17" s="23">
        <v>747723.65</v>
      </c>
      <c r="F17" s="23">
        <v>614707.6797809347</v>
      </c>
      <c r="G17" s="23">
        <v>49809.604092739741</v>
      </c>
      <c r="H17" s="23">
        <v>0</v>
      </c>
      <c r="I17" s="23">
        <v>344614.01</v>
      </c>
      <c r="J17" s="23">
        <v>1335002.58</v>
      </c>
      <c r="K17" s="23">
        <v>528012.38</v>
      </c>
      <c r="L17" s="23">
        <v>573344.56000000006</v>
      </c>
      <c r="M17" s="23">
        <v>724722.22999999986</v>
      </c>
      <c r="N17" s="23">
        <v>3191357.3600000008</v>
      </c>
      <c r="O17" s="24">
        <f t="shared" si="0"/>
        <v>9484063.1618009023</v>
      </c>
      <c r="P17" s="42"/>
      <c r="Q17" s="42"/>
      <c r="R17" s="42"/>
    </row>
    <row r="18" spans="1:18" x14ac:dyDescent="0.2">
      <c r="A18" s="53" t="s">
        <v>153</v>
      </c>
      <c r="B18" s="12" t="s">
        <v>40</v>
      </c>
      <c r="C18" s="23">
        <v>1419678.42</v>
      </c>
      <c r="D18" s="23">
        <v>866855.42369167646</v>
      </c>
      <c r="E18" s="23">
        <v>1979555.1800000002</v>
      </c>
      <c r="F18" s="23">
        <v>628127.92159194977</v>
      </c>
      <c r="G18" s="23">
        <v>854604.74148281571</v>
      </c>
      <c r="H18" s="23">
        <v>1311545.29</v>
      </c>
      <c r="I18" s="23">
        <v>1261304.7400000002</v>
      </c>
      <c r="J18" s="23">
        <v>1655665.75</v>
      </c>
      <c r="K18" s="23">
        <v>1425268.9199999997</v>
      </c>
      <c r="L18" s="23">
        <v>1422092.5399999998</v>
      </c>
      <c r="M18" s="23">
        <v>1771198.5299999996</v>
      </c>
      <c r="N18" s="23">
        <v>1942741.0099999995</v>
      </c>
      <c r="O18" s="24">
        <f t="shared" si="0"/>
        <v>16538638.466766441</v>
      </c>
      <c r="P18" s="42"/>
      <c r="Q18" s="42"/>
      <c r="R18" s="42"/>
    </row>
    <row r="19" spans="1:18" x14ac:dyDescent="0.2">
      <c r="A19" s="53" t="s">
        <v>154</v>
      </c>
      <c r="B19" s="12" t="s">
        <v>45</v>
      </c>
      <c r="C19" s="23">
        <v>8200189.6499999985</v>
      </c>
      <c r="D19" s="23">
        <v>4932323.6601858828</v>
      </c>
      <c r="E19" s="23">
        <v>8134803.1500000022</v>
      </c>
      <c r="F19" s="23">
        <v>3733004.865541032</v>
      </c>
      <c r="G19" s="23">
        <v>5116516.105926726</v>
      </c>
      <c r="H19" s="23">
        <v>7301632.0500000007</v>
      </c>
      <c r="I19" s="23">
        <v>6013910.1999999983</v>
      </c>
      <c r="J19" s="23">
        <v>8898045.7200000007</v>
      </c>
      <c r="K19" s="23">
        <v>9495012.5799999963</v>
      </c>
      <c r="L19" s="23">
        <v>7042773.7000000002</v>
      </c>
      <c r="M19" s="23">
        <v>9502052.870000001</v>
      </c>
      <c r="N19" s="23">
        <v>7757222.1399999978</v>
      </c>
      <c r="O19" s="24">
        <f t="shared" si="0"/>
        <v>86127486.691653639</v>
      </c>
      <c r="P19" s="42"/>
      <c r="Q19" s="42"/>
      <c r="R19" s="42"/>
    </row>
    <row r="20" spans="1:18" x14ac:dyDescent="0.2">
      <c r="A20" s="53" t="s">
        <v>155</v>
      </c>
      <c r="B20" s="12" t="s">
        <v>39</v>
      </c>
      <c r="C20" s="23">
        <v>1020502.35</v>
      </c>
      <c r="D20" s="23">
        <v>789926.94782199268</v>
      </c>
      <c r="E20" s="23">
        <v>948056.42999999993</v>
      </c>
      <c r="F20" s="23">
        <v>832932.08716705081</v>
      </c>
      <c r="G20" s="23">
        <v>516069.71219212422</v>
      </c>
      <c r="H20" s="23">
        <v>978401.4800000001</v>
      </c>
      <c r="I20" s="23">
        <v>1083260.33</v>
      </c>
      <c r="J20" s="23">
        <v>2120416.6999999997</v>
      </c>
      <c r="K20" s="23">
        <v>1557146.5299999996</v>
      </c>
      <c r="L20" s="23">
        <v>571658.95000000007</v>
      </c>
      <c r="M20" s="23">
        <v>1630853.25</v>
      </c>
      <c r="N20" s="23">
        <v>1181219.9000000004</v>
      </c>
      <c r="O20" s="24">
        <f t="shared" si="0"/>
        <v>13230444.667181166</v>
      </c>
      <c r="P20" s="42"/>
      <c r="Q20" s="42"/>
      <c r="R20" s="42"/>
    </row>
    <row r="21" spans="1:18" x14ac:dyDescent="0.2">
      <c r="A21" s="53" t="s">
        <v>156</v>
      </c>
      <c r="B21" s="12" t="s">
        <v>44</v>
      </c>
      <c r="C21" s="23">
        <v>326245.01999999996</v>
      </c>
      <c r="D21" s="23">
        <v>152682.26734846039</v>
      </c>
      <c r="E21" s="23">
        <v>286292.73</v>
      </c>
      <c r="F21" s="23">
        <v>48732.687329759676</v>
      </c>
      <c r="G21" s="23">
        <v>50996.506373228789</v>
      </c>
      <c r="H21" s="23">
        <v>137816.16999999998</v>
      </c>
      <c r="I21" s="23">
        <v>74239</v>
      </c>
      <c r="J21" s="23">
        <v>144536.83999999994</v>
      </c>
      <c r="K21" s="23">
        <v>110178.33999999997</v>
      </c>
      <c r="L21" s="23">
        <v>65725.78</v>
      </c>
      <c r="M21" s="23">
        <v>95699.81</v>
      </c>
      <c r="N21" s="23">
        <v>19870.05</v>
      </c>
      <c r="O21" s="24">
        <f t="shared" si="0"/>
        <v>1513015.2010514489</v>
      </c>
      <c r="P21" s="42"/>
      <c r="Q21" s="42"/>
      <c r="R21" s="42"/>
    </row>
    <row r="22" spans="1:18" x14ac:dyDescent="0.2">
      <c r="A22" s="53" t="s">
        <v>157</v>
      </c>
      <c r="B22" s="12" t="s">
        <v>58</v>
      </c>
      <c r="C22" s="23">
        <v>7008945.5600000005</v>
      </c>
      <c r="D22" s="23">
        <v>5404725.0277401442</v>
      </c>
      <c r="E22" s="23">
        <v>7382509.4100000001</v>
      </c>
      <c r="F22" s="23">
        <v>4039014.7819973608</v>
      </c>
      <c r="G22" s="23">
        <v>5781704.3066050783</v>
      </c>
      <c r="H22" s="23">
        <v>6946118.0199999996</v>
      </c>
      <c r="I22" s="23">
        <v>5675999.7599999998</v>
      </c>
      <c r="J22" s="23">
        <v>9736329.8200000003</v>
      </c>
      <c r="K22" s="23">
        <v>7072489.6500000004</v>
      </c>
      <c r="L22" s="23">
        <v>4120973.47</v>
      </c>
      <c r="M22" s="23">
        <v>4201071.0500000007</v>
      </c>
      <c r="N22" s="23">
        <v>3995515.2300000014</v>
      </c>
      <c r="O22" s="24">
        <f t="shared" si="0"/>
        <v>71365396.086342588</v>
      </c>
      <c r="P22" s="42"/>
      <c r="Q22" s="42"/>
      <c r="R22" s="42"/>
    </row>
    <row r="23" spans="1:18" x14ac:dyDescent="0.2">
      <c r="A23" s="53" t="s">
        <v>158</v>
      </c>
      <c r="B23" s="12" t="s">
        <v>55</v>
      </c>
      <c r="C23" s="23">
        <v>1014235.91</v>
      </c>
      <c r="D23" s="23">
        <v>1023990.0969731654</v>
      </c>
      <c r="E23" s="23">
        <v>556265.46</v>
      </c>
      <c r="F23" s="23">
        <v>580125.04642232321</v>
      </c>
      <c r="G23" s="23">
        <v>694392.22856882587</v>
      </c>
      <c r="H23" s="23">
        <v>715914.72</v>
      </c>
      <c r="I23" s="23">
        <v>603379.02</v>
      </c>
      <c r="J23" s="23">
        <v>772477.49</v>
      </c>
      <c r="K23" s="23">
        <v>814525.90999999992</v>
      </c>
      <c r="L23" s="23">
        <v>435730.9</v>
      </c>
      <c r="M23" s="23">
        <v>577621.68999999994</v>
      </c>
      <c r="N23" s="23">
        <v>588352.55000000005</v>
      </c>
      <c r="O23" s="24">
        <f t="shared" si="0"/>
        <v>8377011.0219643144</v>
      </c>
      <c r="P23" s="42"/>
      <c r="Q23" s="42"/>
      <c r="R23" s="42"/>
    </row>
    <row r="24" spans="1:18" x14ac:dyDescent="0.2">
      <c r="A24" s="53" t="s">
        <v>159</v>
      </c>
      <c r="B24" s="12" t="s">
        <v>59</v>
      </c>
      <c r="C24" s="23">
        <v>425251.78</v>
      </c>
      <c r="D24" s="23">
        <v>211857.29973741077</v>
      </c>
      <c r="E24" s="23">
        <v>513459.42000000004</v>
      </c>
      <c r="F24" s="23">
        <v>147309.78849266475</v>
      </c>
      <c r="G24" s="23">
        <v>213726.6805753748</v>
      </c>
      <c r="H24" s="23">
        <v>524666.9</v>
      </c>
      <c r="I24" s="23">
        <v>203191.21</v>
      </c>
      <c r="J24" s="23">
        <v>461549.88</v>
      </c>
      <c r="K24" s="23">
        <v>334083.16000000003</v>
      </c>
      <c r="L24" s="23">
        <v>173622.95</v>
      </c>
      <c r="M24" s="23">
        <v>348176.47</v>
      </c>
      <c r="N24" s="23">
        <v>378349.05</v>
      </c>
      <c r="O24" s="24">
        <f t="shared" si="0"/>
        <v>3935244.5888054501</v>
      </c>
      <c r="P24" s="42"/>
      <c r="Q24" s="42"/>
      <c r="R24" s="42"/>
    </row>
    <row r="25" spans="1:18" x14ac:dyDescent="0.2">
      <c r="A25" s="53" t="s">
        <v>160</v>
      </c>
      <c r="B25" s="12" t="s">
        <v>18</v>
      </c>
      <c r="C25" s="23">
        <v>1458013.9499999997</v>
      </c>
      <c r="D25" s="23">
        <v>1329299.0109137944</v>
      </c>
      <c r="E25" s="23">
        <v>933074.3</v>
      </c>
      <c r="F25" s="23">
        <v>882320.77150093624</v>
      </c>
      <c r="G25" s="23">
        <v>1644522.2360904145</v>
      </c>
      <c r="H25" s="23">
        <v>1384776.79</v>
      </c>
      <c r="I25" s="23">
        <v>1306294.5399999998</v>
      </c>
      <c r="J25" s="23">
        <v>1556940.0500000003</v>
      </c>
      <c r="K25" s="23">
        <v>1422408.6999999997</v>
      </c>
      <c r="L25" s="23">
        <v>1428395.5299999998</v>
      </c>
      <c r="M25" s="23">
        <v>1784666.56</v>
      </c>
      <c r="N25" s="23">
        <v>1746200.1499999997</v>
      </c>
      <c r="O25" s="24">
        <f t="shared" si="0"/>
        <v>16876912.588505145</v>
      </c>
      <c r="P25" s="42"/>
      <c r="Q25" s="42"/>
      <c r="R25" s="42"/>
    </row>
    <row r="26" spans="1:18" x14ac:dyDescent="0.2">
      <c r="A26" s="53" t="s">
        <v>161</v>
      </c>
      <c r="B26" s="67" t="s">
        <v>19</v>
      </c>
      <c r="C26" s="68">
        <v>2553514.6299999994</v>
      </c>
      <c r="D26" s="68">
        <v>1729233.6700000002</v>
      </c>
      <c r="E26" s="68">
        <v>2267411.81</v>
      </c>
      <c r="F26" s="68">
        <v>918147.72000000044</v>
      </c>
      <c r="G26" s="68">
        <v>1386034.1799999995</v>
      </c>
      <c r="H26" s="68">
        <v>1818534.8799999997</v>
      </c>
      <c r="I26" s="68">
        <v>2881490.93</v>
      </c>
      <c r="J26" s="70">
        <v>2948057.8200000008</v>
      </c>
      <c r="K26" s="23">
        <v>2025592.0099999998</v>
      </c>
      <c r="L26" s="71">
        <v>1991584.36</v>
      </c>
      <c r="M26" s="68">
        <v>2917958.5000000005</v>
      </c>
      <c r="N26" s="68">
        <v>1870600.48</v>
      </c>
      <c r="O26" s="69">
        <f t="shared" si="0"/>
        <v>25308160.989999998</v>
      </c>
      <c r="P26" s="42"/>
      <c r="Q26" s="42"/>
      <c r="R26" s="42"/>
    </row>
    <row r="27" spans="1:18" x14ac:dyDescent="0.2">
      <c r="A27" s="53" t="s">
        <v>162</v>
      </c>
      <c r="B27" s="50" t="s">
        <v>57</v>
      </c>
      <c r="C27" s="68">
        <v>854818.2</v>
      </c>
      <c r="D27" s="68">
        <v>576501.76000000001</v>
      </c>
      <c r="E27" s="68">
        <v>587555.86</v>
      </c>
      <c r="F27" s="68">
        <v>358413.24</v>
      </c>
      <c r="G27" s="68">
        <v>331004.53513600002</v>
      </c>
      <c r="H27" s="68">
        <v>424705.94</v>
      </c>
      <c r="I27" s="68">
        <v>292277.32</v>
      </c>
      <c r="J27" s="70">
        <v>363927.68</v>
      </c>
      <c r="K27" s="23">
        <v>253304.72</v>
      </c>
      <c r="L27" s="71">
        <v>236973.1</v>
      </c>
      <c r="M27" s="68">
        <v>220743.96</v>
      </c>
      <c r="N27" s="68">
        <v>198552.98</v>
      </c>
      <c r="O27" s="69">
        <f t="shared" si="0"/>
        <v>4698779.295136</v>
      </c>
      <c r="P27" s="42"/>
      <c r="Q27" s="42"/>
      <c r="R27" s="42"/>
    </row>
    <row r="28" spans="1:18" x14ac:dyDescent="0.2">
      <c r="A28" s="53" t="s">
        <v>163</v>
      </c>
      <c r="B28" s="50" t="s">
        <v>42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70">
        <v>0</v>
      </c>
      <c r="K28" s="23">
        <v>0</v>
      </c>
      <c r="L28" s="71">
        <v>0</v>
      </c>
      <c r="M28" s="68">
        <v>0</v>
      </c>
      <c r="N28" s="68">
        <v>0</v>
      </c>
      <c r="O28" s="69">
        <f t="shared" si="0"/>
        <v>0</v>
      </c>
      <c r="P28" s="42"/>
      <c r="Q28" s="42"/>
      <c r="R28" s="42"/>
    </row>
    <row r="29" spans="1:18" x14ac:dyDescent="0.2">
      <c r="A29" s="53" t="s">
        <v>164</v>
      </c>
      <c r="B29" s="67" t="s">
        <v>43</v>
      </c>
      <c r="C29" s="68">
        <v>6042660.9900000002</v>
      </c>
      <c r="D29" s="68">
        <v>2224056.8400000003</v>
      </c>
      <c r="E29" s="68">
        <v>4819553.5199999996</v>
      </c>
      <c r="F29" s="68">
        <v>2497912.08</v>
      </c>
      <c r="G29" s="68">
        <v>2491884.2299999991</v>
      </c>
      <c r="H29" s="68">
        <v>3744889.1</v>
      </c>
      <c r="I29" s="68">
        <v>2772671.9199999995</v>
      </c>
      <c r="J29" s="68">
        <v>4194602.12</v>
      </c>
      <c r="K29" s="23">
        <v>2751392.5500000003</v>
      </c>
      <c r="L29" s="68">
        <v>3098346.19</v>
      </c>
      <c r="M29" s="68">
        <v>3021277.24</v>
      </c>
      <c r="N29" s="68">
        <v>2504335.8600000003</v>
      </c>
      <c r="O29" s="69">
        <f t="shared" si="0"/>
        <v>40163582.640000001</v>
      </c>
      <c r="P29" s="42"/>
      <c r="Q29" s="42"/>
      <c r="R29" s="42"/>
    </row>
    <row r="30" spans="1:18" x14ac:dyDescent="0.2">
      <c r="A30" s="53" t="s">
        <v>165</v>
      </c>
      <c r="B30" s="50" t="s">
        <v>56</v>
      </c>
      <c r="C30" s="68">
        <v>1566296.78</v>
      </c>
      <c r="D30" s="68">
        <v>1626744.24</v>
      </c>
      <c r="E30" s="68">
        <v>1401245.36</v>
      </c>
      <c r="F30" s="68">
        <v>369884.12</v>
      </c>
      <c r="G30" s="68">
        <v>0</v>
      </c>
      <c r="H30" s="68">
        <v>0</v>
      </c>
      <c r="I30" s="68">
        <v>0</v>
      </c>
      <c r="J30" s="68">
        <v>0</v>
      </c>
      <c r="K30" s="23">
        <v>0</v>
      </c>
      <c r="L30" s="68">
        <v>0</v>
      </c>
      <c r="M30" s="68">
        <v>0</v>
      </c>
      <c r="N30" s="68">
        <v>0</v>
      </c>
      <c r="O30" s="69">
        <f t="shared" si="0"/>
        <v>4964170.5</v>
      </c>
      <c r="P30" s="42"/>
      <c r="Q30" s="42"/>
      <c r="R30" s="42"/>
    </row>
    <row r="31" spans="1:18" x14ac:dyDescent="0.2">
      <c r="A31" s="53" t="s">
        <v>166</v>
      </c>
      <c r="B31" s="67" t="s">
        <v>49</v>
      </c>
      <c r="C31" s="68">
        <v>1661889.92</v>
      </c>
      <c r="D31" s="68">
        <v>1320834.03</v>
      </c>
      <c r="E31" s="68">
        <v>1694987.5699999998</v>
      </c>
      <c r="F31" s="68">
        <v>997565.998371389</v>
      </c>
      <c r="G31" s="68">
        <v>1373667.2745519271</v>
      </c>
      <c r="H31" s="68">
        <v>1274576.21</v>
      </c>
      <c r="I31" s="68">
        <v>1501738.4799999997</v>
      </c>
      <c r="J31" s="68">
        <v>1494971.4899999998</v>
      </c>
      <c r="K31" s="23">
        <v>1122257.3099999998</v>
      </c>
      <c r="L31" s="68">
        <v>1232413.1799999997</v>
      </c>
      <c r="M31" s="68">
        <v>1548595.0400000003</v>
      </c>
      <c r="N31" s="68">
        <v>930343.47</v>
      </c>
      <c r="O31" s="69">
        <f t="shared" si="0"/>
        <v>16153839.972923318</v>
      </c>
      <c r="P31" s="42"/>
      <c r="Q31" s="42"/>
      <c r="R31" s="42"/>
    </row>
    <row r="32" spans="1:18" x14ac:dyDescent="0.2">
      <c r="A32" s="53" t="s">
        <v>167</v>
      </c>
      <c r="B32" s="12" t="s">
        <v>52</v>
      </c>
      <c r="C32" s="23">
        <v>1877175.42</v>
      </c>
      <c r="D32" s="23">
        <v>2020886.8300000003</v>
      </c>
      <c r="E32" s="23">
        <v>107098.43999999999</v>
      </c>
      <c r="F32" s="23">
        <v>86833.549999999988</v>
      </c>
      <c r="G32" s="23">
        <v>116743.65999999999</v>
      </c>
      <c r="H32" s="23">
        <v>67613.16</v>
      </c>
      <c r="I32" s="23">
        <v>58826.06</v>
      </c>
      <c r="J32" s="23">
        <v>86277.77</v>
      </c>
      <c r="K32" s="23">
        <v>37294.660000000003</v>
      </c>
      <c r="L32" s="23">
        <v>67102.8</v>
      </c>
      <c r="M32" s="23">
        <v>87587.42</v>
      </c>
      <c r="N32" s="23">
        <v>74938.2</v>
      </c>
      <c r="O32" s="24">
        <f t="shared" si="0"/>
        <v>4688377.9699999988</v>
      </c>
      <c r="P32" s="42"/>
      <c r="Q32" s="42"/>
      <c r="R32" s="42"/>
    </row>
    <row r="33" spans="1:18" x14ac:dyDescent="0.2">
      <c r="A33" s="53" t="s">
        <v>168</v>
      </c>
      <c r="B33" s="12" t="s">
        <v>14</v>
      </c>
      <c r="C33" s="23">
        <v>90980.74</v>
      </c>
      <c r="D33" s="23">
        <v>93069.33</v>
      </c>
      <c r="E33" s="23">
        <v>1964001.1400000001</v>
      </c>
      <c r="F33" s="23">
        <v>1589198.9678513105</v>
      </c>
      <c r="G33" s="23">
        <v>2066911.4884673483</v>
      </c>
      <c r="H33" s="23">
        <v>1792502.2500000002</v>
      </c>
      <c r="I33" s="23">
        <v>1830806.5799999996</v>
      </c>
      <c r="J33" s="23">
        <v>2271169.8300000005</v>
      </c>
      <c r="K33" s="23">
        <v>1792529.39</v>
      </c>
      <c r="L33" s="23">
        <v>1951356.15</v>
      </c>
      <c r="M33" s="23">
        <v>2319191.899999999</v>
      </c>
      <c r="N33" s="23">
        <v>1833698.9899999998</v>
      </c>
      <c r="O33" s="24">
        <f t="shared" si="0"/>
        <v>19595416.756318659</v>
      </c>
      <c r="P33" s="42"/>
      <c r="Q33" s="42"/>
      <c r="R33" s="42"/>
    </row>
    <row r="34" spans="1:18" x14ac:dyDescent="0.2">
      <c r="A34" s="6"/>
      <c r="B34" s="12"/>
      <c r="C34" s="15">
        <f t="shared" ref="C34:O34" si="1">SUM(C7:C33)</f>
        <v>158307366.37999997</v>
      </c>
      <c r="D34" s="15">
        <f t="shared" si="1"/>
        <v>116378310.46767855</v>
      </c>
      <c r="E34" s="15">
        <f t="shared" si="1"/>
        <v>130599807.76000002</v>
      </c>
      <c r="F34" s="15">
        <f t="shared" si="1"/>
        <v>68678374.367530808</v>
      </c>
      <c r="G34" s="15">
        <f t="shared" si="1"/>
        <v>114100904.28317618</v>
      </c>
      <c r="H34" s="15">
        <f t="shared" si="1"/>
        <v>137856717.31000003</v>
      </c>
      <c r="I34" s="15">
        <f t="shared" si="1"/>
        <v>103374462.57000002</v>
      </c>
      <c r="J34" s="15">
        <f t="shared" si="1"/>
        <v>166513128.16000006</v>
      </c>
      <c r="K34" s="15">
        <f t="shared" si="1"/>
        <v>133301141.11000001</v>
      </c>
      <c r="L34" s="15">
        <f>SUM(L7:L33)</f>
        <v>115887999.75000001</v>
      </c>
      <c r="M34" s="15">
        <f t="shared" si="1"/>
        <v>135946771.72000003</v>
      </c>
      <c r="N34" s="15">
        <f t="shared" si="1"/>
        <v>114596097.74000002</v>
      </c>
      <c r="O34" s="15">
        <f t="shared" si="1"/>
        <v>1495541081.6183856</v>
      </c>
    </row>
    <row r="35" spans="1:18" x14ac:dyDescent="0.2">
      <c r="A35" s="9" t="s">
        <v>20</v>
      </c>
      <c r="O35" s="26"/>
    </row>
    <row r="36" spans="1:18" x14ac:dyDescent="0.2">
      <c r="A36" s="53" t="s">
        <v>60</v>
      </c>
      <c r="C36" s="33">
        <v>-883.64</v>
      </c>
      <c r="D36" s="33">
        <v>-145944.01</v>
      </c>
      <c r="E36" s="33">
        <v>-3118.35</v>
      </c>
      <c r="F36" s="33">
        <v>27037.759999999998</v>
      </c>
      <c r="G36" s="33">
        <v>-89613.24</v>
      </c>
      <c r="H36" s="33">
        <v>35594.07</v>
      </c>
      <c r="I36" s="33">
        <v>-1319.94</v>
      </c>
      <c r="J36" s="33">
        <v>-1836.04</v>
      </c>
      <c r="K36" s="33">
        <v>42534.94</v>
      </c>
      <c r="L36" s="33">
        <v>-58624.26</v>
      </c>
      <c r="M36" s="33">
        <v>-66330.23</v>
      </c>
      <c r="N36" s="33">
        <v>-81844.45</v>
      </c>
      <c r="O36" s="24">
        <f>SUM(C36:N36)</f>
        <v>-344347.39000000007</v>
      </c>
    </row>
    <row r="37" spans="1:18" x14ac:dyDescent="0.2">
      <c r="A37" s="53" t="s">
        <v>61</v>
      </c>
      <c r="C37" s="33">
        <v>3058.15</v>
      </c>
      <c r="D37" s="33">
        <v>3689.19</v>
      </c>
      <c r="E37" s="33">
        <v>1862.7</v>
      </c>
      <c r="F37" s="33">
        <v>41569.65</v>
      </c>
      <c r="G37" s="33">
        <v>4850.05</v>
      </c>
      <c r="H37" s="33">
        <v>3423.03</v>
      </c>
      <c r="I37" s="33">
        <v>1249.54</v>
      </c>
      <c r="J37" s="33">
        <v>3367.07</v>
      </c>
      <c r="K37" s="33">
        <v>1825.85</v>
      </c>
      <c r="L37" s="33">
        <v>4598.88</v>
      </c>
      <c r="M37" s="33">
        <v>7922.61</v>
      </c>
      <c r="N37" s="33">
        <v>14316.7</v>
      </c>
      <c r="O37" s="24">
        <f>SUM(C37:N37)</f>
        <v>91733.42</v>
      </c>
    </row>
    <row r="38" spans="1:18" x14ac:dyDescent="0.2">
      <c r="A38" s="6" t="s">
        <v>21</v>
      </c>
      <c r="C38" s="35">
        <f t="shared" ref="C38:N38" si="2">SUM(C36:C37)</f>
        <v>2174.5100000000002</v>
      </c>
      <c r="D38" s="35">
        <f t="shared" si="2"/>
        <v>-142254.82</v>
      </c>
      <c r="E38" s="35">
        <f t="shared" si="2"/>
        <v>-1255.6499999999999</v>
      </c>
      <c r="F38" s="35">
        <f t="shared" si="2"/>
        <v>68607.41</v>
      </c>
      <c r="G38" s="35">
        <f t="shared" si="2"/>
        <v>-84763.19</v>
      </c>
      <c r="H38" s="35">
        <f t="shared" si="2"/>
        <v>39017.1</v>
      </c>
      <c r="I38" s="35">
        <f t="shared" si="2"/>
        <v>-70.400000000000091</v>
      </c>
      <c r="J38" s="35">
        <f t="shared" ref="J38" si="3">SUM(J36:J37)</f>
        <v>1531.0300000000002</v>
      </c>
      <c r="K38" s="35">
        <f t="shared" si="2"/>
        <v>44360.79</v>
      </c>
      <c r="L38" s="35">
        <f t="shared" ref="L38" si="4">SUM(L36:L37)</f>
        <v>-54025.380000000005</v>
      </c>
      <c r="M38" s="35">
        <f t="shared" si="2"/>
        <v>-58407.619999999995</v>
      </c>
      <c r="N38" s="35">
        <f t="shared" si="2"/>
        <v>-67527.75</v>
      </c>
      <c r="O38" s="35">
        <f t="shared" ref="O38" si="5">SUM(O36:O37)</f>
        <v>-252613.97000000009</v>
      </c>
    </row>
    <row r="39" spans="1:18" x14ac:dyDescent="0.2">
      <c r="A39" s="13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1:18" x14ac:dyDescent="0.2">
      <c r="A40" s="53" t="s">
        <v>69</v>
      </c>
      <c r="B40" s="12" t="s">
        <v>15</v>
      </c>
      <c r="C40" s="30">
        <f t="shared" ref="C40:N40" si="6">IFERROR(ROUND(C7/(C$34-C$33-C$26-C$28-C$29-C$31)*(C$38),0),0)</f>
        <v>524</v>
      </c>
      <c r="D40" s="30">
        <f t="shared" si="6"/>
        <v>-34950</v>
      </c>
      <c r="E40" s="30">
        <f t="shared" si="6"/>
        <v>-345</v>
      </c>
      <c r="F40" s="30">
        <f t="shared" si="6"/>
        <v>17900</v>
      </c>
      <c r="G40" s="30">
        <f t="shared" si="6"/>
        <v>-26386</v>
      </c>
      <c r="H40" s="30">
        <f t="shared" si="6"/>
        <v>12839</v>
      </c>
      <c r="I40" s="30">
        <f t="shared" si="6"/>
        <v>-23</v>
      </c>
      <c r="J40" s="30">
        <f t="shared" si="6"/>
        <v>463</v>
      </c>
      <c r="K40" s="30">
        <f>IFERROR(ROUND(K7/(K$34-K$33-K$26-K$28-K$29-K$31)*(K$38),0),0)</f>
        <v>14140</v>
      </c>
      <c r="L40" s="30">
        <f>IFERROR(ROUND(L7/(L$34-L$33-L$26-L$28-L$29-L$31)*(L$38),0),0)</f>
        <v>-20073</v>
      </c>
      <c r="M40" s="52">
        <f t="shared" si="6"/>
        <v>-17654</v>
      </c>
      <c r="N40" s="30">
        <f t="shared" si="6"/>
        <v>-19040</v>
      </c>
      <c r="O40" s="24">
        <f t="shared" ref="O40:O58" si="7">SUM(C40:N40)</f>
        <v>-72605</v>
      </c>
    </row>
    <row r="41" spans="1:18" x14ac:dyDescent="0.2">
      <c r="A41" s="53" t="s">
        <v>70</v>
      </c>
      <c r="B41" s="12" t="s">
        <v>16</v>
      </c>
      <c r="C41" s="30">
        <f t="shared" ref="C41:N41" si="8">IFERROR(ROUND(C8/(C$34-C$33-C$26-C$28-C$29-C$31)*(C$38),0),0)</f>
        <v>112</v>
      </c>
      <c r="D41" s="30">
        <f t="shared" si="8"/>
        <v>-4240</v>
      </c>
      <c r="E41" s="30">
        <f t="shared" si="8"/>
        <v>-62</v>
      </c>
      <c r="F41" s="30">
        <f t="shared" si="8"/>
        <v>1327</v>
      </c>
      <c r="G41" s="30">
        <f t="shared" si="8"/>
        <v>-3889</v>
      </c>
      <c r="H41" s="30">
        <f t="shared" si="8"/>
        <v>1272</v>
      </c>
      <c r="I41" s="30">
        <f t="shared" si="8"/>
        <v>-4</v>
      </c>
      <c r="J41" s="30">
        <f t="shared" si="8"/>
        <v>76</v>
      </c>
      <c r="K41" s="30">
        <f t="shared" si="8"/>
        <v>2283</v>
      </c>
      <c r="L41" s="30">
        <f t="shared" si="8"/>
        <v>-2961</v>
      </c>
      <c r="M41" s="52">
        <f t="shared" si="8"/>
        <v>-3712</v>
      </c>
      <c r="N41" s="30">
        <f t="shared" si="8"/>
        <v>-4562</v>
      </c>
      <c r="O41" s="24">
        <f t="shared" si="7"/>
        <v>-14360</v>
      </c>
    </row>
    <row r="42" spans="1:18" x14ac:dyDescent="0.2">
      <c r="A42" s="53" t="s">
        <v>71</v>
      </c>
      <c r="B42" s="12" t="s">
        <v>32</v>
      </c>
      <c r="C42" s="30">
        <f t="shared" ref="C42:N42" si="9">IFERROR(ROUND(C9/(C$34-C$33-C$26-C$28-C$29-C$31)*(C$38),0),0)</f>
        <v>281</v>
      </c>
      <c r="D42" s="30">
        <f t="shared" si="9"/>
        <v>-20648</v>
      </c>
      <c r="E42" s="30">
        <f t="shared" si="9"/>
        <v>-141</v>
      </c>
      <c r="F42" s="30">
        <f t="shared" si="9"/>
        <v>12834</v>
      </c>
      <c r="G42" s="30">
        <f t="shared" si="9"/>
        <v>-14367</v>
      </c>
      <c r="H42" s="30">
        <f t="shared" si="9"/>
        <v>3898</v>
      </c>
      <c r="I42" s="30">
        <f t="shared" si="9"/>
        <v>-7</v>
      </c>
      <c r="J42" s="30">
        <f t="shared" si="9"/>
        <v>166</v>
      </c>
      <c r="K42" s="30">
        <f t="shared" si="9"/>
        <v>3442</v>
      </c>
      <c r="L42" s="30">
        <f t="shared" si="9"/>
        <v>-4408</v>
      </c>
      <c r="M42" s="52">
        <f t="shared" si="9"/>
        <v>-5575</v>
      </c>
      <c r="N42" s="30">
        <f t="shared" si="9"/>
        <v>-5962</v>
      </c>
      <c r="O42" s="24">
        <f t="shared" si="7"/>
        <v>-30487</v>
      </c>
    </row>
    <row r="43" spans="1:18" x14ac:dyDescent="0.2">
      <c r="A43" s="53" t="s">
        <v>72</v>
      </c>
      <c r="B43" s="12" t="s">
        <v>17</v>
      </c>
      <c r="C43" s="30">
        <f t="shared" ref="C43:N43" si="10">IFERROR(ROUND(C10/(C$34-C$33-C$26-C$28-C$29-C$31)*(C$38),0),0)</f>
        <v>140</v>
      </c>
      <c r="D43" s="30">
        <f t="shared" si="10"/>
        <v>-7888</v>
      </c>
      <c r="E43" s="30">
        <f t="shared" si="10"/>
        <v>-106</v>
      </c>
      <c r="F43" s="30">
        <f t="shared" si="10"/>
        <v>4073</v>
      </c>
      <c r="G43" s="30">
        <f t="shared" si="10"/>
        <v>-6760</v>
      </c>
      <c r="H43" s="30">
        <f t="shared" si="10"/>
        <v>3680</v>
      </c>
      <c r="I43" s="30">
        <f t="shared" si="10"/>
        <v>-6</v>
      </c>
      <c r="J43" s="30">
        <f t="shared" si="10"/>
        <v>149</v>
      </c>
      <c r="K43" s="30">
        <f t="shared" si="10"/>
        <v>3964</v>
      </c>
      <c r="L43" s="30">
        <f t="shared" si="10"/>
        <v>-4987</v>
      </c>
      <c r="M43" s="52">
        <f t="shared" si="10"/>
        <v>-4658</v>
      </c>
      <c r="N43" s="30">
        <f t="shared" si="10"/>
        <v>-5516</v>
      </c>
      <c r="O43" s="24">
        <f t="shared" si="7"/>
        <v>-17915</v>
      </c>
    </row>
    <row r="44" spans="1:18" x14ac:dyDescent="0.2">
      <c r="A44" s="53" t="s">
        <v>73</v>
      </c>
      <c r="B44" s="12" t="s">
        <v>48</v>
      </c>
      <c r="C44" s="30">
        <f t="shared" ref="C44:N44" si="11">IFERROR(ROUND(C11/(C$34-C$33-C$26-C$28-C$29-C$31)*(C$38),0),0)</f>
        <v>21</v>
      </c>
      <c r="D44" s="30">
        <f t="shared" si="11"/>
        <v>-1173</v>
      </c>
      <c r="E44" s="30">
        <f t="shared" si="11"/>
        <v>-6</v>
      </c>
      <c r="F44" s="30">
        <f t="shared" si="11"/>
        <v>97</v>
      </c>
      <c r="G44" s="30">
        <f t="shared" si="11"/>
        <v>-499</v>
      </c>
      <c r="H44" s="30">
        <f t="shared" si="11"/>
        <v>726</v>
      </c>
      <c r="I44" s="30">
        <f t="shared" si="11"/>
        <v>-1</v>
      </c>
      <c r="J44" s="30">
        <f t="shared" si="11"/>
        <v>13</v>
      </c>
      <c r="K44" s="30">
        <f t="shared" si="11"/>
        <v>835</v>
      </c>
      <c r="L44" s="30">
        <f t="shared" si="11"/>
        <v>-533</v>
      </c>
      <c r="M44" s="52">
        <f t="shared" si="11"/>
        <v>-1223</v>
      </c>
      <c r="N44" s="30">
        <f t="shared" si="11"/>
        <v>-1180</v>
      </c>
      <c r="O44" s="24">
        <f t="shared" si="7"/>
        <v>-2923</v>
      </c>
    </row>
    <row r="45" spans="1:18" x14ac:dyDescent="0.2">
      <c r="A45" s="53" t="s">
        <v>74</v>
      </c>
      <c r="B45" s="12" t="str">
        <f>+B12</f>
        <v>Methylphenidate ER</v>
      </c>
      <c r="C45" s="30">
        <f t="shared" ref="C45:N45" si="12">IFERROR(ROUND(C12/(C$34-C$33-C$26-C$28-C$29-C$31)*(C$38),0),0)</f>
        <v>504</v>
      </c>
      <c r="D45" s="30">
        <f t="shared" si="12"/>
        <v>-28454</v>
      </c>
      <c r="E45" s="30">
        <f t="shared" si="12"/>
        <v>-207</v>
      </c>
      <c r="F45" s="30">
        <f t="shared" si="12"/>
        <v>11326</v>
      </c>
      <c r="G45" s="30">
        <f t="shared" si="12"/>
        <v>-10874</v>
      </c>
      <c r="H45" s="30">
        <f t="shared" si="12"/>
        <v>5774</v>
      </c>
      <c r="I45" s="30">
        <f t="shared" si="12"/>
        <v>-10</v>
      </c>
      <c r="J45" s="30">
        <f t="shared" si="12"/>
        <v>221</v>
      </c>
      <c r="K45" s="30">
        <f t="shared" si="12"/>
        <v>5729</v>
      </c>
      <c r="L45" s="30">
        <f t="shared" si="12"/>
        <v>-5904</v>
      </c>
      <c r="M45" s="52">
        <f t="shared" si="12"/>
        <v>-8639</v>
      </c>
      <c r="N45" s="30">
        <f t="shared" si="12"/>
        <v>-9633</v>
      </c>
      <c r="O45" s="24">
        <f t="shared" si="7"/>
        <v>-40167</v>
      </c>
    </row>
    <row r="46" spans="1:18" x14ac:dyDescent="0.2">
      <c r="A46" s="53" t="s">
        <v>75</v>
      </c>
      <c r="B46" s="12" t="s">
        <v>51</v>
      </c>
      <c r="C46" s="30">
        <f t="shared" ref="C46:N46" si="13">IFERROR(ROUND(C13/(C$34-C$33-C$26-C$28-C$29-C$31)*(C$38),0),0)</f>
        <v>3</v>
      </c>
      <c r="D46" s="30">
        <f t="shared" si="13"/>
        <v>-330</v>
      </c>
      <c r="E46" s="30">
        <f t="shared" si="13"/>
        <v>-5</v>
      </c>
      <c r="F46" s="30">
        <f t="shared" si="13"/>
        <v>211</v>
      </c>
      <c r="G46" s="30">
        <f t="shared" si="13"/>
        <v>-170</v>
      </c>
      <c r="H46" s="30">
        <f t="shared" si="13"/>
        <v>51</v>
      </c>
      <c r="I46" s="30">
        <f t="shared" si="13"/>
        <v>0</v>
      </c>
      <c r="J46" s="30">
        <f t="shared" si="13"/>
        <v>3</v>
      </c>
      <c r="K46" s="30">
        <f t="shared" si="13"/>
        <v>98</v>
      </c>
      <c r="L46" s="30">
        <f t="shared" si="13"/>
        <v>-65</v>
      </c>
      <c r="M46" s="52">
        <f t="shared" si="13"/>
        <v>-95</v>
      </c>
      <c r="N46" s="30">
        <f t="shared" si="13"/>
        <v>-104</v>
      </c>
      <c r="O46" s="24">
        <f t="shared" si="7"/>
        <v>-403</v>
      </c>
    </row>
    <row r="47" spans="1:18" x14ac:dyDescent="0.2">
      <c r="A47" s="53" t="s">
        <v>76</v>
      </c>
      <c r="B47" s="12" t="s">
        <v>28</v>
      </c>
      <c r="C47" s="30">
        <f t="shared" ref="C47:N47" si="14">IFERROR(ROUND(C14/(C$34-C$33-C$26-C$28-C$29-C$31)*(C$38),0),0)</f>
        <v>144</v>
      </c>
      <c r="D47" s="30">
        <f t="shared" si="14"/>
        <v>-17826</v>
      </c>
      <c r="E47" s="30">
        <f t="shared" si="14"/>
        <v>-107</v>
      </c>
      <c r="F47" s="30">
        <f t="shared" si="14"/>
        <v>5639</v>
      </c>
      <c r="G47" s="30">
        <f t="shared" si="14"/>
        <v>-7873</v>
      </c>
      <c r="H47" s="30">
        <f t="shared" si="14"/>
        <v>3182</v>
      </c>
      <c r="I47" s="30">
        <f t="shared" si="14"/>
        <v>-5</v>
      </c>
      <c r="J47" s="30">
        <f t="shared" si="14"/>
        <v>126</v>
      </c>
      <c r="K47" s="30">
        <f t="shared" si="14"/>
        <v>4129</v>
      </c>
      <c r="L47" s="30">
        <f t="shared" si="14"/>
        <v>-4882</v>
      </c>
      <c r="M47" s="52">
        <f t="shared" si="14"/>
        <v>-4989</v>
      </c>
      <c r="N47" s="30">
        <f t="shared" si="14"/>
        <v>-6273</v>
      </c>
      <c r="O47" s="24">
        <f t="shared" si="7"/>
        <v>-28735</v>
      </c>
    </row>
    <row r="48" spans="1:18" x14ac:dyDescent="0.2">
      <c r="A48" s="53" t="s">
        <v>77</v>
      </c>
      <c r="B48" s="12" t="s">
        <v>33</v>
      </c>
      <c r="C48" s="30">
        <f t="shared" ref="C48:N48" si="15">IFERROR(ROUND(C15/(C$34-C$33-C$26-C$28-C$29-C$31)*(C$38),0),0)</f>
        <v>19</v>
      </c>
      <c r="D48" s="30">
        <f t="shared" si="15"/>
        <v>-1041</v>
      </c>
      <c r="E48" s="30">
        <f t="shared" si="15"/>
        <v>-12</v>
      </c>
      <c r="F48" s="30">
        <f t="shared" si="15"/>
        <v>239</v>
      </c>
      <c r="G48" s="30">
        <f t="shared" si="15"/>
        <v>-842</v>
      </c>
      <c r="H48" s="30">
        <f t="shared" si="15"/>
        <v>486</v>
      </c>
      <c r="I48" s="30">
        <f t="shared" si="15"/>
        <v>-1</v>
      </c>
      <c r="J48" s="30">
        <f t="shared" si="15"/>
        <v>15</v>
      </c>
      <c r="K48" s="30">
        <f t="shared" si="15"/>
        <v>465</v>
      </c>
      <c r="L48" s="30">
        <f t="shared" si="15"/>
        <v>-603</v>
      </c>
      <c r="M48" s="52">
        <f t="shared" si="15"/>
        <v>-821</v>
      </c>
      <c r="N48" s="30">
        <f t="shared" si="15"/>
        <v>-580</v>
      </c>
      <c r="O48" s="24">
        <f t="shared" si="7"/>
        <v>-2676</v>
      </c>
    </row>
    <row r="49" spans="1:15" x14ac:dyDescent="0.2">
      <c r="A49" s="53" t="s">
        <v>78</v>
      </c>
      <c r="B49" s="12" t="s">
        <v>34</v>
      </c>
      <c r="C49" s="30">
        <f t="shared" ref="C49:N49" si="16">IFERROR(ROUND(C16/(C$34-C$33-C$26-C$28-C$29-C$31)*(C$38),0),0)</f>
        <v>43</v>
      </c>
      <c r="D49" s="30">
        <f t="shared" si="16"/>
        <v>-851</v>
      </c>
      <c r="E49" s="30">
        <f t="shared" si="16"/>
        <v>-18</v>
      </c>
      <c r="F49" s="30">
        <f t="shared" si="16"/>
        <v>1475</v>
      </c>
      <c r="G49" s="30">
        <f t="shared" si="16"/>
        <v>-902</v>
      </c>
      <c r="H49" s="30">
        <f t="shared" si="16"/>
        <v>1133</v>
      </c>
      <c r="I49" s="30">
        <f t="shared" si="16"/>
        <v>-1</v>
      </c>
      <c r="J49" s="30">
        <f t="shared" si="16"/>
        <v>32</v>
      </c>
      <c r="K49" s="30">
        <f t="shared" si="16"/>
        <v>1135</v>
      </c>
      <c r="L49" s="30">
        <f t="shared" si="16"/>
        <v>-1506</v>
      </c>
      <c r="M49" s="52">
        <f t="shared" si="16"/>
        <v>-1344</v>
      </c>
      <c r="N49" s="30">
        <f t="shared" si="16"/>
        <v>-1435</v>
      </c>
      <c r="O49" s="24">
        <f t="shared" si="7"/>
        <v>-2239</v>
      </c>
    </row>
    <row r="50" spans="1:15" ht="15" x14ac:dyDescent="0.25">
      <c r="A50" s="53" t="s">
        <v>79</v>
      </c>
      <c r="B50" s="12" t="s">
        <v>29</v>
      </c>
      <c r="C50" s="30">
        <f t="shared" ref="C50:N50" si="17">IFERROR(ROUND(C17/(C$34-C$33-C$26-C$28-C$29-C$31)*(C$38),0),0)</f>
        <v>13</v>
      </c>
      <c r="D50" s="30">
        <f t="shared" si="17"/>
        <v>-588</v>
      </c>
      <c r="E50" s="30">
        <f t="shared" si="17"/>
        <v>-8</v>
      </c>
      <c r="F50" s="30">
        <f t="shared" si="17"/>
        <v>673</v>
      </c>
      <c r="G50" s="30">
        <f t="shared" si="17"/>
        <v>-40</v>
      </c>
      <c r="H50" s="30">
        <f t="shared" si="17"/>
        <v>0</v>
      </c>
      <c r="I50" s="30">
        <f t="shared" si="17"/>
        <v>0</v>
      </c>
      <c r="J50" s="30">
        <f t="shared" si="17"/>
        <v>13</v>
      </c>
      <c r="K50" s="30">
        <f t="shared" si="17"/>
        <v>186</v>
      </c>
      <c r="L50" s="30">
        <f t="shared" si="17"/>
        <v>-288</v>
      </c>
      <c r="M50" s="55">
        <f t="shared" si="17"/>
        <v>-336</v>
      </c>
      <c r="N50" s="30">
        <f t="shared" si="17"/>
        <v>-2005</v>
      </c>
      <c r="O50" s="24">
        <f t="shared" si="7"/>
        <v>-2380</v>
      </c>
    </row>
    <row r="51" spans="1:15" ht="15" x14ac:dyDescent="0.25">
      <c r="A51" s="53" t="s">
        <v>80</v>
      </c>
      <c r="B51" s="12" t="s">
        <v>40</v>
      </c>
      <c r="C51" s="30">
        <f t="shared" ref="C51:N51" si="18">IFERROR(ROUND(C18/(C$34-C$33-C$26-C$28-C$29-C$31)*(C$38),0),0)</f>
        <v>21</v>
      </c>
      <c r="D51" s="30">
        <f t="shared" si="18"/>
        <v>-1111</v>
      </c>
      <c r="E51" s="30">
        <f t="shared" si="18"/>
        <v>-21</v>
      </c>
      <c r="F51" s="30">
        <f t="shared" si="18"/>
        <v>688</v>
      </c>
      <c r="G51" s="30">
        <f t="shared" si="18"/>
        <v>-678</v>
      </c>
      <c r="H51" s="30">
        <f t="shared" si="18"/>
        <v>396</v>
      </c>
      <c r="I51" s="30">
        <f t="shared" si="18"/>
        <v>-1</v>
      </c>
      <c r="J51" s="30">
        <f t="shared" si="18"/>
        <v>16</v>
      </c>
      <c r="K51" s="30">
        <f t="shared" si="18"/>
        <v>503</v>
      </c>
      <c r="L51" s="30">
        <f t="shared" si="18"/>
        <v>-714</v>
      </c>
      <c r="M51" s="55">
        <f t="shared" si="18"/>
        <v>-820</v>
      </c>
      <c r="N51" s="30">
        <f t="shared" si="18"/>
        <v>-1221</v>
      </c>
      <c r="O51" s="24">
        <f t="shared" si="7"/>
        <v>-2942</v>
      </c>
    </row>
    <row r="52" spans="1:15" x14ac:dyDescent="0.2">
      <c r="A52" s="53" t="s">
        <v>81</v>
      </c>
      <c r="B52" s="12" t="s">
        <v>45</v>
      </c>
      <c r="C52" s="30">
        <f t="shared" ref="C52:N52" si="19">IFERROR(ROUND(C19/(C$34-C$33-C$26-C$28-C$29-C$31)*(C$38),0),0)</f>
        <v>121</v>
      </c>
      <c r="D52" s="30">
        <f t="shared" si="19"/>
        <v>-6321</v>
      </c>
      <c r="E52" s="30">
        <f t="shared" si="19"/>
        <v>-85</v>
      </c>
      <c r="F52" s="30">
        <f t="shared" si="19"/>
        <v>4086</v>
      </c>
      <c r="G52" s="30">
        <f t="shared" si="19"/>
        <v>-4061</v>
      </c>
      <c r="H52" s="30">
        <f t="shared" si="19"/>
        <v>2205</v>
      </c>
      <c r="I52" s="30">
        <f t="shared" si="19"/>
        <v>-4</v>
      </c>
      <c r="J52" s="30">
        <f t="shared" si="19"/>
        <v>88</v>
      </c>
      <c r="K52" s="30">
        <f t="shared" si="19"/>
        <v>3353</v>
      </c>
      <c r="L52" s="30">
        <f t="shared" si="19"/>
        <v>-3536</v>
      </c>
      <c r="M52" s="52">
        <f t="shared" si="19"/>
        <v>-4400</v>
      </c>
      <c r="N52" s="30">
        <f t="shared" si="19"/>
        <v>-4875</v>
      </c>
      <c r="O52" s="24">
        <f t="shared" si="7"/>
        <v>-13429</v>
      </c>
    </row>
    <row r="53" spans="1:15" x14ac:dyDescent="0.2">
      <c r="A53" s="53" t="s">
        <v>82</v>
      </c>
      <c r="B53" s="12" t="s">
        <v>39</v>
      </c>
      <c r="C53" s="30">
        <f t="shared" ref="C53:N53" si="20">IFERROR(ROUND(C20/(C$34-C$33-C$26-C$28-C$29-C$31)*(C$38),0),0)</f>
        <v>15</v>
      </c>
      <c r="D53" s="30">
        <f t="shared" si="20"/>
        <v>-1012</v>
      </c>
      <c r="E53" s="30">
        <f t="shared" si="20"/>
        <v>-10</v>
      </c>
      <c r="F53" s="30">
        <f t="shared" si="20"/>
        <v>912</v>
      </c>
      <c r="G53" s="30">
        <f t="shared" si="20"/>
        <v>-410</v>
      </c>
      <c r="H53" s="30">
        <f t="shared" si="20"/>
        <v>295</v>
      </c>
      <c r="I53" s="30">
        <f t="shared" si="20"/>
        <v>-1</v>
      </c>
      <c r="J53" s="30">
        <f t="shared" si="20"/>
        <v>21</v>
      </c>
      <c r="K53" s="30">
        <f t="shared" si="20"/>
        <v>550</v>
      </c>
      <c r="L53" s="30">
        <f t="shared" si="20"/>
        <v>-287</v>
      </c>
      <c r="M53" s="52">
        <f t="shared" si="20"/>
        <v>-755</v>
      </c>
      <c r="N53" s="30">
        <f t="shared" si="20"/>
        <v>-742</v>
      </c>
      <c r="O53" s="24">
        <f t="shared" si="7"/>
        <v>-1424</v>
      </c>
    </row>
    <row r="54" spans="1:15" x14ac:dyDescent="0.2">
      <c r="A54" s="53" t="s">
        <v>83</v>
      </c>
      <c r="B54" s="12" t="s">
        <v>44</v>
      </c>
      <c r="C54" s="30">
        <f t="shared" ref="C54:N54" si="21">IFERROR(ROUND(C21/(C$34-C$33-C$26-C$28-C$29-C$31)*(C$38),0),0)</f>
        <v>5</v>
      </c>
      <c r="D54" s="30">
        <f t="shared" si="21"/>
        <v>-196</v>
      </c>
      <c r="E54" s="30">
        <f t="shared" si="21"/>
        <v>-3</v>
      </c>
      <c r="F54" s="30">
        <f t="shared" si="21"/>
        <v>53</v>
      </c>
      <c r="G54" s="30">
        <f t="shared" si="21"/>
        <v>-40</v>
      </c>
      <c r="H54" s="30">
        <f t="shared" si="21"/>
        <v>42</v>
      </c>
      <c r="I54" s="30">
        <f t="shared" si="21"/>
        <v>0</v>
      </c>
      <c r="J54" s="30">
        <f t="shared" si="21"/>
        <v>1</v>
      </c>
      <c r="K54" s="30">
        <f t="shared" si="21"/>
        <v>39</v>
      </c>
      <c r="L54" s="30">
        <f t="shared" si="21"/>
        <v>-33</v>
      </c>
      <c r="M54" s="52">
        <f t="shared" si="21"/>
        <v>-44</v>
      </c>
      <c r="N54" s="30">
        <f t="shared" si="21"/>
        <v>-12</v>
      </c>
      <c r="O54" s="24">
        <f t="shared" si="7"/>
        <v>-188</v>
      </c>
    </row>
    <row r="55" spans="1:15" x14ac:dyDescent="0.2">
      <c r="A55" s="53" t="s">
        <v>84</v>
      </c>
      <c r="B55" s="12" t="str">
        <f>+B23</f>
        <v>Mixed Amphet Salts</v>
      </c>
      <c r="C55" s="30">
        <f t="shared" ref="C55:N55" si="22">IFERROR(ROUND(C22/(C$34-C$33-C$26-C$28-C$29-C$31)*(C$38),0),0)</f>
        <v>103</v>
      </c>
      <c r="D55" s="30">
        <f t="shared" si="22"/>
        <v>-6926</v>
      </c>
      <c r="E55" s="30">
        <f t="shared" si="22"/>
        <v>-77</v>
      </c>
      <c r="F55" s="30">
        <f t="shared" si="22"/>
        <v>4421</v>
      </c>
      <c r="G55" s="30">
        <f t="shared" si="22"/>
        <v>-4589</v>
      </c>
      <c r="H55" s="30">
        <f t="shared" si="22"/>
        <v>2097</v>
      </c>
      <c r="I55" s="30">
        <f t="shared" si="22"/>
        <v>-4</v>
      </c>
      <c r="J55" s="30">
        <f t="shared" si="22"/>
        <v>96</v>
      </c>
      <c r="K55" s="30">
        <f t="shared" si="22"/>
        <v>2498</v>
      </c>
      <c r="L55" s="30">
        <f t="shared" si="22"/>
        <v>-2069</v>
      </c>
      <c r="M55" s="52">
        <f t="shared" si="22"/>
        <v>-1945</v>
      </c>
      <c r="N55" s="30">
        <f t="shared" si="22"/>
        <v>-2511</v>
      </c>
      <c r="O55" s="24">
        <f t="shared" si="7"/>
        <v>-8906</v>
      </c>
    </row>
    <row r="56" spans="1:15" x14ac:dyDescent="0.2">
      <c r="A56" s="53" t="s">
        <v>85</v>
      </c>
      <c r="B56" s="12" t="s">
        <v>58</v>
      </c>
      <c r="C56" s="30">
        <f t="shared" ref="C56:N56" si="23">IFERROR(ROUND(C23/(C$34-C$33-C$26-C$28-C$29-C$31)*(C$38),0),0)</f>
        <v>15</v>
      </c>
      <c r="D56" s="30">
        <f t="shared" si="23"/>
        <v>-1312</v>
      </c>
      <c r="E56" s="30">
        <f t="shared" si="23"/>
        <v>-6</v>
      </c>
      <c r="F56" s="30">
        <f t="shared" si="23"/>
        <v>635</v>
      </c>
      <c r="G56" s="30">
        <f t="shared" si="23"/>
        <v>-551</v>
      </c>
      <c r="H56" s="30">
        <f t="shared" si="23"/>
        <v>216</v>
      </c>
      <c r="I56" s="30">
        <f t="shared" si="23"/>
        <v>0</v>
      </c>
      <c r="J56" s="30">
        <f t="shared" si="23"/>
        <v>8</v>
      </c>
      <c r="K56" s="30">
        <f t="shared" si="23"/>
        <v>288</v>
      </c>
      <c r="L56" s="30">
        <f t="shared" si="23"/>
        <v>-219</v>
      </c>
      <c r="M56" s="52">
        <f t="shared" si="23"/>
        <v>-267</v>
      </c>
      <c r="N56" s="30">
        <f t="shared" si="23"/>
        <v>-370</v>
      </c>
      <c r="O56" s="24">
        <f t="shared" si="7"/>
        <v>-1563</v>
      </c>
    </row>
    <row r="57" spans="1:15" x14ac:dyDescent="0.2">
      <c r="A57" s="53" t="s">
        <v>86</v>
      </c>
      <c r="B57" s="12" t="s">
        <v>59</v>
      </c>
      <c r="C57" s="30">
        <f t="shared" ref="C57:N57" si="24">IFERROR(ROUND(C24/(C$34-C$33-C$26-C$28-C$29-C$31)*(C$38),0),0)</f>
        <v>6</v>
      </c>
      <c r="D57" s="30">
        <f t="shared" si="24"/>
        <v>-271</v>
      </c>
      <c r="E57" s="30">
        <f t="shared" si="24"/>
        <v>-5</v>
      </c>
      <c r="F57" s="30">
        <f t="shared" si="24"/>
        <v>161</v>
      </c>
      <c r="G57" s="30">
        <f t="shared" si="24"/>
        <v>-170</v>
      </c>
      <c r="H57" s="30">
        <f t="shared" si="24"/>
        <v>158</v>
      </c>
      <c r="I57" s="30">
        <f t="shared" si="24"/>
        <v>0</v>
      </c>
      <c r="J57" s="30">
        <f t="shared" si="24"/>
        <v>5</v>
      </c>
      <c r="K57" s="30">
        <f t="shared" si="24"/>
        <v>118</v>
      </c>
      <c r="L57" s="30">
        <f t="shared" si="24"/>
        <v>-87</v>
      </c>
      <c r="M57" s="52">
        <f t="shared" si="24"/>
        <v>-161</v>
      </c>
      <c r="N57" s="30">
        <f t="shared" si="24"/>
        <v>-238</v>
      </c>
      <c r="O57" s="24">
        <f t="shared" si="7"/>
        <v>-484</v>
      </c>
    </row>
    <row r="58" spans="1:15" x14ac:dyDescent="0.2">
      <c r="A58" s="53" t="s">
        <v>60</v>
      </c>
      <c r="B58" s="12" t="s">
        <v>18</v>
      </c>
      <c r="C58" s="30">
        <f t="shared" ref="C58:N58" si="25">IFERROR(ROUND(C25/(C$34-C$33-C$26-C$28-C$29-C$31)*(C$38),0),0)</f>
        <v>21</v>
      </c>
      <c r="D58" s="30">
        <f t="shared" si="25"/>
        <v>-1703</v>
      </c>
      <c r="E58" s="30">
        <f t="shared" si="25"/>
        <v>-10</v>
      </c>
      <c r="F58" s="30">
        <f t="shared" si="25"/>
        <v>966</v>
      </c>
      <c r="G58" s="30">
        <f t="shared" si="25"/>
        <v>-1305</v>
      </c>
      <c r="H58" s="30">
        <f t="shared" si="25"/>
        <v>418</v>
      </c>
      <c r="I58" s="30">
        <f t="shared" si="25"/>
        <v>-1</v>
      </c>
      <c r="J58" s="30">
        <f t="shared" si="25"/>
        <v>15</v>
      </c>
      <c r="K58" s="30">
        <f t="shared" si="25"/>
        <v>502</v>
      </c>
      <c r="L58" s="30">
        <f t="shared" si="25"/>
        <v>-717</v>
      </c>
      <c r="M58" s="52">
        <f t="shared" si="25"/>
        <v>-826</v>
      </c>
      <c r="N58" s="30">
        <f t="shared" si="25"/>
        <v>-1097</v>
      </c>
      <c r="O58" s="24">
        <f t="shared" si="7"/>
        <v>-3737</v>
      </c>
    </row>
    <row r="59" spans="1:15" x14ac:dyDescent="0.2">
      <c r="B59" s="14" t="s">
        <v>13</v>
      </c>
      <c r="C59" s="36">
        <f t="shared" ref="C59" si="26">SUM(C40:C58)</f>
        <v>2111</v>
      </c>
      <c r="D59" s="36">
        <f t="shared" ref="D59:N59" si="27">SUM(D40:D58)</f>
        <v>-136841</v>
      </c>
      <c r="E59" s="36">
        <f t="shared" si="27"/>
        <v>-1234</v>
      </c>
      <c r="F59" s="36">
        <f t="shared" ref="F59:G59" si="28">SUM(F40:F58)</f>
        <v>67716</v>
      </c>
      <c r="G59" s="36">
        <f t="shared" si="28"/>
        <v>-84406</v>
      </c>
      <c r="H59" s="36">
        <f t="shared" si="27"/>
        <v>38868</v>
      </c>
      <c r="I59" s="36">
        <f t="shared" si="27"/>
        <v>-69</v>
      </c>
      <c r="J59" s="36">
        <f t="shared" ref="J59" si="29">SUM(J40:J58)</f>
        <v>1527</v>
      </c>
      <c r="K59" s="36">
        <f t="shared" si="27"/>
        <v>44257</v>
      </c>
      <c r="L59" s="36">
        <f t="shared" ref="L59" si="30">SUM(L40:L58)</f>
        <v>-53872</v>
      </c>
      <c r="M59" s="36">
        <f t="shared" si="27"/>
        <v>-58264</v>
      </c>
      <c r="N59" s="36">
        <f t="shared" si="27"/>
        <v>-67356</v>
      </c>
      <c r="O59" s="36">
        <f t="shared" ref="O59" si="31">SUM(O40:O58)</f>
        <v>-247563</v>
      </c>
    </row>
    <row r="60" spans="1:15" x14ac:dyDescent="0.2">
      <c r="B60" s="14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5"/>
    </row>
    <row r="61" spans="1:15" x14ac:dyDescent="0.2">
      <c r="A61" s="9" t="s">
        <v>22</v>
      </c>
      <c r="B61" s="16"/>
      <c r="O61" s="26"/>
    </row>
    <row r="62" spans="1:15" x14ac:dyDescent="0.2">
      <c r="A62" s="53" t="s">
        <v>62</v>
      </c>
      <c r="B62" s="12"/>
      <c r="C62" s="33">
        <v>4492.76</v>
      </c>
      <c r="D62" s="33">
        <v>3339.45</v>
      </c>
      <c r="E62" s="33">
        <v>2163.5</v>
      </c>
      <c r="F62" s="33">
        <v>2067.9</v>
      </c>
      <c r="G62" s="33">
        <v>22746.16</v>
      </c>
      <c r="H62" s="33">
        <v>4131.57</v>
      </c>
      <c r="I62" s="33">
        <v>18966.91</v>
      </c>
      <c r="J62" s="33">
        <v>3923.26</v>
      </c>
      <c r="K62" s="33">
        <v>8472.61</v>
      </c>
      <c r="L62" s="33">
        <v>2147.4899999999998</v>
      </c>
      <c r="M62" s="33">
        <v>4568.92</v>
      </c>
      <c r="N62" s="33">
        <v>213</v>
      </c>
      <c r="O62" s="27">
        <f>SUM(C62:N62)</f>
        <v>77233.53</v>
      </c>
    </row>
    <row r="63" spans="1:15" x14ac:dyDescent="0.2">
      <c r="A63" s="53" t="s">
        <v>63</v>
      </c>
      <c r="B63" s="12"/>
      <c r="C63" s="37">
        <v>580753.44999999995</v>
      </c>
      <c r="D63" s="37">
        <v>556450.56000000006</v>
      </c>
      <c r="E63" s="37">
        <v>344582.26</v>
      </c>
      <c r="F63" s="37">
        <v>487221.53</v>
      </c>
      <c r="G63" s="37">
        <v>398754.28</v>
      </c>
      <c r="H63" s="37">
        <v>576282.04</v>
      </c>
      <c r="I63" s="37">
        <v>358795.41</v>
      </c>
      <c r="J63" s="37">
        <v>445540.65</v>
      </c>
      <c r="K63" s="37">
        <v>258929.9</v>
      </c>
      <c r="L63" s="37">
        <v>338304.97</v>
      </c>
      <c r="M63" s="37">
        <v>260862.67</v>
      </c>
      <c r="N63" s="37">
        <v>364220.85</v>
      </c>
      <c r="O63" s="28">
        <f>SUM(C63:N63)</f>
        <v>4970698.5699999994</v>
      </c>
    </row>
    <row r="64" spans="1:15" x14ac:dyDescent="0.2">
      <c r="A64" s="17" t="s">
        <v>23</v>
      </c>
      <c r="B64" s="12"/>
      <c r="C64" s="22">
        <f t="shared" ref="C64:N64" si="32">SUM(C62:C63)</f>
        <v>585246.21</v>
      </c>
      <c r="D64" s="22">
        <f t="shared" si="32"/>
        <v>559790.01</v>
      </c>
      <c r="E64" s="22">
        <f t="shared" si="32"/>
        <v>346745.76</v>
      </c>
      <c r="F64" s="22">
        <f t="shared" si="32"/>
        <v>489289.43000000005</v>
      </c>
      <c r="G64" s="22">
        <f t="shared" ref="G64" si="33">SUM(G62:G63)</f>
        <v>421500.44</v>
      </c>
      <c r="H64" s="22">
        <f t="shared" si="32"/>
        <v>580413.61</v>
      </c>
      <c r="I64" s="22">
        <f t="shared" si="32"/>
        <v>377762.31999999995</v>
      </c>
      <c r="J64" s="22">
        <f t="shared" ref="J64" si="34">SUM(J62:J63)</f>
        <v>449463.91000000003</v>
      </c>
      <c r="K64" s="22">
        <f t="shared" si="32"/>
        <v>267402.51</v>
      </c>
      <c r="L64" s="22">
        <f t="shared" ref="L64" si="35">SUM(L62:L63)</f>
        <v>340452.45999999996</v>
      </c>
      <c r="M64" s="22">
        <f t="shared" si="32"/>
        <v>265431.59000000003</v>
      </c>
      <c r="N64" s="22">
        <f t="shared" si="32"/>
        <v>364433.85</v>
      </c>
      <c r="O64" s="25">
        <f>SUM(C64:N64)</f>
        <v>5047932.0999999996</v>
      </c>
    </row>
    <row r="65" spans="1:18" x14ac:dyDescent="0.2">
      <c r="A65" s="17"/>
      <c r="B65" s="12"/>
      <c r="O65" s="26"/>
    </row>
    <row r="66" spans="1:18" x14ac:dyDescent="0.2">
      <c r="A66" s="18" t="s">
        <v>24</v>
      </c>
      <c r="B66" s="12"/>
      <c r="O66" s="26"/>
    </row>
    <row r="67" spans="1:18" x14ac:dyDescent="0.2">
      <c r="A67" s="53" t="s">
        <v>137</v>
      </c>
      <c r="B67" s="12" t="s">
        <v>15</v>
      </c>
      <c r="C67" s="30">
        <f t="shared" ref="C67:N67" si="36">ROUND(IF(C7=0,0,(C7/C$34)*C$62),0)</f>
        <v>1012</v>
      </c>
      <c r="D67" s="30">
        <f t="shared" si="36"/>
        <v>783</v>
      </c>
      <c r="E67" s="30">
        <f t="shared" si="36"/>
        <v>546</v>
      </c>
      <c r="F67" s="30">
        <f t="shared" si="36"/>
        <v>492</v>
      </c>
      <c r="G67" s="30">
        <f t="shared" si="36"/>
        <v>6627</v>
      </c>
      <c r="H67" s="30">
        <f t="shared" si="36"/>
        <v>1274</v>
      </c>
      <c r="I67" s="30">
        <f t="shared" si="36"/>
        <v>5549</v>
      </c>
      <c r="J67" s="30">
        <f t="shared" si="36"/>
        <v>1110</v>
      </c>
      <c r="K67" s="30">
        <f>ROUND(IF(K7=0,0,(K7/K$34)*K$62),0)</f>
        <v>2545</v>
      </c>
      <c r="L67" s="30">
        <f>ROUND(IF(L7=0,0,(L7/L$34)*L$62),0)</f>
        <v>741</v>
      </c>
      <c r="M67" s="30">
        <f t="shared" si="36"/>
        <v>1281</v>
      </c>
      <c r="N67" s="30">
        <f t="shared" si="36"/>
        <v>56</v>
      </c>
      <c r="O67" s="24">
        <f t="shared" ref="O67:O94" si="37">SUM(C67:N67)</f>
        <v>22016</v>
      </c>
      <c r="P67" s="49"/>
      <c r="Q67" s="49"/>
      <c r="R67" s="49"/>
    </row>
    <row r="68" spans="1:18" x14ac:dyDescent="0.2">
      <c r="A68" s="53" t="s">
        <v>88</v>
      </c>
      <c r="B68" s="12" t="s">
        <v>16</v>
      </c>
      <c r="C68" s="30">
        <f t="shared" ref="C68:N68" si="38">ROUND(IF(C8=0,0,(C8/C$34)*C$62),0)</f>
        <v>216</v>
      </c>
      <c r="D68" s="30">
        <f t="shared" si="38"/>
        <v>95</v>
      </c>
      <c r="E68" s="30">
        <f t="shared" si="38"/>
        <v>98</v>
      </c>
      <c r="F68" s="30">
        <f t="shared" si="38"/>
        <v>37</v>
      </c>
      <c r="G68" s="30">
        <f t="shared" si="38"/>
        <v>977</v>
      </c>
      <c r="H68" s="30">
        <f t="shared" si="38"/>
        <v>126</v>
      </c>
      <c r="I68" s="30">
        <f t="shared" si="38"/>
        <v>1021</v>
      </c>
      <c r="J68" s="30">
        <f t="shared" si="38"/>
        <v>181</v>
      </c>
      <c r="K68" s="30">
        <f t="shared" si="38"/>
        <v>411</v>
      </c>
      <c r="L68" s="30">
        <f t="shared" si="38"/>
        <v>109</v>
      </c>
      <c r="M68" s="30">
        <f t="shared" si="38"/>
        <v>269</v>
      </c>
      <c r="N68" s="30">
        <f t="shared" si="38"/>
        <v>13</v>
      </c>
      <c r="O68" s="24">
        <f t="shared" si="37"/>
        <v>3553</v>
      </c>
      <c r="P68" s="49"/>
      <c r="Q68" s="49"/>
      <c r="R68" s="49"/>
    </row>
    <row r="69" spans="1:18" x14ac:dyDescent="0.2">
      <c r="A69" s="53" t="s">
        <v>89</v>
      </c>
      <c r="B69" s="12" t="s">
        <v>32</v>
      </c>
      <c r="C69" s="30">
        <f t="shared" ref="C69:N69" si="39">ROUND(IF(C9=0,0,(C9/C$34)*C$62),0)</f>
        <v>543</v>
      </c>
      <c r="D69" s="30">
        <f t="shared" si="39"/>
        <v>462</v>
      </c>
      <c r="E69" s="30">
        <f t="shared" si="39"/>
        <v>222</v>
      </c>
      <c r="F69" s="30">
        <f t="shared" si="39"/>
        <v>353</v>
      </c>
      <c r="G69" s="30">
        <f t="shared" si="39"/>
        <v>3608</v>
      </c>
      <c r="H69" s="30">
        <f t="shared" si="39"/>
        <v>387</v>
      </c>
      <c r="I69" s="30">
        <f t="shared" si="39"/>
        <v>1705</v>
      </c>
      <c r="J69" s="30">
        <f t="shared" si="39"/>
        <v>398</v>
      </c>
      <c r="K69" s="30">
        <f t="shared" si="39"/>
        <v>620</v>
      </c>
      <c r="L69" s="30">
        <f t="shared" si="39"/>
        <v>163</v>
      </c>
      <c r="M69" s="30">
        <f t="shared" ref="M69:M93" si="40">ROUND(IF(M9=0,0,(M9/M$34)*M$62),0)</f>
        <v>405</v>
      </c>
      <c r="N69" s="30">
        <f t="shared" si="39"/>
        <v>18</v>
      </c>
      <c r="O69" s="24">
        <f t="shared" si="37"/>
        <v>8884</v>
      </c>
      <c r="P69" s="49"/>
      <c r="Q69" s="49"/>
      <c r="R69" s="49"/>
    </row>
    <row r="70" spans="1:18" x14ac:dyDescent="0.2">
      <c r="A70" s="53" t="s">
        <v>90</v>
      </c>
      <c r="B70" s="12" t="s">
        <v>17</v>
      </c>
      <c r="C70" s="30">
        <f t="shared" ref="C70:N70" si="41">ROUND(IF(C10=0,0,(C10/C$34)*C$62),0)</f>
        <v>271</v>
      </c>
      <c r="D70" s="30">
        <f t="shared" si="41"/>
        <v>177</v>
      </c>
      <c r="E70" s="30">
        <f t="shared" si="41"/>
        <v>168</v>
      </c>
      <c r="F70" s="30">
        <f t="shared" si="41"/>
        <v>112</v>
      </c>
      <c r="G70" s="30">
        <f t="shared" si="41"/>
        <v>1698</v>
      </c>
      <c r="H70" s="30">
        <f t="shared" si="41"/>
        <v>365</v>
      </c>
      <c r="I70" s="30">
        <f t="shared" si="41"/>
        <v>1570</v>
      </c>
      <c r="J70" s="30">
        <f t="shared" si="41"/>
        <v>357</v>
      </c>
      <c r="K70" s="30">
        <f t="shared" si="41"/>
        <v>713</v>
      </c>
      <c r="L70" s="30">
        <f t="shared" si="41"/>
        <v>184</v>
      </c>
      <c r="M70" s="30">
        <f t="shared" si="40"/>
        <v>338</v>
      </c>
      <c r="N70" s="30">
        <f t="shared" si="41"/>
        <v>16</v>
      </c>
      <c r="O70" s="24">
        <f t="shared" si="37"/>
        <v>5969</v>
      </c>
      <c r="P70" s="49"/>
      <c r="Q70" s="49"/>
      <c r="R70" s="49"/>
    </row>
    <row r="71" spans="1:18" x14ac:dyDescent="0.2">
      <c r="A71" s="53" t="s">
        <v>91</v>
      </c>
      <c r="B71" s="12" t="s">
        <v>48</v>
      </c>
      <c r="C71" s="30">
        <f t="shared" ref="C71:N71" si="42">ROUND(IF(C11=0,0,(C11/C$34)*C$62),0)</f>
        <v>40</v>
      </c>
      <c r="D71" s="30">
        <f t="shared" si="42"/>
        <v>26</v>
      </c>
      <c r="E71" s="30">
        <f t="shared" si="42"/>
        <v>10</v>
      </c>
      <c r="F71" s="30">
        <f t="shared" si="42"/>
        <v>3</v>
      </c>
      <c r="G71" s="30">
        <f t="shared" si="42"/>
        <v>125</v>
      </c>
      <c r="H71" s="30">
        <f t="shared" si="42"/>
        <v>72</v>
      </c>
      <c r="I71" s="30">
        <f t="shared" si="42"/>
        <v>128</v>
      </c>
      <c r="J71" s="30">
        <f t="shared" si="42"/>
        <v>30</v>
      </c>
      <c r="K71" s="30">
        <f t="shared" si="42"/>
        <v>150</v>
      </c>
      <c r="L71" s="30">
        <f t="shared" si="42"/>
        <v>20</v>
      </c>
      <c r="M71" s="30">
        <f t="shared" si="40"/>
        <v>89</v>
      </c>
      <c r="N71" s="30">
        <f t="shared" si="42"/>
        <v>3</v>
      </c>
      <c r="O71" s="24">
        <f t="shared" si="37"/>
        <v>696</v>
      </c>
      <c r="P71" s="49"/>
      <c r="Q71" s="49"/>
      <c r="R71" s="49"/>
    </row>
    <row r="72" spans="1:18" x14ac:dyDescent="0.2">
      <c r="A72" s="53" t="s">
        <v>92</v>
      </c>
      <c r="B72" s="12" t="str">
        <f>+B45</f>
        <v>Methylphenidate ER</v>
      </c>
      <c r="C72" s="30">
        <f t="shared" ref="C72:N72" si="43">ROUND(IF(C12=0,0,(C12/C$34)*C$62),0)</f>
        <v>973</v>
      </c>
      <c r="D72" s="30">
        <f t="shared" si="43"/>
        <v>637</v>
      </c>
      <c r="E72" s="30">
        <f t="shared" si="43"/>
        <v>327</v>
      </c>
      <c r="F72" s="30">
        <f t="shared" si="43"/>
        <v>312</v>
      </c>
      <c r="G72" s="30">
        <f t="shared" si="43"/>
        <v>2731</v>
      </c>
      <c r="H72" s="30">
        <f t="shared" si="43"/>
        <v>573</v>
      </c>
      <c r="I72" s="30">
        <f t="shared" si="43"/>
        <v>2443</v>
      </c>
      <c r="J72" s="30">
        <f t="shared" si="43"/>
        <v>530</v>
      </c>
      <c r="K72" s="30">
        <f t="shared" si="43"/>
        <v>1031</v>
      </c>
      <c r="L72" s="30">
        <f t="shared" si="43"/>
        <v>218</v>
      </c>
      <c r="M72" s="30">
        <f t="shared" si="40"/>
        <v>627</v>
      </c>
      <c r="N72" s="30">
        <f t="shared" si="43"/>
        <v>28</v>
      </c>
      <c r="O72" s="24">
        <f t="shared" si="37"/>
        <v>10430</v>
      </c>
      <c r="P72" s="49"/>
      <c r="Q72" s="49"/>
      <c r="R72" s="49"/>
    </row>
    <row r="73" spans="1:18" x14ac:dyDescent="0.2">
      <c r="A73" s="53" t="s">
        <v>93</v>
      </c>
      <c r="B73" s="12" t="s">
        <v>51</v>
      </c>
      <c r="C73" s="30">
        <f t="shared" ref="C73:N73" si="44">ROUND(IF(C13=0,0,(C13/C$34)*C$62),0)</f>
        <v>6</v>
      </c>
      <c r="D73" s="30">
        <f t="shared" si="44"/>
        <v>7</v>
      </c>
      <c r="E73" s="30">
        <f t="shared" si="44"/>
        <v>7</v>
      </c>
      <c r="F73" s="30">
        <f t="shared" si="44"/>
        <v>6</v>
      </c>
      <c r="G73" s="30">
        <f t="shared" si="44"/>
        <v>43</v>
      </c>
      <c r="H73" s="30">
        <f t="shared" si="44"/>
        <v>5</v>
      </c>
      <c r="I73" s="30">
        <f t="shared" si="44"/>
        <v>27</v>
      </c>
      <c r="J73" s="30">
        <f t="shared" si="44"/>
        <v>6</v>
      </c>
      <c r="K73" s="30">
        <f t="shared" si="44"/>
        <v>18</v>
      </c>
      <c r="L73" s="30">
        <f t="shared" si="44"/>
        <v>2</v>
      </c>
      <c r="M73" s="30">
        <f t="shared" si="40"/>
        <v>7</v>
      </c>
      <c r="N73" s="30">
        <f t="shared" si="44"/>
        <v>0</v>
      </c>
      <c r="O73" s="24">
        <f t="shared" si="37"/>
        <v>134</v>
      </c>
      <c r="P73" s="49"/>
      <c r="Q73" s="49"/>
      <c r="R73" s="49"/>
    </row>
    <row r="74" spans="1:18" x14ac:dyDescent="0.2">
      <c r="A74" s="53" t="s">
        <v>94</v>
      </c>
      <c r="B74" s="12" t="s">
        <v>28</v>
      </c>
      <c r="C74" s="30">
        <f t="shared" ref="C74:N74" si="45">ROUND(IF(C14=0,0,(C14/C$34)*C$62),0)</f>
        <v>278</v>
      </c>
      <c r="D74" s="30">
        <f t="shared" si="45"/>
        <v>399</v>
      </c>
      <c r="E74" s="30">
        <f t="shared" si="45"/>
        <v>169</v>
      </c>
      <c r="F74" s="30">
        <f t="shared" si="45"/>
        <v>155</v>
      </c>
      <c r="G74" s="30">
        <f t="shared" si="45"/>
        <v>1977</v>
      </c>
      <c r="H74" s="30">
        <f t="shared" si="45"/>
        <v>316</v>
      </c>
      <c r="I74" s="30">
        <f t="shared" si="45"/>
        <v>1258</v>
      </c>
      <c r="J74" s="30">
        <f t="shared" si="45"/>
        <v>303</v>
      </c>
      <c r="K74" s="30">
        <f t="shared" si="45"/>
        <v>743</v>
      </c>
      <c r="L74" s="30">
        <f t="shared" si="45"/>
        <v>180</v>
      </c>
      <c r="M74" s="30">
        <f t="shared" si="40"/>
        <v>362</v>
      </c>
      <c r="N74" s="30">
        <f t="shared" si="45"/>
        <v>19</v>
      </c>
      <c r="O74" s="24">
        <f t="shared" si="37"/>
        <v>6159</v>
      </c>
      <c r="P74" s="49"/>
      <c r="Q74" s="49"/>
      <c r="R74" s="49"/>
    </row>
    <row r="75" spans="1:18" x14ac:dyDescent="0.2">
      <c r="A75" s="53" t="s">
        <v>95</v>
      </c>
      <c r="B75" s="12" t="s">
        <v>33</v>
      </c>
      <c r="C75" s="30">
        <f t="shared" ref="C75:N75" si="46">ROUND(IF(C15=0,0,(C15/C$34)*C$62),0)</f>
        <v>36</v>
      </c>
      <c r="D75" s="30">
        <f t="shared" si="46"/>
        <v>23</v>
      </c>
      <c r="E75" s="30">
        <f t="shared" si="46"/>
        <v>18</v>
      </c>
      <c r="F75" s="30">
        <f t="shared" si="46"/>
        <v>7</v>
      </c>
      <c r="G75" s="30">
        <f t="shared" si="46"/>
        <v>211</v>
      </c>
      <c r="H75" s="30">
        <f t="shared" si="46"/>
        <v>48</v>
      </c>
      <c r="I75" s="30">
        <f t="shared" si="46"/>
        <v>186</v>
      </c>
      <c r="J75" s="30">
        <f t="shared" si="46"/>
        <v>36</v>
      </c>
      <c r="K75" s="30">
        <f t="shared" si="46"/>
        <v>84</v>
      </c>
      <c r="L75" s="30">
        <f t="shared" si="46"/>
        <v>22</v>
      </c>
      <c r="M75" s="30">
        <f t="shared" si="40"/>
        <v>60</v>
      </c>
      <c r="N75" s="30">
        <f t="shared" si="46"/>
        <v>2</v>
      </c>
      <c r="O75" s="24">
        <f t="shared" si="37"/>
        <v>733</v>
      </c>
      <c r="P75" s="49"/>
      <c r="Q75" s="49"/>
      <c r="R75" s="49"/>
    </row>
    <row r="76" spans="1:18" x14ac:dyDescent="0.2">
      <c r="A76" s="53" t="s">
        <v>96</v>
      </c>
      <c r="B76" s="12" t="s">
        <v>34</v>
      </c>
      <c r="C76" s="30">
        <f t="shared" ref="C76:N76" si="47">ROUND(IF(C16=0,0,(C16/C$34)*C$62),0)</f>
        <v>83</v>
      </c>
      <c r="D76" s="30">
        <f t="shared" si="47"/>
        <v>19</v>
      </c>
      <c r="E76" s="30">
        <f t="shared" si="47"/>
        <v>29</v>
      </c>
      <c r="F76" s="30">
        <f t="shared" si="47"/>
        <v>41</v>
      </c>
      <c r="G76" s="30">
        <f t="shared" si="47"/>
        <v>226</v>
      </c>
      <c r="H76" s="30">
        <f t="shared" si="47"/>
        <v>112</v>
      </c>
      <c r="I76" s="30">
        <f t="shared" si="47"/>
        <v>327</v>
      </c>
      <c r="J76" s="30">
        <f t="shared" si="47"/>
        <v>76</v>
      </c>
      <c r="K76" s="30">
        <f t="shared" si="47"/>
        <v>204</v>
      </c>
      <c r="L76" s="30">
        <f t="shared" si="47"/>
        <v>56</v>
      </c>
      <c r="M76" s="30">
        <f t="shared" si="40"/>
        <v>98</v>
      </c>
      <c r="N76" s="30">
        <f t="shared" si="47"/>
        <v>4</v>
      </c>
      <c r="O76" s="24">
        <f t="shared" si="37"/>
        <v>1275</v>
      </c>
      <c r="P76" s="49"/>
      <c r="Q76" s="49"/>
      <c r="R76" s="49"/>
    </row>
    <row r="77" spans="1:18" x14ac:dyDescent="0.2">
      <c r="A77" s="53" t="s">
        <v>97</v>
      </c>
      <c r="B77" s="12" t="s">
        <v>29</v>
      </c>
      <c r="C77" s="30">
        <f t="shared" ref="C77:N77" si="48">ROUND(IF(C17=0,0,(C17/C$34)*C$62),0)</f>
        <v>26</v>
      </c>
      <c r="D77" s="30">
        <f t="shared" si="48"/>
        <v>13</v>
      </c>
      <c r="E77" s="30">
        <f t="shared" si="48"/>
        <v>12</v>
      </c>
      <c r="F77" s="30">
        <f t="shared" si="48"/>
        <v>19</v>
      </c>
      <c r="G77" s="30">
        <f t="shared" si="48"/>
        <v>10</v>
      </c>
      <c r="H77" s="30">
        <f t="shared" si="48"/>
        <v>0</v>
      </c>
      <c r="I77" s="30">
        <f t="shared" si="48"/>
        <v>63</v>
      </c>
      <c r="J77" s="30">
        <f t="shared" si="48"/>
        <v>31</v>
      </c>
      <c r="K77" s="30">
        <f t="shared" si="48"/>
        <v>34</v>
      </c>
      <c r="L77" s="30">
        <f t="shared" si="48"/>
        <v>11</v>
      </c>
      <c r="M77" s="30">
        <f t="shared" si="40"/>
        <v>24</v>
      </c>
      <c r="N77" s="30">
        <f t="shared" si="48"/>
        <v>6</v>
      </c>
      <c r="O77" s="24">
        <f t="shared" si="37"/>
        <v>249</v>
      </c>
      <c r="P77" s="49"/>
      <c r="Q77" s="49"/>
      <c r="R77" s="49"/>
    </row>
    <row r="78" spans="1:18" x14ac:dyDescent="0.2">
      <c r="A78" s="53" t="s">
        <v>98</v>
      </c>
      <c r="B78" s="12" t="s">
        <v>40</v>
      </c>
      <c r="C78" s="30">
        <f t="shared" ref="C78:N78" si="49">ROUND(IF(C18=0,0,(C18/C$34)*C$62),0)</f>
        <v>40</v>
      </c>
      <c r="D78" s="30">
        <f t="shared" si="49"/>
        <v>25</v>
      </c>
      <c r="E78" s="30">
        <f t="shared" si="49"/>
        <v>33</v>
      </c>
      <c r="F78" s="30">
        <f t="shared" si="49"/>
        <v>19</v>
      </c>
      <c r="G78" s="30">
        <f t="shared" si="49"/>
        <v>170</v>
      </c>
      <c r="H78" s="30">
        <f t="shared" si="49"/>
        <v>39</v>
      </c>
      <c r="I78" s="30">
        <f t="shared" si="49"/>
        <v>231</v>
      </c>
      <c r="J78" s="30">
        <f t="shared" si="49"/>
        <v>39</v>
      </c>
      <c r="K78" s="30">
        <f t="shared" si="49"/>
        <v>91</v>
      </c>
      <c r="L78" s="30">
        <f t="shared" si="49"/>
        <v>26</v>
      </c>
      <c r="M78" s="30">
        <f t="shared" si="40"/>
        <v>60</v>
      </c>
      <c r="N78" s="30">
        <f t="shared" si="49"/>
        <v>4</v>
      </c>
      <c r="O78" s="24">
        <f t="shared" si="37"/>
        <v>777</v>
      </c>
      <c r="P78" s="49"/>
      <c r="Q78" s="49"/>
      <c r="R78" s="49"/>
    </row>
    <row r="79" spans="1:18" x14ac:dyDescent="0.2">
      <c r="A79" s="53" t="s">
        <v>99</v>
      </c>
      <c r="B79" s="12" t="s">
        <v>45</v>
      </c>
      <c r="C79" s="30">
        <f t="shared" ref="C79:N79" si="50">ROUND(IF(C19=0,0,(C19/C$34)*C$62),0)</f>
        <v>233</v>
      </c>
      <c r="D79" s="30">
        <f t="shared" si="50"/>
        <v>142</v>
      </c>
      <c r="E79" s="30">
        <f t="shared" si="50"/>
        <v>135</v>
      </c>
      <c r="F79" s="30">
        <f t="shared" si="50"/>
        <v>112</v>
      </c>
      <c r="G79" s="30">
        <f t="shared" si="50"/>
        <v>1020</v>
      </c>
      <c r="H79" s="30">
        <f t="shared" si="50"/>
        <v>219</v>
      </c>
      <c r="I79" s="30">
        <f t="shared" si="50"/>
        <v>1103</v>
      </c>
      <c r="J79" s="30">
        <f t="shared" si="50"/>
        <v>210</v>
      </c>
      <c r="K79" s="30">
        <f t="shared" si="50"/>
        <v>604</v>
      </c>
      <c r="L79" s="30">
        <f t="shared" si="50"/>
        <v>131</v>
      </c>
      <c r="M79" s="30">
        <f t="shared" si="40"/>
        <v>319</v>
      </c>
      <c r="N79" s="30">
        <f t="shared" si="50"/>
        <v>14</v>
      </c>
      <c r="O79" s="24">
        <f t="shared" si="37"/>
        <v>4242</v>
      </c>
      <c r="P79" s="49"/>
      <c r="Q79" s="49"/>
      <c r="R79" s="49"/>
    </row>
    <row r="80" spans="1:18" x14ac:dyDescent="0.2">
      <c r="A80" s="53" t="s">
        <v>100</v>
      </c>
      <c r="B80" s="12" t="s">
        <v>39</v>
      </c>
      <c r="C80" s="30">
        <f t="shared" ref="C80:N80" si="51">ROUND(IF(C20=0,0,(C20/C$34)*C$62),0)</f>
        <v>29</v>
      </c>
      <c r="D80" s="30">
        <f t="shared" si="51"/>
        <v>23</v>
      </c>
      <c r="E80" s="30">
        <f t="shared" si="51"/>
        <v>16</v>
      </c>
      <c r="F80" s="30">
        <f t="shared" si="51"/>
        <v>25</v>
      </c>
      <c r="G80" s="30">
        <f t="shared" si="51"/>
        <v>103</v>
      </c>
      <c r="H80" s="30">
        <f t="shared" si="51"/>
        <v>29</v>
      </c>
      <c r="I80" s="30">
        <f t="shared" si="51"/>
        <v>199</v>
      </c>
      <c r="J80" s="30">
        <f t="shared" si="51"/>
        <v>50</v>
      </c>
      <c r="K80" s="30">
        <f t="shared" si="51"/>
        <v>99</v>
      </c>
      <c r="L80" s="30">
        <f t="shared" si="51"/>
        <v>11</v>
      </c>
      <c r="M80" s="30">
        <f t="shared" si="40"/>
        <v>55</v>
      </c>
      <c r="N80" s="30">
        <f t="shared" si="51"/>
        <v>2</v>
      </c>
      <c r="O80" s="24">
        <f t="shared" si="37"/>
        <v>641</v>
      </c>
      <c r="P80" s="49"/>
      <c r="Q80" s="49"/>
      <c r="R80" s="49"/>
    </row>
    <row r="81" spans="1:18" x14ac:dyDescent="0.2">
      <c r="A81" s="53" t="s">
        <v>101</v>
      </c>
      <c r="B81" s="12" t="s">
        <v>44</v>
      </c>
      <c r="C81" s="30">
        <f t="shared" ref="C81:N93" si="52">ROUND(IF(C21=0,0,(C21/C$34)*C$62),0)</f>
        <v>9</v>
      </c>
      <c r="D81" s="30">
        <f t="shared" si="52"/>
        <v>4</v>
      </c>
      <c r="E81" s="30">
        <f t="shared" si="52"/>
        <v>5</v>
      </c>
      <c r="F81" s="30">
        <f t="shared" si="52"/>
        <v>1</v>
      </c>
      <c r="G81" s="30">
        <f t="shared" si="52"/>
        <v>10</v>
      </c>
      <c r="H81" s="30">
        <f t="shared" si="52"/>
        <v>4</v>
      </c>
      <c r="I81" s="30">
        <f t="shared" si="52"/>
        <v>14</v>
      </c>
      <c r="J81" s="30">
        <f t="shared" si="52"/>
        <v>3</v>
      </c>
      <c r="K81" s="30">
        <f t="shared" si="52"/>
        <v>7</v>
      </c>
      <c r="L81" s="30">
        <f t="shared" si="52"/>
        <v>1</v>
      </c>
      <c r="M81" s="30">
        <f t="shared" si="40"/>
        <v>3</v>
      </c>
      <c r="N81" s="30">
        <f t="shared" si="52"/>
        <v>0</v>
      </c>
      <c r="O81" s="24">
        <f t="shared" si="37"/>
        <v>61</v>
      </c>
      <c r="P81" s="49"/>
      <c r="Q81" s="49"/>
      <c r="R81" s="49"/>
    </row>
    <row r="82" spans="1:18" x14ac:dyDescent="0.2">
      <c r="A82" s="53" t="s">
        <v>102</v>
      </c>
      <c r="B82" s="12" t="s">
        <v>58</v>
      </c>
      <c r="C82" s="30">
        <f t="shared" si="52"/>
        <v>199</v>
      </c>
      <c r="D82" s="30">
        <f t="shared" si="52"/>
        <v>155</v>
      </c>
      <c r="E82" s="30">
        <f t="shared" si="52"/>
        <v>122</v>
      </c>
      <c r="F82" s="30">
        <f t="shared" si="52"/>
        <v>122</v>
      </c>
      <c r="G82" s="30">
        <f t="shared" si="52"/>
        <v>1153</v>
      </c>
      <c r="H82" s="30">
        <f t="shared" si="52"/>
        <v>208</v>
      </c>
      <c r="I82" s="30">
        <f t="shared" si="52"/>
        <v>1041</v>
      </c>
      <c r="J82" s="30">
        <f t="shared" si="52"/>
        <v>229</v>
      </c>
      <c r="K82" s="30">
        <f t="shared" si="52"/>
        <v>450</v>
      </c>
      <c r="L82" s="30">
        <f t="shared" si="52"/>
        <v>76</v>
      </c>
      <c r="M82" s="30">
        <f t="shared" si="40"/>
        <v>141</v>
      </c>
      <c r="N82" s="30">
        <f t="shared" si="52"/>
        <v>7</v>
      </c>
      <c r="O82" s="24">
        <f t="shared" si="37"/>
        <v>3903</v>
      </c>
      <c r="P82" s="49"/>
      <c r="Q82" s="49"/>
      <c r="R82" s="49"/>
    </row>
    <row r="83" spans="1:18" x14ac:dyDescent="0.2">
      <c r="A83" s="53" t="s">
        <v>103</v>
      </c>
      <c r="B83" s="12" t="str">
        <f>+B55</f>
        <v>Mixed Amphet Salts</v>
      </c>
      <c r="C83" s="30">
        <f t="shared" si="52"/>
        <v>29</v>
      </c>
      <c r="D83" s="30">
        <f t="shared" si="52"/>
        <v>29</v>
      </c>
      <c r="E83" s="30">
        <f t="shared" si="52"/>
        <v>9</v>
      </c>
      <c r="F83" s="30">
        <f t="shared" si="52"/>
        <v>17</v>
      </c>
      <c r="G83" s="30">
        <f t="shared" si="52"/>
        <v>138</v>
      </c>
      <c r="H83" s="30">
        <f t="shared" si="52"/>
        <v>21</v>
      </c>
      <c r="I83" s="30">
        <f t="shared" si="52"/>
        <v>111</v>
      </c>
      <c r="J83" s="30">
        <f t="shared" si="52"/>
        <v>18</v>
      </c>
      <c r="K83" s="30">
        <f t="shared" si="52"/>
        <v>52</v>
      </c>
      <c r="L83" s="30">
        <f t="shared" si="52"/>
        <v>8</v>
      </c>
      <c r="M83" s="30">
        <f t="shared" si="40"/>
        <v>19</v>
      </c>
      <c r="N83" s="30">
        <f t="shared" si="52"/>
        <v>1</v>
      </c>
      <c r="O83" s="24">
        <f t="shared" si="37"/>
        <v>452</v>
      </c>
      <c r="P83" s="49"/>
      <c r="Q83" s="49"/>
      <c r="R83" s="49"/>
    </row>
    <row r="84" spans="1:18" x14ac:dyDescent="0.2">
      <c r="A84" s="53" t="s">
        <v>104</v>
      </c>
      <c r="B84" s="12" t="s">
        <v>59</v>
      </c>
      <c r="C84" s="30">
        <f t="shared" si="52"/>
        <v>12</v>
      </c>
      <c r="D84" s="30">
        <f t="shared" si="52"/>
        <v>6</v>
      </c>
      <c r="E84" s="30">
        <f t="shared" si="52"/>
        <v>9</v>
      </c>
      <c r="F84" s="30">
        <f t="shared" si="52"/>
        <v>4</v>
      </c>
      <c r="G84" s="30">
        <f t="shared" si="52"/>
        <v>43</v>
      </c>
      <c r="H84" s="30">
        <f t="shared" si="52"/>
        <v>16</v>
      </c>
      <c r="I84" s="30">
        <f t="shared" si="52"/>
        <v>37</v>
      </c>
      <c r="J84" s="30">
        <f t="shared" si="52"/>
        <v>11</v>
      </c>
      <c r="K84" s="30">
        <f t="shared" si="52"/>
        <v>21</v>
      </c>
      <c r="L84" s="30">
        <f t="shared" si="52"/>
        <v>3</v>
      </c>
      <c r="M84" s="30">
        <f t="shared" si="40"/>
        <v>12</v>
      </c>
      <c r="N84" s="30">
        <f t="shared" si="52"/>
        <v>1</v>
      </c>
      <c r="O84" s="24">
        <f t="shared" si="37"/>
        <v>175</v>
      </c>
      <c r="P84" s="49"/>
      <c r="Q84" s="49"/>
      <c r="R84" s="49"/>
    </row>
    <row r="85" spans="1:18" x14ac:dyDescent="0.2">
      <c r="A85" s="53" t="s">
        <v>62</v>
      </c>
      <c r="B85" s="12" t="s">
        <v>18</v>
      </c>
      <c r="C85" s="30">
        <f t="shared" si="52"/>
        <v>41</v>
      </c>
      <c r="D85" s="30">
        <f t="shared" si="52"/>
        <v>38</v>
      </c>
      <c r="E85" s="30">
        <f t="shared" si="52"/>
        <v>15</v>
      </c>
      <c r="F85" s="30">
        <f t="shared" si="52"/>
        <v>27</v>
      </c>
      <c r="G85" s="30">
        <f t="shared" si="52"/>
        <v>328</v>
      </c>
      <c r="H85" s="30">
        <f t="shared" si="52"/>
        <v>42</v>
      </c>
      <c r="I85" s="30">
        <f t="shared" si="52"/>
        <v>240</v>
      </c>
      <c r="J85" s="30">
        <f t="shared" si="52"/>
        <v>37</v>
      </c>
      <c r="K85" s="30">
        <f t="shared" si="52"/>
        <v>90</v>
      </c>
      <c r="L85" s="30">
        <f t="shared" si="52"/>
        <v>26</v>
      </c>
      <c r="M85" s="30">
        <f t="shared" si="40"/>
        <v>60</v>
      </c>
      <c r="N85" s="30">
        <f t="shared" si="52"/>
        <v>3</v>
      </c>
      <c r="O85" s="24">
        <f t="shared" si="37"/>
        <v>947</v>
      </c>
      <c r="P85" s="49"/>
      <c r="Q85" s="49"/>
      <c r="R85" s="49"/>
    </row>
    <row r="86" spans="1:18" x14ac:dyDescent="0.2">
      <c r="A86" s="53" t="s">
        <v>105</v>
      </c>
      <c r="B86" s="12" t="s">
        <v>19</v>
      </c>
      <c r="C86" s="30">
        <f t="shared" si="52"/>
        <v>72</v>
      </c>
      <c r="D86" s="30">
        <f t="shared" si="52"/>
        <v>50</v>
      </c>
      <c r="E86" s="30">
        <f t="shared" si="52"/>
        <v>38</v>
      </c>
      <c r="F86" s="30">
        <f t="shared" si="52"/>
        <v>28</v>
      </c>
      <c r="G86" s="30">
        <f t="shared" si="52"/>
        <v>276</v>
      </c>
      <c r="H86" s="30">
        <f t="shared" si="52"/>
        <v>55</v>
      </c>
      <c r="I86" s="30">
        <f t="shared" si="52"/>
        <v>529</v>
      </c>
      <c r="J86" s="30">
        <f t="shared" si="52"/>
        <v>69</v>
      </c>
      <c r="K86" s="30">
        <f t="shared" si="52"/>
        <v>129</v>
      </c>
      <c r="L86" s="30">
        <f t="shared" si="52"/>
        <v>37</v>
      </c>
      <c r="M86" s="30">
        <f t="shared" si="40"/>
        <v>98</v>
      </c>
      <c r="N86" s="30">
        <f t="shared" si="52"/>
        <v>3</v>
      </c>
      <c r="O86" s="24">
        <f t="shared" si="37"/>
        <v>1384</v>
      </c>
      <c r="P86" s="49"/>
      <c r="Q86" s="49"/>
      <c r="R86" s="49"/>
    </row>
    <row r="87" spans="1:18" x14ac:dyDescent="0.2">
      <c r="A87" s="53" t="s">
        <v>106</v>
      </c>
      <c r="B87" s="12" t="s">
        <v>57</v>
      </c>
      <c r="C87" s="30">
        <f t="shared" si="52"/>
        <v>24</v>
      </c>
      <c r="D87" s="30">
        <f t="shared" si="52"/>
        <v>17</v>
      </c>
      <c r="E87" s="30">
        <f t="shared" si="52"/>
        <v>10</v>
      </c>
      <c r="F87" s="30">
        <f t="shared" si="52"/>
        <v>11</v>
      </c>
      <c r="G87" s="30">
        <f t="shared" si="52"/>
        <v>66</v>
      </c>
      <c r="H87" s="30">
        <f t="shared" si="52"/>
        <v>13</v>
      </c>
      <c r="I87" s="30">
        <f t="shared" si="52"/>
        <v>54</v>
      </c>
      <c r="J87" s="30">
        <f t="shared" si="52"/>
        <v>9</v>
      </c>
      <c r="K87" s="30">
        <f t="shared" si="52"/>
        <v>16</v>
      </c>
      <c r="L87" s="30">
        <f t="shared" si="52"/>
        <v>4</v>
      </c>
      <c r="M87" s="30">
        <f t="shared" si="40"/>
        <v>7</v>
      </c>
      <c r="N87" s="30">
        <f t="shared" si="52"/>
        <v>0</v>
      </c>
      <c r="O87" s="24">
        <f t="shared" si="37"/>
        <v>231</v>
      </c>
      <c r="P87" s="49"/>
      <c r="Q87" s="49"/>
      <c r="R87" s="49"/>
    </row>
    <row r="88" spans="1:18" x14ac:dyDescent="0.2">
      <c r="A88" s="53" t="s">
        <v>107</v>
      </c>
      <c r="B88" s="12" t="s">
        <v>42</v>
      </c>
      <c r="C88" s="30">
        <f t="shared" si="52"/>
        <v>0</v>
      </c>
      <c r="D88" s="30">
        <f t="shared" si="52"/>
        <v>0</v>
      </c>
      <c r="E88" s="30">
        <f t="shared" si="52"/>
        <v>0</v>
      </c>
      <c r="F88" s="30">
        <f t="shared" si="52"/>
        <v>0</v>
      </c>
      <c r="G88" s="30">
        <f t="shared" si="52"/>
        <v>0</v>
      </c>
      <c r="H88" s="30">
        <f t="shared" si="52"/>
        <v>0</v>
      </c>
      <c r="I88" s="30">
        <f t="shared" si="52"/>
        <v>0</v>
      </c>
      <c r="J88" s="30">
        <f t="shared" si="52"/>
        <v>0</v>
      </c>
      <c r="K88" s="30">
        <f t="shared" si="52"/>
        <v>0</v>
      </c>
      <c r="L88" s="30">
        <f t="shared" si="52"/>
        <v>0</v>
      </c>
      <c r="M88" s="30">
        <f t="shared" si="40"/>
        <v>0</v>
      </c>
      <c r="N88" s="30">
        <f t="shared" si="52"/>
        <v>0</v>
      </c>
      <c r="O88" s="24">
        <f t="shared" si="37"/>
        <v>0</v>
      </c>
      <c r="P88" s="49"/>
      <c r="Q88" s="49"/>
      <c r="R88" s="49"/>
    </row>
    <row r="89" spans="1:18" x14ac:dyDescent="0.2">
      <c r="A89" s="53" t="s">
        <v>108</v>
      </c>
      <c r="B89" s="12" t="s">
        <v>43</v>
      </c>
      <c r="C89" s="30">
        <f t="shared" si="52"/>
        <v>171</v>
      </c>
      <c r="D89" s="30">
        <f t="shared" si="52"/>
        <v>64</v>
      </c>
      <c r="E89" s="30">
        <f t="shared" si="52"/>
        <v>80</v>
      </c>
      <c r="F89" s="30">
        <f t="shared" si="52"/>
        <v>75</v>
      </c>
      <c r="G89" s="30">
        <f t="shared" si="52"/>
        <v>497</v>
      </c>
      <c r="H89" s="30">
        <f t="shared" si="52"/>
        <v>112</v>
      </c>
      <c r="I89" s="30">
        <f t="shared" si="52"/>
        <v>509</v>
      </c>
      <c r="J89" s="30">
        <f t="shared" si="52"/>
        <v>99</v>
      </c>
      <c r="K89" s="30">
        <f t="shared" si="52"/>
        <v>175</v>
      </c>
      <c r="L89" s="30">
        <f t="shared" si="52"/>
        <v>57</v>
      </c>
      <c r="M89" s="30">
        <f t="shared" si="40"/>
        <v>102</v>
      </c>
      <c r="N89" s="30">
        <f t="shared" si="52"/>
        <v>5</v>
      </c>
      <c r="O89" s="24">
        <f t="shared" si="37"/>
        <v>1946</v>
      </c>
      <c r="P89" s="49"/>
      <c r="Q89" s="49"/>
      <c r="R89" s="49"/>
    </row>
    <row r="90" spans="1:18" x14ac:dyDescent="0.2">
      <c r="A90" s="53" t="s">
        <v>109</v>
      </c>
      <c r="B90" s="12" t="s">
        <v>56</v>
      </c>
      <c r="C90" s="30">
        <f t="shared" si="52"/>
        <v>44</v>
      </c>
      <c r="D90" s="30">
        <f t="shared" si="52"/>
        <v>47</v>
      </c>
      <c r="E90" s="30">
        <f t="shared" si="52"/>
        <v>23</v>
      </c>
      <c r="F90" s="30">
        <f t="shared" si="52"/>
        <v>11</v>
      </c>
      <c r="G90" s="30">
        <f t="shared" si="52"/>
        <v>0</v>
      </c>
      <c r="H90" s="30">
        <f t="shared" si="52"/>
        <v>0</v>
      </c>
      <c r="I90" s="30">
        <f t="shared" si="52"/>
        <v>0</v>
      </c>
      <c r="J90" s="30">
        <f t="shared" si="52"/>
        <v>0</v>
      </c>
      <c r="K90" s="30">
        <f t="shared" si="52"/>
        <v>0</v>
      </c>
      <c r="L90" s="30">
        <f t="shared" si="52"/>
        <v>0</v>
      </c>
      <c r="M90" s="30">
        <f t="shared" si="40"/>
        <v>0</v>
      </c>
      <c r="N90" s="30">
        <f t="shared" si="52"/>
        <v>0</v>
      </c>
      <c r="O90" s="24">
        <f t="shared" si="37"/>
        <v>125</v>
      </c>
      <c r="P90" s="49"/>
      <c r="Q90" s="49"/>
      <c r="R90" s="49"/>
    </row>
    <row r="91" spans="1:18" x14ac:dyDescent="0.2">
      <c r="A91" s="53" t="s">
        <v>110</v>
      </c>
      <c r="B91" s="12" t="s">
        <v>49</v>
      </c>
      <c r="C91" s="30">
        <f t="shared" si="52"/>
        <v>47</v>
      </c>
      <c r="D91" s="30">
        <f t="shared" si="52"/>
        <v>38</v>
      </c>
      <c r="E91" s="30">
        <f t="shared" si="52"/>
        <v>28</v>
      </c>
      <c r="F91" s="30">
        <f t="shared" si="52"/>
        <v>30</v>
      </c>
      <c r="G91" s="30">
        <f t="shared" si="52"/>
        <v>274</v>
      </c>
      <c r="H91" s="30">
        <f t="shared" si="52"/>
        <v>38</v>
      </c>
      <c r="I91" s="30">
        <f t="shared" si="52"/>
        <v>276</v>
      </c>
      <c r="J91" s="30">
        <f t="shared" si="52"/>
        <v>35</v>
      </c>
      <c r="K91" s="30">
        <f t="shared" si="52"/>
        <v>71</v>
      </c>
      <c r="L91" s="30">
        <f t="shared" si="52"/>
        <v>23</v>
      </c>
      <c r="M91" s="30">
        <f t="shared" si="40"/>
        <v>52</v>
      </c>
      <c r="N91" s="30">
        <f t="shared" si="52"/>
        <v>2</v>
      </c>
      <c r="O91" s="24">
        <f t="shared" si="37"/>
        <v>914</v>
      </c>
      <c r="P91" s="49"/>
      <c r="Q91" s="49"/>
      <c r="R91" s="49"/>
    </row>
    <row r="92" spans="1:18" x14ac:dyDescent="0.2">
      <c r="A92" s="53" t="s">
        <v>111</v>
      </c>
      <c r="B92" s="12" t="s">
        <v>52</v>
      </c>
      <c r="C92" s="30">
        <f t="shared" si="52"/>
        <v>53</v>
      </c>
      <c r="D92" s="30">
        <f t="shared" si="52"/>
        <v>58</v>
      </c>
      <c r="E92" s="30">
        <f t="shared" si="52"/>
        <v>2</v>
      </c>
      <c r="F92" s="30">
        <f t="shared" si="52"/>
        <v>3</v>
      </c>
      <c r="G92" s="30">
        <f t="shared" si="52"/>
        <v>23</v>
      </c>
      <c r="H92" s="30">
        <f t="shared" si="52"/>
        <v>2</v>
      </c>
      <c r="I92" s="30">
        <f t="shared" si="52"/>
        <v>11</v>
      </c>
      <c r="J92" s="30">
        <f t="shared" si="52"/>
        <v>2</v>
      </c>
      <c r="K92" s="30">
        <f t="shared" si="52"/>
        <v>2</v>
      </c>
      <c r="L92" s="30">
        <f t="shared" si="52"/>
        <v>1</v>
      </c>
      <c r="M92" s="30">
        <f t="shared" si="40"/>
        <v>3</v>
      </c>
      <c r="N92" s="30">
        <f t="shared" si="52"/>
        <v>0</v>
      </c>
      <c r="O92" s="24">
        <f t="shared" si="37"/>
        <v>160</v>
      </c>
      <c r="P92" s="49"/>
      <c r="Q92" s="49"/>
      <c r="R92" s="49"/>
    </row>
    <row r="93" spans="1:18" x14ac:dyDescent="0.2">
      <c r="A93" s="53" t="s">
        <v>112</v>
      </c>
      <c r="B93" s="12" t="s">
        <v>14</v>
      </c>
      <c r="C93" s="30">
        <f t="shared" si="52"/>
        <v>3</v>
      </c>
      <c r="D93" s="30">
        <f t="shared" si="52"/>
        <v>3</v>
      </c>
      <c r="E93" s="30">
        <f t="shared" si="52"/>
        <v>33</v>
      </c>
      <c r="F93" s="30">
        <f t="shared" si="52"/>
        <v>48</v>
      </c>
      <c r="G93" s="30">
        <f t="shared" si="52"/>
        <v>412</v>
      </c>
      <c r="H93" s="30">
        <f t="shared" si="52"/>
        <v>54</v>
      </c>
      <c r="I93" s="30">
        <f t="shared" si="52"/>
        <v>336</v>
      </c>
      <c r="J93" s="30">
        <f t="shared" si="52"/>
        <v>54</v>
      </c>
      <c r="K93" s="30">
        <f t="shared" si="52"/>
        <v>114</v>
      </c>
      <c r="L93" s="30">
        <f t="shared" si="52"/>
        <v>36</v>
      </c>
      <c r="M93" s="30">
        <f t="shared" si="40"/>
        <v>78</v>
      </c>
      <c r="N93" s="30">
        <f t="shared" si="52"/>
        <v>3</v>
      </c>
      <c r="O93" s="24">
        <f t="shared" si="37"/>
        <v>1174</v>
      </c>
      <c r="P93" s="49"/>
      <c r="Q93" s="49"/>
      <c r="R93" s="49"/>
    </row>
    <row r="94" spans="1:18" x14ac:dyDescent="0.2">
      <c r="A94" s="6"/>
      <c r="B94" s="14" t="s">
        <v>13</v>
      </c>
      <c r="C94" s="65">
        <f t="shared" ref="C94:N94" si="53">SUM(C67:C93)</f>
        <v>4490</v>
      </c>
      <c r="D94" s="65">
        <f t="shared" si="53"/>
        <v>3340</v>
      </c>
      <c r="E94" s="65">
        <f t="shared" si="53"/>
        <v>2164</v>
      </c>
      <c r="F94" s="65">
        <f t="shared" ref="F94:G94" si="54">SUM(F67:F93)</f>
        <v>2070</v>
      </c>
      <c r="G94" s="65">
        <f t="shared" si="54"/>
        <v>22746</v>
      </c>
      <c r="H94" s="65">
        <f t="shared" si="53"/>
        <v>4130</v>
      </c>
      <c r="I94" s="65">
        <f t="shared" si="53"/>
        <v>18968</v>
      </c>
      <c r="J94" s="65">
        <f t="shared" ref="J94" si="55">SUM(J67:J93)</f>
        <v>3923</v>
      </c>
      <c r="K94" s="65">
        <f t="shared" si="53"/>
        <v>8474</v>
      </c>
      <c r="L94" s="65">
        <f t="shared" ref="L94" si="56">SUM(L67:L93)</f>
        <v>2146</v>
      </c>
      <c r="M94" s="65">
        <f t="shared" si="53"/>
        <v>4569</v>
      </c>
      <c r="N94" s="65">
        <f t="shared" si="53"/>
        <v>210</v>
      </c>
      <c r="O94" s="66">
        <f t="shared" si="37"/>
        <v>77230</v>
      </c>
    </row>
    <row r="95" spans="1:18" x14ac:dyDescent="0.2">
      <c r="A95" s="18" t="s">
        <v>25</v>
      </c>
      <c r="B95" s="14"/>
      <c r="O95" s="26"/>
    </row>
    <row r="96" spans="1:18" x14ac:dyDescent="0.2">
      <c r="A96" s="53" t="s">
        <v>113</v>
      </c>
      <c r="B96" s="12" t="s">
        <v>15</v>
      </c>
      <c r="C96" s="21">
        <f>ROUND(IF(C7=0,0,C187*(C$63-C$122)),0)+65.63</f>
        <v>287223.63</v>
      </c>
      <c r="D96" s="21">
        <f>ROUND(IF(D7=0,0,D187*(D$63-D$122)),0)-5412.94</f>
        <v>235232.06</v>
      </c>
      <c r="E96" s="21">
        <f>ROUND(IF(E7=0,0,E187*(E$63-E$122)),0)-21.89</f>
        <v>138238.10999999999</v>
      </c>
      <c r="F96" s="21">
        <f>ROUND(IF(F7=0,0,F187*(F$63-F$122)),0)+887.84</f>
        <v>190801.84</v>
      </c>
      <c r="G96" s="21">
        <f>ROUND(IF(G7=0,0,G187*(G$63-G$122)),0)-357.75</f>
        <v>160272.25</v>
      </c>
      <c r="H96" s="21">
        <f>ROUND(IF(H7=0,0,H187*(H$63-H$122)),0)+149.71</f>
        <v>292466.71000000002</v>
      </c>
      <c r="I96" s="21">
        <f>ROUND(IF(I7=0,0,I187*(I$63-I$122)),0)-2.08</f>
        <v>173151.92</v>
      </c>
      <c r="J96" s="21">
        <f>ROUND(IF(J7=0,0,J187*(J$63-J$122)),0)+4.94</f>
        <v>216647.94</v>
      </c>
      <c r="K96" s="21">
        <f>ROUND(IF(K7=0,0,K187*(K$63-K$122)),0)+100.3</f>
        <v>124335.3</v>
      </c>
      <c r="L96" s="21">
        <f>ROUND(IF(L7=0,0,L187*(L$63-L$122)),0)-150.92</f>
        <v>181231.08</v>
      </c>
      <c r="M96" s="21">
        <f>ROUND(IF(M7=0,0,M187*(M$63-M$122)),0)-146.03</f>
        <v>121865.97</v>
      </c>
      <c r="N96" s="21">
        <f>ROUND(IF(N7=0,0,N187*(N$63-N$122)),0)-167.9</f>
        <v>159229.1</v>
      </c>
      <c r="O96" s="24">
        <f t="shared" ref="O96:O110" si="57">SUM(C96:N96)</f>
        <v>2280695.91</v>
      </c>
    </row>
    <row r="97" spans="1:15" x14ac:dyDescent="0.2">
      <c r="A97" s="53" t="s">
        <v>114</v>
      </c>
      <c r="B97" s="12" t="s">
        <v>16</v>
      </c>
      <c r="C97" s="21">
        <f>ROUND(IF(C8=0,0,C188*(C$63-C$122)),0)</f>
        <v>35759</v>
      </c>
      <c r="D97" s="21">
        <f>ROUND(IF(D8=0,0,D188*(D$63-D$122)),0)</f>
        <v>24102</v>
      </c>
      <c r="E97" s="21">
        <f t="shared" ref="E97:N97" si="58">ROUND(IF(E8=0,0,E188*(E$63-E$122)),0)</f>
        <v>27978</v>
      </c>
      <c r="F97" s="21">
        <f t="shared" si="58"/>
        <v>23772</v>
      </c>
      <c r="G97" s="21">
        <f t="shared" si="58"/>
        <v>36855</v>
      </c>
      <c r="H97" s="21">
        <f t="shared" si="58"/>
        <v>32093</v>
      </c>
      <c r="I97" s="21">
        <f t="shared" si="58"/>
        <v>29280</v>
      </c>
      <c r="J97" s="21">
        <f t="shared" si="58"/>
        <v>35010</v>
      </c>
      <c r="K97" s="21">
        <f t="shared" si="58"/>
        <v>20423</v>
      </c>
      <c r="L97" s="21">
        <f t="shared" si="58"/>
        <v>25928</v>
      </c>
      <c r="M97" s="21">
        <f t="shared" si="58"/>
        <v>27344</v>
      </c>
      <c r="N97" s="21">
        <f t="shared" si="58"/>
        <v>39043</v>
      </c>
      <c r="O97" s="24">
        <f t="shared" si="57"/>
        <v>357587</v>
      </c>
    </row>
    <row r="98" spans="1:15" x14ac:dyDescent="0.2">
      <c r="A98" s="53" t="s">
        <v>115</v>
      </c>
      <c r="B98" s="12" t="s">
        <v>32</v>
      </c>
      <c r="C98" s="21">
        <f t="shared" ref="C98:N98" si="59">ROUND(IF(C9=0,0,C189*(C$63-C$122)),0)</f>
        <v>50559</v>
      </c>
      <c r="D98" s="21">
        <f t="shared" si="59"/>
        <v>56075</v>
      </c>
      <c r="E98" s="21">
        <f t="shared" si="59"/>
        <v>29418</v>
      </c>
      <c r="F98" s="21">
        <f t="shared" si="59"/>
        <v>82319</v>
      </c>
      <c r="G98" s="21">
        <f t="shared" si="59"/>
        <v>76523</v>
      </c>
      <c r="H98" s="21">
        <f t="shared" si="59"/>
        <v>65768</v>
      </c>
      <c r="I98" s="21">
        <f t="shared" si="59"/>
        <v>45344</v>
      </c>
      <c r="J98" s="21">
        <f t="shared" si="59"/>
        <v>61222</v>
      </c>
      <c r="K98" s="21">
        <f t="shared" si="59"/>
        <v>24945</v>
      </c>
      <c r="L98" s="21">
        <f t="shared" si="59"/>
        <v>32562</v>
      </c>
      <c r="M98" s="21">
        <f t="shared" ref="M98:M110" si="60">ROUND(IF(M9=0,0,M189*(M$63-M$122)),0)</f>
        <v>29658</v>
      </c>
      <c r="N98" s="21">
        <f t="shared" si="59"/>
        <v>41300</v>
      </c>
      <c r="O98" s="24">
        <f t="shared" si="57"/>
        <v>595693</v>
      </c>
    </row>
    <row r="99" spans="1:15" x14ac:dyDescent="0.2">
      <c r="A99" s="53" t="s">
        <v>116</v>
      </c>
      <c r="B99" s="12" t="s">
        <v>17</v>
      </c>
      <c r="C99" s="21">
        <f t="shared" ref="C99:N99" si="61">ROUND(IF(C10=0,0,C190*(C$63-C$122)),0)</f>
        <v>18050</v>
      </c>
      <c r="D99" s="21">
        <f t="shared" si="61"/>
        <v>16107</v>
      </c>
      <c r="E99" s="21">
        <f t="shared" si="61"/>
        <v>11757</v>
      </c>
      <c r="F99" s="21">
        <f t="shared" si="61"/>
        <v>11055</v>
      </c>
      <c r="G99" s="21">
        <f t="shared" si="61"/>
        <v>17261</v>
      </c>
      <c r="H99" s="21">
        <f t="shared" si="61"/>
        <v>26053</v>
      </c>
      <c r="I99" s="21">
        <f t="shared" si="61"/>
        <v>14456</v>
      </c>
      <c r="J99" s="21">
        <f t="shared" si="61"/>
        <v>13418</v>
      </c>
      <c r="K99" s="21">
        <f t="shared" si="61"/>
        <v>8226</v>
      </c>
      <c r="L99" s="21">
        <f t="shared" si="61"/>
        <v>10177</v>
      </c>
      <c r="M99" s="21">
        <f t="shared" si="60"/>
        <v>7710</v>
      </c>
      <c r="N99" s="21">
        <f t="shared" si="61"/>
        <v>11243</v>
      </c>
      <c r="O99" s="24">
        <f t="shared" si="57"/>
        <v>165513</v>
      </c>
    </row>
    <row r="100" spans="1:15" x14ac:dyDescent="0.2">
      <c r="A100" s="53" t="s">
        <v>117</v>
      </c>
      <c r="B100" s="12" t="s">
        <v>48</v>
      </c>
      <c r="C100" s="21">
        <f t="shared" ref="C100:N100" si="62">ROUND(IF(C11=0,0,C191*(C$63-C$122)),0)</f>
        <v>1455</v>
      </c>
      <c r="D100" s="21">
        <f t="shared" si="62"/>
        <v>1787</v>
      </c>
      <c r="E100" s="21">
        <f t="shared" si="62"/>
        <v>504</v>
      </c>
      <c r="F100" s="21">
        <f t="shared" si="62"/>
        <v>362</v>
      </c>
      <c r="G100" s="21">
        <f t="shared" si="62"/>
        <v>1134</v>
      </c>
      <c r="H100" s="21">
        <f t="shared" si="62"/>
        <v>2948</v>
      </c>
      <c r="I100" s="21">
        <f t="shared" si="62"/>
        <v>919</v>
      </c>
      <c r="J100" s="21">
        <f t="shared" si="62"/>
        <v>1225</v>
      </c>
      <c r="K100" s="21">
        <f t="shared" si="62"/>
        <v>1309</v>
      </c>
      <c r="L100" s="21">
        <f t="shared" si="62"/>
        <v>1037</v>
      </c>
      <c r="M100" s="21">
        <f t="shared" si="60"/>
        <v>1365</v>
      </c>
      <c r="N100" s="21">
        <f t="shared" si="62"/>
        <v>1769</v>
      </c>
      <c r="O100" s="24">
        <f t="shared" si="57"/>
        <v>15814</v>
      </c>
    </row>
    <row r="101" spans="1:15" x14ac:dyDescent="0.2">
      <c r="A101" s="53" t="s">
        <v>118</v>
      </c>
      <c r="B101" s="12" t="str">
        <f>+B72</f>
        <v>Methylphenidate ER</v>
      </c>
      <c r="C101" s="21">
        <f t="shared" ref="C101:N101" si="63">ROUND(IF(C12=0,0,C192*(C$63-C$122)),0)</f>
        <v>10009</v>
      </c>
      <c r="D101" s="21">
        <f t="shared" si="63"/>
        <v>9900</v>
      </c>
      <c r="E101" s="21">
        <f t="shared" si="63"/>
        <v>4043</v>
      </c>
      <c r="F101" s="21">
        <f t="shared" si="63"/>
        <v>6468</v>
      </c>
      <c r="G101" s="21">
        <f t="shared" si="63"/>
        <v>4785</v>
      </c>
      <c r="H101" s="21">
        <f t="shared" si="63"/>
        <v>7547</v>
      </c>
      <c r="I101" s="21">
        <f t="shared" si="63"/>
        <v>4324</v>
      </c>
      <c r="J101" s="21">
        <f t="shared" si="63"/>
        <v>5836</v>
      </c>
      <c r="K101" s="21">
        <f t="shared" si="63"/>
        <v>2981</v>
      </c>
      <c r="L101" s="21">
        <f t="shared" si="63"/>
        <v>2838</v>
      </c>
      <c r="M101" s="21">
        <f t="shared" si="60"/>
        <v>3101</v>
      </c>
      <c r="N101" s="21">
        <f t="shared" si="63"/>
        <v>4521</v>
      </c>
      <c r="O101" s="24">
        <f t="shared" si="57"/>
        <v>66353</v>
      </c>
    </row>
    <row r="102" spans="1:15" x14ac:dyDescent="0.2">
      <c r="A102" s="53" t="s">
        <v>119</v>
      </c>
      <c r="B102" s="12" t="s">
        <v>51</v>
      </c>
      <c r="C102" s="21">
        <f t="shared" ref="C102:N102" si="64">ROUND(IF(C13=0,0,C193*(C$63-C$122)),0)</f>
        <v>157</v>
      </c>
      <c r="D102" s="21">
        <f t="shared" si="64"/>
        <v>244</v>
      </c>
      <c r="E102" s="21">
        <f t="shared" si="64"/>
        <v>208</v>
      </c>
      <c r="F102" s="21">
        <f t="shared" si="64"/>
        <v>192</v>
      </c>
      <c r="G102" s="21">
        <f t="shared" si="64"/>
        <v>125</v>
      </c>
      <c r="H102" s="21">
        <f t="shared" si="64"/>
        <v>169</v>
      </c>
      <c r="I102" s="21">
        <f t="shared" si="64"/>
        <v>124</v>
      </c>
      <c r="J102" s="21">
        <f t="shared" si="64"/>
        <v>171</v>
      </c>
      <c r="K102" s="21">
        <f t="shared" si="64"/>
        <v>128</v>
      </c>
      <c r="L102" s="21">
        <f t="shared" si="64"/>
        <v>89</v>
      </c>
      <c r="M102" s="21">
        <f t="shared" si="60"/>
        <v>85</v>
      </c>
      <c r="N102" s="21">
        <f t="shared" si="64"/>
        <v>136</v>
      </c>
      <c r="O102" s="24">
        <f t="shared" si="57"/>
        <v>1828</v>
      </c>
    </row>
    <row r="103" spans="1:15" x14ac:dyDescent="0.2">
      <c r="A103" s="53" t="s">
        <v>120</v>
      </c>
      <c r="B103" s="12" t="s">
        <v>28</v>
      </c>
      <c r="C103" s="21">
        <f t="shared" ref="C103:N103" si="65">ROUND(IF(C14=0,0,C194*(C$63-C$122)),0)</f>
        <v>12234</v>
      </c>
      <c r="D103" s="21">
        <f t="shared" si="65"/>
        <v>27881</v>
      </c>
      <c r="E103" s="21">
        <f t="shared" si="65"/>
        <v>8508</v>
      </c>
      <c r="F103" s="21">
        <f t="shared" si="65"/>
        <v>19076</v>
      </c>
      <c r="G103" s="21">
        <f t="shared" si="65"/>
        <v>17960</v>
      </c>
      <c r="H103" s="21">
        <f t="shared" si="65"/>
        <v>19762</v>
      </c>
      <c r="I103" s="21">
        <f t="shared" si="65"/>
        <v>11377</v>
      </c>
      <c r="J103" s="21">
        <f t="shared" si="65"/>
        <v>16611</v>
      </c>
      <c r="K103" s="21">
        <f t="shared" si="65"/>
        <v>10607</v>
      </c>
      <c r="L103" s="21">
        <f t="shared" si="65"/>
        <v>11796</v>
      </c>
      <c r="M103" s="21">
        <f t="shared" si="60"/>
        <v>9077</v>
      </c>
      <c r="N103" s="21">
        <f t="shared" si="65"/>
        <v>16621</v>
      </c>
      <c r="O103" s="24">
        <f t="shared" si="57"/>
        <v>181510</v>
      </c>
    </row>
    <row r="104" spans="1:15" x14ac:dyDescent="0.2">
      <c r="A104" s="53" t="s">
        <v>121</v>
      </c>
      <c r="B104" s="12" t="s">
        <v>33</v>
      </c>
      <c r="C104" s="21">
        <f t="shared" ref="C104:N104" si="66">ROUND(IF(C15=0,0,C195*(C$63-C$122)),0)</f>
        <v>13248</v>
      </c>
      <c r="D104" s="21">
        <f t="shared" si="66"/>
        <v>20055</v>
      </c>
      <c r="E104" s="21">
        <f t="shared" si="66"/>
        <v>8015</v>
      </c>
      <c r="F104" s="21">
        <f t="shared" si="66"/>
        <v>7356</v>
      </c>
      <c r="G104" s="21">
        <f t="shared" si="66"/>
        <v>16099</v>
      </c>
      <c r="H104" s="21">
        <f t="shared" si="66"/>
        <v>28136</v>
      </c>
      <c r="I104" s="21">
        <f t="shared" si="66"/>
        <v>13976</v>
      </c>
      <c r="J104" s="21">
        <f t="shared" si="66"/>
        <v>15772</v>
      </c>
      <c r="K104" s="21">
        <f t="shared" si="66"/>
        <v>9559</v>
      </c>
      <c r="L104" s="21">
        <f t="shared" si="66"/>
        <v>10364</v>
      </c>
      <c r="M104" s="21">
        <f t="shared" si="60"/>
        <v>10248</v>
      </c>
      <c r="N104" s="21">
        <f t="shared" si="66"/>
        <v>12687</v>
      </c>
      <c r="O104" s="24">
        <f t="shared" si="57"/>
        <v>165515</v>
      </c>
    </row>
    <row r="105" spans="1:15" x14ac:dyDescent="0.2">
      <c r="A105" s="53" t="s">
        <v>122</v>
      </c>
      <c r="B105" s="12" t="s">
        <v>34</v>
      </c>
      <c r="C105" s="21">
        <f t="shared" ref="C105:N105" si="67">ROUND(IF(C16=0,0,C196*(C$63-C$122)),0)</f>
        <v>31635</v>
      </c>
      <c r="D105" s="21">
        <f t="shared" si="67"/>
        <v>29342</v>
      </c>
      <c r="E105" s="21">
        <f t="shared" si="67"/>
        <v>15817</v>
      </c>
      <c r="F105" s="21">
        <f t="shared" si="67"/>
        <v>33204</v>
      </c>
      <c r="G105" s="21">
        <f t="shared" si="67"/>
        <v>25761</v>
      </c>
      <c r="H105" s="21">
        <f t="shared" si="67"/>
        <v>34281</v>
      </c>
      <c r="I105" s="21">
        <f t="shared" si="67"/>
        <v>15667</v>
      </c>
      <c r="J105" s="21">
        <f t="shared" si="67"/>
        <v>21266</v>
      </c>
      <c r="K105" s="21">
        <f t="shared" si="67"/>
        <v>14044</v>
      </c>
      <c r="L105" s="21">
        <f t="shared" si="67"/>
        <v>17201</v>
      </c>
      <c r="M105" s="21">
        <f t="shared" si="60"/>
        <v>11194</v>
      </c>
      <c r="N105" s="21">
        <f t="shared" si="67"/>
        <v>14895</v>
      </c>
      <c r="O105" s="24">
        <f t="shared" si="57"/>
        <v>264307</v>
      </c>
    </row>
    <row r="106" spans="1:15" x14ac:dyDescent="0.2">
      <c r="A106" s="53" t="s">
        <v>123</v>
      </c>
      <c r="B106" s="12" t="s">
        <v>29</v>
      </c>
      <c r="C106" s="21">
        <f t="shared" ref="C106:N106" si="68">ROUND(IF(C17=0,0,C197*(C$63-C$122)),0)</f>
        <v>6686</v>
      </c>
      <c r="D106" s="21">
        <f t="shared" si="68"/>
        <v>2359</v>
      </c>
      <c r="E106" s="21">
        <f t="shared" si="68"/>
        <v>5882</v>
      </c>
      <c r="F106" s="21">
        <f t="shared" si="68"/>
        <v>4875</v>
      </c>
      <c r="G106" s="21">
        <f t="shared" si="68"/>
        <v>825</v>
      </c>
      <c r="H106" s="21">
        <f t="shared" si="68"/>
        <v>0</v>
      </c>
      <c r="I106" s="21">
        <f t="shared" si="68"/>
        <v>4110</v>
      </c>
      <c r="J106" s="21">
        <f t="shared" si="68"/>
        <v>8249</v>
      </c>
      <c r="K106" s="21">
        <f t="shared" si="68"/>
        <v>3030</v>
      </c>
      <c r="L106" s="21">
        <f t="shared" si="68"/>
        <v>3708</v>
      </c>
      <c r="M106" s="21">
        <f t="shared" si="60"/>
        <v>2619</v>
      </c>
      <c r="N106" s="21">
        <f t="shared" si="68"/>
        <v>9622</v>
      </c>
      <c r="O106" s="24">
        <f t="shared" si="57"/>
        <v>51965</v>
      </c>
    </row>
    <row r="107" spans="1:15" x14ac:dyDescent="0.2">
      <c r="A107" s="53" t="s">
        <v>124</v>
      </c>
      <c r="B107" s="12" t="s">
        <v>40</v>
      </c>
      <c r="C107" s="21">
        <f t="shared" ref="C107:N107" si="69">ROUND(IF(C18=0,0,C198*(C$63-C$122)),0)</f>
        <v>534</v>
      </c>
      <c r="D107" s="21">
        <f t="shared" si="69"/>
        <v>558</v>
      </c>
      <c r="E107" s="21">
        <f t="shared" si="69"/>
        <v>546</v>
      </c>
      <c r="F107" s="21">
        <f t="shared" si="69"/>
        <v>538</v>
      </c>
      <c r="G107" s="21">
        <f t="shared" si="69"/>
        <v>435</v>
      </c>
      <c r="H107" s="21">
        <f t="shared" si="69"/>
        <v>776</v>
      </c>
      <c r="I107" s="21">
        <f t="shared" si="69"/>
        <v>586</v>
      </c>
      <c r="J107" s="21">
        <f t="shared" si="69"/>
        <v>641</v>
      </c>
      <c r="K107" s="21">
        <f t="shared" si="69"/>
        <v>381</v>
      </c>
      <c r="L107" s="21">
        <f t="shared" si="69"/>
        <v>477</v>
      </c>
      <c r="M107" s="21">
        <f t="shared" si="60"/>
        <v>435</v>
      </c>
      <c r="N107" s="21">
        <f t="shared" si="69"/>
        <v>823</v>
      </c>
      <c r="O107" s="24">
        <f t="shared" si="57"/>
        <v>6730</v>
      </c>
    </row>
    <row r="108" spans="1:15" x14ac:dyDescent="0.2">
      <c r="A108" s="53" t="s">
        <v>125</v>
      </c>
      <c r="B108" s="12" t="s">
        <v>45</v>
      </c>
      <c r="C108" s="21">
        <f t="shared" ref="C108:N108" si="70">ROUND(IF(C19=0,0,C199*(C$63-C$122)),0)</f>
        <v>34667</v>
      </c>
      <c r="D108" s="21">
        <f t="shared" si="70"/>
        <v>34137</v>
      </c>
      <c r="E108" s="21">
        <f t="shared" si="70"/>
        <v>23504</v>
      </c>
      <c r="F108" s="21">
        <f t="shared" si="70"/>
        <v>37431</v>
      </c>
      <c r="G108" s="21">
        <f t="shared" si="70"/>
        <v>26432</v>
      </c>
      <c r="H108" s="21">
        <f t="shared" si="70"/>
        <v>43276</v>
      </c>
      <c r="I108" s="21">
        <f t="shared" si="70"/>
        <v>29572</v>
      </c>
      <c r="J108" s="21">
        <f t="shared" si="70"/>
        <v>34912</v>
      </c>
      <c r="K108" s="21">
        <f t="shared" si="70"/>
        <v>25803</v>
      </c>
      <c r="L108" s="21">
        <f t="shared" si="70"/>
        <v>26723</v>
      </c>
      <c r="M108" s="21">
        <f t="shared" si="60"/>
        <v>24313</v>
      </c>
      <c r="N108" s="21">
        <f t="shared" si="70"/>
        <v>33076</v>
      </c>
      <c r="O108" s="24">
        <f t="shared" si="57"/>
        <v>373846</v>
      </c>
    </row>
    <row r="109" spans="1:15" x14ac:dyDescent="0.2">
      <c r="A109" s="53" t="s">
        <v>126</v>
      </c>
      <c r="B109" s="12" t="s">
        <v>39</v>
      </c>
      <c r="C109" s="21">
        <f t="shared" ref="C109:N109" si="71">ROUND(IF(C20=0,0,C200*(C$63-C$122)),0)</f>
        <v>502</v>
      </c>
      <c r="D109" s="21">
        <f t="shared" si="71"/>
        <v>700</v>
      </c>
      <c r="E109" s="21">
        <f t="shared" si="71"/>
        <v>333</v>
      </c>
      <c r="F109" s="21">
        <f t="shared" si="71"/>
        <v>981</v>
      </c>
      <c r="G109" s="21">
        <f t="shared" si="71"/>
        <v>425</v>
      </c>
      <c r="H109" s="21">
        <f t="shared" si="71"/>
        <v>591</v>
      </c>
      <c r="I109" s="21">
        <f t="shared" si="71"/>
        <v>692</v>
      </c>
      <c r="J109" s="21">
        <f t="shared" si="71"/>
        <v>801</v>
      </c>
      <c r="K109" s="21">
        <f t="shared" si="71"/>
        <v>430</v>
      </c>
      <c r="L109" s="21">
        <f t="shared" si="71"/>
        <v>305</v>
      </c>
      <c r="M109" s="21">
        <f t="shared" si="60"/>
        <v>461</v>
      </c>
      <c r="N109" s="21">
        <f t="shared" si="71"/>
        <v>584</v>
      </c>
      <c r="O109" s="24">
        <f t="shared" si="57"/>
        <v>6805</v>
      </c>
    </row>
    <row r="110" spans="1:15" x14ac:dyDescent="0.2">
      <c r="A110" s="53" t="s">
        <v>127</v>
      </c>
      <c r="B110" s="12" t="s">
        <v>44</v>
      </c>
      <c r="C110" s="21">
        <f t="shared" ref="C110:N110" si="72">ROUND(IF(C21=0,0,C201*(C$63-C$122)),0)</f>
        <v>432</v>
      </c>
      <c r="D110" s="21">
        <f t="shared" si="72"/>
        <v>391</v>
      </c>
      <c r="E110" s="21">
        <f t="shared" si="72"/>
        <v>267</v>
      </c>
      <c r="F110" s="21">
        <f t="shared" si="72"/>
        <v>167</v>
      </c>
      <c r="G110" s="21">
        <f t="shared" si="72"/>
        <v>93</v>
      </c>
      <c r="H110" s="21">
        <f t="shared" si="72"/>
        <v>243</v>
      </c>
      <c r="I110" s="21">
        <f t="shared" si="72"/>
        <v>111</v>
      </c>
      <c r="J110" s="21">
        <f t="shared" si="72"/>
        <v>171</v>
      </c>
      <c r="K110" s="21">
        <f t="shared" si="72"/>
        <v>98</v>
      </c>
      <c r="L110" s="21">
        <f t="shared" si="72"/>
        <v>74</v>
      </c>
      <c r="M110" s="21">
        <f t="shared" si="60"/>
        <v>74</v>
      </c>
      <c r="N110" s="21">
        <f t="shared" si="72"/>
        <v>27</v>
      </c>
      <c r="O110" s="24">
        <f t="shared" si="57"/>
        <v>2148</v>
      </c>
    </row>
    <row r="111" spans="1:15" x14ac:dyDescent="0.2">
      <c r="A111" s="53" t="s">
        <v>128</v>
      </c>
      <c r="B111" s="12" t="str">
        <f>+B55</f>
        <v>Mixed Amphet Salts</v>
      </c>
      <c r="C111" s="21">
        <f t="shared" ref="C111:N111" si="73">ROUND(IF(C22=0,0,C202*(C$63-C$122)),0)</f>
        <v>3213</v>
      </c>
      <c r="D111" s="21">
        <f t="shared" si="73"/>
        <v>3509</v>
      </c>
      <c r="E111" s="21">
        <f t="shared" si="73"/>
        <v>779</v>
      </c>
      <c r="F111" s="21">
        <f t="shared" si="73"/>
        <v>2348</v>
      </c>
      <c r="G111" s="21">
        <f t="shared" si="73"/>
        <v>1439</v>
      </c>
      <c r="H111" s="21">
        <f t="shared" si="73"/>
        <v>1938</v>
      </c>
      <c r="I111" s="21">
        <f t="shared" si="73"/>
        <v>1190</v>
      </c>
      <c r="J111" s="21">
        <f t="shared" si="73"/>
        <v>1375</v>
      </c>
      <c r="K111" s="21">
        <f t="shared" si="73"/>
        <v>929</v>
      </c>
      <c r="L111" s="21">
        <f t="shared" si="73"/>
        <v>796</v>
      </c>
      <c r="M111" s="21">
        <f t="shared" si="73"/>
        <v>770</v>
      </c>
      <c r="N111" s="21">
        <f t="shared" si="73"/>
        <v>1487</v>
      </c>
      <c r="O111" s="24">
        <f t="shared" ref="O111:O121" si="74">SUM(C111:N111)</f>
        <v>19773</v>
      </c>
    </row>
    <row r="112" spans="1:15" x14ac:dyDescent="0.2">
      <c r="A112" s="53" t="s">
        <v>138</v>
      </c>
      <c r="B112" s="12" t="s">
        <v>58</v>
      </c>
      <c r="C112" s="21">
        <f t="shared" ref="C112:N112" si="75">ROUND(IF(C23=0,0,C203*(C$63-C$122)),0)</f>
        <v>522</v>
      </c>
      <c r="D112" s="21">
        <f t="shared" si="75"/>
        <v>532</v>
      </c>
      <c r="E112" s="21">
        <f t="shared" si="75"/>
        <v>377</v>
      </c>
      <c r="F112" s="21">
        <f t="shared" si="75"/>
        <v>575</v>
      </c>
      <c r="G112" s="21">
        <f t="shared" si="75"/>
        <v>472</v>
      </c>
      <c r="H112" s="21">
        <f t="shared" si="75"/>
        <v>702</v>
      </c>
      <c r="I112" s="21">
        <f t="shared" si="75"/>
        <v>471</v>
      </c>
      <c r="J112" s="21">
        <f t="shared" si="75"/>
        <v>664</v>
      </c>
      <c r="K112" s="21">
        <f t="shared" si="75"/>
        <v>337</v>
      </c>
      <c r="L112" s="21">
        <f t="shared" si="75"/>
        <v>212</v>
      </c>
      <c r="M112" s="21">
        <f t="shared" si="75"/>
        <v>133</v>
      </c>
      <c r="N112" s="21">
        <f t="shared" si="75"/>
        <v>215</v>
      </c>
      <c r="O112" s="24">
        <f t="shared" si="74"/>
        <v>5212</v>
      </c>
    </row>
    <row r="113" spans="1:18" x14ac:dyDescent="0.2">
      <c r="A113" s="53" t="s">
        <v>139</v>
      </c>
      <c r="B113" s="12" t="s">
        <v>59</v>
      </c>
      <c r="C113" s="21">
        <f t="shared" ref="C113:N113" si="76">ROUND(IF(C24=0,0,C204*(C$63-C$122)),0)</f>
        <v>160</v>
      </c>
      <c r="D113" s="21">
        <f t="shared" si="76"/>
        <v>123</v>
      </c>
      <c r="E113" s="21">
        <f t="shared" si="76"/>
        <v>142</v>
      </c>
      <c r="F113" s="21">
        <f t="shared" si="76"/>
        <v>117</v>
      </c>
      <c r="G113" s="21">
        <f t="shared" si="76"/>
        <v>126</v>
      </c>
      <c r="H113" s="21">
        <f t="shared" si="76"/>
        <v>302</v>
      </c>
      <c r="I113" s="21">
        <f t="shared" si="76"/>
        <v>90</v>
      </c>
      <c r="J113" s="21">
        <f t="shared" si="76"/>
        <v>163</v>
      </c>
      <c r="K113" s="21">
        <f t="shared" si="76"/>
        <v>85</v>
      </c>
      <c r="L113" s="21">
        <f t="shared" si="76"/>
        <v>60</v>
      </c>
      <c r="M113" s="21">
        <f t="shared" si="76"/>
        <v>81</v>
      </c>
      <c r="N113" s="21">
        <f t="shared" si="76"/>
        <v>180</v>
      </c>
      <c r="O113" s="24">
        <f t="shared" si="74"/>
        <v>1629</v>
      </c>
    </row>
    <row r="114" spans="1:18" x14ac:dyDescent="0.2">
      <c r="A114" s="53" t="s">
        <v>63</v>
      </c>
      <c r="B114" s="12" t="s">
        <v>18</v>
      </c>
      <c r="C114" s="21">
        <f t="shared" ref="C114:N114" si="77">ROUND(IF(C25=0,0,C205*(C$63-C$122)),0)</f>
        <v>12196</v>
      </c>
      <c r="D114" s="21">
        <f t="shared" si="77"/>
        <v>12574</v>
      </c>
      <c r="E114" s="21">
        <f t="shared" si="77"/>
        <v>6712</v>
      </c>
      <c r="F114" s="21">
        <f t="shared" si="77"/>
        <v>11601</v>
      </c>
      <c r="G114" s="21">
        <f t="shared" si="77"/>
        <v>10211</v>
      </c>
      <c r="H114" s="21">
        <f t="shared" si="77"/>
        <v>17625</v>
      </c>
      <c r="I114" s="21">
        <f t="shared" si="77"/>
        <v>12093</v>
      </c>
      <c r="J114" s="21">
        <f t="shared" si="77"/>
        <v>10015</v>
      </c>
      <c r="K114" s="21">
        <f t="shared" si="77"/>
        <v>10723</v>
      </c>
      <c r="L114" s="21">
        <f t="shared" si="77"/>
        <v>11666</v>
      </c>
      <c r="M114" s="21">
        <f t="shared" si="77"/>
        <v>9441</v>
      </c>
      <c r="N114" s="21">
        <f t="shared" si="77"/>
        <v>15709</v>
      </c>
      <c r="O114" s="24">
        <f t="shared" si="74"/>
        <v>140566</v>
      </c>
    </row>
    <row r="115" spans="1:18" x14ac:dyDescent="0.2">
      <c r="A115" s="53" t="s">
        <v>129</v>
      </c>
      <c r="B115" s="12" t="s">
        <v>19</v>
      </c>
      <c r="C115" s="21">
        <f t="shared" ref="C115:N115" si="78">ROUND(IF(C26=0,0,C206*(C$63-C$122)),0)</f>
        <v>671</v>
      </c>
      <c r="D115" s="21">
        <f t="shared" si="78"/>
        <v>644</v>
      </c>
      <c r="E115" s="21">
        <f t="shared" si="78"/>
        <v>491</v>
      </c>
      <c r="F115" s="21">
        <f t="shared" si="78"/>
        <v>517</v>
      </c>
      <c r="G115" s="21">
        <f t="shared" si="78"/>
        <v>508</v>
      </c>
      <c r="H115" s="21">
        <f t="shared" si="78"/>
        <v>716</v>
      </c>
      <c r="I115" s="21">
        <f t="shared" si="78"/>
        <v>554</v>
      </c>
      <c r="J115" s="21">
        <f t="shared" si="78"/>
        <v>643</v>
      </c>
      <c r="K115" s="21">
        <f t="shared" si="78"/>
        <v>302</v>
      </c>
      <c r="L115" s="21">
        <f t="shared" si="78"/>
        <v>393</v>
      </c>
      <c r="M115" s="21">
        <f t="shared" si="78"/>
        <v>355</v>
      </c>
      <c r="N115" s="21">
        <f t="shared" si="78"/>
        <v>365</v>
      </c>
      <c r="O115" s="24">
        <f t="shared" si="74"/>
        <v>6159</v>
      </c>
    </row>
    <row r="116" spans="1:18" x14ac:dyDescent="0.2">
      <c r="A116" s="53" t="s">
        <v>130</v>
      </c>
      <c r="B116" s="12" t="s">
        <v>57</v>
      </c>
      <c r="C116" s="21">
        <f t="shared" ref="C116:N116" si="79">ROUND(IF(C27=0,0,C207*(C$63-C$122)),0)</f>
        <v>489</v>
      </c>
      <c r="D116" s="21">
        <f t="shared" si="79"/>
        <v>297</v>
      </c>
      <c r="E116" s="21">
        <f t="shared" si="79"/>
        <v>237</v>
      </c>
      <c r="F116" s="21">
        <f t="shared" si="79"/>
        <v>249</v>
      </c>
      <c r="G116" s="21">
        <f t="shared" si="79"/>
        <v>195</v>
      </c>
      <c r="H116" s="21">
        <f t="shared" si="79"/>
        <v>330</v>
      </c>
      <c r="I116" s="21">
        <f t="shared" si="79"/>
        <v>183</v>
      </c>
      <c r="J116" s="21">
        <f t="shared" si="79"/>
        <v>185</v>
      </c>
      <c r="K116" s="21">
        <f t="shared" si="79"/>
        <v>92</v>
      </c>
      <c r="L116" s="21">
        <f t="shared" si="79"/>
        <v>112</v>
      </c>
      <c r="M116" s="21">
        <f t="shared" si="79"/>
        <v>72</v>
      </c>
      <c r="N116" s="21">
        <f t="shared" si="79"/>
        <v>115</v>
      </c>
      <c r="O116" s="24">
        <f t="shared" si="74"/>
        <v>2556</v>
      </c>
    </row>
    <row r="117" spans="1:18" x14ac:dyDescent="0.2">
      <c r="A117" s="53" t="s">
        <v>131</v>
      </c>
      <c r="B117" s="12" t="s">
        <v>42</v>
      </c>
      <c r="C117" s="21">
        <f t="shared" ref="C117:N117" si="80">ROUND(IF(C28=0,0,C208*(C$63-C$122)),0)</f>
        <v>0</v>
      </c>
      <c r="D117" s="21">
        <f t="shared" si="80"/>
        <v>0</v>
      </c>
      <c r="E117" s="21">
        <f t="shared" si="80"/>
        <v>0</v>
      </c>
      <c r="F117" s="21">
        <f t="shared" si="80"/>
        <v>0</v>
      </c>
      <c r="G117" s="21">
        <f t="shared" si="80"/>
        <v>0</v>
      </c>
      <c r="H117" s="21">
        <f t="shared" si="80"/>
        <v>0</v>
      </c>
      <c r="I117" s="21">
        <f t="shared" si="80"/>
        <v>0</v>
      </c>
      <c r="J117" s="21">
        <f t="shared" si="80"/>
        <v>0</v>
      </c>
      <c r="K117" s="21">
        <f t="shared" si="80"/>
        <v>0</v>
      </c>
      <c r="L117" s="21">
        <f t="shared" si="80"/>
        <v>0</v>
      </c>
      <c r="M117" s="21">
        <f t="shared" si="80"/>
        <v>0</v>
      </c>
      <c r="N117" s="21">
        <f t="shared" si="80"/>
        <v>0</v>
      </c>
      <c r="O117" s="24">
        <f t="shared" si="74"/>
        <v>0</v>
      </c>
    </row>
    <row r="118" spans="1:18" x14ac:dyDescent="0.2">
      <c r="A118" s="53" t="s">
        <v>132</v>
      </c>
      <c r="B118" s="12" t="s">
        <v>43</v>
      </c>
      <c r="C118" s="21">
        <f t="shared" ref="C118:N118" si="81">ROUND(IF(C29=0,0,C209*(C$63-C$122)),0)</f>
        <v>290</v>
      </c>
      <c r="D118" s="21">
        <f t="shared" si="81"/>
        <v>196</v>
      </c>
      <c r="E118" s="21">
        <f t="shared" si="81"/>
        <v>167</v>
      </c>
      <c r="F118" s="21">
        <f t="shared" si="81"/>
        <v>232</v>
      </c>
      <c r="G118" s="21">
        <f t="shared" si="81"/>
        <v>142</v>
      </c>
      <c r="H118" s="21">
        <f t="shared" si="81"/>
        <v>252</v>
      </c>
      <c r="I118" s="21">
        <f t="shared" si="81"/>
        <v>143</v>
      </c>
      <c r="J118" s="21">
        <f t="shared" si="81"/>
        <v>181</v>
      </c>
      <c r="K118" s="21">
        <f t="shared" si="81"/>
        <v>89</v>
      </c>
      <c r="L118" s="21">
        <f t="shared" si="81"/>
        <v>124</v>
      </c>
      <c r="M118" s="21">
        <f t="shared" si="81"/>
        <v>86</v>
      </c>
      <c r="N118" s="21">
        <f t="shared" si="81"/>
        <v>130</v>
      </c>
      <c r="O118" s="24">
        <f t="shared" si="74"/>
        <v>2032</v>
      </c>
    </row>
    <row r="119" spans="1:18" x14ac:dyDescent="0.2">
      <c r="A119" s="53" t="s">
        <v>133</v>
      </c>
      <c r="B119" s="12" t="s">
        <v>56</v>
      </c>
      <c r="C119" s="21">
        <f t="shared" ref="C119:N119" si="82">ROUND(IF(C30=0,0,C210*(C$63-C$122)),0)</f>
        <v>830</v>
      </c>
      <c r="D119" s="21">
        <f t="shared" si="82"/>
        <v>803</v>
      </c>
      <c r="E119" s="21">
        <f t="shared" si="82"/>
        <v>543</v>
      </c>
      <c r="F119" s="21">
        <f t="shared" si="82"/>
        <v>249</v>
      </c>
      <c r="G119" s="21">
        <f t="shared" si="82"/>
        <v>0</v>
      </c>
      <c r="H119" s="21">
        <f t="shared" si="82"/>
        <v>0</v>
      </c>
      <c r="I119" s="21">
        <f t="shared" si="82"/>
        <v>0</v>
      </c>
      <c r="J119" s="21">
        <f t="shared" si="82"/>
        <v>0</v>
      </c>
      <c r="K119" s="21">
        <f t="shared" si="82"/>
        <v>0</v>
      </c>
      <c r="L119" s="21">
        <f t="shared" si="82"/>
        <v>0</v>
      </c>
      <c r="M119" s="21">
        <f t="shared" si="82"/>
        <v>0</v>
      </c>
      <c r="N119" s="21">
        <f t="shared" si="82"/>
        <v>0</v>
      </c>
      <c r="O119" s="24">
        <f t="shared" si="74"/>
        <v>2425</v>
      </c>
    </row>
    <row r="120" spans="1:18" x14ac:dyDescent="0.2">
      <c r="A120" s="53" t="s">
        <v>134</v>
      </c>
      <c r="B120" s="12" t="s">
        <v>49</v>
      </c>
      <c r="C120" s="21">
        <f t="shared" ref="C120:N120" si="83">ROUND(IF(C31=0,0,C211*(C$63-C$122)),0)</f>
        <v>332</v>
      </c>
      <c r="D120" s="21">
        <f t="shared" si="83"/>
        <v>290</v>
      </c>
      <c r="E120" s="21">
        <f t="shared" si="83"/>
        <v>245</v>
      </c>
      <c r="F120" s="21">
        <f t="shared" si="83"/>
        <v>312</v>
      </c>
      <c r="G120" s="21">
        <f t="shared" si="83"/>
        <v>238</v>
      </c>
      <c r="H120" s="21">
        <f t="shared" si="83"/>
        <v>362</v>
      </c>
      <c r="I120" s="21">
        <f t="shared" si="83"/>
        <v>314</v>
      </c>
      <c r="J120" s="21">
        <f t="shared" si="83"/>
        <v>288</v>
      </c>
      <c r="K120" s="21">
        <f t="shared" si="83"/>
        <v>152</v>
      </c>
      <c r="L120" s="21">
        <f t="shared" si="83"/>
        <v>224</v>
      </c>
      <c r="M120" s="21">
        <f t="shared" si="83"/>
        <v>181</v>
      </c>
      <c r="N120" s="21">
        <f t="shared" si="83"/>
        <v>195</v>
      </c>
      <c r="O120" s="24">
        <f t="shared" si="74"/>
        <v>3133</v>
      </c>
    </row>
    <row r="121" spans="1:18" x14ac:dyDescent="0.2">
      <c r="A121" s="53" t="s">
        <v>135</v>
      </c>
      <c r="B121" s="12" t="s">
        <v>52</v>
      </c>
      <c r="C121" s="21">
        <f t="shared" ref="C121:N121" si="84">ROUND(IF(C32=0,0,C212*(C$63-C$122)),0)</f>
        <v>93</v>
      </c>
      <c r="D121" s="21">
        <f t="shared" si="84"/>
        <v>88</v>
      </c>
      <c r="E121" s="21">
        <f t="shared" si="84"/>
        <v>78</v>
      </c>
      <c r="F121" s="21">
        <f t="shared" si="84"/>
        <v>108</v>
      </c>
      <c r="G121" s="21">
        <f t="shared" si="84"/>
        <v>81</v>
      </c>
      <c r="H121" s="21">
        <f t="shared" si="84"/>
        <v>96</v>
      </c>
      <c r="I121" s="21">
        <f t="shared" si="84"/>
        <v>65</v>
      </c>
      <c r="J121" s="21">
        <f t="shared" si="84"/>
        <v>78</v>
      </c>
      <c r="K121" s="21">
        <f t="shared" si="84"/>
        <v>24</v>
      </c>
      <c r="L121" s="21">
        <f t="shared" si="84"/>
        <v>56</v>
      </c>
      <c r="M121" s="21">
        <f t="shared" si="84"/>
        <v>50</v>
      </c>
      <c r="N121" s="21">
        <f t="shared" si="84"/>
        <v>80</v>
      </c>
      <c r="O121" s="24">
        <f t="shared" si="74"/>
        <v>897</v>
      </c>
    </row>
    <row r="122" spans="1:18" x14ac:dyDescent="0.2">
      <c r="A122" s="53" t="s">
        <v>136</v>
      </c>
      <c r="B122" s="12" t="s">
        <v>14</v>
      </c>
      <c r="C122" s="44">
        <f>54593*1.0784</f>
        <v>58873.091200000003</v>
      </c>
      <c r="D122" s="44">
        <f>67795*1.0784</f>
        <v>73110.127999999997</v>
      </c>
      <c r="E122" s="44">
        <v>59771</v>
      </c>
      <c r="F122" s="44">
        <v>53205</v>
      </c>
      <c r="G122" s="44">
        <f t="shared" ref="G122:N122" si="85">0*1.0784</f>
        <v>0</v>
      </c>
      <c r="H122" s="44">
        <f t="shared" si="85"/>
        <v>0</v>
      </c>
      <c r="I122" s="44">
        <f t="shared" si="85"/>
        <v>0</v>
      </c>
      <c r="J122" s="44">
        <f t="shared" si="85"/>
        <v>0</v>
      </c>
      <c r="K122" s="44">
        <f t="shared" si="85"/>
        <v>0</v>
      </c>
      <c r="L122" s="44">
        <f t="shared" si="85"/>
        <v>0</v>
      </c>
      <c r="M122" s="44">
        <f t="shared" si="85"/>
        <v>0</v>
      </c>
      <c r="N122" s="44">
        <f t="shared" si="85"/>
        <v>0</v>
      </c>
      <c r="O122" s="27">
        <f>SUM(C122:N122)</f>
        <v>244959.21919999999</v>
      </c>
    </row>
    <row r="123" spans="1:18" x14ac:dyDescent="0.2">
      <c r="A123" s="6"/>
      <c r="B123" s="14" t="s">
        <v>13</v>
      </c>
      <c r="C123" s="34">
        <f t="shared" ref="C123:O123" si="86">SUM(C96:C122)</f>
        <v>580819.72120000003</v>
      </c>
      <c r="D123" s="34">
        <f t="shared" si="86"/>
        <v>551036.18799999997</v>
      </c>
      <c r="E123" s="34">
        <f t="shared" si="86"/>
        <v>344560.11</v>
      </c>
      <c r="F123" s="34">
        <f t="shared" ref="F123:G123" si="87">SUM(F96:F122)</f>
        <v>488110.83999999997</v>
      </c>
      <c r="G123" s="34">
        <f t="shared" si="87"/>
        <v>398397.25</v>
      </c>
      <c r="H123" s="34">
        <f t="shared" si="86"/>
        <v>576432.71</v>
      </c>
      <c r="I123" s="34">
        <f t="shared" si="86"/>
        <v>358792.92000000004</v>
      </c>
      <c r="J123" s="34">
        <f t="shared" ref="J123" si="88">SUM(J96:J122)</f>
        <v>445544.94</v>
      </c>
      <c r="K123" s="34">
        <f t="shared" si="86"/>
        <v>259032.3</v>
      </c>
      <c r="L123" s="34">
        <f t="shared" ref="L123" si="89">SUM(L96:L122)</f>
        <v>338153.07999999996</v>
      </c>
      <c r="M123" s="34">
        <f t="shared" si="86"/>
        <v>260718.97</v>
      </c>
      <c r="N123" s="34">
        <f t="shared" si="86"/>
        <v>364052.1</v>
      </c>
      <c r="O123" s="31">
        <f t="shared" si="86"/>
        <v>4965651.1292000003</v>
      </c>
      <c r="P123" s="49"/>
      <c r="Q123" s="49"/>
      <c r="R123" s="49"/>
    </row>
    <row r="124" spans="1:18" x14ac:dyDescent="0.2">
      <c r="A124" s="13" t="s">
        <v>26</v>
      </c>
      <c r="B124" s="14"/>
      <c r="O124" s="26"/>
    </row>
    <row r="125" spans="1:18" x14ac:dyDescent="0.2">
      <c r="A125" s="19" t="s">
        <v>15</v>
      </c>
      <c r="B125" s="14"/>
      <c r="C125" s="21">
        <f t="shared" ref="C125:E139" si="90">C67+C96</f>
        <v>288235.63</v>
      </c>
      <c r="D125" s="21">
        <f t="shared" si="90"/>
        <v>236015.06</v>
      </c>
      <c r="E125" s="21">
        <f t="shared" si="90"/>
        <v>138784.10999999999</v>
      </c>
      <c r="F125" s="21">
        <f t="shared" ref="F125:N125" si="91">F67+F96</f>
        <v>191293.84</v>
      </c>
      <c r="G125" s="21">
        <f t="shared" si="91"/>
        <v>166899.25</v>
      </c>
      <c r="H125" s="21">
        <f t="shared" si="91"/>
        <v>293740.71000000002</v>
      </c>
      <c r="I125" s="21">
        <f t="shared" si="91"/>
        <v>178700.92</v>
      </c>
      <c r="J125" s="21">
        <f t="shared" si="91"/>
        <v>217757.94</v>
      </c>
      <c r="K125" s="21">
        <f t="shared" si="91"/>
        <v>126880.3</v>
      </c>
      <c r="L125" s="21">
        <f t="shared" si="91"/>
        <v>181972.08</v>
      </c>
      <c r="M125" s="21">
        <f t="shared" si="91"/>
        <v>123146.97</v>
      </c>
      <c r="N125" s="21">
        <f t="shared" si="91"/>
        <v>159285.1</v>
      </c>
      <c r="O125" s="21">
        <f t="shared" ref="O125" si="92">O67+O96</f>
        <v>2302711.91</v>
      </c>
    </row>
    <row r="126" spans="1:18" x14ac:dyDescent="0.2">
      <c r="A126" s="19" t="s">
        <v>16</v>
      </c>
      <c r="B126" s="14"/>
      <c r="C126" s="21">
        <f t="shared" ref="C126" si="93">C68+C97</f>
        <v>35975</v>
      </c>
      <c r="D126" s="21">
        <f t="shared" ref="D126" si="94">D68+D97</f>
        <v>24197</v>
      </c>
      <c r="E126" s="21">
        <f t="shared" si="90"/>
        <v>28076</v>
      </c>
      <c r="F126" s="21">
        <f t="shared" ref="F126:N126" si="95">F68+F97</f>
        <v>23809</v>
      </c>
      <c r="G126" s="21">
        <f t="shared" si="95"/>
        <v>37832</v>
      </c>
      <c r="H126" s="21">
        <f t="shared" si="95"/>
        <v>32219</v>
      </c>
      <c r="I126" s="21">
        <f t="shared" si="95"/>
        <v>30301</v>
      </c>
      <c r="J126" s="21">
        <f t="shared" si="95"/>
        <v>35191</v>
      </c>
      <c r="K126" s="21">
        <f t="shared" si="95"/>
        <v>20834</v>
      </c>
      <c r="L126" s="21">
        <f t="shared" si="95"/>
        <v>26037</v>
      </c>
      <c r="M126" s="21">
        <f t="shared" si="95"/>
        <v>27613</v>
      </c>
      <c r="N126" s="21">
        <f t="shared" si="95"/>
        <v>39056</v>
      </c>
      <c r="O126" s="21">
        <f t="shared" ref="O126" si="96">O68+O97</f>
        <v>361140</v>
      </c>
    </row>
    <row r="127" spans="1:18" x14ac:dyDescent="0.2">
      <c r="A127" s="19" t="s">
        <v>32</v>
      </c>
      <c r="B127" s="14"/>
      <c r="C127" s="21">
        <f t="shared" ref="C127" si="97">C69+C98</f>
        <v>51102</v>
      </c>
      <c r="D127" s="21">
        <f t="shared" ref="D127" si="98">D69+D98</f>
        <v>56537</v>
      </c>
      <c r="E127" s="21">
        <f t="shared" si="90"/>
        <v>29640</v>
      </c>
      <c r="F127" s="21">
        <f t="shared" ref="F127:N127" si="99">F69+F98</f>
        <v>82672</v>
      </c>
      <c r="G127" s="21">
        <f t="shared" si="99"/>
        <v>80131</v>
      </c>
      <c r="H127" s="21">
        <f t="shared" si="99"/>
        <v>66155</v>
      </c>
      <c r="I127" s="21">
        <f t="shared" si="99"/>
        <v>47049</v>
      </c>
      <c r="J127" s="21">
        <f t="shared" si="99"/>
        <v>61620</v>
      </c>
      <c r="K127" s="21">
        <f t="shared" si="99"/>
        <v>25565</v>
      </c>
      <c r="L127" s="21">
        <f t="shared" si="99"/>
        <v>32725</v>
      </c>
      <c r="M127" s="21">
        <f t="shared" si="99"/>
        <v>30063</v>
      </c>
      <c r="N127" s="21">
        <f t="shared" si="99"/>
        <v>41318</v>
      </c>
      <c r="O127" s="21">
        <f t="shared" ref="O127" si="100">O69+O98</f>
        <v>604577</v>
      </c>
    </row>
    <row r="128" spans="1:18" x14ac:dyDescent="0.2">
      <c r="A128" s="19" t="s">
        <v>17</v>
      </c>
      <c r="B128" s="14"/>
      <c r="C128" s="21">
        <f t="shared" ref="C128" si="101">C70+C99</f>
        <v>18321</v>
      </c>
      <c r="D128" s="21">
        <f t="shared" ref="D128" si="102">D70+D99</f>
        <v>16284</v>
      </c>
      <c r="E128" s="21">
        <f t="shared" si="90"/>
        <v>11925</v>
      </c>
      <c r="F128" s="21">
        <f t="shared" ref="F128:N128" si="103">F70+F99</f>
        <v>11167</v>
      </c>
      <c r="G128" s="21">
        <f t="shared" si="103"/>
        <v>18959</v>
      </c>
      <c r="H128" s="21">
        <f t="shared" si="103"/>
        <v>26418</v>
      </c>
      <c r="I128" s="21">
        <f t="shared" si="103"/>
        <v>16026</v>
      </c>
      <c r="J128" s="21">
        <f t="shared" si="103"/>
        <v>13775</v>
      </c>
      <c r="K128" s="21">
        <f t="shared" si="103"/>
        <v>8939</v>
      </c>
      <c r="L128" s="21">
        <f t="shared" si="103"/>
        <v>10361</v>
      </c>
      <c r="M128" s="21">
        <f t="shared" si="103"/>
        <v>8048</v>
      </c>
      <c r="N128" s="21">
        <f t="shared" si="103"/>
        <v>11259</v>
      </c>
      <c r="O128" s="21">
        <f t="shared" ref="O128" si="104">O70+O99</f>
        <v>171482</v>
      </c>
    </row>
    <row r="129" spans="1:15" x14ac:dyDescent="0.2">
      <c r="A129" s="19" t="s">
        <v>48</v>
      </c>
      <c r="B129" s="14"/>
      <c r="C129" s="21">
        <f t="shared" ref="C129" si="105">C71+C100</f>
        <v>1495</v>
      </c>
      <c r="D129" s="21">
        <f t="shared" ref="D129" si="106">D71+D100</f>
        <v>1813</v>
      </c>
      <c r="E129" s="21">
        <f t="shared" si="90"/>
        <v>514</v>
      </c>
      <c r="F129" s="21">
        <f t="shared" ref="F129:N129" si="107">F71+F100</f>
        <v>365</v>
      </c>
      <c r="G129" s="21">
        <f t="shared" si="107"/>
        <v>1259</v>
      </c>
      <c r="H129" s="21">
        <f t="shared" si="107"/>
        <v>3020</v>
      </c>
      <c r="I129" s="21">
        <f t="shared" si="107"/>
        <v>1047</v>
      </c>
      <c r="J129" s="21">
        <f t="shared" si="107"/>
        <v>1255</v>
      </c>
      <c r="K129" s="21">
        <f t="shared" si="107"/>
        <v>1459</v>
      </c>
      <c r="L129" s="21">
        <f t="shared" si="107"/>
        <v>1057</v>
      </c>
      <c r="M129" s="21">
        <f t="shared" si="107"/>
        <v>1454</v>
      </c>
      <c r="N129" s="21">
        <f t="shared" si="107"/>
        <v>1772</v>
      </c>
      <c r="O129" s="21">
        <f t="shared" ref="O129" si="108">O71+O100</f>
        <v>16510</v>
      </c>
    </row>
    <row r="130" spans="1:15" x14ac:dyDescent="0.2">
      <c r="A130" s="19" t="str">
        <f>+B101</f>
        <v>Methylphenidate ER</v>
      </c>
      <c r="B130" s="14"/>
      <c r="C130" s="21">
        <f t="shared" ref="C130" si="109">C72+C101</f>
        <v>10982</v>
      </c>
      <c r="D130" s="21">
        <f t="shared" ref="D130" si="110">D72+D101</f>
        <v>10537</v>
      </c>
      <c r="E130" s="21">
        <f t="shared" si="90"/>
        <v>4370</v>
      </c>
      <c r="F130" s="21">
        <f t="shared" ref="F130:N130" si="111">F72+F101</f>
        <v>6780</v>
      </c>
      <c r="G130" s="21">
        <f t="shared" si="111"/>
        <v>7516</v>
      </c>
      <c r="H130" s="21">
        <f t="shared" si="111"/>
        <v>8120</v>
      </c>
      <c r="I130" s="21">
        <f t="shared" si="111"/>
        <v>6767</v>
      </c>
      <c r="J130" s="21">
        <f t="shared" si="111"/>
        <v>6366</v>
      </c>
      <c r="K130" s="21">
        <f t="shared" si="111"/>
        <v>4012</v>
      </c>
      <c r="L130" s="21">
        <f t="shared" si="111"/>
        <v>3056</v>
      </c>
      <c r="M130" s="21">
        <f t="shared" si="111"/>
        <v>3728</v>
      </c>
      <c r="N130" s="21">
        <f t="shared" si="111"/>
        <v>4549</v>
      </c>
      <c r="O130" s="21">
        <f t="shared" ref="O130" si="112">O72+O101</f>
        <v>76783</v>
      </c>
    </row>
    <row r="131" spans="1:15" x14ac:dyDescent="0.2">
      <c r="A131" s="12" t="s">
        <v>51</v>
      </c>
      <c r="B131" s="14"/>
      <c r="C131" s="21">
        <f t="shared" ref="C131" si="113">C73+C102</f>
        <v>163</v>
      </c>
      <c r="D131" s="21">
        <f t="shared" ref="D131" si="114">D73+D102</f>
        <v>251</v>
      </c>
      <c r="E131" s="21">
        <f t="shared" si="90"/>
        <v>215</v>
      </c>
      <c r="F131" s="21">
        <f t="shared" ref="F131:N131" si="115">F73+F102</f>
        <v>198</v>
      </c>
      <c r="G131" s="21">
        <f t="shared" si="115"/>
        <v>168</v>
      </c>
      <c r="H131" s="21">
        <f t="shared" si="115"/>
        <v>174</v>
      </c>
      <c r="I131" s="21">
        <f t="shared" si="115"/>
        <v>151</v>
      </c>
      <c r="J131" s="21">
        <f t="shared" si="115"/>
        <v>177</v>
      </c>
      <c r="K131" s="21">
        <f t="shared" si="115"/>
        <v>146</v>
      </c>
      <c r="L131" s="21">
        <f t="shared" si="115"/>
        <v>91</v>
      </c>
      <c r="M131" s="21">
        <f t="shared" si="115"/>
        <v>92</v>
      </c>
      <c r="N131" s="21">
        <f t="shared" si="115"/>
        <v>136</v>
      </c>
      <c r="O131" s="21">
        <f t="shared" ref="O131" si="116">O73+O102</f>
        <v>1962</v>
      </c>
    </row>
    <row r="132" spans="1:15" x14ac:dyDescent="0.2">
      <c r="A132" s="32" t="s">
        <v>30</v>
      </c>
      <c r="B132" s="14"/>
      <c r="C132" s="21">
        <f t="shared" ref="C132" si="117">C74+C103</f>
        <v>12512</v>
      </c>
      <c r="D132" s="21">
        <f t="shared" ref="D132" si="118">D74+D103</f>
        <v>28280</v>
      </c>
      <c r="E132" s="21">
        <f t="shared" si="90"/>
        <v>8677</v>
      </c>
      <c r="F132" s="21">
        <f t="shared" ref="F132:N132" si="119">F74+F103</f>
        <v>19231</v>
      </c>
      <c r="G132" s="21">
        <f t="shared" si="119"/>
        <v>19937</v>
      </c>
      <c r="H132" s="21">
        <f t="shared" si="119"/>
        <v>20078</v>
      </c>
      <c r="I132" s="21">
        <f t="shared" si="119"/>
        <v>12635</v>
      </c>
      <c r="J132" s="21">
        <f t="shared" si="119"/>
        <v>16914</v>
      </c>
      <c r="K132" s="21">
        <f t="shared" si="119"/>
        <v>11350</v>
      </c>
      <c r="L132" s="21">
        <f t="shared" si="119"/>
        <v>11976</v>
      </c>
      <c r="M132" s="21">
        <f t="shared" si="119"/>
        <v>9439</v>
      </c>
      <c r="N132" s="21">
        <f t="shared" si="119"/>
        <v>16640</v>
      </c>
      <c r="O132" s="21">
        <f t="shared" ref="O132" si="120">O74+O103</f>
        <v>187669</v>
      </c>
    </row>
    <row r="133" spans="1:15" x14ac:dyDescent="0.2">
      <c r="A133" s="32" t="s">
        <v>35</v>
      </c>
      <c r="B133" s="14"/>
      <c r="C133" s="21">
        <f t="shared" ref="C133" si="121">C75+C104</f>
        <v>13284</v>
      </c>
      <c r="D133" s="21">
        <f t="shared" ref="D133" si="122">D75+D104</f>
        <v>20078</v>
      </c>
      <c r="E133" s="21">
        <f t="shared" si="90"/>
        <v>8033</v>
      </c>
      <c r="F133" s="21">
        <f t="shared" ref="F133:N133" si="123">F75+F104</f>
        <v>7363</v>
      </c>
      <c r="G133" s="21">
        <f t="shared" si="123"/>
        <v>16310</v>
      </c>
      <c r="H133" s="21">
        <f t="shared" si="123"/>
        <v>28184</v>
      </c>
      <c r="I133" s="21">
        <f t="shared" si="123"/>
        <v>14162</v>
      </c>
      <c r="J133" s="21">
        <f t="shared" si="123"/>
        <v>15808</v>
      </c>
      <c r="K133" s="21">
        <f t="shared" si="123"/>
        <v>9643</v>
      </c>
      <c r="L133" s="21">
        <f t="shared" si="123"/>
        <v>10386</v>
      </c>
      <c r="M133" s="21">
        <f t="shared" si="123"/>
        <v>10308</v>
      </c>
      <c r="N133" s="21">
        <f t="shared" si="123"/>
        <v>12689</v>
      </c>
      <c r="O133" s="21">
        <f t="shared" ref="O133" si="124">O75+O104</f>
        <v>166248</v>
      </c>
    </row>
    <row r="134" spans="1:15" x14ac:dyDescent="0.2">
      <c r="A134" s="32" t="s">
        <v>36</v>
      </c>
      <c r="B134" s="14"/>
      <c r="C134" s="21">
        <f t="shared" ref="C134" si="125">C76+C105</f>
        <v>31718</v>
      </c>
      <c r="D134" s="21">
        <f t="shared" ref="D134" si="126">D76+D105</f>
        <v>29361</v>
      </c>
      <c r="E134" s="21">
        <f t="shared" si="90"/>
        <v>15846</v>
      </c>
      <c r="F134" s="21">
        <f t="shared" ref="F134:N134" si="127">F76+F105</f>
        <v>33245</v>
      </c>
      <c r="G134" s="21">
        <f t="shared" si="127"/>
        <v>25987</v>
      </c>
      <c r="H134" s="21">
        <f t="shared" si="127"/>
        <v>34393</v>
      </c>
      <c r="I134" s="21">
        <f t="shared" si="127"/>
        <v>15994</v>
      </c>
      <c r="J134" s="21">
        <f t="shared" si="127"/>
        <v>21342</v>
      </c>
      <c r="K134" s="21">
        <f t="shared" si="127"/>
        <v>14248</v>
      </c>
      <c r="L134" s="21">
        <f t="shared" si="127"/>
        <v>17257</v>
      </c>
      <c r="M134" s="21">
        <f t="shared" si="127"/>
        <v>11292</v>
      </c>
      <c r="N134" s="21">
        <f t="shared" si="127"/>
        <v>14899</v>
      </c>
      <c r="O134" s="21">
        <f t="shared" ref="O134" si="128">O76+O105</f>
        <v>265582</v>
      </c>
    </row>
    <row r="135" spans="1:15" x14ac:dyDescent="0.2">
      <c r="A135" s="32" t="s">
        <v>31</v>
      </c>
      <c r="B135" s="14"/>
      <c r="C135" s="21">
        <f t="shared" ref="C135" si="129">C77+C106</f>
        <v>6712</v>
      </c>
      <c r="D135" s="21">
        <f t="shared" ref="D135" si="130">D77+D106</f>
        <v>2372</v>
      </c>
      <c r="E135" s="21">
        <f t="shared" si="90"/>
        <v>5894</v>
      </c>
      <c r="F135" s="21">
        <f t="shared" ref="F135:N135" si="131">F77+F106</f>
        <v>4894</v>
      </c>
      <c r="G135" s="21">
        <f t="shared" si="131"/>
        <v>835</v>
      </c>
      <c r="H135" s="21">
        <f t="shared" si="131"/>
        <v>0</v>
      </c>
      <c r="I135" s="21">
        <f t="shared" si="131"/>
        <v>4173</v>
      </c>
      <c r="J135" s="21">
        <f t="shared" si="131"/>
        <v>8280</v>
      </c>
      <c r="K135" s="21">
        <f t="shared" si="131"/>
        <v>3064</v>
      </c>
      <c r="L135" s="21">
        <f t="shared" si="131"/>
        <v>3719</v>
      </c>
      <c r="M135" s="21">
        <f t="shared" si="131"/>
        <v>2643</v>
      </c>
      <c r="N135" s="21">
        <f t="shared" si="131"/>
        <v>9628</v>
      </c>
      <c r="O135" s="21">
        <f t="shared" ref="O135" si="132">O77+O106</f>
        <v>52214</v>
      </c>
    </row>
    <row r="136" spans="1:15" x14ac:dyDescent="0.2">
      <c r="A136" s="32" t="s">
        <v>41</v>
      </c>
      <c r="B136" s="14"/>
      <c r="C136" s="21">
        <f t="shared" ref="C136" si="133">C78+C107</f>
        <v>574</v>
      </c>
      <c r="D136" s="21">
        <f t="shared" ref="D136" si="134">D78+D107</f>
        <v>583</v>
      </c>
      <c r="E136" s="21">
        <f t="shared" si="90"/>
        <v>579</v>
      </c>
      <c r="F136" s="21">
        <f t="shared" ref="F136:N136" si="135">F78+F107</f>
        <v>557</v>
      </c>
      <c r="G136" s="21">
        <f t="shared" si="135"/>
        <v>605</v>
      </c>
      <c r="H136" s="21">
        <f t="shared" si="135"/>
        <v>815</v>
      </c>
      <c r="I136" s="21">
        <f t="shared" si="135"/>
        <v>817</v>
      </c>
      <c r="J136" s="21">
        <f t="shared" si="135"/>
        <v>680</v>
      </c>
      <c r="K136" s="21">
        <f t="shared" si="135"/>
        <v>472</v>
      </c>
      <c r="L136" s="21">
        <f t="shared" si="135"/>
        <v>503</v>
      </c>
      <c r="M136" s="21">
        <f t="shared" si="135"/>
        <v>495</v>
      </c>
      <c r="N136" s="21">
        <f t="shared" si="135"/>
        <v>827</v>
      </c>
      <c r="O136" s="21">
        <f t="shared" ref="O136" si="136">O78+O107</f>
        <v>7507</v>
      </c>
    </row>
    <row r="137" spans="1:15" x14ac:dyDescent="0.2">
      <c r="A137" s="32" t="s">
        <v>46</v>
      </c>
      <c r="B137" s="14"/>
      <c r="C137" s="21">
        <f t="shared" ref="C137" si="137">C79+C108</f>
        <v>34900</v>
      </c>
      <c r="D137" s="21">
        <f t="shared" ref="D137" si="138">D79+D108</f>
        <v>34279</v>
      </c>
      <c r="E137" s="21">
        <f t="shared" si="90"/>
        <v>23639</v>
      </c>
      <c r="F137" s="21">
        <f t="shared" ref="F137:N137" si="139">F79+F108</f>
        <v>37543</v>
      </c>
      <c r="G137" s="21">
        <f t="shared" si="139"/>
        <v>27452</v>
      </c>
      <c r="H137" s="21">
        <f t="shared" si="139"/>
        <v>43495</v>
      </c>
      <c r="I137" s="21">
        <f t="shared" si="139"/>
        <v>30675</v>
      </c>
      <c r="J137" s="21">
        <f t="shared" si="139"/>
        <v>35122</v>
      </c>
      <c r="K137" s="21">
        <f t="shared" si="139"/>
        <v>26407</v>
      </c>
      <c r="L137" s="21">
        <f t="shared" si="139"/>
        <v>26854</v>
      </c>
      <c r="M137" s="21">
        <f t="shared" si="139"/>
        <v>24632</v>
      </c>
      <c r="N137" s="21">
        <f t="shared" si="139"/>
        <v>33090</v>
      </c>
      <c r="O137" s="21">
        <f t="shared" ref="O137" si="140">O79+O108</f>
        <v>378088</v>
      </c>
    </row>
    <row r="138" spans="1:15" x14ac:dyDescent="0.2">
      <c r="A138" s="19" t="s">
        <v>39</v>
      </c>
      <c r="B138" s="14"/>
      <c r="C138" s="21">
        <f t="shared" ref="C138" si="141">C80+C109</f>
        <v>531</v>
      </c>
      <c r="D138" s="21">
        <f t="shared" ref="D138" si="142">D80+D109</f>
        <v>723</v>
      </c>
      <c r="E138" s="21">
        <f t="shared" si="90"/>
        <v>349</v>
      </c>
      <c r="F138" s="21">
        <f t="shared" ref="F138:N138" si="143">F80+F109</f>
        <v>1006</v>
      </c>
      <c r="G138" s="21">
        <f t="shared" si="143"/>
        <v>528</v>
      </c>
      <c r="H138" s="21">
        <f t="shared" si="143"/>
        <v>620</v>
      </c>
      <c r="I138" s="21">
        <f t="shared" si="143"/>
        <v>891</v>
      </c>
      <c r="J138" s="21">
        <f t="shared" si="143"/>
        <v>851</v>
      </c>
      <c r="K138" s="21">
        <f t="shared" si="143"/>
        <v>529</v>
      </c>
      <c r="L138" s="21">
        <f t="shared" si="143"/>
        <v>316</v>
      </c>
      <c r="M138" s="21">
        <f t="shared" si="143"/>
        <v>516</v>
      </c>
      <c r="N138" s="21">
        <f t="shared" si="143"/>
        <v>586</v>
      </c>
      <c r="O138" s="21">
        <f t="shared" ref="O138" si="144">O80+O109</f>
        <v>7446</v>
      </c>
    </row>
    <row r="139" spans="1:15" x14ac:dyDescent="0.2">
      <c r="A139" s="19" t="s">
        <v>44</v>
      </c>
      <c r="B139" s="14"/>
      <c r="C139" s="21">
        <f t="shared" ref="C139" si="145">C81+C110</f>
        <v>441</v>
      </c>
      <c r="D139" s="21">
        <f t="shared" ref="D139" si="146">D81+D110</f>
        <v>395</v>
      </c>
      <c r="E139" s="21">
        <f t="shared" si="90"/>
        <v>272</v>
      </c>
      <c r="F139" s="21">
        <f t="shared" ref="F139:N139" si="147">F81+F110</f>
        <v>168</v>
      </c>
      <c r="G139" s="21">
        <f t="shared" si="147"/>
        <v>103</v>
      </c>
      <c r="H139" s="21">
        <f t="shared" si="147"/>
        <v>247</v>
      </c>
      <c r="I139" s="21">
        <f t="shared" si="147"/>
        <v>125</v>
      </c>
      <c r="J139" s="21">
        <f t="shared" si="147"/>
        <v>174</v>
      </c>
      <c r="K139" s="21">
        <f t="shared" si="147"/>
        <v>105</v>
      </c>
      <c r="L139" s="21">
        <f t="shared" si="147"/>
        <v>75</v>
      </c>
      <c r="M139" s="21">
        <f t="shared" si="147"/>
        <v>77</v>
      </c>
      <c r="N139" s="21">
        <f t="shared" si="147"/>
        <v>27</v>
      </c>
      <c r="O139" s="21">
        <f t="shared" ref="O139" si="148">O81+O110</f>
        <v>2209</v>
      </c>
    </row>
    <row r="140" spans="1:15" x14ac:dyDescent="0.2">
      <c r="A140" s="19" t="str">
        <f>+B83</f>
        <v>Mixed Amphet Salts</v>
      </c>
      <c r="B140" s="14"/>
      <c r="C140" s="21">
        <f t="shared" ref="C140" si="149">C82+C111</f>
        <v>3412</v>
      </c>
      <c r="D140" s="21">
        <f t="shared" ref="D140" si="150">D82+D111</f>
        <v>3664</v>
      </c>
      <c r="E140" s="21">
        <f t="shared" ref="E140:N140" si="151">E83+E111</f>
        <v>788</v>
      </c>
      <c r="F140" s="21">
        <f t="shared" si="151"/>
        <v>2365</v>
      </c>
      <c r="G140" s="21">
        <f t="shared" si="151"/>
        <v>1577</v>
      </c>
      <c r="H140" s="21">
        <f t="shared" si="151"/>
        <v>1959</v>
      </c>
      <c r="I140" s="21">
        <f t="shared" si="151"/>
        <v>1301</v>
      </c>
      <c r="J140" s="21">
        <f t="shared" si="151"/>
        <v>1393</v>
      </c>
      <c r="K140" s="21">
        <f t="shared" si="151"/>
        <v>981</v>
      </c>
      <c r="L140" s="21">
        <f t="shared" si="151"/>
        <v>804</v>
      </c>
      <c r="M140" s="21">
        <f t="shared" si="151"/>
        <v>789</v>
      </c>
      <c r="N140" s="21">
        <f t="shared" si="151"/>
        <v>1488</v>
      </c>
      <c r="O140" s="21">
        <f t="shared" ref="O140" si="152">O82+O111</f>
        <v>23676</v>
      </c>
    </row>
    <row r="141" spans="1:15" x14ac:dyDescent="0.2">
      <c r="A141" s="19" t="s">
        <v>58</v>
      </c>
      <c r="B141" s="14"/>
      <c r="C141" s="21">
        <f t="shared" ref="C141" si="153">C83+C112</f>
        <v>551</v>
      </c>
      <c r="D141" s="21">
        <f t="shared" ref="D141" si="154">D83+D112</f>
        <v>561</v>
      </c>
      <c r="E141" s="21">
        <f t="shared" ref="E141:N141" si="155">E82+E112</f>
        <v>499</v>
      </c>
      <c r="F141" s="21">
        <f t="shared" si="155"/>
        <v>697</v>
      </c>
      <c r="G141" s="21">
        <f t="shared" si="155"/>
        <v>1625</v>
      </c>
      <c r="H141" s="21">
        <f t="shared" si="155"/>
        <v>910</v>
      </c>
      <c r="I141" s="21">
        <f t="shared" si="155"/>
        <v>1512</v>
      </c>
      <c r="J141" s="21">
        <f t="shared" si="155"/>
        <v>893</v>
      </c>
      <c r="K141" s="21">
        <f t="shared" si="155"/>
        <v>787</v>
      </c>
      <c r="L141" s="21">
        <f t="shared" si="155"/>
        <v>288</v>
      </c>
      <c r="M141" s="21">
        <f t="shared" si="155"/>
        <v>274</v>
      </c>
      <c r="N141" s="21">
        <f t="shared" si="155"/>
        <v>222</v>
      </c>
      <c r="O141" s="21">
        <f t="shared" ref="O141" si="156">O83+O112</f>
        <v>5664</v>
      </c>
    </row>
    <row r="142" spans="1:15" x14ac:dyDescent="0.2">
      <c r="A142" s="19" t="s">
        <v>59</v>
      </c>
      <c r="B142" s="14"/>
      <c r="C142" s="21">
        <f t="shared" ref="C142" si="157">C84+C113</f>
        <v>172</v>
      </c>
      <c r="D142" s="21">
        <f t="shared" ref="D142:E142" si="158">D84+D113</f>
        <v>129</v>
      </c>
      <c r="E142" s="21">
        <f t="shared" si="158"/>
        <v>151</v>
      </c>
      <c r="F142" s="21">
        <f t="shared" ref="F142:N142" si="159">F84+F113</f>
        <v>121</v>
      </c>
      <c r="G142" s="21">
        <f t="shared" si="159"/>
        <v>169</v>
      </c>
      <c r="H142" s="21">
        <f t="shared" si="159"/>
        <v>318</v>
      </c>
      <c r="I142" s="21">
        <f t="shared" si="159"/>
        <v>127</v>
      </c>
      <c r="J142" s="21">
        <f t="shared" si="159"/>
        <v>174</v>
      </c>
      <c r="K142" s="21">
        <f t="shared" si="159"/>
        <v>106</v>
      </c>
      <c r="L142" s="21">
        <f t="shared" si="159"/>
        <v>63</v>
      </c>
      <c r="M142" s="21">
        <f t="shared" si="159"/>
        <v>93</v>
      </c>
      <c r="N142" s="21">
        <f t="shared" si="159"/>
        <v>181</v>
      </c>
      <c r="O142" s="21">
        <f t="shared" ref="O142" si="160">O84+O113</f>
        <v>1804</v>
      </c>
    </row>
    <row r="143" spans="1:15" x14ac:dyDescent="0.2">
      <c r="A143" s="19" t="s">
        <v>18</v>
      </c>
      <c r="B143" s="14"/>
      <c r="C143" s="21">
        <f t="shared" ref="C143" si="161">C85+C114</f>
        <v>12237</v>
      </c>
      <c r="D143" s="21">
        <f t="shared" ref="D143:E144" si="162">D85+D114</f>
        <v>12612</v>
      </c>
      <c r="E143" s="21">
        <f t="shared" si="162"/>
        <v>6727</v>
      </c>
      <c r="F143" s="21">
        <f t="shared" ref="F143:N143" si="163">F85+F114</f>
        <v>11628</v>
      </c>
      <c r="G143" s="21">
        <f t="shared" si="163"/>
        <v>10539</v>
      </c>
      <c r="H143" s="21">
        <f t="shared" si="163"/>
        <v>17667</v>
      </c>
      <c r="I143" s="21">
        <f t="shared" si="163"/>
        <v>12333</v>
      </c>
      <c r="J143" s="21">
        <f t="shared" si="163"/>
        <v>10052</v>
      </c>
      <c r="K143" s="21">
        <f t="shared" si="163"/>
        <v>10813</v>
      </c>
      <c r="L143" s="21">
        <f t="shared" si="163"/>
        <v>11692</v>
      </c>
      <c r="M143" s="21">
        <f t="shared" si="163"/>
        <v>9501</v>
      </c>
      <c r="N143" s="21">
        <f t="shared" si="163"/>
        <v>15712</v>
      </c>
      <c r="O143" s="21">
        <f t="shared" ref="O143:O144" si="164">O85+O114</f>
        <v>141513</v>
      </c>
    </row>
    <row r="144" spans="1:15" x14ac:dyDescent="0.2">
      <c r="A144" s="19" t="s">
        <v>19</v>
      </c>
      <c r="B144" s="14"/>
      <c r="C144" s="21">
        <f t="shared" ref="C144" si="165">C86+C115</f>
        <v>743</v>
      </c>
      <c r="D144" s="21">
        <f t="shared" si="162"/>
        <v>694</v>
      </c>
      <c r="E144" s="21">
        <f t="shared" si="162"/>
        <v>529</v>
      </c>
      <c r="F144" s="21">
        <f t="shared" ref="F144:N144" si="166">F86+F115</f>
        <v>545</v>
      </c>
      <c r="G144" s="21">
        <f t="shared" si="166"/>
        <v>784</v>
      </c>
      <c r="H144" s="21">
        <f t="shared" si="166"/>
        <v>771</v>
      </c>
      <c r="I144" s="21">
        <f t="shared" si="166"/>
        <v>1083</v>
      </c>
      <c r="J144" s="21">
        <f t="shared" si="166"/>
        <v>712</v>
      </c>
      <c r="K144" s="21">
        <f t="shared" si="166"/>
        <v>431</v>
      </c>
      <c r="L144" s="21">
        <f t="shared" si="166"/>
        <v>430</v>
      </c>
      <c r="M144" s="21">
        <f t="shared" si="166"/>
        <v>453</v>
      </c>
      <c r="N144" s="21">
        <f t="shared" si="166"/>
        <v>368</v>
      </c>
      <c r="O144" s="21">
        <f t="shared" si="164"/>
        <v>7543</v>
      </c>
    </row>
    <row r="145" spans="1:15" x14ac:dyDescent="0.2">
      <c r="A145" s="19" t="s">
        <v>57</v>
      </c>
      <c r="B145" s="14"/>
      <c r="C145" s="21">
        <f t="shared" ref="C145" si="167">C87+C116</f>
        <v>513</v>
      </c>
      <c r="D145" s="21">
        <f t="shared" ref="D145:E145" si="168">D87+D116</f>
        <v>314</v>
      </c>
      <c r="E145" s="21">
        <f t="shared" si="168"/>
        <v>247</v>
      </c>
      <c r="F145" s="21">
        <f t="shared" ref="F145:N145" si="169">F87+F116</f>
        <v>260</v>
      </c>
      <c r="G145" s="21">
        <f t="shared" si="169"/>
        <v>261</v>
      </c>
      <c r="H145" s="21">
        <f t="shared" si="169"/>
        <v>343</v>
      </c>
      <c r="I145" s="21">
        <f t="shared" si="169"/>
        <v>237</v>
      </c>
      <c r="J145" s="21">
        <f t="shared" si="169"/>
        <v>194</v>
      </c>
      <c r="K145" s="21">
        <f t="shared" si="169"/>
        <v>108</v>
      </c>
      <c r="L145" s="21">
        <f t="shared" si="169"/>
        <v>116</v>
      </c>
      <c r="M145" s="21">
        <f t="shared" si="169"/>
        <v>79</v>
      </c>
      <c r="N145" s="21">
        <f t="shared" si="169"/>
        <v>115</v>
      </c>
      <c r="O145" s="21">
        <f t="shared" ref="O145" si="170">O87+O116</f>
        <v>2787</v>
      </c>
    </row>
    <row r="146" spans="1:15" x14ac:dyDescent="0.2">
      <c r="A146" s="19" t="s">
        <v>42</v>
      </c>
      <c r="B146" s="14"/>
      <c r="C146" s="21">
        <f t="shared" ref="C146" si="171">C88+C117</f>
        <v>0</v>
      </c>
      <c r="D146" s="21">
        <f t="shared" ref="D146:E147" si="172">D88+D117</f>
        <v>0</v>
      </c>
      <c r="E146" s="21">
        <f t="shared" si="172"/>
        <v>0</v>
      </c>
      <c r="F146" s="21">
        <f t="shared" ref="F146:N146" si="173">F88+F117</f>
        <v>0</v>
      </c>
      <c r="G146" s="21">
        <f t="shared" si="173"/>
        <v>0</v>
      </c>
      <c r="H146" s="21">
        <f t="shared" si="173"/>
        <v>0</v>
      </c>
      <c r="I146" s="21">
        <f t="shared" si="173"/>
        <v>0</v>
      </c>
      <c r="J146" s="21">
        <f t="shared" si="173"/>
        <v>0</v>
      </c>
      <c r="K146" s="21">
        <f t="shared" si="173"/>
        <v>0</v>
      </c>
      <c r="L146" s="21">
        <f t="shared" si="173"/>
        <v>0</v>
      </c>
      <c r="M146" s="21">
        <f t="shared" si="173"/>
        <v>0</v>
      </c>
      <c r="N146" s="21">
        <f t="shared" si="173"/>
        <v>0</v>
      </c>
      <c r="O146" s="21">
        <f t="shared" ref="O146:O147" si="174">O88+O117</f>
        <v>0</v>
      </c>
    </row>
    <row r="147" spans="1:15" x14ac:dyDescent="0.2">
      <c r="A147" s="19" t="s">
        <v>43</v>
      </c>
      <c r="B147" s="14"/>
      <c r="C147" s="21">
        <f t="shared" ref="C147" si="175">C89+C118</f>
        <v>461</v>
      </c>
      <c r="D147" s="21">
        <f t="shared" si="172"/>
        <v>260</v>
      </c>
      <c r="E147" s="21">
        <f t="shared" si="172"/>
        <v>247</v>
      </c>
      <c r="F147" s="21">
        <f t="shared" ref="F147:N147" si="176">F89+F118</f>
        <v>307</v>
      </c>
      <c r="G147" s="21">
        <f t="shared" si="176"/>
        <v>639</v>
      </c>
      <c r="H147" s="21">
        <f t="shared" si="176"/>
        <v>364</v>
      </c>
      <c r="I147" s="21">
        <f t="shared" si="176"/>
        <v>652</v>
      </c>
      <c r="J147" s="21">
        <f t="shared" si="176"/>
        <v>280</v>
      </c>
      <c r="K147" s="21">
        <f t="shared" si="176"/>
        <v>264</v>
      </c>
      <c r="L147" s="21">
        <f t="shared" si="176"/>
        <v>181</v>
      </c>
      <c r="M147" s="21">
        <f t="shared" si="176"/>
        <v>188</v>
      </c>
      <c r="N147" s="21">
        <f t="shared" si="176"/>
        <v>135</v>
      </c>
      <c r="O147" s="21">
        <f t="shared" si="174"/>
        <v>3978</v>
      </c>
    </row>
    <row r="148" spans="1:15" x14ac:dyDescent="0.2">
      <c r="A148" s="19" t="s">
        <v>56</v>
      </c>
      <c r="B148" s="14"/>
      <c r="C148" s="21">
        <f t="shared" ref="C148" si="177">C90+C119</f>
        <v>874</v>
      </c>
      <c r="D148" s="21">
        <f t="shared" ref="D148:E148" si="178">D90+D119</f>
        <v>850</v>
      </c>
      <c r="E148" s="21">
        <f t="shared" si="178"/>
        <v>566</v>
      </c>
      <c r="F148" s="21">
        <f t="shared" ref="F148:N148" si="179">F90+F119</f>
        <v>260</v>
      </c>
      <c r="G148" s="21">
        <f t="shared" si="179"/>
        <v>0</v>
      </c>
      <c r="H148" s="21">
        <f t="shared" si="179"/>
        <v>0</v>
      </c>
      <c r="I148" s="21">
        <f t="shared" si="179"/>
        <v>0</v>
      </c>
      <c r="J148" s="21">
        <f t="shared" si="179"/>
        <v>0</v>
      </c>
      <c r="K148" s="21">
        <f t="shared" si="179"/>
        <v>0</v>
      </c>
      <c r="L148" s="21">
        <f t="shared" si="179"/>
        <v>0</v>
      </c>
      <c r="M148" s="21">
        <f t="shared" si="179"/>
        <v>0</v>
      </c>
      <c r="N148" s="21">
        <f t="shared" si="179"/>
        <v>0</v>
      </c>
      <c r="O148" s="21">
        <f t="shared" ref="O148" si="180">O90+O119</f>
        <v>2550</v>
      </c>
    </row>
    <row r="149" spans="1:15" x14ac:dyDescent="0.2">
      <c r="A149" s="19" t="s">
        <v>49</v>
      </c>
      <c r="B149" s="14"/>
      <c r="C149" s="21">
        <f t="shared" ref="C149" si="181">C91+C120</f>
        <v>379</v>
      </c>
      <c r="D149" s="21">
        <f t="shared" ref="D149:E151" si="182">D91+D120</f>
        <v>328</v>
      </c>
      <c r="E149" s="21">
        <f t="shared" si="182"/>
        <v>273</v>
      </c>
      <c r="F149" s="21">
        <f t="shared" ref="F149:N149" si="183">F91+F120</f>
        <v>342</v>
      </c>
      <c r="G149" s="21">
        <f t="shared" si="183"/>
        <v>512</v>
      </c>
      <c r="H149" s="21">
        <f t="shared" si="183"/>
        <v>400</v>
      </c>
      <c r="I149" s="21">
        <f t="shared" si="183"/>
        <v>590</v>
      </c>
      <c r="J149" s="21">
        <f t="shared" si="183"/>
        <v>323</v>
      </c>
      <c r="K149" s="21">
        <f t="shared" si="183"/>
        <v>223</v>
      </c>
      <c r="L149" s="21">
        <f t="shared" si="183"/>
        <v>247</v>
      </c>
      <c r="M149" s="21">
        <f t="shared" si="183"/>
        <v>233</v>
      </c>
      <c r="N149" s="21">
        <f t="shared" si="183"/>
        <v>197</v>
      </c>
      <c r="O149" s="21">
        <f t="shared" ref="O149:O151" si="184">O91+O120</f>
        <v>4047</v>
      </c>
    </row>
    <row r="150" spans="1:15" x14ac:dyDescent="0.2">
      <c r="A150" s="32" t="s">
        <v>54</v>
      </c>
      <c r="B150" s="14"/>
      <c r="C150" s="21">
        <f t="shared" ref="C150" si="185">C92+C121</f>
        <v>146</v>
      </c>
      <c r="D150" s="21">
        <f t="shared" si="182"/>
        <v>146</v>
      </c>
      <c r="E150" s="21">
        <f t="shared" si="182"/>
        <v>80</v>
      </c>
      <c r="F150" s="21">
        <f t="shared" ref="F150:N150" si="186">F92+F121</f>
        <v>111</v>
      </c>
      <c r="G150" s="21">
        <f t="shared" si="186"/>
        <v>104</v>
      </c>
      <c r="H150" s="21">
        <f t="shared" si="186"/>
        <v>98</v>
      </c>
      <c r="I150" s="21">
        <f t="shared" si="186"/>
        <v>76</v>
      </c>
      <c r="J150" s="21">
        <f t="shared" si="186"/>
        <v>80</v>
      </c>
      <c r="K150" s="21">
        <f t="shared" si="186"/>
        <v>26</v>
      </c>
      <c r="L150" s="21">
        <f t="shared" si="186"/>
        <v>57</v>
      </c>
      <c r="M150" s="21">
        <f t="shared" si="186"/>
        <v>53</v>
      </c>
      <c r="N150" s="21">
        <f t="shared" si="186"/>
        <v>80</v>
      </c>
      <c r="O150" s="21">
        <f t="shared" si="184"/>
        <v>1057</v>
      </c>
    </row>
    <row r="151" spans="1:15" x14ac:dyDescent="0.2">
      <c r="A151" s="19" t="s">
        <v>14</v>
      </c>
      <c r="B151" s="14"/>
      <c r="C151" s="21">
        <f t="shared" ref="C151" si="187">C93+C122</f>
        <v>58876.091200000003</v>
      </c>
      <c r="D151" s="21">
        <f t="shared" si="182"/>
        <v>73113.127999999997</v>
      </c>
      <c r="E151" s="21">
        <f t="shared" si="182"/>
        <v>59804</v>
      </c>
      <c r="F151" s="21">
        <f t="shared" ref="F151:N151" si="188">F93+F122</f>
        <v>53253</v>
      </c>
      <c r="G151" s="21">
        <f t="shared" si="188"/>
        <v>412</v>
      </c>
      <c r="H151" s="21">
        <f t="shared" si="188"/>
        <v>54</v>
      </c>
      <c r="I151" s="21">
        <f t="shared" si="188"/>
        <v>336</v>
      </c>
      <c r="J151" s="21">
        <f t="shared" si="188"/>
        <v>54</v>
      </c>
      <c r="K151" s="21">
        <f t="shared" si="188"/>
        <v>114</v>
      </c>
      <c r="L151" s="21">
        <f t="shared" si="188"/>
        <v>36</v>
      </c>
      <c r="M151" s="21">
        <f t="shared" si="188"/>
        <v>78</v>
      </c>
      <c r="N151" s="21">
        <f t="shared" si="188"/>
        <v>3</v>
      </c>
      <c r="O151" s="21">
        <f t="shared" si="184"/>
        <v>246133.21919999999</v>
      </c>
    </row>
    <row r="152" spans="1:15" ht="13.5" thickBot="1" x14ac:dyDescent="0.25">
      <c r="A152" s="20"/>
      <c r="B152" s="14" t="s">
        <v>13</v>
      </c>
      <c r="C152" s="38">
        <f t="shared" ref="C152:N152" si="189">SUM(C125:C151)</f>
        <v>585309.72120000003</v>
      </c>
      <c r="D152" s="38">
        <f t="shared" si="189"/>
        <v>554376.18799999997</v>
      </c>
      <c r="E152" s="38">
        <f t="shared" si="189"/>
        <v>346724.11</v>
      </c>
      <c r="F152" s="38">
        <f t="shared" ref="F152" si="190">SUM(F125:F151)</f>
        <v>490180.83999999997</v>
      </c>
      <c r="G152" s="38">
        <f t="shared" si="189"/>
        <v>421143.25</v>
      </c>
      <c r="H152" s="38">
        <f t="shared" ref="H152" si="191">SUM(H125:H151)</f>
        <v>580562.71</v>
      </c>
      <c r="I152" s="38">
        <f t="shared" si="189"/>
        <v>377760.92000000004</v>
      </c>
      <c r="J152" s="38">
        <f t="shared" ref="J152" si="192">SUM(J125:J151)</f>
        <v>449467.94</v>
      </c>
      <c r="K152" s="38">
        <f t="shared" si="189"/>
        <v>267506.3</v>
      </c>
      <c r="L152" s="38">
        <f t="shared" ref="L152" si="193">SUM(L125:L151)</f>
        <v>340299.07999999996</v>
      </c>
      <c r="M152" s="38">
        <f t="shared" si="189"/>
        <v>265287.96999999997</v>
      </c>
      <c r="N152" s="38">
        <f t="shared" si="189"/>
        <v>364262.1</v>
      </c>
      <c r="O152" s="46">
        <f>SUM(C152:N152)</f>
        <v>5042881.1291999985</v>
      </c>
    </row>
    <row r="153" spans="1:15" ht="13.5" thickTop="1" x14ac:dyDescent="0.2"/>
    <row r="157" spans="1:15" x14ac:dyDescent="0.2">
      <c r="A157" s="13" t="s">
        <v>37</v>
      </c>
    </row>
    <row r="158" spans="1:15" x14ac:dyDescent="0.2">
      <c r="A158" s="19" t="s">
        <v>15</v>
      </c>
      <c r="C158" s="39">
        <v>2191398</v>
      </c>
      <c r="D158" s="39">
        <v>2034306</v>
      </c>
      <c r="E158" s="39">
        <v>1490952</v>
      </c>
      <c r="F158" s="39">
        <v>1189926</v>
      </c>
      <c r="G158" s="39">
        <v>1799949</v>
      </c>
      <c r="H158" s="39">
        <v>1638336</v>
      </c>
      <c r="I158" s="39">
        <v>1203210</v>
      </c>
      <c r="J158" s="39">
        <v>1852380</v>
      </c>
      <c r="K158" s="39">
        <v>1495704</v>
      </c>
      <c r="L158" s="39">
        <v>1670394</v>
      </c>
      <c r="M158" s="39">
        <v>1637544</v>
      </c>
      <c r="N158" s="39">
        <v>1198914</v>
      </c>
    </row>
    <row r="159" spans="1:15" x14ac:dyDescent="0.2">
      <c r="A159" s="19" t="s">
        <v>16</v>
      </c>
      <c r="C159" s="39">
        <v>272892</v>
      </c>
      <c r="D159" s="39">
        <v>203748</v>
      </c>
      <c r="E159" s="39">
        <v>301704</v>
      </c>
      <c r="F159" s="39">
        <v>148944</v>
      </c>
      <c r="G159" s="39">
        <v>412980</v>
      </c>
      <c r="H159" s="39">
        <v>179868</v>
      </c>
      <c r="I159" s="39">
        <v>203460</v>
      </c>
      <c r="J159" s="39">
        <v>299352</v>
      </c>
      <c r="K159" s="39">
        <v>245880</v>
      </c>
      <c r="L159" s="39">
        <v>238776</v>
      </c>
      <c r="M159" s="39">
        <v>366984</v>
      </c>
      <c r="N159" s="39">
        <v>293664</v>
      </c>
    </row>
    <row r="160" spans="1:15" x14ac:dyDescent="0.2">
      <c r="A160" s="19" t="s">
        <v>32</v>
      </c>
      <c r="C160" s="39">
        <v>385830</v>
      </c>
      <c r="D160" s="39">
        <v>474030</v>
      </c>
      <c r="E160" s="39">
        <v>317232</v>
      </c>
      <c r="F160" s="39">
        <v>515778</v>
      </c>
      <c r="G160" s="39">
        <v>857478</v>
      </c>
      <c r="H160" s="39">
        <v>368604</v>
      </c>
      <c r="I160" s="39">
        <v>315084</v>
      </c>
      <c r="J160" s="39">
        <v>523476</v>
      </c>
      <c r="K160" s="39">
        <v>300324</v>
      </c>
      <c r="L160" s="39">
        <v>299874</v>
      </c>
      <c r="M160" s="39">
        <v>398040</v>
      </c>
      <c r="N160" s="39">
        <v>310638</v>
      </c>
    </row>
    <row r="161" spans="1:14" x14ac:dyDescent="0.2">
      <c r="A161" s="19" t="s">
        <v>17</v>
      </c>
      <c r="C161" s="39">
        <v>137748</v>
      </c>
      <c r="D161" s="39">
        <v>136164</v>
      </c>
      <c r="E161" s="39">
        <v>126780</v>
      </c>
      <c r="F161" s="39">
        <v>69264</v>
      </c>
      <c r="G161" s="39">
        <v>193416</v>
      </c>
      <c r="H161" s="39">
        <v>146016</v>
      </c>
      <c r="I161" s="39">
        <v>100452</v>
      </c>
      <c r="J161" s="39">
        <v>114732</v>
      </c>
      <c r="K161" s="39">
        <v>99036</v>
      </c>
      <c r="L161" s="39">
        <v>93720</v>
      </c>
      <c r="M161" s="39">
        <v>103476</v>
      </c>
      <c r="N161" s="39">
        <v>84564</v>
      </c>
    </row>
    <row r="162" spans="1:14" x14ac:dyDescent="0.2">
      <c r="A162" s="19" t="s">
        <v>48</v>
      </c>
      <c r="C162" s="39">
        <v>11100</v>
      </c>
      <c r="D162" s="39">
        <v>15108</v>
      </c>
      <c r="E162" s="39">
        <v>5436</v>
      </c>
      <c r="F162" s="39">
        <v>2268</v>
      </c>
      <c r="G162" s="39">
        <v>12708</v>
      </c>
      <c r="H162" s="39">
        <v>16524</v>
      </c>
      <c r="I162" s="39">
        <v>6384</v>
      </c>
      <c r="J162" s="39">
        <v>10476</v>
      </c>
      <c r="K162" s="39">
        <v>15756</v>
      </c>
      <c r="L162" s="39">
        <v>9552</v>
      </c>
      <c r="M162" s="39">
        <v>18324</v>
      </c>
      <c r="N162" s="39">
        <v>13308</v>
      </c>
    </row>
    <row r="163" spans="1:14" x14ac:dyDescent="0.2">
      <c r="A163" s="19" t="str">
        <f>+B101</f>
        <v>Methylphenidate ER</v>
      </c>
      <c r="C163" s="39">
        <v>76380</v>
      </c>
      <c r="D163" s="39">
        <v>83688</v>
      </c>
      <c r="E163" s="39">
        <v>43595</v>
      </c>
      <c r="F163" s="39">
        <v>40524</v>
      </c>
      <c r="G163" s="39">
        <v>53616</v>
      </c>
      <c r="H163" s="39">
        <v>42300</v>
      </c>
      <c r="I163" s="39">
        <v>30048</v>
      </c>
      <c r="J163" s="39">
        <v>49896</v>
      </c>
      <c r="K163" s="39">
        <v>35892</v>
      </c>
      <c r="L163" s="39">
        <v>26136</v>
      </c>
      <c r="M163" s="39">
        <v>41616</v>
      </c>
      <c r="N163" s="39">
        <v>34008</v>
      </c>
    </row>
    <row r="164" spans="1:14" x14ac:dyDescent="0.2">
      <c r="A164" s="12" t="s">
        <v>51</v>
      </c>
      <c r="C164" s="39">
        <v>1200</v>
      </c>
      <c r="D164" s="39">
        <v>2064</v>
      </c>
      <c r="E164" s="39">
        <v>2244</v>
      </c>
      <c r="F164" s="39">
        <v>1200</v>
      </c>
      <c r="G164" s="39">
        <v>1404</v>
      </c>
      <c r="H164" s="39">
        <v>948</v>
      </c>
      <c r="I164" s="39">
        <v>864</v>
      </c>
      <c r="J164" s="39">
        <v>1464</v>
      </c>
      <c r="K164" s="39">
        <v>1536</v>
      </c>
      <c r="L164" s="39">
        <v>816</v>
      </c>
      <c r="M164" s="39">
        <v>1140</v>
      </c>
      <c r="N164" s="39">
        <v>1020</v>
      </c>
    </row>
    <row r="165" spans="1:14" x14ac:dyDescent="0.2">
      <c r="A165" s="32" t="s">
        <v>30</v>
      </c>
      <c r="C165" s="39">
        <v>93360</v>
      </c>
      <c r="D165" s="39">
        <v>235692</v>
      </c>
      <c r="E165" s="39">
        <v>91752</v>
      </c>
      <c r="F165" s="39">
        <v>119520</v>
      </c>
      <c r="G165" s="39">
        <v>201252</v>
      </c>
      <c r="H165" s="39">
        <v>110760</v>
      </c>
      <c r="I165" s="39">
        <v>79056</v>
      </c>
      <c r="J165" s="39">
        <v>142032</v>
      </c>
      <c r="K165" s="39">
        <v>127704</v>
      </c>
      <c r="L165" s="39">
        <v>108636</v>
      </c>
      <c r="M165" s="39">
        <v>121824</v>
      </c>
      <c r="N165" s="39">
        <v>125016</v>
      </c>
    </row>
    <row r="166" spans="1:14" x14ac:dyDescent="0.2">
      <c r="A166" s="32" t="s">
        <v>35</v>
      </c>
      <c r="C166" s="39">
        <v>101100</v>
      </c>
      <c r="D166" s="39">
        <v>169536</v>
      </c>
      <c r="E166" s="39">
        <v>86436</v>
      </c>
      <c r="F166" s="39">
        <v>46092</v>
      </c>
      <c r="G166" s="39">
        <v>180396</v>
      </c>
      <c r="H166" s="39">
        <v>157692</v>
      </c>
      <c r="I166" s="39">
        <v>97116</v>
      </c>
      <c r="J166" s="39">
        <v>134856</v>
      </c>
      <c r="K166" s="39">
        <v>115080</v>
      </c>
      <c r="L166" s="39">
        <v>95448</v>
      </c>
      <c r="M166" s="39">
        <v>137544</v>
      </c>
      <c r="N166" s="39">
        <v>95424</v>
      </c>
    </row>
    <row r="167" spans="1:14" x14ac:dyDescent="0.2">
      <c r="A167" s="32" t="s">
        <v>36</v>
      </c>
      <c r="C167" s="39">
        <v>241416</v>
      </c>
      <c r="D167" s="39">
        <v>248040</v>
      </c>
      <c r="E167" s="39">
        <v>170568</v>
      </c>
      <c r="F167" s="39">
        <v>208044</v>
      </c>
      <c r="G167" s="39">
        <v>288663</v>
      </c>
      <c r="H167" s="39">
        <v>192132</v>
      </c>
      <c r="I167" s="39">
        <v>108864</v>
      </c>
      <c r="J167" s="39">
        <v>181836</v>
      </c>
      <c r="K167" s="39">
        <v>169080</v>
      </c>
      <c r="L167" s="39">
        <v>158412</v>
      </c>
      <c r="M167" s="39">
        <v>150240</v>
      </c>
      <c r="N167" s="39">
        <v>112032</v>
      </c>
    </row>
    <row r="168" spans="1:14" x14ac:dyDescent="0.2">
      <c r="A168" s="32" t="s">
        <v>31</v>
      </c>
      <c r="C168" s="39">
        <v>51024</v>
      </c>
      <c r="D168" s="39">
        <v>19944</v>
      </c>
      <c r="E168" s="39">
        <v>63426</v>
      </c>
      <c r="F168" s="39">
        <v>30546</v>
      </c>
      <c r="G168" s="39">
        <v>9240</v>
      </c>
      <c r="H168" s="39">
        <v>0</v>
      </c>
      <c r="I168" s="39">
        <v>28560</v>
      </c>
      <c r="J168" s="39">
        <v>70530</v>
      </c>
      <c r="K168" s="39">
        <v>36474</v>
      </c>
      <c r="L168" s="39">
        <v>34152</v>
      </c>
      <c r="M168" s="39">
        <v>35148</v>
      </c>
      <c r="N168" s="39">
        <v>72372</v>
      </c>
    </row>
    <row r="169" spans="1:14" x14ac:dyDescent="0.2">
      <c r="A169" s="32" t="s">
        <v>41</v>
      </c>
      <c r="C169" s="45">
        <v>4078</v>
      </c>
      <c r="D169" s="45">
        <v>4714</v>
      </c>
      <c r="E169" s="45">
        <v>5892</v>
      </c>
      <c r="F169" s="45">
        <v>3373</v>
      </c>
      <c r="G169" s="45">
        <v>4876</v>
      </c>
      <c r="H169" s="45">
        <v>4349</v>
      </c>
      <c r="I169" s="45">
        <v>4072</v>
      </c>
      <c r="J169" s="45">
        <v>5484</v>
      </c>
      <c r="K169" s="45">
        <v>4586</v>
      </c>
      <c r="L169" s="45">
        <v>4390</v>
      </c>
      <c r="M169" s="45">
        <v>5838</v>
      </c>
      <c r="N169" s="45">
        <v>6194</v>
      </c>
    </row>
    <row r="170" spans="1:14" x14ac:dyDescent="0.2">
      <c r="A170" s="32" t="s">
        <v>46</v>
      </c>
      <c r="C170" s="45">
        <v>264552</v>
      </c>
      <c r="D170" s="45">
        <v>288576</v>
      </c>
      <c r="E170" s="45">
        <v>253464</v>
      </c>
      <c r="F170" s="45">
        <v>234528</v>
      </c>
      <c r="G170" s="45">
        <v>296184</v>
      </c>
      <c r="H170" s="45">
        <v>242544</v>
      </c>
      <c r="I170" s="45">
        <v>205488</v>
      </c>
      <c r="J170" s="45">
        <v>298512</v>
      </c>
      <c r="K170" s="45">
        <v>310656</v>
      </c>
      <c r="L170" s="45">
        <v>246096</v>
      </c>
      <c r="M170" s="45">
        <v>326304</v>
      </c>
      <c r="N170" s="45">
        <v>248784</v>
      </c>
    </row>
    <row r="171" spans="1:14" x14ac:dyDescent="0.2">
      <c r="A171" s="19" t="s">
        <v>39</v>
      </c>
      <c r="C171" s="39">
        <v>3828</v>
      </c>
      <c r="D171" s="39">
        <v>5916</v>
      </c>
      <c r="E171" s="39">
        <v>3588</v>
      </c>
      <c r="F171" s="39">
        <v>6144</v>
      </c>
      <c r="G171" s="39">
        <v>4764</v>
      </c>
      <c r="H171" s="39">
        <v>3312</v>
      </c>
      <c r="I171" s="39">
        <v>4812</v>
      </c>
      <c r="J171" s="39">
        <v>6852</v>
      </c>
      <c r="K171" s="39">
        <v>5172</v>
      </c>
      <c r="L171" s="39">
        <v>2808</v>
      </c>
      <c r="M171" s="39">
        <v>6192</v>
      </c>
      <c r="N171" s="39">
        <v>4392</v>
      </c>
    </row>
    <row r="172" spans="1:14" x14ac:dyDescent="0.2">
      <c r="A172" s="19" t="s">
        <v>44</v>
      </c>
      <c r="C172" s="39">
        <v>3294</v>
      </c>
      <c r="D172" s="39">
        <v>3306</v>
      </c>
      <c r="E172" s="39">
        <v>2880</v>
      </c>
      <c r="F172" s="39">
        <v>1044</v>
      </c>
      <c r="G172" s="39">
        <v>1038</v>
      </c>
      <c r="H172" s="39">
        <v>1362</v>
      </c>
      <c r="I172" s="39">
        <v>768</v>
      </c>
      <c r="J172" s="39">
        <v>1458</v>
      </c>
      <c r="K172" s="39">
        <v>1182</v>
      </c>
      <c r="L172" s="39">
        <v>684</v>
      </c>
      <c r="M172" s="39">
        <v>990</v>
      </c>
      <c r="N172" s="39">
        <v>204</v>
      </c>
    </row>
    <row r="173" spans="1:14" x14ac:dyDescent="0.2">
      <c r="A173" s="19" t="str">
        <f>+A140</f>
        <v>Mixed Amphet Salts</v>
      </c>
      <c r="C173" s="39">
        <v>24516</v>
      </c>
      <c r="D173" s="39">
        <v>29664</v>
      </c>
      <c r="E173" s="39">
        <v>8400</v>
      </c>
      <c r="F173" s="39">
        <v>14712</v>
      </c>
      <c r="G173" s="39">
        <v>16128</v>
      </c>
      <c r="H173" s="39">
        <v>10860</v>
      </c>
      <c r="I173" s="39">
        <v>8268</v>
      </c>
      <c r="J173" s="39">
        <v>11760</v>
      </c>
      <c r="K173" s="39">
        <v>11184</v>
      </c>
      <c r="L173" s="39">
        <v>7332</v>
      </c>
      <c r="M173" s="39">
        <v>10332</v>
      </c>
      <c r="N173" s="39">
        <v>11184</v>
      </c>
    </row>
    <row r="174" spans="1:14" x14ac:dyDescent="0.2">
      <c r="A174" s="19" t="s">
        <v>58</v>
      </c>
      <c r="C174" s="39">
        <v>3984</v>
      </c>
      <c r="D174" s="39">
        <v>4500</v>
      </c>
      <c r="E174" s="39">
        <v>4068</v>
      </c>
      <c r="F174" s="39">
        <v>3600</v>
      </c>
      <c r="G174" s="39">
        <v>5292</v>
      </c>
      <c r="H174" s="39">
        <v>3936</v>
      </c>
      <c r="I174" s="39">
        <v>3276</v>
      </c>
      <c r="J174" s="39">
        <v>5676</v>
      </c>
      <c r="K174" s="39">
        <v>4056</v>
      </c>
      <c r="L174" s="39">
        <v>1956</v>
      </c>
      <c r="M174" s="39">
        <v>1788</v>
      </c>
      <c r="N174" s="39">
        <v>1620</v>
      </c>
    </row>
    <row r="175" spans="1:14" x14ac:dyDescent="0.2">
      <c r="A175" s="19" t="s">
        <v>59</v>
      </c>
      <c r="C175" s="39">
        <v>1224</v>
      </c>
      <c r="D175" s="39">
        <v>1044</v>
      </c>
      <c r="E175" s="39">
        <v>1536</v>
      </c>
      <c r="F175" s="39">
        <v>732</v>
      </c>
      <c r="G175" s="39">
        <v>1416</v>
      </c>
      <c r="H175" s="39">
        <v>1692</v>
      </c>
      <c r="I175" s="39">
        <v>624</v>
      </c>
      <c r="J175" s="39">
        <v>1392</v>
      </c>
      <c r="K175" s="39">
        <v>1020</v>
      </c>
      <c r="L175" s="39">
        <v>552</v>
      </c>
      <c r="M175" s="39">
        <v>1092</v>
      </c>
      <c r="N175" s="39">
        <v>1356</v>
      </c>
    </row>
    <row r="176" spans="1:14" x14ac:dyDescent="0.2">
      <c r="A176" s="19" t="s">
        <v>18</v>
      </c>
      <c r="C176" s="39">
        <v>93068</v>
      </c>
      <c r="D176" s="39">
        <v>106296</v>
      </c>
      <c r="E176" s="39">
        <v>72379</v>
      </c>
      <c r="F176" s="39">
        <v>72689</v>
      </c>
      <c r="G176" s="39">
        <v>114419</v>
      </c>
      <c r="H176" s="39">
        <v>98783</v>
      </c>
      <c r="I176" s="39">
        <v>84034</v>
      </c>
      <c r="J176" s="39">
        <v>85633</v>
      </c>
      <c r="K176" s="39">
        <v>129102</v>
      </c>
      <c r="L176" s="39">
        <v>107431</v>
      </c>
      <c r="M176" s="39">
        <v>126711</v>
      </c>
      <c r="N176" s="39">
        <v>118156</v>
      </c>
    </row>
    <row r="177" spans="1:15" x14ac:dyDescent="0.2">
      <c r="A177" s="72" t="s">
        <v>19</v>
      </c>
      <c r="C177" s="39">
        <v>5124</v>
      </c>
      <c r="D177" s="39">
        <v>5448</v>
      </c>
      <c r="E177" s="39">
        <v>5292</v>
      </c>
      <c r="F177" s="39">
        <v>3240</v>
      </c>
      <c r="G177" s="39">
        <v>5694</v>
      </c>
      <c r="H177" s="39">
        <v>4014</v>
      </c>
      <c r="I177" s="39">
        <v>3852</v>
      </c>
      <c r="J177" s="39">
        <v>5496</v>
      </c>
      <c r="K177" s="39">
        <v>3636</v>
      </c>
      <c r="L177" s="39">
        <v>3618</v>
      </c>
      <c r="M177" s="39">
        <v>4764</v>
      </c>
      <c r="N177" s="39">
        <v>2748</v>
      </c>
    </row>
    <row r="178" spans="1:15" x14ac:dyDescent="0.2">
      <c r="A178" s="51" t="s">
        <v>57</v>
      </c>
      <c r="C178" s="39">
        <v>3732</v>
      </c>
      <c r="D178" s="39">
        <v>2508</v>
      </c>
      <c r="E178" s="39">
        <v>2556</v>
      </c>
      <c r="F178" s="39">
        <v>1560</v>
      </c>
      <c r="G178" s="39">
        <v>2184</v>
      </c>
      <c r="H178" s="39">
        <v>1848</v>
      </c>
      <c r="I178" s="39">
        <v>1272</v>
      </c>
      <c r="J178" s="39">
        <v>1584</v>
      </c>
      <c r="K178" s="39">
        <v>1104</v>
      </c>
      <c r="L178" s="39">
        <v>1032</v>
      </c>
      <c r="M178" s="39">
        <v>960</v>
      </c>
      <c r="N178" s="39">
        <v>864</v>
      </c>
    </row>
    <row r="179" spans="1:15" x14ac:dyDescent="0.2">
      <c r="A179" s="51" t="s">
        <v>42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39">
        <v>0</v>
      </c>
      <c r="K179" s="39">
        <v>0</v>
      </c>
      <c r="L179" s="39">
        <v>0</v>
      </c>
      <c r="M179" s="39">
        <v>0</v>
      </c>
      <c r="N179" s="39">
        <v>0</v>
      </c>
    </row>
    <row r="180" spans="1:15" s="47" customFormat="1" x14ac:dyDescent="0.2">
      <c r="A180" s="73" t="s">
        <v>43</v>
      </c>
      <c r="C180" s="45">
        <v>2212</v>
      </c>
      <c r="D180" s="45">
        <v>1661</v>
      </c>
      <c r="E180" s="45">
        <v>1800</v>
      </c>
      <c r="F180" s="45">
        <v>1451</v>
      </c>
      <c r="G180" s="45">
        <v>1594</v>
      </c>
      <c r="H180" s="45">
        <v>1413</v>
      </c>
      <c r="I180" s="45">
        <v>995</v>
      </c>
      <c r="J180" s="45">
        <v>1548</v>
      </c>
      <c r="K180" s="45">
        <v>1072</v>
      </c>
      <c r="L180" s="45">
        <v>1141</v>
      </c>
      <c r="M180" s="45">
        <v>1148</v>
      </c>
      <c r="N180" s="45">
        <v>978</v>
      </c>
    </row>
    <row r="181" spans="1:15" s="47" customFormat="1" x14ac:dyDescent="0.2">
      <c r="A181" s="51" t="s">
        <v>56</v>
      </c>
      <c r="C181" s="45">
        <v>6336</v>
      </c>
      <c r="D181" s="45">
        <v>6792</v>
      </c>
      <c r="E181" s="45">
        <v>5856</v>
      </c>
      <c r="F181" s="45">
        <v>1560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5">
        <v>0</v>
      </c>
      <c r="M181" s="45">
        <v>0</v>
      </c>
      <c r="N181" s="45">
        <v>0</v>
      </c>
    </row>
    <row r="182" spans="1:15" x14ac:dyDescent="0.2">
      <c r="A182" s="72" t="s">
        <v>49</v>
      </c>
      <c r="C182" s="45">
        <v>2532</v>
      </c>
      <c r="D182" s="45">
        <v>2448</v>
      </c>
      <c r="E182" s="45">
        <v>2640</v>
      </c>
      <c r="F182" s="45">
        <v>1956</v>
      </c>
      <c r="G182" s="45">
        <v>2664</v>
      </c>
      <c r="H182" s="45">
        <v>2028</v>
      </c>
      <c r="I182" s="45">
        <v>2184</v>
      </c>
      <c r="J182" s="45">
        <v>2460</v>
      </c>
      <c r="K182" s="45">
        <v>1824</v>
      </c>
      <c r="L182" s="45">
        <v>2064</v>
      </c>
      <c r="M182" s="45">
        <v>2424</v>
      </c>
      <c r="N182" s="45">
        <v>1464</v>
      </c>
    </row>
    <row r="183" spans="1:15" x14ac:dyDescent="0.2">
      <c r="A183" s="19" t="s">
        <v>53</v>
      </c>
      <c r="C183" s="40">
        <v>712</v>
      </c>
      <c r="D183" s="40">
        <v>745</v>
      </c>
      <c r="E183" s="40">
        <v>839</v>
      </c>
      <c r="F183" s="40">
        <v>675</v>
      </c>
      <c r="G183" s="40">
        <v>910</v>
      </c>
      <c r="H183" s="40">
        <v>536</v>
      </c>
      <c r="I183" s="40">
        <v>455</v>
      </c>
      <c r="J183" s="40">
        <v>664</v>
      </c>
      <c r="K183" s="40">
        <v>283</v>
      </c>
      <c r="L183" s="40">
        <v>517</v>
      </c>
      <c r="M183" s="40">
        <v>665</v>
      </c>
      <c r="N183" s="40">
        <v>604</v>
      </c>
    </row>
    <row r="184" spans="1:15" x14ac:dyDescent="0.2">
      <c r="A184" s="19"/>
      <c r="C184" s="39">
        <f>SUM(C158:C183)</f>
        <v>3982640</v>
      </c>
      <c r="D184" s="39">
        <f t="shared" ref="D184:N184" si="194">SUM(D158:D183)</f>
        <v>4085938</v>
      </c>
      <c r="E184" s="39">
        <f t="shared" si="194"/>
        <v>3071315</v>
      </c>
      <c r="F184" s="39">
        <f t="shared" si="194"/>
        <v>2719370</v>
      </c>
      <c r="G184" s="39">
        <f t="shared" si="194"/>
        <v>4468265</v>
      </c>
      <c r="H184" s="39">
        <f t="shared" si="194"/>
        <v>3229857</v>
      </c>
      <c r="I184" s="39">
        <f t="shared" si="194"/>
        <v>2493198</v>
      </c>
      <c r="J184" s="39">
        <f t="shared" ref="J184" si="195">SUM(J158:J183)</f>
        <v>3809549</v>
      </c>
      <c r="K184" s="39">
        <f t="shared" si="194"/>
        <v>3117343</v>
      </c>
      <c r="L184" s="39">
        <f t="shared" ref="L184" si="196">SUM(L158:L183)</f>
        <v>3115537</v>
      </c>
      <c r="M184" s="39">
        <f t="shared" si="194"/>
        <v>3501088</v>
      </c>
      <c r="N184" s="39">
        <f t="shared" si="194"/>
        <v>2739508</v>
      </c>
      <c r="O184" s="39">
        <f>SUM(O158:O182)</f>
        <v>0</v>
      </c>
    </row>
    <row r="185" spans="1:15" x14ac:dyDescent="0.2">
      <c r="A185" s="1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</row>
    <row r="186" spans="1:15" x14ac:dyDescent="0.2">
      <c r="A186" s="41" t="s">
        <v>38</v>
      </c>
    </row>
    <row r="187" spans="1:15" x14ac:dyDescent="0.2">
      <c r="A187" s="19" t="s">
        <v>15</v>
      </c>
      <c r="C187" s="42">
        <f t="shared" ref="C187:F187" si="197">C158/C$184</f>
        <v>0.55023753088403671</v>
      </c>
      <c r="D187" s="42">
        <f t="shared" si="197"/>
        <v>0.4978798014066782</v>
      </c>
      <c r="E187" s="42">
        <f t="shared" si="197"/>
        <v>0.48544418270349998</v>
      </c>
      <c r="F187" s="42">
        <f t="shared" si="197"/>
        <v>0.43757414401129674</v>
      </c>
      <c r="G187" s="42">
        <f t="shared" ref="G187:N187" si="198">G158/G$184</f>
        <v>0.40282950988806615</v>
      </c>
      <c r="H187" s="42">
        <f t="shared" ref="H187" si="199">H158/H$184</f>
        <v>0.50724722487713847</v>
      </c>
      <c r="I187" s="42">
        <f t="shared" si="198"/>
        <v>0.48259705005378634</v>
      </c>
      <c r="J187" s="42">
        <f t="shared" ref="J187:M187" si="200">J158/J$184</f>
        <v>0.48624653469478935</v>
      </c>
      <c r="K187" s="42">
        <f t="shared" si="200"/>
        <v>0.47980090737528724</v>
      </c>
      <c r="L187" s="42">
        <f t="shared" ref="L187" si="201">L158/L$184</f>
        <v>0.53614962685405443</v>
      </c>
      <c r="M187" s="42">
        <f t="shared" si="200"/>
        <v>0.46772431884031479</v>
      </c>
      <c r="N187" s="42">
        <f t="shared" si="198"/>
        <v>0.43763843726683771</v>
      </c>
      <c r="O187" s="42"/>
    </row>
    <row r="188" spans="1:15" x14ac:dyDescent="0.2">
      <c r="A188" s="19" t="s">
        <v>16</v>
      </c>
      <c r="C188" s="42">
        <f t="shared" ref="C188:G188" si="202">C159/C$184</f>
        <v>6.8520378442440188E-2</v>
      </c>
      <c r="D188" s="42">
        <f t="shared" si="202"/>
        <v>4.9865661201907614E-2</v>
      </c>
      <c r="E188" s="42">
        <f t="shared" si="202"/>
        <v>9.8232841632981308E-2</v>
      </c>
      <c r="F188" s="42">
        <f t="shared" si="202"/>
        <v>5.4771509577585982E-2</v>
      </c>
      <c r="G188" s="42">
        <f t="shared" si="202"/>
        <v>9.2425135930836691E-2</v>
      </c>
      <c r="H188" s="42">
        <f t="shared" ref="H188" si="203">H159/H$184</f>
        <v>5.5689152801501739E-2</v>
      </c>
      <c r="I188" s="42">
        <f t="shared" ref="I188:N188" si="204">I159/I$184</f>
        <v>8.1606033696481381E-2</v>
      </c>
      <c r="J188" s="42">
        <f t="shared" ref="J188:M188" si="205">J159/J$184</f>
        <v>7.857938039384714E-2</v>
      </c>
      <c r="K188" s="42">
        <f t="shared" si="205"/>
        <v>7.8874862342706589E-2</v>
      </c>
      <c r="L188" s="42">
        <f t="shared" ref="L188" si="206">L159/L$184</f>
        <v>7.6640399391822336E-2</v>
      </c>
      <c r="M188" s="42">
        <f t="shared" si="205"/>
        <v>0.10481998738677806</v>
      </c>
      <c r="N188" s="42">
        <f t="shared" si="204"/>
        <v>0.10719589064897785</v>
      </c>
      <c r="O188" s="42"/>
    </row>
    <row r="189" spans="1:15" x14ac:dyDescent="0.2">
      <c r="A189" s="19" t="s">
        <v>32</v>
      </c>
      <c r="C189" s="42">
        <f t="shared" ref="C189:G189" si="207">C160/C$184</f>
        <v>9.6877950304320753E-2</v>
      </c>
      <c r="D189" s="42">
        <f t="shared" si="207"/>
        <v>0.11601497624290921</v>
      </c>
      <c r="E189" s="42">
        <f t="shared" si="207"/>
        <v>0.10328865648753059</v>
      </c>
      <c r="F189" s="42">
        <f t="shared" si="207"/>
        <v>0.18966819520697809</v>
      </c>
      <c r="G189" s="42">
        <f t="shared" si="207"/>
        <v>0.19190401643590968</v>
      </c>
      <c r="H189" s="42">
        <f t="shared" ref="H189" si="208">H160/H$184</f>
        <v>0.1141239379947781</v>
      </c>
      <c r="I189" s="42">
        <f t="shared" ref="I189:N189" si="209">I160/I$184</f>
        <v>0.12637744775986504</v>
      </c>
      <c r="J189" s="42">
        <f t="shared" ref="J189:M189" si="210">J160/J$184</f>
        <v>0.13741154136618272</v>
      </c>
      <c r="K189" s="42">
        <f t="shared" si="210"/>
        <v>9.6339735473446458E-2</v>
      </c>
      <c r="L189" s="42">
        <f t="shared" ref="L189" si="211">L160/L$184</f>
        <v>9.625114386380261E-2</v>
      </c>
      <c r="M189" s="42">
        <f t="shared" si="210"/>
        <v>0.11369037282124871</v>
      </c>
      <c r="N189" s="42">
        <f t="shared" si="209"/>
        <v>0.11339189372690278</v>
      </c>
      <c r="O189" s="42"/>
    </row>
    <row r="190" spans="1:15" x14ac:dyDescent="0.2">
      <c r="A190" s="19" t="s">
        <v>17</v>
      </c>
      <c r="C190" s="42">
        <f t="shared" ref="C190:G190" si="212">C161/C$184</f>
        <v>3.4587108048932363E-2</v>
      </c>
      <c r="D190" s="42">
        <f t="shared" si="212"/>
        <v>3.3325028426765164E-2</v>
      </c>
      <c r="E190" s="42">
        <f t="shared" si="212"/>
        <v>4.1278735655574238E-2</v>
      </c>
      <c r="F190" s="42">
        <f t="shared" si="212"/>
        <v>2.5470605324027257E-2</v>
      </c>
      <c r="G190" s="42">
        <f t="shared" si="212"/>
        <v>4.3286600056173928E-2</v>
      </c>
      <c r="H190" s="42">
        <f t="shared" ref="H190" si="213">H161/H$184</f>
        <v>4.5208193427758565E-2</v>
      </c>
      <c r="I190" s="42">
        <f t="shared" ref="I190:N190" si="214">I161/I$184</f>
        <v>4.0290422180669166E-2</v>
      </c>
      <c r="J190" s="42">
        <f t="shared" ref="J190:M190" si="215">J161/J$184</f>
        <v>3.0116950851662494E-2</v>
      </c>
      <c r="K190" s="42">
        <f t="shared" si="215"/>
        <v>3.1769362562926187E-2</v>
      </c>
      <c r="L190" s="42">
        <f t="shared" ref="L190" si="216">L161/L$184</f>
        <v>3.0081491569511131E-2</v>
      </c>
      <c r="M190" s="42">
        <f t="shared" si="215"/>
        <v>2.9555383926368032E-2</v>
      </c>
      <c r="N190" s="42">
        <f t="shared" si="214"/>
        <v>3.0868316500627119E-2</v>
      </c>
      <c r="O190" s="42"/>
    </row>
    <row r="191" spans="1:15" x14ac:dyDescent="0.2">
      <c r="A191" s="19" t="s">
        <v>48</v>
      </c>
      <c r="C191" s="42">
        <f t="shared" ref="C191:G191" si="217">C162/C$184</f>
        <v>2.7870959966253541E-3</v>
      </c>
      <c r="D191" s="42">
        <f t="shared" si="217"/>
        <v>3.6975597769716524E-3</v>
      </c>
      <c r="E191" s="42">
        <f t="shared" si="217"/>
        <v>1.7699259112139262E-3</v>
      </c>
      <c r="F191" s="42">
        <f t="shared" si="217"/>
        <v>8.3401670239798193E-4</v>
      </c>
      <c r="G191" s="42">
        <f t="shared" si="217"/>
        <v>2.8440569214225209E-3</v>
      </c>
      <c r="H191" s="42">
        <f t="shared" ref="H191" si="218">H162/H$184</f>
        <v>5.1160159722241569E-3</v>
      </c>
      <c r="I191" s="42">
        <f t="shared" ref="I191:N191" si="219">I162/I$184</f>
        <v>2.5605667901225653E-3</v>
      </c>
      <c r="J191" s="42">
        <f t="shared" ref="J191:M191" si="220">J162/J$184</f>
        <v>2.7499318160758663E-3</v>
      </c>
      <c r="K191" s="42">
        <f t="shared" si="220"/>
        <v>5.0543042584662648E-3</v>
      </c>
      <c r="L191" s="42">
        <f t="shared" ref="L191" si="221">L162/L$184</f>
        <v>3.0659241087491497E-3</v>
      </c>
      <c r="M191" s="42">
        <f t="shared" si="220"/>
        <v>5.2338016068147961E-3</v>
      </c>
      <c r="N191" s="42">
        <f t="shared" si="219"/>
        <v>4.8578065842479748E-3</v>
      </c>
      <c r="O191" s="42"/>
    </row>
    <row r="192" spans="1:15" x14ac:dyDescent="0.2">
      <c r="A192" s="19" t="str">
        <f>+A163</f>
        <v>Methylphenidate ER</v>
      </c>
      <c r="C192" s="42">
        <f t="shared" ref="C192:G192" si="222">C163/C$184</f>
        <v>1.9178233533535545E-2</v>
      </c>
      <c r="D192" s="42">
        <f t="shared" si="222"/>
        <v>2.0481955428594364E-2</v>
      </c>
      <c r="E192" s="42">
        <f t="shared" si="222"/>
        <v>1.4194245787227947E-2</v>
      </c>
      <c r="F192" s="42">
        <f t="shared" si="222"/>
        <v>1.4901980973534311E-2</v>
      </c>
      <c r="G192" s="42">
        <f t="shared" si="222"/>
        <v>1.1999288314368105E-2</v>
      </c>
      <c r="H192" s="42">
        <f t="shared" ref="H192" si="223">H163/H$184</f>
        <v>1.3096555048721972E-2</v>
      </c>
      <c r="I192" s="42">
        <f t="shared" ref="I192:N192" si="224">I163/I$184</f>
        <v>1.2051991057268617E-2</v>
      </c>
      <c r="J192" s="42">
        <f t="shared" ref="J192:M192" si="225">J163/J$184</f>
        <v>1.3097613392031445E-2</v>
      </c>
      <c r="K192" s="42">
        <f t="shared" si="225"/>
        <v>1.1513651208737697E-2</v>
      </c>
      <c r="L192" s="42">
        <f t="shared" ref="L192" si="226">L163/L$184</f>
        <v>8.3889230010749348E-3</v>
      </c>
      <c r="M192" s="42">
        <f t="shared" si="225"/>
        <v>1.1886590682667788E-2</v>
      </c>
      <c r="N192" s="42">
        <f t="shared" si="224"/>
        <v>1.2413907898790585E-2</v>
      </c>
      <c r="O192" s="42"/>
    </row>
    <row r="193" spans="1:15" x14ac:dyDescent="0.2">
      <c r="A193" s="12" t="s">
        <v>51</v>
      </c>
      <c r="C193" s="42">
        <f t="shared" ref="C193:G193" si="227">C164/C$184</f>
        <v>3.0130767531084908E-4</v>
      </c>
      <c r="D193" s="42">
        <f t="shared" si="227"/>
        <v>5.0514716571812884E-4</v>
      </c>
      <c r="E193" s="42">
        <f t="shared" si="227"/>
        <v>7.306316675430557E-4</v>
      </c>
      <c r="F193" s="42">
        <f t="shared" si="227"/>
        <v>4.4127867851745075E-4</v>
      </c>
      <c r="G193" s="42">
        <f t="shared" si="227"/>
        <v>3.1421592049710569E-4</v>
      </c>
      <c r="H193" s="42">
        <f t="shared" ref="H193" si="228">H164/H$184</f>
        <v>2.9351144648199595E-4</v>
      </c>
      <c r="I193" s="42">
        <f t="shared" ref="I193:N193" si="229">I164/I$184</f>
        <v>3.4654287385117429E-4</v>
      </c>
      <c r="J193" s="42">
        <f t="shared" ref="J193:M193" si="230">J164/J$184</f>
        <v>3.8429745883305344E-4</v>
      </c>
      <c r="K193" s="42">
        <f t="shared" si="230"/>
        <v>4.927273001398948E-4</v>
      </c>
      <c r="L193" s="42">
        <f t="shared" ref="L193" si="231">L164/L$184</f>
        <v>2.6191311481776658E-4</v>
      </c>
      <c r="M193" s="42">
        <f t="shared" si="230"/>
        <v>3.2561306656673583E-4</v>
      </c>
      <c r="N193" s="42">
        <f t="shared" si="229"/>
        <v>3.7232962999195478E-4</v>
      </c>
      <c r="O193" s="42"/>
    </row>
    <row r="194" spans="1:15" x14ac:dyDescent="0.2">
      <c r="A194" s="32" t="s">
        <v>30</v>
      </c>
      <c r="C194" s="42">
        <f t="shared" ref="C194:G194" si="232">C165/C$184</f>
        <v>2.3441737139184057E-2</v>
      </c>
      <c r="D194" s="42">
        <f t="shared" si="232"/>
        <v>5.768369466203354E-2</v>
      </c>
      <c r="E194" s="42">
        <f t="shared" si="232"/>
        <v>2.9873848823712319E-2</v>
      </c>
      <c r="F194" s="42">
        <f t="shared" si="232"/>
        <v>4.3951356380338091E-2</v>
      </c>
      <c r="G194" s="42">
        <f t="shared" si="232"/>
        <v>4.5040300877409914E-2</v>
      </c>
      <c r="H194" s="42">
        <f t="shared" ref="H194" si="233">H165/H$184</f>
        <v>3.4292539886440793E-2</v>
      </c>
      <c r="I194" s="42">
        <f t="shared" ref="I194:N194" si="234">I165/I$184</f>
        <v>3.1708672957382444E-2</v>
      </c>
      <c r="J194" s="42">
        <f t="shared" ref="J194:M194" si="235">J165/J$184</f>
        <v>3.7283153465147711E-2</v>
      </c>
      <c r="K194" s="42">
        <f t="shared" si="235"/>
        <v>4.0965655688193436E-2</v>
      </c>
      <c r="L194" s="42">
        <f t="shared" ref="L194" si="236">L165/L$184</f>
        <v>3.4869109241841778E-2</v>
      </c>
      <c r="M194" s="42">
        <f t="shared" si="235"/>
        <v>3.4796040545110547E-2</v>
      </c>
      <c r="N194" s="42">
        <f t="shared" si="234"/>
        <v>4.5634471591249233E-2</v>
      </c>
      <c r="O194" s="42"/>
    </row>
    <row r="195" spans="1:15" x14ac:dyDescent="0.2">
      <c r="A195" s="32" t="s">
        <v>35</v>
      </c>
      <c r="C195" s="42">
        <f t="shared" ref="C195:G195" si="237">C166/C$184</f>
        <v>2.5385171644939034E-2</v>
      </c>
      <c r="D195" s="42">
        <f t="shared" si="237"/>
        <v>4.1492553239917004E-2</v>
      </c>
      <c r="E195" s="42">
        <f t="shared" si="237"/>
        <v>2.8142994124666469E-2</v>
      </c>
      <c r="F195" s="42">
        <f t="shared" si="237"/>
        <v>1.6949514041855282E-2</v>
      </c>
      <c r="G195" s="42">
        <f t="shared" si="237"/>
        <v>4.0372717374640939E-2</v>
      </c>
      <c r="H195" s="42">
        <f t="shared" ref="H195" si="238">H166/H$184</f>
        <v>4.8823214154682389E-2</v>
      </c>
      <c r="I195" s="42">
        <f t="shared" ref="I195:N195" si="239">I166/I$184</f>
        <v>3.8952381639966019E-2</v>
      </c>
      <c r="J195" s="42">
        <f t="shared" ref="J195:M195" si="240">J166/J$184</f>
        <v>3.5399465921031596E-2</v>
      </c>
      <c r="K195" s="42">
        <f t="shared" si="240"/>
        <v>3.6916053190168677E-2</v>
      </c>
      <c r="L195" s="42">
        <f t="shared" ref="L195" si="241">L166/L$184</f>
        <v>3.0636131106772282E-2</v>
      </c>
      <c r="M195" s="42">
        <f t="shared" si="240"/>
        <v>3.928607335776764E-2</v>
      </c>
      <c r="N195" s="42">
        <f t="shared" si="239"/>
        <v>3.4832531972894404E-2</v>
      </c>
      <c r="O195" s="42"/>
    </row>
    <row r="196" spans="1:15" x14ac:dyDescent="0.2">
      <c r="A196" s="32" t="s">
        <v>36</v>
      </c>
      <c r="C196" s="42">
        <f t="shared" ref="C196:G196" si="242">C167/C$184</f>
        <v>6.0617078119036619E-2</v>
      </c>
      <c r="D196" s="42">
        <f t="shared" si="242"/>
        <v>6.0705766949963512E-2</v>
      </c>
      <c r="E196" s="42">
        <f t="shared" si="242"/>
        <v>5.5535820975705849E-2</v>
      </c>
      <c r="F196" s="42">
        <f t="shared" si="242"/>
        <v>7.6504484494570438E-2</v>
      </c>
      <c r="G196" s="42">
        <f t="shared" si="242"/>
        <v>6.4602927534512841E-2</v>
      </c>
      <c r="H196" s="42">
        <f t="shared" ref="H196" si="243">H167/H$184</f>
        <v>5.948622493193971E-2</v>
      </c>
      <c r="I196" s="42">
        <f t="shared" ref="I196:N196" si="244">I167/I$184</f>
        <v>4.3664402105247961E-2</v>
      </c>
      <c r="J196" s="42">
        <f t="shared" ref="J196:M196" si="245">J167/J$184</f>
        <v>4.7731634374567698E-2</v>
      </c>
      <c r="K196" s="42">
        <f t="shared" si="245"/>
        <v>5.4238497335711858E-2</v>
      </c>
      <c r="L196" s="42">
        <f t="shared" ref="L196" si="246">L167/L$184</f>
        <v>5.0845809245725536E-2</v>
      </c>
      <c r="M196" s="42">
        <f t="shared" si="245"/>
        <v>4.2912374667531922E-2</v>
      </c>
      <c r="N196" s="42">
        <f t="shared" si="244"/>
        <v>4.0894934418881056E-2</v>
      </c>
      <c r="O196" s="42"/>
    </row>
    <row r="197" spans="1:15" x14ac:dyDescent="0.2">
      <c r="A197" s="32" t="s">
        <v>31</v>
      </c>
      <c r="C197" s="42">
        <f t="shared" ref="C197:G197" si="247">C168/C$184</f>
        <v>1.2811602354217303E-2</v>
      </c>
      <c r="D197" s="42">
        <f t="shared" si="247"/>
        <v>4.8811313338577335E-3</v>
      </c>
      <c r="E197" s="42">
        <f t="shared" si="247"/>
        <v>2.0651089191437544E-2</v>
      </c>
      <c r="F197" s="42">
        <f t="shared" si="247"/>
        <v>1.1232748761661708E-2</v>
      </c>
      <c r="G197" s="42">
        <f t="shared" si="247"/>
        <v>2.0679167417330889E-3</v>
      </c>
      <c r="H197" s="42">
        <f t="shared" ref="H197" si="248">H168/H$184</f>
        <v>0</v>
      </c>
      <c r="I197" s="42">
        <f t="shared" ref="I197:N197" si="249">I168/I$184</f>
        <v>1.1455167218969373E-2</v>
      </c>
      <c r="J197" s="42">
        <f t="shared" ref="J197:M197" si="250">J168/J$184</f>
        <v>1.8514002576157967E-2</v>
      </c>
      <c r="K197" s="42">
        <f t="shared" si="250"/>
        <v>1.1700348662306329E-2</v>
      </c>
      <c r="L197" s="42">
        <f t="shared" ref="L197" si="251">L168/L$184</f>
        <v>1.0961834187814171E-2</v>
      </c>
      <c r="M197" s="42">
        <f t="shared" si="250"/>
        <v>1.0039164968147045E-2</v>
      </c>
      <c r="N197" s="42">
        <f t="shared" si="249"/>
        <v>2.6417882335076224E-2</v>
      </c>
      <c r="O197" s="42"/>
    </row>
    <row r="198" spans="1:15" x14ac:dyDescent="0.2">
      <c r="A198" s="32" t="s">
        <v>41</v>
      </c>
      <c r="C198" s="42">
        <f t="shared" ref="C198:G198" si="252">C169/C$184</f>
        <v>1.0239439165980356E-3</v>
      </c>
      <c r="D198" s="42">
        <f t="shared" si="252"/>
        <v>1.1537130519356877E-3</v>
      </c>
      <c r="E198" s="42">
        <f t="shared" si="252"/>
        <v>1.9183965174526221E-3</v>
      </c>
      <c r="F198" s="42">
        <f t="shared" si="252"/>
        <v>1.2403608188661344E-3</v>
      </c>
      <c r="G198" s="42">
        <f t="shared" si="252"/>
        <v>1.0912513022392361E-3</v>
      </c>
      <c r="H198" s="42">
        <f t="shared" ref="H198" si="253">H169/H$184</f>
        <v>1.3464992412976797E-3</v>
      </c>
      <c r="I198" s="42">
        <f t="shared" ref="I198:N198" si="254">I169/I$184</f>
        <v>1.6332437295393306E-3</v>
      </c>
      <c r="J198" s="42">
        <f t="shared" ref="J198:M198" si="255">J169/J$184</f>
        <v>1.4395404810385692E-3</v>
      </c>
      <c r="K198" s="42">
        <f t="shared" si="255"/>
        <v>1.4711246083603891E-3</v>
      </c>
      <c r="L198" s="42">
        <f t="shared" ref="L198" si="256">L169/L$184</f>
        <v>1.4090668799632295E-3</v>
      </c>
      <c r="M198" s="42">
        <f t="shared" si="255"/>
        <v>1.6674816514180735E-3</v>
      </c>
      <c r="N198" s="42">
        <f t="shared" si="254"/>
        <v>2.2609899295785957E-3</v>
      </c>
      <c r="O198" s="42"/>
    </row>
    <row r="199" spans="1:15" x14ac:dyDescent="0.2">
      <c r="A199" s="32" t="s">
        <v>46</v>
      </c>
      <c r="C199" s="42">
        <f t="shared" ref="C199:G199" si="257">C170/C$184</f>
        <v>6.6426290099029783E-2</v>
      </c>
      <c r="D199" s="42">
        <f t="shared" si="257"/>
        <v>7.062662233249746E-2</v>
      </c>
      <c r="E199" s="42">
        <f t="shared" si="257"/>
        <v>8.2526214341414023E-2</v>
      </c>
      <c r="F199" s="42">
        <f t="shared" si="257"/>
        <v>8.6243504929450571E-2</v>
      </c>
      <c r="G199" s="42">
        <f t="shared" si="257"/>
        <v>6.6286131194098832E-2</v>
      </c>
      <c r="H199" s="42">
        <f t="shared" ref="H199" si="258">H170/H$184</f>
        <v>7.5094346282203822E-2</v>
      </c>
      <c r="I199" s="42">
        <f t="shared" ref="I199:N199" si="259">I170/I$184</f>
        <v>8.2419446830937618E-2</v>
      </c>
      <c r="J199" s="42">
        <f t="shared" ref="J199:M199" si="260">J170/J$184</f>
        <v>7.8358881851893755E-2</v>
      </c>
      <c r="K199" s="42">
        <f t="shared" si="260"/>
        <v>9.965409645329372E-2</v>
      </c>
      <c r="L199" s="42">
        <f t="shared" ref="L199" si="261">L170/L$184</f>
        <v>7.898991409827584E-2</v>
      </c>
      <c r="M199" s="42">
        <f t="shared" si="260"/>
        <v>9.3200742169291376E-2</v>
      </c>
      <c r="N199" s="42">
        <f t="shared" si="259"/>
        <v>9.081338692933183E-2</v>
      </c>
      <c r="O199" s="42"/>
    </row>
    <row r="200" spans="1:15" x14ac:dyDescent="0.2">
      <c r="A200" s="19" t="s">
        <v>39</v>
      </c>
      <c r="C200" s="42">
        <f t="shared" ref="C200:G200" si="262">C171/C$184</f>
        <v>9.6117148424160854E-4</v>
      </c>
      <c r="D200" s="42">
        <f t="shared" si="262"/>
        <v>1.4478927482502182E-3</v>
      </c>
      <c r="E200" s="42">
        <f t="shared" si="262"/>
        <v>1.1682292438255275E-3</v>
      </c>
      <c r="F200" s="42">
        <f t="shared" si="262"/>
        <v>2.2593468340093479E-3</v>
      </c>
      <c r="G200" s="42">
        <f t="shared" si="262"/>
        <v>1.0661856447636835E-3</v>
      </c>
      <c r="H200" s="42">
        <f t="shared" ref="H200" si="263">H171/H$184</f>
        <v>1.0254323953041884E-3</v>
      </c>
      <c r="I200" s="42">
        <f t="shared" ref="I200:N200" si="264">I171/I$184</f>
        <v>1.9300512835322345E-3</v>
      </c>
      <c r="J200" s="42">
        <f t="shared" ref="J200:M200" si="265">J171/J$184</f>
        <v>1.7986381065055207E-3</v>
      </c>
      <c r="K200" s="42">
        <f t="shared" si="265"/>
        <v>1.659105205939802E-3</v>
      </c>
      <c r="L200" s="42">
        <f t="shared" ref="L200" si="266">L171/L$184</f>
        <v>9.0128924804937314E-4</v>
      </c>
      <c r="M200" s="42">
        <f t="shared" si="265"/>
        <v>1.7685930773519546E-3</v>
      </c>
      <c r="N200" s="42">
        <f t="shared" si="264"/>
        <v>1.6032075832594758E-3</v>
      </c>
      <c r="O200" s="42"/>
    </row>
    <row r="201" spans="1:15" x14ac:dyDescent="0.2">
      <c r="A201" s="19" t="s">
        <v>44</v>
      </c>
      <c r="C201" s="42">
        <f t="shared" ref="C201:F202" si="267">C172/C$184</f>
        <v>8.2708956872828076E-4</v>
      </c>
      <c r="D201" s="42">
        <f t="shared" si="267"/>
        <v>8.0911653578688667E-4</v>
      </c>
      <c r="E201" s="42">
        <f t="shared" si="267"/>
        <v>9.3770909203386827E-4</v>
      </c>
      <c r="F201" s="42">
        <f t="shared" si="267"/>
        <v>3.8391245031018213E-4</v>
      </c>
      <c r="G201" s="42">
        <f t="shared" ref="G201:H201" si="268">G172/G$184</f>
        <v>2.3230493267521063E-4</v>
      </c>
      <c r="H201" s="42">
        <f t="shared" si="268"/>
        <v>4.216904958950195E-4</v>
      </c>
      <c r="I201" s="42">
        <f t="shared" ref="I201:N201" si="269">I172/I$184</f>
        <v>3.0803811008993267E-4</v>
      </c>
      <c r="J201" s="42">
        <f t="shared" ref="J201:M201" si="270">J172/J$184</f>
        <v>3.8272246924767208E-4</v>
      </c>
      <c r="K201" s="42">
        <f t="shared" si="270"/>
        <v>3.7916905518577842E-4</v>
      </c>
      <c r="L201" s="42">
        <f t="shared" ref="L201" si="271">L172/L$184</f>
        <v>2.1954481683253963E-4</v>
      </c>
      <c r="M201" s="42">
        <f t="shared" si="270"/>
        <v>2.8276924201848109E-4</v>
      </c>
      <c r="N201" s="42">
        <f t="shared" si="269"/>
        <v>7.4465925998390948E-5</v>
      </c>
      <c r="O201" s="42"/>
    </row>
    <row r="202" spans="1:15" x14ac:dyDescent="0.2">
      <c r="A202" s="19" t="str">
        <f>+A172</f>
        <v>Imipramine Pamoate</v>
      </c>
      <c r="C202" s="42">
        <f t="shared" si="267"/>
        <v>6.1557158066006465E-3</v>
      </c>
      <c r="D202" s="42">
        <f t="shared" si="267"/>
        <v>7.2600220561349679E-3</v>
      </c>
      <c r="E202" s="42">
        <f t="shared" si="267"/>
        <v>2.7349848517654492E-3</v>
      </c>
      <c r="F202" s="42">
        <f t="shared" si="267"/>
        <v>5.4100765986239462E-3</v>
      </c>
      <c r="G202" s="42">
        <f t="shared" ref="G202:H202" si="272">G173/G$184</f>
        <v>3.6094546764795731E-3</v>
      </c>
      <c r="H202" s="42">
        <f t="shared" si="272"/>
        <v>3.3623779628633712E-3</v>
      </c>
      <c r="I202" s="42">
        <f t="shared" ref="I202:N202" si="273">I173/I$184</f>
        <v>3.3162227789369316E-3</v>
      </c>
      <c r="J202" s="42">
        <f t="shared" ref="J202:M202" si="274">J173/J$184</f>
        <v>3.0869795873474785E-3</v>
      </c>
      <c r="K202" s="42">
        <f t="shared" si="274"/>
        <v>3.5876706541436089E-3</v>
      </c>
      <c r="L202" s="42">
        <f t="shared" ref="L202:N212" si="275">L173/L$184</f>
        <v>2.3533663699066968E-3</v>
      </c>
      <c r="M202" s="42">
        <f t="shared" si="274"/>
        <v>2.9510826348837847E-3</v>
      </c>
      <c r="N202" s="42">
        <f t="shared" si="273"/>
        <v>4.0824848841470801E-3</v>
      </c>
      <c r="O202" s="42"/>
    </row>
    <row r="203" spans="1:15" x14ac:dyDescent="0.2">
      <c r="A203" s="19" t="s">
        <v>58</v>
      </c>
      <c r="C203" s="42">
        <f t="shared" ref="C203:K203" si="276">C174/C$184</f>
        <v>1.000341482032019E-3</v>
      </c>
      <c r="D203" s="42">
        <f t="shared" si="276"/>
        <v>1.1013382973505716E-3</v>
      </c>
      <c r="E203" s="42">
        <f t="shared" si="276"/>
        <v>1.324514092497839E-3</v>
      </c>
      <c r="F203" s="42">
        <f t="shared" si="276"/>
        <v>1.3238360355523522E-3</v>
      </c>
      <c r="G203" s="42">
        <f t="shared" si="276"/>
        <v>1.18435231571986E-3</v>
      </c>
      <c r="H203" s="42">
        <f t="shared" si="276"/>
        <v>1.2186298031151225E-3</v>
      </c>
      <c r="I203" s="42">
        <f t="shared" si="276"/>
        <v>1.3139750633523691E-3</v>
      </c>
      <c r="J203" s="42">
        <f t="shared" si="276"/>
        <v>1.4899401477707728E-3</v>
      </c>
      <c r="K203" s="42">
        <f t="shared" si="276"/>
        <v>1.3011080269319096E-3</v>
      </c>
      <c r="L203" s="42">
        <f t="shared" si="275"/>
        <v>6.2782114287199926E-4</v>
      </c>
      <c r="M203" s="42">
        <f t="shared" si="275"/>
        <v>5.106983886151962E-4</v>
      </c>
      <c r="N203" s="42">
        <f t="shared" si="275"/>
        <v>5.9134705939898702E-4</v>
      </c>
      <c r="O203" s="42"/>
    </row>
    <row r="204" spans="1:15" x14ac:dyDescent="0.2">
      <c r="A204" s="19" t="s">
        <v>59</v>
      </c>
      <c r="C204" s="42">
        <f t="shared" ref="C204:K204" si="277">C175/C$184</f>
        <v>3.0733382881706605E-4</v>
      </c>
      <c r="D204" s="42">
        <f t="shared" si="277"/>
        <v>2.5551048498533263E-4</v>
      </c>
      <c r="E204" s="42">
        <f t="shared" si="277"/>
        <v>5.0011151575139637E-4</v>
      </c>
      <c r="F204" s="42">
        <f t="shared" si="277"/>
        <v>2.6917999389564496E-4</v>
      </c>
      <c r="G204" s="42">
        <f t="shared" si="277"/>
        <v>3.1690152665520064E-4</v>
      </c>
      <c r="H204" s="42">
        <f t="shared" si="277"/>
        <v>5.2386220194887889E-4</v>
      </c>
      <c r="I204" s="42">
        <f t="shared" si="277"/>
        <v>2.5028096444807031E-4</v>
      </c>
      <c r="J204" s="42">
        <f t="shared" si="277"/>
        <v>3.6539758380847709E-4</v>
      </c>
      <c r="K204" s="42">
        <f t="shared" si="277"/>
        <v>3.2720172274914889E-4</v>
      </c>
      <c r="L204" s="42">
        <f t="shared" si="275"/>
        <v>1.7717651884731269E-4</v>
      </c>
      <c r="M204" s="42">
        <f t="shared" si="275"/>
        <v>3.1190304271129434E-4</v>
      </c>
      <c r="N204" s="42">
        <f t="shared" si="275"/>
        <v>4.9497939045989282E-4</v>
      </c>
      <c r="O204" s="42"/>
    </row>
    <row r="205" spans="1:15" x14ac:dyDescent="0.2">
      <c r="A205" s="19" t="s">
        <v>18</v>
      </c>
      <c r="C205" s="42">
        <f t="shared" ref="C205:K205" si="278">C176/C$184</f>
        <v>2.3368418938191752E-2</v>
      </c>
      <c r="D205" s="42">
        <f t="shared" si="278"/>
        <v>2.6015079034483635E-2</v>
      </c>
      <c r="E205" s="42">
        <f t="shared" si="278"/>
        <v>2.3566127212610886E-2</v>
      </c>
      <c r="F205" s="42">
        <f t="shared" si="278"/>
        <v>2.6730088218962479E-2</v>
      </c>
      <c r="G205" s="42">
        <f t="shared" si="278"/>
        <v>2.5607030916921892E-2</v>
      </c>
      <c r="H205" s="42">
        <f t="shared" si="278"/>
        <v>3.058432617914663E-2</v>
      </c>
      <c r="I205" s="42">
        <f t="shared" si="278"/>
        <v>3.3705305394918492E-2</v>
      </c>
      <c r="J205" s="42">
        <f t="shared" si="278"/>
        <v>2.2478513860827096E-2</v>
      </c>
      <c r="K205" s="42">
        <f t="shared" si="278"/>
        <v>4.1414114519961388E-2</v>
      </c>
      <c r="L205" s="42">
        <f t="shared" si="275"/>
        <v>3.4482338036749362E-2</v>
      </c>
      <c r="M205" s="42">
        <f t="shared" si="275"/>
        <v>3.6191892348892689E-2</v>
      </c>
      <c r="N205" s="42">
        <f t="shared" si="275"/>
        <v>4.313037231502883E-2</v>
      </c>
      <c r="O205" s="42"/>
    </row>
    <row r="206" spans="1:15" x14ac:dyDescent="0.2">
      <c r="A206" s="19" t="s">
        <v>19</v>
      </c>
      <c r="C206" s="42">
        <f t="shared" ref="C206:K206" si="279">C177/C$184</f>
        <v>1.2865837735773257E-3</v>
      </c>
      <c r="D206" s="42">
        <f t="shared" si="279"/>
        <v>1.3333535653257587E-3</v>
      </c>
      <c r="E206" s="42">
        <f t="shared" si="279"/>
        <v>1.723040456612233E-3</v>
      </c>
      <c r="F206" s="42">
        <f t="shared" si="279"/>
        <v>1.1914524319971171E-3</v>
      </c>
      <c r="G206" s="42">
        <f t="shared" si="279"/>
        <v>1.2743201220160399E-3</v>
      </c>
      <c r="H206" s="42">
        <f t="shared" si="279"/>
        <v>1.2427794790914892E-3</v>
      </c>
      <c r="I206" s="42">
        <f t="shared" si="279"/>
        <v>1.5450036459198186E-3</v>
      </c>
      <c r="J206" s="42">
        <f t="shared" si="279"/>
        <v>1.442690460209332E-3</v>
      </c>
      <c r="K206" s="42">
        <f t="shared" si="279"/>
        <v>1.1663779057999072E-3</v>
      </c>
      <c r="L206" s="42">
        <f t="shared" si="275"/>
        <v>1.1612765311405386E-3</v>
      </c>
      <c r="M206" s="42">
        <f t="shared" si="275"/>
        <v>1.3607198676525696E-3</v>
      </c>
      <c r="N206" s="42">
        <f t="shared" si="275"/>
        <v>1.0030998266842076E-3</v>
      </c>
      <c r="O206" s="42"/>
    </row>
    <row r="207" spans="1:15" x14ac:dyDescent="0.2">
      <c r="A207" s="19" t="s">
        <v>57</v>
      </c>
      <c r="C207" s="42">
        <f t="shared" ref="C207:K207" si="280">C178/C$184</f>
        <v>9.3706687021674064E-4</v>
      </c>
      <c r="D207" s="42">
        <f t="shared" si="280"/>
        <v>6.1381254439005196E-4</v>
      </c>
      <c r="E207" s="42">
        <f t="shared" si="280"/>
        <v>8.3221681918005809E-4</v>
      </c>
      <c r="F207" s="42">
        <f t="shared" si="280"/>
        <v>5.7366228207268591E-4</v>
      </c>
      <c r="G207" s="42">
        <f t="shared" si="280"/>
        <v>4.8878032077327553E-4</v>
      </c>
      <c r="H207" s="42">
        <f t="shared" si="280"/>
        <v>5.7216155390161236E-4</v>
      </c>
      <c r="I207" s="42">
        <f t="shared" si="280"/>
        <v>5.1018811983645105E-4</v>
      </c>
      <c r="J207" s="42">
        <f t="shared" si="280"/>
        <v>4.1579725054068079E-4</v>
      </c>
      <c r="K207" s="42">
        <f t="shared" si="280"/>
        <v>3.5414774697554936E-4</v>
      </c>
      <c r="L207" s="42">
        <f t="shared" si="275"/>
        <v>3.3124305697541066E-4</v>
      </c>
      <c r="M207" s="42">
        <f t="shared" si="275"/>
        <v>2.7420047710883014E-4</v>
      </c>
      <c r="N207" s="42">
        <f t="shared" si="275"/>
        <v>3.1538509834612638E-4</v>
      </c>
      <c r="O207" s="42"/>
    </row>
    <row r="208" spans="1:15" x14ac:dyDescent="0.2">
      <c r="A208" s="19" t="s">
        <v>42</v>
      </c>
      <c r="C208" s="42">
        <f t="shared" ref="C208:K208" si="281">C179/C$184</f>
        <v>0</v>
      </c>
      <c r="D208" s="42">
        <f t="shared" si="281"/>
        <v>0</v>
      </c>
      <c r="E208" s="42">
        <f t="shared" si="281"/>
        <v>0</v>
      </c>
      <c r="F208" s="42">
        <f t="shared" si="281"/>
        <v>0</v>
      </c>
      <c r="G208" s="42">
        <f t="shared" si="281"/>
        <v>0</v>
      </c>
      <c r="H208" s="42">
        <f t="shared" si="281"/>
        <v>0</v>
      </c>
      <c r="I208" s="42">
        <f t="shared" si="281"/>
        <v>0</v>
      </c>
      <c r="J208" s="42">
        <f t="shared" si="281"/>
        <v>0</v>
      </c>
      <c r="K208" s="42">
        <f t="shared" si="281"/>
        <v>0</v>
      </c>
      <c r="L208" s="42">
        <f t="shared" si="275"/>
        <v>0</v>
      </c>
      <c r="M208" s="42">
        <f t="shared" si="275"/>
        <v>0</v>
      </c>
      <c r="N208" s="42">
        <f t="shared" si="275"/>
        <v>0</v>
      </c>
      <c r="O208" s="42"/>
    </row>
    <row r="209" spans="1:15" s="47" customFormat="1" x14ac:dyDescent="0.2">
      <c r="A209" s="48" t="s">
        <v>43</v>
      </c>
      <c r="C209" s="42">
        <f t="shared" ref="C209:K209" si="282">C180/C$184</f>
        <v>5.5541048148966519E-4</v>
      </c>
      <c r="D209" s="42">
        <f t="shared" si="282"/>
        <v>4.0651620264428877E-4</v>
      </c>
      <c r="E209" s="42">
        <f t="shared" si="282"/>
        <v>5.8606818252116769E-4</v>
      </c>
      <c r="F209" s="42">
        <f t="shared" si="282"/>
        <v>5.335794687740175E-4</v>
      </c>
      <c r="G209" s="42">
        <f t="shared" si="282"/>
        <v>3.5673801800027526E-4</v>
      </c>
      <c r="H209" s="42">
        <f t="shared" si="282"/>
        <v>4.3748066864879775E-4</v>
      </c>
      <c r="I209" s="42">
        <f t="shared" si="282"/>
        <v>3.9908583273370185E-4</v>
      </c>
      <c r="J209" s="42">
        <f t="shared" si="282"/>
        <v>4.0634731302839259E-4</v>
      </c>
      <c r="K209" s="42">
        <f t="shared" si="282"/>
        <v>3.4388259488930155E-4</v>
      </c>
      <c r="L209" s="42">
        <f t="shared" si="275"/>
        <v>3.6622900000866622E-4</v>
      </c>
      <c r="M209" s="42">
        <f t="shared" si="275"/>
        <v>3.2789807054264277E-4</v>
      </c>
      <c r="N209" s="42">
        <f t="shared" si="275"/>
        <v>3.5699840993346253E-4</v>
      </c>
      <c r="O209" s="42"/>
    </row>
    <row r="210" spans="1:15" s="47" customFormat="1" x14ac:dyDescent="0.2">
      <c r="A210" s="19" t="s">
        <v>56</v>
      </c>
      <c r="C210" s="42">
        <f t="shared" ref="C210:K210" si="283">C181/C$184</f>
        <v>1.5909045256412831E-3</v>
      </c>
      <c r="D210" s="42">
        <f t="shared" si="283"/>
        <v>1.6622866034677961E-3</v>
      </c>
      <c r="E210" s="42">
        <f t="shared" si="283"/>
        <v>1.9066751538021987E-3</v>
      </c>
      <c r="F210" s="42">
        <f t="shared" si="283"/>
        <v>5.7366228207268591E-4</v>
      </c>
      <c r="G210" s="42">
        <f t="shared" si="283"/>
        <v>0</v>
      </c>
      <c r="H210" s="42">
        <f t="shared" si="283"/>
        <v>0</v>
      </c>
      <c r="I210" s="42">
        <f t="shared" si="283"/>
        <v>0</v>
      </c>
      <c r="J210" s="42">
        <f t="shared" si="283"/>
        <v>0</v>
      </c>
      <c r="K210" s="42">
        <f t="shared" si="283"/>
        <v>0</v>
      </c>
      <c r="L210" s="42">
        <f t="shared" si="275"/>
        <v>0</v>
      </c>
      <c r="M210" s="42">
        <f t="shared" si="275"/>
        <v>0</v>
      </c>
      <c r="N210" s="42">
        <f t="shared" si="275"/>
        <v>0</v>
      </c>
      <c r="O210" s="42"/>
    </row>
    <row r="211" spans="1:15" x14ac:dyDescent="0.2">
      <c r="A211" s="19" t="s">
        <v>49</v>
      </c>
      <c r="C211" s="42">
        <f t="shared" ref="C211:K211" si="284">C182/C$184</f>
        <v>6.3575919490589162E-4</v>
      </c>
      <c r="D211" s="42">
        <f t="shared" si="284"/>
        <v>5.9912803375871098E-4</v>
      </c>
      <c r="E211" s="42">
        <f t="shared" si="284"/>
        <v>8.5956666769771253E-4</v>
      </c>
      <c r="F211" s="42">
        <f t="shared" si="284"/>
        <v>7.1928424598344471E-4</v>
      </c>
      <c r="G211" s="42">
        <f t="shared" si="284"/>
        <v>5.9620456709707234E-4</v>
      </c>
      <c r="H211" s="42">
        <f t="shared" si="284"/>
        <v>6.2789157538553565E-4</v>
      </c>
      <c r="I211" s="42">
        <f t="shared" si="284"/>
        <v>8.7598337556824609E-4</v>
      </c>
      <c r="J211" s="42">
        <f t="shared" si="284"/>
        <v>6.4574573000636035E-4</v>
      </c>
      <c r="K211" s="42">
        <f t="shared" si="284"/>
        <v>5.8511366891612503E-4</v>
      </c>
      <c r="L211" s="42">
        <f t="shared" si="275"/>
        <v>6.6248611395082133E-4</v>
      </c>
      <c r="M211" s="42">
        <f t="shared" si="275"/>
        <v>6.9235620469979616E-4</v>
      </c>
      <c r="N211" s="42">
        <f t="shared" si="275"/>
        <v>5.3440252775315857E-4</v>
      </c>
      <c r="O211" s="42"/>
    </row>
    <row r="212" spans="1:15" x14ac:dyDescent="0.2">
      <c r="A212" s="19" t="s">
        <v>53</v>
      </c>
      <c r="C212" s="42">
        <f t="shared" ref="C212:K212" si="285">C183/C$184</f>
        <v>1.7877588735110378E-4</v>
      </c>
      <c r="D212" s="42">
        <f t="shared" si="285"/>
        <v>1.8233267367248352E-4</v>
      </c>
      <c r="E212" s="42">
        <f t="shared" si="285"/>
        <v>2.7317289174181089E-4</v>
      </c>
      <c r="F212" s="42">
        <f t="shared" si="285"/>
        <v>2.4821925666606605E-4</v>
      </c>
      <c r="G212" s="42">
        <f t="shared" si="285"/>
        <v>2.0365846698886479E-4</v>
      </c>
      <c r="H212" s="42">
        <f t="shared" si="285"/>
        <v>1.6595161952990487E-4</v>
      </c>
      <c r="I212" s="42">
        <f t="shared" si="285"/>
        <v>1.8249653657671794E-4</v>
      </c>
      <c r="J212" s="42">
        <f t="shared" si="285"/>
        <v>1.7429884744887125E-4</v>
      </c>
      <c r="K212" s="42">
        <f t="shared" si="285"/>
        <v>9.0782438762754047E-5</v>
      </c>
      <c r="L212" s="42">
        <f t="shared" si="275"/>
        <v>1.6594250044213888E-4</v>
      </c>
      <c r="M212" s="42">
        <f t="shared" si="275"/>
        <v>1.8994095549726257E-4</v>
      </c>
      <c r="N212" s="42">
        <f t="shared" si="275"/>
        <v>2.2047754560307908E-4</v>
      </c>
      <c r="O212" s="42"/>
    </row>
    <row r="213" spans="1:15" x14ac:dyDescent="0.2">
      <c r="C213" s="43">
        <f>SUM(C187:C211)</f>
        <v>0.99982122411264884</v>
      </c>
      <c r="D213" s="43">
        <f t="shared" ref="D213:F213" si="286">SUM(D187:D211)</f>
        <v>0.99981766732632738</v>
      </c>
      <c r="E213" s="43">
        <f t="shared" si="286"/>
        <v>0.99972682710825822</v>
      </c>
      <c r="F213" s="43">
        <f t="shared" si="286"/>
        <v>0.99975178074333382</v>
      </c>
      <c r="G213" s="43">
        <f t="shared" ref="G213:N213" si="287">SUM(G187:G211)</f>
        <v>0.99979634153301111</v>
      </c>
      <c r="H213" s="43">
        <f t="shared" ref="H213" si="288">SUM(H187:H211)</f>
        <v>0.99983404838046996</v>
      </c>
      <c r="I213" s="43">
        <f t="shared" si="287"/>
        <v>0.99981750346342335</v>
      </c>
      <c r="J213" s="43">
        <f t="shared" ref="J213" si="289">SUM(J187:J211)</f>
        <v>0.99982570115255087</v>
      </c>
      <c r="K213" s="43">
        <f t="shared" si="287"/>
        <v>0.99990921756123707</v>
      </c>
      <c r="L213" s="43">
        <f t="shared" ref="L213" si="290">SUM(L187:L211)</f>
        <v>0.99983405749955789</v>
      </c>
      <c r="M213" s="43">
        <f t="shared" si="287"/>
        <v>0.99981005904450282</v>
      </c>
      <c r="N213" s="43">
        <f t="shared" si="287"/>
        <v>0.99977952245439694</v>
      </c>
      <c r="O213" s="43"/>
    </row>
  </sheetData>
  <phoneticPr fontId="0" type="noConversion"/>
  <pageMargins left="0" right="0" top="0" bottom="0" header="0.25" footer="0.25"/>
  <pageSetup scale="70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8"/>
  <sheetViews>
    <sheetView workbookViewId="0"/>
  </sheetViews>
  <sheetFormatPr defaultRowHeight="12.75" x14ac:dyDescent="0.2"/>
  <cols>
    <col min="1" max="1" width="22.5703125" style="56" bestFit="1" customWidth="1"/>
    <col min="2" max="2" width="12.140625" style="59" customWidth="1"/>
    <col min="3" max="3" width="18" bestFit="1" customWidth="1"/>
  </cols>
  <sheetData>
    <row r="2" spans="1:3" x14ac:dyDescent="0.2">
      <c r="A2" s="58" t="s">
        <v>67</v>
      </c>
      <c r="B2" s="61" t="s">
        <v>141</v>
      </c>
      <c r="C2" s="63" t="s">
        <v>140</v>
      </c>
    </row>
    <row r="3" spans="1:3" x14ac:dyDescent="0.2">
      <c r="A3" s="60" t="s">
        <v>170</v>
      </c>
      <c r="B3" s="64">
        <f>SUM(B6:B88)</f>
        <v>2.9103830456733704E-11</v>
      </c>
      <c r="C3" s="62">
        <v>894097</v>
      </c>
    </row>
    <row r="5" spans="1:3" s="1" customFormat="1" x14ac:dyDescent="0.2">
      <c r="A5" s="58" t="s">
        <v>64</v>
      </c>
      <c r="B5" s="61" t="s">
        <v>65</v>
      </c>
      <c r="C5" s="1" t="s">
        <v>66</v>
      </c>
    </row>
    <row r="6" spans="1:3" x14ac:dyDescent="0.2">
      <c r="A6" s="57" t="s">
        <v>60</v>
      </c>
      <c r="B6" s="59">
        <f>-Spread!N36</f>
        <v>81844.45</v>
      </c>
      <c r="C6" s="54" t="s">
        <v>68</v>
      </c>
    </row>
    <row r="7" spans="1:3" x14ac:dyDescent="0.2">
      <c r="A7" s="57" t="s">
        <v>61</v>
      </c>
      <c r="B7" s="59">
        <f>-Spread!N37</f>
        <v>-14316.7</v>
      </c>
      <c r="C7" s="54" t="s">
        <v>68</v>
      </c>
    </row>
    <row r="8" spans="1:3" x14ac:dyDescent="0.2">
      <c r="A8" s="57" t="s">
        <v>69</v>
      </c>
      <c r="B8" s="59">
        <f>Spread!N40</f>
        <v>-19040</v>
      </c>
      <c r="C8" s="54" t="s">
        <v>68</v>
      </c>
    </row>
    <row r="9" spans="1:3" x14ac:dyDescent="0.2">
      <c r="A9" s="57" t="s">
        <v>70</v>
      </c>
      <c r="B9" s="59">
        <f>Spread!N41</f>
        <v>-4562</v>
      </c>
      <c r="C9" s="54" t="s">
        <v>68</v>
      </c>
    </row>
    <row r="10" spans="1:3" x14ac:dyDescent="0.2">
      <c r="A10" s="57" t="s">
        <v>71</v>
      </c>
      <c r="B10" s="59">
        <f>Spread!N42</f>
        <v>-5962</v>
      </c>
      <c r="C10" s="54" t="s">
        <v>68</v>
      </c>
    </row>
    <row r="11" spans="1:3" x14ac:dyDescent="0.2">
      <c r="A11" s="57" t="s">
        <v>72</v>
      </c>
      <c r="B11" s="59">
        <f>Spread!N43</f>
        <v>-5516</v>
      </c>
      <c r="C11" s="54" t="s">
        <v>68</v>
      </c>
    </row>
    <row r="12" spans="1:3" x14ac:dyDescent="0.2">
      <c r="A12" s="57" t="s">
        <v>73</v>
      </c>
      <c r="B12" s="59">
        <f>Spread!N44</f>
        <v>-1180</v>
      </c>
      <c r="C12" s="54" t="s">
        <v>68</v>
      </c>
    </row>
    <row r="13" spans="1:3" x14ac:dyDescent="0.2">
      <c r="A13" s="57" t="s">
        <v>74</v>
      </c>
      <c r="B13" s="59">
        <f>Spread!N45</f>
        <v>-9633</v>
      </c>
      <c r="C13" s="54" t="s">
        <v>68</v>
      </c>
    </row>
    <row r="14" spans="1:3" x14ac:dyDescent="0.2">
      <c r="A14" s="57" t="s">
        <v>75</v>
      </c>
      <c r="B14" s="59">
        <f>Spread!N46</f>
        <v>-104</v>
      </c>
      <c r="C14" s="54" t="s">
        <v>68</v>
      </c>
    </row>
    <row r="15" spans="1:3" x14ac:dyDescent="0.2">
      <c r="A15" s="57" t="s">
        <v>76</v>
      </c>
      <c r="B15" s="59">
        <f>Spread!N47</f>
        <v>-6273</v>
      </c>
      <c r="C15" s="54" t="s">
        <v>68</v>
      </c>
    </row>
    <row r="16" spans="1:3" x14ac:dyDescent="0.2">
      <c r="A16" s="57" t="s">
        <v>77</v>
      </c>
      <c r="B16" s="59">
        <f>Spread!N48</f>
        <v>-580</v>
      </c>
      <c r="C16" s="54" t="s">
        <v>68</v>
      </c>
    </row>
    <row r="17" spans="1:3" x14ac:dyDescent="0.2">
      <c r="A17" s="57" t="s">
        <v>78</v>
      </c>
      <c r="B17" s="59">
        <f>Spread!N49</f>
        <v>-1435</v>
      </c>
      <c r="C17" s="54" t="s">
        <v>68</v>
      </c>
    </row>
    <row r="18" spans="1:3" x14ac:dyDescent="0.2">
      <c r="A18" s="57"/>
      <c r="C18" s="54"/>
    </row>
    <row r="19" spans="1:3" x14ac:dyDescent="0.2">
      <c r="A19" s="57" t="s">
        <v>79</v>
      </c>
      <c r="B19" s="59">
        <f>Spread!N50</f>
        <v>-2005</v>
      </c>
      <c r="C19" s="54" t="s">
        <v>68</v>
      </c>
    </row>
    <row r="20" spans="1:3" x14ac:dyDescent="0.2">
      <c r="A20" s="57" t="s">
        <v>80</v>
      </c>
      <c r="B20" s="59">
        <f>Spread!N51</f>
        <v>-1221</v>
      </c>
      <c r="C20" s="54" t="s">
        <v>68</v>
      </c>
    </row>
    <row r="21" spans="1:3" x14ac:dyDescent="0.2">
      <c r="A21" s="57" t="s">
        <v>81</v>
      </c>
      <c r="B21" s="59">
        <f>Spread!N52</f>
        <v>-4875</v>
      </c>
      <c r="C21" s="54" t="s">
        <v>68</v>
      </c>
    </row>
    <row r="22" spans="1:3" x14ac:dyDescent="0.2">
      <c r="A22" s="57" t="s">
        <v>82</v>
      </c>
      <c r="B22" s="59">
        <f>Spread!N53</f>
        <v>-742</v>
      </c>
      <c r="C22" s="54" t="s">
        <v>68</v>
      </c>
    </row>
    <row r="23" spans="1:3" x14ac:dyDescent="0.2">
      <c r="A23" s="57" t="s">
        <v>83</v>
      </c>
      <c r="B23" s="59">
        <f>Spread!N54</f>
        <v>-12</v>
      </c>
      <c r="C23" s="54" t="s">
        <v>68</v>
      </c>
    </row>
    <row r="24" spans="1:3" x14ac:dyDescent="0.2">
      <c r="A24" s="57" t="s">
        <v>84</v>
      </c>
      <c r="B24" s="59">
        <f>Spread!N55</f>
        <v>-2511</v>
      </c>
      <c r="C24" s="54" t="s">
        <v>68</v>
      </c>
    </row>
    <row r="25" spans="1:3" x14ac:dyDescent="0.2">
      <c r="A25" s="57" t="s">
        <v>85</v>
      </c>
      <c r="B25" s="59">
        <f>Spread!N56</f>
        <v>-370</v>
      </c>
      <c r="C25" s="54" t="s">
        <v>68</v>
      </c>
    </row>
    <row r="26" spans="1:3" x14ac:dyDescent="0.2">
      <c r="A26" s="57" t="s">
        <v>86</v>
      </c>
      <c r="B26" s="59">
        <f>Spread!N57</f>
        <v>-238</v>
      </c>
      <c r="C26" s="54" t="s">
        <v>68</v>
      </c>
    </row>
    <row r="27" spans="1:3" x14ac:dyDescent="0.2">
      <c r="A27" s="57" t="s">
        <v>60</v>
      </c>
      <c r="B27" s="59">
        <f>Spread!N58</f>
        <v>-1097</v>
      </c>
      <c r="C27" s="54" t="s">
        <v>68</v>
      </c>
    </row>
    <row r="28" spans="1:3" x14ac:dyDescent="0.2">
      <c r="A28" s="56" t="s">
        <v>62</v>
      </c>
      <c r="B28" s="59">
        <f>-Spread!N62</f>
        <v>-213</v>
      </c>
      <c r="C28" s="54" t="s">
        <v>87</v>
      </c>
    </row>
    <row r="29" spans="1:3" x14ac:dyDescent="0.2">
      <c r="A29" s="56" t="s">
        <v>63</v>
      </c>
      <c r="B29" s="59">
        <f>-Spread!N63</f>
        <v>-364220.85</v>
      </c>
      <c r="C29" s="54" t="s">
        <v>87</v>
      </c>
    </row>
    <row r="30" spans="1:3" x14ac:dyDescent="0.2">
      <c r="A30" s="57" t="s">
        <v>137</v>
      </c>
      <c r="B30" s="59">
        <f>Spread!N67</f>
        <v>56</v>
      </c>
      <c r="C30" s="54" t="s">
        <v>87</v>
      </c>
    </row>
    <row r="31" spans="1:3" x14ac:dyDescent="0.2">
      <c r="A31" s="57"/>
      <c r="C31" s="54"/>
    </row>
    <row r="32" spans="1:3" x14ac:dyDescent="0.2">
      <c r="A32" s="57" t="s">
        <v>88</v>
      </c>
      <c r="B32" s="59">
        <f>Spread!N68</f>
        <v>13</v>
      </c>
      <c r="C32" s="54" t="s">
        <v>87</v>
      </c>
    </row>
    <row r="33" spans="1:3" x14ac:dyDescent="0.2">
      <c r="A33" s="57" t="s">
        <v>89</v>
      </c>
      <c r="B33" s="59">
        <f>Spread!N69</f>
        <v>18</v>
      </c>
      <c r="C33" s="54" t="s">
        <v>87</v>
      </c>
    </row>
    <row r="34" spans="1:3" x14ac:dyDescent="0.2">
      <c r="A34" s="57" t="s">
        <v>90</v>
      </c>
      <c r="B34" s="59">
        <f>Spread!N70</f>
        <v>16</v>
      </c>
      <c r="C34" s="54" t="s">
        <v>87</v>
      </c>
    </row>
    <row r="35" spans="1:3" x14ac:dyDescent="0.2">
      <c r="A35" s="57" t="s">
        <v>91</v>
      </c>
      <c r="B35" s="59">
        <f>Spread!N71</f>
        <v>3</v>
      </c>
      <c r="C35" s="54" t="s">
        <v>87</v>
      </c>
    </row>
    <row r="36" spans="1:3" x14ac:dyDescent="0.2">
      <c r="A36" s="57" t="s">
        <v>92</v>
      </c>
      <c r="B36" s="59">
        <f>Spread!N72</f>
        <v>28</v>
      </c>
      <c r="C36" s="54" t="s">
        <v>87</v>
      </c>
    </row>
    <row r="37" spans="1:3" x14ac:dyDescent="0.2">
      <c r="A37" s="57" t="s">
        <v>93</v>
      </c>
      <c r="B37" s="59">
        <f>Spread!N73</f>
        <v>0</v>
      </c>
      <c r="C37" s="54" t="s">
        <v>87</v>
      </c>
    </row>
    <row r="38" spans="1:3" x14ac:dyDescent="0.2">
      <c r="A38" s="57" t="s">
        <v>94</v>
      </c>
      <c r="B38" s="59">
        <f>Spread!N74</f>
        <v>19</v>
      </c>
      <c r="C38" s="54" t="s">
        <v>87</v>
      </c>
    </row>
    <row r="39" spans="1:3" x14ac:dyDescent="0.2">
      <c r="A39" s="57" t="s">
        <v>95</v>
      </c>
      <c r="B39" s="59">
        <f>Spread!N75</f>
        <v>2</v>
      </c>
      <c r="C39" s="54" t="s">
        <v>87</v>
      </c>
    </row>
    <row r="40" spans="1:3" x14ac:dyDescent="0.2">
      <c r="A40" s="57" t="s">
        <v>96</v>
      </c>
      <c r="B40" s="59">
        <f>Spread!N76</f>
        <v>4</v>
      </c>
      <c r="C40" s="54" t="s">
        <v>87</v>
      </c>
    </row>
    <row r="41" spans="1:3" x14ac:dyDescent="0.2">
      <c r="A41" s="57" t="s">
        <v>97</v>
      </c>
      <c r="B41" s="59">
        <f>Spread!N77</f>
        <v>6</v>
      </c>
      <c r="C41" s="54" t="s">
        <v>87</v>
      </c>
    </row>
    <row r="42" spans="1:3" x14ac:dyDescent="0.2">
      <c r="A42" s="57" t="s">
        <v>98</v>
      </c>
      <c r="B42" s="59">
        <f>Spread!N78</f>
        <v>4</v>
      </c>
      <c r="C42" s="54" t="s">
        <v>87</v>
      </c>
    </row>
    <row r="43" spans="1:3" x14ac:dyDescent="0.2">
      <c r="A43" s="57" t="s">
        <v>99</v>
      </c>
      <c r="B43" s="59">
        <f>Spread!N79</f>
        <v>14</v>
      </c>
      <c r="C43" s="54" t="s">
        <v>87</v>
      </c>
    </row>
    <row r="44" spans="1:3" x14ac:dyDescent="0.2">
      <c r="A44" s="57"/>
      <c r="C44" s="54"/>
    </row>
    <row r="45" spans="1:3" x14ac:dyDescent="0.2">
      <c r="A45" s="57" t="s">
        <v>100</v>
      </c>
      <c r="B45" s="59">
        <f>Spread!N80</f>
        <v>2</v>
      </c>
      <c r="C45" s="54" t="s">
        <v>87</v>
      </c>
    </row>
    <row r="46" spans="1:3" x14ac:dyDescent="0.2">
      <c r="A46" s="57" t="s">
        <v>101</v>
      </c>
      <c r="B46" s="59">
        <f>Spread!N81</f>
        <v>0</v>
      </c>
      <c r="C46" s="54" t="s">
        <v>87</v>
      </c>
    </row>
    <row r="47" spans="1:3" x14ac:dyDescent="0.2">
      <c r="A47" s="57" t="s">
        <v>102</v>
      </c>
      <c r="B47" s="59">
        <f>Spread!N82</f>
        <v>7</v>
      </c>
      <c r="C47" s="54" t="s">
        <v>87</v>
      </c>
    </row>
    <row r="48" spans="1:3" x14ac:dyDescent="0.2">
      <c r="A48" s="57" t="s">
        <v>103</v>
      </c>
      <c r="B48" s="59">
        <f>Spread!N83</f>
        <v>1</v>
      </c>
      <c r="C48" s="54" t="s">
        <v>87</v>
      </c>
    </row>
    <row r="49" spans="1:3" x14ac:dyDescent="0.2">
      <c r="A49" s="57" t="s">
        <v>104</v>
      </c>
      <c r="B49" s="59">
        <f>Spread!N84</f>
        <v>1</v>
      </c>
      <c r="C49" s="54" t="s">
        <v>87</v>
      </c>
    </row>
    <row r="50" spans="1:3" x14ac:dyDescent="0.2">
      <c r="A50" s="57" t="s">
        <v>62</v>
      </c>
      <c r="B50" s="59">
        <f>Spread!N85</f>
        <v>3</v>
      </c>
      <c r="C50" s="54" t="s">
        <v>87</v>
      </c>
    </row>
    <row r="51" spans="1:3" x14ac:dyDescent="0.2">
      <c r="A51" s="57" t="s">
        <v>105</v>
      </c>
      <c r="B51" s="59">
        <f>Spread!N86</f>
        <v>3</v>
      </c>
      <c r="C51" s="54" t="s">
        <v>87</v>
      </c>
    </row>
    <row r="52" spans="1:3" x14ac:dyDescent="0.2">
      <c r="A52" s="57" t="s">
        <v>106</v>
      </c>
      <c r="B52" s="59">
        <f>Spread!N87</f>
        <v>0</v>
      </c>
      <c r="C52" s="54" t="s">
        <v>87</v>
      </c>
    </row>
    <row r="53" spans="1:3" x14ac:dyDescent="0.2">
      <c r="A53" s="57" t="s">
        <v>107</v>
      </c>
      <c r="B53" s="59">
        <f>Spread!N88</f>
        <v>0</v>
      </c>
      <c r="C53" s="54" t="s">
        <v>87</v>
      </c>
    </row>
    <row r="54" spans="1:3" x14ac:dyDescent="0.2">
      <c r="A54" s="57" t="s">
        <v>108</v>
      </c>
      <c r="B54" s="59">
        <f>Spread!N89</f>
        <v>5</v>
      </c>
      <c r="C54" s="54" t="s">
        <v>87</v>
      </c>
    </row>
    <row r="55" spans="1:3" x14ac:dyDescent="0.2">
      <c r="A55" s="57" t="s">
        <v>109</v>
      </c>
      <c r="B55" s="59">
        <f>Spread!N90</f>
        <v>0</v>
      </c>
      <c r="C55" s="54" t="s">
        <v>87</v>
      </c>
    </row>
    <row r="56" spans="1:3" x14ac:dyDescent="0.2">
      <c r="A56" s="57" t="s">
        <v>110</v>
      </c>
      <c r="B56" s="59">
        <f>Spread!N91</f>
        <v>2</v>
      </c>
      <c r="C56" s="54" t="s">
        <v>87</v>
      </c>
    </row>
    <row r="57" spans="1:3" x14ac:dyDescent="0.2">
      <c r="A57" s="57"/>
      <c r="C57" s="54"/>
    </row>
    <row r="58" spans="1:3" x14ac:dyDescent="0.2">
      <c r="A58" s="57" t="s">
        <v>111</v>
      </c>
      <c r="B58" s="59">
        <f>Spread!N92</f>
        <v>0</v>
      </c>
      <c r="C58" s="54" t="s">
        <v>87</v>
      </c>
    </row>
    <row r="59" spans="1:3" x14ac:dyDescent="0.2">
      <c r="A59" s="57" t="s">
        <v>112</v>
      </c>
      <c r="B59" s="59">
        <f>Spread!N93</f>
        <v>3</v>
      </c>
      <c r="C59" s="54" t="s">
        <v>87</v>
      </c>
    </row>
    <row r="60" spans="1:3" x14ac:dyDescent="0.2">
      <c r="A60" s="57" t="s">
        <v>113</v>
      </c>
      <c r="B60" s="59">
        <f>Spread!N96</f>
        <v>159229.1</v>
      </c>
      <c r="C60" s="54" t="s">
        <v>87</v>
      </c>
    </row>
    <row r="61" spans="1:3" x14ac:dyDescent="0.2">
      <c r="A61" s="57" t="s">
        <v>114</v>
      </c>
      <c r="B61" s="59">
        <f>Spread!N97</f>
        <v>39043</v>
      </c>
      <c r="C61" s="54" t="s">
        <v>87</v>
      </c>
    </row>
    <row r="62" spans="1:3" x14ac:dyDescent="0.2">
      <c r="A62" s="57" t="s">
        <v>115</v>
      </c>
      <c r="B62" s="59">
        <f>Spread!N98</f>
        <v>41300</v>
      </c>
      <c r="C62" s="54" t="s">
        <v>87</v>
      </c>
    </row>
    <row r="63" spans="1:3" x14ac:dyDescent="0.2">
      <c r="A63" s="57" t="s">
        <v>116</v>
      </c>
      <c r="B63" s="59">
        <f>Spread!N99</f>
        <v>11243</v>
      </c>
      <c r="C63" s="54" t="s">
        <v>87</v>
      </c>
    </row>
    <row r="64" spans="1:3" x14ac:dyDescent="0.2">
      <c r="A64" s="57" t="s">
        <v>117</v>
      </c>
      <c r="B64" s="59">
        <f>Spread!N100</f>
        <v>1769</v>
      </c>
      <c r="C64" s="54" t="s">
        <v>87</v>
      </c>
    </row>
    <row r="65" spans="1:3" x14ac:dyDescent="0.2">
      <c r="A65" s="57" t="s">
        <v>118</v>
      </c>
      <c r="B65" s="59">
        <f>Spread!N101</f>
        <v>4521</v>
      </c>
      <c r="C65" s="54" t="s">
        <v>87</v>
      </c>
    </row>
    <row r="66" spans="1:3" x14ac:dyDescent="0.2">
      <c r="A66" s="57" t="s">
        <v>119</v>
      </c>
      <c r="B66" s="59">
        <f>Spread!N102</f>
        <v>136</v>
      </c>
      <c r="C66" s="54" t="s">
        <v>87</v>
      </c>
    </row>
    <row r="67" spans="1:3" x14ac:dyDescent="0.2">
      <c r="A67" s="57" t="s">
        <v>120</v>
      </c>
      <c r="B67" s="59">
        <f>Spread!N103</f>
        <v>16621</v>
      </c>
      <c r="C67" s="54" t="s">
        <v>87</v>
      </c>
    </row>
    <row r="68" spans="1:3" x14ac:dyDescent="0.2">
      <c r="A68" s="57" t="s">
        <v>121</v>
      </c>
      <c r="B68" s="59">
        <f>Spread!N104</f>
        <v>12687</v>
      </c>
      <c r="C68" s="54" t="s">
        <v>87</v>
      </c>
    </row>
    <row r="69" spans="1:3" x14ac:dyDescent="0.2">
      <c r="A69" s="57" t="s">
        <v>122</v>
      </c>
      <c r="B69" s="59">
        <f>Spread!N105</f>
        <v>14895</v>
      </c>
      <c r="C69" s="54" t="s">
        <v>87</v>
      </c>
    </row>
    <row r="70" spans="1:3" x14ac:dyDescent="0.2">
      <c r="A70" s="57"/>
      <c r="C70" s="54"/>
    </row>
    <row r="71" spans="1:3" x14ac:dyDescent="0.2">
      <c r="A71" s="57" t="s">
        <v>123</v>
      </c>
      <c r="B71" s="59">
        <f>Spread!N106</f>
        <v>9622</v>
      </c>
      <c r="C71" s="54" t="s">
        <v>87</v>
      </c>
    </row>
    <row r="72" spans="1:3" x14ac:dyDescent="0.2">
      <c r="A72" s="57" t="s">
        <v>124</v>
      </c>
      <c r="B72" s="59">
        <f>Spread!N107</f>
        <v>823</v>
      </c>
      <c r="C72" s="54" t="s">
        <v>87</v>
      </c>
    </row>
    <row r="73" spans="1:3" x14ac:dyDescent="0.2">
      <c r="A73" s="57" t="s">
        <v>125</v>
      </c>
      <c r="B73" s="59">
        <f>Spread!N108</f>
        <v>33076</v>
      </c>
      <c r="C73" s="54" t="s">
        <v>87</v>
      </c>
    </row>
    <row r="74" spans="1:3" x14ac:dyDescent="0.2">
      <c r="A74" s="57" t="s">
        <v>126</v>
      </c>
      <c r="B74" s="59">
        <f>Spread!N109</f>
        <v>584</v>
      </c>
      <c r="C74" s="54" t="s">
        <v>87</v>
      </c>
    </row>
    <row r="75" spans="1:3" x14ac:dyDescent="0.2">
      <c r="A75" s="57" t="s">
        <v>127</v>
      </c>
      <c r="B75" s="59">
        <f>Spread!N110</f>
        <v>27</v>
      </c>
      <c r="C75" s="54" t="s">
        <v>87</v>
      </c>
    </row>
    <row r="76" spans="1:3" x14ac:dyDescent="0.2">
      <c r="A76" s="57" t="s">
        <v>128</v>
      </c>
      <c r="B76" s="59">
        <f>Spread!N111</f>
        <v>1487</v>
      </c>
      <c r="C76" s="54" t="s">
        <v>87</v>
      </c>
    </row>
    <row r="77" spans="1:3" x14ac:dyDescent="0.2">
      <c r="A77" s="57" t="s">
        <v>138</v>
      </c>
      <c r="B77" s="59">
        <f>Spread!N112</f>
        <v>215</v>
      </c>
      <c r="C77" s="54" t="s">
        <v>87</v>
      </c>
    </row>
    <row r="78" spans="1:3" x14ac:dyDescent="0.2">
      <c r="A78" s="57" t="s">
        <v>139</v>
      </c>
      <c r="B78" s="59">
        <f>Spread!N113</f>
        <v>180</v>
      </c>
      <c r="C78" s="54" t="s">
        <v>87</v>
      </c>
    </row>
    <row r="79" spans="1:3" x14ac:dyDescent="0.2">
      <c r="A79" s="57" t="s">
        <v>63</v>
      </c>
      <c r="B79" s="59">
        <f>Spread!N114</f>
        <v>15709</v>
      </c>
      <c r="C79" s="54" t="s">
        <v>87</v>
      </c>
    </row>
    <row r="80" spans="1:3" x14ac:dyDescent="0.2">
      <c r="A80" s="57" t="s">
        <v>129</v>
      </c>
      <c r="B80" s="59">
        <f>Spread!N115</f>
        <v>365</v>
      </c>
      <c r="C80" s="54" t="s">
        <v>87</v>
      </c>
    </row>
    <row r="81" spans="1:3" x14ac:dyDescent="0.2">
      <c r="A81" s="57" t="s">
        <v>130</v>
      </c>
      <c r="B81" s="59">
        <f>Spread!N116</f>
        <v>115</v>
      </c>
      <c r="C81" s="54" t="s">
        <v>87</v>
      </c>
    </row>
    <row r="82" spans="1:3" x14ac:dyDescent="0.2">
      <c r="A82" s="57" t="s">
        <v>131</v>
      </c>
      <c r="B82" s="59">
        <f>Spread!N117</f>
        <v>0</v>
      </c>
      <c r="C82" s="54" t="s">
        <v>87</v>
      </c>
    </row>
    <row r="83" spans="1:3" x14ac:dyDescent="0.2">
      <c r="A83" s="57"/>
      <c r="C83" s="54"/>
    </row>
    <row r="84" spans="1:3" x14ac:dyDescent="0.2">
      <c r="A84" s="57" t="s">
        <v>132</v>
      </c>
      <c r="B84" s="59">
        <f>Spread!N118</f>
        <v>130</v>
      </c>
      <c r="C84" s="54" t="s">
        <v>87</v>
      </c>
    </row>
    <row r="85" spans="1:3" x14ac:dyDescent="0.2">
      <c r="A85" s="57" t="s">
        <v>133</v>
      </c>
      <c r="B85" s="59">
        <f>Spread!N119</f>
        <v>0</v>
      </c>
      <c r="C85" s="54" t="s">
        <v>87</v>
      </c>
    </row>
    <row r="86" spans="1:3" x14ac:dyDescent="0.2">
      <c r="A86" s="57" t="s">
        <v>134</v>
      </c>
      <c r="B86" s="59">
        <f>Spread!N120</f>
        <v>195</v>
      </c>
      <c r="C86" s="54" t="s">
        <v>87</v>
      </c>
    </row>
    <row r="87" spans="1:3" x14ac:dyDescent="0.2">
      <c r="A87" s="57" t="s">
        <v>135</v>
      </c>
      <c r="B87" s="59">
        <f>Spread!N121</f>
        <v>80</v>
      </c>
      <c r="C87" s="54" t="s">
        <v>87</v>
      </c>
    </row>
    <row r="88" spans="1:3" x14ac:dyDescent="0.2">
      <c r="A88" s="57" t="s">
        <v>136</v>
      </c>
      <c r="B88" s="59">
        <f>Spread!N122</f>
        <v>0</v>
      </c>
      <c r="C88" s="54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Spread</vt:lpstr>
      <vt:lpstr>JE</vt:lpstr>
      <vt:lpstr>Spread!Print_Area</vt:lpstr>
      <vt:lpstr>Spread!Print_Titles</vt:lpstr>
    </vt:vector>
  </TitlesOfParts>
  <Company>Tyco Healthcare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JMWARE</dc:creator>
  <cp:lastModifiedBy>erich.singer</cp:lastModifiedBy>
  <cp:lastPrinted>2015-09-29T12:51:29Z</cp:lastPrinted>
  <dcterms:created xsi:type="dcterms:W3CDTF">2004-10-06T19:21:09Z</dcterms:created>
  <dcterms:modified xsi:type="dcterms:W3CDTF">2015-09-29T12:51:31Z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