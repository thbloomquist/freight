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ocuments\Cost Accounting\Month End Close\Aug 2018\"/>
    </mc:Choice>
  </mc:AlternateContent>
  <xr:revisionPtr revIDLastSave="0" documentId="10_ncr:100000_{6CA5D561-411E-463E-B30A-9EF97FF4C29D}" xr6:coauthVersionLast="31" xr6:coauthVersionMax="31" xr10:uidLastSave="{00000000-0000-0000-0000-000000000000}"/>
  <bookViews>
    <workbookView xWindow="0" yWindow="0" windowWidth="28800" windowHeight="12048" xr2:uid="{A04F8293-DCB0-49A9-9F42-A860832C411A}"/>
  </bookViews>
  <sheets>
    <sheet name="Summary" sheetId="1" r:id="rId1"/>
    <sheet name="Data" sheetId="2" r:id="rId2"/>
    <sheet name="Data Backup" sheetId="3" state="hidden" r:id="rId3"/>
  </sheets>
  <externalReferences>
    <externalReference r:id="rId4"/>
  </externalReferences>
  <definedNames>
    <definedName name="_xlnm._FilterDatabase" localSheetId="1" hidden="1">Data!$A$1:$V$472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4" i="1" l="1"/>
  <c r="AF33" i="1"/>
  <c r="AH32" i="1"/>
  <c r="AG32" i="1"/>
  <c r="AF32" i="1"/>
  <c r="AE32" i="1"/>
  <c r="J164" i="1"/>
  <c r="I164" i="1"/>
  <c r="H164" i="1"/>
  <c r="G164" i="1"/>
  <c r="F164" i="1"/>
  <c r="E164" i="1"/>
  <c r="D164" i="1"/>
  <c r="C164" i="1"/>
  <c r="B164" i="1"/>
  <c r="A164" i="1"/>
  <c r="J163" i="1"/>
  <c r="I163" i="1"/>
  <c r="H163" i="1"/>
  <c r="G163" i="1"/>
  <c r="F163" i="1"/>
  <c r="E163" i="1"/>
  <c r="D163" i="1"/>
  <c r="C163" i="1"/>
  <c r="B163" i="1"/>
  <c r="A163" i="1"/>
  <c r="J162" i="1"/>
  <c r="I162" i="1"/>
  <c r="H162" i="1"/>
  <c r="G162" i="1"/>
  <c r="F162" i="1"/>
  <c r="E162" i="1"/>
  <c r="D162" i="1"/>
  <c r="C162" i="1"/>
  <c r="B162" i="1"/>
  <c r="A162" i="1"/>
  <c r="J161" i="1"/>
  <c r="I161" i="1"/>
  <c r="H161" i="1"/>
  <c r="G161" i="1"/>
  <c r="F161" i="1"/>
  <c r="E161" i="1"/>
  <c r="D161" i="1"/>
  <c r="C161" i="1"/>
  <c r="B161" i="1"/>
  <c r="A161" i="1"/>
  <c r="J160" i="1"/>
  <c r="I160" i="1"/>
  <c r="H160" i="1"/>
  <c r="G160" i="1"/>
  <c r="F160" i="1"/>
  <c r="E160" i="1"/>
  <c r="D160" i="1"/>
  <c r="C160" i="1"/>
  <c r="B160" i="1"/>
  <c r="A160" i="1"/>
  <c r="J159" i="1"/>
  <c r="I159" i="1"/>
  <c r="H159" i="1"/>
  <c r="G159" i="1"/>
  <c r="F159" i="1"/>
  <c r="E159" i="1"/>
  <c r="D159" i="1"/>
  <c r="C159" i="1"/>
  <c r="B159" i="1"/>
  <c r="A159" i="1"/>
  <c r="J158" i="1"/>
  <c r="I158" i="1"/>
  <c r="H158" i="1"/>
  <c r="G158" i="1"/>
  <c r="F158" i="1"/>
  <c r="E158" i="1"/>
  <c r="D158" i="1"/>
  <c r="C158" i="1"/>
  <c r="B158" i="1"/>
  <c r="A158" i="1"/>
  <c r="J157" i="1"/>
  <c r="I157" i="1"/>
  <c r="H157" i="1"/>
  <c r="G157" i="1"/>
  <c r="F157" i="1"/>
  <c r="E157" i="1"/>
  <c r="D157" i="1"/>
  <c r="C157" i="1"/>
  <c r="B157" i="1"/>
  <c r="A157" i="1"/>
  <c r="J156" i="1"/>
  <c r="I156" i="1"/>
  <c r="H156" i="1"/>
  <c r="G156" i="1"/>
  <c r="F156" i="1"/>
  <c r="E156" i="1"/>
  <c r="D156" i="1"/>
  <c r="C156" i="1"/>
  <c r="B156" i="1"/>
  <c r="A156" i="1"/>
  <c r="J155" i="1"/>
  <c r="I155" i="1"/>
  <c r="H155" i="1"/>
  <c r="G155" i="1"/>
  <c r="F155" i="1"/>
  <c r="E155" i="1"/>
  <c r="D155" i="1"/>
  <c r="C155" i="1"/>
  <c r="B155" i="1"/>
  <c r="A155" i="1"/>
  <c r="J154" i="1"/>
  <c r="I154" i="1"/>
  <c r="H154" i="1"/>
  <c r="G154" i="1"/>
  <c r="F154" i="1"/>
  <c r="E154" i="1"/>
  <c r="D154" i="1"/>
  <c r="C154" i="1"/>
  <c r="B154" i="1"/>
  <c r="A154" i="1"/>
  <c r="J153" i="1"/>
  <c r="I153" i="1"/>
  <c r="H153" i="1"/>
  <c r="G153" i="1"/>
  <c r="F153" i="1"/>
  <c r="E153" i="1"/>
  <c r="D153" i="1"/>
  <c r="C153" i="1"/>
  <c r="B153" i="1"/>
  <c r="A153" i="1"/>
  <c r="J152" i="1"/>
  <c r="I152" i="1"/>
  <c r="H152" i="1"/>
  <c r="G152" i="1"/>
  <c r="F152" i="1"/>
  <c r="E152" i="1"/>
  <c r="D152" i="1"/>
  <c r="C152" i="1"/>
  <c r="B152" i="1"/>
  <c r="A152" i="1"/>
  <c r="J151" i="1"/>
  <c r="I151" i="1"/>
  <c r="H151" i="1"/>
  <c r="G151" i="1"/>
  <c r="F151" i="1"/>
  <c r="E151" i="1"/>
  <c r="D151" i="1"/>
  <c r="C151" i="1"/>
  <c r="B151" i="1"/>
  <c r="A151" i="1"/>
  <c r="J150" i="1"/>
  <c r="I150" i="1"/>
  <c r="H150" i="1"/>
  <c r="G150" i="1"/>
  <c r="F150" i="1"/>
  <c r="E150" i="1"/>
  <c r="D150" i="1"/>
  <c r="C150" i="1"/>
  <c r="B150" i="1"/>
  <c r="A150" i="1"/>
  <c r="J149" i="1"/>
  <c r="I149" i="1"/>
  <c r="H149" i="1"/>
  <c r="G149" i="1"/>
  <c r="F149" i="1"/>
  <c r="E149" i="1"/>
  <c r="D149" i="1"/>
  <c r="C149" i="1"/>
  <c r="B149" i="1"/>
  <c r="A149" i="1"/>
  <c r="J148" i="1"/>
  <c r="I148" i="1"/>
  <c r="H148" i="1"/>
  <c r="G148" i="1"/>
  <c r="F148" i="1"/>
  <c r="E148" i="1"/>
  <c r="D148" i="1"/>
  <c r="C148" i="1"/>
  <c r="B148" i="1"/>
  <c r="A148" i="1"/>
  <c r="J147" i="1"/>
  <c r="I147" i="1"/>
  <c r="H147" i="1"/>
  <c r="G147" i="1"/>
  <c r="F147" i="1"/>
  <c r="E147" i="1"/>
  <c r="D147" i="1"/>
  <c r="C147" i="1"/>
  <c r="B147" i="1"/>
  <c r="A147" i="1"/>
  <c r="J146" i="1"/>
  <c r="I146" i="1"/>
  <c r="H146" i="1"/>
  <c r="G146" i="1"/>
  <c r="F146" i="1"/>
  <c r="E146" i="1"/>
  <c r="D146" i="1"/>
  <c r="C146" i="1"/>
  <c r="B146" i="1"/>
  <c r="A146" i="1"/>
  <c r="J145" i="1"/>
  <c r="I145" i="1"/>
  <c r="H145" i="1"/>
  <c r="G145" i="1"/>
  <c r="F145" i="1"/>
  <c r="E145" i="1"/>
  <c r="D145" i="1"/>
  <c r="C145" i="1"/>
  <c r="B145" i="1"/>
  <c r="A145" i="1"/>
  <c r="J144" i="1"/>
  <c r="I144" i="1"/>
  <c r="H144" i="1"/>
  <c r="G144" i="1"/>
  <c r="F144" i="1"/>
  <c r="E144" i="1"/>
  <c r="D144" i="1"/>
  <c r="C144" i="1"/>
  <c r="B144" i="1"/>
  <c r="A144" i="1"/>
  <c r="J143" i="1"/>
  <c r="I143" i="1"/>
  <c r="H143" i="1"/>
  <c r="G143" i="1"/>
  <c r="F143" i="1"/>
  <c r="E143" i="1"/>
  <c r="D143" i="1"/>
  <c r="C143" i="1"/>
  <c r="B143" i="1"/>
  <c r="A143" i="1"/>
  <c r="J142" i="1"/>
  <c r="I142" i="1"/>
  <c r="H142" i="1"/>
  <c r="G142" i="1"/>
  <c r="F142" i="1"/>
  <c r="E142" i="1"/>
  <c r="D142" i="1"/>
  <c r="C142" i="1"/>
  <c r="B142" i="1"/>
  <c r="A142" i="1"/>
  <c r="J141" i="1"/>
  <c r="I141" i="1"/>
  <c r="H141" i="1"/>
  <c r="G141" i="1"/>
  <c r="F141" i="1"/>
  <c r="E141" i="1"/>
  <c r="D141" i="1"/>
  <c r="C141" i="1"/>
  <c r="B141" i="1"/>
  <c r="A141" i="1"/>
  <c r="J140" i="1"/>
  <c r="I140" i="1"/>
  <c r="H140" i="1"/>
  <c r="G140" i="1"/>
  <c r="F140" i="1"/>
  <c r="E140" i="1"/>
  <c r="D140" i="1"/>
  <c r="C140" i="1"/>
  <c r="B140" i="1"/>
  <c r="A140" i="1"/>
  <c r="J139" i="1"/>
  <c r="I139" i="1"/>
  <c r="H139" i="1"/>
  <c r="G139" i="1"/>
  <c r="F139" i="1"/>
  <c r="E139" i="1"/>
  <c r="D139" i="1"/>
  <c r="C139" i="1"/>
  <c r="B139" i="1"/>
  <c r="A139" i="1"/>
  <c r="J138" i="1"/>
  <c r="I138" i="1"/>
  <c r="H138" i="1"/>
  <c r="G138" i="1"/>
  <c r="F138" i="1"/>
  <c r="E138" i="1"/>
  <c r="D138" i="1"/>
  <c r="C138" i="1"/>
  <c r="B138" i="1"/>
  <c r="A138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43" i="2"/>
  <c r="V473" i="2"/>
  <c r="W473" i="2" s="1"/>
  <c r="A473" i="2" s="1"/>
  <c r="V474" i="2"/>
  <c r="W474" i="2" s="1"/>
  <c r="A474" i="2" s="1"/>
  <c r="V475" i="2"/>
  <c r="W475" i="2" s="1"/>
  <c r="A475" i="2" s="1"/>
  <c r="V476" i="2"/>
  <c r="W476" i="2"/>
  <c r="A476" i="2" s="1"/>
  <c r="V477" i="2"/>
  <c r="W477" i="2" s="1"/>
  <c r="A477" i="2" s="1"/>
  <c r="V478" i="2"/>
  <c r="W478" i="2" s="1"/>
  <c r="A478" i="2" s="1"/>
  <c r="V479" i="2"/>
  <c r="W479" i="2" s="1"/>
  <c r="A479" i="2" s="1"/>
  <c r="V480" i="2"/>
  <c r="W480" i="2"/>
  <c r="V481" i="2"/>
  <c r="W481" i="2" s="1"/>
  <c r="A481" i="2" s="1"/>
  <c r="V482" i="2"/>
  <c r="W482" i="2" s="1"/>
  <c r="A482" i="2" s="1"/>
  <c r="V483" i="2"/>
  <c r="W483" i="2" s="1"/>
  <c r="A483" i="2" s="1"/>
  <c r="V484" i="2"/>
  <c r="W484" i="2"/>
  <c r="A484" i="2" s="1"/>
  <c r="V485" i="2"/>
  <c r="W485" i="2" s="1"/>
  <c r="A485" i="2" s="1"/>
  <c r="V486" i="2"/>
  <c r="W486" i="2" s="1"/>
  <c r="A486" i="2" s="1"/>
  <c r="V487" i="2"/>
  <c r="W487" i="2" s="1"/>
  <c r="A487" i="2" s="1"/>
  <c r="V488" i="2"/>
  <c r="W488" i="2"/>
  <c r="V489" i="2"/>
  <c r="W489" i="2" s="1"/>
  <c r="A489" i="2" s="1"/>
  <c r="V490" i="2"/>
  <c r="W490" i="2" s="1"/>
  <c r="A490" i="2" s="1"/>
  <c r="V491" i="2"/>
  <c r="W491" i="2" s="1"/>
  <c r="A491" i="2" s="1"/>
  <c r="V492" i="2"/>
  <c r="W492" i="2"/>
  <c r="A492" i="2" s="1"/>
  <c r="V493" i="2"/>
  <c r="W493" i="2" s="1"/>
  <c r="A493" i="2" s="1"/>
  <c r="V494" i="2"/>
  <c r="W494" i="2" s="1"/>
  <c r="A494" i="2" s="1"/>
  <c r="V495" i="2"/>
  <c r="W495" i="2" s="1"/>
  <c r="A495" i="2" s="1"/>
  <c r="V496" i="2"/>
  <c r="W496" i="2"/>
  <c r="V497" i="2"/>
  <c r="W497" i="2" s="1"/>
  <c r="A497" i="2" s="1"/>
  <c r="V498" i="2"/>
  <c r="W498" i="2" s="1"/>
  <c r="A498" i="2" s="1"/>
  <c r="V499" i="2"/>
  <c r="W499" i="2" s="1"/>
  <c r="A499" i="2" s="1"/>
  <c r="V500" i="2"/>
  <c r="W500" i="2"/>
  <c r="A500" i="2" s="1"/>
  <c r="V501" i="2"/>
  <c r="W501" i="2" s="1"/>
  <c r="A501" i="2" s="1"/>
  <c r="V502" i="2"/>
  <c r="W502" i="2" s="1"/>
  <c r="A502" i="2" s="1"/>
  <c r="V503" i="2"/>
  <c r="W503" i="2" s="1"/>
  <c r="A503" i="2" s="1"/>
  <c r="V504" i="2"/>
  <c r="W504" i="2"/>
  <c r="V505" i="2"/>
  <c r="W505" i="2" s="1"/>
  <c r="A505" i="2" s="1"/>
  <c r="V506" i="2"/>
  <c r="W506" i="2" s="1"/>
  <c r="A506" i="2" s="1"/>
  <c r="V507" i="2"/>
  <c r="W507" i="2" s="1"/>
  <c r="A507" i="2" s="1"/>
  <c r="V508" i="2"/>
  <c r="W508" i="2"/>
  <c r="A508" i="2" s="1"/>
  <c r="V509" i="2"/>
  <c r="W509" i="2" s="1"/>
  <c r="A509" i="2" s="1"/>
  <c r="V510" i="2"/>
  <c r="W510" i="2" s="1"/>
  <c r="A510" i="2" s="1"/>
  <c r="V511" i="2"/>
  <c r="W511" i="2" s="1"/>
  <c r="A511" i="2" s="1"/>
  <c r="V512" i="2"/>
  <c r="W512" i="2"/>
  <c r="V513" i="2"/>
  <c r="W513" i="2" s="1"/>
  <c r="A513" i="2" s="1"/>
  <c r="V514" i="2"/>
  <c r="W514" i="2" s="1"/>
  <c r="A514" i="2" s="1"/>
  <c r="V515" i="2"/>
  <c r="W515" i="2" s="1"/>
  <c r="A515" i="2" s="1"/>
  <c r="V516" i="2"/>
  <c r="W516" i="2"/>
  <c r="A516" i="2" s="1"/>
  <c r="V517" i="2"/>
  <c r="W517" i="2" s="1"/>
  <c r="A517" i="2" s="1"/>
  <c r="V518" i="2"/>
  <c r="W518" i="2" s="1"/>
  <c r="A518" i="2" s="1"/>
  <c r="V519" i="2"/>
  <c r="W519" i="2" s="1"/>
  <c r="A519" i="2" s="1"/>
  <c r="V520" i="2"/>
  <c r="W520" i="2"/>
  <c r="V521" i="2"/>
  <c r="W521" i="2" s="1"/>
  <c r="A521" i="2" s="1"/>
  <c r="V522" i="2"/>
  <c r="W522" i="2" s="1"/>
  <c r="A522" i="2" s="1"/>
  <c r="V523" i="2"/>
  <c r="W523" i="2" s="1"/>
  <c r="A523" i="2" s="1"/>
  <c r="V524" i="2"/>
  <c r="W524" i="2"/>
  <c r="A524" i="2" s="1"/>
  <c r="V525" i="2"/>
  <c r="W525" i="2" s="1"/>
  <c r="A525" i="2" s="1"/>
  <c r="V526" i="2"/>
  <c r="W526" i="2" s="1"/>
  <c r="A526" i="2" s="1"/>
  <c r="V527" i="2"/>
  <c r="W527" i="2" s="1"/>
  <c r="A527" i="2" s="1"/>
  <c r="V528" i="2"/>
  <c r="W528" i="2"/>
  <c r="V529" i="2"/>
  <c r="W529" i="2" s="1"/>
  <c r="A529" i="2" s="1"/>
  <c r="V530" i="2"/>
  <c r="W530" i="2" s="1"/>
  <c r="A530" i="2" s="1"/>
  <c r="V531" i="2"/>
  <c r="W531" i="2" s="1"/>
  <c r="A531" i="2" s="1"/>
  <c r="V532" i="2"/>
  <c r="W532" i="2"/>
  <c r="A532" i="2" s="1"/>
  <c r="V533" i="2"/>
  <c r="W533" i="2" s="1"/>
  <c r="A533" i="2" s="1"/>
  <c r="V534" i="2"/>
  <c r="W534" i="2" s="1"/>
  <c r="A534" i="2" s="1"/>
  <c r="V535" i="2"/>
  <c r="W535" i="2" s="1"/>
  <c r="A535" i="2" s="1"/>
  <c r="V536" i="2"/>
  <c r="W536" i="2"/>
  <c r="V537" i="2"/>
  <c r="W537" i="2" s="1"/>
  <c r="A537" i="2" s="1"/>
  <c r="V538" i="2"/>
  <c r="W538" i="2" s="1"/>
  <c r="A538" i="2" s="1"/>
  <c r="V539" i="2"/>
  <c r="W539" i="2" s="1"/>
  <c r="A539" i="2" s="1"/>
  <c r="V540" i="2"/>
  <c r="W540" i="2"/>
  <c r="A540" i="2" s="1"/>
  <c r="V541" i="2"/>
  <c r="W541" i="2" s="1"/>
  <c r="A541" i="2" s="1"/>
  <c r="V542" i="2"/>
  <c r="W542" i="2" s="1"/>
  <c r="A542" i="2" s="1"/>
  <c r="V543" i="2"/>
  <c r="V544" i="2"/>
  <c r="V545" i="2"/>
  <c r="A545" i="2" s="1"/>
  <c r="V546" i="2"/>
  <c r="A546" i="2" s="1"/>
  <c r="V547" i="2"/>
  <c r="A547" i="2" s="1"/>
  <c r="V548" i="2"/>
  <c r="A548" i="2"/>
  <c r="V549" i="2"/>
  <c r="A549" i="2" s="1"/>
  <c r="V550" i="2"/>
  <c r="A550" i="2" s="1"/>
  <c r="V551" i="2"/>
  <c r="V552" i="2"/>
  <c r="V553" i="2"/>
  <c r="A553" i="2" s="1"/>
  <c r="V554" i="2"/>
  <c r="A554" i="2" s="1"/>
  <c r="V555" i="2"/>
  <c r="A555" i="2" s="1"/>
  <c r="V556" i="2"/>
  <c r="A556" i="2"/>
  <c r="V557" i="2"/>
  <c r="A557" i="2" s="1"/>
  <c r="V558" i="2"/>
  <c r="A558" i="2" s="1"/>
  <c r="V559" i="2"/>
  <c r="V560" i="2"/>
  <c r="V561" i="2"/>
  <c r="A561" i="2" s="1"/>
  <c r="V562" i="2"/>
  <c r="A562" i="2" s="1"/>
  <c r="V563" i="2"/>
  <c r="A563" i="2" s="1"/>
  <c r="V564" i="2"/>
  <c r="A564" i="2"/>
  <c r="V565" i="2"/>
  <c r="A565" i="2" s="1"/>
  <c r="V566" i="2"/>
  <c r="A566" i="2" s="1"/>
  <c r="V567" i="2"/>
  <c r="V568" i="2"/>
  <c r="A568" i="2"/>
  <c r="V569" i="2"/>
  <c r="A569" i="2" s="1"/>
  <c r="V570" i="2"/>
  <c r="A570" i="2" s="1"/>
  <c r="V571" i="2"/>
  <c r="A571" i="2" s="1"/>
  <c r="V572" i="2"/>
  <c r="A572" i="2"/>
  <c r="V472" i="2"/>
  <c r="W472" i="2" s="1"/>
  <c r="A472" i="2" s="1"/>
  <c r="W471" i="2"/>
  <c r="V471" i="2"/>
  <c r="A560" i="2"/>
  <c r="A552" i="2"/>
  <c r="A544" i="2"/>
  <c r="A536" i="2"/>
  <c r="A528" i="2"/>
  <c r="A520" i="2"/>
  <c r="A512" i="2"/>
  <c r="A504" i="2"/>
  <c r="A496" i="2"/>
  <c r="A488" i="2"/>
  <c r="A480" i="2"/>
  <c r="N137" i="1" l="1"/>
  <c r="T137" i="1"/>
  <c r="X158" i="1"/>
  <c r="T152" i="1"/>
  <c r="N146" i="1"/>
  <c r="U139" i="1"/>
  <c r="A551" i="2"/>
  <c r="A559" i="2"/>
  <c r="A567" i="2"/>
  <c r="A543" i="2"/>
  <c r="R111" i="1" s="1"/>
  <c r="U160" i="1" l="1"/>
  <c r="X143" i="1"/>
  <c r="U156" i="1"/>
  <c r="N144" i="1"/>
  <c r="Q163" i="1"/>
  <c r="R151" i="1"/>
  <c r="W160" i="1"/>
  <c r="U145" i="1"/>
  <c r="S158" i="1"/>
  <c r="Q152" i="1"/>
  <c r="O164" i="1"/>
  <c r="Q144" i="1"/>
  <c r="U150" i="1"/>
  <c r="R156" i="1"/>
  <c r="V142" i="1"/>
  <c r="O149" i="1"/>
  <c r="S155" i="1"/>
  <c r="W161" i="1"/>
  <c r="R140" i="1"/>
  <c r="V146" i="1"/>
  <c r="S140" i="1"/>
  <c r="W146" i="1"/>
  <c r="Q153" i="1"/>
  <c r="V159" i="1"/>
  <c r="V140" i="1"/>
  <c r="X153" i="1"/>
  <c r="P142" i="1"/>
  <c r="T148" i="1"/>
  <c r="X154" i="1"/>
  <c r="R161" i="1"/>
  <c r="O111" i="1"/>
  <c r="Q162" i="1"/>
  <c r="O137" i="1"/>
  <c r="V144" i="1"/>
  <c r="O151" i="1"/>
  <c r="S157" i="1"/>
  <c r="W163" i="1"/>
  <c r="O147" i="1"/>
  <c r="S152" i="1"/>
  <c r="T158" i="1"/>
  <c r="T150" i="1"/>
  <c r="T142" i="1"/>
  <c r="X163" i="1"/>
  <c r="N140" i="1"/>
  <c r="R146" i="1"/>
  <c r="X152" i="1"/>
  <c r="Q159" i="1"/>
  <c r="V153" i="1"/>
  <c r="Q138" i="1"/>
  <c r="N145" i="1"/>
  <c r="S151" i="1"/>
  <c r="U112" i="1"/>
  <c r="T143" i="1"/>
  <c r="X149" i="1"/>
  <c r="Q156" i="1"/>
  <c r="U162" i="1"/>
  <c r="P141" i="1"/>
  <c r="T147" i="1"/>
  <c r="R141" i="1"/>
  <c r="P111" i="1"/>
  <c r="Q150" i="1"/>
  <c r="N163" i="1"/>
  <c r="R159" i="1"/>
  <c r="R143" i="1"/>
  <c r="P139" i="1"/>
  <c r="O152" i="1"/>
  <c r="Q141" i="1"/>
  <c r="U147" i="1"/>
  <c r="N154" i="1"/>
  <c r="T160" i="1"/>
  <c r="Q146" i="1"/>
  <c r="U159" i="1"/>
  <c r="N143" i="1"/>
  <c r="R149" i="1"/>
  <c r="V155" i="1"/>
  <c r="O162" i="1"/>
  <c r="X139" i="1"/>
  <c r="U158" i="1"/>
  <c r="N139" i="1"/>
  <c r="S145" i="1"/>
  <c r="X151" i="1"/>
  <c r="Q158" i="1"/>
  <c r="X164" i="1"/>
  <c r="R150" i="1"/>
  <c r="N158" i="1"/>
  <c r="V157" i="1"/>
  <c r="V149" i="1"/>
  <c r="P143" i="1"/>
  <c r="N161" i="1"/>
  <c r="W140" i="1"/>
  <c r="P147" i="1"/>
  <c r="U153" i="1"/>
  <c r="O160" i="1"/>
  <c r="O156" i="1"/>
  <c r="Q139" i="1"/>
  <c r="V145" i="1"/>
  <c r="N153" i="1"/>
  <c r="N164" i="1"/>
  <c r="R144" i="1"/>
  <c r="V150" i="1"/>
  <c r="O157" i="1"/>
  <c r="S163" i="1"/>
  <c r="N142" i="1"/>
  <c r="R148" i="1"/>
  <c r="V147" i="1"/>
  <c r="R158" i="1"/>
  <c r="W154" i="1"/>
  <c r="Q111" i="1"/>
  <c r="T156" i="1"/>
  <c r="W142" i="1"/>
  <c r="U151" i="1"/>
  <c r="O154" i="1"/>
  <c r="O142" i="1"/>
  <c r="Q161" i="1"/>
  <c r="W143" i="1"/>
  <c r="X162" i="1"/>
  <c r="S164" i="1"/>
  <c r="P146" i="1"/>
  <c r="O159" i="1"/>
  <c r="T153" i="1"/>
  <c r="N157" i="1"/>
  <c r="T145" i="1"/>
  <c r="U141" i="1"/>
  <c r="R154" i="1"/>
  <c r="W157" i="1"/>
  <c r="S146" i="1"/>
  <c r="R138" i="1"/>
  <c r="T151" i="1"/>
  <c r="X157" i="1"/>
  <c r="T164" i="1"/>
  <c r="W138" i="1"/>
  <c r="X142" i="1"/>
  <c r="Q149" i="1"/>
  <c r="U155" i="1"/>
  <c r="N162" i="1"/>
  <c r="W152" i="1"/>
  <c r="P137" i="1"/>
  <c r="U144" i="1"/>
  <c r="N151" i="1"/>
  <c r="R157" i="1"/>
  <c r="V163" i="1"/>
  <c r="W144" i="1"/>
  <c r="P153" i="1"/>
  <c r="U140" i="1"/>
  <c r="N147" i="1"/>
  <c r="S153" i="1"/>
  <c r="X159" i="1"/>
  <c r="R139" i="1"/>
  <c r="V156" i="1"/>
  <c r="P164" i="1"/>
  <c r="P156" i="1"/>
  <c r="P148" i="1"/>
  <c r="X147" i="1"/>
  <c r="T155" i="1"/>
  <c r="S142" i="1"/>
  <c r="W148" i="1"/>
  <c r="P155" i="1"/>
  <c r="U161" i="1"/>
  <c r="V161" i="1"/>
  <c r="X140" i="1"/>
  <c r="Q147" i="1"/>
  <c r="Q155" i="1"/>
  <c r="S139" i="1"/>
  <c r="W145" i="1"/>
  <c r="R152" i="1"/>
  <c r="V158" i="1"/>
  <c r="T111" i="1"/>
  <c r="U143" i="1"/>
  <c r="P157" i="1"/>
  <c r="T138" i="1"/>
  <c r="S148" i="1"/>
  <c r="V148" i="1"/>
  <c r="P150" i="1"/>
  <c r="R142" i="1"/>
  <c r="W139" i="1"/>
  <c r="V152" i="1"/>
  <c r="N141" i="1"/>
  <c r="O136" i="1"/>
  <c r="N149" i="1"/>
  <c r="N150" i="1"/>
  <c r="N148" i="1"/>
  <c r="X160" i="1"/>
  <c r="O140" i="1"/>
  <c r="S154" i="1"/>
  <c r="O145" i="1"/>
  <c r="O138" i="1"/>
  <c r="V143" i="1"/>
  <c r="O150" i="1"/>
  <c r="S156" i="1"/>
  <c r="W162" i="1"/>
  <c r="X155" i="1"/>
  <c r="X138" i="1"/>
  <c r="R145" i="1"/>
  <c r="W151" i="1"/>
  <c r="P158" i="1"/>
  <c r="W164" i="1"/>
  <c r="T149" i="1"/>
  <c r="W158" i="1"/>
  <c r="S141" i="1"/>
  <c r="W147" i="1"/>
  <c r="P154" i="1"/>
  <c r="V160" i="1"/>
  <c r="S111" i="1"/>
  <c r="N160" i="1"/>
  <c r="R163" i="1"/>
  <c r="R155" i="1"/>
  <c r="R147" i="1"/>
  <c r="P151" i="1"/>
  <c r="W111" i="1"/>
  <c r="Q143" i="1"/>
  <c r="U149" i="1"/>
  <c r="N156" i="1"/>
  <c r="R162" i="1"/>
  <c r="W150" i="1"/>
  <c r="W141" i="1"/>
  <c r="O148" i="1"/>
  <c r="X156" i="1"/>
  <c r="Q140" i="1"/>
  <c r="U146" i="1"/>
  <c r="O153" i="1"/>
  <c r="T159" i="1"/>
  <c r="R137" i="1"/>
  <c r="S144" i="1"/>
  <c r="U164" i="1"/>
  <c r="V162" i="1"/>
  <c r="P161" i="1"/>
  <c r="S160" i="1"/>
  <c r="X161" i="1"/>
  <c r="T163" i="1"/>
  <c r="T144" i="1"/>
  <c r="Q157" i="1"/>
  <c r="U152" i="1"/>
  <c r="N152" i="1"/>
  <c r="Q142" i="1"/>
  <c r="S161" i="1"/>
  <c r="O163" i="1"/>
  <c r="T146" i="1"/>
  <c r="Q164" i="1"/>
  <c r="O144" i="1"/>
  <c r="S150" i="1"/>
  <c r="W156" i="1"/>
  <c r="P163" i="1"/>
  <c r="V154" i="1"/>
  <c r="U142" i="1"/>
  <c r="X148" i="1"/>
  <c r="Q160" i="1"/>
  <c r="O141" i="1"/>
  <c r="S147" i="1"/>
  <c r="W153" i="1"/>
  <c r="R160" i="1"/>
  <c r="S138" i="1"/>
  <c r="P145" i="1"/>
  <c r="N138" i="1"/>
  <c r="Q137" i="1"/>
  <c r="X150" i="1"/>
  <c r="U163" i="1"/>
  <c r="P159" i="1"/>
  <c r="V139" i="1"/>
  <c r="O146" i="1"/>
  <c r="N159" i="1"/>
  <c r="V141" i="1"/>
  <c r="U138" i="1"/>
  <c r="U148" i="1"/>
  <c r="N155" i="1"/>
  <c r="O139" i="1"/>
  <c r="T162" i="1"/>
  <c r="T154" i="1"/>
  <c r="Q154" i="1"/>
  <c r="V138" i="1"/>
  <c r="Q145" i="1"/>
  <c r="V151" i="1"/>
  <c r="O158" i="1"/>
  <c r="V164" i="1"/>
  <c r="T161" i="1"/>
  <c r="T140" i="1"/>
  <c r="X146" i="1"/>
  <c r="R153" i="1"/>
  <c r="W159" i="1"/>
  <c r="P140" i="1"/>
  <c r="O155" i="1"/>
  <c r="S118" i="1"/>
  <c r="O143" i="1"/>
  <c r="S149" i="1"/>
  <c r="W155" i="1"/>
  <c r="P162" i="1"/>
  <c r="T141" i="1"/>
  <c r="S159" i="1"/>
  <c r="P160" i="1"/>
  <c r="P152" i="1"/>
  <c r="P144" i="1"/>
  <c r="T157" i="1"/>
  <c r="P138" i="1"/>
  <c r="X144" i="1"/>
  <c r="Q151" i="1"/>
  <c r="U157" i="1"/>
  <c r="R164" i="1"/>
  <c r="V111" i="1"/>
  <c r="S143" i="1"/>
  <c r="W149" i="1"/>
  <c r="P149" i="1"/>
  <c r="X141" i="1"/>
  <c r="Q148" i="1"/>
  <c r="U154" i="1"/>
  <c r="O161" i="1"/>
  <c r="T139" i="1"/>
  <c r="X145" i="1"/>
  <c r="S162" i="1"/>
  <c r="V2" i="2" l="1"/>
  <c r="W2" i="2" s="1"/>
  <c r="U2" i="2"/>
  <c r="AF24" i="1" l="1"/>
  <c r="AF16" i="1"/>
  <c r="AH15" i="1"/>
  <c r="AG15" i="1"/>
  <c r="AF15" i="1"/>
  <c r="AE15" i="1"/>
  <c r="AH23" i="1"/>
  <c r="AG23" i="1"/>
  <c r="AF23" i="1"/>
  <c r="AE23" i="1"/>
  <c r="AF8" i="1"/>
  <c r="AH7" i="1"/>
  <c r="AG7" i="1"/>
  <c r="AE7" i="1"/>
  <c r="AF7" i="1"/>
  <c r="A57" i="1"/>
  <c r="B57" i="1"/>
  <c r="C57" i="1"/>
  <c r="D57" i="1"/>
  <c r="E57" i="1"/>
  <c r="F57" i="1"/>
  <c r="G57" i="1"/>
  <c r="H57" i="1"/>
  <c r="I57" i="1"/>
  <c r="J57" i="1"/>
  <c r="K57" i="1"/>
  <c r="A58" i="1"/>
  <c r="B58" i="1"/>
  <c r="C58" i="1"/>
  <c r="D58" i="1"/>
  <c r="E58" i="1"/>
  <c r="F58" i="1"/>
  <c r="G58" i="1"/>
  <c r="H58" i="1"/>
  <c r="I58" i="1"/>
  <c r="J58" i="1"/>
  <c r="K58" i="1"/>
  <c r="A59" i="1"/>
  <c r="B59" i="1"/>
  <c r="C59" i="1"/>
  <c r="D59" i="1"/>
  <c r="E59" i="1"/>
  <c r="F59" i="1"/>
  <c r="G59" i="1"/>
  <c r="H59" i="1"/>
  <c r="I59" i="1"/>
  <c r="J59" i="1"/>
  <c r="K59" i="1"/>
  <c r="A60" i="1"/>
  <c r="B60" i="1"/>
  <c r="C60" i="1"/>
  <c r="D60" i="1"/>
  <c r="E60" i="1"/>
  <c r="F60" i="1"/>
  <c r="G60" i="1"/>
  <c r="H60" i="1"/>
  <c r="I60" i="1"/>
  <c r="J60" i="1"/>
  <c r="K60" i="1"/>
  <c r="A61" i="1"/>
  <c r="B61" i="1"/>
  <c r="C61" i="1"/>
  <c r="D61" i="1"/>
  <c r="E61" i="1"/>
  <c r="F61" i="1"/>
  <c r="G61" i="1"/>
  <c r="H61" i="1"/>
  <c r="I61" i="1"/>
  <c r="J61" i="1"/>
  <c r="K61" i="1"/>
  <c r="A62" i="1"/>
  <c r="B62" i="1"/>
  <c r="C62" i="1"/>
  <c r="D62" i="1"/>
  <c r="E62" i="1"/>
  <c r="F62" i="1"/>
  <c r="G62" i="1"/>
  <c r="H62" i="1"/>
  <c r="I62" i="1"/>
  <c r="J62" i="1"/>
  <c r="K62" i="1"/>
  <c r="A63" i="1"/>
  <c r="B63" i="1"/>
  <c r="C63" i="1"/>
  <c r="D63" i="1"/>
  <c r="E63" i="1"/>
  <c r="F63" i="1"/>
  <c r="G63" i="1"/>
  <c r="H63" i="1"/>
  <c r="I63" i="1"/>
  <c r="J63" i="1"/>
  <c r="K63" i="1"/>
  <c r="A64" i="1"/>
  <c r="B64" i="1"/>
  <c r="C64" i="1"/>
  <c r="D64" i="1"/>
  <c r="E64" i="1"/>
  <c r="F64" i="1"/>
  <c r="G64" i="1"/>
  <c r="H64" i="1"/>
  <c r="I64" i="1"/>
  <c r="J64" i="1"/>
  <c r="K64" i="1"/>
  <c r="A65" i="1"/>
  <c r="B65" i="1"/>
  <c r="C65" i="1"/>
  <c r="D65" i="1"/>
  <c r="E65" i="1"/>
  <c r="F65" i="1"/>
  <c r="G65" i="1"/>
  <c r="H65" i="1"/>
  <c r="I65" i="1"/>
  <c r="J65" i="1"/>
  <c r="K65" i="1"/>
  <c r="A66" i="1"/>
  <c r="B66" i="1"/>
  <c r="C66" i="1"/>
  <c r="D66" i="1"/>
  <c r="E66" i="1"/>
  <c r="F66" i="1"/>
  <c r="G66" i="1"/>
  <c r="H66" i="1"/>
  <c r="I66" i="1"/>
  <c r="J66" i="1"/>
  <c r="K66" i="1"/>
  <c r="A67" i="1"/>
  <c r="B67" i="1"/>
  <c r="C67" i="1"/>
  <c r="D67" i="1"/>
  <c r="E67" i="1"/>
  <c r="F67" i="1"/>
  <c r="G67" i="1"/>
  <c r="H67" i="1"/>
  <c r="I67" i="1"/>
  <c r="J67" i="1"/>
  <c r="K67" i="1"/>
  <c r="A68" i="1"/>
  <c r="B68" i="1"/>
  <c r="C68" i="1"/>
  <c r="D68" i="1"/>
  <c r="E68" i="1"/>
  <c r="F68" i="1"/>
  <c r="G68" i="1"/>
  <c r="H68" i="1"/>
  <c r="I68" i="1"/>
  <c r="J68" i="1"/>
  <c r="K68" i="1"/>
  <c r="A69" i="1"/>
  <c r="B69" i="1"/>
  <c r="C69" i="1"/>
  <c r="D69" i="1"/>
  <c r="E69" i="1"/>
  <c r="F69" i="1"/>
  <c r="G69" i="1"/>
  <c r="H69" i="1"/>
  <c r="I69" i="1"/>
  <c r="J69" i="1"/>
  <c r="K69" i="1"/>
  <c r="A70" i="1"/>
  <c r="B70" i="1"/>
  <c r="C70" i="1"/>
  <c r="D70" i="1"/>
  <c r="E70" i="1"/>
  <c r="F70" i="1"/>
  <c r="G70" i="1"/>
  <c r="H70" i="1"/>
  <c r="I70" i="1"/>
  <c r="J70" i="1"/>
  <c r="K70" i="1"/>
  <c r="A71" i="1"/>
  <c r="B71" i="1"/>
  <c r="C71" i="1"/>
  <c r="D71" i="1"/>
  <c r="E71" i="1"/>
  <c r="F71" i="1"/>
  <c r="G71" i="1"/>
  <c r="H71" i="1"/>
  <c r="I71" i="1"/>
  <c r="J71" i="1"/>
  <c r="K71" i="1"/>
  <c r="A72" i="1"/>
  <c r="B72" i="1"/>
  <c r="C72" i="1"/>
  <c r="D72" i="1"/>
  <c r="E72" i="1"/>
  <c r="F72" i="1"/>
  <c r="G72" i="1"/>
  <c r="H72" i="1"/>
  <c r="I72" i="1"/>
  <c r="J72" i="1"/>
  <c r="K72" i="1"/>
  <c r="A73" i="1"/>
  <c r="B73" i="1"/>
  <c r="C73" i="1"/>
  <c r="D73" i="1"/>
  <c r="E73" i="1"/>
  <c r="F73" i="1"/>
  <c r="G73" i="1"/>
  <c r="H73" i="1"/>
  <c r="I73" i="1"/>
  <c r="J73" i="1"/>
  <c r="K73" i="1"/>
  <c r="A74" i="1"/>
  <c r="B74" i="1"/>
  <c r="C74" i="1"/>
  <c r="D74" i="1"/>
  <c r="E74" i="1"/>
  <c r="F74" i="1"/>
  <c r="G74" i="1"/>
  <c r="H74" i="1"/>
  <c r="I74" i="1"/>
  <c r="J74" i="1"/>
  <c r="K74" i="1"/>
  <c r="A75" i="1"/>
  <c r="B75" i="1"/>
  <c r="C75" i="1"/>
  <c r="D75" i="1"/>
  <c r="E75" i="1"/>
  <c r="F75" i="1"/>
  <c r="G75" i="1"/>
  <c r="H75" i="1"/>
  <c r="I75" i="1"/>
  <c r="J75" i="1"/>
  <c r="K75" i="1"/>
  <c r="A76" i="1"/>
  <c r="B76" i="1"/>
  <c r="C76" i="1"/>
  <c r="D76" i="1"/>
  <c r="E76" i="1"/>
  <c r="F76" i="1"/>
  <c r="G76" i="1"/>
  <c r="H76" i="1"/>
  <c r="I76" i="1"/>
  <c r="J76" i="1"/>
  <c r="K76" i="1"/>
  <c r="A77" i="1"/>
  <c r="B77" i="1"/>
  <c r="C77" i="1"/>
  <c r="D77" i="1"/>
  <c r="E77" i="1"/>
  <c r="F77" i="1"/>
  <c r="G77" i="1"/>
  <c r="H77" i="1"/>
  <c r="I77" i="1"/>
  <c r="J77" i="1"/>
  <c r="K77" i="1"/>
  <c r="A78" i="1"/>
  <c r="B78" i="1"/>
  <c r="C78" i="1"/>
  <c r="D78" i="1"/>
  <c r="E78" i="1"/>
  <c r="F78" i="1"/>
  <c r="G78" i="1"/>
  <c r="H78" i="1"/>
  <c r="I78" i="1"/>
  <c r="J78" i="1"/>
  <c r="K78" i="1"/>
  <c r="A79" i="1"/>
  <c r="B79" i="1"/>
  <c r="C79" i="1"/>
  <c r="D79" i="1"/>
  <c r="E79" i="1"/>
  <c r="F79" i="1"/>
  <c r="G79" i="1"/>
  <c r="H79" i="1"/>
  <c r="I79" i="1"/>
  <c r="J79" i="1"/>
  <c r="K79" i="1"/>
  <c r="A80" i="1"/>
  <c r="B80" i="1"/>
  <c r="C80" i="1"/>
  <c r="D80" i="1"/>
  <c r="E80" i="1"/>
  <c r="F80" i="1"/>
  <c r="G80" i="1"/>
  <c r="H80" i="1"/>
  <c r="I80" i="1"/>
  <c r="J80" i="1"/>
  <c r="K80" i="1"/>
  <c r="A81" i="1"/>
  <c r="B81" i="1"/>
  <c r="C81" i="1"/>
  <c r="D81" i="1"/>
  <c r="E81" i="1"/>
  <c r="F81" i="1"/>
  <c r="G81" i="1"/>
  <c r="H81" i="1"/>
  <c r="I81" i="1"/>
  <c r="J81" i="1"/>
  <c r="K81" i="1"/>
  <c r="A82" i="1"/>
  <c r="B82" i="1"/>
  <c r="C82" i="1"/>
  <c r="D82" i="1"/>
  <c r="E82" i="1"/>
  <c r="F82" i="1"/>
  <c r="G82" i="1"/>
  <c r="H82" i="1"/>
  <c r="I82" i="1"/>
  <c r="J82" i="1"/>
  <c r="K82" i="1"/>
  <c r="A83" i="1"/>
  <c r="B83" i="1"/>
  <c r="C83" i="1"/>
  <c r="D83" i="1"/>
  <c r="E83" i="1"/>
  <c r="F83" i="1"/>
  <c r="G83" i="1"/>
  <c r="H83" i="1"/>
  <c r="I83" i="1"/>
  <c r="J83" i="1"/>
  <c r="K83" i="1"/>
  <c r="A84" i="1"/>
  <c r="B84" i="1"/>
  <c r="C84" i="1"/>
  <c r="D84" i="1"/>
  <c r="E84" i="1"/>
  <c r="F84" i="1"/>
  <c r="G84" i="1"/>
  <c r="H84" i="1"/>
  <c r="I84" i="1"/>
  <c r="J84" i="1"/>
  <c r="K84" i="1"/>
  <c r="A85" i="1"/>
  <c r="B85" i="1"/>
  <c r="C85" i="1"/>
  <c r="D85" i="1"/>
  <c r="E85" i="1"/>
  <c r="F85" i="1"/>
  <c r="G85" i="1"/>
  <c r="H85" i="1"/>
  <c r="I85" i="1"/>
  <c r="J85" i="1"/>
  <c r="K85" i="1"/>
  <c r="A86" i="1"/>
  <c r="B86" i="1"/>
  <c r="C86" i="1"/>
  <c r="D86" i="1"/>
  <c r="E86" i="1"/>
  <c r="F86" i="1"/>
  <c r="G86" i="1"/>
  <c r="H86" i="1"/>
  <c r="I86" i="1"/>
  <c r="J86" i="1"/>
  <c r="K86" i="1"/>
  <c r="A87" i="1"/>
  <c r="B87" i="1"/>
  <c r="C87" i="1"/>
  <c r="D87" i="1"/>
  <c r="E87" i="1"/>
  <c r="F87" i="1"/>
  <c r="G87" i="1"/>
  <c r="H87" i="1"/>
  <c r="I87" i="1"/>
  <c r="J87" i="1"/>
  <c r="K87" i="1"/>
  <c r="A88" i="1"/>
  <c r="B88" i="1"/>
  <c r="C88" i="1"/>
  <c r="D88" i="1"/>
  <c r="E88" i="1"/>
  <c r="F88" i="1"/>
  <c r="G88" i="1"/>
  <c r="H88" i="1"/>
  <c r="I88" i="1"/>
  <c r="J88" i="1"/>
  <c r="K88" i="1"/>
  <c r="A89" i="1"/>
  <c r="B89" i="1"/>
  <c r="C89" i="1"/>
  <c r="D89" i="1"/>
  <c r="E89" i="1"/>
  <c r="F89" i="1"/>
  <c r="G89" i="1"/>
  <c r="H89" i="1"/>
  <c r="I89" i="1"/>
  <c r="J89" i="1"/>
  <c r="K89" i="1"/>
  <c r="A90" i="1"/>
  <c r="B90" i="1"/>
  <c r="C90" i="1"/>
  <c r="D90" i="1"/>
  <c r="E90" i="1"/>
  <c r="F90" i="1"/>
  <c r="G90" i="1"/>
  <c r="H90" i="1"/>
  <c r="I90" i="1"/>
  <c r="J90" i="1"/>
  <c r="K90" i="1"/>
  <c r="A91" i="1"/>
  <c r="B91" i="1"/>
  <c r="C91" i="1"/>
  <c r="D91" i="1"/>
  <c r="E91" i="1"/>
  <c r="F91" i="1"/>
  <c r="G91" i="1"/>
  <c r="H91" i="1"/>
  <c r="I91" i="1"/>
  <c r="J91" i="1"/>
  <c r="K91" i="1"/>
  <c r="A92" i="1"/>
  <c r="B92" i="1"/>
  <c r="C92" i="1"/>
  <c r="D92" i="1"/>
  <c r="E92" i="1"/>
  <c r="F92" i="1"/>
  <c r="G92" i="1"/>
  <c r="H92" i="1"/>
  <c r="I92" i="1"/>
  <c r="J92" i="1"/>
  <c r="K92" i="1"/>
  <c r="A93" i="1"/>
  <c r="B93" i="1"/>
  <c r="C93" i="1"/>
  <c r="D93" i="1"/>
  <c r="E93" i="1"/>
  <c r="F93" i="1"/>
  <c r="G93" i="1"/>
  <c r="H93" i="1"/>
  <c r="I93" i="1"/>
  <c r="J93" i="1"/>
  <c r="K93" i="1"/>
  <c r="A94" i="1"/>
  <c r="B94" i="1"/>
  <c r="C94" i="1"/>
  <c r="D94" i="1"/>
  <c r="E94" i="1"/>
  <c r="F94" i="1"/>
  <c r="G94" i="1"/>
  <c r="H94" i="1"/>
  <c r="I94" i="1"/>
  <c r="J94" i="1"/>
  <c r="K94" i="1"/>
  <c r="A95" i="1"/>
  <c r="B95" i="1"/>
  <c r="C95" i="1"/>
  <c r="D95" i="1"/>
  <c r="E95" i="1"/>
  <c r="F95" i="1"/>
  <c r="G95" i="1"/>
  <c r="H95" i="1"/>
  <c r="I95" i="1"/>
  <c r="J95" i="1"/>
  <c r="K95" i="1"/>
  <c r="A96" i="1"/>
  <c r="B96" i="1"/>
  <c r="C96" i="1"/>
  <c r="D96" i="1"/>
  <c r="E96" i="1"/>
  <c r="F96" i="1"/>
  <c r="G96" i="1"/>
  <c r="H96" i="1"/>
  <c r="I96" i="1"/>
  <c r="J96" i="1"/>
  <c r="K96" i="1"/>
  <c r="A97" i="1"/>
  <c r="B97" i="1"/>
  <c r="C97" i="1"/>
  <c r="D97" i="1"/>
  <c r="E97" i="1"/>
  <c r="F97" i="1"/>
  <c r="G97" i="1"/>
  <c r="H97" i="1"/>
  <c r="I97" i="1"/>
  <c r="J97" i="1"/>
  <c r="K97" i="1"/>
  <c r="A98" i="1"/>
  <c r="B98" i="1"/>
  <c r="C98" i="1"/>
  <c r="D98" i="1"/>
  <c r="E98" i="1"/>
  <c r="F98" i="1"/>
  <c r="G98" i="1"/>
  <c r="H98" i="1"/>
  <c r="I98" i="1"/>
  <c r="J98" i="1"/>
  <c r="K98" i="1"/>
  <c r="A99" i="1"/>
  <c r="B99" i="1"/>
  <c r="C99" i="1"/>
  <c r="D99" i="1"/>
  <c r="E99" i="1"/>
  <c r="F99" i="1"/>
  <c r="G99" i="1"/>
  <c r="H99" i="1"/>
  <c r="I99" i="1"/>
  <c r="J99" i="1"/>
  <c r="K99" i="1"/>
  <c r="A100" i="1"/>
  <c r="B100" i="1"/>
  <c r="C100" i="1"/>
  <c r="D100" i="1"/>
  <c r="E100" i="1"/>
  <c r="F100" i="1"/>
  <c r="G100" i="1"/>
  <c r="H100" i="1"/>
  <c r="I100" i="1"/>
  <c r="J100" i="1"/>
  <c r="K100" i="1"/>
  <c r="A101" i="1"/>
  <c r="B101" i="1"/>
  <c r="C101" i="1"/>
  <c r="D101" i="1"/>
  <c r="E101" i="1"/>
  <c r="F101" i="1"/>
  <c r="G101" i="1"/>
  <c r="H101" i="1"/>
  <c r="I101" i="1"/>
  <c r="J101" i="1"/>
  <c r="K101" i="1"/>
  <c r="A102" i="1"/>
  <c r="B102" i="1"/>
  <c r="C102" i="1"/>
  <c r="D102" i="1"/>
  <c r="E102" i="1"/>
  <c r="F102" i="1"/>
  <c r="G102" i="1"/>
  <c r="H102" i="1"/>
  <c r="I102" i="1"/>
  <c r="J102" i="1"/>
  <c r="K102" i="1"/>
  <c r="A103" i="1"/>
  <c r="B103" i="1"/>
  <c r="C103" i="1"/>
  <c r="D103" i="1"/>
  <c r="E103" i="1"/>
  <c r="F103" i="1"/>
  <c r="G103" i="1"/>
  <c r="H103" i="1"/>
  <c r="I103" i="1"/>
  <c r="J103" i="1"/>
  <c r="K103" i="1"/>
  <c r="A104" i="1"/>
  <c r="B104" i="1"/>
  <c r="C104" i="1"/>
  <c r="D104" i="1"/>
  <c r="E104" i="1"/>
  <c r="F104" i="1"/>
  <c r="G104" i="1"/>
  <c r="H104" i="1"/>
  <c r="I104" i="1"/>
  <c r="J104" i="1"/>
  <c r="K104" i="1"/>
  <c r="A105" i="1"/>
  <c r="B105" i="1"/>
  <c r="C105" i="1"/>
  <c r="D105" i="1"/>
  <c r="E105" i="1"/>
  <c r="F105" i="1"/>
  <c r="G105" i="1"/>
  <c r="H105" i="1"/>
  <c r="I105" i="1"/>
  <c r="J105" i="1"/>
  <c r="K105" i="1"/>
  <c r="A106" i="1"/>
  <c r="B106" i="1"/>
  <c r="C106" i="1"/>
  <c r="D106" i="1"/>
  <c r="E106" i="1"/>
  <c r="F106" i="1"/>
  <c r="G106" i="1"/>
  <c r="H106" i="1"/>
  <c r="I106" i="1"/>
  <c r="J106" i="1"/>
  <c r="K106" i="1"/>
  <c r="A107" i="1"/>
  <c r="B107" i="1"/>
  <c r="C107" i="1"/>
  <c r="D107" i="1"/>
  <c r="E107" i="1"/>
  <c r="F107" i="1"/>
  <c r="G107" i="1"/>
  <c r="H107" i="1"/>
  <c r="I107" i="1"/>
  <c r="J107" i="1"/>
  <c r="K107" i="1"/>
  <c r="A108" i="1"/>
  <c r="B108" i="1"/>
  <c r="C108" i="1"/>
  <c r="D108" i="1"/>
  <c r="E108" i="1"/>
  <c r="F108" i="1"/>
  <c r="G108" i="1"/>
  <c r="H108" i="1"/>
  <c r="I108" i="1"/>
  <c r="J108" i="1"/>
  <c r="K108" i="1"/>
  <c r="A109" i="1"/>
  <c r="B109" i="1"/>
  <c r="C109" i="1"/>
  <c r="D109" i="1"/>
  <c r="E109" i="1"/>
  <c r="F109" i="1"/>
  <c r="G109" i="1"/>
  <c r="H109" i="1"/>
  <c r="I109" i="1"/>
  <c r="J109" i="1"/>
  <c r="K109" i="1"/>
  <c r="A110" i="1"/>
  <c r="B110" i="1"/>
  <c r="C110" i="1"/>
  <c r="D110" i="1"/>
  <c r="E110" i="1"/>
  <c r="F110" i="1"/>
  <c r="G110" i="1"/>
  <c r="H110" i="1"/>
  <c r="I110" i="1"/>
  <c r="J110" i="1"/>
  <c r="K110" i="1"/>
  <c r="A111" i="1"/>
  <c r="B111" i="1"/>
  <c r="C111" i="1"/>
  <c r="D111" i="1"/>
  <c r="E111" i="1"/>
  <c r="F111" i="1"/>
  <c r="G111" i="1"/>
  <c r="H111" i="1"/>
  <c r="I111" i="1"/>
  <c r="J111" i="1"/>
  <c r="K111" i="1"/>
  <c r="A112" i="1"/>
  <c r="B112" i="1"/>
  <c r="C112" i="1"/>
  <c r="D112" i="1"/>
  <c r="E112" i="1"/>
  <c r="F112" i="1"/>
  <c r="G112" i="1"/>
  <c r="H112" i="1"/>
  <c r="I112" i="1"/>
  <c r="J112" i="1"/>
  <c r="K112" i="1"/>
  <c r="A113" i="1"/>
  <c r="B113" i="1"/>
  <c r="C113" i="1"/>
  <c r="D113" i="1"/>
  <c r="E113" i="1"/>
  <c r="F113" i="1"/>
  <c r="G113" i="1"/>
  <c r="H113" i="1"/>
  <c r="I113" i="1"/>
  <c r="J113" i="1"/>
  <c r="K113" i="1"/>
  <c r="A114" i="1"/>
  <c r="B114" i="1"/>
  <c r="C114" i="1"/>
  <c r="D114" i="1"/>
  <c r="E114" i="1"/>
  <c r="F114" i="1"/>
  <c r="G114" i="1"/>
  <c r="H114" i="1"/>
  <c r="I114" i="1"/>
  <c r="J114" i="1"/>
  <c r="K114" i="1"/>
  <c r="A115" i="1"/>
  <c r="B115" i="1"/>
  <c r="C115" i="1"/>
  <c r="D115" i="1"/>
  <c r="E115" i="1"/>
  <c r="F115" i="1"/>
  <c r="G115" i="1"/>
  <c r="H115" i="1"/>
  <c r="I115" i="1"/>
  <c r="J115" i="1"/>
  <c r="K115" i="1"/>
  <c r="A116" i="1"/>
  <c r="B116" i="1"/>
  <c r="C116" i="1"/>
  <c r="D116" i="1"/>
  <c r="E116" i="1"/>
  <c r="F116" i="1"/>
  <c r="G116" i="1"/>
  <c r="H116" i="1"/>
  <c r="I116" i="1"/>
  <c r="J116" i="1"/>
  <c r="K116" i="1"/>
  <c r="A117" i="1"/>
  <c r="B117" i="1"/>
  <c r="C117" i="1"/>
  <c r="D117" i="1"/>
  <c r="E117" i="1"/>
  <c r="F117" i="1"/>
  <c r="G117" i="1"/>
  <c r="H117" i="1"/>
  <c r="I117" i="1"/>
  <c r="J117" i="1"/>
  <c r="K117" i="1"/>
  <c r="A118" i="1"/>
  <c r="B118" i="1"/>
  <c r="C118" i="1"/>
  <c r="D118" i="1"/>
  <c r="E118" i="1"/>
  <c r="F118" i="1"/>
  <c r="G118" i="1"/>
  <c r="H118" i="1"/>
  <c r="I118" i="1"/>
  <c r="J118" i="1"/>
  <c r="K118" i="1"/>
  <c r="A119" i="1"/>
  <c r="B119" i="1"/>
  <c r="C119" i="1"/>
  <c r="D119" i="1"/>
  <c r="E119" i="1"/>
  <c r="F119" i="1"/>
  <c r="G119" i="1"/>
  <c r="H119" i="1"/>
  <c r="I119" i="1"/>
  <c r="J119" i="1"/>
  <c r="K119" i="1"/>
  <c r="A120" i="1"/>
  <c r="B120" i="1"/>
  <c r="C120" i="1"/>
  <c r="D120" i="1"/>
  <c r="E120" i="1"/>
  <c r="F120" i="1"/>
  <c r="G120" i="1"/>
  <c r="H120" i="1"/>
  <c r="I120" i="1"/>
  <c r="J120" i="1"/>
  <c r="K120" i="1"/>
  <c r="A121" i="1"/>
  <c r="B121" i="1"/>
  <c r="C121" i="1"/>
  <c r="D121" i="1"/>
  <c r="E121" i="1"/>
  <c r="F121" i="1"/>
  <c r="G121" i="1"/>
  <c r="H121" i="1"/>
  <c r="I121" i="1"/>
  <c r="J121" i="1"/>
  <c r="K121" i="1"/>
  <c r="A122" i="1"/>
  <c r="B122" i="1"/>
  <c r="C122" i="1"/>
  <c r="D122" i="1"/>
  <c r="E122" i="1"/>
  <c r="F122" i="1"/>
  <c r="G122" i="1"/>
  <c r="H122" i="1"/>
  <c r="I122" i="1"/>
  <c r="J122" i="1"/>
  <c r="K122" i="1"/>
  <c r="A123" i="1"/>
  <c r="B123" i="1"/>
  <c r="C123" i="1"/>
  <c r="D123" i="1"/>
  <c r="E123" i="1"/>
  <c r="F123" i="1"/>
  <c r="G123" i="1"/>
  <c r="H123" i="1"/>
  <c r="I123" i="1"/>
  <c r="J123" i="1"/>
  <c r="K123" i="1"/>
  <c r="A124" i="1"/>
  <c r="B124" i="1"/>
  <c r="C124" i="1"/>
  <c r="D124" i="1"/>
  <c r="E124" i="1"/>
  <c r="F124" i="1"/>
  <c r="G124" i="1"/>
  <c r="H124" i="1"/>
  <c r="I124" i="1"/>
  <c r="J124" i="1"/>
  <c r="K124" i="1"/>
  <c r="A125" i="1"/>
  <c r="B125" i="1"/>
  <c r="C125" i="1"/>
  <c r="D125" i="1"/>
  <c r="E125" i="1"/>
  <c r="F125" i="1"/>
  <c r="G125" i="1"/>
  <c r="H125" i="1"/>
  <c r="I125" i="1"/>
  <c r="J125" i="1"/>
  <c r="K125" i="1"/>
  <c r="A126" i="1"/>
  <c r="B126" i="1"/>
  <c r="C126" i="1"/>
  <c r="D126" i="1"/>
  <c r="E126" i="1"/>
  <c r="F126" i="1"/>
  <c r="G126" i="1"/>
  <c r="H126" i="1"/>
  <c r="I126" i="1"/>
  <c r="J126" i="1"/>
  <c r="K126" i="1"/>
  <c r="A127" i="1"/>
  <c r="B127" i="1"/>
  <c r="C127" i="1"/>
  <c r="D127" i="1"/>
  <c r="E127" i="1"/>
  <c r="F127" i="1"/>
  <c r="G127" i="1"/>
  <c r="H127" i="1"/>
  <c r="I127" i="1"/>
  <c r="J127" i="1"/>
  <c r="K127" i="1"/>
  <c r="A128" i="1"/>
  <c r="B128" i="1"/>
  <c r="C128" i="1"/>
  <c r="D128" i="1"/>
  <c r="E128" i="1"/>
  <c r="F128" i="1"/>
  <c r="G128" i="1"/>
  <c r="H128" i="1"/>
  <c r="I128" i="1"/>
  <c r="J128" i="1"/>
  <c r="K128" i="1"/>
  <c r="A129" i="1"/>
  <c r="B129" i="1"/>
  <c r="C129" i="1"/>
  <c r="D129" i="1"/>
  <c r="E129" i="1"/>
  <c r="F129" i="1"/>
  <c r="G129" i="1"/>
  <c r="H129" i="1"/>
  <c r="I129" i="1"/>
  <c r="J129" i="1"/>
  <c r="K129" i="1"/>
  <c r="A130" i="1"/>
  <c r="B130" i="1"/>
  <c r="C130" i="1"/>
  <c r="D130" i="1"/>
  <c r="E130" i="1"/>
  <c r="F130" i="1"/>
  <c r="G130" i="1"/>
  <c r="H130" i="1"/>
  <c r="I130" i="1"/>
  <c r="J130" i="1"/>
  <c r="K130" i="1"/>
  <c r="A131" i="1"/>
  <c r="B131" i="1"/>
  <c r="C131" i="1"/>
  <c r="D131" i="1"/>
  <c r="E131" i="1"/>
  <c r="F131" i="1"/>
  <c r="G131" i="1"/>
  <c r="H131" i="1"/>
  <c r="I131" i="1"/>
  <c r="J131" i="1"/>
  <c r="K131" i="1"/>
  <c r="A132" i="1"/>
  <c r="B132" i="1"/>
  <c r="C132" i="1"/>
  <c r="D132" i="1"/>
  <c r="E132" i="1"/>
  <c r="F132" i="1"/>
  <c r="G132" i="1"/>
  <c r="H132" i="1"/>
  <c r="I132" i="1"/>
  <c r="J132" i="1"/>
  <c r="K132" i="1"/>
  <c r="A133" i="1"/>
  <c r="B133" i="1"/>
  <c r="C133" i="1"/>
  <c r="D133" i="1"/>
  <c r="E133" i="1"/>
  <c r="F133" i="1"/>
  <c r="G133" i="1"/>
  <c r="H133" i="1"/>
  <c r="I133" i="1"/>
  <c r="J133" i="1"/>
  <c r="K133" i="1"/>
  <c r="A134" i="1"/>
  <c r="B134" i="1"/>
  <c r="C134" i="1"/>
  <c r="D134" i="1"/>
  <c r="E134" i="1"/>
  <c r="F134" i="1"/>
  <c r="G134" i="1"/>
  <c r="H134" i="1"/>
  <c r="I134" i="1"/>
  <c r="J134" i="1"/>
  <c r="K134" i="1"/>
  <c r="A135" i="1"/>
  <c r="B135" i="1"/>
  <c r="C135" i="1"/>
  <c r="D135" i="1"/>
  <c r="E135" i="1"/>
  <c r="F135" i="1"/>
  <c r="G135" i="1"/>
  <c r="H135" i="1"/>
  <c r="I135" i="1"/>
  <c r="J135" i="1"/>
  <c r="K135" i="1"/>
  <c r="A136" i="1"/>
  <c r="B136" i="1"/>
  <c r="C136" i="1"/>
  <c r="D136" i="1"/>
  <c r="E136" i="1"/>
  <c r="F136" i="1"/>
  <c r="G136" i="1"/>
  <c r="H136" i="1"/>
  <c r="I136" i="1"/>
  <c r="J136" i="1"/>
  <c r="K136" i="1"/>
  <c r="A137" i="1"/>
  <c r="B137" i="1"/>
  <c r="C137" i="1"/>
  <c r="D137" i="1"/>
  <c r="E137" i="1"/>
  <c r="F137" i="1"/>
  <c r="G137" i="1"/>
  <c r="H137" i="1"/>
  <c r="I137" i="1"/>
  <c r="J137" i="1"/>
  <c r="A4" i="1"/>
  <c r="B4" i="1"/>
  <c r="C4" i="1"/>
  <c r="D4" i="1"/>
  <c r="E4" i="1"/>
  <c r="F4" i="1"/>
  <c r="G4" i="1"/>
  <c r="H4" i="1"/>
  <c r="I4" i="1"/>
  <c r="J4" i="1"/>
  <c r="K4" i="1"/>
  <c r="A5" i="1"/>
  <c r="B5" i="1"/>
  <c r="C5" i="1"/>
  <c r="D5" i="1"/>
  <c r="E5" i="1"/>
  <c r="F5" i="1"/>
  <c r="G5" i="1"/>
  <c r="H5" i="1"/>
  <c r="I5" i="1"/>
  <c r="J5" i="1"/>
  <c r="K5" i="1"/>
  <c r="A6" i="1"/>
  <c r="B6" i="1"/>
  <c r="C6" i="1"/>
  <c r="D6" i="1"/>
  <c r="E6" i="1"/>
  <c r="F6" i="1"/>
  <c r="G6" i="1"/>
  <c r="H6" i="1"/>
  <c r="I6" i="1"/>
  <c r="J6" i="1"/>
  <c r="K6" i="1"/>
  <c r="A7" i="1"/>
  <c r="B7" i="1"/>
  <c r="C7" i="1"/>
  <c r="D7" i="1"/>
  <c r="E7" i="1"/>
  <c r="F7" i="1"/>
  <c r="G7" i="1"/>
  <c r="H7" i="1"/>
  <c r="I7" i="1"/>
  <c r="J7" i="1"/>
  <c r="K7" i="1"/>
  <c r="A8" i="1"/>
  <c r="B8" i="1"/>
  <c r="C8" i="1"/>
  <c r="D8" i="1"/>
  <c r="E8" i="1"/>
  <c r="F8" i="1"/>
  <c r="G8" i="1"/>
  <c r="H8" i="1"/>
  <c r="I8" i="1"/>
  <c r="J8" i="1"/>
  <c r="K8" i="1"/>
  <c r="A9" i="1"/>
  <c r="B9" i="1"/>
  <c r="C9" i="1"/>
  <c r="D9" i="1"/>
  <c r="E9" i="1"/>
  <c r="F9" i="1"/>
  <c r="G9" i="1"/>
  <c r="H9" i="1"/>
  <c r="I9" i="1"/>
  <c r="J9" i="1"/>
  <c r="K9" i="1"/>
  <c r="A10" i="1"/>
  <c r="B10" i="1"/>
  <c r="C10" i="1"/>
  <c r="D10" i="1"/>
  <c r="E10" i="1"/>
  <c r="F10" i="1"/>
  <c r="G10" i="1"/>
  <c r="H10" i="1"/>
  <c r="I10" i="1"/>
  <c r="J10" i="1"/>
  <c r="K10" i="1"/>
  <c r="A11" i="1"/>
  <c r="B11" i="1"/>
  <c r="C11" i="1"/>
  <c r="D11" i="1"/>
  <c r="E11" i="1"/>
  <c r="F11" i="1"/>
  <c r="G11" i="1"/>
  <c r="H11" i="1"/>
  <c r="I11" i="1"/>
  <c r="J11" i="1"/>
  <c r="K11" i="1"/>
  <c r="A12" i="1"/>
  <c r="B12" i="1"/>
  <c r="C12" i="1"/>
  <c r="D12" i="1"/>
  <c r="E12" i="1"/>
  <c r="F12" i="1"/>
  <c r="G12" i="1"/>
  <c r="H12" i="1"/>
  <c r="I12" i="1"/>
  <c r="J12" i="1"/>
  <c r="K12" i="1"/>
  <c r="A13" i="1"/>
  <c r="B13" i="1"/>
  <c r="C13" i="1"/>
  <c r="D13" i="1"/>
  <c r="E13" i="1"/>
  <c r="F13" i="1"/>
  <c r="G13" i="1"/>
  <c r="H13" i="1"/>
  <c r="I13" i="1"/>
  <c r="J13" i="1"/>
  <c r="K13" i="1"/>
  <c r="A14" i="1"/>
  <c r="B14" i="1"/>
  <c r="C14" i="1"/>
  <c r="D14" i="1"/>
  <c r="E14" i="1"/>
  <c r="F14" i="1"/>
  <c r="G14" i="1"/>
  <c r="H14" i="1"/>
  <c r="I14" i="1"/>
  <c r="J14" i="1"/>
  <c r="K14" i="1"/>
  <c r="A15" i="1"/>
  <c r="B15" i="1"/>
  <c r="C15" i="1"/>
  <c r="D15" i="1"/>
  <c r="E15" i="1"/>
  <c r="F15" i="1"/>
  <c r="G15" i="1"/>
  <c r="H15" i="1"/>
  <c r="I15" i="1"/>
  <c r="J15" i="1"/>
  <c r="K15" i="1"/>
  <c r="A16" i="1"/>
  <c r="B16" i="1"/>
  <c r="C16" i="1"/>
  <c r="D16" i="1"/>
  <c r="E16" i="1"/>
  <c r="F16" i="1"/>
  <c r="G16" i="1"/>
  <c r="H16" i="1"/>
  <c r="I16" i="1"/>
  <c r="J16" i="1"/>
  <c r="K16" i="1"/>
  <c r="A17" i="1"/>
  <c r="B17" i="1"/>
  <c r="C17" i="1"/>
  <c r="D17" i="1"/>
  <c r="E17" i="1"/>
  <c r="F17" i="1"/>
  <c r="G17" i="1"/>
  <c r="H17" i="1"/>
  <c r="I17" i="1"/>
  <c r="J17" i="1"/>
  <c r="K17" i="1"/>
  <c r="A18" i="1"/>
  <c r="B18" i="1"/>
  <c r="C18" i="1"/>
  <c r="D18" i="1"/>
  <c r="E18" i="1"/>
  <c r="F18" i="1"/>
  <c r="G18" i="1"/>
  <c r="H18" i="1"/>
  <c r="I18" i="1"/>
  <c r="J18" i="1"/>
  <c r="K18" i="1"/>
  <c r="A19" i="1"/>
  <c r="B19" i="1"/>
  <c r="C19" i="1"/>
  <c r="D19" i="1"/>
  <c r="E19" i="1"/>
  <c r="F19" i="1"/>
  <c r="G19" i="1"/>
  <c r="H19" i="1"/>
  <c r="I19" i="1"/>
  <c r="J19" i="1"/>
  <c r="K19" i="1"/>
  <c r="A20" i="1"/>
  <c r="B20" i="1"/>
  <c r="C20" i="1"/>
  <c r="D20" i="1"/>
  <c r="E20" i="1"/>
  <c r="F20" i="1"/>
  <c r="G20" i="1"/>
  <c r="H20" i="1"/>
  <c r="I20" i="1"/>
  <c r="J20" i="1"/>
  <c r="K20" i="1"/>
  <c r="A21" i="1"/>
  <c r="B21" i="1"/>
  <c r="C21" i="1"/>
  <c r="D21" i="1"/>
  <c r="E21" i="1"/>
  <c r="F21" i="1"/>
  <c r="G21" i="1"/>
  <c r="H21" i="1"/>
  <c r="I21" i="1"/>
  <c r="J21" i="1"/>
  <c r="K21" i="1"/>
  <c r="A22" i="1"/>
  <c r="B22" i="1"/>
  <c r="C22" i="1"/>
  <c r="D22" i="1"/>
  <c r="E22" i="1"/>
  <c r="F22" i="1"/>
  <c r="G22" i="1"/>
  <c r="H22" i="1"/>
  <c r="I22" i="1"/>
  <c r="J22" i="1"/>
  <c r="K22" i="1"/>
  <c r="A23" i="1"/>
  <c r="B23" i="1"/>
  <c r="C23" i="1"/>
  <c r="D23" i="1"/>
  <c r="E23" i="1"/>
  <c r="F23" i="1"/>
  <c r="G23" i="1"/>
  <c r="H23" i="1"/>
  <c r="I23" i="1"/>
  <c r="J23" i="1"/>
  <c r="K23" i="1"/>
  <c r="A24" i="1"/>
  <c r="B24" i="1"/>
  <c r="C24" i="1"/>
  <c r="D24" i="1"/>
  <c r="E24" i="1"/>
  <c r="F24" i="1"/>
  <c r="G24" i="1"/>
  <c r="H24" i="1"/>
  <c r="I24" i="1"/>
  <c r="J24" i="1"/>
  <c r="K24" i="1"/>
  <c r="A25" i="1"/>
  <c r="B25" i="1"/>
  <c r="C25" i="1"/>
  <c r="D25" i="1"/>
  <c r="E25" i="1"/>
  <c r="F25" i="1"/>
  <c r="G25" i="1"/>
  <c r="H25" i="1"/>
  <c r="I25" i="1"/>
  <c r="J25" i="1"/>
  <c r="K25" i="1"/>
  <c r="A26" i="1"/>
  <c r="B26" i="1"/>
  <c r="C26" i="1"/>
  <c r="D26" i="1"/>
  <c r="E26" i="1"/>
  <c r="F26" i="1"/>
  <c r="G26" i="1"/>
  <c r="H26" i="1"/>
  <c r="I26" i="1"/>
  <c r="J26" i="1"/>
  <c r="K26" i="1"/>
  <c r="A27" i="1"/>
  <c r="B27" i="1"/>
  <c r="C27" i="1"/>
  <c r="D27" i="1"/>
  <c r="E27" i="1"/>
  <c r="F27" i="1"/>
  <c r="G27" i="1"/>
  <c r="H27" i="1"/>
  <c r="I27" i="1"/>
  <c r="J27" i="1"/>
  <c r="K27" i="1"/>
  <c r="A28" i="1"/>
  <c r="B28" i="1"/>
  <c r="C28" i="1"/>
  <c r="D28" i="1"/>
  <c r="E28" i="1"/>
  <c r="F28" i="1"/>
  <c r="G28" i="1"/>
  <c r="H28" i="1"/>
  <c r="I28" i="1"/>
  <c r="J28" i="1"/>
  <c r="K28" i="1"/>
  <c r="A29" i="1"/>
  <c r="B29" i="1"/>
  <c r="C29" i="1"/>
  <c r="D29" i="1"/>
  <c r="E29" i="1"/>
  <c r="F29" i="1"/>
  <c r="G29" i="1"/>
  <c r="H29" i="1"/>
  <c r="I29" i="1"/>
  <c r="J29" i="1"/>
  <c r="K29" i="1"/>
  <c r="A30" i="1"/>
  <c r="B30" i="1"/>
  <c r="C30" i="1"/>
  <c r="D30" i="1"/>
  <c r="E30" i="1"/>
  <c r="F30" i="1"/>
  <c r="G30" i="1"/>
  <c r="H30" i="1"/>
  <c r="I30" i="1"/>
  <c r="J30" i="1"/>
  <c r="K30" i="1"/>
  <c r="A31" i="1"/>
  <c r="B31" i="1"/>
  <c r="C31" i="1"/>
  <c r="D31" i="1"/>
  <c r="E31" i="1"/>
  <c r="F31" i="1"/>
  <c r="G31" i="1"/>
  <c r="H31" i="1"/>
  <c r="I31" i="1"/>
  <c r="J31" i="1"/>
  <c r="K31" i="1"/>
  <c r="A32" i="1"/>
  <c r="B32" i="1"/>
  <c r="C32" i="1"/>
  <c r="D32" i="1"/>
  <c r="E32" i="1"/>
  <c r="F32" i="1"/>
  <c r="G32" i="1"/>
  <c r="H32" i="1"/>
  <c r="I32" i="1"/>
  <c r="J32" i="1"/>
  <c r="K32" i="1"/>
  <c r="A33" i="1"/>
  <c r="B33" i="1"/>
  <c r="C33" i="1"/>
  <c r="D33" i="1"/>
  <c r="E33" i="1"/>
  <c r="F33" i="1"/>
  <c r="G33" i="1"/>
  <c r="H33" i="1"/>
  <c r="I33" i="1"/>
  <c r="J33" i="1"/>
  <c r="K33" i="1"/>
  <c r="A34" i="1"/>
  <c r="B34" i="1"/>
  <c r="C34" i="1"/>
  <c r="D34" i="1"/>
  <c r="E34" i="1"/>
  <c r="F34" i="1"/>
  <c r="G34" i="1"/>
  <c r="H34" i="1"/>
  <c r="I34" i="1"/>
  <c r="J34" i="1"/>
  <c r="K34" i="1"/>
  <c r="A35" i="1"/>
  <c r="B35" i="1"/>
  <c r="C35" i="1"/>
  <c r="D35" i="1"/>
  <c r="E35" i="1"/>
  <c r="F35" i="1"/>
  <c r="G35" i="1"/>
  <c r="H35" i="1"/>
  <c r="I35" i="1"/>
  <c r="J35" i="1"/>
  <c r="K35" i="1"/>
  <c r="A36" i="1"/>
  <c r="B36" i="1"/>
  <c r="C36" i="1"/>
  <c r="D36" i="1"/>
  <c r="E36" i="1"/>
  <c r="F36" i="1"/>
  <c r="G36" i="1"/>
  <c r="H36" i="1"/>
  <c r="I36" i="1"/>
  <c r="J36" i="1"/>
  <c r="K36" i="1"/>
  <c r="A37" i="1"/>
  <c r="B37" i="1"/>
  <c r="C37" i="1"/>
  <c r="D37" i="1"/>
  <c r="E37" i="1"/>
  <c r="F37" i="1"/>
  <c r="G37" i="1"/>
  <c r="H37" i="1"/>
  <c r="I37" i="1"/>
  <c r="J37" i="1"/>
  <c r="K37" i="1"/>
  <c r="A38" i="1"/>
  <c r="B38" i="1"/>
  <c r="C38" i="1"/>
  <c r="D38" i="1"/>
  <c r="E38" i="1"/>
  <c r="F38" i="1"/>
  <c r="G38" i="1"/>
  <c r="H38" i="1"/>
  <c r="I38" i="1"/>
  <c r="J38" i="1"/>
  <c r="K38" i="1"/>
  <c r="A39" i="1"/>
  <c r="B39" i="1"/>
  <c r="C39" i="1"/>
  <c r="D39" i="1"/>
  <c r="E39" i="1"/>
  <c r="F39" i="1"/>
  <c r="G39" i="1"/>
  <c r="H39" i="1"/>
  <c r="I39" i="1"/>
  <c r="J39" i="1"/>
  <c r="K39" i="1"/>
  <c r="A40" i="1"/>
  <c r="B40" i="1"/>
  <c r="C40" i="1"/>
  <c r="D40" i="1"/>
  <c r="E40" i="1"/>
  <c r="F40" i="1"/>
  <c r="G40" i="1"/>
  <c r="H40" i="1"/>
  <c r="I40" i="1"/>
  <c r="J40" i="1"/>
  <c r="K40" i="1"/>
  <c r="A41" i="1"/>
  <c r="B41" i="1"/>
  <c r="C41" i="1"/>
  <c r="D41" i="1"/>
  <c r="E41" i="1"/>
  <c r="F41" i="1"/>
  <c r="G41" i="1"/>
  <c r="H41" i="1"/>
  <c r="I41" i="1"/>
  <c r="J41" i="1"/>
  <c r="K41" i="1"/>
  <c r="A42" i="1"/>
  <c r="B42" i="1"/>
  <c r="C42" i="1"/>
  <c r="D42" i="1"/>
  <c r="E42" i="1"/>
  <c r="F42" i="1"/>
  <c r="G42" i="1"/>
  <c r="H42" i="1"/>
  <c r="I42" i="1"/>
  <c r="J42" i="1"/>
  <c r="K42" i="1"/>
  <c r="A43" i="1"/>
  <c r="B43" i="1"/>
  <c r="C43" i="1"/>
  <c r="D43" i="1"/>
  <c r="E43" i="1"/>
  <c r="F43" i="1"/>
  <c r="G43" i="1"/>
  <c r="H43" i="1"/>
  <c r="I43" i="1"/>
  <c r="J43" i="1"/>
  <c r="K43" i="1"/>
  <c r="A44" i="1"/>
  <c r="B44" i="1"/>
  <c r="C44" i="1"/>
  <c r="D44" i="1"/>
  <c r="E44" i="1"/>
  <c r="F44" i="1"/>
  <c r="G44" i="1"/>
  <c r="H44" i="1"/>
  <c r="I44" i="1"/>
  <c r="J44" i="1"/>
  <c r="K44" i="1"/>
  <c r="A45" i="1"/>
  <c r="B45" i="1"/>
  <c r="C45" i="1"/>
  <c r="D45" i="1"/>
  <c r="E45" i="1"/>
  <c r="F45" i="1"/>
  <c r="G45" i="1"/>
  <c r="H45" i="1"/>
  <c r="I45" i="1"/>
  <c r="J45" i="1"/>
  <c r="K45" i="1"/>
  <c r="A46" i="1"/>
  <c r="B46" i="1"/>
  <c r="C46" i="1"/>
  <c r="D46" i="1"/>
  <c r="E46" i="1"/>
  <c r="F46" i="1"/>
  <c r="G46" i="1"/>
  <c r="H46" i="1"/>
  <c r="I46" i="1"/>
  <c r="J46" i="1"/>
  <c r="K46" i="1"/>
  <c r="A47" i="1"/>
  <c r="B47" i="1"/>
  <c r="C47" i="1"/>
  <c r="D47" i="1"/>
  <c r="E47" i="1"/>
  <c r="F47" i="1"/>
  <c r="G47" i="1"/>
  <c r="H47" i="1"/>
  <c r="I47" i="1"/>
  <c r="J47" i="1"/>
  <c r="K47" i="1"/>
  <c r="A48" i="1"/>
  <c r="B48" i="1"/>
  <c r="C48" i="1"/>
  <c r="D48" i="1"/>
  <c r="E48" i="1"/>
  <c r="F48" i="1"/>
  <c r="G48" i="1"/>
  <c r="H48" i="1"/>
  <c r="I48" i="1"/>
  <c r="J48" i="1"/>
  <c r="K48" i="1"/>
  <c r="A49" i="1"/>
  <c r="B49" i="1"/>
  <c r="C49" i="1"/>
  <c r="D49" i="1"/>
  <c r="E49" i="1"/>
  <c r="F49" i="1"/>
  <c r="G49" i="1"/>
  <c r="H49" i="1"/>
  <c r="I49" i="1"/>
  <c r="J49" i="1"/>
  <c r="K49" i="1"/>
  <c r="A50" i="1"/>
  <c r="B50" i="1"/>
  <c r="C50" i="1"/>
  <c r="D50" i="1"/>
  <c r="E50" i="1"/>
  <c r="F50" i="1"/>
  <c r="G50" i="1"/>
  <c r="H50" i="1"/>
  <c r="I50" i="1"/>
  <c r="J50" i="1"/>
  <c r="K50" i="1"/>
  <c r="A51" i="1"/>
  <c r="B51" i="1"/>
  <c r="C51" i="1"/>
  <c r="D51" i="1"/>
  <c r="E51" i="1"/>
  <c r="F51" i="1"/>
  <c r="G51" i="1"/>
  <c r="H51" i="1"/>
  <c r="I51" i="1"/>
  <c r="J51" i="1"/>
  <c r="K51" i="1"/>
  <c r="A52" i="1"/>
  <c r="B52" i="1"/>
  <c r="C52" i="1"/>
  <c r="D52" i="1"/>
  <c r="E52" i="1"/>
  <c r="F52" i="1"/>
  <c r="G52" i="1"/>
  <c r="H52" i="1"/>
  <c r="I52" i="1"/>
  <c r="J52" i="1"/>
  <c r="K52" i="1"/>
  <c r="A53" i="1"/>
  <c r="B53" i="1"/>
  <c r="C53" i="1"/>
  <c r="D53" i="1"/>
  <c r="E53" i="1"/>
  <c r="F53" i="1"/>
  <c r="G53" i="1"/>
  <c r="H53" i="1"/>
  <c r="I53" i="1"/>
  <c r="J53" i="1"/>
  <c r="K53" i="1"/>
  <c r="A54" i="1"/>
  <c r="B54" i="1"/>
  <c r="C54" i="1"/>
  <c r="D54" i="1"/>
  <c r="E54" i="1"/>
  <c r="F54" i="1"/>
  <c r="G54" i="1"/>
  <c r="H54" i="1"/>
  <c r="I54" i="1"/>
  <c r="J54" i="1"/>
  <c r="K54" i="1"/>
  <c r="A55" i="1"/>
  <c r="B55" i="1"/>
  <c r="C55" i="1"/>
  <c r="D55" i="1"/>
  <c r="E55" i="1"/>
  <c r="F55" i="1"/>
  <c r="G55" i="1"/>
  <c r="H55" i="1"/>
  <c r="I55" i="1"/>
  <c r="J55" i="1"/>
  <c r="K55" i="1"/>
  <c r="A56" i="1"/>
  <c r="B56" i="1"/>
  <c r="C56" i="1"/>
  <c r="D56" i="1"/>
  <c r="E56" i="1"/>
  <c r="F56" i="1"/>
  <c r="G56" i="1"/>
  <c r="H56" i="1"/>
  <c r="I56" i="1"/>
  <c r="J56" i="1"/>
  <c r="K56" i="1"/>
  <c r="K3" i="1"/>
  <c r="J3" i="1"/>
  <c r="I3" i="1"/>
  <c r="H3" i="1"/>
  <c r="G3" i="1"/>
  <c r="F3" i="1"/>
  <c r="E3" i="1"/>
  <c r="D3" i="1"/>
  <c r="C3" i="1"/>
  <c r="B3" i="1"/>
  <c r="A3" i="1"/>
  <c r="W388" i="2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W119" i="2" s="1"/>
  <c r="V120" i="2"/>
  <c r="W120" i="2" s="1"/>
  <c r="V121" i="2"/>
  <c r="W121" i="2" s="1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W139" i="2" s="1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W149" i="2" s="1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W169" i="2" s="1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W201" i="2" s="1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W209" i="2" s="1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W228" i="2" s="1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W239" i="2" s="1"/>
  <c r="V240" i="2"/>
  <c r="W240" i="2" s="1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W281" i="2" s="1"/>
  <c r="V282" i="2"/>
  <c r="W282" i="2" s="1"/>
  <c r="V283" i="2"/>
  <c r="W283" i="2" s="1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W323" i="2" s="1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W329" i="2" s="1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W339" i="2" s="1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W350" i="2" s="1"/>
  <c r="V351" i="2"/>
  <c r="W351" i="2" s="1"/>
  <c r="V352" i="2"/>
  <c r="W352" i="2" s="1"/>
  <c r="V353" i="2"/>
  <c r="W353" i="2" s="1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W363" i="2" s="1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W399" i="2" s="1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W423" i="2" s="1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W439" i="2" s="1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W469" i="2" s="1"/>
  <c r="V470" i="2"/>
  <c r="W470" i="2" s="1"/>
  <c r="U475" i="3"/>
  <c r="A475" i="3" s="1"/>
  <c r="T475" i="3"/>
  <c r="M475" i="3"/>
  <c r="T474" i="3"/>
  <c r="U474" i="3" s="1"/>
  <c r="A474" i="3" s="1"/>
  <c r="M474" i="3"/>
  <c r="U473" i="3"/>
  <c r="A473" i="3" s="1"/>
  <c r="T473" i="3"/>
  <c r="M473" i="3"/>
  <c r="T472" i="3"/>
  <c r="U472" i="3" s="1"/>
  <c r="M472" i="3"/>
  <c r="A472" i="3"/>
  <c r="U471" i="3"/>
  <c r="A471" i="3" s="1"/>
  <c r="T471" i="3"/>
  <c r="M471" i="3"/>
  <c r="T470" i="3"/>
  <c r="U470" i="3" s="1"/>
  <c r="A470" i="3" s="1"/>
  <c r="M470" i="3"/>
  <c r="U469" i="3"/>
  <c r="A469" i="3" s="1"/>
  <c r="T469" i="3"/>
  <c r="M469" i="3"/>
  <c r="T468" i="3"/>
  <c r="U468" i="3" s="1"/>
  <c r="M468" i="3"/>
  <c r="A468" i="3"/>
  <c r="U467" i="3"/>
  <c r="A467" i="3" s="1"/>
  <c r="T467" i="3"/>
  <c r="M467" i="3"/>
  <c r="T466" i="3"/>
  <c r="U466" i="3" s="1"/>
  <c r="A466" i="3" s="1"/>
  <c r="M466" i="3"/>
  <c r="U465" i="3"/>
  <c r="A465" i="3" s="1"/>
  <c r="T465" i="3"/>
  <c r="M465" i="3"/>
  <c r="T464" i="3"/>
  <c r="U464" i="3" s="1"/>
  <c r="M464" i="3"/>
  <c r="A464" i="3"/>
  <c r="U463" i="3"/>
  <c r="A463" i="3" s="1"/>
  <c r="T463" i="3"/>
  <c r="M463" i="3"/>
  <c r="T462" i="3"/>
  <c r="U462" i="3" s="1"/>
  <c r="A462" i="3" s="1"/>
  <c r="M462" i="3"/>
  <c r="U461" i="3"/>
  <c r="A461" i="3" s="1"/>
  <c r="T461" i="3"/>
  <c r="M461" i="3"/>
  <c r="T460" i="3"/>
  <c r="U460" i="3" s="1"/>
  <c r="M460" i="3"/>
  <c r="A460" i="3"/>
  <c r="U459" i="3"/>
  <c r="A459" i="3" s="1"/>
  <c r="T459" i="3"/>
  <c r="M459" i="3"/>
  <c r="T458" i="3"/>
  <c r="U458" i="3" s="1"/>
  <c r="A458" i="3" s="1"/>
  <c r="M458" i="3"/>
  <c r="U457" i="3"/>
  <c r="A457" i="3" s="1"/>
  <c r="T457" i="3"/>
  <c r="M457" i="3"/>
  <c r="T456" i="3"/>
  <c r="U456" i="3" s="1"/>
  <c r="M456" i="3"/>
  <c r="A456" i="3"/>
  <c r="U455" i="3"/>
  <c r="A455" i="3" s="1"/>
  <c r="T455" i="3"/>
  <c r="M455" i="3"/>
  <c r="T454" i="3"/>
  <c r="U454" i="3" s="1"/>
  <c r="A454" i="3" s="1"/>
  <c r="M454" i="3"/>
  <c r="U453" i="3"/>
  <c r="A453" i="3" s="1"/>
  <c r="T453" i="3"/>
  <c r="M453" i="3"/>
  <c r="T452" i="3"/>
  <c r="U452" i="3" s="1"/>
  <c r="M452" i="3"/>
  <c r="A452" i="3"/>
  <c r="U451" i="3"/>
  <c r="A451" i="3" s="1"/>
  <c r="T451" i="3"/>
  <c r="M451" i="3"/>
  <c r="T450" i="3"/>
  <c r="U450" i="3" s="1"/>
  <c r="A450" i="3" s="1"/>
  <c r="M450" i="3"/>
  <c r="U449" i="3"/>
  <c r="A449" i="3" s="1"/>
  <c r="T449" i="3"/>
  <c r="M449" i="3"/>
  <c r="T448" i="3"/>
  <c r="U448" i="3" s="1"/>
  <c r="M448" i="3"/>
  <c r="A448" i="3"/>
  <c r="U447" i="3"/>
  <c r="A447" i="3" s="1"/>
  <c r="T447" i="3"/>
  <c r="M447" i="3"/>
  <c r="T446" i="3"/>
  <c r="U446" i="3" s="1"/>
  <c r="A446" i="3" s="1"/>
  <c r="M446" i="3"/>
  <c r="U445" i="3"/>
  <c r="A445" i="3" s="1"/>
  <c r="T445" i="3"/>
  <c r="M445" i="3"/>
  <c r="T444" i="3"/>
  <c r="U444" i="3" s="1"/>
  <c r="M444" i="3"/>
  <c r="A444" i="3"/>
  <c r="U443" i="3"/>
  <c r="A443" i="3" s="1"/>
  <c r="T443" i="3"/>
  <c r="M443" i="3"/>
  <c r="T442" i="3"/>
  <c r="U442" i="3" s="1"/>
  <c r="A442" i="3" s="1"/>
  <c r="M442" i="3"/>
  <c r="U441" i="3"/>
  <c r="A441" i="3" s="1"/>
  <c r="T441" i="3"/>
  <c r="M441" i="3"/>
  <c r="T440" i="3"/>
  <c r="U440" i="3" s="1"/>
  <c r="M440" i="3"/>
  <c r="A440" i="3"/>
  <c r="U439" i="3"/>
  <c r="A439" i="3" s="1"/>
  <c r="T439" i="3"/>
  <c r="M439" i="3"/>
  <c r="T438" i="3"/>
  <c r="U438" i="3" s="1"/>
  <c r="A438" i="3" s="1"/>
  <c r="M438" i="3"/>
  <c r="U437" i="3"/>
  <c r="A437" i="3" s="1"/>
  <c r="T437" i="3"/>
  <c r="M437" i="3"/>
  <c r="T436" i="3"/>
  <c r="U436" i="3" s="1"/>
  <c r="M436" i="3"/>
  <c r="A436" i="3"/>
  <c r="U435" i="3"/>
  <c r="A435" i="3" s="1"/>
  <c r="T435" i="3"/>
  <c r="M435" i="3"/>
  <c r="T434" i="3"/>
  <c r="U434" i="3" s="1"/>
  <c r="A434" i="3" s="1"/>
  <c r="M434" i="3"/>
  <c r="U433" i="3"/>
  <c r="A433" i="3" s="1"/>
  <c r="T433" i="3"/>
  <c r="M433" i="3"/>
  <c r="T432" i="3"/>
  <c r="U432" i="3" s="1"/>
  <c r="M432" i="3"/>
  <c r="A432" i="3"/>
  <c r="U431" i="3"/>
  <c r="A431" i="3" s="1"/>
  <c r="T431" i="3"/>
  <c r="M431" i="3"/>
  <c r="T430" i="3"/>
  <c r="U430" i="3" s="1"/>
  <c r="A430" i="3" s="1"/>
  <c r="M430" i="3"/>
  <c r="U429" i="3"/>
  <c r="A429" i="3" s="1"/>
  <c r="T429" i="3"/>
  <c r="M429" i="3"/>
  <c r="T428" i="3"/>
  <c r="U428" i="3" s="1"/>
  <c r="M428" i="3"/>
  <c r="A428" i="3"/>
  <c r="U427" i="3"/>
  <c r="A427" i="3" s="1"/>
  <c r="T427" i="3"/>
  <c r="M427" i="3"/>
  <c r="T426" i="3"/>
  <c r="U426" i="3" s="1"/>
  <c r="A426" i="3" s="1"/>
  <c r="M426" i="3"/>
  <c r="U425" i="3"/>
  <c r="A425" i="3" s="1"/>
  <c r="T425" i="3"/>
  <c r="M425" i="3"/>
  <c r="T424" i="3"/>
  <c r="U424" i="3" s="1"/>
  <c r="M424" i="3"/>
  <c r="A424" i="3"/>
  <c r="U423" i="3"/>
  <c r="A423" i="3" s="1"/>
  <c r="T423" i="3"/>
  <c r="M423" i="3"/>
  <c r="T422" i="3"/>
  <c r="U422" i="3" s="1"/>
  <c r="A422" i="3" s="1"/>
  <c r="M422" i="3"/>
  <c r="U421" i="3"/>
  <c r="A421" i="3" s="1"/>
  <c r="T421" i="3"/>
  <c r="M421" i="3"/>
  <c r="T420" i="3"/>
  <c r="U420" i="3" s="1"/>
  <c r="M420" i="3"/>
  <c r="A420" i="3"/>
  <c r="U419" i="3"/>
  <c r="A419" i="3" s="1"/>
  <c r="T419" i="3"/>
  <c r="M419" i="3"/>
  <c r="T418" i="3"/>
  <c r="U418" i="3" s="1"/>
  <c r="A418" i="3" s="1"/>
  <c r="M418" i="3"/>
  <c r="U417" i="3"/>
  <c r="A417" i="3" s="1"/>
  <c r="T417" i="3"/>
  <c r="M417" i="3"/>
  <c r="T416" i="3"/>
  <c r="U416" i="3" s="1"/>
  <c r="M416" i="3"/>
  <c r="A416" i="3"/>
  <c r="U415" i="3"/>
  <c r="A415" i="3" s="1"/>
  <c r="T415" i="3"/>
  <c r="M415" i="3"/>
  <c r="T414" i="3"/>
  <c r="U414" i="3" s="1"/>
  <c r="A414" i="3" s="1"/>
  <c r="M414" i="3"/>
  <c r="U413" i="3"/>
  <c r="A413" i="3" s="1"/>
  <c r="T413" i="3"/>
  <c r="M413" i="3"/>
  <c r="T412" i="3"/>
  <c r="U412" i="3" s="1"/>
  <c r="M412" i="3"/>
  <c r="A412" i="3"/>
  <c r="U411" i="3"/>
  <c r="A411" i="3" s="1"/>
  <c r="T411" i="3"/>
  <c r="M411" i="3"/>
  <c r="T410" i="3"/>
  <c r="U410" i="3" s="1"/>
  <c r="A410" i="3" s="1"/>
  <c r="M410" i="3"/>
  <c r="U409" i="3"/>
  <c r="A409" i="3" s="1"/>
  <c r="T409" i="3"/>
  <c r="M409" i="3"/>
  <c r="T408" i="3"/>
  <c r="U408" i="3" s="1"/>
  <c r="M408" i="3"/>
  <c r="A408" i="3"/>
  <c r="U407" i="3"/>
  <c r="A407" i="3" s="1"/>
  <c r="T407" i="3"/>
  <c r="M407" i="3"/>
  <c r="T406" i="3"/>
  <c r="U406" i="3" s="1"/>
  <c r="A406" i="3" s="1"/>
  <c r="M406" i="3"/>
  <c r="U405" i="3"/>
  <c r="A405" i="3" s="1"/>
  <c r="T405" i="3"/>
  <c r="M405" i="3"/>
  <c r="T404" i="3"/>
  <c r="U404" i="3" s="1"/>
  <c r="M404" i="3"/>
  <c r="A404" i="3"/>
  <c r="U403" i="3"/>
  <c r="A403" i="3" s="1"/>
  <c r="T403" i="3"/>
  <c r="M403" i="3"/>
  <c r="T402" i="3"/>
  <c r="U402" i="3" s="1"/>
  <c r="A402" i="3" s="1"/>
  <c r="M402" i="3"/>
  <c r="U401" i="3"/>
  <c r="A401" i="3" s="1"/>
  <c r="T401" i="3"/>
  <c r="M401" i="3"/>
  <c r="T400" i="3"/>
  <c r="U400" i="3" s="1"/>
  <c r="M400" i="3"/>
  <c r="A400" i="3"/>
  <c r="U399" i="3"/>
  <c r="A399" i="3" s="1"/>
  <c r="T399" i="3"/>
  <c r="M399" i="3"/>
  <c r="T398" i="3"/>
  <c r="U398" i="3" s="1"/>
  <c r="A398" i="3" s="1"/>
  <c r="M398" i="3"/>
  <c r="U397" i="3"/>
  <c r="A397" i="3" s="1"/>
  <c r="T397" i="3"/>
  <c r="M397" i="3"/>
  <c r="T396" i="3"/>
  <c r="U396" i="3" s="1"/>
  <c r="M396" i="3"/>
  <c r="A396" i="3"/>
  <c r="U395" i="3"/>
  <c r="A395" i="3" s="1"/>
  <c r="T395" i="3"/>
  <c r="M395" i="3"/>
  <c r="T394" i="3"/>
  <c r="U394" i="3" s="1"/>
  <c r="A394" i="3" s="1"/>
  <c r="M394" i="3"/>
  <c r="U393" i="3"/>
  <c r="A393" i="3" s="1"/>
  <c r="T393" i="3"/>
  <c r="M393" i="3"/>
  <c r="T392" i="3"/>
  <c r="U392" i="3" s="1"/>
  <c r="M392" i="3"/>
  <c r="A392" i="3"/>
  <c r="U391" i="3"/>
  <c r="A391" i="3" s="1"/>
  <c r="T391" i="3"/>
  <c r="M391" i="3"/>
  <c r="T390" i="3"/>
  <c r="U390" i="3" s="1"/>
  <c r="A390" i="3" s="1"/>
  <c r="M390" i="3"/>
  <c r="U389" i="3"/>
  <c r="A389" i="3" s="1"/>
  <c r="T389" i="3"/>
  <c r="M389" i="3"/>
  <c r="T388" i="3"/>
  <c r="U388" i="3" s="1"/>
  <c r="M388" i="3"/>
  <c r="A388" i="3"/>
  <c r="U387" i="3"/>
  <c r="A387" i="3" s="1"/>
  <c r="T387" i="3"/>
  <c r="M387" i="3"/>
  <c r="T386" i="3"/>
  <c r="U386" i="3" s="1"/>
  <c r="A386" i="3" s="1"/>
  <c r="M386" i="3"/>
  <c r="U385" i="3"/>
  <c r="A385" i="3" s="1"/>
  <c r="T385" i="3"/>
  <c r="M385" i="3"/>
  <c r="T384" i="3"/>
  <c r="U384" i="3" s="1"/>
  <c r="M384" i="3"/>
  <c r="A384" i="3"/>
  <c r="U383" i="3"/>
  <c r="A383" i="3" s="1"/>
  <c r="T383" i="3"/>
  <c r="M383" i="3"/>
  <c r="T382" i="3"/>
  <c r="U382" i="3" s="1"/>
  <c r="A382" i="3" s="1"/>
  <c r="M382" i="3"/>
  <c r="U381" i="3"/>
  <c r="A381" i="3" s="1"/>
  <c r="T381" i="3"/>
  <c r="M381" i="3"/>
  <c r="T380" i="3"/>
  <c r="U380" i="3" s="1"/>
  <c r="M380" i="3"/>
  <c r="A380" i="3"/>
  <c r="U379" i="3"/>
  <c r="A379" i="3" s="1"/>
  <c r="T379" i="3"/>
  <c r="M379" i="3"/>
  <c r="T378" i="3"/>
  <c r="U378" i="3" s="1"/>
  <c r="A378" i="3" s="1"/>
  <c r="M378" i="3"/>
  <c r="U377" i="3"/>
  <c r="A377" i="3" s="1"/>
  <c r="T377" i="3"/>
  <c r="M377" i="3"/>
  <c r="T376" i="3"/>
  <c r="U376" i="3" s="1"/>
  <c r="M376" i="3"/>
  <c r="A376" i="3"/>
  <c r="U375" i="3"/>
  <c r="A375" i="3" s="1"/>
  <c r="T375" i="3"/>
  <c r="M375" i="3"/>
  <c r="T374" i="3"/>
  <c r="U374" i="3" s="1"/>
  <c r="A374" i="3" s="1"/>
  <c r="M374" i="3"/>
  <c r="U373" i="3"/>
  <c r="A373" i="3" s="1"/>
  <c r="T373" i="3"/>
  <c r="M373" i="3"/>
  <c r="T372" i="3"/>
  <c r="U372" i="3" s="1"/>
  <c r="M372" i="3"/>
  <c r="A372" i="3"/>
  <c r="U371" i="3"/>
  <c r="A371" i="3" s="1"/>
  <c r="T371" i="3"/>
  <c r="M371" i="3"/>
  <c r="T370" i="3"/>
  <c r="U370" i="3" s="1"/>
  <c r="A370" i="3" s="1"/>
  <c r="M370" i="3"/>
  <c r="U369" i="3"/>
  <c r="A369" i="3" s="1"/>
  <c r="T369" i="3"/>
  <c r="M369" i="3"/>
  <c r="T368" i="3"/>
  <c r="U368" i="3" s="1"/>
  <c r="M368" i="3"/>
  <c r="A368" i="3"/>
  <c r="U367" i="3"/>
  <c r="A367" i="3" s="1"/>
  <c r="T367" i="3"/>
  <c r="M367" i="3"/>
  <c r="T366" i="3"/>
  <c r="U366" i="3" s="1"/>
  <c r="A366" i="3" s="1"/>
  <c r="M366" i="3"/>
  <c r="U365" i="3"/>
  <c r="A365" i="3" s="1"/>
  <c r="T365" i="3"/>
  <c r="M365" i="3"/>
  <c r="T364" i="3"/>
  <c r="U364" i="3" s="1"/>
  <c r="M364" i="3"/>
  <c r="A364" i="3"/>
  <c r="U363" i="3"/>
  <c r="A363" i="3" s="1"/>
  <c r="T363" i="3"/>
  <c r="M363" i="3"/>
  <c r="T362" i="3"/>
  <c r="U362" i="3" s="1"/>
  <c r="A362" i="3" s="1"/>
  <c r="M362" i="3"/>
  <c r="U361" i="3"/>
  <c r="A361" i="3" s="1"/>
  <c r="T361" i="3"/>
  <c r="M361" i="3"/>
  <c r="T360" i="3"/>
  <c r="U360" i="3" s="1"/>
  <c r="M360" i="3"/>
  <c r="A360" i="3"/>
  <c r="U359" i="3"/>
  <c r="A359" i="3" s="1"/>
  <c r="T359" i="3"/>
  <c r="M359" i="3"/>
  <c r="T358" i="3"/>
  <c r="U358" i="3" s="1"/>
  <c r="A358" i="3" s="1"/>
  <c r="M358" i="3"/>
  <c r="U357" i="3"/>
  <c r="A357" i="3" s="1"/>
  <c r="T357" i="3"/>
  <c r="M357" i="3"/>
  <c r="T356" i="3"/>
  <c r="U356" i="3" s="1"/>
  <c r="M356" i="3"/>
  <c r="A356" i="3"/>
  <c r="U355" i="3"/>
  <c r="A355" i="3" s="1"/>
  <c r="T355" i="3"/>
  <c r="M355" i="3"/>
  <c r="T354" i="3"/>
  <c r="U354" i="3" s="1"/>
  <c r="A354" i="3" s="1"/>
  <c r="M354" i="3"/>
  <c r="T353" i="3"/>
  <c r="U353" i="3" s="1"/>
  <c r="A353" i="3" s="1"/>
  <c r="M353" i="3"/>
  <c r="T352" i="3"/>
  <c r="U352" i="3" s="1"/>
  <c r="M352" i="3"/>
  <c r="A352" i="3"/>
  <c r="U351" i="3"/>
  <c r="A351" i="3" s="1"/>
  <c r="T351" i="3"/>
  <c r="M351" i="3"/>
  <c r="T350" i="3"/>
  <c r="U350" i="3" s="1"/>
  <c r="A350" i="3" s="1"/>
  <c r="M350" i="3"/>
  <c r="T349" i="3"/>
  <c r="U349" i="3" s="1"/>
  <c r="A349" i="3" s="1"/>
  <c r="M349" i="3"/>
  <c r="T348" i="3"/>
  <c r="U348" i="3" s="1"/>
  <c r="M348" i="3"/>
  <c r="A348" i="3"/>
  <c r="U347" i="3"/>
  <c r="A347" i="3" s="1"/>
  <c r="T347" i="3"/>
  <c r="M347" i="3"/>
  <c r="T346" i="3"/>
  <c r="U346" i="3" s="1"/>
  <c r="A346" i="3" s="1"/>
  <c r="M346" i="3"/>
  <c r="T345" i="3"/>
  <c r="U345" i="3" s="1"/>
  <c r="A345" i="3" s="1"/>
  <c r="M345" i="3"/>
  <c r="T344" i="3"/>
  <c r="U344" i="3" s="1"/>
  <c r="M344" i="3"/>
  <c r="A344" i="3"/>
  <c r="U343" i="3"/>
  <c r="A343" i="3" s="1"/>
  <c r="T343" i="3"/>
  <c r="M343" i="3"/>
  <c r="T342" i="3"/>
  <c r="U342" i="3" s="1"/>
  <c r="A342" i="3" s="1"/>
  <c r="M342" i="3"/>
  <c r="T341" i="3"/>
  <c r="U341" i="3" s="1"/>
  <c r="A341" i="3" s="1"/>
  <c r="M341" i="3"/>
  <c r="T340" i="3"/>
  <c r="U340" i="3" s="1"/>
  <c r="M340" i="3"/>
  <c r="A340" i="3"/>
  <c r="U339" i="3"/>
  <c r="A339" i="3" s="1"/>
  <c r="T339" i="3"/>
  <c r="M339" i="3"/>
  <c r="T338" i="3"/>
  <c r="U338" i="3" s="1"/>
  <c r="A338" i="3" s="1"/>
  <c r="M338" i="3"/>
  <c r="T337" i="3"/>
  <c r="U337" i="3" s="1"/>
  <c r="A337" i="3" s="1"/>
  <c r="M337" i="3"/>
  <c r="T336" i="3"/>
  <c r="U336" i="3" s="1"/>
  <c r="M336" i="3"/>
  <c r="A336" i="3"/>
  <c r="U335" i="3"/>
  <c r="A335" i="3" s="1"/>
  <c r="T335" i="3"/>
  <c r="M335" i="3"/>
  <c r="T333" i="3"/>
  <c r="U333" i="3" s="1"/>
  <c r="A333" i="3" s="1"/>
  <c r="M333" i="3"/>
  <c r="T332" i="3"/>
  <c r="U332" i="3" s="1"/>
  <c r="A332" i="3" s="1"/>
  <c r="M332" i="3"/>
  <c r="T331" i="3"/>
  <c r="U331" i="3" s="1"/>
  <c r="M331" i="3"/>
  <c r="A331" i="3"/>
  <c r="U330" i="3"/>
  <c r="A330" i="3" s="1"/>
  <c r="T330" i="3"/>
  <c r="M330" i="3"/>
  <c r="T329" i="3"/>
  <c r="U329" i="3" s="1"/>
  <c r="A329" i="3" s="1"/>
  <c r="M329" i="3"/>
  <c r="T328" i="3"/>
  <c r="U328" i="3" s="1"/>
  <c r="A328" i="3" s="1"/>
  <c r="M328" i="3"/>
  <c r="T327" i="3"/>
  <c r="U327" i="3" s="1"/>
  <c r="M327" i="3"/>
  <c r="A327" i="3"/>
  <c r="U326" i="3"/>
  <c r="A326" i="3" s="1"/>
  <c r="T326" i="3"/>
  <c r="M326" i="3"/>
  <c r="T325" i="3"/>
  <c r="U325" i="3" s="1"/>
  <c r="A325" i="3" s="1"/>
  <c r="M325" i="3"/>
  <c r="T324" i="3"/>
  <c r="U324" i="3" s="1"/>
  <c r="A324" i="3" s="1"/>
  <c r="M324" i="3"/>
  <c r="T323" i="3"/>
  <c r="U323" i="3" s="1"/>
  <c r="M323" i="3"/>
  <c r="A323" i="3"/>
  <c r="U322" i="3"/>
  <c r="A322" i="3" s="1"/>
  <c r="T322" i="3"/>
  <c r="M322" i="3"/>
  <c r="T321" i="3"/>
  <c r="U321" i="3" s="1"/>
  <c r="A321" i="3" s="1"/>
  <c r="M321" i="3"/>
  <c r="T320" i="3"/>
  <c r="U320" i="3" s="1"/>
  <c r="A320" i="3" s="1"/>
  <c r="M320" i="3"/>
  <c r="T319" i="3"/>
  <c r="U319" i="3" s="1"/>
  <c r="M319" i="3"/>
  <c r="A319" i="3"/>
  <c r="U318" i="3"/>
  <c r="A318" i="3" s="1"/>
  <c r="T318" i="3"/>
  <c r="M318" i="3"/>
  <c r="T317" i="3"/>
  <c r="U317" i="3" s="1"/>
  <c r="A317" i="3" s="1"/>
  <c r="M317" i="3"/>
  <c r="T316" i="3"/>
  <c r="U316" i="3" s="1"/>
  <c r="A316" i="3" s="1"/>
  <c r="M316" i="3"/>
  <c r="T315" i="3"/>
  <c r="U315" i="3" s="1"/>
  <c r="M315" i="3"/>
  <c r="A315" i="3"/>
  <c r="U314" i="3"/>
  <c r="A314" i="3" s="1"/>
  <c r="T314" i="3"/>
  <c r="M314" i="3"/>
  <c r="T313" i="3"/>
  <c r="U313" i="3" s="1"/>
  <c r="A313" i="3" s="1"/>
  <c r="M313" i="3"/>
  <c r="T312" i="3"/>
  <c r="U312" i="3" s="1"/>
  <c r="A312" i="3" s="1"/>
  <c r="M312" i="3"/>
  <c r="T311" i="3"/>
  <c r="U311" i="3" s="1"/>
  <c r="M311" i="3"/>
  <c r="A311" i="3"/>
  <c r="U310" i="3"/>
  <c r="A310" i="3" s="1"/>
  <c r="T310" i="3"/>
  <c r="M310" i="3"/>
  <c r="T309" i="3"/>
  <c r="U309" i="3" s="1"/>
  <c r="A309" i="3" s="1"/>
  <c r="M309" i="3"/>
  <c r="T308" i="3"/>
  <c r="U308" i="3" s="1"/>
  <c r="A308" i="3" s="1"/>
  <c r="M308" i="3"/>
  <c r="T307" i="3"/>
  <c r="U307" i="3" s="1"/>
  <c r="M307" i="3"/>
  <c r="A307" i="3"/>
  <c r="U306" i="3"/>
  <c r="A306" i="3" s="1"/>
  <c r="T306" i="3"/>
  <c r="M306" i="3"/>
  <c r="T305" i="3"/>
  <c r="U305" i="3" s="1"/>
  <c r="A305" i="3" s="1"/>
  <c r="M305" i="3"/>
  <c r="T304" i="3"/>
  <c r="U304" i="3" s="1"/>
  <c r="A304" i="3" s="1"/>
  <c r="M304" i="3"/>
  <c r="T303" i="3"/>
  <c r="U303" i="3" s="1"/>
  <c r="A303" i="3" s="1"/>
  <c r="M303" i="3"/>
  <c r="T302" i="3"/>
  <c r="U302" i="3" s="1"/>
  <c r="A302" i="3" s="1"/>
  <c r="M302" i="3"/>
  <c r="T301" i="3"/>
  <c r="U301" i="3" s="1"/>
  <c r="A301" i="3" s="1"/>
  <c r="M301" i="3"/>
  <c r="T300" i="3"/>
  <c r="U300" i="3" s="1"/>
  <c r="A300" i="3" s="1"/>
  <c r="M300" i="3"/>
  <c r="T299" i="3"/>
  <c r="U299" i="3" s="1"/>
  <c r="A299" i="3" s="1"/>
  <c r="M299" i="3"/>
  <c r="T298" i="3"/>
  <c r="U298" i="3" s="1"/>
  <c r="A298" i="3" s="1"/>
  <c r="M298" i="3"/>
  <c r="T297" i="3"/>
  <c r="U297" i="3" s="1"/>
  <c r="A297" i="3" s="1"/>
  <c r="M297" i="3"/>
  <c r="T296" i="3"/>
  <c r="U296" i="3" s="1"/>
  <c r="A296" i="3" s="1"/>
  <c r="M296" i="3"/>
  <c r="T295" i="3"/>
  <c r="U295" i="3" s="1"/>
  <c r="A295" i="3" s="1"/>
  <c r="M295" i="3"/>
  <c r="T294" i="3"/>
  <c r="U294" i="3" s="1"/>
  <c r="A294" i="3" s="1"/>
  <c r="M294" i="3"/>
  <c r="T293" i="3"/>
  <c r="U293" i="3" s="1"/>
  <c r="A293" i="3" s="1"/>
  <c r="M293" i="3"/>
  <c r="T292" i="3"/>
  <c r="U292" i="3" s="1"/>
  <c r="A292" i="3" s="1"/>
  <c r="M292" i="3"/>
  <c r="T291" i="3"/>
  <c r="U291" i="3" s="1"/>
  <c r="A291" i="3" s="1"/>
  <c r="M291" i="3"/>
  <c r="T290" i="3"/>
  <c r="U290" i="3" s="1"/>
  <c r="A290" i="3" s="1"/>
  <c r="M290" i="3"/>
  <c r="T289" i="3"/>
  <c r="U289" i="3" s="1"/>
  <c r="A289" i="3" s="1"/>
  <c r="M289" i="3"/>
  <c r="T288" i="3"/>
  <c r="U288" i="3" s="1"/>
  <c r="A288" i="3" s="1"/>
  <c r="M288" i="3"/>
  <c r="T287" i="3"/>
  <c r="U287" i="3" s="1"/>
  <c r="A287" i="3" s="1"/>
  <c r="M287" i="3"/>
  <c r="T286" i="3"/>
  <c r="U286" i="3" s="1"/>
  <c r="A286" i="3" s="1"/>
  <c r="M286" i="3"/>
  <c r="T285" i="3"/>
  <c r="U285" i="3" s="1"/>
  <c r="A285" i="3" s="1"/>
  <c r="M285" i="3"/>
  <c r="T284" i="3"/>
  <c r="U284" i="3" s="1"/>
  <c r="A284" i="3" s="1"/>
  <c r="M284" i="3"/>
  <c r="T283" i="3"/>
  <c r="U283" i="3" s="1"/>
  <c r="A283" i="3" s="1"/>
  <c r="M283" i="3"/>
  <c r="T282" i="3"/>
  <c r="U282" i="3" s="1"/>
  <c r="A282" i="3" s="1"/>
  <c r="M282" i="3"/>
  <c r="T281" i="3"/>
  <c r="U281" i="3" s="1"/>
  <c r="A281" i="3" s="1"/>
  <c r="M281" i="3"/>
  <c r="T280" i="3"/>
  <c r="U280" i="3" s="1"/>
  <c r="A280" i="3" s="1"/>
  <c r="M280" i="3"/>
  <c r="T279" i="3"/>
  <c r="U279" i="3" s="1"/>
  <c r="A279" i="3" s="1"/>
  <c r="M279" i="3"/>
  <c r="T278" i="3"/>
  <c r="U278" i="3" s="1"/>
  <c r="A278" i="3" s="1"/>
  <c r="M278" i="3"/>
  <c r="T277" i="3"/>
  <c r="U277" i="3" s="1"/>
  <c r="A277" i="3" s="1"/>
  <c r="M277" i="3"/>
  <c r="T276" i="3"/>
  <c r="U276" i="3" s="1"/>
  <c r="A276" i="3" s="1"/>
  <c r="M276" i="3"/>
  <c r="T275" i="3"/>
  <c r="U275" i="3" s="1"/>
  <c r="A275" i="3" s="1"/>
  <c r="M275" i="3"/>
  <c r="T274" i="3"/>
  <c r="U274" i="3" s="1"/>
  <c r="A274" i="3" s="1"/>
  <c r="M274" i="3"/>
  <c r="T273" i="3"/>
  <c r="U273" i="3" s="1"/>
  <c r="A273" i="3" s="1"/>
  <c r="M273" i="3"/>
  <c r="T272" i="3"/>
  <c r="U272" i="3" s="1"/>
  <c r="A272" i="3" s="1"/>
  <c r="M272" i="3"/>
  <c r="T271" i="3"/>
  <c r="U271" i="3" s="1"/>
  <c r="A271" i="3" s="1"/>
  <c r="M271" i="3"/>
  <c r="T270" i="3"/>
  <c r="U270" i="3" s="1"/>
  <c r="A270" i="3" s="1"/>
  <c r="M270" i="3"/>
  <c r="T269" i="3"/>
  <c r="U269" i="3" s="1"/>
  <c r="A269" i="3" s="1"/>
  <c r="M269" i="3"/>
  <c r="T268" i="3"/>
  <c r="U268" i="3" s="1"/>
  <c r="A268" i="3" s="1"/>
  <c r="M268" i="3"/>
  <c r="T267" i="3"/>
  <c r="U267" i="3" s="1"/>
  <c r="A267" i="3" s="1"/>
  <c r="M267" i="3"/>
  <c r="T266" i="3"/>
  <c r="U266" i="3" s="1"/>
  <c r="A266" i="3" s="1"/>
  <c r="M266" i="3"/>
  <c r="T265" i="3"/>
  <c r="U265" i="3" s="1"/>
  <c r="A265" i="3" s="1"/>
  <c r="M265" i="3"/>
  <c r="T264" i="3"/>
  <c r="U264" i="3" s="1"/>
  <c r="A264" i="3" s="1"/>
  <c r="M264" i="3"/>
  <c r="T263" i="3"/>
  <c r="U263" i="3" s="1"/>
  <c r="A263" i="3" s="1"/>
  <c r="M263" i="3"/>
  <c r="T262" i="3"/>
  <c r="U262" i="3" s="1"/>
  <c r="A262" i="3" s="1"/>
  <c r="M262" i="3"/>
  <c r="T261" i="3"/>
  <c r="U261" i="3" s="1"/>
  <c r="A261" i="3" s="1"/>
  <c r="M261" i="3"/>
  <c r="T260" i="3"/>
  <c r="U260" i="3" s="1"/>
  <c r="A260" i="3" s="1"/>
  <c r="M260" i="3"/>
  <c r="T259" i="3"/>
  <c r="U259" i="3" s="1"/>
  <c r="A259" i="3" s="1"/>
  <c r="M259" i="3"/>
  <c r="T258" i="3"/>
  <c r="U258" i="3" s="1"/>
  <c r="A258" i="3" s="1"/>
  <c r="M258" i="3"/>
  <c r="T257" i="3"/>
  <c r="U257" i="3" s="1"/>
  <c r="A257" i="3" s="1"/>
  <c r="M257" i="3"/>
  <c r="T256" i="3"/>
  <c r="U256" i="3" s="1"/>
  <c r="A256" i="3" s="1"/>
  <c r="M256" i="3"/>
  <c r="T255" i="3"/>
  <c r="U255" i="3" s="1"/>
  <c r="A255" i="3" s="1"/>
  <c r="M255" i="3"/>
  <c r="T254" i="3"/>
  <c r="U254" i="3" s="1"/>
  <c r="A254" i="3" s="1"/>
  <c r="M254" i="3"/>
  <c r="T253" i="3"/>
  <c r="U253" i="3" s="1"/>
  <c r="A253" i="3" s="1"/>
  <c r="M253" i="3"/>
  <c r="T252" i="3"/>
  <c r="U252" i="3" s="1"/>
  <c r="A252" i="3" s="1"/>
  <c r="M252" i="3"/>
  <c r="T251" i="3"/>
  <c r="U251" i="3" s="1"/>
  <c r="A251" i="3" s="1"/>
  <c r="M251" i="3"/>
  <c r="T250" i="3"/>
  <c r="U250" i="3" s="1"/>
  <c r="A250" i="3" s="1"/>
  <c r="M250" i="3"/>
  <c r="T249" i="3"/>
  <c r="U249" i="3" s="1"/>
  <c r="A249" i="3" s="1"/>
  <c r="M249" i="3"/>
  <c r="T248" i="3"/>
  <c r="U248" i="3" s="1"/>
  <c r="A248" i="3" s="1"/>
  <c r="M248" i="3"/>
  <c r="T247" i="3"/>
  <c r="U247" i="3" s="1"/>
  <c r="A247" i="3" s="1"/>
  <c r="M247" i="3"/>
  <c r="T246" i="3"/>
  <c r="U246" i="3" s="1"/>
  <c r="A246" i="3" s="1"/>
  <c r="M246" i="3"/>
  <c r="T245" i="3"/>
  <c r="U245" i="3" s="1"/>
  <c r="A245" i="3" s="1"/>
  <c r="M245" i="3"/>
  <c r="T244" i="3"/>
  <c r="U244" i="3" s="1"/>
  <c r="A244" i="3" s="1"/>
  <c r="M244" i="3"/>
  <c r="T243" i="3"/>
  <c r="U243" i="3" s="1"/>
  <c r="A243" i="3" s="1"/>
  <c r="M243" i="3"/>
  <c r="T242" i="3"/>
  <c r="U242" i="3" s="1"/>
  <c r="A242" i="3" s="1"/>
  <c r="M242" i="3"/>
  <c r="T241" i="3"/>
  <c r="U241" i="3" s="1"/>
  <c r="A241" i="3" s="1"/>
  <c r="M241" i="3"/>
  <c r="T240" i="3"/>
  <c r="U240" i="3" s="1"/>
  <c r="A240" i="3" s="1"/>
  <c r="M240" i="3"/>
  <c r="T239" i="3"/>
  <c r="U239" i="3" s="1"/>
  <c r="A239" i="3" s="1"/>
  <c r="M239" i="3"/>
  <c r="T238" i="3"/>
  <c r="U238" i="3" s="1"/>
  <c r="A238" i="3" s="1"/>
  <c r="M238" i="3"/>
  <c r="T237" i="3"/>
  <c r="U237" i="3" s="1"/>
  <c r="A237" i="3" s="1"/>
  <c r="M237" i="3"/>
  <c r="T236" i="3"/>
  <c r="U236" i="3" s="1"/>
  <c r="A236" i="3" s="1"/>
  <c r="M236" i="3"/>
  <c r="T235" i="3"/>
  <c r="U235" i="3" s="1"/>
  <c r="A235" i="3" s="1"/>
  <c r="M235" i="3"/>
  <c r="A234" i="3"/>
  <c r="U233" i="3"/>
  <c r="A233" i="3" s="1"/>
  <c r="T233" i="3"/>
  <c r="M233" i="3"/>
  <c r="U232" i="3"/>
  <c r="A232" i="3" s="1"/>
  <c r="T232" i="3"/>
  <c r="M232" i="3"/>
  <c r="U231" i="3"/>
  <c r="A231" i="3" s="1"/>
  <c r="T231" i="3"/>
  <c r="M231" i="3"/>
  <c r="U230" i="3"/>
  <c r="A230" i="3" s="1"/>
  <c r="T230" i="3"/>
  <c r="M230" i="3"/>
  <c r="U229" i="3"/>
  <c r="A229" i="3" s="1"/>
  <c r="T229" i="3"/>
  <c r="M229" i="3"/>
  <c r="U228" i="3"/>
  <c r="A228" i="3" s="1"/>
  <c r="T228" i="3"/>
  <c r="M228" i="3"/>
  <c r="U227" i="3"/>
  <c r="A227" i="3" s="1"/>
  <c r="T227" i="3"/>
  <c r="M227" i="3"/>
  <c r="U226" i="3"/>
  <c r="A226" i="3" s="1"/>
  <c r="T226" i="3"/>
  <c r="M226" i="3"/>
  <c r="U225" i="3"/>
  <c r="A225" i="3" s="1"/>
  <c r="T225" i="3"/>
  <c r="M225" i="3"/>
  <c r="U224" i="3"/>
  <c r="A224" i="3" s="1"/>
  <c r="T224" i="3"/>
  <c r="M224" i="3"/>
  <c r="U223" i="3"/>
  <c r="A223" i="3" s="1"/>
  <c r="T223" i="3"/>
  <c r="M223" i="3"/>
  <c r="U222" i="3"/>
  <c r="A222" i="3" s="1"/>
  <c r="T222" i="3"/>
  <c r="M222" i="3"/>
  <c r="U221" i="3"/>
  <c r="A221" i="3" s="1"/>
  <c r="T221" i="3"/>
  <c r="M221" i="3"/>
  <c r="U220" i="3"/>
  <c r="A220" i="3" s="1"/>
  <c r="T220" i="3"/>
  <c r="M220" i="3"/>
  <c r="U219" i="3"/>
  <c r="A219" i="3" s="1"/>
  <c r="T219" i="3"/>
  <c r="M219" i="3"/>
  <c r="U218" i="3"/>
  <c r="A218" i="3" s="1"/>
  <c r="T218" i="3"/>
  <c r="M218" i="3"/>
  <c r="U217" i="3"/>
  <c r="A217" i="3" s="1"/>
  <c r="T217" i="3"/>
  <c r="M217" i="3"/>
  <c r="U216" i="3"/>
  <c r="A216" i="3" s="1"/>
  <c r="T216" i="3"/>
  <c r="M216" i="3"/>
  <c r="U215" i="3"/>
  <c r="A215" i="3" s="1"/>
  <c r="T215" i="3"/>
  <c r="M215" i="3"/>
  <c r="U214" i="3"/>
  <c r="A214" i="3" s="1"/>
  <c r="T214" i="3"/>
  <c r="M214" i="3"/>
  <c r="U213" i="3"/>
  <c r="A213" i="3" s="1"/>
  <c r="T213" i="3"/>
  <c r="M213" i="3"/>
  <c r="U212" i="3"/>
  <c r="A212" i="3" s="1"/>
  <c r="T212" i="3"/>
  <c r="M212" i="3"/>
  <c r="U211" i="3"/>
  <c r="A211" i="3" s="1"/>
  <c r="T211" i="3"/>
  <c r="M211" i="3"/>
  <c r="U210" i="3"/>
  <c r="A210" i="3" s="1"/>
  <c r="T210" i="3"/>
  <c r="M210" i="3"/>
  <c r="U209" i="3"/>
  <c r="A209" i="3" s="1"/>
  <c r="T209" i="3"/>
  <c r="M209" i="3"/>
  <c r="U208" i="3"/>
  <c r="A208" i="3" s="1"/>
  <c r="T208" i="3"/>
  <c r="M208" i="3"/>
  <c r="U207" i="3"/>
  <c r="A207" i="3" s="1"/>
  <c r="T207" i="3"/>
  <c r="M207" i="3"/>
  <c r="U206" i="3"/>
  <c r="A206" i="3" s="1"/>
  <c r="T206" i="3"/>
  <c r="M206" i="3"/>
  <c r="U205" i="3"/>
  <c r="A205" i="3" s="1"/>
  <c r="T205" i="3"/>
  <c r="M205" i="3"/>
  <c r="U204" i="3"/>
  <c r="A204" i="3" s="1"/>
  <c r="T204" i="3"/>
  <c r="M204" i="3"/>
  <c r="U203" i="3"/>
  <c r="A203" i="3" s="1"/>
  <c r="T203" i="3"/>
  <c r="M203" i="3"/>
  <c r="U202" i="3"/>
  <c r="A202" i="3" s="1"/>
  <c r="T202" i="3"/>
  <c r="M202" i="3"/>
  <c r="U201" i="3"/>
  <c r="A201" i="3" s="1"/>
  <c r="T201" i="3"/>
  <c r="M201" i="3"/>
  <c r="U200" i="3"/>
  <c r="A200" i="3" s="1"/>
  <c r="T200" i="3"/>
  <c r="M200" i="3"/>
  <c r="U199" i="3"/>
  <c r="A199" i="3" s="1"/>
  <c r="T199" i="3"/>
  <c r="M199" i="3"/>
  <c r="U198" i="3"/>
  <c r="A198" i="3" s="1"/>
  <c r="T198" i="3"/>
  <c r="M198" i="3"/>
  <c r="U197" i="3"/>
  <c r="A197" i="3" s="1"/>
  <c r="T197" i="3"/>
  <c r="M197" i="3"/>
  <c r="U196" i="3"/>
  <c r="A196" i="3" s="1"/>
  <c r="T196" i="3"/>
  <c r="M196" i="3"/>
  <c r="U195" i="3"/>
  <c r="A195" i="3" s="1"/>
  <c r="T195" i="3"/>
  <c r="M195" i="3"/>
  <c r="U194" i="3"/>
  <c r="A194" i="3" s="1"/>
  <c r="T194" i="3"/>
  <c r="M194" i="3"/>
  <c r="U193" i="3"/>
  <c r="A193" i="3" s="1"/>
  <c r="T193" i="3"/>
  <c r="M193" i="3"/>
  <c r="U192" i="3"/>
  <c r="A192" i="3" s="1"/>
  <c r="T192" i="3"/>
  <c r="M192" i="3"/>
  <c r="U191" i="3"/>
  <c r="A191" i="3" s="1"/>
  <c r="T191" i="3"/>
  <c r="M191" i="3"/>
  <c r="U190" i="3"/>
  <c r="A190" i="3" s="1"/>
  <c r="T190" i="3"/>
  <c r="M190" i="3"/>
  <c r="U189" i="3"/>
  <c r="A189" i="3" s="1"/>
  <c r="T189" i="3"/>
  <c r="M189" i="3"/>
  <c r="U188" i="3"/>
  <c r="A188" i="3" s="1"/>
  <c r="T188" i="3"/>
  <c r="M188" i="3"/>
  <c r="U187" i="3"/>
  <c r="A187" i="3" s="1"/>
  <c r="T187" i="3"/>
  <c r="M187" i="3"/>
  <c r="U186" i="3"/>
  <c r="A186" i="3" s="1"/>
  <c r="T186" i="3"/>
  <c r="M186" i="3"/>
  <c r="U185" i="3"/>
  <c r="A185" i="3" s="1"/>
  <c r="T185" i="3"/>
  <c r="M185" i="3"/>
  <c r="U184" i="3"/>
  <c r="A184" i="3" s="1"/>
  <c r="T184" i="3"/>
  <c r="M184" i="3"/>
  <c r="U183" i="3"/>
  <c r="A183" i="3" s="1"/>
  <c r="T183" i="3"/>
  <c r="M183" i="3"/>
  <c r="U182" i="3"/>
  <c r="A182" i="3" s="1"/>
  <c r="T182" i="3"/>
  <c r="M182" i="3"/>
  <c r="U181" i="3"/>
  <c r="A181" i="3" s="1"/>
  <c r="T181" i="3"/>
  <c r="M181" i="3"/>
  <c r="U180" i="3"/>
  <c r="A180" i="3" s="1"/>
  <c r="T180" i="3"/>
  <c r="M180" i="3"/>
  <c r="U179" i="3"/>
  <c r="A179" i="3" s="1"/>
  <c r="T179" i="3"/>
  <c r="M179" i="3"/>
  <c r="U178" i="3"/>
  <c r="A178" i="3" s="1"/>
  <c r="T178" i="3"/>
  <c r="M178" i="3"/>
  <c r="U177" i="3"/>
  <c r="A177" i="3" s="1"/>
  <c r="T177" i="3"/>
  <c r="M177" i="3"/>
  <c r="U176" i="3"/>
  <c r="A176" i="3" s="1"/>
  <c r="T176" i="3"/>
  <c r="M176" i="3"/>
  <c r="U175" i="3"/>
  <c r="A175" i="3" s="1"/>
  <c r="T175" i="3"/>
  <c r="M175" i="3"/>
  <c r="U174" i="3"/>
  <c r="A174" i="3" s="1"/>
  <c r="T174" i="3"/>
  <c r="M174" i="3"/>
  <c r="U173" i="3"/>
  <c r="A173" i="3" s="1"/>
  <c r="T173" i="3"/>
  <c r="M173" i="3"/>
  <c r="U172" i="3"/>
  <c r="A172" i="3" s="1"/>
  <c r="T172" i="3"/>
  <c r="M172" i="3"/>
  <c r="U171" i="3"/>
  <c r="A171" i="3" s="1"/>
  <c r="T171" i="3"/>
  <c r="M171" i="3"/>
  <c r="U170" i="3"/>
  <c r="A170" i="3" s="1"/>
  <c r="T170" i="3"/>
  <c r="O170" i="3"/>
  <c r="M170" i="3"/>
  <c r="U169" i="3"/>
  <c r="T169" i="3"/>
  <c r="O169" i="3"/>
  <c r="M169" i="3"/>
  <c r="A169" i="3"/>
  <c r="U168" i="3"/>
  <c r="A168" i="3" s="1"/>
  <c r="T168" i="3"/>
  <c r="O168" i="3"/>
  <c r="M168" i="3"/>
  <c r="T167" i="3"/>
  <c r="U167" i="3" s="1"/>
  <c r="A167" i="3" s="1"/>
  <c r="O167" i="3"/>
  <c r="M167" i="3"/>
  <c r="U166" i="3"/>
  <c r="T166" i="3"/>
  <c r="O166" i="3"/>
  <c r="M166" i="3"/>
  <c r="A166" i="3"/>
  <c r="U165" i="3"/>
  <c r="A165" i="3" s="1"/>
  <c r="T165" i="3"/>
  <c r="O165" i="3"/>
  <c r="M165" i="3"/>
  <c r="U164" i="3"/>
  <c r="A164" i="3" s="1"/>
  <c r="T164" i="3"/>
  <c r="O164" i="3"/>
  <c r="M164" i="3"/>
  <c r="T163" i="3"/>
  <c r="U163" i="3" s="1"/>
  <c r="A163" i="3" s="1"/>
  <c r="O163" i="3"/>
  <c r="M163" i="3"/>
  <c r="T162" i="3"/>
  <c r="U162" i="3" s="1"/>
  <c r="A162" i="3" s="1"/>
  <c r="O162" i="3"/>
  <c r="M162" i="3"/>
  <c r="U161" i="3"/>
  <c r="T161" i="3"/>
  <c r="O161" i="3"/>
  <c r="M161" i="3"/>
  <c r="A161" i="3"/>
  <c r="U160" i="3"/>
  <c r="A160" i="3" s="1"/>
  <c r="T160" i="3"/>
  <c r="O160" i="3"/>
  <c r="M160" i="3"/>
  <c r="T159" i="3"/>
  <c r="U159" i="3" s="1"/>
  <c r="A159" i="3" s="1"/>
  <c r="O159" i="3"/>
  <c r="M159" i="3"/>
  <c r="U158" i="3"/>
  <c r="T158" i="3"/>
  <c r="O158" i="3"/>
  <c r="M158" i="3"/>
  <c r="A158" i="3"/>
  <c r="U157" i="3"/>
  <c r="A157" i="3" s="1"/>
  <c r="T157" i="3"/>
  <c r="O157" i="3"/>
  <c r="M157" i="3"/>
  <c r="T156" i="3"/>
  <c r="U156" i="3" s="1"/>
  <c r="A156" i="3" s="1"/>
  <c r="O156" i="3"/>
  <c r="M156" i="3"/>
  <c r="T155" i="3"/>
  <c r="U155" i="3" s="1"/>
  <c r="A155" i="3" s="1"/>
  <c r="O155" i="3"/>
  <c r="M155" i="3"/>
  <c r="T154" i="3"/>
  <c r="U154" i="3" s="1"/>
  <c r="A154" i="3" s="1"/>
  <c r="O154" i="3"/>
  <c r="M154" i="3"/>
  <c r="U153" i="3"/>
  <c r="A153" i="3" s="1"/>
  <c r="T153" i="3"/>
  <c r="O153" i="3"/>
  <c r="M153" i="3"/>
  <c r="U152" i="3"/>
  <c r="A152" i="3" s="1"/>
  <c r="T152" i="3"/>
  <c r="O152" i="3"/>
  <c r="M152" i="3"/>
  <c r="T151" i="3"/>
  <c r="U151" i="3" s="1"/>
  <c r="A151" i="3" s="1"/>
  <c r="O151" i="3"/>
  <c r="M151" i="3"/>
  <c r="U150" i="3"/>
  <c r="T150" i="3"/>
  <c r="O150" i="3"/>
  <c r="M150" i="3"/>
  <c r="A150" i="3"/>
  <c r="U149" i="3"/>
  <c r="A149" i="3" s="1"/>
  <c r="T149" i="3"/>
  <c r="O149" i="3"/>
  <c r="M149" i="3"/>
  <c r="T148" i="3"/>
  <c r="U148" i="3" s="1"/>
  <c r="A148" i="3" s="1"/>
  <c r="O148" i="3"/>
  <c r="M148" i="3"/>
  <c r="T147" i="3"/>
  <c r="U147" i="3" s="1"/>
  <c r="A147" i="3" s="1"/>
  <c r="O147" i="3"/>
  <c r="M147" i="3"/>
  <c r="U146" i="3"/>
  <c r="T146" i="3"/>
  <c r="O146" i="3"/>
  <c r="M146" i="3"/>
  <c r="A146" i="3"/>
  <c r="U145" i="3"/>
  <c r="A145" i="3" s="1"/>
  <c r="T145" i="3"/>
  <c r="O145" i="3"/>
  <c r="M145" i="3"/>
  <c r="U144" i="3"/>
  <c r="A144" i="3" s="1"/>
  <c r="T144" i="3"/>
  <c r="O144" i="3"/>
  <c r="M144" i="3"/>
  <c r="T143" i="3"/>
  <c r="U143" i="3" s="1"/>
  <c r="A143" i="3" s="1"/>
  <c r="O143" i="3"/>
  <c r="M143" i="3"/>
  <c r="T142" i="3"/>
  <c r="U142" i="3" s="1"/>
  <c r="A142" i="3" s="1"/>
  <c r="O142" i="3"/>
  <c r="M142" i="3"/>
  <c r="U141" i="3"/>
  <c r="A141" i="3" s="1"/>
  <c r="T141" i="3"/>
  <c r="O141" i="3"/>
  <c r="M141" i="3"/>
  <c r="U140" i="3"/>
  <c r="A140" i="3" s="1"/>
  <c r="T140" i="3"/>
  <c r="O140" i="3"/>
  <c r="M140" i="3"/>
  <c r="T139" i="3"/>
  <c r="U139" i="3" s="1"/>
  <c r="A139" i="3" s="1"/>
  <c r="O139" i="3"/>
  <c r="M139" i="3"/>
  <c r="U138" i="3"/>
  <c r="T138" i="3"/>
  <c r="O138" i="3"/>
  <c r="M138" i="3"/>
  <c r="A138" i="3"/>
  <c r="U137" i="3"/>
  <c r="T137" i="3"/>
  <c r="O137" i="3"/>
  <c r="M137" i="3"/>
  <c r="A137" i="3"/>
  <c r="U136" i="3"/>
  <c r="A136" i="3" s="1"/>
  <c r="T136" i="3"/>
  <c r="O136" i="3"/>
  <c r="M136" i="3"/>
  <c r="T135" i="3"/>
  <c r="U135" i="3" s="1"/>
  <c r="A135" i="3" s="1"/>
  <c r="O135" i="3"/>
  <c r="M135" i="3"/>
  <c r="T134" i="3"/>
  <c r="U134" i="3" s="1"/>
  <c r="A134" i="3" s="1"/>
  <c r="O134" i="3"/>
  <c r="M134" i="3"/>
  <c r="U133" i="3"/>
  <c r="T133" i="3"/>
  <c r="O133" i="3"/>
  <c r="M133" i="3"/>
  <c r="A133" i="3"/>
  <c r="U132" i="3"/>
  <c r="A132" i="3" s="1"/>
  <c r="T132" i="3"/>
  <c r="O132" i="3"/>
  <c r="M132" i="3"/>
  <c r="T131" i="3"/>
  <c r="U131" i="3" s="1"/>
  <c r="A131" i="3" s="1"/>
  <c r="O131" i="3"/>
  <c r="M131" i="3"/>
  <c r="U130" i="3"/>
  <c r="A130" i="3" s="1"/>
  <c r="T130" i="3"/>
  <c r="O130" i="3"/>
  <c r="M130" i="3"/>
  <c r="U129" i="3"/>
  <c r="A129" i="3" s="1"/>
  <c r="T129" i="3"/>
  <c r="T128" i="3"/>
  <c r="U128" i="3" s="1"/>
  <c r="A128" i="3" s="1"/>
  <c r="M128" i="3"/>
  <c r="U127" i="3"/>
  <c r="A127" i="3" s="1"/>
  <c r="T127" i="3"/>
  <c r="M127" i="3"/>
  <c r="T126" i="3"/>
  <c r="U126" i="3" s="1"/>
  <c r="A126" i="3" s="1"/>
  <c r="M126" i="3"/>
  <c r="U125" i="3"/>
  <c r="A125" i="3" s="1"/>
  <c r="T125" i="3"/>
  <c r="M125" i="3"/>
  <c r="U124" i="3"/>
  <c r="A124" i="3" s="1"/>
  <c r="T124" i="3"/>
  <c r="M124" i="3"/>
  <c r="U123" i="3"/>
  <c r="A123" i="3" s="1"/>
  <c r="T123" i="3"/>
  <c r="M123" i="3"/>
  <c r="U122" i="3"/>
  <c r="A122" i="3" s="1"/>
  <c r="T122" i="3"/>
  <c r="M122" i="3"/>
  <c r="U121" i="3"/>
  <c r="A121" i="3" s="1"/>
  <c r="T121" i="3"/>
  <c r="M121" i="3"/>
  <c r="U120" i="3"/>
  <c r="A120" i="3" s="1"/>
  <c r="T120" i="3"/>
  <c r="M120" i="3"/>
  <c r="U119" i="3"/>
  <c r="A119" i="3" s="1"/>
  <c r="T119" i="3"/>
  <c r="M119" i="3"/>
  <c r="U118" i="3"/>
  <c r="A118" i="3" s="1"/>
  <c r="T118" i="3"/>
  <c r="M118" i="3"/>
  <c r="U117" i="3"/>
  <c r="A117" i="3" s="1"/>
  <c r="T117" i="3"/>
  <c r="M117" i="3"/>
  <c r="U116" i="3"/>
  <c r="A116" i="3" s="1"/>
  <c r="T116" i="3"/>
  <c r="M116" i="3"/>
  <c r="U115" i="3"/>
  <c r="A115" i="3" s="1"/>
  <c r="T115" i="3"/>
  <c r="M115" i="3"/>
  <c r="U114" i="3"/>
  <c r="A114" i="3" s="1"/>
  <c r="T114" i="3"/>
  <c r="M114" i="3"/>
  <c r="U113" i="3"/>
  <c r="A113" i="3" s="1"/>
  <c r="T113" i="3"/>
  <c r="M113" i="3"/>
  <c r="U112" i="3"/>
  <c r="A112" i="3" s="1"/>
  <c r="T112" i="3"/>
  <c r="M112" i="3"/>
  <c r="U111" i="3"/>
  <c r="A111" i="3" s="1"/>
  <c r="T111" i="3"/>
  <c r="M111" i="3"/>
  <c r="U110" i="3"/>
  <c r="A110" i="3" s="1"/>
  <c r="T110" i="3"/>
  <c r="M110" i="3"/>
  <c r="U109" i="3"/>
  <c r="A109" i="3" s="1"/>
  <c r="T109" i="3"/>
  <c r="M109" i="3"/>
  <c r="U108" i="3"/>
  <c r="A108" i="3" s="1"/>
  <c r="T108" i="3"/>
  <c r="M108" i="3"/>
  <c r="U107" i="3"/>
  <c r="A107" i="3" s="1"/>
  <c r="T107" i="3"/>
  <c r="M107" i="3"/>
  <c r="U106" i="3"/>
  <c r="A106" i="3" s="1"/>
  <c r="T106" i="3"/>
  <c r="M106" i="3"/>
  <c r="U105" i="3"/>
  <c r="A105" i="3" s="1"/>
  <c r="T105" i="3"/>
  <c r="M105" i="3"/>
  <c r="U104" i="3"/>
  <c r="A104" i="3" s="1"/>
  <c r="T104" i="3"/>
  <c r="M104" i="3"/>
  <c r="U103" i="3"/>
  <c r="A103" i="3" s="1"/>
  <c r="T103" i="3"/>
  <c r="M103" i="3"/>
  <c r="U102" i="3"/>
  <c r="A102" i="3" s="1"/>
  <c r="T102" i="3"/>
  <c r="M102" i="3"/>
  <c r="U101" i="3"/>
  <c r="A101" i="3" s="1"/>
  <c r="T101" i="3"/>
  <c r="M101" i="3"/>
  <c r="U100" i="3"/>
  <c r="A100" i="3" s="1"/>
  <c r="T100" i="3"/>
  <c r="M100" i="3"/>
  <c r="U99" i="3"/>
  <c r="A99" i="3" s="1"/>
  <c r="T99" i="3"/>
  <c r="M99" i="3"/>
  <c r="U98" i="3"/>
  <c r="A98" i="3" s="1"/>
  <c r="T98" i="3"/>
  <c r="M98" i="3"/>
  <c r="U97" i="3"/>
  <c r="A97" i="3" s="1"/>
  <c r="T97" i="3"/>
  <c r="M97" i="3"/>
  <c r="U96" i="3"/>
  <c r="A96" i="3" s="1"/>
  <c r="T96" i="3"/>
  <c r="M96" i="3"/>
  <c r="U95" i="3"/>
  <c r="A95" i="3" s="1"/>
  <c r="T95" i="3"/>
  <c r="M95" i="3"/>
  <c r="U94" i="3"/>
  <c r="A94" i="3" s="1"/>
  <c r="T94" i="3"/>
  <c r="M94" i="3"/>
  <c r="U93" i="3"/>
  <c r="A93" i="3" s="1"/>
  <c r="T93" i="3"/>
  <c r="M93" i="3"/>
  <c r="U92" i="3"/>
  <c r="A92" i="3" s="1"/>
  <c r="T92" i="3"/>
  <c r="M92" i="3"/>
  <c r="U91" i="3"/>
  <c r="A91" i="3" s="1"/>
  <c r="T91" i="3"/>
  <c r="M91" i="3"/>
  <c r="U90" i="3"/>
  <c r="A90" i="3" s="1"/>
  <c r="T90" i="3"/>
  <c r="M90" i="3"/>
  <c r="U89" i="3"/>
  <c r="A89" i="3" s="1"/>
  <c r="T89" i="3"/>
  <c r="M89" i="3"/>
  <c r="U88" i="3"/>
  <c r="A88" i="3" s="1"/>
  <c r="T88" i="3"/>
  <c r="M88" i="3"/>
  <c r="U87" i="3"/>
  <c r="A87" i="3" s="1"/>
  <c r="T87" i="3"/>
  <c r="M87" i="3"/>
  <c r="U86" i="3"/>
  <c r="A86" i="3" s="1"/>
  <c r="T86" i="3"/>
  <c r="M86" i="3"/>
  <c r="U85" i="3"/>
  <c r="A85" i="3" s="1"/>
  <c r="T85" i="3"/>
  <c r="M85" i="3"/>
  <c r="U84" i="3"/>
  <c r="A84" i="3" s="1"/>
  <c r="T84" i="3"/>
  <c r="M84" i="3"/>
  <c r="U83" i="3"/>
  <c r="A83" i="3" s="1"/>
  <c r="T83" i="3"/>
  <c r="M83" i="3"/>
  <c r="U82" i="3"/>
  <c r="A82" i="3" s="1"/>
  <c r="T82" i="3"/>
  <c r="M82" i="3"/>
  <c r="U81" i="3"/>
  <c r="A81" i="3" s="1"/>
  <c r="T81" i="3"/>
  <c r="M81" i="3"/>
  <c r="U80" i="3"/>
  <c r="A80" i="3" s="1"/>
  <c r="T80" i="3"/>
  <c r="M80" i="3"/>
  <c r="U79" i="3"/>
  <c r="A79" i="3" s="1"/>
  <c r="T79" i="3"/>
  <c r="M79" i="3"/>
  <c r="U78" i="3"/>
  <c r="A78" i="3" s="1"/>
  <c r="T78" i="3"/>
  <c r="M78" i="3"/>
  <c r="U77" i="3"/>
  <c r="A77" i="3" s="1"/>
  <c r="T77" i="3"/>
  <c r="M77" i="3"/>
  <c r="U76" i="3"/>
  <c r="A76" i="3" s="1"/>
  <c r="T76" i="3"/>
  <c r="M76" i="3"/>
  <c r="U75" i="3"/>
  <c r="A75" i="3" s="1"/>
  <c r="T75" i="3"/>
  <c r="M75" i="3"/>
  <c r="U74" i="3"/>
  <c r="A74" i="3" s="1"/>
  <c r="T74" i="3"/>
  <c r="M74" i="3"/>
  <c r="U73" i="3"/>
  <c r="A73" i="3" s="1"/>
  <c r="T73" i="3"/>
  <c r="M73" i="3"/>
  <c r="U72" i="3"/>
  <c r="A72" i="3" s="1"/>
  <c r="T72" i="3"/>
  <c r="M72" i="3"/>
  <c r="U71" i="3"/>
  <c r="A71" i="3" s="1"/>
  <c r="T71" i="3"/>
  <c r="M71" i="3"/>
  <c r="U70" i="3"/>
  <c r="A70" i="3" s="1"/>
  <c r="T70" i="3"/>
  <c r="M70" i="3"/>
  <c r="U69" i="3"/>
  <c r="A69" i="3" s="1"/>
  <c r="T69" i="3"/>
  <c r="M69" i="3"/>
  <c r="U68" i="3"/>
  <c r="A68" i="3" s="1"/>
  <c r="T68" i="3"/>
  <c r="M68" i="3"/>
  <c r="U67" i="3"/>
  <c r="A67" i="3" s="1"/>
  <c r="T67" i="3"/>
  <c r="M67" i="3"/>
  <c r="U66" i="3"/>
  <c r="A66" i="3" s="1"/>
  <c r="T66" i="3"/>
  <c r="M66" i="3"/>
  <c r="U65" i="3"/>
  <c r="A65" i="3" s="1"/>
  <c r="T65" i="3"/>
  <c r="M65" i="3"/>
  <c r="U64" i="3"/>
  <c r="A64" i="3" s="1"/>
  <c r="T64" i="3"/>
  <c r="M64" i="3"/>
  <c r="U63" i="3"/>
  <c r="A63" i="3" s="1"/>
  <c r="T63" i="3"/>
  <c r="M63" i="3"/>
  <c r="U62" i="3"/>
  <c r="A62" i="3" s="1"/>
  <c r="T62" i="3"/>
  <c r="M62" i="3"/>
  <c r="U61" i="3"/>
  <c r="A61" i="3" s="1"/>
  <c r="T61" i="3"/>
  <c r="M61" i="3"/>
  <c r="U60" i="3"/>
  <c r="A60" i="3" s="1"/>
  <c r="T60" i="3"/>
  <c r="M60" i="3"/>
  <c r="U59" i="3"/>
  <c r="A59" i="3" s="1"/>
  <c r="T59" i="3"/>
  <c r="M59" i="3"/>
  <c r="U58" i="3"/>
  <c r="A58" i="3" s="1"/>
  <c r="T58" i="3"/>
  <c r="M58" i="3"/>
  <c r="U57" i="3"/>
  <c r="A57" i="3" s="1"/>
  <c r="T57" i="3"/>
  <c r="M57" i="3"/>
  <c r="U56" i="3"/>
  <c r="A56" i="3" s="1"/>
  <c r="T56" i="3"/>
  <c r="M56" i="3"/>
  <c r="U55" i="3"/>
  <c r="A55" i="3" s="1"/>
  <c r="T55" i="3"/>
  <c r="M55" i="3"/>
  <c r="U54" i="3"/>
  <c r="A54" i="3" s="1"/>
  <c r="T54" i="3"/>
  <c r="M54" i="3"/>
  <c r="U53" i="3"/>
  <c r="A53" i="3" s="1"/>
  <c r="T53" i="3"/>
  <c r="M53" i="3"/>
  <c r="U52" i="3"/>
  <c r="A52" i="3" s="1"/>
  <c r="T52" i="3"/>
  <c r="M52" i="3"/>
  <c r="U51" i="3"/>
  <c r="A51" i="3" s="1"/>
  <c r="T51" i="3"/>
  <c r="M51" i="3"/>
  <c r="U50" i="3"/>
  <c r="A50" i="3" s="1"/>
  <c r="T50" i="3"/>
  <c r="M50" i="3"/>
  <c r="U49" i="3"/>
  <c r="A49" i="3" s="1"/>
  <c r="T49" i="3"/>
  <c r="M49" i="3"/>
  <c r="U48" i="3"/>
  <c r="A48" i="3" s="1"/>
  <c r="T48" i="3"/>
  <c r="M48" i="3"/>
  <c r="U47" i="3"/>
  <c r="A47" i="3" s="1"/>
  <c r="T47" i="3"/>
  <c r="M47" i="3"/>
  <c r="U46" i="3"/>
  <c r="T46" i="3"/>
  <c r="N46" i="3"/>
  <c r="M46" i="3"/>
  <c r="A46" i="3"/>
  <c r="T45" i="3"/>
  <c r="U45" i="3" s="1"/>
  <c r="A45" i="3" s="1"/>
  <c r="N45" i="3"/>
  <c r="M45" i="3"/>
  <c r="U44" i="3"/>
  <c r="T44" i="3"/>
  <c r="N44" i="3"/>
  <c r="M44" i="3"/>
  <c r="A44" i="3"/>
  <c r="U43" i="3"/>
  <c r="A43" i="3" s="1"/>
  <c r="T43" i="3"/>
  <c r="N43" i="3"/>
  <c r="M43" i="3"/>
  <c r="U42" i="3"/>
  <c r="A42" i="3" s="1"/>
  <c r="T42" i="3"/>
  <c r="N42" i="3"/>
  <c r="M42" i="3"/>
  <c r="T41" i="3"/>
  <c r="U41" i="3" s="1"/>
  <c r="A41" i="3" s="1"/>
  <c r="N41" i="3"/>
  <c r="M41" i="3"/>
  <c r="U40" i="3"/>
  <c r="A40" i="3" s="1"/>
  <c r="T40" i="3"/>
  <c r="N40" i="3"/>
  <c r="M40" i="3"/>
  <c r="T39" i="3"/>
  <c r="U39" i="3" s="1"/>
  <c r="A39" i="3" s="1"/>
  <c r="N39" i="3"/>
  <c r="M39" i="3"/>
  <c r="U38" i="3"/>
  <c r="T38" i="3"/>
  <c r="N38" i="3"/>
  <c r="M38" i="3"/>
  <c r="A38" i="3"/>
  <c r="T37" i="3"/>
  <c r="U37" i="3" s="1"/>
  <c r="A37" i="3" s="1"/>
  <c r="N37" i="3"/>
  <c r="M37" i="3"/>
  <c r="U36" i="3"/>
  <c r="T36" i="3"/>
  <c r="N36" i="3"/>
  <c r="M36" i="3"/>
  <c r="A36" i="3"/>
  <c r="U35" i="3"/>
  <c r="A35" i="3" s="1"/>
  <c r="T35" i="3"/>
  <c r="N35" i="3"/>
  <c r="M35" i="3"/>
  <c r="U34" i="3"/>
  <c r="A34" i="3" s="1"/>
  <c r="T34" i="3"/>
  <c r="N34" i="3"/>
  <c r="M34" i="3"/>
  <c r="T33" i="3"/>
  <c r="U33" i="3" s="1"/>
  <c r="A33" i="3" s="1"/>
  <c r="N33" i="3"/>
  <c r="M33" i="3"/>
  <c r="U32" i="3"/>
  <c r="A32" i="3" s="1"/>
  <c r="T32" i="3"/>
  <c r="N32" i="3"/>
  <c r="M32" i="3"/>
  <c r="T31" i="3"/>
  <c r="U31" i="3" s="1"/>
  <c r="A31" i="3" s="1"/>
  <c r="N31" i="3"/>
  <c r="M31" i="3"/>
  <c r="U30" i="3"/>
  <c r="T30" i="3"/>
  <c r="N30" i="3"/>
  <c r="M30" i="3"/>
  <c r="A30" i="3"/>
  <c r="T29" i="3"/>
  <c r="U29" i="3" s="1"/>
  <c r="A29" i="3" s="1"/>
  <c r="N29" i="3"/>
  <c r="M29" i="3"/>
  <c r="U28" i="3"/>
  <c r="T28" i="3"/>
  <c r="N28" i="3"/>
  <c r="M28" i="3"/>
  <c r="A28" i="3"/>
  <c r="U27" i="3"/>
  <c r="A27" i="3" s="1"/>
  <c r="T27" i="3"/>
  <c r="N27" i="3"/>
  <c r="M27" i="3"/>
  <c r="U26" i="3"/>
  <c r="A26" i="3" s="1"/>
  <c r="T26" i="3"/>
  <c r="N26" i="3"/>
  <c r="M26" i="3"/>
  <c r="T25" i="3"/>
  <c r="U25" i="3" s="1"/>
  <c r="A25" i="3" s="1"/>
  <c r="N25" i="3"/>
  <c r="M25" i="3"/>
  <c r="U24" i="3"/>
  <c r="A24" i="3" s="1"/>
  <c r="T24" i="3"/>
  <c r="N24" i="3"/>
  <c r="M24" i="3"/>
  <c r="T23" i="3"/>
  <c r="U23" i="3" s="1"/>
  <c r="A23" i="3" s="1"/>
  <c r="N23" i="3"/>
  <c r="M23" i="3"/>
  <c r="U22" i="3"/>
  <c r="T22" i="3"/>
  <c r="N22" i="3"/>
  <c r="M22" i="3"/>
  <c r="A22" i="3"/>
  <c r="T21" i="3"/>
  <c r="U21" i="3" s="1"/>
  <c r="A21" i="3" s="1"/>
  <c r="N21" i="3"/>
  <c r="M21" i="3"/>
  <c r="U20" i="3"/>
  <c r="T20" i="3"/>
  <c r="N20" i="3"/>
  <c r="M20" i="3"/>
  <c r="A20" i="3"/>
  <c r="U19" i="3"/>
  <c r="A19" i="3" s="1"/>
  <c r="T19" i="3"/>
  <c r="N19" i="3"/>
  <c r="M19" i="3"/>
  <c r="U18" i="3"/>
  <c r="A18" i="3" s="1"/>
  <c r="T18" i="3"/>
  <c r="N18" i="3"/>
  <c r="M18" i="3"/>
  <c r="T17" i="3"/>
  <c r="U17" i="3" s="1"/>
  <c r="A17" i="3" s="1"/>
  <c r="N17" i="3"/>
  <c r="M17" i="3"/>
  <c r="U16" i="3"/>
  <c r="A16" i="3" s="1"/>
  <c r="T16" i="3"/>
  <c r="N16" i="3"/>
  <c r="M16" i="3"/>
  <c r="T15" i="3"/>
  <c r="U15" i="3" s="1"/>
  <c r="A15" i="3" s="1"/>
  <c r="N15" i="3"/>
  <c r="M15" i="3"/>
  <c r="U14" i="3"/>
  <c r="T14" i="3"/>
  <c r="N14" i="3"/>
  <c r="M14" i="3"/>
  <c r="A14" i="3"/>
  <c r="T13" i="3"/>
  <c r="U13" i="3" s="1"/>
  <c r="A13" i="3" s="1"/>
  <c r="N13" i="3"/>
  <c r="M13" i="3"/>
  <c r="U12" i="3"/>
  <c r="T12" i="3"/>
  <c r="N12" i="3"/>
  <c r="M12" i="3"/>
  <c r="A12" i="3"/>
  <c r="U11" i="3"/>
  <c r="A11" i="3" s="1"/>
  <c r="T11" i="3"/>
  <c r="N11" i="3"/>
  <c r="M11" i="3"/>
  <c r="U10" i="3"/>
  <c r="A10" i="3" s="1"/>
  <c r="T10" i="3"/>
  <c r="N10" i="3"/>
  <c r="M10" i="3"/>
  <c r="T9" i="3"/>
  <c r="U9" i="3" s="1"/>
  <c r="A9" i="3" s="1"/>
  <c r="N9" i="3"/>
  <c r="M9" i="3"/>
  <c r="U8" i="3"/>
  <c r="A8" i="3" s="1"/>
  <c r="T8" i="3"/>
  <c r="N8" i="3"/>
  <c r="M8" i="3"/>
  <c r="T7" i="3"/>
  <c r="U7" i="3" s="1"/>
  <c r="A7" i="3" s="1"/>
  <c r="N7" i="3"/>
  <c r="M7" i="3"/>
  <c r="U6" i="3"/>
  <c r="T6" i="3"/>
  <c r="N6" i="3"/>
  <c r="M6" i="3"/>
  <c r="A6" i="3"/>
  <c r="T5" i="3"/>
  <c r="U5" i="3" s="1"/>
  <c r="A5" i="3" s="1"/>
  <c r="N5" i="3"/>
  <c r="M5" i="3"/>
  <c r="U4" i="3"/>
  <c r="T4" i="3"/>
  <c r="N4" i="3"/>
  <c r="M4" i="3"/>
  <c r="A4" i="3"/>
  <c r="U3" i="3"/>
  <c r="A3" i="3" s="1"/>
  <c r="T3" i="3"/>
  <c r="N3" i="3"/>
  <c r="M3" i="3"/>
  <c r="U2" i="3"/>
  <c r="A2" i="3" s="1"/>
  <c r="T2" i="3"/>
  <c r="N2" i="3"/>
  <c r="M2" i="3"/>
  <c r="U272" i="2"/>
  <c r="U271" i="2"/>
  <c r="U270" i="2"/>
  <c r="U269" i="2"/>
  <c r="U458" i="2"/>
  <c r="U268" i="2"/>
  <c r="U267" i="2"/>
  <c r="U266" i="2"/>
  <c r="U265" i="2"/>
  <c r="U264" i="2"/>
  <c r="U263" i="2"/>
  <c r="U262" i="2"/>
  <c r="U261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A445" i="2" s="1"/>
  <c r="U444" i="2"/>
  <c r="U443" i="2"/>
  <c r="U442" i="2"/>
  <c r="U441" i="2"/>
  <c r="U440" i="2"/>
  <c r="U439" i="2"/>
  <c r="U438" i="2"/>
  <c r="U437" i="2"/>
  <c r="A437" i="2" s="1"/>
  <c r="U436" i="2"/>
  <c r="U435" i="2"/>
  <c r="U434" i="2"/>
  <c r="U433" i="2"/>
  <c r="U432" i="2"/>
  <c r="U431" i="2"/>
  <c r="U472" i="2"/>
  <c r="U471" i="2"/>
  <c r="U92" i="2"/>
  <c r="U91" i="2"/>
  <c r="U90" i="2"/>
  <c r="U89" i="2"/>
  <c r="U88" i="2"/>
  <c r="U87" i="2"/>
  <c r="U86" i="2"/>
  <c r="U85" i="2"/>
  <c r="A85" i="2" s="1"/>
  <c r="U84" i="2"/>
  <c r="U83" i="2"/>
  <c r="U260" i="2"/>
  <c r="U259" i="2"/>
  <c r="U258" i="2"/>
  <c r="U257" i="2"/>
  <c r="U256" i="2"/>
  <c r="U255" i="2"/>
  <c r="U254" i="2"/>
  <c r="U253" i="2"/>
  <c r="U252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251" i="2"/>
  <c r="U250" i="2"/>
  <c r="U470" i="2"/>
  <c r="U469" i="2"/>
  <c r="A469" i="2" s="1"/>
  <c r="U468" i="2"/>
  <c r="U467" i="2"/>
  <c r="U466" i="2"/>
  <c r="U465" i="2"/>
  <c r="A465" i="2" s="1"/>
  <c r="U464" i="2"/>
  <c r="U463" i="2"/>
  <c r="U462" i="2"/>
  <c r="U461" i="2"/>
  <c r="A461" i="2" s="1"/>
  <c r="U460" i="2"/>
  <c r="U459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A387" i="2" l="1"/>
  <c r="A379" i="2"/>
  <c r="A459" i="2"/>
  <c r="A467" i="2"/>
  <c r="A435" i="2"/>
  <c r="A443" i="2"/>
  <c r="A451" i="2"/>
  <c r="A403" i="2"/>
  <c r="A395" i="2"/>
  <c r="A411" i="2"/>
  <c r="A419" i="2"/>
  <c r="A427" i="2"/>
  <c r="A385" i="2"/>
  <c r="A393" i="2"/>
  <c r="A401" i="2"/>
  <c r="A383" i="2"/>
  <c r="A407" i="2"/>
  <c r="A415" i="2"/>
  <c r="A423" i="2"/>
  <c r="A471" i="2"/>
  <c r="A271" i="2"/>
  <c r="A391" i="2"/>
  <c r="A463" i="2"/>
  <c r="A431" i="2"/>
  <c r="A439" i="2"/>
  <c r="A447" i="2"/>
  <c r="A455" i="2"/>
  <c r="A399" i="2"/>
  <c r="A434" i="2"/>
  <c r="A458" i="2"/>
  <c r="A408" i="2"/>
  <c r="A416" i="2"/>
  <c r="A424" i="2"/>
  <c r="A450" i="2"/>
  <c r="A466" i="2"/>
  <c r="A400" i="2"/>
  <c r="A410" i="2"/>
  <c r="A442" i="2"/>
  <c r="A384" i="2"/>
  <c r="A426" i="2"/>
  <c r="A272" i="2"/>
  <c r="A392" i="2"/>
  <c r="A418" i="2"/>
  <c r="A386" i="2"/>
  <c r="A394" i="2"/>
  <c r="A402" i="2"/>
  <c r="A266" i="2"/>
  <c r="A247" i="2"/>
  <c r="A246" i="2"/>
  <c r="A255" i="2"/>
  <c r="A381" i="2"/>
  <c r="A405" i="2"/>
  <c r="A245" i="2"/>
  <c r="A83" i="2"/>
  <c r="A263" i="2"/>
  <c r="A470" i="2"/>
  <c r="A87" i="2"/>
  <c r="A453" i="2"/>
  <c r="A464" i="2"/>
  <c r="A251" i="2"/>
  <c r="A243" i="2"/>
  <c r="A388" i="2"/>
  <c r="A406" i="2"/>
  <c r="A414" i="2"/>
  <c r="A259" i="2"/>
  <c r="A244" i="2"/>
  <c r="A397" i="2"/>
  <c r="A252" i="2"/>
  <c r="A260" i="2"/>
  <c r="A261" i="2"/>
  <c r="A239" i="2"/>
  <c r="A236" i="2"/>
  <c r="A389" i="2"/>
  <c r="A237" i="2"/>
  <c r="A382" i="2"/>
  <c r="A253" i="2"/>
  <c r="A91" i="2"/>
  <c r="A269" i="2"/>
  <c r="A238" i="2"/>
  <c r="A254" i="2"/>
  <c r="A270" i="2"/>
  <c r="A454" i="2"/>
  <c r="A462" i="2"/>
  <c r="A86" i="2"/>
  <c r="A446" i="2"/>
  <c r="A438" i="2"/>
  <c r="A413" i="2"/>
  <c r="A421" i="2"/>
  <c r="A429" i="2"/>
  <c r="A422" i="2"/>
  <c r="A430" i="2"/>
  <c r="A390" i="2"/>
  <c r="A398" i="2"/>
  <c r="A262" i="2"/>
  <c r="A241" i="2"/>
  <c r="A248" i="2"/>
  <c r="A256" i="2"/>
  <c r="A249" i="2"/>
  <c r="A460" i="2"/>
  <c r="A468" i="2"/>
  <c r="A409" i="2"/>
  <c r="A417" i="2"/>
  <c r="A425" i="2"/>
  <c r="A84" i="2"/>
  <c r="A92" i="2"/>
  <c r="A436" i="2"/>
  <c r="A444" i="2"/>
  <c r="A452" i="2"/>
  <c r="A265" i="2"/>
  <c r="A380" i="2"/>
  <c r="A404" i="2"/>
  <c r="A264" i="2"/>
  <c r="A250" i="2"/>
  <c r="A412" i="2"/>
  <c r="A420" i="2"/>
  <c r="A428" i="2"/>
  <c r="A257" i="2"/>
  <c r="A242" i="2"/>
  <c r="A258" i="2"/>
  <c r="A88" i="2"/>
  <c r="A432" i="2"/>
  <c r="A440" i="2"/>
  <c r="A448" i="2"/>
  <c r="A456" i="2"/>
  <c r="A267" i="2"/>
  <c r="A240" i="2"/>
  <c r="A89" i="2"/>
  <c r="A433" i="2"/>
  <c r="A441" i="2"/>
  <c r="A449" i="2"/>
  <c r="A457" i="2"/>
  <c r="A268" i="2"/>
  <c r="A396" i="2"/>
  <c r="A90" i="2"/>
  <c r="U220" i="2" l="1"/>
  <c r="A220" i="2" s="1"/>
  <c r="U221" i="2"/>
  <c r="A221" i="2" s="1"/>
  <c r="U222" i="2"/>
  <c r="A222" i="2" s="1"/>
  <c r="U223" i="2"/>
  <c r="A223" i="2" s="1"/>
  <c r="U224" i="2"/>
  <c r="A224" i="2" s="1"/>
  <c r="U225" i="2"/>
  <c r="A225" i="2" s="1"/>
  <c r="U226" i="2"/>
  <c r="A226" i="2" s="1"/>
  <c r="U227" i="2"/>
  <c r="A227" i="2" s="1"/>
  <c r="U228" i="2"/>
  <c r="A228" i="2" s="1"/>
  <c r="U229" i="2"/>
  <c r="A229" i="2" s="1"/>
  <c r="U230" i="2"/>
  <c r="A230" i="2" s="1"/>
  <c r="U231" i="2"/>
  <c r="A231" i="2" s="1"/>
  <c r="U232" i="2"/>
  <c r="A232" i="2" s="1"/>
  <c r="U233" i="2"/>
  <c r="A233" i="2" s="1"/>
  <c r="U234" i="2"/>
  <c r="A234" i="2" s="1"/>
  <c r="U235" i="2"/>
  <c r="A235" i="2" s="1"/>
  <c r="U378" i="2"/>
  <c r="A378" i="2" s="1"/>
  <c r="U207" i="2"/>
  <c r="A207" i="2" s="1"/>
  <c r="U208" i="2"/>
  <c r="A208" i="2" s="1"/>
  <c r="U209" i="2"/>
  <c r="A209" i="2" s="1"/>
  <c r="U210" i="2"/>
  <c r="A210" i="2" s="1"/>
  <c r="U211" i="2"/>
  <c r="A211" i="2" s="1"/>
  <c r="U212" i="2"/>
  <c r="A212" i="2" s="1"/>
  <c r="U213" i="2"/>
  <c r="A213" i="2" s="1"/>
  <c r="U366" i="2"/>
  <c r="A366" i="2" s="1"/>
  <c r="U214" i="2"/>
  <c r="A214" i="2" s="1"/>
  <c r="U215" i="2"/>
  <c r="A215" i="2" s="1"/>
  <c r="U367" i="2"/>
  <c r="A367" i="2" s="1"/>
  <c r="U216" i="2"/>
  <c r="A216" i="2" s="1"/>
  <c r="U217" i="2"/>
  <c r="A217" i="2" s="1"/>
  <c r="U368" i="2"/>
  <c r="A368" i="2" s="1"/>
  <c r="U369" i="2"/>
  <c r="A369" i="2" s="1"/>
  <c r="U370" i="2"/>
  <c r="A370" i="2" s="1"/>
  <c r="U371" i="2"/>
  <c r="A371" i="2" s="1"/>
  <c r="U372" i="2"/>
  <c r="A372" i="2" s="1"/>
  <c r="U218" i="2"/>
  <c r="A218" i="2" s="1"/>
  <c r="U373" i="2"/>
  <c r="A373" i="2" s="1"/>
  <c r="U374" i="2"/>
  <c r="A374" i="2" s="1"/>
  <c r="U219" i="2"/>
  <c r="A219" i="2" s="1"/>
  <c r="U375" i="2"/>
  <c r="A375" i="2" s="1"/>
  <c r="U376" i="2"/>
  <c r="A376" i="2" s="1"/>
  <c r="U377" i="2"/>
  <c r="A377" i="2" s="1"/>
  <c r="U82" i="2"/>
  <c r="A82" i="2" s="1"/>
  <c r="U81" i="2"/>
  <c r="A81" i="2" s="1"/>
  <c r="U80" i="2"/>
  <c r="A80" i="2" s="1"/>
  <c r="U79" i="2"/>
  <c r="A79" i="2" s="1"/>
  <c r="U78" i="2"/>
  <c r="A78" i="2" s="1"/>
  <c r="U77" i="2"/>
  <c r="A77" i="2" s="1"/>
  <c r="U76" i="2"/>
  <c r="A76" i="2" s="1"/>
  <c r="U75" i="2"/>
  <c r="A75" i="2" s="1"/>
  <c r="U74" i="2"/>
  <c r="A74" i="2" s="1"/>
  <c r="U73" i="2"/>
  <c r="A73" i="2" s="1"/>
  <c r="U72" i="2"/>
  <c r="A72" i="2" s="1"/>
  <c r="U71" i="2"/>
  <c r="A71" i="2" s="1"/>
  <c r="U70" i="2"/>
  <c r="A70" i="2" s="1"/>
  <c r="U69" i="2"/>
  <c r="A69" i="2" s="1"/>
  <c r="U68" i="2"/>
  <c r="A68" i="2" s="1"/>
  <c r="U67" i="2"/>
  <c r="A67" i="2" s="1"/>
  <c r="U66" i="2"/>
  <c r="A66" i="2" s="1"/>
  <c r="U65" i="2"/>
  <c r="A65" i="2" s="1"/>
  <c r="U64" i="2"/>
  <c r="A64" i="2" s="1"/>
  <c r="U63" i="2"/>
  <c r="A63" i="2" s="1"/>
  <c r="U62" i="2"/>
  <c r="A62" i="2" s="1"/>
  <c r="U61" i="2"/>
  <c r="A61" i="2" s="1"/>
  <c r="U60" i="2"/>
  <c r="A60" i="2" s="1"/>
  <c r="U59" i="2"/>
  <c r="A59" i="2" s="1"/>
  <c r="U58" i="2"/>
  <c r="A58" i="2" s="1"/>
  <c r="U57" i="2"/>
  <c r="A57" i="2" s="1"/>
  <c r="U56" i="2"/>
  <c r="A56" i="2" s="1"/>
  <c r="U55" i="2"/>
  <c r="A55" i="2" s="1"/>
  <c r="U54" i="2"/>
  <c r="A54" i="2" s="1"/>
  <c r="U53" i="2"/>
  <c r="A53" i="2" s="1"/>
  <c r="U52" i="2"/>
  <c r="A52" i="2" s="1"/>
  <c r="U51" i="2"/>
  <c r="A51" i="2" s="1"/>
  <c r="U50" i="2"/>
  <c r="A50" i="2" s="1"/>
  <c r="U49" i="2"/>
  <c r="A49" i="2" s="1"/>
  <c r="U48" i="2"/>
  <c r="A48" i="2" s="1"/>
  <c r="U47" i="2"/>
  <c r="A47" i="2" s="1"/>
  <c r="U46" i="2"/>
  <c r="A46" i="2" s="1"/>
  <c r="U45" i="2"/>
  <c r="A45" i="2" s="1"/>
  <c r="U44" i="2"/>
  <c r="A44" i="2" s="1"/>
  <c r="U43" i="2"/>
  <c r="A43" i="2" s="1"/>
  <c r="U42" i="2"/>
  <c r="A42" i="2" s="1"/>
  <c r="U41" i="2"/>
  <c r="A41" i="2" s="1"/>
  <c r="U40" i="2"/>
  <c r="A40" i="2" s="1"/>
  <c r="U22" i="2"/>
  <c r="A22" i="2" s="1"/>
  <c r="U21" i="2"/>
  <c r="A21" i="2" s="1"/>
  <c r="U20" i="2"/>
  <c r="A20" i="2" s="1"/>
  <c r="U19" i="2"/>
  <c r="A19" i="2" s="1"/>
  <c r="U18" i="2"/>
  <c r="A18" i="2" s="1"/>
  <c r="U17" i="2"/>
  <c r="A17" i="2" s="1"/>
  <c r="U16" i="2"/>
  <c r="A16" i="2" s="1"/>
  <c r="U15" i="2"/>
  <c r="A15" i="2" s="1"/>
  <c r="U14" i="2"/>
  <c r="A14" i="2" s="1"/>
  <c r="U13" i="2"/>
  <c r="A13" i="2" s="1"/>
  <c r="U12" i="2"/>
  <c r="A12" i="2" s="1"/>
  <c r="U11" i="2"/>
  <c r="A11" i="2" s="1"/>
  <c r="U10" i="2"/>
  <c r="A10" i="2" s="1"/>
  <c r="U9" i="2"/>
  <c r="A9" i="2" s="1"/>
  <c r="U4" i="2" l="1"/>
  <c r="A4" i="2" s="1"/>
  <c r="U5" i="2"/>
  <c r="A5" i="2" s="1"/>
  <c r="U6" i="2"/>
  <c r="A6" i="2" s="1"/>
  <c r="U7" i="2"/>
  <c r="A7" i="2" s="1"/>
  <c r="U8" i="2"/>
  <c r="A8" i="2" s="1"/>
  <c r="U29" i="2"/>
  <c r="A29" i="2" s="1"/>
  <c r="U30" i="2"/>
  <c r="A30" i="2" s="1"/>
  <c r="U31" i="2"/>
  <c r="A31" i="2" s="1"/>
  <c r="U32" i="2"/>
  <c r="A32" i="2" s="1"/>
  <c r="U33" i="2"/>
  <c r="A33" i="2" s="1"/>
  <c r="U34" i="2"/>
  <c r="A34" i="2" s="1"/>
  <c r="U35" i="2"/>
  <c r="A35" i="2" s="1"/>
  <c r="U36" i="2"/>
  <c r="A36" i="2" s="1"/>
  <c r="U37" i="2"/>
  <c r="A37" i="2" s="1"/>
  <c r="U38" i="2"/>
  <c r="A38" i="2" s="1"/>
  <c r="U39" i="2"/>
  <c r="A39" i="2" s="1"/>
  <c r="U119" i="2"/>
  <c r="A119" i="2" s="1"/>
  <c r="U120" i="2"/>
  <c r="A120" i="2" s="1"/>
  <c r="U121" i="2"/>
  <c r="A121" i="2" s="1"/>
  <c r="U122" i="2"/>
  <c r="A122" i="2" s="1"/>
  <c r="U123" i="2"/>
  <c r="A123" i="2" s="1"/>
  <c r="U124" i="2"/>
  <c r="A124" i="2" s="1"/>
  <c r="U125" i="2"/>
  <c r="A125" i="2" s="1"/>
  <c r="U126" i="2"/>
  <c r="A126" i="2" s="1"/>
  <c r="U127" i="2"/>
  <c r="A127" i="2" s="1"/>
  <c r="U128" i="2"/>
  <c r="A128" i="2" s="1"/>
  <c r="U129" i="2"/>
  <c r="A129" i="2" s="1"/>
  <c r="U130" i="2"/>
  <c r="A130" i="2" s="1"/>
  <c r="U131" i="2"/>
  <c r="A131" i="2" s="1"/>
  <c r="U132" i="2"/>
  <c r="A132" i="2" s="1"/>
  <c r="U133" i="2"/>
  <c r="A133" i="2" s="1"/>
  <c r="U134" i="2"/>
  <c r="A134" i="2" s="1"/>
  <c r="U135" i="2"/>
  <c r="A135" i="2" s="1"/>
  <c r="U136" i="2"/>
  <c r="A136" i="2" s="1"/>
  <c r="U137" i="2"/>
  <c r="A137" i="2" s="1"/>
  <c r="U138" i="2"/>
  <c r="A138" i="2" s="1"/>
  <c r="U139" i="2"/>
  <c r="A139" i="2" s="1"/>
  <c r="U140" i="2"/>
  <c r="A140" i="2" s="1"/>
  <c r="U141" i="2"/>
  <c r="A141" i="2" s="1"/>
  <c r="U142" i="2"/>
  <c r="A142" i="2" s="1"/>
  <c r="U143" i="2"/>
  <c r="A143" i="2" s="1"/>
  <c r="U144" i="2"/>
  <c r="A144" i="2" s="1"/>
  <c r="U145" i="2"/>
  <c r="A145" i="2" s="1"/>
  <c r="U146" i="2"/>
  <c r="A146" i="2" s="1"/>
  <c r="U147" i="2"/>
  <c r="A147" i="2" s="1"/>
  <c r="U148" i="2"/>
  <c r="A148" i="2" s="1"/>
  <c r="U149" i="2"/>
  <c r="A149" i="2" s="1"/>
  <c r="U150" i="2"/>
  <c r="A150" i="2" s="1"/>
  <c r="U151" i="2"/>
  <c r="A151" i="2" s="1"/>
  <c r="U152" i="2"/>
  <c r="A152" i="2" s="1"/>
  <c r="U153" i="2"/>
  <c r="A153" i="2" s="1"/>
  <c r="U154" i="2"/>
  <c r="A154" i="2" s="1"/>
  <c r="U155" i="2"/>
  <c r="A155" i="2" s="1"/>
  <c r="U156" i="2"/>
  <c r="A156" i="2" s="1"/>
  <c r="U157" i="2"/>
  <c r="A157" i="2" s="1"/>
  <c r="U158" i="2"/>
  <c r="A158" i="2" s="1"/>
  <c r="U159" i="2"/>
  <c r="A159" i="2" s="1"/>
  <c r="U160" i="2"/>
  <c r="A160" i="2" s="1"/>
  <c r="U161" i="2"/>
  <c r="A161" i="2" s="1"/>
  <c r="U162" i="2"/>
  <c r="A162" i="2" s="1"/>
  <c r="U163" i="2"/>
  <c r="A163" i="2" s="1"/>
  <c r="U164" i="2"/>
  <c r="A164" i="2" s="1"/>
  <c r="U165" i="2"/>
  <c r="A165" i="2" s="1"/>
  <c r="U166" i="2"/>
  <c r="A166" i="2" s="1"/>
  <c r="U167" i="2"/>
  <c r="A167" i="2" s="1"/>
  <c r="U168" i="2"/>
  <c r="A168" i="2" s="1"/>
  <c r="U169" i="2"/>
  <c r="A169" i="2" s="1"/>
  <c r="U170" i="2"/>
  <c r="A170" i="2" s="1"/>
  <c r="U171" i="2"/>
  <c r="A171" i="2" s="1"/>
  <c r="U172" i="2"/>
  <c r="A172" i="2" s="1"/>
  <c r="U173" i="2"/>
  <c r="A173" i="2" s="1"/>
  <c r="U174" i="2"/>
  <c r="A174" i="2" s="1"/>
  <c r="U175" i="2"/>
  <c r="A175" i="2" s="1"/>
  <c r="U176" i="2"/>
  <c r="A176" i="2" s="1"/>
  <c r="U177" i="2"/>
  <c r="A177" i="2" s="1"/>
  <c r="U178" i="2"/>
  <c r="A178" i="2" s="1"/>
  <c r="U179" i="2"/>
  <c r="A179" i="2" s="1"/>
  <c r="U180" i="2"/>
  <c r="A180" i="2" s="1"/>
  <c r="U181" i="2"/>
  <c r="A181" i="2" s="1"/>
  <c r="U182" i="2"/>
  <c r="A182" i="2" s="1"/>
  <c r="U183" i="2"/>
  <c r="A183" i="2" s="1"/>
  <c r="U184" i="2"/>
  <c r="A184" i="2" s="1"/>
  <c r="U185" i="2"/>
  <c r="A185" i="2" s="1"/>
  <c r="U186" i="2"/>
  <c r="A186" i="2" s="1"/>
  <c r="U187" i="2"/>
  <c r="A187" i="2" s="1"/>
  <c r="U188" i="2"/>
  <c r="A188" i="2" s="1"/>
  <c r="U189" i="2"/>
  <c r="A189" i="2" s="1"/>
  <c r="U190" i="2"/>
  <c r="A190" i="2" s="1"/>
  <c r="U191" i="2"/>
  <c r="A191" i="2" s="1"/>
  <c r="U192" i="2"/>
  <c r="A192" i="2" s="1"/>
  <c r="U193" i="2"/>
  <c r="A193" i="2" s="1"/>
  <c r="U194" i="2"/>
  <c r="A194" i="2" s="1"/>
  <c r="U195" i="2"/>
  <c r="A195" i="2" s="1"/>
  <c r="U196" i="2"/>
  <c r="A196" i="2" s="1"/>
  <c r="U197" i="2"/>
  <c r="A197" i="2" s="1"/>
  <c r="U198" i="2"/>
  <c r="A198" i="2" s="1"/>
  <c r="U199" i="2"/>
  <c r="A199" i="2" s="1"/>
  <c r="U200" i="2"/>
  <c r="A200" i="2" s="1"/>
  <c r="U201" i="2"/>
  <c r="A201" i="2" s="1"/>
  <c r="U202" i="2"/>
  <c r="A202" i="2" s="1"/>
  <c r="U203" i="2"/>
  <c r="A203" i="2" s="1"/>
  <c r="U204" i="2"/>
  <c r="A204" i="2" s="1"/>
  <c r="U205" i="2"/>
  <c r="A205" i="2" s="1"/>
  <c r="U206" i="2"/>
  <c r="A206" i="2" s="1"/>
  <c r="U118" i="2" l="1"/>
  <c r="A118" i="2" s="1"/>
  <c r="U117" i="2"/>
  <c r="A117" i="2" s="1"/>
  <c r="U116" i="2"/>
  <c r="A116" i="2" s="1"/>
  <c r="U115" i="2"/>
  <c r="A115" i="2" s="1"/>
  <c r="U365" i="2"/>
  <c r="A365" i="2" s="1"/>
  <c r="U364" i="2"/>
  <c r="A364" i="2" s="1"/>
  <c r="U363" i="2"/>
  <c r="A363" i="2" s="1"/>
  <c r="U362" i="2"/>
  <c r="A362" i="2" s="1"/>
  <c r="U361" i="2"/>
  <c r="A361" i="2" s="1"/>
  <c r="U360" i="2"/>
  <c r="A360" i="2" s="1"/>
  <c r="U359" i="2"/>
  <c r="A359" i="2" s="1"/>
  <c r="U358" i="2"/>
  <c r="A358" i="2" s="1"/>
  <c r="U357" i="2"/>
  <c r="A357" i="2" s="1"/>
  <c r="U356" i="2"/>
  <c r="A356" i="2" s="1"/>
  <c r="U355" i="2"/>
  <c r="A355" i="2" s="1"/>
  <c r="U354" i="2"/>
  <c r="A354" i="2" s="1"/>
  <c r="U353" i="2"/>
  <c r="A353" i="2" s="1"/>
  <c r="U352" i="2"/>
  <c r="A352" i="2" s="1"/>
  <c r="U351" i="2"/>
  <c r="A351" i="2" s="1"/>
  <c r="U350" i="2"/>
  <c r="A350" i="2" s="1"/>
  <c r="U349" i="2"/>
  <c r="A349" i="2" s="1"/>
  <c r="U348" i="2"/>
  <c r="A348" i="2" s="1"/>
  <c r="U347" i="2"/>
  <c r="A347" i="2" s="1"/>
  <c r="U346" i="2"/>
  <c r="A346" i="2" s="1"/>
  <c r="U345" i="2"/>
  <c r="A345" i="2" s="1"/>
  <c r="U344" i="2"/>
  <c r="A344" i="2" s="1"/>
  <c r="U343" i="2"/>
  <c r="A343" i="2" s="1"/>
  <c r="U342" i="2"/>
  <c r="A342" i="2" s="1"/>
  <c r="U341" i="2"/>
  <c r="A341" i="2" s="1"/>
  <c r="U340" i="2"/>
  <c r="A340" i="2" s="1"/>
  <c r="U339" i="2"/>
  <c r="A339" i="2" s="1"/>
  <c r="U338" i="2"/>
  <c r="A338" i="2" s="1"/>
  <c r="U337" i="2"/>
  <c r="A337" i="2" s="1"/>
  <c r="U336" i="2"/>
  <c r="A336" i="2" s="1"/>
  <c r="U114" i="2"/>
  <c r="A114" i="2" s="1"/>
  <c r="U335" i="2"/>
  <c r="A335" i="2" s="1"/>
  <c r="U334" i="2"/>
  <c r="A334" i="2" s="1"/>
  <c r="U113" i="2"/>
  <c r="A113" i="2" s="1"/>
  <c r="U333" i="2"/>
  <c r="A333" i="2" s="1"/>
  <c r="U332" i="2"/>
  <c r="A332" i="2" s="1"/>
  <c r="U331" i="2"/>
  <c r="A331" i="2" s="1"/>
  <c r="U330" i="2"/>
  <c r="A330" i="2" s="1"/>
  <c r="U329" i="2"/>
  <c r="A329" i="2" s="1"/>
  <c r="U112" i="2"/>
  <c r="A112" i="2" s="1"/>
  <c r="U111" i="2"/>
  <c r="A111" i="2" s="1"/>
  <c r="U328" i="2"/>
  <c r="A328" i="2" s="1"/>
  <c r="U110" i="2"/>
  <c r="A110" i="2" s="1"/>
  <c r="U109" i="2"/>
  <c r="A109" i="2" s="1"/>
  <c r="U327" i="2"/>
  <c r="A327" i="2" s="1"/>
  <c r="U108" i="2"/>
  <c r="A108" i="2" s="1"/>
  <c r="U107" i="2"/>
  <c r="A107" i="2" s="1"/>
  <c r="U106" i="2"/>
  <c r="A106" i="2" s="1"/>
  <c r="U105" i="2"/>
  <c r="A105" i="2" s="1"/>
  <c r="U104" i="2"/>
  <c r="A104" i="2" s="1"/>
  <c r="U103" i="2"/>
  <c r="A103" i="2" s="1"/>
  <c r="U102" i="2"/>
  <c r="A102" i="2" s="1"/>
  <c r="U326" i="2"/>
  <c r="A326" i="2" s="1"/>
  <c r="U325" i="2"/>
  <c r="A325" i="2" s="1"/>
  <c r="U324" i="2"/>
  <c r="A324" i="2" s="1"/>
  <c r="U323" i="2"/>
  <c r="A323" i="2" s="1"/>
  <c r="U322" i="2"/>
  <c r="A322" i="2" s="1"/>
  <c r="U321" i="2"/>
  <c r="A321" i="2" s="1"/>
  <c r="U320" i="2"/>
  <c r="A320" i="2" s="1"/>
  <c r="U319" i="2"/>
  <c r="A319" i="2" s="1"/>
  <c r="U318" i="2"/>
  <c r="A318" i="2" s="1"/>
  <c r="U101" i="2"/>
  <c r="A101" i="2" s="1"/>
  <c r="U100" i="2"/>
  <c r="A100" i="2" s="1"/>
  <c r="U99" i="2"/>
  <c r="A99" i="2" s="1"/>
  <c r="U98" i="2"/>
  <c r="A98" i="2" s="1"/>
  <c r="U97" i="2"/>
  <c r="A97" i="2" s="1"/>
  <c r="U96" i="2"/>
  <c r="A96" i="2" s="1"/>
  <c r="U95" i="2"/>
  <c r="A95" i="2" s="1"/>
  <c r="U94" i="2"/>
  <c r="A94" i="2" s="1"/>
  <c r="U93" i="2"/>
  <c r="A93" i="2" s="1"/>
  <c r="U28" i="2"/>
  <c r="A28" i="2" s="1"/>
  <c r="U27" i="2"/>
  <c r="A27" i="2" s="1"/>
  <c r="U26" i="2"/>
  <c r="A26" i="2" s="1"/>
  <c r="U25" i="2"/>
  <c r="A25" i="2" s="1"/>
  <c r="U24" i="2"/>
  <c r="A24" i="2" s="1"/>
  <c r="U23" i="2"/>
  <c r="A23" i="2" s="1"/>
  <c r="U3" i="2"/>
  <c r="A3" i="2" s="1"/>
  <c r="A2" i="2"/>
  <c r="U317" i="2"/>
  <c r="A317" i="2" s="1"/>
  <c r="U316" i="2"/>
  <c r="A316" i="2" s="1"/>
  <c r="U315" i="2"/>
  <c r="A315" i="2" s="1"/>
  <c r="U314" i="2"/>
  <c r="A314" i="2" s="1"/>
  <c r="U313" i="2"/>
  <c r="A313" i="2" s="1"/>
  <c r="U312" i="2"/>
  <c r="A312" i="2" s="1"/>
  <c r="U311" i="2"/>
  <c r="A311" i="2" s="1"/>
  <c r="U310" i="2"/>
  <c r="A310" i="2" s="1"/>
  <c r="U309" i="2"/>
  <c r="A309" i="2" s="1"/>
  <c r="U308" i="2"/>
  <c r="A308" i="2" s="1"/>
  <c r="U307" i="2"/>
  <c r="A307" i="2" s="1"/>
  <c r="U306" i="2"/>
  <c r="A306" i="2" s="1"/>
  <c r="U305" i="2"/>
  <c r="A305" i="2" s="1"/>
  <c r="U304" i="2"/>
  <c r="A304" i="2" s="1"/>
  <c r="U303" i="2"/>
  <c r="A303" i="2" s="1"/>
  <c r="U302" i="2"/>
  <c r="A302" i="2" s="1"/>
  <c r="U301" i="2"/>
  <c r="A301" i="2" s="1"/>
  <c r="U300" i="2"/>
  <c r="A300" i="2" s="1"/>
  <c r="U299" i="2"/>
  <c r="A299" i="2" s="1"/>
  <c r="U298" i="2"/>
  <c r="A298" i="2" s="1"/>
  <c r="U297" i="2"/>
  <c r="A297" i="2" s="1"/>
  <c r="U296" i="2"/>
  <c r="A296" i="2" s="1"/>
  <c r="U295" i="2"/>
  <c r="A295" i="2" s="1"/>
  <c r="U294" i="2"/>
  <c r="A294" i="2" s="1"/>
  <c r="U293" i="2"/>
  <c r="A293" i="2" s="1"/>
  <c r="U292" i="2"/>
  <c r="A292" i="2" s="1"/>
  <c r="U291" i="2"/>
  <c r="A291" i="2" s="1"/>
  <c r="U290" i="2"/>
  <c r="A290" i="2" s="1"/>
  <c r="U289" i="2"/>
  <c r="A289" i="2" s="1"/>
  <c r="U288" i="2"/>
  <c r="A288" i="2" s="1"/>
  <c r="U287" i="2"/>
  <c r="A287" i="2" s="1"/>
  <c r="U286" i="2"/>
  <c r="A286" i="2" s="1"/>
  <c r="U285" i="2"/>
  <c r="A285" i="2" s="1"/>
  <c r="U284" i="2"/>
  <c r="A284" i="2" s="1"/>
  <c r="U283" i="2"/>
  <c r="A283" i="2" s="1"/>
  <c r="U282" i="2"/>
  <c r="A282" i="2" s="1"/>
  <c r="U281" i="2"/>
  <c r="A281" i="2" s="1"/>
  <c r="U280" i="2"/>
  <c r="A280" i="2" s="1"/>
  <c r="U279" i="2"/>
  <c r="A279" i="2" s="1"/>
  <c r="U278" i="2"/>
  <c r="A278" i="2" s="1"/>
  <c r="U277" i="2"/>
  <c r="A277" i="2" s="1"/>
  <c r="U276" i="2"/>
  <c r="A276" i="2" s="1"/>
  <c r="U275" i="2"/>
  <c r="A275" i="2" s="1"/>
  <c r="U274" i="2"/>
  <c r="A274" i="2" s="1"/>
  <c r="U273" i="2"/>
  <c r="A273" i="2" s="1"/>
  <c r="W54" i="1" l="1"/>
  <c r="V50" i="1"/>
  <c r="W31" i="1"/>
  <c r="N26" i="1"/>
  <c r="N86" i="1"/>
  <c r="S53" i="1"/>
  <c r="U47" i="1"/>
  <c r="W41" i="1"/>
  <c r="S26" i="1"/>
  <c r="U20" i="1"/>
  <c r="W14" i="1"/>
  <c r="N9" i="1"/>
  <c r="N46" i="1"/>
  <c r="P126" i="1"/>
  <c r="T44" i="1"/>
  <c r="S52" i="1"/>
  <c r="U46" i="1"/>
  <c r="W40" i="1"/>
  <c r="N35" i="1"/>
  <c r="W71" i="1"/>
  <c r="Q90" i="1"/>
  <c r="U113" i="1"/>
  <c r="U68" i="1"/>
  <c r="Q89" i="1"/>
  <c r="U108" i="1"/>
  <c r="O73" i="1"/>
  <c r="W93" i="1"/>
  <c r="T116" i="1"/>
  <c r="W67" i="1"/>
  <c r="U100" i="1"/>
  <c r="T119" i="1"/>
  <c r="Q76" i="1"/>
  <c r="W100" i="1"/>
  <c r="Q60" i="1"/>
  <c r="R84" i="1"/>
  <c r="U76" i="1"/>
  <c r="U95" i="1"/>
  <c r="U91" i="1"/>
  <c r="P119" i="1"/>
  <c r="V137" i="1"/>
  <c r="N121" i="1"/>
  <c r="U56" i="1"/>
  <c r="R124" i="1"/>
  <c r="W9" i="1"/>
  <c r="O9" i="1"/>
  <c r="N120" i="1"/>
  <c r="S7" i="1"/>
  <c r="N126" i="1"/>
  <c r="O5" i="1"/>
  <c r="R52" i="1"/>
  <c r="T46" i="1"/>
  <c r="V40" i="1"/>
  <c r="N133" i="1"/>
  <c r="V53" i="1"/>
  <c r="X47" i="1"/>
  <c r="O42" i="1"/>
  <c r="Q36" i="1"/>
  <c r="S30" i="1"/>
  <c r="X20" i="1"/>
  <c r="R14" i="1"/>
  <c r="T8" i="1"/>
  <c r="Q134" i="1"/>
  <c r="V38" i="1"/>
  <c r="X32" i="1"/>
  <c r="O27" i="1"/>
  <c r="T20" i="1"/>
  <c r="N14" i="1"/>
  <c r="P8" i="1"/>
  <c r="X131" i="1"/>
  <c r="N119" i="1"/>
  <c r="O32" i="1"/>
  <c r="Q26" i="1"/>
  <c r="S20" i="1"/>
  <c r="U14" i="1"/>
  <c r="W8" i="1"/>
  <c r="X136" i="1"/>
  <c r="O131" i="1"/>
  <c r="X114" i="1"/>
  <c r="P81" i="1"/>
  <c r="Q31" i="1"/>
  <c r="S25" i="1"/>
  <c r="X18" i="1"/>
  <c r="R12" i="1"/>
  <c r="N33" i="1"/>
  <c r="P44" i="1"/>
  <c r="O31" i="1"/>
  <c r="Q25" i="1"/>
  <c r="Q86" i="1"/>
  <c r="V52" i="1"/>
  <c r="X46" i="1"/>
  <c r="O41" i="1"/>
  <c r="V25" i="1"/>
  <c r="X19" i="1"/>
  <c r="O14" i="1"/>
  <c r="Q8" i="1"/>
  <c r="R126" i="1"/>
  <c r="W43" i="1"/>
  <c r="W119" i="1"/>
  <c r="R3" i="1"/>
  <c r="V51" i="1"/>
  <c r="X45" i="1"/>
  <c r="O40" i="1"/>
  <c r="Q34" i="1"/>
  <c r="S74" i="1"/>
  <c r="W91" i="1"/>
  <c r="R116" i="1"/>
  <c r="U74" i="1"/>
  <c r="S90" i="1"/>
  <c r="W109" i="1"/>
  <c r="V78" i="1"/>
  <c r="T97" i="1"/>
  <c r="R119" i="1"/>
  <c r="T70" i="1"/>
  <c r="S103" i="1"/>
  <c r="T57" i="1"/>
  <c r="O77" i="1"/>
  <c r="U103" i="1"/>
  <c r="U63" i="1"/>
  <c r="X88" i="1"/>
  <c r="U79" i="1"/>
  <c r="Q98" i="1"/>
  <c r="N102" i="1"/>
  <c r="Q28" i="1"/>
  <c r="V122" i="1"/>
  <c r="U26" i="1"/>
  <c r="W122" i="1"/>
  <c r="O25" i="1"/>
  <c r="N128" i="1"/>
  <c r="X121" i="1"/>
  <c r="N59" i="1"/>
  <c r="T124" i="1"/>
  <c r="S95" i="1"/>
  <c r="T127" i="1"/>
  <c r="S3" i="1"/>
  <c r="U51" i="1"/>
  <c r="W45" i="1"/>
  <c r="N40" i="1"/>
  <c r="S127" i="1"/>
  <c r="N53" i="1"/>
  <c r="P47" i="1"/>
  <c r="R41" i="1"/>
  <c r="T35" i="1"/>
  <c r="W130" i="1"/>
  <c r="P20" i="1"/>
  <c r="U13" i="1"/>
  <c r="W7" i="1"/>
  <c r="U128" i="1"/>
  <c r="N38" i="1"/>
  <c r="P32" i="1"/>
  <c r="R26" i="1"/>
  <c r="W19" i="1"/>
  <c r="Q13" i="1"/>
  <c r="V6" i="1"/>
  <c r="P131" i="1"/>
  <c r="U115" i="1"/>
  <c r="R31" i="1"/>
  <c r="T25" i="1"/>
  <c r="V19" i="1"/>
  <c r="X13" i="1"/>
  <c r="O8" i="1"/>
  <c r="P136" i="1"/>
  <c r="U130" i="1"/>
  <c r="P114" i="1"/>
  <c r="U70" i="1"/>
  <c r="W30" i="1"/>
  <c r="N42" i="1"/>
  <c r="R30" i="1"/>
  <c r="T24" i="1"/>
  <c r="O3" i="1"/>
  <c r="N52" i="1"/>
  <c r="P46" i="1"/>
  <c r="R40" i="1"/>
  <c r="N25" i="1"/>
  <c r="P19" i="1"/>
  <c r="R13" i="1"/>
  <c r="T7" i="1"/>
  <c r="O43" i="1"/>
  <c r="O119" i="1"/>
  <c r="W56" i="1"/>
  <c r="N51" i="1"/>
  <c r="P45" i="1"/>
  <c r="R39" i="1"/>
  <c r="T33" i="1"/>
  <c r="X76" i="1"/>
  <c r="V94" i="1"/>
  <c r="S132" i="1"/>
  <c r="S78" i="1"/>
  <c r="Q93" i="1"/>
  <c r="O112" i="1"/>
  <c r="S81" i="1"/>
  <c r="S100" i="1"/>
  <c r="T120" i="1"/>
  <c r="R73" i="1"/>
  <c r="Q106" i="1"/>
  <c r="S61" i="1"/>
  <c r="W80" i="1"/>
  <c r="T106" i="1"/>
  <c r="T66" i="1"/>
  <c r="W92" i="1"/>
  <c r="Q82" i="1"/>
  <c r="U102" i="1"/>
  <c r="O122" i="1"/>
  <c r="S15" i="1"/>
  <c r="T125" i="1"/>
  <c r="W13" i="1"/>
  <c r="U125" i="1"/>
  <c r="Q12" i="1"/>
  <c r="N129" i="1"/>
  <c r="S124" i="1"/>
  <c r="W69" i="1"/>
  <c r="R127" i="1"/>
  <c r="U99" i="1"/>
  <c r="T128" i="1"/>
  <c r="V56" i="1"/>
  <c r="X50" i="1"/>
  <c r="O45" i="1"/>
  <c r="Q39" i="1"/>
  <c r="U124" i="1"/>
  <c r="Q52" i="1"/>
  <c r="S46" i="1"/>
  <c r="U40" i="1"/>
  <c r="W34" i="1"/>
  <c r="R99" i="1"/>
  <c r="V18" i="1"/>
  <c r="X12" i="1"/>
  <c r="O7" i="1"/>
  <c r="X127" i="1"/>
  <c r="Q37" i="1"/>
  <c r="S31" i="1"/>
  <c r="U25" i="1"/>
  <c r="O19" i="1"/>
  <c r="T12" i="1"/>
  <c r="N6" i="1"/>
  <c r="V130" i="1"/>
  <c r="Q110" i="1"/>
  <c r="U30" i="1"/>
  <c r="W24" i="1"/>
  <c r="N19" i="1"/>
  <c r="P13" i="1"/>
  <c r="R7" i="1"/>
  <c r="W135" i="1"/>
  <c r="S129" i="1"/>
  <c r="W112" i="1"/>
  <c r="O67" i="1"/>
  <c r="S55" i="1"/>
  <c r="P36" i="1"/>
  <c r="U29" i="1"/>
  <c r="W23" i="1"/>
  <c r="W3" i="1"/>
  <c r="Q51" i="1"/>
  <c r="S45" i="1"/>
  <c r="U39" i="1"/>
  <c r="Q24" i="1"/>
  <c r="S18" i="1"/>
  <c r="U12" i="1"/>
  <c r="W6" i="1"/>
  <c r="U107" i="1"/>
  <c r="R42" i="1"/>
  <c r="R95" i="1"/>
  <c r="O56" i="1"/>
  <c r="Q50" i="1"/>
  <c r="S44" i="1"/>
  <c r="U38" i="1"/>
  <c r="S131" i="1"/>
  <c r="O81" i="1"/>
  <c r="U98" i="1"/>
  <c r="O57" i="1"/>
  <c r="R81" i="1"/>
  <c r="Q97" i="1"/>
  <c r="V113" i="1"/>
  <c r="V82" i="1"/>
  <c r="Q103" i="1"/>
  <c r="Q123" i="1"/>
  <c r="O76" i="1"/>
  <c r="V107" i="1"/>
  <c r="O63" i="1"/>
  <c r="T89" i="1"/>
  <c r="Q69" i="1"/>
  <c r="R60" i="1"/>
  <c r="N83" i="1"/>
  <c r="S105" i="1"/>
  <c r="V126" i="1"/>
  <c r="N12" i="1"/>
  <c r="X126" i="1"/>
  <c r="T94" i="1"/>
  <c r="R130" i="1"/>
  <c r="S87" i="1"/>
  <c r="X130" i="1"/>
  <c r="R128" i="1"/>
  <c r="Q74" i="1"/>
  <c r="S128" i="1"/>
  <c r="Q108" i="1"/>
  <c r="V132" i="1"/>
  <c r="N56" i="1"/>
  <c r="P50" i="1"/>
  <c r="R44" i="1"/>
  <c r="T38" i="1"/>
  <c r="T123" i="1"/>
  <c r="T51" i="1"/>
  <c r="O51" i="1"/>
  <c r="S35" i="1"/>
  <c r="X28" i="1"/>
  <c r="N28" i="1"/>
  <c r="R56" i="1"/>
  <c r="T50" i="1"/>
  <c r="V44" i="1"/>
  <c r="X38" i="1"/>
  <c r="T23" i="1"/>
  <c r="V17" i="1"/>
  <c r="X11" i="1"/>
  <c r="O6" i="1"/>
  <c r="V106" i="1"/>
  <c r="V73" i="1"/>
  <c r="R55" i="1"/>
  <c r="T49" i="1"/>
  <c r="V43" i="1"/>
  <c r="X37" i="1"/>
  <c r="V59" i="1"/>
  <c r="T82" i="1"/>
  <c r="Q101" i="1"/>
  <c r="N58" i="1"/>
  <c r="U82" i="1"/>
  <c r="O100" i="1"/>
  <c r="Q57" i="1"/>
  <c r="Q85" i="1"/>
  <c r="Q107" i="1"/>
  <c r="S57" i="1"/>
  <c r="Q80" i="1"/>
  <c r="W64" i="1"/>
  <c r="Q92" i="1"/>
  <c r="T115" i="1"/>
  <c r="U72" i="1"/>
  <c r="X63" i="1"/>
  <c r="W84" i="1"/>
  <c r="Q109" i="1"/>
  <c r="T131" i="1"/>
  <c r="W60" i="1"/>
  <c r="O130" i="1"/>
  <c r="S98" i="1"/>
  <c r="P133" i="1"/>
  <c r="X96" i="1"/>
  <c r="V133" i="1"/>
  <c r="T129" i="1"/>
  <c r="W76" i="1"/>
  <c r="V129" i="1"/>
  <c r="N110" i="1"/>
  <c r="N136" i="1"/>
  <c r="Q55" i="1"/>
  <c r="S49" i="1"/>
  <c r="U43" i="1"/>
  <c r="W37" i="1"/>
  <c r="V110" i="1"/>
  <c r="W50" i="1"/>
  <c r="N45" i="1"/>
  <c r="P39" i="1"/>
  <c r="R33" i="1"/>
  <c r="W79" i="1"/>
  <c r="Q17" i="1"/>
  <c r="S11" i="1"/>
  <c r="U5" i="1"/>
  <c r="U41" i="1"/>
  <c r="W35" i="1"/>
  <c r="N30" i="1"/>
  <c r="P24" i="1"/>
  <c r="U17" i="1"/>
  <c r="O11" i="1"/>
  <c r="T4" i="1"/>
  <c r="Q126" i="1"/>
  <c r="R83" i="1"/>
  <c r="P29" i="1"/>
  <c r="R23" i="1"/>
  <c r="T17" i="1"/>
  <c r="V11" i="1"/>
  <c r="X5" i="1"/>
  <c r="W134" i="1"/>
  <c r="X123" i="1"/>
  <c r="O97" i="1"/>
  <c r="P34" i="1"/>
  <c r="R28" i="1"/>
  <c r="T22" i="1"/>
  <c r="N16" i="1"/>
  <c r="S9" i="1"/>
  <c r="N34" i="1"/>
  <c r="P28" i="1"/>
  <c r="W125" i="1"/>
  <c r="U55" i="1"/>
  <c r="W49" i="1"/>
  <c r="N44" i="1"/>
  <c r="O17" i="1"/>
  <c r="W22" i="1"/>
  <c r="N17" i="1"/>
  <c r="P11" i="1"/>
  <c r="R5" i="1"/>
  <c r="T92" i="1"/>
  <c r="P135" i="1"/>
  <c r="N73" i="1"/>
  <c r="U54" i="1"/>
  <c r="W48" i="1"/>
  <c r="N43" i="1"/>
  <c r="P37" i="1"/>
  <c r="U62" i="1"/>
  <c r="V83" i="1"/>
  <c r="P104" i="1"/>
  <c r="X59" i="1"/>
  <c r="X83" i="1"/>
  <c r="S101" i="1"/>
  <c r="S58" i="1"/>
  <c r="V86" i="1"/>
  <c r="X108" i="1"/>
  <c r="V58" i="1"/>
  <c r="W85" i="1"/>
  <c r="X112" i="1"/>
  <c r="X67" i="1"/>
  <c r="O95" i="1"/>
  <c r="P118" i="1"/>
  <c r="O75" i="1"/>
  <c r="S69" i="1"/>
  <c r="N87" i="1"/>
  <c r="U110" i="1"/>
  <c r="P134" i="1"/>
  <c r="X75" i="1"/>
  <c r="R134" i="1"/>
  <c r="Q105" i="1"/>
  <c r="V134" i="1"/>
  <c r="W105" i="1"/>
  <c r="X134" i="1"/>
  <c r="R132" i="1"/>
  <c r="P83" i="1"/>
  <c r="T132" i="1"/>
  <c r="W114" i="1"/>
  <c r="T54" i="1"/>
  <c r="V48" i="1"/>
  <c r="X42" i="1"/>
  <c r="O37" i="1"/>
  <c r="X55" i="1"/>
  <c r="O50" i="1"/>
  <c r="Q44" i="1"/>
  <c r="S38" i="1"/>
  <c r="U32" i="1"/>
  <c r="O23" i="1"/>
  <c r="T16" i="1"/>
  <c r="V10" i="1"/>
  <c r="X4" i="1"/>
  <c r="T3" i="1"/>
  <c r="Q33" i="1"/>
  <c r="S27" i="1"/>
  <c r="O125" i="1"/>
  <c r="X54" i="1"/>
  <c r="O49" i="1"/>
  <c r="Q43" i="1"/>
  <c r="Q131" i="1"/>
  <c r="O22" i="1"/>
  <c r="Q16" i="1"/>
  <c r="S10" i="1"/>
  <c r="U4" i="1"/>
  <c r="X62" i="1"/>
  <c r="U129" i="1"/>
  <c r="V46" i="1"/>
  <c r="X53" i="1"/>
  <c r="O48" i="1"/>
  <c r="Q42" i="1"/>
  <c r="S36" i="1"/>
  <c r="Q65" i="1"/>
  <c r="S86" i="1"/>
  <c r="S108" i="1"/>
  <c r="T65" i="1"/>
  <c r="T86" i="1"/>
  <c r="X122" i="1"/>
  <c r="P53" i="1"/>
  <c r="X87" i="1"/>
  <c r="X113" i="1"/>
  <c r="Q72" i="1"/>
  <c r="V75" i="1"/>
  <c r="X117" i="1"/>
  <c r="T121" i="1"/>
  <c r="S19" i="1"/>
  <c r="Q47" i="1"/>
  <c r="U48" i="1"/>
  <c r="X31" i="1"/>
  <c r="P12" i="1"/>
  <c r="P40" i="1"/>
  <c r="T28" i="1"/>
  <c r="P16" i="1"/>
  <c r="Q136" i="1"/>
  <c r="T63" i="1"/>
  <c r="X21" i="1"/>
  <c r="Q10" i="1"/>
  <c r="T133" i="1"/>
  <c r="O93" i="1"/>
  <c r="O29" i="1"/>
  <c r="R20" i="1"/>
  <c r="U11" i="1"/>
  <c r="R4" i="1"/>
  <c r="Q132" i="1"/>
  <c r="W123" i="1"/>
  <c r="P116" i="1"/>
  <c r="X90" i="1"/>
  <c r="O26" i="1"/>
  <c r="Q20" i="1"/>
  <c r="S14" i="1"/>
  <c r="X7" i="1"/>
  <c r="R133" i="1"/>
  <c r="O127" i="1"/>
  <c r="O120" i="1"/>
  <c r="R94" i="1"/>
  <c r="S60" i="1"/>
  <c r="X129" i="1"/>
  <c r="X124" i="1"/>
  <c r="N116" i="1"/>
  <c r="R27" i="1"/>
  <c r="W20" i="1"/>
  <c r="N15" i="1"/>
  <c r="P9" i="1"/>
  <c r="S135" i="1"/>
  <c r="O128" i="1"/>
  <c r="U120" i="1"/>
  <c r="V103" i="1"/>
  <c r="R91" i="1"/>
  <c r="V36" i="1"/>
  <c r="P30" i="1"/>
  <c r="X22" i="1"/>
  <c r="U15" i="1"/>
  <c r="U7" i="1"/>
  <c r="O55" i="1"/>
  <c r="R21" i="1"/>
  <c r="R47" i="1"/>
  <c r="W104" i="1"/>
  <c r="Q61" i="1"/>
  <c r="U96" i="1"/>
  <c r="O91" i="1"/>
  <c r="T135" i="1"/>
  <c r="P49" i="1"/>
  <c r="R120" i="1"/>
  <c r="P42" i="1"/>
  <c r="V45" i="1"/>
  <c r="P31" i="1"/>
  <c r="N10" i="1"/>
  <c r="S39" i="1"/>
  <c r="W27" i="1"/>
  <c r="V14" i="1"/>
  <c r="U133" i="1"/>
  <c r="W32" i="1"/>
  <c r="P21" i="1"/>
  <c r="T9" i="1"/>
  <c r="W131" i="1"/>
  <c r="X81" i="1"/>
  <c r="U27" i="1"/>
  <c r="U19" i="1"/>
  <c r="X10" i="1"/>
  <c r="W137" i="1"/>
  <c r="V131" i="1"/>
  <c r="O123" i="1"/>
  <c r="S115" i="1"/>
  <c r="P90" i="1"/>
  <c r="R25" i="1"/>
  <c r="T19" i="1"/>
  <c r="V13" i="1"/>
  <c r="P7" i="1"/>
  <c r="X132" i="1"/>
  <c r="S125" i="1"/>
  <c r="W118" i="1"/>
  <c r="U93" i="1"/>
  <c r="P4" i="1"/>
  <c r="P129" i="1"/>
  <c r="P124" i="1"/>
  <c r="S102" i="1"/>
  <c r="X25" i="1"/>
  <c r="O20" i="1"/>
  <c r="Q14" i="1"/>
  <c r="S8" i="1"/>
  <c r="S134" i="1"/>
  <c r="U127" i="1"/>
  <c r="Q119" i="1"/>
  <c r="N103" i="1"/>
  <c r="S88" i="1"/>
  <c r="N36" i="1"/>
  <c r="S29" i="1"/>
  <c r="P22" i="1"/>
  <c r="X14" i="1"/>
  <c r="X6" i="1"/>
  <c r="O133" i="1"/>
  <c r="N124" i="1"/>
  <c r="W113" i="1"/>
  <c r="P65" i="1"/>
  <c r="V112" i="1"/>
  <c r="W101" i="1"/>
  <c r="Q94" i="1"/>
  <c r="N89" i="1"/>
  <c r="T80" i="1"/>
  <c r="S72" i="1"/>
  <c r="W65" i="1"/>
  <c r="N57" i="1"/>
  <c r="P87" i="1"/>
  <c r="N81" i="1"/>
  <c r="W74" i="1"/>
  <c r="N68" i="1"/>
  <c r="W59" i="1"/>
  <c r="T32" i="1"/>
  <c r="T15" i="1"/>
  <c r="T41" i="1"/>
  <c r="N107" i="1"/>
  <c r="U64" i="1"/>
  <c r="O99" i="1"/>
  <c r="S94" i="1"/>
  <c r="T136" i="1"/>
  <c r="S23" i="1"/>
  <c r="R123" i="1"/>
  <c r="S41" i="1"/>
  <c r="T43" i="1"/>
  <c r="U80" i="1"/>
  <c r="Q9" i="1"/>
  <c r="T36" i="1"/>
  <c r="X24" i="1"/>
  <c r="W11" i="1"/>
  <c r="N130" i="1"/>
  <c r="X29" i="1"/>
  <c r="Q18" i="1"/>
  <c r="U6" i="1"/>
  <c r="Q127" i="1"/>
  <c r="Q59" i="1"/>
  <c r="X26" i="1"/>
  <c r="P18" i="1"/>
  <c r="P10" i="1"/>
  <c r="N131" i="1"/>
  <c r="U122" i="1"/>
  <c r="W108" i="1"/>
  <c r="R87" i="1"/>
  <c r="U24" i="1"/>
  <c r="W18" i="1"/>
  <c r="N13" i="1"/>
  <c r="S6" i="1"/>
  <c r="P132" i="1"/>
  <c r="Q124" i="1"/>
  <c r="O118" i="1"/>
  <c r="S84" i="1"/>
  <c r="U137" i="1"/>
  <c r="X128" i="1"/>
  <c r="U123" i="1"/>
  <c r="V101" i="1"/>
  <c r="P25" i="1"/>
  <c r="R19" i="1"/>
  <c r="T13" i="1"/>
  <c r="V7" i="1"/>
  <c r="X133" i="1"/>
  <c r="T126" i="1"/>
  <c r="U118" i="1"/>
  <c r="T99" i="1"/>
  <c r="V85" i="1"/>
  <c r="Q35" i="1"/>
  <c r="V28" i="1"/>
  <c r="S21" i="1"/>
  <c r="P14" i="1"/>
  <c r="P6" i="1"/>
  <c r="U132" i="1"/>
  <c r="S123" i="1"/>
  <c r="O113" i="1"/>
  <c r="W58" i="1"/>
  <c r="N112" i="1"/>
  <c r="O101" i="1"/>
  <c r="V93" i="1"/>
  <c r="R88" i="1"/>
  <c r="Q79" i="1"/>
  <c r="O71" i="1"/>
  <c r="O65" i="1"/>
  <c r="R92" i="1"/>
  <c r="W86" i="1"/>
  <c r="S80" i="1"/>
  <c r="O74" i="1"/>
  <c r="Q66" i="1"/>
  <c r="O59" i="1"/>
  <c r="V26" i="1"/>
  <c r="V9" i="1"/>
  <c r="V35" i="1"/>
  <c r="Q64" i="1"/>
  <c r="S89" i="1"/>
  <c r="X119" i="1"/>
  <c r="O114" i="1"/>
  <c r="S109" i="1"/>
  <c r="X41" i="1"/>
  <c r="V34" i="1"/>
  <c r="U35" i="1"/>
  <c r="W42" i="1"/>
  <c r="R22" i="1"/>
  <c r="R6" i="1"/>
  <c r="O35" i="1"/>
  <c r="V22" i="1"/>
  <c r="R10" i="1"/>
  <c r="V125" i="1"/>
  <c r="S28" i="1"/>
  <c r="W16" i="1"/>
  <c r="P5" i="1"/>
  <c r="P123" i="1"/>
  <c r="S33" i="1"/>
  <c r="P26" i="1"/>
  <c r="S17" i="1"/>
  <c r="V8" i="1"/>
  <c r="W136" i="1"/>
  <c r="T130" i="1"/>
  <c r="S121" i="1"/>
  <c r="O108" i="1"/>
  <c r="T77" i="1"/>
  <c r="X23" i="1"/>
  <c r="O18" i="1"/>
  <c r="T11" i="1"/>
  <c r="V5" i="1"/>
  <c r="U131" i="1"/>
  <c r="V123" i="1"/>
  <c r="S75" i="1"/>
  <c r="U136" i="1"/>
  <c r="P128" i="1"/>
  <c r="S122" i="1"/>
  <c r="N101" i="1"/>
  <c r="S24" i="1"/>
  <c r="U18" i="1"/>
  <c r="W12" i="1"/>
  <c r="N7" i="1"/>
  <c r="N132" i="1"/>
  <c r="Q125" i="1"/>
  <c r="X109" i="1"/>
  <c r="X98" i="1"/>
  <c r="N85" i="1"/>
  <c r="T34" i="1"/>
  <c r="Q27" i="1"/>
  <c r="V20" i="1"/>
  <c r="S13" i="1"/>
  <c r="T103" i="1"/>
  <c r="R32" i="1"/>
  <c r="P68" i="1"/>
  <c r="U67" i="1"/>
  <c r="O96" i="1"/>
  <c r="W57" i="1"/>
  <c r="U117" i="1"/>
  <c r="Q113" i="1"/>
  <c r="O21" i="1"/>
  <c r="W17" i="1"/>
  <c r="X34" i="1"/>
  <c r="X39" i="1"/>
  <c r="U21" i="1"/>
  <c r="R136" i="1"/>
  <c r="R34" i="1"/>
  <c r="N22" i="1"/>
  <c r="U9" i="1"/>
  <c r="N125" i="1"/>
  <c r="V27" i="1"/>
  <c r="O16" i="1"/>
  <c r="S4" i="1"/>
  <c r="N122" i="1"/>
  <c r="V32" i="1"/>
  <c r="V24" i="1"/>
  <c r="V16" i="1"/>
  <c r="N8" i="1"/>
  <c r="R129" i="1"/>
  <c r="X120" i="1"/>
  <c r="V104" i="1"/>
  <c r="V29" i="1"/>
  <c r="P23" i="1"/>
  <c r="R17" i="1"/>
  <c r="W10" i="1"/>
  <c r="N5" i="1"/>
  <c r="S130" i="1"/>
  <c r="N123" i="1"/>
  <c r="R109" i="1"/>
  <c r="X71" i="1"/>
  <c r="T134" i="1"/>
  <c r="V127" i="1"/>
  <c r="Q121" i="1"/>
  <c r="R82" i="1"/>
  <c r="V23" i="1"/>
  <c r="X17" i="1"/>
  <c r="O12" i="1"/>
  <c r="Q6" i="1"/>
  <c r="Q130" i="1"/>
  <c r="W124" i="1"/>
  <c r="P109" i="1"/>
  <c r="P98" i="1"/>
  <c r="X68" i="1"/>
  <c r="W33" i="1"/>
  <c r="T26" i="1"/>
  <c r="N20" i="1"/>
  <c r="V12" i="1"/>
  <c r="V4" i="1"/>
  <c r="P130" i="1"/>
  <c r="W121" i="1"/>
  <c r="Q102" i="1"/>
  <c r="Q117" i="1"/>
  <c r="R110" i="1"/>
  <c r="N100" i="1"/>
  <c r="S92" i="1"/>
  <c r="X86" i="1"/>
  <c r="T76" i="1"/>
  <c r="W68" i="1"/>
  <c r="W62" i="1"/>
  <c r="P91" i="1"/>
  <c r="T85" i="1"/>
  <c r="P79" i="1"/>
  <c r="R72" i="1"/>
  <c r="N65" i="1"/>
  <c r="U57" i="1"/>
  <c r="X105" i="1"/>
  <c r="W98" i="1"/>
  <c r="W87" i="1"/>
  <c r="O82" i="1"/>
  <c r="N74" i="1"/>
  <c r="P66" i="1"/>
  <c r="P122" i="1"/>
  <c r="N114" i="1"/>
  <c r="O105" i="1"/>
  <c r="V98" i="1"/>
  <c r="X92" i="1"/>
  <c r="R85" i="1"/>
  <c r="W75" i="1"/>
  <c r="P54" i="1"/>
  <c r="P62" i="1"/>
  <c r="V87" i="1"/>
  <c r="R89" i="1"/>
  <c r="P115" i="1"/>
  <c r="R76" i="1"/>
  <c r="Q135" i="1"/>
  <c r="X135" i="1"/>
  <c r="S116" i="1"/>
  <c r="W53" i="1"/>
  <c r="P55" i="1"/>
  <c r="V37" i="1"/>
  <c r="N18" i="1"/>
  <c r="N134" i="1"/>
  <c r="U33" i="1"/>
  <c r="Q21" i="1"/>
  <c r="X8" i="1"/>
  <c r="V119" i="1"/>
  <c r="N27" i="1"/>
  <c r="R15" i="1"/>
  <c r="X137" i="1"/>
  <c r="U119" i="1"/>
  <c r="N32" i="1"/>
  <c r="N24" i="1"/>
  <c r="Q15" i="1"/>
  <c r="Q7" i="1"/>
  <c r="V135" i="1"/>
  <c r="P127" i="1"/>
  <c r="P120" i="1"/>
  <c r="N104" i="1"/>
  <c r="N29" i="1"/>
  <c r="S22" i="1"/>
  <c r="U16" i="1"/>
  <c r="O10" i="1"/>
  <c r="Q4" i="1"/>
  <c r="Q129" i="1"/>
  <c r="T122" i="1"/>
  <c r="U106" i="1"/>
  <c r="P71" i="1"/>
  <c r="Q133" i="1"/>
  <c r="N127" i="1"/>
  <c r="V120" i="1"/>
  <c r="W78" i="1"/>
  <c r="N23" i="1"/>
  <c r="P17" i="1"/>
  <c r="R11" i="1"/>
  <c r="T5" i="1"/>
  <c r="W129" i="1"/>
  <c r="O124" i="1"/>
  <c r="W107" i="1"/>
  <c r="T95" i="1"/>
  <c r="U61" i="1"/>
  <c r="O33" i="1"/>
  <c r="W25" i="1"/>
  <c r="Q19" i="1"/>
  <c r="Q11" i="1"/>
  <c r="T42" i="1"/>
  <c r="Q45" i="1"/>
  <c r="P67" i="1"/>
  <c r="P112" i="1"/>
  <c r="V70" i="1"/>
  <c r="X72" i="1"/>
  <c r="S82" i="1"/>
  <c r="U111" i="1"/>
  <c r="R36" i="1"/>
  <c r="N48" i="1"/>
  <c r="R49" i="1"/>
  <c r="O34" i="1"/>
  <c r="O15" i="1"/>
  <c r="X40" i="1"/>
  <c r="Q29" i="1"/>
  <c r="X16" i="1"/>
  <c r="S66" i="1"/>
  <c r="U22" i="1"/>
  <c r="N11" i="1"/>
  <c r="O134" i="1"/>
  <c r="S96" i="1"/>
  <c r="W29" i="1"/>
  <c r="W21" i="1"/>
  <c r="O13" i="1"/>
  <c r="W5" i="1"/>
  <c r="S133" i="1"/>
  <c r="O126" i="1"/>
  <c r="X116" i="1"/>
  <c r="P101" i="1"/>
  <c r="W26" i="1"/>
  <c r="N21" i="1"/>
  <c r="P15" i="1"/>
  <c r="U8" i="1"/>
  <c r="U134" i="1"/>
  <c r="W127" i="1"/>
  <c r="W120" i="1"/>
  <c r="U97" i="1"/>
  <c r="N64" i="1"/>
  <c r="O132" i="1"/>
  <c r="R125" i="1"/>
  <c r="V116" i="1"/>
  <c r="T72" i="1"/>
  <c r="T21" i="1"/>
  <c r="V15" i="1"/>
  <c r="X9" i="1"/>
  <c r="O4" i="1"/>
  <c r="W128" i="1"/>
  <c r="P121" i="1"/>
  <c r="S106" i="1"/>
  <c r="P94" i="1"/>
  <c r="S37" i="1"/>
  <c r="X30" i="1"/>
  <c r="U23" i="1"/>
  <c r="R16" i="1"/>
  <c r="R8" i="1"/>
  <c r="R135" i="1"/>
  <c r="P125" i="1"/>
  <c r="P117" i="1"/>
  <c r="R79" i="1"/>
  <c r="Q114" i="1"/>
  <c r="O104" i="1"/>
  <c r="N97" i="1"/>
  <c r="O90" i="1"/>
  <c r="Q83" i="1"/>
  <c r="P74" i="1"/>
  <c r="N67" i="1"/>
  <c r="P59" i="1"/>
  <c r="U89" i="1"/>
  <c r="P82" i="1"/>
  <c r="S76" i="1"/>
  <c r="S70" i="1"/>
  <c r="V62" i="1"/>
  <c r="O117" i="1"/>
  <c r="O109" i="1"/>
  <c r="X102" i="1"/>
  <c r="Q95" i="1"/>
  <c r="X84" i="1"/>
  <c r="O79" i="1"/>
  <c r="R70" i="1"/>
  <c r="Q63" i="1"/>
  <c r="Q118" i="1"/>
  <c r="W110" i="1"/>
  <c r="W102" i="1"/>
  <c r="Q96" i="1"/>
  <c r="V136" i="1"/>
  <c r="R18" i="1"/>
  <c r="Q23" i="1"/>
  <c r="V21" i="1"/>
  <c r="W132" i="1"/>
  <c r="O129" i="1"/>
  <c r="T10" i="1"/>
  <c r="V124" i="1"/>
  <c r="X65" i="1"/>
  <c r="R102" i="1"/>
  <c r="V89" i="1"/>
  <c r="U73" i="1"/>
  <c r="V57" i="1"/>
  <c r="V81" i="1"/>
  <c r="V68" i="1"/>
  <c r="U116" i="1"/>
  <c r="T107" i="1"/>
  <c r="O98" i="1"/>
  <c r="P84" i="1"/>
  <c r="P75" i="1"/>
  <c r="U65" i="1"/>
  <c r="V117" i="1"/>
  <c r="N109" i="1"/>
  <c r="N98" i="1"/>
  <c r="N91" i="1"/>
  <c r="V79" i="1"/>
  <c r="T68" i="1"/>
  <c r="U59" i="1"/>
  <c r="X111" i="1"/>
  <c r="N105" i="1"/>
  <c r="R93" i="1"/>
  <c r="X80" i="1"/>
  <c r="W72" i="1"/>
  <c r="R67" i="1"/>
  <c r="V60" i="1"/>
  <c r="Q112" i="1"/>
  <c r="R101" i="1"/>
  <c r="V92" i="1"/>
  <c r="U84" i="1"/>
  <c r="X73" i="1"/>
  <c r="R68" i="1"/>
  <c r="R62" i="1"/>
  <c r="Q116" i="1"/>
  <c r="R108" i="1"/>
  <c r="T102" i="1"/>
  <c r="P93" i="1"/>
  <c r="T84" i="1"/>
  <c r="U77" i="1"/>
  <c r="T69" i="1"/>
  <c r="X58" i="1"/>
  <c r="W61" i="1"/>
  <c r="X107" i="1"/>
  <c r="U92" i="1"/>
  <c r="V76" i="1"/>
  <c r="Q68" i="1"/>
  <c r="Q81" i="1"/>
  <c r="X57" i="1"/>
  <c r="X97" i="1"/>
  <c r="Q62" i="1"/>
  <c r="X93" i="1"/>
  <c r="R48" i="1"/>
  <c r="V118" i="1"/>
  <c r="Q5" i="1"/>
  <c r="T14" i="1"/>
  <c r="X15" i="1"/>
  <c r="U126" i="1"/>
  <c r="R122" i="1"/>
  <c r="S5" i="1"/>
  <c r="Q122" i="1"/>
  <c r="O58" i="1"/>
  <c r="V100" i="1"/>
  <c r="Q87" i="1"/>
  <c r="R69" i="1"/>
  <c r="X91" i="1"/>
  <c r="X79" i="1"/>
  <c r="V65" i="1"/>
  <c r="R115" i="1"/>
  <c r="R106" i="1"/>
  <c r="R96" i="1"/>
  <c r="W83" i="1"/>
  <c r="V74" i="1"/>
  <c r="S64" i="1"/>
  <c r="N117" i="1"/>
  <c r="S107" i="1"/>
  <c r="S97" i="1"/>
  <c r="T90" i="1"/>
  <c r="N79" i="1"/>
  <c r="S67" i="1"/>
  <c r="U121" i="1"/>
  <c r="S104" i="1"/>
  <c r="O92" i="1"/>
  <c r="P80" i="1"/>
  <c r="O72" i="1"/>
  <c r="V66" i="1"/>
  <c r="N60" i="1"/>
  <c r="Q100" i="1"/>
  <c r="N92" i="1"/>
  <c r="T83" i="1"/>
  <c r="P73" i="1"/>
  <c r="Q67" i="1"/>
  <c r="V115" i="1"/>
  <c r="X100" i="1"/>
  <c r="S83" i="1"/>
  <c r="P58" i="1"/>
  <c r="O64" i="1"/>
  <c r="N106" i="1"/>
  <c r="X89" i="1"/>
  <c r="P57" i="1"/>
  <c r="R59" i="1"/>
  <c r="V128" i="1"/>
  <c r="O53" i="1"/>
  <c r="X104" i="1"/>
  <c r="T6" i="1"/>
  <c r="R9" i="1"/>
  <c r="R117" i="1"/>
  <c r="O107" i="1"/>
  <c r="N4" i="1"/>
  <c r="O121" i="1"/>
  <c r="W116" i="1"/>
  <c r="S99" i="1"/>
  <c r="P86" i="1"/>
  <c r="O68" i="1"/>
  <c r="V90" i="1"/>
  <c r="U78" i="1"/>
  <c r="T64" i="1"/>
  <c r="N113" i="1"/>
  <c r="P105" i="1"/>
  <c r="W94" i="1"/>
  <c r="O83" i="1"/>
  <c r="S73" i="1"/>
  <c r="R61" i="1"/>
  <c r="Q115" i="1"/>
  <c r="T104" i="1"/>
  <c r="X95" i="1"/>
  <c r="W88" i="1"/>
  <c r="X77" i="1"/>
  <c r="W66" i="1"/>
  <c r="S120" i="1"/>
  <c r="U109" i="1"/>
  <c r="V102" i="1"/>
  <c r="V88" i="1"/>
  <c r="R78" i="1"/>
  <c r="S71" i="1"/>
  <c r="N66" i="1"/>
  <c r="T59" i="1"/>
  <c r="W106" i="1"/>
  <c r="V99" i="1"/>
  <c r="T91" i="1"/>
  <c r="O80" i="1"/>
  <c r="V72" i="1"/>
  <c r="U66" i="1"/>
  <c r="O61" i="1"/>
  <c r="N115" i="1"/>
  <c r="P107" i="1"/>
  <c r="P100" i="1"/>
  <c r="S91" i="1"/>
  <c r="N76" i="1"/>
  <c r="S114" i="1"/>
  <c r="V80" i="1"/>
  <c r="O103" i="1"/>
  <c r="T109" i="1"/>
  <c r="S54" i="1"/>
  <c r="O24" i="1"/>
  <c r="N135" i="1"/>
  <c r="U135" i="1"/>
  <c r="O78" i="1"/>
  <c r="X94" i="1"/>
  <c r="S137" i="1"/>
  <c r="T118" i="1"/>
  <c r="O116" i="1"/>
  <c r="V97" i="1"/>
  <c r="U85" i="1"/>
  <c r="V67" i="1"/>
  <c r="N90" i="1"/>
  <c r="R77" i="1"/>
  <c r="R63" i="1"/>
  <c r="T112" i="1"/>
  <c r="U104" i="1"/>
  <c r="O94" i="1"/>
  <c r="W82" i="1"/>
  <c r="U71" i="1"/>
  <c r="X60" i="1"/>
  <c r="V114" i="1"/>
  <c r="R103" i="1"/>
  <c r="P95" i="1"/>
  <c r="O88" i="1"/>
  <c r="P77" i="1"/>
  <c r="O66" i="1"/>
  <c r="X118" i="1"/>
  <c r="T108" i="1"/>
  <c r="R100" i="1"/>
  <c r="N88" i="1"/>
  <c r="W77" i="1"/>
  <c r="X70" i="1"/>
  <c r="S65" i="1"/>
  <c r="R58" i="1"/>
  <c r="O106" i="1"/>
  <c r="N99" i="1"/>
  <c r="R90" i="1"/>
  <c r="T79" i="1"/>
  <c r="N72" i="1"/>
  <c r="R65" i="1"/>
  <c r="U60" i="1"/>
  <c r="T75" i="1"/>
  <c r="U90" i="1"/>
  <c r="N37" i="1"/>
  <c r="S12" i="1"/>
  <c r="W126" i="1"/>
  <c r="Q128" i="1"/>
  <c r="Q22" i="1"/>
  <c r="P38" i="1"/>
  <c r="W133" i="1"/>
  <c r="W115" i="1"/>
  <c r="P113" i="1"/>
  <c r="T96" i="1"/>
  <c r="W81" i="1"/>
  <c r="R66" i="1"/>
  <c r="Q88" i="1"/>
  <c r="Q75" i="1"/>
  <c r="N62" i="1"/>
  <c r="X110" i="1"/>
  <c r="P102" i="1"/>
  <c r="T93" i="1"/>
  <c r="U81" i="1"/>
  <c r="X69" i="1"/>
  <c r="P60" i="1"/>
  <c r="S112" i="1"/>
  <c r="O102" i="1"/>
  <c r="N94" i="1"/>
  <c r="U86" i="1"/>
  <c r="P72" i="1"/>
  <c r="R64" i="1"/>
  <c r="X115" i="1"/>
  <c r="R107" i="1"/>
  <c r="W99" i="1"/>
  <c r="U87" i="1"/>
  <c r="P76" i="1"/>
  <c r="P70" i="1"/>
  <c r="W63" i="1"/>
  <c r="R57" i="1"/>
  <c r="U105" i="1"/>
  <c r="T98" i="1"/>
  <c r="U88" i="1"/>
  <c r="Q78" i="1"/>
  <c r="R71" i="1"/>
  <c r="X64" i="1"/>
  <c r="S59" i="1"/>
  <c r="R113" i="1"/>
  <c r="T105" i="1"/>
  <c r="P97" i="1"/>
  <c r="P89" i="1"/>
  <c r="N80" i="1"/>
  <c r="R74" i="1"/>
  <c r="V61" i="1"/>
  <c r="S85" i="1"/>
  <c r="V91" i="1"/>
  <c r="R112" i="1"/>
  <c r="U83" i="1"/>
  <c r="P61" i="1"/>
  <c r="N95" i="1"/>
  <c r="U69" i="1"/>
  <c r="T110" i="1"/>
  <c r="N70" i="1"/>
  <c r="N118" i="1"/>
  <c r="W15" i="1"/>
  <c r="O135" i="1"/>
  <c r="T117" i="1"/>
  <c r="R121" i="1"/>
  <c r="S16" i="1"/>
  <c r="U31" i="1"/>
  <c r="R131" i="1"/>
  <c r="S110" i="1"/>
  <c r="N93" i="1"/>
  <c r="N78" i="1"/>
  <c r="S63" i="1"/>
  <c r="O86" i="1"/>
  <c r="T73" i="1"/>
  <c r="U58" i="1"/>
  <c r="P110" i="1"/>
  <c r="U101" i="1"/>
  <c r="P88" i="1"/>
  <c r="R80" i="1"/>
  <c r="P69" i="1"/>
  <c r="T58" i="1"/>
  <c r="T101" i="1"/>
  <c r="S93" i="1"/>
  <c r="O84" i="1"/>
  <c r="T71" i="1"/>
  <c r="P63" i="1"/>
  <c r="U114" i="1"/>
  <c r="X106" i="1"/>
  <c r="R97" i="1"/>
  <c r="V84" i="1"/>
  <c r="N75" i="1"/>
  <c r="V69" i="1"/>
  <c r="S62" i="1"/>
  <c r="O115" i="1"/>
  <c r="R104" i="1"/>
  <c r="W96" i="1"/>
  <c r="T87" i="1"/>
  <c r="V77" i="1"/>
  <c r="W70" i="1"/>
  <c r="P64" i="1"/>
  <c r="Q58" i="1"/>
  <c r="Q104" i="1"/>
  <c r="V96" i="1"/>
  <c r="T88" i="1"/>
  <c r="S79" i="1"/>
  <c r="W73" i="1"/>
  <c r="N61" i="1"/>
  <c r="S136" i="1"/>
  <c r="T27" i="1"/>
  <c r="W4" i="1"/>
  <c r="T18" i="1"/>
  <c r="O89" i="1"/>
  <c r="W90" i="1"/>
  <c r="T61" i="1"/>
  <c r="N71" i="1"/>
  <c r="N108" i="1"/>
  <c r="Q77" i="1"/>
  <c r="S119" i="1"/>
  <c r="P99" i="1"/>
  <c r="O69" i="1"/>
  <c r="V105" i="1"/>
  <c r="Q73" i="1"/>
  <c r="P103" i="1"/>
  <c r="U75" i="1"/>
  <c r="S117" i="1"/>
  <c r="P78" i="1"/>
  <c r="S77" i="1"/>
  <c r="R114" i="1"/>
  <c r="W97" i="1"/>
  <c r="X101" i="1"/>
  <c r="R98" i="1"/>
  <c r="U10" i="1"/>
  <c r="R24" i="1"/>
  <c r="S126" i="1"/>
  <c r="W89" i="1"/>
  <c r="P108" i="1"/>
  <c r="Q91" i="1"/>
  <c r="R75" i="1"/>
  <c r="O62" i="1"/>
  <c r="Q84" i="1"/>
  <c r="V71" i="1"/>
  <c r="R118" i="1"/>
  <c r="V108" i="1"/>
  <c r="T100" i="1"/>
  <c r="O87" i="1"/>
  <c r="T78" i="1"/>
  <c r="T67" i="1"/>
  <c r="V121" i="1"/>
  <c r="O110" i="1"/>
  <c r="X99" i="1"/>
  <c r="P92" i="1"/>
  <c r="N82" i="1"/>
  <c r="Q70" i="1"/>
  <c r="T62" i="1"/>
  <c r="T113" i="1"/>
  <c r="P106" i="1"/>
  <c r="P96" i="1"/>
  <c r="N84" i="1"/>
  <c r="T74" i="1"/>
  <c r="N69" i="1"/>
  <c r="X61" i="1"/>
  <c r="T114" i="1"/>
  <c r="X103" i="1"/>
  <c r="V95" i="1"/>
  <c r="X85" i="1"/>
  <c r="N77" i="1"/>
  <c r="O70" i="1"/>
  <c r="V63" i="1"/>
  <c r="Q120" i="1"/>
  <c r="N111" i="1"/>
  <c r="W103" i="1"/>
  <c r="N96" i="1"/>
  <c r="R86" i="1"/>
  <c r="X78" i="1"/>
  <c r="Q71" i="1"/>
  <c r="T60" i="1"/>
  <c r="V30" i="1"/>
  <c r="T30" i="1"/>
  <c r="V64" i="1"/>
  <c r="X125" i="1"/>
  <c r="R105" i="1"/>
  <c r="X74" i="1"/>
  <c r="X82" i="1"/>
  <c r="W117" i="1"/>
  <c r="Q99" i="1"/>
  <c r="X66" i="1"/>
  <c r="V109" i="1"/>
  <c r="T81" i="1"/>
  <c r="O60" i="1"/>
  <c r="U94" i="1"/>
  <c r="S68" i="1"/>
  <c r="S113" i="1"/>
  <c r="P85" i="1"/>
  <c r="N63" i="1"/>
  <c r="O85" i="1"/>
  <c r="W95" i="1"/>
  <c r="Q41" i="1"/>
  <c r="V55" i="1"/>
  <c r="S48" i="1"/>
  <c r="U45" i="1"/>
  <c r="U52" i="1"/>
  <c r="O46" i="1"/>
  <c r="Q30" i="1"/>
  <c r="X48" i="1"/>
  <c r="W44" i="1"/>
  <c r="S47" i="1"/>
  <c r="S40" i="1"/>
  <c r="R54" i="1"/>
  <c r="O52" i="1"/>
  <c r="V41" i="1"/>
  <c r="P52" i="1"/>
  <c r="T53" i="1"/>
  <c r="U28" i="1"/>
  <c r="W28" i="1"/>
  <c r="U53" i="1"/>
  <c r="W46" i="1"/>
  <c r="O28" i="1"/>
  <c r="S43" i="1"/>
  <c r="X56" i="1"/>
  <c r="R46" i="1"/>
  <c r="V49" i="1"/>
  <c r="P27" i="1"/>
  <c r="P35" i="1"/>
  <c r="N41" i="1"/>
  <c r="R43" i="1"/>
  <c r="X43" i="1"/>
  <c r="O38" i="1"/>
  <c r="R29" i="1"/>
  <c r="R37" i="1"/>
  <c r="X51" i="1"/>
  <c r="P33" i="1"/>
  <c r="N49" i="1"/>
  <c r="W47" i="1"/>
  <c r="P41" i="1"/>
  <c r="P43" i="1"/>
  <c r="X52" i="1"/>
  <c r="T56" i="1"/>
  <c r="N39" i="1"/>
  <c r="N50" i="1"/>
  <c r="N54" i="1"/>
  <c r="W39" i="1"/>
  <c r="R51" i="1"/>
  <c r="W36" i="1"/>
  <c r="R35" i="1"/>
  <c r="P56" i="1"/>
  <c r="O44" i="1"/>
  <c r="U34" i="1"/>
  <c r="O30" i="1"/>
  <c r="Q46" i="1"/>
  <c r="P51" i="1"/>
  <c r="Q3" i="1"/>
  <c r="V31" i="1"/>
  <c r="Q49" i="1"/>
  <c r="X27" i="1"/>
  <c r="Q32" i="1"/>
  <c r="O39" i="1"/>
  <c r="U3" i="1"/>
  <c r="T39" i="1"/>
  <c r="O47" i="1"/>
  <c r="T48" i="1"/>
  <c r="T37" i="1"/>
  <c r="Q40" i="1"/>
  <c r="U37" i="1"/>
  <c r="S34" i="1"/>
  <c r="X3" i="1"/>
  <c r="W52" i="1"/>
  <c r="X36" i="1"/>
  <c r="R50" i="1"/>
  <c r="S42" i="1"/>
  <c r="S50" i="1"/>
  <c r="W38" i="1"/>
  <c r="Q38" i="1"/>
  <c r="V54" i="1"/>
  <c r="V39" i="1"/>
  <c r="V42" i="1"/>
  <c r="O36" i="1"/>
  <c r="U36" i="1"/>
  <c r="Q54" i="1"/>
  <c r="X44" i="1"/>
  <c r="W51" i="1"/>
  <c r="S56" i="1"/>
  <c r="Q53" i="1"/>
  <c r="V47" i="1"/>
  <c r="P3" i="1"/>
  <c r="S32" i="1"/>
  <c r="Q48" i="1"/>
  <c r="R53" i="1"/>
  <c r="O54" i="1"/>
  <c r="T52" i="1"/>
  <c r="X35" i="1"/>
  <c r="U44" i="1"/>
  <c r="X49" i="1"/>
  <c r="U42" i="1"/>
  <c r="N3" i="1"/>
  <c r="N2" i="1" s="1"/>
  <c r="S51" i="1"/>
  <c r="T29" i="1"/>
  <c r="V3" i="1"/>
  <c r="T55" i="1"/>
  <c r="T45" i="1"/>
  <c r="T40" i="1"/>
  <c r="V33" i="1"/>
  <c r="U50" i="1"/>
  <c r="R38" i="1"/>
  <c r="T31" i="1"/>
  <c r="X33" i="1"/>
  <c r="N31" i="1"/>
  <c r="R45" i="1"/>
  <c r="N55" i="1"/>
  <c r="P48" i="1"/>
  <c r="U49" i="1"/>
  <c r="W55" i="1"/>
  <c r="N47" i="1"/>
  <c r="Q56" i="1"/>
  <c r="T47" i="1"/>
  <c r="P2" i="1" l="1"/>
  <c r="S2" i="1"/>
  <c r="Q2" i="1"/>
  <c r="T2" i="1"/>
  <c r="V2" i="1"/>
  <c r="X2" i="1"/>
  <c r="U2" i="1"/>
  <c r="R2" i="1"/>
  <c r="W2" i="1"/>
  <c r="O2" i="1"/>
  <c r="Y2" i="1" s="1"/>
</calcChain>
</file>

<file path=xl/sharedStrings.xml><?xml version="1.0" encoding="utf-8"?>
<sst xmlns="http://schemas.openxmlformats.org/spreadsheetml/2006/main" count="11192" uniqueCount="1410">
  <si>
    <t>Type</t>
  </si>
  <si>
    <t>Module</t>
  </si>
  <si>
    <t>Batch Number</t>
  </si>
  <si>
    <t>Tran. Date</t>
  </si>
  <si>
    <t>Period</t>
  </si>
  <si>
    <t>Description</t>
  </si>
  <si>
    <t>Ref. Number</t>
  </si>
  <si>
    <t>Account</t>
  </si>
  <si>
    <t>Subaccount</t>
  </si>
  <si>
    <t>Debit Amount</t>
  </si>
  <si>
    <t>Credit Amount</t>
  </si>
  <si>
    <t>Net Activity</t>
  </si>
  <si>
    <t>Reclass. Batch</t>
  </si>
  <si>
    <t>Freight Full Comments</t>
  </si>
  <si>
    <t>Freight Code</t>
  </si>
  <si>
    <t>Invoice</t>
  </si>
  <si>
    <t>Ship Month</t>
  </si>
  <si>
    <t>Rec Month</t>
  </si>
  <si>
    <t>Invoiced</t>
  </si>
  <si>
    <t>Month</t>
  </si>
  <si>
    <t>Freight Inbound</t>
  </si>
  <si>
    <t>IN</t>
  </si>
  <si>
    <t>3416738</t>
  </si>
  <si>
    <t>06-2018</t>
  </si>
  <si>
    <t>JUUL Pods Classic Menthol 5.0% 2.8ml 4-pack</t>
  </si>
  <si>
    <t>000636</t>
  </si>
  <si>
    <t>513000</t>
  </si>
  <si>
    <t>HCORP-CRP-4600-JUL</t>
  </si>
  <si>
    <t>Freight Inbound ETA 6/1/18 ASTEELFLASH WI to Louisville KY</t>
  </si>
  <si>
    <t>Phillips WI - DCL KY</t>
  </si>
  <si>
    <t>FLEX-290227-1</t>
  </si>
  <si>
    <t>JUUL Pods Cool Cucumber 5.0% 2.8ml 4-pack</t>
  </si>
  <si>
    <t>JUUL pods Virginia Tobacco 5% 2.8ml 4-pack</t>
  </si>
  <si>
    <t>HCORP-CRP-4600-CRP</t>
  </si>
  <si>
    <t>JUUL pods Cool Mint 5% 2.8ml 4-pack</t>
  </si>
  <si>
    <t>3400596</t>
  </si>
  <si>
    <t>JUUL Basic Kit Slate</t>
  </si>
  <si>
    <t>000623</t>
  </si>
  <si>
    <t>Freight Inbound Delivered 05/31/18 Hong Kong - Louisville,KY</t>
  </si>
  <si>
    <t>Hong Kong - DCL KY</t>
  </si>
  <si>
    <t>FLEX-290211-1</t>
  </si>
  <si>
    <t>3400599</t>
  </si>
  <si>
    <t>000624</t>
  </si>
  <si>
    <t>Freight Inbound Delivered 05/31/18 Shanghai-Louisville,KY</t>
  </si>
  <si>
    <t>Shanghai - DCL KY</t>
  </si>
  <si>
    <t>FLEX-284476-1</t>
  </si>
  <si>
    <t>3400601</t>
  </si>
  <si>
    <t>JUUL Basic Kit for Starter Kit</t>
  </si>
  <si>
    <t>000625</t>
  </si>
  <si>
    <t>Freight Inbound Delivered 05/29/18 Shanghai-Durham,NC</t>
  </si>
  <si>
    <t>Shanghai - DECI NC</t>
  </si>
  <si>
    <t>FLEX-284466-1</t>
  </si>
  <si>
    <t>3400603</t>
  </si>
  <si>
    <t>000626</t>
  </si>
  <si>
    <t>Freight Inbound Delivered 05/30/18 Shanghai-Louisville,KY</t>
  </si>
  <si>
    <t>FLEX-284478-1</t>
  </si>
  <si>
    <t>3400605</t>
  </si>
  <si>
    <t>JUUL USB Charger</t>
  </si>
  <si>
    <t>000627</t>
  </si>
  <si>
    <t>Freight Inbound Delivered 06/04/18 Hong Kong-Louisville,KY</t>
  </si>
  <si>
    <t>FLEX-240502-1</t>
  </si>
  <si>
    <t>3400607</t>
  </si>
  <si>
    <t>Empty Brown POD, Manual Gasket</t>
  </si>
  <si>
    <t>000628</t>
  </si>
  <si>
    <t>Freight Inbound Delivered 06/01/18 Hong Kong-Menomonie,WI</t>
  </si>
  <si>
    <t>Hong Kong - Phillips WI</t>
  </si>
  <si>
    <t>3400616</t>
  </si>
  <si>
    <t>000630</t>
  </si>
  <si>
    <t>Freight Inbound Delivered 06/01/18 Shanghai-Durham,NC</t>
  </si>
  <si>
    <t>FLEX-284477-1</t>
  </si>
  <si>
    <t>3400618</t>
  </si>
  <si>
    <t>000631</t>
  </si>
  <si>
    <t>Freight Inbound Delivered 06/05/18 Shanghai-Durham,NC</t>
  </si>
  <si>
    <t>FLEX-284474-1</t>
  </si>
  <si>
    <t>3400620</t>
  </si>
  <si>
    <t>000632</t>
  </si>
  <si>
    <t>Freight Inbound Delivered 05/31/18 Hong Kong-Louisville,KY</t>
  </si>
  <si>
    <t>FLEX-290220-1</t>
  </si>
  <si>
    <t>Empty Yellow POD, Manual Gasket</t>
  </si>
  <si>
    <t>3418772</t>
  </si>
  <si>
    <t>000647</t>
  </si>
  <si>
    <t>Freight Inbound Delivered 06/04/18 China-Louisville,KY</t>
  </si>
  <si>
    <t>China - DCL KY</t>
  </si>
  <si>
    <t>FLEX-292522-1</t>
  </si>
  <si>
    <t>3400614</t>
  </si>
  <si>
    <t>Empty Green POD, Manual Gasket</t>
  </si>
  <si>
    <t>000629</t>
  </si>
  <si>
    <t>Freight Inbound Delivered 06/05/18 Hong Kong-Louisville,KY</t>
  </si>
  <si>
    <t>FLEX-296179-1</t>
  </si>
  <si>
    <t>3418423</t>
  </si>
  <si>
    <t>000646</t>
  </si>
  <si>
    <t>Freight Inbound Delivered 05/25/18 Hong Kong-Durham, NC</t>
  </si>
  <si>
    <t>Hong Kong - DECI NC</t>
  </si>
  <si>
    <t>FLEX-283022-1</t>
  </si>
  <si>
    <t>3418792</t>
  </si>
  <si>
    <t>000653</t>
  </si>
  <si>
    <t>Freight Inbound Delivered 06/24/18 China-Durham,NC</t>
  </si>
  <si>
    <t>China - DECI NC</t>
  </si>
  <si>
    <t>FLEX-276828-1</t>
  </si>
  <si>
    <t>3418776</t>
  </si>
  <si>
    <t>000649</t>
  </si>
  <si>
    <t>Freight Inbound Delivered 6/08/18 China-Louisville, KY</t>
  </si>
  <si>
    <t>FLEX-298109-1</t>
  </si>
  <si>
    <t>3418778</t>
  </si>
  <si>
    <t>Empty Mango POD, Manual Gasket</t>
  </si>
  <si>
    <t>000650</t>
  </si>
  <si>
    <t>Freight Inbound Delivered 6/05/18 Hong Kong- Louisville, KY</t>
  </si>
  <si>
    <t>FLEX-297884-2</t>
  </si>
  <si>
    <t>3418774</t>
  </si>
  <si>
    <t>000648</t>
  </si>
  <si>
    <t>Freight Inbound Delivered 6/5/18 Hong Kong-Buffalo Grove,IL</t>
  </si>
  <si>
    <t>Hong Kong - Flex IL</t>
  </si>
  <si>
    <t>FLEX-297909-2</t>
  </si>
  <si>
    <t>3418788</t>
  </si>
  <si>
    <t>000652</t>
  </si>
  <si>
    <t>Freight inbound Delivered 06/06/18 Hong Kong - Menomonie, WI</t>
  </si>
  <si>
    <t>FLEX-296184-1</t>
  </si>
  <si>
    <t>3418422</t>
  </si>
  <si>
    <t>000645</t>
  </si>
  <si>
    <t>Freight Inbound Delivered 6/07/18 Hong Kong-Menomonie,WI</t>
  </si>
  <si>
    <t>FLEX-297853-2</t>
  </si>
  <si>
    <t>3417437</t>
  </si>
  <si>
    <t>000638</t>
  </si>
  <si>
    <t>Freight Inbound Delivered 06/15/18 China-Durham,NC</t>
  </si>
  <si>
    <t>FLEX-304725-1</t>
  </si>
  <si>
    <t>3418403</t>
  </si>
  <si>
    <t>000640</t>
  </si>
  <si>
    <t>Freight Inbound Delivered 06/13/18 Taiwan-Louisville,KY</t>
  </si>
  <si>
    <t>Taiwan - DCL KY</t>
  </si>
  <si>
    <t>FLEX-284650-1</t>
  </si>
  <si>
    <t>3418413</t>
  </si>
  <si>
    <t>000641</t>
  </si>
  <si>
    <t>Freight Inbound Delivered 6/14/18 Hong Kong-Buffalo Grove,IL</t>
  </si>
  <si>
    <t>FLEX-303536-1</t>
  </si>
  <si>
    <t>3418415</t>
  </si>
  <si>
    <t>000642</t>
  </si>
  <si>
    <t>Freight Inbound Delivered 6/21/18 China-Durham,NC</t>
  </si>
  <si>
    <t>FLEX-311394-1</t>
  </si>
  <si>
    <t>3418417</t>
  </si>
  <si>
    <t>000643</t>
  </si>
  <si>
    <t>Freight Inbound Delivered 6/13/18 Hong Kong-Buffalo Grove,IL</t>
  </si>
  <si>
    <t>FLEX-303557-1</t>
  </si>
  <si>
    <t>3418420</t>
  </si>
  <si>
    <t>000644</t>
  </si>
  <si>
    <t>Freight Inbound Delivered 6/12/18 China-Durham,NC</t>
  </si>
  <si>
    <t>FLEX-298111-1</t>
  </si>
  <si>
    <t>3418782</t>
  </si>
  <si>
    <t>000651</t>
  </si>
  <si>
    <t>Freight Inbound Delivered 6/15/18 Hong Kong-Louisville,KY</t>
  </si>
  <si>
    <t>FLEX-251679-2</t>
  </si>
  <si>
    <t>AP</t>
  </si>
  <si>
    <t>3395916</t>
  </si>
  <si>
    <t>Shipping and Handling</t>
  </si>
  <si>
    <t>1011158</t>
  </si>
  <si>
    <t>515000</t>
  </si>
  <si>
    <t>Greensboro NC - Phillips WI</t>
  </si>
  <si>
    <t>0001445</t>
  </si>
  <si>
    <t>3386028</t>
  </si>
  <si>
    <t>Freight Charges</t>
  </si>
  <si>
    <t>0001512</t>
  </si>
  <si>
    <t>3368458</t>
  </si>
  <si>
    <t>Pallet Charges</t>
  </si>
  <si>
    <t>W2D18DN0011</t>
  </si>
  <si>
    <t>3358408</t>
  </si>
  <si>
    <t>1010011</t>
  </si>
  <si>
    <t>W2D18DN0022</t>
  </si>
  <si>
    <t>3372874</t>
  </si>
  <si>
    <t>1010305</t>
  </si>
  <si>
    <t>A2D18DN0004</t>
  </si>
  <si>
    <t>3371286</t>
  </si>
  <si>
    <t>Freight Inbound-Rec 04/06/18 Morrisville,NC to Louisville,KY</t>
  </si>
  <si>
    <t>1008448</t>
  </si>
  <si>
    <t>NAUSA-CRP-4600-JUL</t>
  </si>
  <si>
    <t>AFG NC - DCL KY</t>
  </si>
  <si>
    <t>S01178205</t>
  </si>
  <si>
    <t>3386039</t>
  </si>
  <si>
    <t>Freight Inbound - Rec 04/19/18 Durham, NC to Louisville, KY</t>
  </si>
  <si>
    <t>1010612</t>
  </si>
  <si>
    <t>DECI NC - DCL KY</t>
  </si>
  <si>
    <t>S01181251</t>
  </si>
  <si>
    <t>3368437</t>
  </si>
  <si>
    <t>1010274</t>
  </si>
  <si>
    <t>W2D18DN0037</t>
  </si>
  <si>
    <t>3364813</t>
  </si>
  <si>
    <t>Bemis Lot Freight Charges</t>
  </si>
  <si>
    <t>1010152</t>
  </si>
  <si>
    <t>Freight Charge</t>
  </si>
  <si>
    <t>Chicago IL - Phillips WI</t>
  </si>
  <si>
    <t>3368293</t>
  </si>
  <si>
    <t>1010270</t>
  </si>
  <si>
    <t>W2E18DN0014</t>
  </si>
  <si>
    <t>3368372</t>
  </si>
  <si>
    <t>1010272</t>
  </si>
  <si>
    <t>W2E18DN0015</t>
  </si>
  <si>
    <t>3400379</t>
  </si>
  <si>
    <t>Pallets SD 5/13/18</t>
  </si>
  <si>
    <t>1011288</t>
  </si>
  <si>
    <t>HCORP-CRP-6000-JUL</t>
  </si>
  <si>
    <t>W2EI8DN0028</t>
  </si>
  <si>
    <t>3368424</t>
  </si>
  <si>
    <t>1010266</t>
  </si>
  <si>
    <t>W2E18DN0029</t>
  </si>
  <si>
    <t>3368666</t>
  </si>
  <si>
    <t>1010022</t>
  </si>
  <si>
    <t>A2E18DN0048</t>
  </si>
  <si>
    <t>3368667</t>
  </si>
  <si>
    <t>1010025</t>
  </si>
  <si>
    <t>W2E18DN0049</t>
  </si>
  <si>
    <t>3368668</t>
  </si>
  <si>
    <t>1010034</t>
  </si>
  <si>
    <t>W2E18DN0048</t>
  </si>
  <si>
    <t>3368672</t>
  </si>
  <si>
    <t>1010279</t>
  </si>
  <si>
    <t>W2E18DN0047</t>
  </si>
  <si>
    <t>3381658</t>
  </si>
  <si>
    <t>1010566</t>
  </si>
  <si>
    <t>A2F18DN0005</t>
  </si>
  <si>
    <t>3381659</t>
  </si>
  <si>
    <t>1010583</t>
  </si>
  <si>
    <t>A2F18DN0006</t>
  </si>
  <si>
    <t>3381660</t>
  </si>
  <si>
    <t>1010563</t>
  </si>
  <si>
    <t>W2F18DN0005</t>
  </si>
  <si>
    <t>3381661</t>
  </si>
  <si>
    <t>1010564</t>
  </si>
  <si>
    <t>W2F18DN0003</t>
  </si>
  <si>
    <t>3381663</t>
  </si>
  <si>
    <t>1010565</t>
  </si>
  <si>
    <t>W2F18DN0014</t>
  </si>
  <si>
    <t>3391380</t>
  </si>
  <si>
    <t>1010567</t>
  </si>
  <si>
    <t>A2F18DN0008</t>
  </si>
  <si>
    <t>3403190</t>
  </si>
  <si>
    <t>1011190</t>
  </si>
  <si>
    <t>W2F18DN0017</t>
  </si>
  <si>
    <t>3403191</t>
  </si>
  <si>
    <t>1011191</t>
  </si>
  <si>
    <t>W2F18DN0018</t>
  </si>
  <si>
    <t>3403192</t>
  </si>
  <si>
    <t>1011193</t>
  </si>
  <si>
    <t>A2F18DN0017</t>
  </si>
  <si>
    <t>GL</t>
  </si>
  <si>
    <t>3381526</t>
  </si>
  <si>
    <t>May 2018 Freight and Fulfillment Accrual Adjustment</t>
  </si>
  <si>
    <t>FLEXPORT</t>
  </si>
  <si>
    <t>AFG Suzho - DECI NC</t>
  </si>
  <si>
    <t>FLEX-260024-2</t>
  </si>
  <si>
    <t>AFG Suzho - DCL KY</t>
  </si>
  <si>
    <t>FLEX-269916-1</t>
  </si>
  <si>
    <t>FLEX-269924-1</t>
  </si>
  <si>
    <t>FLEX-275538-1</t>
  </si>
  <si>
    <t>FLEX-276804-1</t>
  </si>
  <si>
    <t>FLEX-276807-1</t>
  </si>
  <si>
    <t>FLEX-276812-1</t>
  </si>
  <si>
    <t>DCL KY - Ontario Can</t>
  </si>
  <si>
    <t>FLEX-281123-1</t>
  </si>
  <si>
    <t>FLEX-282790-1</t>
  </si>
  <si>
    <t>FLEX-282819-1</t>
  </si>
  <si>
    <t>FLEX-282827-1</t>
  </si>
  <si>
    <t>FLEX-283010-1</t>
  </si>
  <si>
    <t>AFG Suzho - Flex IL</t>
  </si>
  <si>
    <t>FLEX-286414-1</t>
  </si>
  <si>
    <t>AFG NC - Toronto Can</t>
  </si>
  <si>
    <t>FLEX-292444-1</t>
  </si>
  <si>
    <t>FLEX-294432-1</t>
  </si>
  <si>
    <t>FLEX-294492-1</t>
  </si>
  <si>
    <t>FLEX-297402-1</t>
  </si>
  <si>
    <t>3410206</t>
  </si>
  <si>
    <t>June 2018 Freight and Fulfillment Accrual</t>
  </si>
  <si>
    <t>K+N</t>
  </si>
  <si>
    <t>LAXFO18060031</t>
  </si>
  <si>
    <t>LAXFO18060034</t>
  </si>
  <si>
    <t>LAXFO18060033</t>
  </si>
  <si>
    <t>LAXFO18060032</t>
  </si>
  <si>
    <t>LAXF018060123</t>
  </si>
  <si>
    <t>LAXFO18060077</t>
  </si>
  <si>
    <t>LAXFO18060078</t>
  </si>
  <si>
    <t>LAXFO18060084</t>
  </si>
  <si>
    <t>LAXFO18060093</t>
  </si>
  <si>
    <t>LAXFO18060122</t>
  </si>
  <si>
    <t>LAXFO18060124</t>
  </si>
  <si>
    <t>LAXFO18060167</t>
  </si>
  <si>
    <t>LAXFO18060196</t>
  </si>
  <si>
    <t>LAXFO18060197</t>
  </si>
  <si>
    <t>LAXFO18060198</t>
  </si>
  <si>
    <t>LAXFO18060199</t>
  </si>
  <si>
    <t>LAXFO18060200</t>
  </si>
  <si>
    <t>LAXFO18060210</t>
  </si>
  <si>
    <t>LAXFO18060252</t>
  </si>
  <si>
    <t>LAXFO18060279</t>
  </si>
  <si>
    <t>LAXFO18060280</t>
  </si>
  <si>
    <t>LAXFO18060281</t>
  </si>
  <si>
    <t>LAXFO18060335</t>
  </si>
  <si>
    <t>LAXFO18060336</t>
  </si>
  <si>
    <t>LAXFO18060337</t>
  </si>
  <si>
    <t>LAXFO18060338</t>
  </si>
  <si>
    <t>LAXFO18060364</t>
  </si>
  <si>
    <t>LAXFO18050170</t>
  </si>
  <si>
    <t>LAXFO18050241</t>
  </si>
  <si>
    <t>LAXFO18050243</t>
  </si>
  <si>
    <t>LAXFO18050287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</si>
  <si>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</si>
  <si>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</si>
  <si>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</si>
  <si>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</si>
  <si>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</si>
  <si>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</si>
  <si>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</si>
  <si>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</si>
  <si>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</si>
  <si>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</si>
  <si>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Trial Balance Summary</t>
  </si>
  <si>
    <t>Ledger:</t>
  </si>
  <si>
    <t>ACTUAL</t>
  </si>
  <si>
    <t>Page:</t>
  </si>
  <si>
    <t>1 of 1</t>
  </si>
  <si>
    <t>Company:</t>
  </si>
  <si>
    <t>Branch:</t>
  </si>
  <si>
    <t>PLOOM</t>
  </si>
  <si>
    <t>Date:</t>
  </si>
  <si>
    <t>User:</t>
  </si>
  <si>
    <t>alejandro</t>
  </si>
  <si>
    <t>Fin. Period:</t>
  </si>
  <si>
    <t>Beginning Balance</t>
  </si>
  <si>
    <t>Debit</t>
  </si>
  <si>
    <t>Credit</t>
  </si>
  <si>
    <t>Ending Balance</t>
  </si>
  <si>
    <t>E</t>
  </si>
  <si>
    <t>Cost of Goods - Landed Cost Variance</t>
  </si>
  <si>
    <t>Total:</t>
  </si>
  <si>
    <t>Reclass. Batch Number</t>
  </si>
  <si>
    <t>3353216</t>
  </si>
  <si>
    <t>05-2018</t>
  </si>
  <si>
    <t>1006462</t>
  </si>
  <si>
    <t>Hong Kong - AFG NC</t>
  </si>
  <si>
    <t>W2B18DN0100</t>
  </si>
  <si>
    <t>3346582</t>
  </si>
  <si>
    <t>1009610</t>
  </si>
  <si>
    <t>W2C18DN0019</t>
  </si>
  <si>
    <t>3342417</t>
  </si>
  <si>
    <t>1009360</t>
  </si>
  <si>
    <t>3346584</t>
  </si>
  <si>
    <t>1009614</t>
  </si>
  <si>
    <t>3346472</t>
  </si>
  <si>
    <t>Freight Inbound-Rec 03/21/18 Morrisville,NC to Louisville,KY</t>
  </si>
  <si>
    <t>1009618</t>
  </si>
  <si>
    <t>3346451</t>
  </si>
  <si>
    <t>Freight Inbound ETA 04/24/18 ASTEELFLASH NC to Louisville KY</t>
  </si>
  <si>
    <t>1009535</t>
  </si>
  <si>
    <t>3346442</t>
  </si>
  <si>
    <t>Freight Inbound ETA 04/26/18 ASTEELFLASH NC to Louisville KY</t>
  </si>
  <si>
    <t>1009484</t>
  </si>
  <si>
    <t>3346446</t>
  </si>
  <si>
    <t>1009526</t>
  </si>
  <si>
    <t>3346471</t>
  </si>
  <si>
    <t>Freight Inbound-Rec 04/19/18 Morrisville,NC to Louisville,KY</t>
  </si>
  <si>
    <t>1009616</t>
  </si>
  <si>
    <t>3346467</t>
  </si>
  <si>
    <t>Freight Inbound-Rec 04/24/18 Morrisville,NC to Louisville,KY</t>
  </si>
  <si>
    <t>1009605</t>
  </si>
  <si>
    <t>3346468</t>
  </si>
  <si>
    <t>Freight Inbound-Rec 04/22/18 Morrisville,NC to Louisville,KY</t>
  </si>
  <si>
    <t>1009606</t>
  </si>
  <si>
    <t>3346469</t>
  </si>
  <si>
    <t>Freight Inbound-Rec 04/21/18 Morrisville,NC to Louisville,KY</t>
  </si>
  <si>
    <t>1009609</t>
  </si>
  <si>
    <t>3346470</t>
  </si>
  <si>
    <t>Freight Inbound-Rec 04/17/18 Morrisville,NC to Louisville,KY</t>
  </si>
  <si>
    <t>1009611</t>
  </si>
  <si>
    <t>3346438</t>
  </si>
  <si>
    <t>Freight Inbound ETA 04/29/18 ASTEELFLASH NC to Louisville KY</t>
  </si>
  <si>
    <t>1009477</t>
  </si>
  <si>
    <t>3346441</t>
  </si>
  <si>
    <t>Freight Inbound ETA 05/02/18 ASTEELFLASH NC to Louisville KY</t>
  </si>
  <si>
    <t>1009482</t>
  </si>
  <si>
    <t>3346450</t>
  </si>
  <si>
    <t>Freight Inbound ETA 04/27/18 ASTEELFLASH NC to Louisville KY</t>
  </si>
  <si>
    <t>1009534</t>
  </si>
  <si>
    <t>3336225</t>
  </si>
  <si>
    <t>1009123</t>
  </si>
  <si>
    <t>W2E18DN0008</t>
  </si>
  <si>
    <t>3346449</t>
  </si>
  <si>
    <t>Freight Inbound ETA 05/02/18 Chippewa/Flex Buffalo Grove, IL</t>
  </si>
  <si>
    <t>1009533</t>
  </si>
  <si>
    <t>Flex IL - Flex IL</t>
  </si>
  <si>
    <t>3336158</t>
  </si>
  <si>
    <t>1009213</t>
  </si>
  <si>
    <t>3353218</t>
  </si>
  <si>
    <t>1009784</t>
  </si>
  <si>
    <t>3355368</t>
  </si>
  <si>
    <t>1009814</t>
  </si>
  <si>
    <t>3346435</t>
  </si>
  <si>
    <t>Freight Inbound ETA 05/09/18 DECI NC to Louisville KY</t>
  </si>
  <si>
    <t>1009463</t>
  </si>
  <si>
    <t>3346436</t>
  </si>
  <si>
    <t>Freight Inbound ETA 05/03/18 ASTEELFLASH NC to Louisville KY</t>
  </si>
  <si>
    <t>1009469</t>
  </si>
  <si>
    <t>3346437</t>
  </si>
  <si>
    <t>Freight Inbound ETA 05/06/18 ASTEELFLASH NC to Louisville KY</t>
  </si>
  <si>
    <t>1009471</t>
  </si>
  <si>
    <t>3346439</t>
  </si>
  <si>
    <t>Freight Inbound ETA 05/04/18 ASTEELFLASH NC to Louisville KY</t>
  </si>
  <si>
    <t>1009478</t>
  </si>
  <si>
    <t>3346440</t>
  </si>
  <si>
    <t>Freight Inbound ETA 05/08/18 ASTEELFLASH NC to Louisville KY</t>
  </si>
  <si>
    <t>1009480</t>
  </si>
  <si>
    <t>3346443</t>
  </si>
  <si>
    <t>Freight Inbound ETA 05/01/18 ASTEELFLASH NC to Louisville KY</t>
  </si>
  <si>
    <t>1009485</t>
  </si>
  <si>
    <t>3346444</t>
  </si>
  <si>
    <t>Freight Inbound ETA 05/05/18 ASTEELFLASH NC to Louisville KY</t>
  </si>
  <si>
    <t>1009520</t>
  </si>
  <si>
    <t>3346445</t>
  </si>
  <si>
    <t>Freight Inbound ETA 05/14/18 ASTEELFLASH NC to Louisville KY</t>
  </si>
  <si>
    <t>1009524</t>
  </si>
  <si>
    <t>3346454</t>
  </si>
  <si>
    <t>1009539</t>
  </si>
  <si>
    <t>3346448</t>
  </si>
  <si>
    <t>Freight Inbound ETA 05/10/18 DECI NC to Louisville KY</t>
  </si>
  <si>
    <t>1009530</t>
  </si>
  <si>
    <t>3346456</t>
  </si>
  <si>
    <t>Freight Inbound ETA 05/09/18 ASTEELFLASH NC to Louisville KY</t>
  </si>
  <si>
    <t>1009541</t>
  </si>
  <si>
    <t>3346447</t>
  </si>
  <si>
    <t>Freight Inbound ETA 05/15/18 ASTEELFLASH NC to Louisville KY</t>
  </si>
  <si>
    <t>1009528</t>
  </si>
  <si>
    <t>3346453</t>
  </si>
  <si>
    <t>Freight Inbound ETA 05/16/18 ASTEELFLASH NC to Louisville KY</t>
  </si>
  <si>
    <t>1009537</t>
  </si>
  <si>
    <t>3346455</t>
  </si>
  <si>
    <t>1009540</t>
  </si>
  <si>
    <t>3363094</t>
  </si>
  <si>
    <t>Freight Inbound Delivered 4/13/18 San Francisco,CA - Canada</t>
  </si>
  <si>
    <t>1009878</t>
  </si>
  <si>
    <t>NACAN-CRP-4600-JUL</t>
  </si>
  <si>
    <t>San Francisco - Canada</t>
  </si>
  <si>
    <t>3346452</t>
  </si>
  <si>
    <t>Freight Inbound ETA 05/17/18 ASTEELFLASH NC to Louisville KY</t>
  </si>
  <si>
    <t>1009536</t>
  </si>
  <si>
    <t>3346580</t>
  </si>
  <si>
    <t>1009612</t>
  </si>
  <si>
    <t>3346583</t>
  </si>
  <si>
    <t>1009613</t>
  </si>
  <si>
    <t>3346585</t>
  </si>
  <si>
    <t>1009615</t>
  </si>
  <si>
    <t>3346586</t>
  </si>
  <si>
    <t>1009619</t>
  </si>
  <si>
    <t>3346308</t>
  </si>
  <si>
    <t>000495</t>
  </si>
  <si>
    <t>3346307</t>
  </si>
  <si>
    <t>Freight inbound Delivered 04/25/18 Hong Kong - Durham, NC</t>
  </si>
  <si>
    <t>FLEX-254492-1</t>
  </si>
  <si>
    <t>3346310</t>
  </si>
  <si>
    <t>000496</t>
  </si>
  <si>
    <t>3346309</t>
  </si>
  <si>
    <t>Freight inbound Delivered 04/25/18 Hong Kong-Menomonie,WI</t>
  </si>
  <si>
    <t>FLEX-255566-1</t>
  </si>
  <si>
    <t>3346314</t>
  </si>
  <si>
    <t>000498</t>
  </si>
  <si>
    <t>3346313</t>
  </si>
  <si>
    <t>Freight inbound Delivered 04/24/18 Hong Kong - Louisville,KY</t>
  </si>
  <si>
    <t>FLEX-255554-1</t>
  </si>
  <si>
    <t>3346322</t>
  </si>
  <si>
    <t>000502</t>
  </si>
  <si>
    <t>3346321</t>
  </si>
  <si>
    <t>Freight inbound Delivered 04/24/18 China - Louisville,KY</t>
  </si>
  <si>
    <t>3346328</t>
  </si>
  <si>
    <t>000505</t>
  </si>
  <si>
    <t>3346327</t>
  </si>
  <si>
    <t>Freight inbound Delivered 04/25/18 Hong Kong - Menomonie,WI</t>
  </si>
  <si>
    <t>3346336</t>
  </si>
  <si>
    <t>000508</t>
  </si>
  <si>
    <t>3346335</t>
  </si>
  <si>
    <t>Freight inbound Delivered 04/24/18 Hong Kong-Louisville,KY</t>
  </si>
  <si>
    <t>3346338</t>
  </si>
  <si>
    <t>000509</t>
  </si>
  <si>
    <t>3346337</t>
  </si>
  <si>
    <t>3346342</t>
  </si>
  <si>
    <t>000511</t>
  </si>
  <si>
    <t>3346341</t>
  </si>
  <si>
    <t>Freight inbound Delivered 04/25/18 China - Louisville, KY</t>
  </si>
  <si>
    <t>3346344</t>
  </si>
  <si>
    <t>000512</t>
  </si>
  <si>
    <t>3346343</t>
  </si>
  <si>
    <t>3346348</t>
  </si>
  <si>
    <t>000514</t>
  </si>
  <si>
    <t>3346347</t>
  </si>
  <si>
    <t>Freight inbound Delivered 04/30/18 China - Louisville, KY</t>
  </si>
  <si>
    <t>3346359</t>
  </si>
  <si>
    <t>000519</t>
  </si>
  <si>
    <t>3346358</t>
  </si>
  <si>
    <t>Freight inbound Delivered 04/24/18 China - Louisville, KY</t>
  </si>
  <si>
    <t>3346365</t>
  </si>
  <si>
    <t>000522</t>
  </si>
  <si>
    <t>3346364</t>
  </si>
  <si>
    <t>Freight inbound Delivered 04/30/18 Hong Kong - Louisville,KY</t>
  </si>
  <si>
    <t>3346367</t>
  </si>
  <si>
    <t>000523</t>
  </si>
  <si>
    <t>3346366</t>
  </si>
  <si>
    <t>Freight inbound Delivered 05/01/18 Hong Kong - Durham, NC</t>
  </si>
  <si>
    <t>FLEX-260945-1</t>
  </si>
  <si>
    <t>3346371</t>
  </si>
  <si>
    <t>000525</t>
  </si>
  <si>
    <t>3346370</t>
  </si>
  <si>
    <t>Freight inbound Delivered 04/26/18 China - Durham, NC</t>
  </si>
  <si>
    <t>3346377</t>
  </si>
  <si>
    <t>000528</t>
  </si>
  <si>
    <t>3346376</t>
  </si>
  <si>
    <t>Freight inbound Delivered 04/27/18 China - Louisville,KY</t>
  </si>
  <si>
    <t>3346396</t>
  </si>
  <si>
    <t>000537</t>
  </si>
  <si>
    <t>3346395</t>
  </si>
  <si>
    <t>Freight inbound Delivered 04/24/18 Hong Kong -Louisville, KY</t>
  </si>
  <si>
    <t>3346316</t>
  </si>
  <si>
    <t>000499</t>
  </si>
  <si>
    <t>3346315</t>
  </si>
  <si>
    <t>Freight inbound Delivered 04/25/18 China - Durham, NC</t>
  </si>
  <si>
    <t>3346320</t>
  </si>
  <si>
    <t>000501</t>
  </si>
  <si>
    <t>3346319</t>
  </si>
  <si>
    <t>Freight inbound Delivered 05/01/18 Hong Kong - Louisville,KY</t>
  </si>
  <si>
    <t>FLEX-262499-1</t>
  </si>
  <si>
    <t>3346326</t>
  </si>
  <si>
    <t>000504</t>
  </si>
  <si>
    <t>3346325</t>
  </si>
  <si>
    <t>Freight inbound Delivered 05/02/18 China - Louisville, KY</t>
  </si>
  <si>
    <t>FLEX-260026-1</t>
  </si>
  <si>
    <t>3346334</t>
  </si>
  <si>
    <t>000507</t>
  </si>
  <si>
    <t>3346333</t>
  </si>
  <si>
    <t>FLEX-262514-1</t>
  </si>
  <si>
    <t>3346354</t>
  </si>
  <si>
    <t>000517</t>
  </si>
  <si>
    <t>3346353</t>
  </si>
  <si>
    <t>Freight inbound Delivered 05/03/18 China - Louisville, KY</t>
  </si>
  <si>
    <t>FLEX-260040-1</t>
  </si>
  <si>
    <t>3346379</t>
  </si>
  <si>
    <t>000529</t>
  </si>
  <si>
    <t>3346378</t>
  </si>
  <si>
    <t>FLEX-260026-2</t>
  </si>
  <si>
    <t>3346381</t>
  </si>
  <si>
    <t>000530</t>
  </si>
  <si>
    <t>3346380</t>
  </si>
  <si>
    <t>Freight inbound Delivered 05/02/18 Hong Kong - Menomonie, WI</t>
  </si>
  <si>
    <t>FLEX-262474-1</t>
  </si>
  <si>
    <t>3346388</t>
  </si>
  <si>
    <t>000533</t>
  </si>
  <si>
    <t>3346387</t>
  </si>
  <si>
    <t>Freight inbound Delivered 05/02/18 Hong Kong - Menomonie,WI</t>
  </si>
  <si>
    <t>FLEX-262525-1</t>
  </si>
  <si>
    <t>3346394</t>
  </si>
  <si>
    <t>000536</t>
  </si>
  <si>
    <t>3346393</t>
  </si>
  <si>
    <t>3346312</t>
  </si>
  <si>
    <t>000497</t>
  </si>
  <si>
    <t>3346311</t>
  </si>
  <si>
    <t>Freight inbound Delivered 04/30/18 China - Durham, NC</t>
  </si>
  <si>
    <t>3346324</t>
  </si>
  <si>
    <t>000503</t>
  </si>
  <si>
    <t>3346323</t>
  </si>
  <si>
    <t>Freight inbound Delivered 04/30/18 Hong Kong - Durham, NC</t>
  </si>
  <si>
    <t>3346384</t>
  </si>
  <si>
    <t>000531</t>
  </si>
  <si>
    <t>3346383</t>
  </si>
  <si>
    <t>Freight inbound Delivered 05/02/18 Hong Kong - Durham, NC</t>
  </si>
  <si>
    <t>FLEX-263876-1</t>
  </si>
  <si>
    <t>3346318</t>
  </si>
  <si>
    <t>000500</t>
  </si>
  <si>
    <t>3346317</t>
  </si>
  <si>
    <t>Freight inbound Delivered 05/08/18 China - Louisville,KY</t>
  </si>
  <si>
    <t>FLEX-264880-1</t>
  </si>
  <si>
    <t>3346330</t>
  </si>
  <si>
    <t>000506</t>
  </si>
  <si>
    <t>3346329</t>
  </si>
  <si>
    <t>Freight inbound Delivered 05/08/18 Hong Kong - Menomonie,WI</t>
  </si>
  <si>
    <t>FLEX-269731-1</t>
  </si>
  <si>
    <t>3346340</t>
  </si>
  <si>
    <t>000510</t>
  </si>
  <si>
    <t>3346339</t>
  </si>
  <si>
    <t>FLEX-269660-1</t>
  </si>
  <si>
    <t>3346350</t>
  </si>
  <si>
    <t>000515</t>
  </si>
  <si>
    <t>3346349</t>
  </si>
  <si>
    <t>Freight inbound Delivered 05/08/18 China - Louisville, KY</t>
  </si>
  <si>
    <t>FLEX-264878-1</t>
  </si>
  <si>
    <t>3346369</t>
  </si>
  <si>
    <t>000524</t>
  </si>
  <si>
    <t>3346368</t>
  </si>
  <si>
    <t>Freight inbound Delivered 05/08/18 Hong Kong - Louisville,KY</t>
  </si>
  <si>
    <t>FLEX-269725-1</t>
  </si>
  <si>
    <t>3346386</t>
  </si>
  <si>
    <t>000532</t>
  </si>
  <si>
    <t>3346385</t>
  </si>
  <si>
    <t>Freight inbound Delivered 05/10/18 China - Durham, NC</t>
  </si>
  <si>
    <t>FLEX-264876-1</t>
  </si>
  <si>
    <t>3346392</t>
  </si>
  <si>
    <t>000535</t>
  </si>
  <si>
    <t>3346391</t>
  </si>
  <si>
    <t>FLEX-252007-4</t>
  </si>
  <si>
    <t>3346399</t>
  </si>
  <si>
    <t>000538</t>
  </si>
  <si>
    <t>3346398</t>
  </si>
  <si>
    <t>FLEX-264879-1</t>
  </si>
  <si>
    <t>3346401</t>
  </si>
  <si>
    <t>000539</t>
  </si>
  <si>
    <t>3346400</t>
  </si>
  <si>
    <t>Freight inbound Delivered 05/10/18 Hong Kong - Durham, NC</t>
  </si>
  <si>
    <t>3346346</t>
  </si>
  <si>
    <t>000513</t>
  </si>
  <si>
    <t>3346345</t>
  </si>
  <si>
    <t>Freight inbound Delivered 04/11/18 San Francisco,CA - Canada</t>
  </si>
  <si>
    <t>FLEX-284036-1</t>
  </si>
  <si>
    <t>3346352</t>
  </si>
  <si>
    <t>000516</t>
  </si>
  <si>
    <t>3346351</t>
  </si>
  <si>
    <t>Freight inbound Delivered 05/16/18 Hong Kong - Menomonie,WI</t>
  </si>
  <si>
    <t>3346361</t>
  </si>
  <si>
    <t>000520</t>
  </si>
  <si>
    <t>3346360</t>
  </si>
  <si>
    <t>Freight inbound Delivered 05/15/18 Hong Kong-BuffaloGrove,IL</t>
  </si>
  <si>
    <t>3346363</t>
  </si>
  <si>
    <t>000521</t>
  </si>
  <si>
    <t>3346362</t>
  </si>
  <si>
    <t>Freight inbound Delivered 05/15/18 Hong Kong -Menomonie,WI</t>
  </si>
  <si>
    <t>FLEX-275580-1</t>
  </si>
  <si>
    <t>3346373</t>
  </si>
  <si>
    <t>000526</t>
  </si>
  <si>
    <t>3346372</t>
  </si>
  <si>
    <t>Freight inbound Delivered 05/14/18 Hong Kong - Durham, NC</t>
  </si>
  <si>
    <t>3346375</t>
  </si>
  <si>
    <t>000527</t>
  </si>
  <si>
    <t>3346374</t>
  </si>
  <si>
    <t>Freight inbound Delivered 05/16/18 China - Durham, NC</t>
  </si>
  <si>
    <t>FLEX-269927-1</t>
  </si>
  <si>
    <t>3346390</t>
  </si>
  <si>
    <t>000534</t>
  </si>
  <si>
    <t>3346389</t>
  </si>
  <si>
    <t>Freight inbound Delivered 05/14/18 China - Louisville, KY</t>
  </si>
  <si>
    <t>3346356</t>
  </si>
  <si>
    <t>000518</t>
  </si>
  <si>
    <t>3346355</t>
  </si>
  <si>
    <t>FLEX-267077-1</t>
  </si>
  <si>
    <t>Code</t>
  </si>
  <si>
    <t>3274637</t>
  </si>
  <si>
    <t>Freight Inbound Delivered 03/29/18 Hong Kong - Durham, NC</t>
  </si>
  <si>
    <t>1007676</t>
  </si>
  <si>
    <t>223100</t>
  </si>
  <si>
    <t>FLEX-232032-1</t>
  </si>
  <si>
    <t>3274639</t>
  </si>
  <si>
    <t>1007677</t>
  </si>
  <si>
    <t>3274641</t>
  </si>
  <si>
    <t>Freight Inbound Delivered 03/30/18 Hong Kong - Durham, NC</t>
  </si>
  <si>
    <t>1007678</t>
  </si>
  <si>
    <t>3274643</t>
  </si>
  <si>
    <t>Freight Inbound Delivered 03/28/18 China-Louisville,KY</t>
  </si>
  <si>
    <t>1007679</t>
  </si>
  <si>
    <t>3274645</t>
  </si>
  <si>
    <t>1007681</t>
  </si>
  <si>
    <t>3274662</t>
  </si>
  <si>
    <t>Freight Inbound Delivered 03/28/18 Hong Kong-Louisville,KY</t>
  </si>
  <si>
    <t>1007695</t>
  </si>
  <si>
    <t>3274664</t>
  </si>
  <si>
    <t>Freight Inbound Delivered 03/26/18 Hong Kong-Louisville,KY</t>
  </si>
  <si>
    <t>1007697</t>
  </si>
  <si>
    <t>3274666</t>
  </si>
  <si>
    <t>Freight Inbound Delivered 03/26/18 China-Louisville,KY</t>
  </si>
  <si>
    <t>1007698</t>
  </si>
  <si>
    <t>3274668</t>
  </si>
  <si>
    <t>1007699</t>
  </si>
  <si>
    <t>3274670</t>
  </si>
  <si>
    <t>1007700</t>
  </si>
  <si>
    <t>3274672</t>
  </si>
  <si>
    <t>1007701</t>
  </si>
  <si>
    <t>3274678</t>
  </si>
  <si>
    <t>Freight Inbound Delivered 03/26/18 Hong Kong - Durham, NC</t>
  </si>
  <si>
    <t>1007705</t>
  </si>
  <si>
    <t>3274681</t>
  </si>
  <si>
    <t>1007710</t>
  </si>
  <si>
    <t>3274683</t>
  </si>
  <si>
    <t>Freight Inbound Delivered 03/23/18 China-Louisville,KY</t>
  </si>
  <si>
    <t>1007711</t>
  </si>
  <si>
    <t>3312771</t>
  </si>
  <si>
    <t>Freight Inbound Delivered 04/03/18 Hong Kong-Louisville,KY</t>
  </si>
  <si>
    <t>1008558</t>
  </si>
  <si>
    <t>3312785</t>
  </si>
  <si>
    <t>Freight Inbound Delivered 04/03/18 Hong Kong-Menomonie,WI</t>
  </si>
  <si>
    <t>1008565</t>
  </si>
  <si>
    <t>China - Phillips WI</t>
  </si>
  <si>
    <t>3346305</t>
  </si>
  <si>
    <t>Freight Inbound Delivered 04/03/18 China - Durham, NC</t>
  </si>
  <si>
    <t>1009348</t>
  </si>
  <si>
    <t>3312725</t>
  </si>
  <si>
    <t>Freight Inbound Delivered 04/09/18 China - Durham, NC</t>
  </si>
  <si>
    <t>1008511</t>
  </si>
  <si>
    <t>3312741</t>
  </si>
  <si>
    <t>Freight Inbound Delivered  04/05/18 Hong Kong-Louisville, KY</t>
  </si>
  <si>
    <t>1008528</t>
  </si>
  <si>
    <t>3312747</t>
  </si>
  <si>
    <t>Freight Inbound Delivered 04/05/18 Hong Kong - Durham, NC</t>
  </si>
  <si>
    <t>1008532</t>
  </si>
  <si>
    <t>3312751</t>
  </si>
  <si>
    <t>1008540</t>
  </si>
  <si>
    <t>3312757</t>
  </si>
  <si>
    <t>Freight Inbound Delivered 04/05/18 Hong Kong-Louisville,KY</t>
  </si>
  <si>
    <t>1008546</t>
  </si>
  <si>
    <t>3312763</t>
  </si>
  <si>
    <t>Freight Inbound Delivered 04/09/18 Hong Kong-Louisville,KY</t>
  </si>
  <si>
    <t>1008554</t>
  </si>
  <si>
    <t>3312769</t>
  </si>
  <si>
    <t>1008557</t>
  </si>
  <si>
    <t>3312777</t>
  </si>
  <si>
    <t>1008561</t>
  </si>
  <si>
    <t>3312781</t>
  </si>
  <si>
    <t>1008563</t>
  </si>
  <si>
    <t>3312787</t>
  </si>
  <si>
    <t>Freight Inbound Delivered 04/05/18 China - Louisville, KY</t>
  </si>
  <si>
    <t>1008566</t>
  </si>
  <si>
    <t>3312731</t>
  </si>
  <si>
    <t>Freight Inbound Delivered 04/09/18 China - Louisville, KY</t>
  </si>
  <si>
    <t>1008518</t>
  </si>
  <si>
    <t>3312735</t>
  </si>
  <si>
    <t>Freight Inbound Delivered 04/011/18 Hong Kong- Louisville,KY</t>
  </si>
  <si>
    <t>1008523</t>
  </si>
  <si>
    <t>3312739</t>
  </si>
  <si>
    <t>Freight Inbound Delivered  04/11/18 Hong Kong-Louisville, KY</t>
  </si>
  <si>
    <t>1008526</t>
  </si>
  <si>
    <t>3312743</t>
  </si>
  <si>
    <t>Freight Inbound Delivered 04/11/18 Hong Kong-Louisville, KY</t>
  </si>
  <si>
    <t>1008530</t>
  </si>
  <si>
    <t>3312745</t>
  </si>
  <si>
    <t>Freight Inbound Delivered 04/11/18 Hong Kong-Louisville,KY</t>
  </si>
  <si>
    <t>1008531</t>
  </si>
  <si>
    <t>3312749</t>
  </si>
  <si>
    <t>1008534</t>
  </si>
  <si>
    <t>3312755</t>
  </si>
  <si>
    <t>Freight Inbound Delivered 04/13/18 China to Louisville,KY</t>
  </si>
  <si>
    <t>1008545</t>
  </si>
  <si>
    <t>3312775</t>
  </si>
  <si>
    <t>1008560</t>
  </si>
  <si>
    <t>3312779</t>
  </si>
  <si>
    <t>Freight Inbound Delivered 04/13/18 China - Durham, NC</t>
  </si>
  <si>
    <t>1008562</t>
  </si>
  <si>
    <t>3307321</t>
  </si>
  <si>
    <t>Freight Inbound Delivered 04/10/18 Hong Kong - Durham, NC</t>
  </si>
  <si>
    <t>1008510</t>
  </si>
  <si>
    <t>3312727</t>
  </si>
  <si>
    <t>Freight Inbound Delivered 04/18/18 China - Durham, NC</t>
  </si>
  <si>
    <t>1008514</t>
  </si>
  <si>
    <t>3312729</t>
  </si>
  <si>
    <t>Freight Inbound Delivered 04/18/18 Hong Kong - Durham, NC</t>
  </si>
  <si>
    <t>1008517</t>
  </si>
  <si>
    <t>3312733</t>
  </si>
  <si>
    <t>Freight Inbound Delivered 04/17/18 China - Louisville, KY</t>
  </si>
  <si>
    <t>1008520</t>
  </si>
  <si>
    <t>3312737</t>
  </si>
  <si>
    <t>Freight Inbound Delivered 04/17/18 Hong Kong-BuffaloGrove,IL</t>
  </si>
  <si>
    <t>1008524</t>
  </si>
  <si>
    <t>3312753</t>
  </si>
  <si>
    <t>1008543</t>
  </si>
  <si>
    <t>3312759</t>
  </si>
  <si>
    <t>Freight Inbound Delivered 04/17/18 Hong Kong -Durham,NC</t>
  </si>
  <si>
    <t>1008547</t>
  </si>
  <si>
    <t>3312761</t>
  </si>
  <si>
    <t>1008548</t>
  </si>
  <si>
    <t>3312765</t>
  </si>
  <si>
    <t>Freight Inbound Delivered 04/11/18 Hong Kong-Durham, NC</t>
  </si>
  <si>
    <t>1008555</t>
  </si>
  <si>
    <t>3312767</t>
  </si>
  <si>
    <t>1008556</t>
  </si>
  <si>
    <t>3312773</t>
  </si>
  <si>
    <t>Freight Inbound Delivered 04/17/18 Hong Kong-Louisville,KY</t>
  </si>
  <si>
    <t>1008559</t>
  </si>
  <si>
    <t>3312783</t>
  </si>
  <si>
    <t>1008564</t>
  </si>
  <si>
    <t>3346302</t>
  </si>
  <si>
    <t>Freight Inbound Delivered 04/20/18 China - Louisville, KY</t>
  </si>
  <si>
    <t>1009344</t>
  </si>
  <si>
    <t>3346303</t>
  </si>
  <si>
    <t>Freight Inbound Delivered 04/19/18 Hong Kong-Louisville, KY</t>
  </si>
  <si>
    <t>1009345</t>
  </si>
  <si>
    <t>3346331</t>
  </si>
  <si>
    <t>Freight inbound Delivered 04/19/18 China - Louisville, KY</t>
  </si>
  <si>
    <t>1009392</t>
  </si>
  <si>
    <t>3346304</t>
  </si>
  <si>
    <t>1009346</t>
  </si>
  <si>
    <t>3346306</t>
  </si>
  <si>
    <t>Freight Inbound Delivered 04/18/18 China - San Francisco, CA</t>
  </si>
  <si>
    <t>1009349</t>
  </si>
  <si>
    <t>China - JUUL HQ</t>
  </si>
  <si>
    <t>3346332</t>
  </si>
  <si>
    <t>Freight inbound Delivered 04/23/18 China - Louisville, KY</t>
  </si>
  <si>
    <t>1009404</t>
  </si>
  <si>
    <t>3346382</t>
  </si>
  <si>
    <t>Freight inbound Delivered 04/23/18 China - Durham, NC</t>
  </si>
  <si>
    <t>1009510</t>
  </si>
  <si>
    <t>3346357</t>
  </si>
  <si>
    <t>1009479</t>
  </si>
  <si>
    <t>3346397</t>
  </si>
  <si>
    <t>1009527</t>
  </si>
  <si>
    <t>FLEX-260024</t>
  </si>
  <si>
    <t>Air</t>
  </si>
  <si>
    <t>FLEX-269916</t>
  </si>
  <si>
    <t>FLEX-269924</t>
  </si>
  <si>
    <t>FLEX-275538</t>
  </si>
  <si>
    <t>FLEX-276804</t>
  </si>
  <si>
    <t>FLEX-276807</t>
  </si>
  <si>
    <t>FLEX-276812</t>
  </si>
  <si>
    <t>FLEX-276828</t>
  </si>
  <si>
    <t>FLEX-281123</t>
  </si>
  <si>
    <t>FLEX-282790</t>
  </si>
  <si>
    <t>FLEX-282819</t>
  </si>
  <si>
    <t>FLEX-282827</t>
  </si>
  <si>
    <t>FLEX-283010</t>
  </si>
  <si>
    <t>FLEX-283022</t>
  </si>
  <si>
    <t>FLEX-284466</t>
  </si>
  <si>
    <t>FLEX-284474</t>
  </si>
  <si>
    <t>FLEX-284476</t>
  </si>
  <si>
    <t>FLEX-284478</t>
  </si>
  <si>
    <t>FLEX-286414</t>
  </si>
  <si>
    <t>FLEX-290211</t>
  </si>
  <si>
    <t>FLEX-290220</t>
  </si>
  <si>
    <t>FLEX-292444</t>
  </si>
  <si>
    <t xml:space="preserve">AFG NC - </t>
  </si>
  <si>
    <t>FLEX-294432</t>
  </si>
  <si>
    <t>FLEX-294492</t>
  </si>
  <si>
    <t>FLEX-297402</t>
  </si>
  <si>
    <t>LAXFO18050353</t>
  </si>
  <si>
    <t>LAXFO18050354</t>
  </si>
  <si>
    <t>LAXFO18050355</t>
  </si>
  <si>
    <t>LAXFO18050356</t>
  </si>
  <si>
    <t>LAXFO18050357</t>
  </si>
  <si>
    <t>LAXFO18050389</t>
  </si>
  <si>
    <t>LAXFO18050242</t>
  </si>
  <si>
    <t>AFG NC - Phillips WI</t>
  </si>
  <si>
    <t>LAXFO18050285</t>
  </si>
  <si>
    <t>LAXF018050286</t>
  </si>
  <si>
    <t>LAXF018050283</t>
  </si>
  <si>
    <t>LAXFO18050288</t>
  </si>
  <si>
    <t>LAXFO18050284</t>
  </si>
  <si>
    <t>LAXFO18060001</t>
  </si>
  <si>
    <t>2018-06-04</t>
  </si>
  <si>
    <t>3410365</t>
  </si>
  <si>
    <t>07-2018</t>
  </si>
  <si>
    <t>Pallet Charge</t>
  </si>
  <si>
    <t>1011518</t>
  </si>
  <si>
    <t>3410364</t>
  </si>
  <si>
    <t>1011511</t>
  </si>
  <si>
    <t>3428775</t>
  </si>
  <si>
    <t>Freight Inbound ETA 5/18/18 ASTEELFLASH NC to Louisville,KY</t>
  </si>
  <si>
    <t>1012302</t>
  </si>
  <si>
    <t>3428776</t>
  </si>
  <si>
    <t>Freight Inbound ETA 5/24/18 ASTEELFLASH NC to Louisville,KY</t>
  </si>
  <si>
    <t>1012305</t>
  </si>
  <si>
    <t>3428777</t>
  </si>
  <si>
    <t>Freight Inbound ETA 5/22/18 ASTEELFLASH NC to Louisville,KY</t>
  </si>
  <si>
    <t>1012307</t>
  </si>
  <si>
    <t>3428778</t>
  </si>
  <si>
    <t>Freight Inbound ETA 5/19/18 ASTEELFLASH NC to Louisville,KY</t>
  </si>
  <si>
    <t>1012309</t>
  </si>
  <si>
    <t>3428779</t>
  </si>
  <si>
    <t>Freight Inbound ETA 5/21/18 ASTEELFLASH NC to Louisville,KY</t>
  </si>
  <si>
    <t>1012313</t>
  </si>
  <si>
    <t>3416720</t>
  </si>
  <si>
    <t>Freight IN Delivered 5/15/18 Louiville,KY-Cambridge,Ontario</t>
  </si>
  <si>
    <t>1011726</t>
  </si>
  <si>
    <t>DCL KY - Ontario CA</t>
  </si>
  <si>
    <t>3428800</t>
  </si>
  <si>
    <t>Freight Inbound ETA 5/29/18 ASTEELFLASH NC to Louisville,KY</t>
  </si>
  <si>
    <t>1012310</t>
  </si>
  <si>
    <t>3428801</t>
  </si>
  <si>
    <t>Freight Inbound ETA 5/26/18 ASTEELFLASH NC to Louisville,KY</t>
  </si>
  <si>
    <t>1012314</t>
  </si>
  <si>
    <t>3429063</t>
  </si>
  <si>
    <t>Freight Inbound ETA 5/30/18 ASTEELFLASH NC to Louisville,KY</t>
  </si>
  <si>
    <t>1012315</t>
  </si>
  <si>
    <t>3429064</t>
  </si>
  <si>
    <t>Freight Inbound ETA 5/25/18 ASTEELFLASH NC to Louisville,KY</t>
  </si>
  <si>
    <t>1012316</t>
  </si>
  <si>
    <t>3429065</t>
  </si>
  <si>
    <t>1012317</t>
  </si>
  <si>
    <t>3429066</t>
  </si>
  <si>
    <t>Freight Inbound ETA 5/31/18 ASTEELFLASH NC to Louisville,KY</t>
  </si>
  <si>
    <t>1012318</t>
  </si>
  <si>
    <t>3419701</t>
  </si>
  <si>
    <t>Freight Inbound Delivered 5/27/18 China-Buffalo Grove,IL</t>
  </si>
  <si>
    <t>1011997</t>
  </si>
  <si>
    <t>China - Flex IL</t>
  </si>
  <si>
    <t>3419702</t>
  </si>
  <si>
    <t>Freight Inbound Delivered 5/29/18 China-Buffalo Grove,IL</t>
  </si>
  <si>
    <t>1011999</t>
  </si>
  <si>
    <t>3420180</t>
  </si>
  <si>
    <t>Destination/Customs Charges ONLY - 5/31/18 China-BufGrove,IL</t>
  </si>
  <si>
    <t>1012013</t>
  </si>
  <si>
    <t>3432317</t>
  </si>
  <si>
    <t>1012345</t>
  </si>
  <si>
    <t>Flex IL - UK</t>
  </si>
  <si>
    <t>3429072</t>
  </si>
  <si>
    <t>Freight Inbound ETA 6/5/18 ASTEELFLASH NC to Louisville,KY</t>
  </si>
  <si>
    <t>1012319</t>
  </si>
  <si>
    <t>3429073</t>
  </si>
  <si>
    <t>1012320</t>
  </si>
  <si>
    <t>3429074</t>
  </si>
  <si>
    <t>Freight Inbound ETA 6/2/18 ASTEELFLASH NC to Louisville,KY</t>
  </si>
  <si>
    <t>1012321</t>
  </si>
  <si>
    <t>3416753</t>
  </si>
  <si>
    <t>Freight IN Delivered 6/4/18 Jiansu,China-Buffalo Grove,IL</t>
  </si>
  <si>
    <t>1011729</t>
  </si>
  <si>
    <t>3429075</t>
  </si>
  <si>
    <t>Freight Inbound ETA 6/11/18 ASTEELFLASH NC to Louisville,KY</t>
  </si>
  <si>
    <t>1012322</t>
  </si>
  <si>
    <t>3429076</t>
  </si>
  <si>
    <t>Freight Inbound ETA 6/9/18 ASTEELFLASH NC to Louisville,KY</t>
  </si>
  <si>
    <t>1012323</t>
  </si>
  <si>
    <t>3420181</t>
  </si>
  <si>
    <t>Destination/Customs Charges ONLY - 6/12/18 Lemont,IL-UK</t>
  </si>
  <si>
    <t>1012016</t>
  </si>
  <si>
    <t>3429077</t>
  </si>
  <si>
    <t>Freight Inbound ETA 6/10/18 ASTEELFLASH NC to Louisville,KY</t>
  </si>
  <si>
    <t>1012324</t>
  </si>
  <si>
    <t>3429080</t>
  </si>
  <si>
    <t>Freight Inbound ETA 6/12/18 ASTEELFLASH NC to Louisville,KY</t>
  </si>
  <si>
    <t>1012325</t>
  </si>
  <si>
    <t>3429081</t>
  </si>
  <si>
    <t>Freight Inbound ETA 6/8/18 ASTEELFLASH WI to Louisville,KY</t>
  </si>
  <si>
    <t>1012326</t>
  </si>
  <si>
    <t>3438360</t>
  </si>
  <si>
    <t>1012449</t>
  </si>
  <si>
    <t>3438359</t>
  </si>
  <si>
    <t>1012452</t>
  </si>
  <si>
    <t>INTUK-CRP-4600-JUL</t>
  </si>
  <si>
    <t>3442176</t>
  </si>
  <si>
    <t>Freight</t>
  </si>
  <si>
    <t>1012735</t>
  </si>
  <si>
    <t>Florida - Phillips WI</t>
  </si>
  <si>
    <t>3417433</t>
  </si>
  <si>
    <t>Freight Inbound Delivered 6/13/18 China-Buffalo Grove,IL</t>
  </si>
  <si>
    <t>1011777</t>
  </si>
  <si>
    <t>3417434</t>
  </si>
  <si>
    <t>1011782</t>
  </si>
  <si>
    <t>3417435</t>
  </si>
  <si>
    <t>1011786</t>
  </si>
  <si>
    <t>3418780</t>
  </si>
  <si>
    <t>1011791</t>
  </si>
  <si>
    <t>3418411</t>
  </si>
  <si>
    <t>Freight Inbound Delivered 06/19/18 China-Buffalo Grove,IL</t>
  </si>
  <si>
    <t>1011792</t>
  </si>
  <si>
    <t>3418418</t>
  </si>
  <si>
    <t>Freight Inbound Delivered 6/11/18 China-Buffalo Grove,IL</t>
  </si>
  <si>
    <t>1011797</t>
  </si>
  <si>
    <t>3419007</t>
  </si>
  <si>
    <t>1011787</t>
  </si>
  <si>
    <t>3419008</t>
  </si>
  <si>
    <t>3419009</t>
  </si>
  <si>
    <t>1011793</t>
  </si>
  <si>
    <t>3421676</t>
  </si>
  <si>
    <t>Destination/Customs Charges ONLY - 6/25/18 China-BufGrove,IL</t>
  </si>
  <si>
    <t>1012051</t>
  </si>
  <si>
    <t>3424147</t>
  </si>
  <si>
    <t>Destination/Customs Charges ONLY -6/30/18 SF, CA - Ontario</t>
  </si>
  <si>
    <t>1012237</t>
  </si>
  <si>
    <t>San Francisco - Ontario</t>
  </si>
  <si>
    <t>3424148</t>
  </si>
  <si>
    <t>1012239</t>
  </si>
  <si>
    <t>3438657</t>
  </si>
  <si>
    <t>1012276</t>
  </si>
  <si>
    <t>3438658</t>
  </si>
  <si>
    <t>3438656</t>
  </si>
  <si>
    <t>1012280</t>
  </si>
  <si>
    <t>3438655</t>
  </si>
  <si>
    <t>1012281</t>
  </si>
  <si>
    <t>3418996</t>
  </si>
  <si>
    <t>Freight Inbound Delivered 6/27/18 Hong Kong-Menomonie,WI</t>
  </si>
  <si>
    <t>1011918</t>
  </si>
  <si>
    <t>3418998</t>
  </si>
  <si>
    <t>1011930</t>
  </si>
  <si>
    <t>3419000</t>
  </si>
  <si>
    <t>Freight Inbound Delivered 6/28/18 Hong Kong-Buffalo Grove,IL</t>
  </si>
  <si>
    <t>1011931</t>
  </si>
  <si>
    <t>3424141</t>
  </si>
  <si>
    <t>Freight inbound Delivered 07/06/18 China - Durham, NC</t>
  </si>
  <si>
    <t>1012225</t>
  </si>
  <si>
    <t>3424143</t>
  </si>
  <si>
    <t>Freight inbound Delivered 06/05/18 China - Louisville, KY</t>
  </si>
  <si>
    <t>1012230</t>
  </si>
  <si>
    <t>3424145</t>
  </si>
  <si>
    <t>Freight inbound Delivered 07/03/18 China - Louisville, KY</t>
  </si>
  <si>
    <t>1012231</t>
  </si>
  <si>
    <t>3428798</t>
  </si>
  <si>
    <t>Freight Inbound Delivered 5/17/18 China-Louisville,KY</t>
  </si>
  <si>
    <t>1012290</t>
  </si>
  <si>
    <t>3428799</t>
  </si>
  <si>
    <t>1012291</t>
  </si>
  <si>
    <t>3416737</t>
  </si>
  <si>
    <t>1011716</t>
  </si>
  <si>
    <t>3418771</t>
  </si>
  <si>
    <t>1011873</t>
  </si>
  <si>
    <t>3416754</t>
  </si>
  <si>
    <t>Freight Inbound Delivered 6/4/18 Hong Kong-Morrisville,NC</t>
  </si>
  <si>
    <t>1011774</t>
  </si>
  <si>
    <t>3418425</t>
  </si>
  <si>
    <t>1011881</t>
  </si>
  <si>
    <t>3418791</t>
  </si>
  <si>
    <t>1011927</t>
  </si>
  <si>
    <t>3418978</t>
  </si>
  <si>
    <t>Freight Inbound Delivered 05/25/18 Hong Kong -Durham,NC</t>
  </si>
  <si>
    <t>1011932</t>
  </si>
  <si>
    <t>3418775</t>
  </si>
  <si>
    <t>1011892</t>
  </si>
  <si>
    <t>3418777</t>
  </si>
  <si>
    <t>1011921</t>
  </si>
  <si>
    <t>3418773</t>
  </si>
  <si>
    <t>1011884</t>
  </si>
  <si>
    <t>3418787</t>
  </si>
  <si>
    <t>1011920</t>
  </si>
  <si>
    <t>3418421</t>
  </si>
  <si>
    <t>1011876</t>
  </si>
  <si>
    <t>3419662</t>
  </si>
  <si>
    <t>Freight Inbound ETA 6/14/18 ASTEELFLASH NC to Louisville,KY</t>
  </si>
  <si>
    <t>1011984</t>
  </si>
  <si>
    <t>3417436</t>
  </si>
  <si>
    <t>1011788</t>
  </si>
  <si>
    <t>3418402</t>
  </si>
  <si>
    <t>1011790</t>
  </si>
  <si>
    <t>3418412</t>
  </si>
  <si>
    <t>1011794</t>
  </si>
  <si>
    <t>3418414</t>
  </si>
  <si>
    <t>1011795</t>
  </si>
  <si>
    <t>3418416</t>
  </si>
  <si>
    <t>1011796</t>
  </si>
  <si>
    <t>3418419</t>
  </si>
  <si>
    <t>1011798</t>
  </si>
  <si>
    <t>3418781</t>
  </si>
  <si>
    <t>1011800</t>
  </si>
  <si>
    <t>3418989</t>
  </si>
  <si>
    <t>Freight Inbound Delivered 6/20/18 Hong Kong-Buffalo Grove,IL</t>
  </si>
  <si>
    <t>1011915</t>
  </si>
  <si>
    <t>3418994</t>
  </si>
  <si>
    <t>1011926</t>
  </si>
  <si>
    <t>3418995</t>
  </si>
  <si>
    <t>Freight inbound Delivered 06/26/18 China - Louisville, KY</t>
  </si>
  <si>
    <t>1011928</t>
  </si>
  <si>
    <t>3418985</t>
  </si>
  <si>
    <t>Freight Inbound Delivered 06/28/18 China-Durham,NC</t>
  </si>
  <si>
    <t>1011889</t>
  </si>
  <si>
    <t>3418987</t>
  </si>
  <si>
    <t>Freight Inbound Delivered 06/23/18 Taiwan-Louisville,KY</t>
  </si>
  <si>
    <t>1011908</t>
  </si>
  <si>
    <t>3418991</t>
  </si>
  <si>
    <t>Freight inbound Delivered 06/27/18 China - Louisville, KY</t>
  </si>
  <si>
    <t>1011923</t>
  </si>
  <si>
    <t>3394660</t>
  </si>
  <si>
    <t>Freight inbound Delivered 05/25/18 Hong Kong - Louisville,KY</t>
  </si>
  <si>
    <t>1011128</t>
  </si>
  <si>
    <t>3396016</t>
  </si>
  <si>
    <t>Freight inbound delivered 05/23/18 Hong Kong-Menomonie,WI</t>
  </si>
  <si>
    <t>1011178</t>
  </si>
  <si>
    <t>3398110</t>
  </si>
  <si>
    <t>Freight Inbound Delivered 05/23/18 Hong Kong-Menomonie,WI</t>
  </si>
  <si>
    <t>1011189</t>
  </si>
  <si>
    <t>3400374</t>
  </si>
  <si>
    <t>Freight Inbound Delivered 05/21/18 Shanghai-Durham,NC</t>
  </si>
  <si>
    <t>1011192</t>
  </si>
  <si>
    <t>3400375</t>
  </si>
  <si>
    <t>Freight Inbound Delivered 05/21/18 Shanghai-Buffalo Grove,IL</t>
  </si>
  <si>
    <t>1011209</t>
  </si>
  <si>
    <t>3398111</t>
  </si>
  <si>
    <t>Freight Inbound ETA 05/23/18 ASTEELFLASH WI to Louisville,KY</t>
  </si>
  <si>
    <t>1011236</t>
  </si>
  <si>
    <t>3398107</t>
  </si>
  <si>
    <t>Freight Inbound ETA 05/21/18 ASTEELFLASH NC to Louisville,KY</t>
  </si>
  <si>
    <t>1011241</t>
  </si>
  <si>
    <t>3394658</t>
  </si>
  <si>
    <t>Freight inbound Delivered 05/14/18 Shanghai - Louisville,KY</t>
  </si>
  <si>
    <t>1011124</t>
  </si>
  <si>
    <t>Shanghai - DCL KTY</t>
  </si>
  <si>
    <t>3398096</t>
  </si>
  <si>
    <t>1011234</t>
  </si>
  <si>
    <t>China - San Francisco</t>
  </si>
  <si>
    <t>3372875</t>
  </si>
  <si>
    <t>1008536</t>
  </si>
  <si>
    <t>3445661</t>
  </si>
  <si>
    <t>Freight In Accrual Jul 2018</t>
  </si>
  <si>
    <t>3458673</t>
  </si>
  <si>
    <t>Freight Inbound Accrual Jul 2018 (Duties Increase)</t>
  </si>
  <si>
    <t>Juul</t>
  </si>
  <si>
    <t>AFG NC - Canada</t>
  </si>
  <si>
    <t>DCL KY - Canada</t>
  </si>
  <si>
    <t>3400595</t>
  </si>
  <si>
    <t>3400598</t>
  </si>
  <si>
    <t>3400600</t>
  </si>
  <si>
    <t>3400602</t>
  </si>
  <si>
    <t>3400604</t>
  </si>
  <si>
    <t>3400606</t>
  </si>
  <si>
    <t>3400615</t>
  </si>
  <si>
    <t>3400617</t>
  </si>
  <si>
    <t>3400619</t>
  </si>
  <si>
    <t>3400613</t>
  </si>
  <si>
    <t>Freight Coding</t>
  </si>
  <si>
    <t>Total by Month</t>
  </si>
  <si>
    <t>February</t>
  </si>
  <si>
    <t>Total Expense May to Jul 2018</t>
  </si>
  <si>
    <t>3467918</t>
  </si>
  <si>
    <t>08-2018</t>
  </si>
  <si>
    <t>Freight Inbound Delivered 4/26/18 HK-Morrisville, NC</t>
  </si>
  <si>
    <t>1013847</t>
  </si>
  <si>
    <t>141100</t>
  </si>
  <si>
    <t>PODs</t>
  </si>
  <si>
    <t>3479393</t>
  </si>
  <si>
    <t>Flat Rate Shipping JUUL Components SD 6/20/18</t>
  </si>
  <si>
    <t>1014264</t>
  </si>
  <si>
    <t>NAUSA-CRP-4100-JUL</t>
  </si>
  <si>
    <t>Aubright - DCL KY</t>
  </si>
  <si>
    <t>RK</t>
  </si>
  <si>
    <t>3459757</t>
  </si>
  <si>
    <t>Freight Inbound Delivered 6/28/18 China - Louisville, KY</t>
  </si>
  <si>
    <t>1013494</t>
  </si>
  <si>
    <t>J1D1147</t>
  </si>
  <si>
    <t>3459758</t>
  </si>
  <si>
    <t>Freight Inbound Delivered 7/5/18 China - Durham,NC</t>
  </si>
  <si>
    <t>1013495</t>
  </si>
  <si>
    <t>3462089</t>
  </si>
  <si>
    <t>Freight Inbound ETA 7/5/18 ASTEELFLASH,NC to Louisville,KY</t>
  </si>
  <si>
    <t>1013668</t>
  </si>
  <si>
    <t>J1D2226</t>
  </si>
  <si>
    <t>3463252</t>
  </si>
  <si>
    <t>Freight Inbound ETA 7/3/18 ASTEELFLASH NC to Louisville,KY</t>
  </si>
  <si>
    <t>1013685</t>
  </si>
  <si>
    <t>3463253</t>
  </si>
  <si>
    <t>Freight Inbound ETA 7/13/18 ASTEELFLASH NC to Louisville,KY</t>
  </si>
  <si>
    <t>1013686</t>
  </si>
  <si>
    <t>3467877</t>
  </si>
  <si>
    <t>Flat Rate Shipping Plastic Components SD 7/17/18</t>
  </si>
  <si>
    <t>1013902</t>
  </si>
  <si>
    <t>RM</t>
  </si>
  <si>
    <t>3467878</t>
  </si>
  <si>
    <t>Flat Rate Shipping JUUL Components SD 7/17/18</t>
  </si>
  <si>
    <t>1013911</t>
  </si>
  <si>
    <t>Flex IL - DCL KY</t>
  </si>
  <si>
    <t>3462860</t>
  </si>
  <si>
    <t>Freight Inbound ETA 7/16/18 ASTEELFLASH NC to Louisville,KY</t>
  </si>
  <si>
    <t>1013682</t>
  </si>
  <si>
    <t>3463262</t>
  </si>
  <si>
    <t>Freight Inbound ETA 7/15/18 ASTEELFLASH NC to Louisville,KY</t>
  </si>
  <si>
    <t>1013684</t>
  </si>
  <si>
    <t>3463264</t>
  </si>
  <si>
    <t>Freight Inbound ETA 7/20/18 ASTEELFLASH NC to Louisville,KY</t>
  </si>
  <si>
    <t>1013688</t>
  </si>
  <si>
    <t>J1D1810</t>
  </si>
  <si>
    <t>3463265</t>
  </si>
  <si>
    <t>Freight Inbound ETA 7/12/18 ASTEELFLASH WI to Louisville,KY</t>
  </si>
  <si>
    <t>1013689</t>
  </si>
  <si>
    <t>3463268</t>
  </si>
  <si>
    <t>Freight Inbound Delivered 7/10/18 HK - Buffalo Grove,IL</t>
  </si>
  <si>
    <t>1013692</t>
  </si>
  <si>
    <t>3463269</t>
  </si>
  <si>
    <t>Freight Inbound Deliv 7/6/18 Louisville,KY-Ontario,Canada</t>
  </si>
  <si>
    <t>1013693</t>
  </si>
  <si>
    <t>3463270</t>
  </si>
  <si>
    <t>Freight Inbound Delivered 7/17/18 China - Buffalo Grove,IL</t>
  </si>
  <si>
    <t>1013694</t>
  </si>
  <si>
    <t>3463271</t>
  </si>
  <si>
    <t>Freight Inbound Deliv 7/24/18 Durham,NC - Ontario,Canada</t>
  </si>
  <si>
    <t>1013695</t>
  </si>
  <si>
    <t>DECI NC - Canada</t>
  </si>
  <si>
    <t>3463272</t>
  </si>
  <si>
    <t>Freight Inbound Delivered 7/13/18 China - Buffalo Grove,IL</t>
  </si>
  <si>
    <t>1013696</t>
  </si>
  <si>
    <t>3469409</t>
  </si>
  <si>
    <t>1013936</t>
  </si>
  <si>
    <t>3463266</t>
  </si>
  <si>
    <t>1013690</t>
  </si>
  <si>
    <t>3463273</t>
  </si>
  <si>
    <t>Freight Inbound Delivered 7/25/18 China - Durham,NC</t>
  </si>
  <si>
    <t>1013697</t>
  </si>
  <si>
    <t>BK</t>
  </si>
  <si>
    <t>3466395</t>
  </si>
  <si>
    <t>Freight Inbound Delivered 7/18/18 China - Louisville, KY</t>
  </si>
  <si>
    <t>1013782</t>
  </si>
  <si>
    <t>J1D1846, J1D1147</t>
  </si>
  <si>
    <t>3466396</t>
  </si>
  <si>
    <t>1013784</t>
  </si>
  <si>
    <t>J1A1063</t>
  </si>
  <si>
    <t>3466397</t>
  </si>
  <si>
    <t>Freight Inbound Delivered 7/5/18 China - Louisville, KY</t>
  </si>
  <si>
    <t>1013786</t>
  </si>
  <si>
    <t>3466398</t>
  </si>
  <si>
    <t>Freight Inbound Delivered 7/5/18 HK-Menomonie,WI</t>
  </si>
  <si>
    <t>1013787</t>
  </si>
  <si>
    <t>3466399</t>
  </si>
  <si>
    <t>Freight Inbound Delivered 7/11/18  China - Louisville, KY</t>
  </si>
  <si>
    <t>1013788</t>
  </si>
  <si>
    <t>3466400</t>
  </si>
  <si>
    <t>Freight Inbound Delivered 7/6/18 China - Louisville, KY</t>
  </si>
  <si>
    <t>1013790</t>
  </si>
  <si>
    <t>3466401</t>
  </si>
  <si>
    <t>Freight Inbound Delivered 7/20/18 China-Buffalo Grove,IL</t>
  </si>
  <si>
    <t>1013791</t>
  </si>
  <si>
    <t>3466402</t>
  </si>
  <si>
    <t>Freight Inbound Delivered  6/21/18 HK-Menomonie,WI</t>
  </si>
  <si>
    <t>1013792</t>
  </si>
  <si>
    <t>3466403</t>
  </si>
  <si>
    <t>Freight Inbound Delivered 7/24/18 China-Buffalo Grove,IL</t>
  </si>
  <si>
    <t>1013793</t>
  </si>
  <si>
    <t>3466404</t>
  </si>
  <si>
    <t>Freight Inbound Delivered 7/11/18 China - Louisville, KY</t>
  </si>
  <si>
    <t>1013794</t>
  </si>
  <si>
    <t>3466405</t>
  </si>
  <si>
    <t>Freight Inbound Delivered 7/9/18 HK-Morrisville,NC</t>
  </si>
  <si>
    <t>1013795</t>
  </si>
  <si>
    <t>3466406</t>
  </si>
  <si>
    <t>Freight Inbound Delivered 7/17/18 China-Louisville, KY</t>
  </si>
  <si>
    <t>1013796</t>
  </si>
  <si>
    <t>3466407</t>
  </si>
  <si>
    <t>Freight Inbound Delivered 7/18/18  China-Louisville, KY</t>
  </si>
  <si>
    <t>1013797</t>
  </si>
  <si>
    <t>3467879</t>
  </si>
  <si>
    <t>Flat Rate Shipping JUUL Components SD 7/21/18</t>
  </si>
  <si>
    <t>1013901</t>
  </si>
  <si>
    <t>3467880</t>
  </si>
  <si>
    <t>Flat Rate Shipping JUUL Components SD 7/20/18</t>
  </si>
  <si>
    <t>1013905</t>
  </si>
  <si>
    <t>3463263</t>
  </si>
  <si>
    <t>Freight Inbound ETA 7/9/18 ASTEELFLASH NC to Louisville,KY</t>
  </si>
  <si>
    <t>1013687</t>
  </si>
  <si>
    <t>3467883</t>
  </si>
  <si>
    <t>Flat Rate Shipping Plastic Components SD 7/23/18</t>
  </si>
  <si>
    <t>1013906</t>
  </si>
  <si>
    <t>3469459</t>
  </si>
  <si>
    <t>1013938</t>
  </si>
  <si>
    <t>3467881</t>
  </si>
  <si>
    <t>Flat Rate Shipping JUUL Components SD 7/16/18</t>
  </si>
  <si>
    <t>1013892</t>
  </si>
  <si>
    <t>SK</t>
  </si>
  <si>
    <t>3467897</t>
  </si>
  <si>
    <t>Flat Rate Shipping Packaging Material &amp; Film SD 7/27/18</t>
  </si>
  <si>
    <t>1013879</t>
  </si>
  <si>
    <t>Phillips WI - AFG NC</t>
  </si>
  <si>
    <t>3463267</t>
  </si>
  <si>
    <t>Freight Inbound Delivered 7/13/18 Durham,NC - Ontario,Canada</t>
  </si>
  <si>
    <t>1013691</t>
  </si>
  <si>
    <t>3466408</t>
  </si>
  <si>
    <t>Freight Inbound Delivered 7/11/18 China-Durham,NC</t>
  </si>
  <si>
    <t>1013798</t>
  </si>
  <si>
    <t>COM1952</t>
  </si>
  <si>
    <t>3466409</t>
  </si>
  <si>
    <t>Freight Inbound Delivered 7/13/18 China-Louisville, KY</t>
  </si>
  <si>
    <t>1013799</t>
  </si>
  <si>
    <t>J1D1846</t>
  </si>
  <si>
    <t>3466410</t>
  </si>
  <si>
    <t>Freight Inbound Delivered 7/27/18 China-Buffalo Grove,IL</t>
  </si>
  <si>
    <t>1013800</t>
  </si>
  <si>
    <t>3466411</t>
  </si>
  <si>
    <t>Freight Inbound Delivered 7/11/18 China-Louisville, KY</t>
  </si>
  <si>
    <t>1013801</t>
  </si>
  <si>
    <t>3467920</t>
  </si>
  <si>
    <t>Freight Inbound Delivered 7/19/18 China-Louisville, KY</t>
  </si>
  <si>
    <t>1013850</t>
  </si>
  <si>
    <t>3467898</t>
  </si>
  <si>
    <t>Flat Rate Shipping JUUL Components
 SD 7/20/18</t>
  </si>
  <si>
    <t>1013880</t>
  </si>
  <si>
    <t>3469492</t>
  </si>
  <si>
    <t>Freight Inbound Delivered 7/23/18 China-Louisville, KY</t>
  </si>
  <si>
    <t>1013953</t>
  </si>
  <si>
    <t>3469493</t>
  </si>
  <si>
    <t>1013957</t>
  </si>
  <si>
    <t>COM1952, COM2353</t>
  </si>
  <si>
    <t>3469494</t>
  </si>
  <si>
    <t>Freight Inbound Delivered 7/16/18 China-Louisville, KY</t>
  </si>
  <si>
    <t>1013958</t>
  </si>
  <si>
    <t>3469495</t>
  </si>
  <si>
    <t>1013959</t>
  </si>
  <si>
    <t>3468405</t>
  </si>
  <si>
    <t>Flat Rate Shipping Plastic Components SD 7/18/18</t>
  </si>
  <si>
    <t>1013870</t>
  </si>
  <si>
    <t>3468406</t>
  </si>
  <si>
    <t>Flat Rate Shipping  JUUL Components
 SD 7/19/18</t>
  </si>
  <si>
    <t>1013874</t>
  </si>
  <si>
    <t>3468407</t>
  </si>
  <si>
    <t>Flat Rate Shipping E-Cig Components SD 7/26/18</t>
  </si>
  <si>
    <t>1013888</t>
  </si>
  <si>
    <t>3468408</t>
  </si>
  <si>
    <t>Flat Rate Shipping Refill Kit SD 7/20/18</t>
  </si>
  <si>
    <t>1013891</t>
  </si>
  <si>
    <t>3468409</t>
  </si>
  <si>
    <t>Flat Rate Shipping Plastic Components SD 7/16/18</t>
  </si>
  <si>
    <t>1013894</t>
  </si>
  <si>
    <t>Alternative - Phillips WI</t>
  </si>
  <si>
    <t>3469461</t>
  </si>
  <si>
    <t>Flat Rate Shipping Plastic Components SD 7/24/18</t>
  </si>
  <si>
    <t>1013868</t>
  </si>
  <si>
    <t>3469463</t>
  </si>
  <si>
    <t>For truck order not used 7/23/18</t>
  </si>
  <si>
    <t>1013896</t>
  </si>
  <si>
    <t>Truck not Used</t>
  </si>
  <si>
    <t>3469464</t>
  </si>
  <si>
    <t>Flat Rate Shipping JUUL Components SD 7/30/18</t>
  </si>
  <si>
    <t>1013899</t>
  </si>
  <si>
    <t>3469465</t>
  </si>
  <si>
    <t>Flat Rate Shipping JUUL Components &amp; Machines SD 7/16/18</t>
  </si>
  <si>
    <t>1013867</t>
  </si>
  <si>
    <t>No Information found</t>
  </si>
  <si>
    <t>3469466</t>
  </si>
  <si>
    <t>Flat Rate Shipping E-Cig Components SD 7/30/18</t>
  </si>
  <si>
    <t>1013872</t>
  </si>
  <si>
    <t>3469467</t>
  </si>
  <si>
    <t>Flat Rate Shipping Plastic Components SD 7/19/18</t>
  </si>
  <si>
    <t>1013873</t>
  </si>
  <si>
    <t>3469468</t>
  </si>
  <si>
    <t>Flat Rate Shipping JUUL E-Liquid SD 7/25/18</t>
  </si>
  <si>
    <t>1013897</t>
  </si>
  <si>
    <t>3469469</t>
  </si>
  <si>
    <t>Flat Rate Shipping JUUL Components SD 7/23/18</t>
  </si>
  <si>
    <t>1013903</t>
  </si>
  <si>
    <t>3469470</t>
  </si>
  <si>
    <t>1013907</t>
  </si>
  <si>
    <t>3469471</t>
  </si>
  <si>
    <t>Flat Rate Shipping E-Cig Components SD 8/2/18</t>
  </si>
  <si>
    <t>1013884</t>
  </si>
  <si>
    <t>3469472</t>
  </si>
  <si>
    <t>Flat Rate Shipping JUUL Components SD 7/24/18</t>
  </si>
  <si>
    <t>1013877</t>
  </si>
  <si>
    <t>3469473</t>
  </si>
  <si>
    <t>1013886</t>
  </si>
  <si>
    <t>3469474</t>
  </si>
  <si>
    <t>Flat Rate Shipping E-Cig Components SD 7/25/18</t>
  </si>
  <si>
    <t>1013893</t>
  </si>
  <si>
    <t>3469475</t>
  </si>
  <si>
    <t>Flat Rate Shipping JUUL Components SD 8/2/18</t>
  </si>
  <si>
    <t>1013898</t>
  </si>
  <si>
    <t>3469476</t>
  </si>
  <si>
    <t>1013912</t>
  </si>
  <si>
    <t>3469477</t>
  </si>
  <si>
    <t>1013876</t>
  </si>
  <si>
    <t>3469478</t>
  </si>
  <si>
    <t>1013881</t>
  </si>
  <si>
    <t>3469479</t>
  </si>
  <si>
    <t>Flat Rate Shipping JUUL Components SD 7/19/18</t>
  </si>
  <si>
    <t>1013889</t>
  </si>
  <si>
    <t>3469480</t>
  </si>
  <si>
    <t>1013908</t>
  </si>
  <si>
    <t>3469481</t>
  </si>
  <si>
    <t>Flat Rate Shipping JUUL Components SD 8/7/18</t>
  </si>
  <si>
    <t>1013940</t>
  </si>
  <si>
    <t>3469482</t>
  </si>
  <si>
    <t>Flat Rate Shipping E-Cig Components SD 8/7/18</t>
  </si>
  <si>
    <t>1013878</t>
  </si>
  <si>
    <t>3469483</t>
  </si>
  <si>
    <t>Flat Rate Shipping JUUL Components SD 7/18/18</t>
  </si>
  <si>
    <t>1013904</t>
  </si>
  <si>
    <t>3469484</t>
  </si>
  <si>
    <t>1013909</t>
  </si>
  <si>
    <t>3469485</t>
  </si>
  <si>
    <t>Flat Rate Shipping JUUL Components SD 7/27/18</t>
  </si>
  <si>
    <t>1013910</t>
  </si>
  <si>
    <t>3466412</t>
  </si>
  <si>
    <t>Freight Inbound Delivered 7/25/18 HK-Menomonie,WI</t>
  </si>
  <si>
    <t>1013802</t>
  </si>
  <si>
    <t>3466413</t>
  </si>
  <si>
    <t>Freight Inbound Delivered 7/6/18 China-Durham,NC</t>
  </si>
  <si>
    <t>1013803</t>
  </si>
  <si>
    <t>3466414</t>
  </si>
  <si>
    <t>Freight Inbound Delivered 8/1/18 China-Louisville, KY</t>
  </si>
  <si>
    <t>1013804</t>
  </si>
  <si>
    <t>3466415</t>
  </si>
  <si>
    <t>Freight Inbound Delivered 7/26/18 HK-Morrisville,NC</t>
  </si>
  <si>
    <t>1013805</t>
  </si>
  <si>
    <t>3467896</t>
  </si>
  <si>
    <t>Freight Inbound Delivered 7/20/18 China-Durham,NC</t>
  </si>
  <si>
    <t>1013854</t>
  </si>
  <si>
    <t>3467921</t>
  </si>
  <si>
    <t>Freight Inbound Delivered 8/9/18 China-Louisville, KY</t>
  </si>
  <si>
    <t>1013855</t>
  </si>
  <si>
    <t>3467922</t>
  </si>
  <si>
    <t>Freight Inbound Delivered 7/28/18 China-Louisville, KY</t>
  </si>
  <si>
    <t>1013856</t>
  </si>
  <si>
    <t>3467923</t>
  </si>
  <si>
    <t>Freight Inbound Delivered 8/2/18 HK-Morrisville, NC</t>
  </si>
  <si>
    <t>1013862</t>
  </si>
  <si>
    <t>3467924</t>
  </si>
  <si>
    <t>Freight Inbound Delivered 7/16/18 China-Durham,NC</t>
  </si>
  <si>
    <t>1013863</t>
  </si>
  <si>
    <t>3467925</t>
  </si>
  <si>
    <t>Freight Inbound Delivered 8/1/18 China-Durham,NC</t>
  </si>
  <si>
    <t>1013864</t>
  </si>
  <si>
    <t>3467926</t>
  </si>
  <si>
    <t>Freight Inbound Delivered 8/7/18 China-Buffalo Grove,IL</t>
  </si>
  <si>
    <t>1013865</t>
  </si>
  <si>
    <t>3469486</t>
  </si>
  <si>
    <t>1013866</t>
  </si>
  <si>
    <t>3469487</t>
  </si>
  <si>
    <t>1013871</t>
  </si>
  <si>
    <t>3469488</t>
  </si>
  <si>
    <t>For Truck ordered not used 7/23/18</t>
  </si>
  <si>
    <t>1013883</t>
  </si>
  <si>
    <t>3469489</t>
  </si>
  <si>
    <t>1013913</t>
  </si>
  <si>
    <t>3469490</t>
  </si>
  <si>
    <t>Flat Rate Shipping JUUL Components SD 8/8/18</t>
  </si>
  <si>
    <t>1013914</t>
  </si>
  <si>
    <t>3467927</t>
  </si>
  <si>
    <t>Freight Inbound Delivered 8/9/18 China-Durham,NC</t>
  </si>
  <si>
    <t>1013915</t>
  </si>
  <si>
    <t>COM2247</t>
  </si>
  <si>
    <t>3467919</t>
  </si>
  <si>
    <t>Freight Inbound Delivered 7/18/18 HK-Buffalo Grove,IL</t>
  </si>
  <si>
    <t>1013916</t>
  </si>
  <si>
    <t>3467928</t>
  </si>
  <si>
    <t>1013917</t>
  </si>
  <si>
    <t>Barajas, Alejandro</t>
  </si>
  <si>
    <t>Total May to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</si>
</sst>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\/d\/yyyy"/>
    <numFmt numFmtId="165" formatCode="#,##0.00;[Red]\-#,##0.00"/>
    <numFmt numFmtId="166" formatCode="m\/d\/yyyy\ h:mm\ AM/PM"/>
    <numFmt numFmtId="167" formatCode="_(* #,##0_);_(* \(#,##0\);_(* &quot;-&quot;??_);_(@_)"/>
    <numFmt numFmtId="168" formatCode="#,##0;[Red]\-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FFFFFF"/>
      <name val="Calibri"/>
    </font>
    <font>
      <b/>
      <sz val="11"/>
      <color rgb="FF000000"/>
      <name val="Calibri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name val="Tahoma"/>
      <family val="2"/>
    </font>
    <font>
      <b/>
      <sz val="9"/>
      <color theme="1"/>
      <name val="Calibri"/>
      <family val="2"/>
      <scheme val="minor"/>
    </font>
    <font>
      <b/>
      <sz val="9"/>
      <name val="Arial"/>
    </font>
    <font>
      <sz val="8"/>
      <name val="Arial"/>
    </font>
    <font>
      <b/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2" borderId="1" applyAlignment="0"/>
    <xf numFmtId="0" fontId="4" fillId="3" borderId="3" applyAlignment="0"/>
    <xf numFmtId="164" fontId="4" fillId="3" borderId="3"/>
    <xf numFmtId="165" fontId="4" fillId="3" borderId="3"/>
    <xf numFmtId="0" fontId="6" fillId="4" borderId="0">
      <alignment horizontal="left" vertical="top"/>
    </xf>
    <xf numFmtId="0" fontId="3" fillId="4" borderId="0"/>
    <xf numFmtId="0" fontId="7" fillId="4" borderId="0">
      <alignment horizontal="left" vertical="top"/>
    </xf>
    <xf numFmtId="0" fontId="7" fillId="4" borderId="0">
      <alignment horizontal="right" vertical="top"/>
    </xf>
    <xf numFmtId="166" fontId="7" fillId="4" borderId="0">
      <alignment horizontal="right" vertical="top"/>
    </xf>
    <xf numFmtId="0" fontId="8" fillId="6" borderId="4">
      <alignment horizontal="left" vertical="top"/>
    </xf>
    <xf numFmtId="0" fontId="8" fillId="6" borderId="4">
      <alignment horizontal="right" vertical="top"/>
    </xf>
    <xf numFmtId="165" fontId="7" fillId="4" borderId="0">
      <alignment horizontal="right" vertical="top"/>
    </xf>
    <xf numFmtId="0" fontId="8" fillId="4" borderId="5">
      <alignment horizontal="left" vertical="top"/>
    </xf>
    <xf numFmtId="165" fontId="8" fillId="4" borderId="5">
      <alignment horizontal="right" vertical="top"/>
    </xf>
    <xf numFmtId="0" fontId="11" fillId="0" borderId="0"/>
    <xf numFmtId="0" fontId="1" fillId="0" borderId="0"/>
  </cellStyleXfs>
  <cellXfs count="57">
    <xf numFmtId="0" fontId="0" fillId="0" borderId="0" xfId="0"/>
    <xf numFmtId="0" fontId="2" fillId="2" borderId="1" xfId="2" applyFont="1" applyFill="1" applyBorder="1" applyAlignment="1"/>
    <xf numFmtId="0" fontId="2" fillId="2" borderId="2" xfId="2" applyFont="1" applyFill="1" applyBorder="1" applyAlignment="1"/>
    <xf numFmtId="0" fontId="3" fillId="0" borderId="0" xfId="0" applyNumberFormat="1" applyFont="1" applyFill="1" applyBorder="1"/>
    <xf numFmtId="0" fontId="4" fillId="3" borderId="3" xfId="3" applyFont="1" applyFill="1" applyBorder="1" applyAlignment="1"/>
    <xf numFmtId="164" fontId="4" fillId="3" borderId="3" xfId="4" applyNumberFormat="1" applyFont="1" applyFill="1" applyBorder="1" applyAlignment="1"/>
    <xf numFmtId="165" fontId="4" fillId="3" borderId="3" xfId="5" applyNumberFormat="1" applyFont="1" applyFill="1" applyBorder="1" applyAlignment="1"/>
    <xf numFmtId="0" fontId="4" fillId="3" borderId="3" xfId="3" applyFont="1" applyFill="1" applyBorder="1" applyAlignment="1">
      <alignment horizontal="center"/>
    </xf>
    <xf numFmtId="0" fontId="0" fillId="0" borderId="0" xfId="0" applyNumberFormat="1" applyFont="1" applyFill="1" applyBorder="1"/>
    <xf numFmtId="17" fontId="0" fillId="0" borderId="0" xfId="0" applyNumberFormat="1" applyFont="1" applyFill="1" applyBorder="1"/>
    <xf numFmtId="49" fontId="0" fillId="0" borderId="0" xfId="0" applyNumberFormat="1" applyFont="1" applyFill="1" applyBorder="1"/>
    <xf numFmtId="0" fontId="4" fillId="3" borderId="3" xfId="3" applyNumberFormat="1" applyFont="1" applyFill="1" applyBorder="1" applyAlignment="1">
      <alignment horizontal="left"/>
    </xf>
    <xf numFmtId="49" fontId="3" fillId="0" borderId="0" xfId="0" applyNumberFormat="1" applyFont="1" applyFill="1" applyBorder="1"/>
    <xf numFmtId="0" fontId="4" fillId="3" borderId="3" xfId="3" applyFont="1" applyFill="1" applyBorder="1" applyAlignment="1">
      <alignment horizontal="left"/>
    </xf>
    <xf numFmtId="0" fontId="5" fillId="3" borderId="3" xfId="3" applyFont="1" applyFill="1" applyBorder="1" applyAlignment="1"/>
    <xf numFmtId="0" fontId="6" fillId="4" borderId="0" xfId="6" applyNumberFormat="1" applyFont="1" applyFill="1" applyBorder="1" applyAlignment="1">
      <alignment horizontal="left" vertical="top"/>
    </xf>
    <xf numFmtId="0" fontId="3" fillId="4" borderId="0" xfId="7" applyFill="1" applyAlignment="1"/>
    <xf numFmtId="0" fontId="7" fillId="4" borderId="0" xfId="8" applyNumberFormat="1" applyFont="1" applyFill="1" applyBorder="1" applyAlignment="1">
      <alignment horizontal="left" vertical="top"/>
    </xf>
    <xf numFmtId="0" fontId="7" fillId="4" borderId="0" xfId="9" applyNumberFormat="1" applyFont="1" applyFill="1" applyBorder="1" applyAlignment="1">
      <alignment horizontal="right" vertical="top"/>
    </xf>
    <xf numFmtId="166" fontId="7" fillId="4" borderId="0" xfId="10" applyNumberFormat="1" applyFont="1" applyFill="1" applyBorder="1" applyAlignment="1">
      <alignment horizontal="right" vertical="top"/>
    </xf>
    <xf numFmtId="0" fontId="7" fillId="5" borderId="0" xfId="8" applyNumberFormat="1" applyFont="1" applyFill="1" applyBorder="1" applyAlignment="1">
      <alignment horizontal="left" vertical="top"/>
    </xf>
    <xf numFmtId="0" fontId="8" fillId="6" borderId="4" xfId="11" applyNumberFormat="1" applyFont="1" applyFill="1" applyBorder="1" applyAlignment="1">
      <alignment horizontal="left" vertical="top"/>
    </xf>
    <xf numFmtId="0" fontId="8" fillId="6" borderId="4" xfId="12" applyNumberFormat="1" applyFont="1" applyFill="1" applyBorder="1" applyAlignment="1">
      <alignment horizontal="right" vertical="top"/>
    </xf>
    <xf numFmtId="0" fontId="8" fillId="4" borderId="5" xfId="14" applyNumberFormat="1" applyFont="1" applyFill="1" applyBorder="1" applyAlignment="1">
      <alignment horizontal="left" vertical="top"/>
    </xf>
    <xf numFmtId="0" fontId="9" fillId="2" borderId="1" xfId="2" applyFont="1" applyFill="1" applyBorder="1" applyAlignment="1"/>
    <xf numFmtId="0" fontId="9" fillId="2" borderId="2" xfId="2" applyFont="1" applyFill="1" applyBorder="1" applyAlignment="1"/>
    <xf numFmtId="0" fontId="10" fillId="3" borderId="3" xfId="3" applyFont="1" applyFill="1" applyBorder="1" applyAlignment="1"/>
    <xf numFmtId="164" fontId="10" fillId="3" borderId="3" xfId="4" applyNumberFormat="1" applyFont="1" applyFill="1" applyBorder="1" applyAlignment="1"/>
    <xf numFmtId="165" fontId="10" fillId="3" borderId="3" xfId="5" applyNumberFormat="1" applyFont="1" applyFill="1" applyBorder="1" applyAlignment="1"/>
    <xf numFmtId="0" fontId="10" fillId="3" borderId="3" xfId="3" applyFont="1" applyFill="1" applyBorder="1" applyAlignment="1">
      <alignment horizontal="center"/>
    </xf>
    <xf numFmtId="0" fontId="2" fillId="2" borderId="1" xfId="2" applyFont="1" applyFill="1" applyBorder="1" applyAlignment="1">
      <alignment horizontal="left"/>
    </xf>
    <xf numFmtId="165" fontId="10" fillId="7" borderId="3" xfId="5" applyNumberFormat="1" applyFont="1" applyFill="1" applyBorder="1" applyAlignment="1"/>
    <xf numFmtId="165" fontId="4" fillId="7" borderId="3" xfId="5" applyNumberFormat="1" applyFont="1" applyFill="1" applyBorder="1" applyAlignment="1"/>
    <xf numFmtId="0" fontId="4" fillId="3" borderId="0" xfId="3" applyFont="1" applyFill="1" applyBorder="1" applyAlignment="1"/>
    <xf numFmtId="0" fontId="3" fillId="0" borderId="3" xfId="0" applyNumberFormat="1" applyFont="1" applyFill="1" applyBorder="1"/>
    <xf numFmtId="0" fontId="0" fillId="0" borderId="3" xfId="0" applyNumberFormat="1" applyFont="1" applyFill="1" applyBorder="1"/>
    <xf numFmtId="0" fontId="5" fillId="3" borderId="0" xfId="3" applyFont="1" applyFill="1" applyBorder="1" applyAlignment="1"/>
    <xf numFmtId="0" fontId="0" fillId="0" borderId="3" xfId="0" applyBorder="1"/>
    <xf numFmtId="167" fontId="3" fillId="0" borderId="0" xfId="1" applyNumberFormat="1" applyFont="1" applyFill="1" applyBorder="1"/>
    <xf numFmtId="0" fontId="12" fillId="0" borderId="0" xfId="0" applyFont="1" applyAlignment="1">
      <alignment horizontal="right"/>
    </xf>
    <xf numFmtId="167" fontId="14" fillId="0" borderId="0" xfId="0" applyNumberFormat="1" applyFont="1" applyFill="1" applyBorder="1"/>
    <xf numFmtId="168" fontId="7" fillId="4" borderId="0" xfId="13" applyNumberFormat="1" applyFont="1" applyFill="1" applyBorder="1" applyAlignment="1">
      <alignment horizontal="right" vertical="top"/>
    </xf>
    <xf numFmtId="168" fontId="8" fillId="4" borderId="5" xfId="15" applyNumberFormat="1" applyFont="1" applyFill="1" applyBorder="1" applyAlignment="1">
      <alignment horizontal="right" vertical="top"/>
    </xf>
    <xf numFmtId="168" fontId="0" fillId="0" borderId="0" xfId="0" applyNumberFormat="1"/>
    <xf numFmtId="168" fontId="15" fillId="7" borderId="0" xfId="0" applyNumberFormat="1" applyFont="1" applyFill="1"/>
    <xf numFmtId="168" fontId="12" fillId="8" borderId="0" xfId="0" applyNumberFormat="1" applyFont="1" applyFill="1"/>
    <xf numFmtId="0" fontId="14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horizontal="center" wrapText="1"/>
    </xf>
    <xf numFmtId="0" fontId="13" fillId="9" borderId="0" xfId="0" applyFont="1" applyFill="1" applyAlignment="1">
      <alignment horizontal="right"/>
    </xf>
    <xf numFmtId="0" fontId="3" fillId="9" borderId="0" xfId="0" applyNumberFormat="1" applyFont="1" applyFill="1" applyBorder="1"/>
    <xf numFmtId="0" fontId="16" fillId="4" borderId="0" xfId="6" applyNumberFormat="1" applyFont="1" applyFill="1" applyBorder="1" applyAlignment="1">
      <alignment horizontal="left" vertical="top"/>
    </xf>
    <xf numFmtId="0" fontId="17" fillId="4" borderId="0" xfId="8" applyNumberFormat="1" applyFont="1" applyFill="1" applyBorder="1" applyAlignment="1">
      <alignment horizontal="left" vertical="top"/>
    </xf>
    <xf numFmtId="0" fontId="17" fillId="4" borderId="0" xfId="9" applyNumberFormat="1" applyFont="1" applyFill="1" applyBorder="1" applyAlignment="1">
      <alignment horizontal="right" vertical="top"/>
    </xf>
    <xf numFmtId="166" fontId="17" fillId="4" borderId="0" xfId="10" applyNumberFormat="1" applyFont="1" applyFill="1" applyBorder="1" applyAlignment="1">
      <alignment horizontal="right" vertical="top"/>
    </xf>
    <xf numFmtId="0" fontId="18" fillId="6" borderId="4" xfId="11" applyNumberFormat="1" applyFont="1" applyFill="1" applyBorder="1" applyAlignment="1">
      <alignment horizontal="left" vertical="top"/>
    </xf>
    <xf numFmtId="0" fontId="18" fillId="6" borderId="4" xfId="12" applyNumberFormat="1" applyFont="1" applyFill="1" applyBorder="1" applyAlignment="1">
      <alignment horizontal="right" vertical="top"/>
    </xf>
    <xf numFmtId="0" fontId="18" fillId="4" borderId="5" xfId="14" applyNumberFormat="1" applyFont="1" applyFill="1" applyBorder="1" applyAlignment="1">
      <alignment horizontal="left" vertical="top"/>
    </xf>
  </cellXfs>
  <cellStyles count="18">
    <cellStyle name="Comma" xfId="1" builtinId="3"/>
    <cellStyle name="Normal" xfId="0" builtinId="0"/>
    <cellStyle name="Normal 2" xfId="17" xr:uid="{4DABFECF-4ECB-450C-B9BB-693D30A89093}"/>
    <cellStyle name="Normal 3" xfId="16" xr:uid="{06545DCB-6CB9-4CE5-982D-99B68936CBC5}"/>
    <cellStyle name="Style 2" xfId="2" xr:uid="{1191078C-BA4E-4561-8CCB-01EAFF2AE8F0}"/>
    <cellStyle name="Style 20" xfId="11" xr:uid="{1A428296-6940-4BA9-9025-DE7BF5C0761A}"/>
    <cellStyle name="Style 21" xfId="12" xr:uid="{FA07706B-80CF-465E-B946-BFE0015B429D}"/>
    <cellStyle name="Style 27" xfId="6" xr:uid="{6C0E01C4-B3D9-4635-9931-76194EAC7DFC}"/>
    <cellStyle name="Style 28" xfId="7" xr:uid="{AB9423AA-6449-48F0-909B-4373DF3A99FE}"/>
    <cellStyle name="Style 29" xfId="8" xr:uid="{EFAE8D3F-4209-4A77-B21F-EA99F1D7F426}"/>
    <cellStyle name="Style 3" xfId="3" xr:uid="{545D863A-427F-40F9-914C-D49408A851B1}"/>
    <cellStyle name="Style 30" xfId="9" xr:uid="{4B0792CC-A47C-4001-B21B-FFB71AD319A0}"/>
    <cellStyle name="Style 31" xfId="10" xr:uid="{859E660A-F6BA-4C9A-8B39-A8CE166E7CD4}"/>
    <cellStyle name="Style 32" xfId="13" xr:uid="{7E1B798B-FB53-4801-A50B-FD349F2A0A15}"/>
    <cellStyle name="Style 33" xfId="14" xr:uid="{0F262033-6B05-48D0-9B1C-0CEAF764BF2B}"/>
    <cellStyle name="Style 34" xfId="15" xr:uid="{2A8FAFD9-205E-443D-BFC9-FE186C9836BC}"/>
    <cellStyle name="Style 4" xfId="4" xr:uid="{48CC13F2-4AF4-4070-BB55-41527FA681AD}"/>
    <cellStyle name="Style 5" xfId="5" xr:uid="{E9E805B1-6EC4-42D4-849D-E2F0624024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181855</xdr:colOff>
      <xdr:row>0</xdr:row>
      <xdr:rowOff>49530</xdr:rowOff>
    </xdr:from>
    <xdr:to>
      <xdr:col>28</xdr:col>
      <xdr:colOff>36574</xdr:colOff>
      <xdr:row>37</xdr:row>
      <xdr:rowOff>2209</xdr:rowOff>
    </xdr:to>
    <xdr:sp macro="" textlink="">
      <xdr:nvSpPr>
        <xdr:cNvPr id="2" name="Arrow: Up-Down 1">
          <a:extLst>
            <a:ext uri="{FF2B5EF4-FFF2-40B4-BE49-F238E27FC236}">
              <a16:creationId xmlns:a16="http://schemas.microsoft.com/office/drawing/2014/main" id="{B52644B7-AE4B-4768-8AC1-F6BA8135522A}"/>
            </a:ext>
          </a:extLst>
        </xdr:cNvPr>
        <xdr:cNvSpPr/>
      </xdr:nvSpPr>
      <xdr:spPr>
        <a:xfrm rot="19603739">
          <a:off x="38620945" y="49530"/>
          <a:ext cx="494799" cy="6909739"/>
        </a:xfrm>
        <a:prstGeom prst="upDownArrow">
          <a:avLst>
            <a:gd name="adj1" fmla="val 37256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o/Documents/Cost%20Accounting/Month%20End%20Close/Jul%202018/Account%20Details%20%2020180718%20-%20223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5">
          <cell r="N25" t="str">
            <v>Reclass. Batch Number</v>
          </cell>
          <cell r="O25" t="str">
            <v>223100 - Batch</v>
          </cell>
        </row>
        <row r="26">
          <cell r="N26"/>
          <cell r="O26" t="str">
            <v>3274653</v>
          </cell>
        </row>
        <row r="27">
          <cell r="N27"/>
          <cell r="O27" t="str">
            <v>3274651</v>
          </cell>
        </row>
        <row r="28">
          <cell r="N28"/>
          <cell r="O28" t="str">
            <v>3274647</v>
          </cell>
        </row>
        <row r="29">
          <cell r="N29"/>
          <cell r="O29" t="str">
            <v>3274649</v>
          </cell>
        </row>
        <row r="30">
          <cell r="N30"/>
          <cell r="O30" t="str">
            <v>3274656</v>
          </cell>
        </row>
        <row r="31">
          <cell r="N31"/>
          <cell r="O31" t="str">
            <v>3274658</v>
          </cell>
        </row>
        <row r="32">
          <cell r="N32"/>
          <cell r="O32" t="str">
            <v>3274674</v>
          </cell>
        </row>
        <row r="33">
          <cell r="N33"/>
          <cell r="O33" t="str">
            <v>3274676</v>
          </cell>
        </row>
        <row r="34">
          <cell r="N34"/>
          <cell r="O34" t="str">
            <v>3274660</v>
          </cell>
        </row>
        <row r="35">
          <cell r="N35"/>
          <cell r="O35" t="str">
            <v>3274637</v>
          </cell>
        </row>
        <row r="36">
          <cell r="N36"/>
          <cell r="O36" t="str">
            <v>3274639</v>
          </cell>
        </row>
        <row r="37">
          <cell r="N37"/>
          <cell r="O37" t="str">
            <v>3274641</v>
          </cell>
        </row>
        <row r="38">
          <cell r="N38"/>
          <cell r="O38" t="str">
            <v>3274643</v>
          </cell>
        </row>
        <row r="39">
          <cell r="N39"/>
          <cell r="O39" t="str">
            <v>3274645</v>
          </cell>
        </row>
        <row r="40">
          <cell r="N40"/>
          <cell r="O40" t="str">
            <v>3274662</v>
          </cell>
        </row>
        <row r="41">
          <cell r="N41"/>
          <cell r="O41" t="str">
            <v>3274664</v>
          </cell>
        </row>
        <row r="42">
          <cell r="N42"/>
          <cell r="O42" t="str">
            <v>3274666</v>
          </cell>
        </row>
        <row r="43">
          <cell r="N43"/>
          <cell r="O43" t="str">
            <v>3274668</v>
          </cell>
        </row>
        <row r="44">
          <cell r="N44"/>
          <cell r="O44" t="str">
            <v>3274670</v>
          </cell>
        </row>
        <row r="45">
          <cell r="N45"/>
          <cell r="O45" t="str">
            <v>3274672</v>
          </cell>
        </row>
        <row r="46">
          <cell r="N46"/>
          <cell r="O46" t="str">
            <v>3274678</v>
          </cell>
        </row>
        <row r="47">
          <cell r="N47"/>
          <cell r="O47" t="str">
            <v>3274681</v>
          </cell>
        </row>
        <row r="48">
          <cell r="N48"/>
          <cell r="O48" t="str">
            <v>3274683</v>
          </cell>
        </row>
        <row r="49">
          <cell r="N49"/>
          <cell r="O49" t="str">
            <v>3312772</v>
          </cell>
        </row>
        <row r="50">
          <cell r="N50"/>
          <cell r="O50" t="str">
            <v>3312772</v>
          </cell>
        </row>
        <row r="51">
          <cell r="N51"/>
          <cell r="O51" t="str">
            <v>3312772</v>
          </cell>
        </row>
        <row r="52">
          <cell r="N52"/>
          <cell r="O52" t="str">
            <v>3312786</v>
          </cell>
        </row>
        <row r="53">
          <cell r="N53"/>
          <cell r="O53" t="str">
            <v>3312786</v>
          </cell>
        </row>
        <row r="54">
          <cell r="N54"/>
          <cell r="O54" t="str">
            <v>3312786</v>
          </cell>
        </row>
        <row r="55">
          <cell r="N55"/>
          <cell r="O55" t="str">
            <v>3312786</v>
          </cell>
        </row>
        <row r="56">
          <cell r="N56"/>
          <cell r="O56" t="str">
            <v>3312771</v>
          </cell>
        </row>
        <row r="57">
          <cell r="N57"/>
          <cell r="O57" t="str">
            <v>3312785</v>
          </cell>
        </row>
        <row r="58">
          <cell r="N58"/>
          <cell r="O58" t="str">
            <v>3346305</v>
          </cell>
        </row>
        <row r="59">
          <cell r="N59"/>
          <cell r="O59" t="str">
            <v>3312726</v>
          </cell>
        </row>
        <row r="60">
          <cell r="N60"/>
          <cell r="O60" t="str">
            <v>3312742</v>
          </cell>
        </row>
        <row r="61">
          <cell r="N61"/>
          <cell r="O61" t="str">
            <v>3312748</v>
          </cell>
        </row>
        <row r="62">
          <cell r="N62"/>
          <cell r="O62" t="str">
            <v>3312748</v>
          </cell>
        </row>
        <row r="63">
          <cell r="N63"/>
          <cell r="O63" t="str">
            <v>3312748</v>
          </cell>
        </row>
        <row r="64">
          <cell r="N64"/>
          <cell r="O64" t="str">
            <v>3312748</v>
          </cell>
        </row>
        <row r="65">
          <cell r="N65"/>
          <cell r="O65" t="str">
            <v>3312748</v>
          </cell>
        </row>
        <row r="66">
          <cell r="N66"/>
          <cell r="O66" t="str">
            <v>3312748</v>
          </cell>
        </row>
        <row r="67">
          <cell r="N67"/>
          <cell r="O67" t="str">
            <v>3312752</v>
          </cell>
        </row>
        <row r="68">
          <cell r="N68"/>
          <cell r="O68" t="str">
            <v>3312752</v>
          </cell>
        </row>
        <row r="69">
          <cell r="N69"/>
          <cell r="O69" t="str">
            <v>3312758</v>
          </cell>
        </row>
        <row r="70">
          <cell r="N70"/>
          <cell r="O70" t="str">
            <v>3312764</v>
          </cell>
        </row>
        <row r="71">
          <cell r="N71"/>
          <cell r="O71" t="str">
            <v>3312764</v>
          </cell>
        </row>
        <row r="72">
          <cell r="N72"/>
          <cell r="O72" t="str">
            <v>3312770</v>
          </cell>
        </row>
        <row r="73">
          <cell r="N73"/>
          <cell r="O73" t="str">
            <v>3312770</v>
          </cell>
        </row>
        <row r="74">
          <cell r="N74"/>
          <cell r="O74" t="str">
            <v>3312778</v>
          </cell>
        </row>
        <row r="75">
          <cell r="N75"/>
          <cell r="O75" t="str">
            <v>3312782</v>
          </cell>
        </row>
        <row r="76">
          <cell r="N76"/>
          <cell r="O76" t="str">
            <v>3312788</v>
          </cell>
        </row>
        <row r="77">
          <cell r="N77"/>
          <cell r="O77" t="str">
            <v>3312725</v>
          </cell>
        </row>
        <row r="78">
          <cell r="N78"/>
          <cell r="O78" t="str">
            <v>3312741</v>
          </cell>
        </row>
        <row r="79">
          <cell r="N79"/>
          <cell r="O79" t="str">
            <v>3312747</v>
          </cell>
        </row>
        <row r="80">
          <cell r="N80"/>
          <cell r="O80" t="str">
            <v>3372875</v>
          </cell>
        </row>
        <row r="81">
          <cell r="N81"/>
          <cell r="O81" t="str">
            <v>3312751</v>
          </cell>
        </row>
        <row r="82">
          <cell r="N82"/>
          <cell r="O82" t="str">
            <v>3312757</v>
          </cell>
        </row>
        <row r="83">
          <cell r="N83"/>
          <cell r="O83" t="str">
            <v>3312763</v>
          </cell>
        </row>
        <row r="84">
          <cell r="N84"/>
          <cell r="O84" t="str">
            <v>3312769</v>
          </cell>
        </row>
        <row r="85">
          <cell r="N85"/>
          <cell r="O85" t="str">
            <v>3312777</v>
          </cell>
        </row>
        <row r="86">
          <cell r="N86"/>
          <cell r="O86" t="str">
            <v>3312781</v>
          </cell>
        </row>
        <row r="87">
          <cell r="N87"/>
          <cell r="O87" t="str">
            <v>3312787</v>
          </cell>
        </row>
        <row r="88">
          <cell r="N88"/>
          <cell r="O88" t="str">
            <v>3312732</v>
          </cell>
        </row>
        <row r="89">
          <cell r="N89"/>
          <cell r="O89" t="str">
            <v>3312736</v>
          </cell>
        </row>
        <row r="90">
          <cell r="N90"/>
          <cell r="O90" t="str">
            <v>3312736</v>
          </cell>
        </row>
        <row r="91">
          <cell r="N91"/>
          <cell r="O91" t="str">
            <v>3312736</v>
          </cell>
        </row>
        <row r="92">
          <cell r="N92"/>
          <cell r="O92" t="str">
            <v>3312736</v>
          </cell>
        </row>
        <row r="93">
          <cell r="N93"/>
          <cell r="O93" t="str">
            <v>3312736</v>
          </cell>
        </row>
        <row r="94">
          <cell r="N94"/>
          <cell r="O94" t="str">
            <v>3312736</v>
          </cell>
        </row>
        <row r="95">
          <cell r="N95"/>
          <cell r="O95" t="str">
            <v>3312736</v>
          </cell>
        </row>
        <row r="96">
          <cell r="N96"/>
          <cell r="O96" t="str">
            <v>3312740</v>
          </cell>
        </row>
        <row r="97">
          <cell r="N97"/>
          <cell r="O97" t="str">
            <v>3312744</v>
          </cell>
        </row>
        <row r="98">
          <cell r="N98"/>
          <cell r="O98" t="str">
            <v>3312746</v>
          </cell>
        </row>
        <row r="99">
          <cell r="N99"/>
          <cell r="O99" t="str">
            <v>3312750</v>
          </cell>
        </row>
        <row r="100">
          <cell r="N100"/>
          <cell r="O100" t="str">
            <v>3312750</v>
          </cell>
        </row>
        <row r="101">
          <cell r="N101"/>
          <cell r="O101" t="str">
            <v>3312756</v>
          </cell>
        </row>
        <row r="102">
          <cell r="N102"/>
          <cell r="O102" t="str">
            <v>3312776</v>
          </cell>
        </row>
        <row r="103">
          <cell r="N103"/>
          <cell r="O103" t="str">
            <v>3312780</v>
          </cell>
        </row>
        <row r="104">
          <cell r="N104"/>
          <cell r="O104" t="str">
            <v>3312731</v>
          </cell>
        </row>
        <row r="105">
          <cell r="N105"/>
          <cell r="O105" t="str">
            <v>3312735</v>
          </cell>
        </row>
        <row r="106">
          <cell r="N106"/>
          <cell r="O106" t="str">
            <v>3312739</v>
          </cell>
        </row>
        <row r="107">
          <cell r="N107"/>
          <cell r="O107" t="str">
            <v>3312743</v>
          </cell>
        </row>
        <row r="108">
          <cell r="N108"/>
          <cell r="O108" t="str">
            <v>3312745</v>
          </cell>
        </row>
        <row r="109">
          <cell r="N109"/>
          <cell r="O109" t="str">
            <v>3312749</v>
          </cell>
        </row>
        <row r="110">
          <cell r="N110"/>
          <cell r="O110" t="str">
            <v>3312755</v>
          </cell>
        </row>
        <row r="111">
          <cell r="N111"/>
          <cell r="O111" t="str">
            <v>3312775</v>
          </cell>
        </row>
        <row r="112">
          <cell r="N112"/>
          <cell r="O112" t="str">
            <v>3312779</v>
          </cell>
        </row>
        <row r="113">
          <cell r="N113"/>
          <cell r="O113" t="str">
            <v>3307322</v>
          </cell>
        </row>
        <row r="114">
          <cell r="N114"/>
          <cell r="O114" t="str">
            <v>3307322</v>
          </cell>
        </row>
        <row r="115">
          <cell r="N115"/>
          <cell r="O115" t="str">
            <v>3307322</v>
          </cell>
        </row>
        <row r="116">
          <cell r="N116"/>
          <cell r="O116" t="str">
            <v>3307322</v>
          </cell>
        </row>
        <row r="117">
          <cell r="N117"/>
          <cell r="O117" t="str">
            <v>3312728</v>
          </cell>
        </row>
        <row r="118">
          <cell r="N118"/>
          <cell r="O118" t="str">
            <v>3312730</v>
          </cell>
        </row>
        <row r="119">
          <cell r="N119"/>
          <cell r="O119" t="str">
            <v>3312734</v>
          </cell>
        </row>
        <row r="120">
          <cell r="N120"/>
          <cell r="O120" t="str">
            <v>3312738</v>
          </cell>
        </row>
        <row r="121">
          <cell r="N121"/>
          <cell r="O121" t="str">
            <v>3312754</v>
          </cell>
        </row>
        <row r="122">
          <cell r="N122"/>
          <cell r="O122" t="str">
            <v>3312760</v>
          </cell>
        </row>
        <row r="123">
          <cell r="N123"/>
          <cell r="O123" t="str">
            <v>3312762</v>
          </cell>
        </row>
        <row r="124">
          <cell r="N124"/>
          <cell r="O124" t="str">
            <v>3312762</v>
          </cell>
        </row>
        <row r="125">
          <cell r="N125"/>
          <cell r="O125" t="str">
            <v>3312766</v>
          </cell>
        </row>
        <row r="126">
          <cell r="N126"/>
          <cell r="O126" t="str">
            <v>3312768</v>
          </cell>
        </row>
        <row r="127">
          <cell r="N127"/>
          <cell r="O127" t="str">
            <v>3312768</v>
          </cell>
        </row>
        <row r="128">
          <cell r="N128"/>
          <cell r="O128" t="str">
            <v>3312774</v>
          </cell>
        </row>
        <row r="129">
          <cell r="N129"/>
          <cell r="O129" t="str">
            <v>3312774</v>
          </cell>
        </row>
        <row r="130">
          <cell r="N130"/>
          <cell r="O130" t="str">
            <v>3312774</v>
          </cell>
        </row>
        <row r="131">
          <cell r="N131"/>
          <cell r="O131" t="str">
            <v>3312774</v>
          </cell>
        </row>
        <row r="132">
          <cell r="N132"/>
          <cell r="O132" t="str">
            <v>3312774</v>
          </cell>
        </row>
        <row r="133">
          <cell r="N133"/>
          <cell r="O133" t="str">
            <v>3312784</v>
          </cell>
        </row>
        <row r="134">
          <cell r="N134"/>
          <cell r="O134" t="str">
            <v>3307321</v>
          </cell>
        </row>
        <row r="135">
          <cell r="N135"/>
          <cell r="O135" t="str">
            <v>3312727</v>
          </cell>
        </row>
        <row r="136">
          <cell r="N136"/>
          <cell r="O136" t="str">
            <v>3312729</v>
          </cell>
        </row>
        <row r="137">
          <cell r="N137"/>
          <cell r="O137" t="str">
            <v>3312733</v>
          </cell>
        </row>
        <row r="138">
          <cell r="N138"/>
          <cell r="O138" t="str">
            <v>3312737</v>
          </cell>
        </row>
        <row r="139">
          <cell r="N139"/>
          <cell r="O139" t="str">
            <v>3312753</v>
          </cell>
        </row>
        <row r="140">
          <cell r="N140"/>
          <cell r="O140" t="str">
            <v>3312759</v>
          </cell>
        </row>
        <row r="141">
          <cell r="N141"/>
          <cell r="O141" t="str">
            <v>3312761</v>
          </cell>
        </row>
        <row r="142">
          <cell r="N142"/>
          <cell r="O142" t="str">
            <v>3312765</v>
          </cell>
        </row>
        <row r="143">
          <cell r="N143"/>
          <cell r="O143" t="str">
            <v>3312767</v>
          </cell>
        </row>
        <row r="144">
          <cell r="N144"/>
          <cell r="O144" t="str">
            <v>3312773</v>
          </cell>
        </row>
        <row r="145">
          <cell r="N145"/>
          <cell r="O145" t="str">
            <v>3312783</v>
          </cell>
        </row>
        <row r="146">
          <cell r="N146"/>
          <cell r="O146" t="str">
            <v>3346302</v>
          </cell>
        </row>
        <row r="147">
          <cell r="N147"/>
          <cell r="O147" t="str">
            <v>3346303</v>
          </cell>
        </row>
        <row r="148">
          <cell r="N148"/>
          <cell r="O148" t="str">
            <v>3346331</v>
          </cell>
        </row>
        <row r="149">
          <cell r="N149"/>
          <cell r="O149" t="str">
            <v>3346304</v>
          </cell>
        </row>
        <row r="150">
          <cell r="N150"/>
          <cell r="O150" t="str">
            <v>3346306</v>
          </cell>
        </row>
        <row r="151">
          <cell r="N151"/>
          <cell r="O151" t="str">
            <v>3346332</v>
          </cell>
        </row>
        <row r="152">
          <cell r="N152"/>
          <cell r="O152" t="str">
            <v>3346382</v>
          </cell>
        </row>
        <row r="153">
          <cell r="N153"/>
          <cell r="O153" t="str">
            <v>3394656</v>
          </cell>
        </row>
        <row r="154">
          <cell r="N154"/>
          <cell r="O154" t="str">
            <v>3346357</v>
          </cell>
        </row>
        <row r="155">
          <cell r="N155"/>
          <cell r="O155" t="str">
            <v>3346397</v>
          </cell>
        </row>
        <row r="156">
          <cell r="N156"/>
          <cell r="O156" t="str">
            <v>3346308</v>
          </cell>
        </row>
        <row r="157">
          <cell r="N157"/>
          <cell r="O157" t="str">
            <v>3346308</v>
          </cell>
        </row>
        <row r="158">
          <cell r="N158"/>
          <cell r="O158" t="str">
            <v>3346308</v>
          </cell>
        </row>
        <row r="159">
          <cell r="N159"/>
          <cell r="O159" t="str">
            <v>3346310</v>
          </cell>
        </row>
        <row r="160">
          <cell r="N160"/>
          <cell r="O160" t="str">
            <v>3346314</v>
          </cell>
        </row>
        <row r="161">
          <cell r="N161"/>
          <cell r="O161" t="str">
            <v>3346322</v>
          </cell>
        </row>
        <row r="162">
          <cell r="N162"/>
          <cell r="O162" t="str">
            <v>3346328</v>
          </cell>
        </row>
        <row r="163">
          <cell r="N163"/>
          <cell r="O163" t="str">
            <v>3346336</v>
          </cell>
        </row>
        <row r="164">
          <cell r="N164"/>
          <cell r="O164" t="str">
            <v>3346338</v>
          </cell>
        </row>
        <row r="165">
          <cell r="N165"/>
          <cell r="O165" t="str">
            <v>3346342</v>
          </cell>
        </row>
        <row r="166">
          <cell r="N166"/>
          <cell r="O166" t="str">
            <v>3346344</v>
          </cell>
        </row>
        <row r="167">
          <cell r="N167"/>
          <cell r="O167" t="str">
            <v>3346344</v>
          </cell>
        </row>
        <row r="168">
          <cell r="N168"/>
          <cell r="O168" t="str">
            <v>3346348</v>
          </cell>
        </row>
        <row r="169">
          <cell r="N169"/>
          <cell r="O169" t="str">
            <v>3346359</v>
          </cell>
        </row>
        <row r="170">
          <cell r="N170"/>
          <cell r="O170" t="str">
            <v>3346365</v>
          </cell>
        </row>
        <row r="171">
          <cell r="N171"/>
          <cell r="O171" t="str">
            <v>3346367</v>
          </cell>
        </row>
        <row r="172">
          <cell r="N172"/>
          <cell r="O172" t="str">
            <v>3346367</v>
          </cell>
        </row>
        <row r="173">
          <cell r="N173"/>
          <cell r="O173" t="str">
            <v>3346371</v>
          </cell>
        </row>
        <row r="174">
          <cell r="N174"/>
          <cell r="O174" t="str">
            <v>3346377</v>
          </cell>
        </row>
        <row r="175">
          <cell r="N175"/>
          <cell r="O175" t="str">
            <v>3346396</v>
          </cell>
        </row>
        <row r="176">
          <cell r="N176"/>
          <cell r="O176" t="str">
            <v>3346307</v>
          </cell>
        </row>
        <row r="177">
          <cell r="N177"/>
          <cell r="O177" t="str">
            <v>3346309</v>
          </cell>
        </row>
        <row r="178">
          <cell r="N178"/>
          <cell r="O178" t="str">
            <v>3346313</v>
          </cell>
        </row>
        <row r="179">
          <cell r="N179"/>
          <cell r="O179" t="str">
            <v>3346321</v>
          </cell>
        </row>
        <row r="180">
          <cell r="N180"/>
          <cell r="O180" t="str">
            <v>3346327</v>
          </cell>
        </row>
        <row r="181">
          <cell r="N181"/>
          <cell r="O181" t="str">
            <v>3346335</v>
          </cell>
        </row>
        <row r="182">
          <cell r="N182"/>
          <cell r="O182" t="str">
            <v>3346337</v>
          </cell>
        </row>
        <row r="183">
          <cell r="N183"/>
          <cell r="O183" t="str">
            <v>3346341</v>
          </cell>
        </row>
        <row r="184">
          <cell r="N184"/>
          <cell r="O184" t="str">
            <v>3346343</v>
          </cell>
        </row>
        <row r="185">
          <cell r="N185"/>
          <cell r="O185" t="str">
            <v>3346347</v>
          </cell>
        </row>
        <row r="186">
          <cell r="N186"/>
          <cell r="O186" t="str">
            <v>3346358</v>
          </cell>
        </row>
        <row r="187">
          <cell r="N187"/>
          <cell r="O187" t="str">
            <v>3346364</v>
          </cell>
        </row>
        <row r="188">
          <cell r="N188"/>
          <cell r="O188" t="str">
            <v>3346366</v>
          </cell>
        </row>
        <row r="189">
          <cell r="N189"/>
          <cell r="O189" t="str">
            <v>3346370</v>
          </cell>
        </row>
        <row r="190">
          <cell r="N190"/>
          <cell r="O190" t="str">
            <v>3346376</v>
          </cell>
        </row>
        <row r="191">
          <cell r="N191"/>
          <cell r="O191" t="str">
            <v>3346395</v>
          </cell>
        </row>
        <row r="192">
          <cell r="N192"/>
          <cell r="O192" t="str">
            <v>3346316</v>
          </cell>
        </row>
        <row r="193">
          <cell r="N193"/>
          <cell r="O193" t="str">
            <v>3346320</v>
          </cell>
        </row>
        <row r="194">
          <cell r="N194"/>
          <cell r="O194" t="str">
            <v>3346326</v>
          </cell>
        </row>
        <row r="195">
          <cell r="N195"/>
          <cell r="O195" t="str">
            <v>3346334</v>
          </cell>
        </row>
        <row r="196">
          <cell r="N196"/>
          <cell r="O196" t="str">
            <v>3346334</v>
          </cell>
        </row>
        <row r="197">
          <cell r="N197"/>
          <cell r="O197" t="str">
            <v>3346354</v>
          </cell>
        </row>
        <row r="198">
          <cell r="N198"/>
          <cell r="O198" t="str">
            <v>3346379</v>
          </cell>
        </row>
        <row r="199">
          <cell r="N199"/>
          <cell r="O199" t="str">
            <v>3346381</v>
          </cell>
        </row>
        <row r="200">
          <cell r="N200"/>
          <cell r="O200" t="str">
            <v>3346388</v>
          </cell>
        </row>
        <row r="201">
          <cell r="N201"/>
          <cell r="O201" t="str">
            <v>3346394</v>
          </cell>
        </row>
        <row r="202">
          <cell r="N202"/>
          <cell r="O202" t="str">
            <v>3346315</v>
          </cell>
        </row>
        <row r="203">
          <cell r="N203"/>
          <cell r="O203" t="str">
            <v>3346319</v>
          </cell>
        </row>
        <row r="204">
          <cell r="N204"/>
          <cell r="O204" t="str">
            <v>3346325</v>
          </cell>
        </row>
        <row r="205">
          <cell r="N205"/>
          <cell r="O205" t="str">
            <v>3346333</v>
          </cell>
        </row>
        <row r="206">
          <cell r="N206"/>
          <cell r="O206" t="str">
            <v>3346353</v>
          </cell>
        </row>
        <row r="207">
          <cell r="N207"/>
          <cell r="O207" t="str">
            <v>3346378</v>
          </cell>
        </row>
        <row r="208">
          <cell r="N208"/>
          <cell r="O208" t="str">
            <v>3346380</v>
          </cell>
        </row>
        <row r="209">
          <cell r="N209"/>
          <cell r="O209" t="str">
            <v>3346387</v>
          </cell>
        </row>
        <row r="210">
          <cell r="N210"/>
          <cell r="O210" t="str">
            <v>3346393</v>
          </cell>
        </row>
        <row r="211">
          <cell r="N211"/>
          <cell r="O211" t="str">
            <v>3346312</v>
          </cell>
        </row>
        <row r="212">
          <cell r="N212"/>
          <cell r="O212" t="str">
            <v>3346324</v>
          </cell>
        </row>
        <row r="213">
          <cell r="N213"/>
          <cell r="O213" t="str">
            <v>3346324</v>
          </cell>
        </row>
        <row r="214">
          <cell r="N214"/>
          <cell r="O214" t="str">
            <v>3346311</v>
          </cell>
        </row>
        <row r="215">
          <cell r="N215"/>
          <cell r="O215" t="str">
            <v>3346323</v>
          </cell>
        </row>
        <row r="216">
          <cell r="N216"/>
          <cell r="O216" t="str">
            <v>3346384</v>
          </cell>
        </row>
        <row r="217">
          <cell r="N217"/>
          <cell r="O217" t="str">
            <v>3346384</v>
          </cell>
        </row>
        <row r="218">
          <cell r="N218"/>
          <cell r="O218" t="str">
            <v>3346383</v>
          </cell>
        </row>
        <row r="219">
          <cell r="N219"/>
          <cell r="O219" t="str">
            <v>3346318</v>
          </cell>
        </row>
        <row r="220">
          <cell r="N220"/>
          <cell r="O220" t="str">
            <v>3346330</v>
          </cell>
        </row>
        <row r="221">
          <cell r="N221"/>
          <cell r="O221" t="str">
            <v>3346340</v>
          </cell>
        </row>
        <row r="222">
          <cell r="N222"/>
          <cell r="O222" t="str">
            <v>3346340</v>
          </cell>
        </row>
        <row r="223">
          <cell r="N223"/>
          <cell r="O223" t="str">
            <v>3346350</v>
          </cell>
        </row>
        <row r="224">
          <cell r="N224"/>
          <cell r="O224" t="str">
            <v>3346350</v>
          </cell>
        </row>
        <row r="225">
          <cell r="N225"/>
          <cell r="O225" t="str">
            <v>3346317</v>
          </cell>
        </row>
        <row r="226">
          <cell r="N226"/>
          <cell r="O226" t="str">
            <v>3346329</v>
          </cell>
        </row>
        <row r="227">
          <cell r="N227"/>
          <cell r="O227" t="str">
            <v>3346339</v>
          </cell>
        </row>
        <row r="228">
          <cell r="N228"/>
          <cell r="O228" t="str">
            <v>3346349</v>
          </cell>
        </row>
        <row r="229">
          <cell r="N229"/>
          <cell r="O229" t="str">
            <v>3346369</v>
          </cell>
        </row>
        <row r="230">
          <cell r="N230"/>
          <cell r="O230" t="str">
            <v>3346369</v>
          </cell>
        </row>
        <row r="231">
          <cell r="N231"/>
          <cell r="O231" t="str">
            <v>3346369</v>
          </cell>
        </row>
        <row r="232">
          <cell r="N232"/>
          <cell r="O232" t="str">
            <v>3346369</v>
          </cell>
        </row>
        <row r="233">
          <cell r="N233"/>
          <cell r="O233" t="str">
            <v>3346386</v>
          </cell>
        </row>
        <row r="234">
          <cell r="N234"/>
          <cell r="O234" t="str">
            <v>3346386</v>
          </cell>
        </row>
        <row r="235">
          <cell r="N235"/>
          <cell r="O235" t="str">
            <v>3346392</v>
          </cell>
        </row>
        <row r="236">
          <cell r="N236"/>
          <cell r="O236" t="str">
            <v>3346399</v>
          </cell>
        </row>
        <row r="237">
          <cell r="N237"/>
          <cell r="O237" t="str">
            <v>3346399</v>
          </cell>
        </row>
        <row r="238">
          <cell r="N238"/>
          <cell r="O238" t="str">
            <v>3346401</v>
          </cell>
        </row>
        <row r="239">
          <cell r="N239"/>
          <cell r="O239" t="str">
            <v>3346401</v>
          </cell>
        </row>
        <row r="240">
          <cell r="N240"/>
          <cell r="O240" t="str">
            <v>3346368</v>
          </cell>
        </row>
        <row r="241">
          <cell r="N241"/>
          <cell r="O241" t="str">
            <v>3346385</v>
          </cell>
        </row>
        <row r="242">
          <cell r="N242"/>
          <cell r="O242" t="str">
            <v>3346391</v>
          </cell>
        </row>
        <row r="243">
          <cell r="N243"/>
          <cell r="O243" t="str">
            <v>3346398</v>
          </cell>
        </row>
        <row r="244">
          <cell r="N244"/>
          <cell r="O244" t="str">
            <v>3346400</v>
          </cell>
        </row>
        <row r="245">
          <cell r="N245"/>
          <cell r="O245" t="str">
            <v>3346346</v>
          </cell>
        </row>
        <row r="246">
          <cell r="N246"/>
          <cell r="O246" t="str">
            <v>3346345</v>
          </cell>
        </row>
        <row r="247">
          <cell r="N247"/>
          <cell r="O247" t="str">
            <v>3398096</v>
          </cell>
        </row>
        <row r="248">
          <cell r="N248"/>
          <cell r="O248" t="str">
            <v>3346352</v>
          </cell>
        </row>
        <row r="249">
          <cell r="N249"/>
          <cell r="O249" t="str">
            <v>3346352</v>
          </cell>
        </row>
        <row r="250">
          <cell r="N250"/>
          <cell r="O250" t="str">
            <v>3346361</v>
          </cell>
        </row>
        <row r="251">
          <cell r="N251"/>
          <cell r="O251" t="str">
            <v>3346363</v>
          </cell>
        </row>
        <row r="252">
          <cell r="N252"/>
          <cell r="O252" t="str">
            <v>3346373</v>
          </cell>
        </row>
        <row r="253">
          <cell r="N253"/>
          <cell r="O253" t="str">
            <v>3346373</v>
          </cell>
        </row>
        <row r="254">
          <cell r="N254"/>
          <cell r="O254" t="str">
            <v>3346375</v>
          </cell>
        </row>
        <row r="255">
          <cell r="N255"/>
          <cell r="O255" t="str">
            <v>3346375</v>
          </cell>
        </row>
        <row r="256">
          <cell r="N256"/>
          <cell r="O256" t="str">
            <v>3346390</v>
          </cell>
        </row>
        <row r="257">
          <cell r="N257"/>
          <cell r="O257" t="str">
            <v>3346390</v>
          </cell>
        </row>
        <row r="258">
          <cell r="N258"/>
          <cell r="O258" t="str">
            <v>3346390</v>
          </cell>
        </row>
        <row r="259">
          <cell r="N259"/>
          <cell r="O259" t="str">
            <v>3346390</v>
          </cell>
        </row>
        <row r="260">
          <cell r="N260"/>
          <cell r="O260" t="str">
            <v>3346360</v>
          </cell>
        </row>
        <row r="261">
          <cell r="N261"/>
          <cell r="O261" t="str">
            <v>3346351</v>
          </cell>
        </row>
        <row r="262">
          <cell r="N262"/>
          <cell r="O262" t="str">
            <v>3346362</v>
          </cell>
        </row>
        <row r="263">
          <cell r="N263"/>
          <cell r="O263" t="str">
            <v>3346372</v>
          </cell>
        </row>
        <row r="264">
          <cell r="N264"/>
          <cell r="O264" t="str">
            <v>3346374</v>
          </cell>
        </row>
        <row r="265">
          <cell r="N265"/>
          <cell r="O265" t="str">
            <v>3346389</v>
          </cell>
        </row>
        <row r="266">
          <cell r="N266"/>
          <cell r="O266" t="str">
            <v>3394657</v>
          </cell>
        </row>
        <row r="267">
          <cell r="N267"/>
          <cell r="O267" t="str">
            <v>3394658</v>
          </cell>
        </row>
        <row r="268">
          <cell r="N268"/>
          <cell r="O268" t="str">
            <v>3402819</v>
          </cell>
        </row>
        <row r="269">
          <cell r="N269"/>
          <cell r="O269" t="str">
            <v>3398107</v>
          </cell>
        </row>
        <row r="270">
          <cell r="N270"/>
          <cell r="O270" t="str">
            <v>3346356</v>
          </cell>
        </row>
        <row r="271">
          <cell r="N271"/>
          <cell r="O271" t="str">
            <v>3346356</v>
          </cell>
        </row>
        <row r="272">
          <cell r="N272"/>
          <cell r="O272" t="str">
            <v>3346356</v>
          </cell>
        </row>
        <row r="273">
          <cell r="N273"/>
          <cell r="O273" t="str">
            <v>3346355</v>
          </cell>
        </row>
        <row r="274">
          <cell r="N274"/>
          <cell r="O274" t="str">
            <v>3398111</v>
          </cell>
        </row>
        <row r="275">
          <cell r="N275"/>
          <cell r="O275" t="str">
            <v>3394659</v>
          </cell>
        </row>
        <row r="276">
          <cell r="N276"/>
          <cell r="O276" t="str">
            <v>3394660</v>
          </cell>
        </row>
        <row r="277">
          <cell r="N277"/>
          <cell r="O277" t="str">
            <v>3396016</v>
          </cell>
        </row>
        <row r="278">
          <cell r="N278"/>
          <cell r="O278" t="str">
            <v>3398109</v>
          </cell>
        </row>
        <row r="279">
          <cell r="N279"/>
          <cell r="O279" t="str">
            <v>3398110</v>
          </cell>
        </row>
        <row r="280">
          <cell r="N280"/>
          <cell r="O280" t="str">
            <v>3400374</v>
          </cell>
        </row>
        <row r="281">
          <cell r="N281"/>
          <cell r="O281" t="str">
            <v>3400375</v>
          </cell>
        </row>
        <row r="282">
          <cell r="N282"/>
          <cell r="O282" t="str">
            <v>3416738</v>
          </cell>
        </row>
        <row r="283">
          <cell r="N283"/>
          <cell r="O283" t="str">
            <v>3416738</v>
          </cell>
        </row>
        <row r="284">
          <cell r="N284"/>
          <cell r="O284" t="str">
            <v>3416738</v>
          </cell>
        </row>
        <row r="285">
          <cell r="N285"/>
          <cell r="O285" t="str">
            <v>3416738</v>
          </cell>
        </row>
        <row r="286">
          <cell r="N286"/>
          <cell r="O286" t="str">
            <v>3416738</v>
          </cell>
        </row>
        <row r="287">
          <cell r="N287"/>
          <cell r="O287" t="str">
            <v>3416738</v>
          </cell>
        </row>
        <row r="288">
          <cell r="N288"/>
          <cell r="O288" t="str">
            <v>3416738</v>
          </cell>
        </row>
        <row r="289">
          <cell r="N289"/>
          <cell r="O289" t="str">
            <v>3416738</v>
          </cell>
        </row>
        <row r="290">
          <cell r="N290" t="str">
            <v>3416738</v>
          </cell>
          <cell r="O290" t="str">
            <v>3416737</v>
          </cell>
        </row>
        <row r="291">
          <cell r="N291"/>
          <cell r="O291" t="str">
            <v>3400596</v>
          </cell>
        </row>
        <row r="292">
          <cell r="N292"/>
          <cell r="O292" t="str">
            <v>3400596</v>
          </cell>
        </row>
        <row r="293">
          <cell r="N293"/>
          <cell r="O293" t="str">
            <v>3400596</v>
          </cell>
        </row>
        <row r="294">
          <cell r="N294"/>
          <cell r="O294" t="str">
            <v>3400599</v>
          </cell>
        </row>
        <row r="295">
          <cell r="N295"/>
          <cell r="O295" t="str">
            <v>3400601</v>
          </cell>
        </row>
        <row r="296">
          <cell r="N296"/>
          <cell r="O296" t="str">
            <v>3400601</v>
          </cell>
        </row>
        <row r="297">
          <cell r="N297"/>
          <cell r="O297" t="str">
            <v>3400603</v>
          </cell>
        </row>
        <row r="298">
          <cell r="N298"/>
          <cell r="O298" t="str">
            <v>3400605</v>
          </cell>
        </row>
        <row r="299">
          <cell r="N299"/>
          <cell r="O299" t="str">
            <v>3400605</v>
          </cell>
        </row>
        <row r="300">
          <cell r="N300"/>
          <cell r="O300" t="str">
            <v>3400607</v>
          </cell>
        </row>
        <row r="301">
          <cell r="N301"/>
          <cell r="O301" t="str">
            <v>3400616</v>
          </cell>
        </row>
        <row r="302">
          <cell r="N302"/>
          <cell r="O302" t="str">
            <v>3400618</v>
          </cell>
        </row>
        <row r="303">
          <cell r="N303"/>
          <cell r="O303" t="str">
            <v>3400618</v>
          </cell>
        </row>
        <row r="304">
          <cell r="N304"/>
          <cell r="O304" t="str">
            <v>3400620</v>
          </cell>
        </row>
        <row r="305">
          <cell r="N305"/>
          <cell r="O305" t="str">
            <v>3400620</v>
          </cell>
        </row>
        <row r="306">
          <cell r="N306"/>
          <cell r="O306" t="str">
            <v>3418772</v>
          </cell>
        </row>
        <row r="307">
          <cell r="N307" t="str">
            <v>3400596</v>
          </cell>
          <cell r="O307" t="str">
            <v>3400595</v>
          </cell>
        </row>
        <row r="308">
          <cell r="N308" t="str">
            <v>3400599</v>
          </cell>
          <cell r="O308" t="str">
            <v>3400598</v>
          </cell>
        </row>
        <row r="309">
          <cell r="N309" t="str">
            <v>3400601</v>
          </cell>
          <cell r="O309" t="str">
            <v>3400600</v>
          </cell>
        </row>
        <row r="310">
          <cell r="N310" t="str">
            <v>3400603</v>
          </cell>
          <cell r="O310" t="str">
            <v>3400602</v>
          </cell>
        </row>
        <row r="311">
          <cell r="N311" t="str">
            <v>3400605</v>
          </cell>
          <cell r="O311" t="str">
            <v>3400604</v>
          </cell>
        </row>
        <row r="312">
          <cell r="N312" t="str">
            <v>3400607</v>
          </cell>
          <cell r="O312" t="str">
            <v>3400606</v>
          </cell>
        </row>
        <row r="313">
          <cell r="N313" t="str">
            <v>3400616</v>
          </cell>
          <cell r="O313" t="str">
            <v>3400615</v>
          </cell>
        </row>
        <row r="314">
          <cell r="N314" t="str">
            <v>3400618</v>
          </cell>
          <cell r="O314" t="str">
            <v>3400617</v>
          </cell>
        </row>
        <row r="315">
          <cell r="N315" t="str">
            <v>3400620</v>
          </cell>
          <cell r="O315" t="str">
            <v>3400619</v>
          </cell>
        </row>
        <row r="316">
          <cell r="N316" t="str">
            <v>3418772</v>
          </cell>
          <cell r="O316" t="str">
            <v>3418771</v>
          </cell>
        </row>
        <row r="317">
          <cell r="N317"/>
          <cell r="O317" t="str">
            <v>3419663</v>
          </cell>
        </row>
        <row r="318">
          <cell r="N318"/>
          <cell r="O318" t="str">
            <v>3400614</v>
          </cell>
        </row>
        <row r="319">
          <cell r="N319"/>
          <cell r="O319" t="str">
            <v>3416755</v>
          </cell>
        </row>
        <row r="320">
          <cell r="N320"/>
          <cell r="O320" t="str">
            <v>3416755</v>
          </cell>
        </row>
        <row r="321">
          <cell r="N321" t="str">
            <v>3400614</v>
          </cell>
          <cell r="O321" t="str">
            <v>3400613</v>
          </cell>
        </row>
        <row r="322">
          <cell r="N322"/>
          <cell r="O322" t="str">
            <v>3416754</v>
          </cell>
        </row>
        <row r="323">
          <cell r="N323"/>
          <cell r="O323" t="str">
            <v>3418423</v>
          </cell>
        </row>
        <row r="324">
          <cell r="N324"/>
          <cell r="O324" t="str">
            <v>3418423</v>
          </cell>
        </row>
        <row r="325">
          <cell r="N325"/>
          <cell r="O325" t="str">
            <v>3418423</v>
          </cell>
        </row>
        <row r="326">
          <cell r="N326"/>
          <cell r="O326" t="str">
            <v>3418792</v>
          </cell>
        </row>
        <row r="327">
          <cell r="N327" t="str">
            <v>3418423</v>
          </cell>
          <cell r="O327" t="str">
            <v>3418425</v>
          </cell>
        </row>
        <row r="328">
          <cell r="N328" t="str">
            <v>3418792</v>
          </cell>
          <cell r="O328" t="str">
            <v>3418791</v>
          </cell>
        </row>
        <row r="329">
          <cell r="N329"/>
          <cell r="O329" t="str">
            <v>3418978</v>
          </cell>
        </row>
        <row r="330">
          <cell r="N330"/>
          <cell r="O330" t="str">
            <v>3418776</v>
          </cell>
        </row>
        <row r="331">
          <cell r="N331"/>
          <cell r="O331" t="str">
            <v>3418778</v>
          </cell>
        </row>
        <row r="332">
          <cell r="N332" t="str">
            <v>3418776</v>
          </cell>
          <cell r="O332" t="str">
            <v>3418775</v>
          </cell>
        </row>
        <row r="333">
          <cell r="N333" t="str">
            <v>3418778</v>
          </cell>
          <cell r="O333" t="str">
            <v>3418777</v>
          </cell>
        </row>
        <row r="334">
          <cell r="N334"/>
          <cell r="O334" t="str">
            <v>3418774</v>
          </cell>
        </row>
        <row r="335">
          <cell r="N335"/>
          <cell r="O335" t="str">
            <v>3418774</v>
          </cell>
        </row>
        <row r="336">
          <cell r="N336"/>
          <cell r="O336" t="str">
            <v>3418774</v>
          </cell>
        </row>
        <row r="337">
          <cell r="N337"/>
          <cell r="O337" t="str">
            <v>3418788</v>
          </cell>
        </row>
        <row r="338">
          <cell r="N338"/>
          <cell r="O338" t="str">
            <v>3418788</v>
          </cell>
        </row>
        <row r="339">
          <cell r="N339" t="str">
            <v>3418774</v>
          </cell>
          <cell r="O339" t="str">
            <v>3418773</v>
          </cell>
        </row>
        <row r="340">
          <cell r="N340" t="str">
            <v>3418788</v>
          </cell>
          <cell r="O340" t="str">
            <v>3418787</v>
          </cell>
        </row>
        <row r="341">
          <cell r="N341"/>
          <cell r="O341" t="str">
            <v>3418422</v>
          </cell>
        </row>
        <row r="342">
          <cell r="N342" t="str">
            <v>3418422</v>
          </cell>
          <cell r="O342" t="str">
            <v>3418421</v>
          </cell>
        </row>
        <row r="343">
          <cell r="N343"/>
          <cell r="O343" t="str">
            <v>3419662</v>
          </cell>
        </row>
        <row r="344">
          <cell r="N344"/>
          <cell r="O344" t="str">
            <v>3417437</v>
          </cell>
        </row>
        <row r="345">
          <cell r="N345"/>
          <cell r="O345" t="str">
            <v>3418403</v>
          </cell>
        </row>
        <row r="346">
          <cell r="N346"/>
          <cell r="O346" t="str">
            <v>3418413</v>
          </cell>
        </row>
        <row r="347">
          <cell r="N347"/>
          <cell r="O347" t="str">
            <v>3418413</v>
          </cell>
        </row>
        <row r="348">
          <cell r="N348"/>
          <cell r="O348" t="str">
            <v>3418415</v>
          </cell>
        </row>
        <row r="349">
          <cell r="N349"/>
          <cell r="O349" t="str">
            <v>3418415</v>
          </cell>
        </row>
        <row r="350">
          <cell r="N350"/>
          <cell r="O350" t="str">
            <v>3418415</v>
          </cell>
        </row>
        <row r="351">
          <cell r="N351"/>
          <cell r="O351" t="str">
            <v>3418417</v>
          </cell>
        </row>
        <row r="352">
          <cell r="N352"/>
          <cell r="O352" t="str">
            <v>3418420</v>
          </cell>
        </row>
        <row r="353">
          <cell r="N353"/>
          <cell r="O353" t="str">
            <v>3418782</v>
          </cell>
        </row>
        <row r="354">
          <cell r="N354"/>
          <cell r="O354" t="str">
            <v>3418782</v>
          </cell>
        </row>
        <row r="355">
          <cell r="N355" t="str">
            <v>3417437</v>
          </cell>
          <cell r="O355" t="str">
            <v>3417436</v>
          </cell>
        </row>
        <row r="356">
          <cell r="N356" t="str">
            <v>3418403</v>
          </cell>
          <cell r="O356" t="str">
            <v>3418402</v>
          </cell>
        </row>
        <row r="357">
          <cell r="N357" t="str">
            <v>3418413</v>
          </cell>
          <cell r="O357" t="str">
            <v>3418412</v>
          </cell>
        </row>
        <row r="358">
          <cell r="N358" t="str">
            <v>3418415</v>
          </cell>
          <cell r="O358" t="str">
            <v>3418414</v>
          </cell>
        </row>
        <row r="359">
          <cell r="N359" t="str">
            <v>3418417</v>
          </cell>
          <cell r="O359" t="str">
            <v>3418416</v>
          </cell>
        </row>
        <row r="360">
          <cell r="N360" t="str">
            <v>3418420</v>
          </cell>
          <cell r="O360" t="str">
            <v>3418419</v>
          </cell>
        </row>
        <row r="361">
          <cell r="N361" t="str">
            <v>3418782</v>
          </cell>
          <cell r="O361" t="str">
            <v>3418781</v>
          </cell>
        </row>
        <row r="362">
          <cell r="N362"/>
          <cell r="O362" t="str">
            <v>3418989</v>
          </cell>
        </row>
        <row r="363">
          <cell r="N363"/>
          <cell r="O363" t="str">
            <v>3418994</v>
          </cell>
        </row>
        <row r="364">
          <cell r="N364"/>
          <cell r="O364" t="str">
            <v>3418995</v>
          </cell>
        </row>
        <row r="365">
          <cell r="N365"/>
          <cell r="O365" t="str">
            <v>3411486</v>
          </cell>
        </row>
        <row r="366">
          <cell r="N366"/>
          <cell r="O366" t="str">
            <v>3418985</v>
          </cell>
        </row>
        <row r="367">
          <cell r="N367"/>
          <cell r="O367" t="str">
            <v>3418986</v>
          </cell>
        </row>
        <row r="368">
          <cell r="N368"/>
          <cell r="O368" t="str">
            <v>3418987</v>
          </cell>
        </row>
        <row r="369">
          <cell r="N369"/>
          <cell r="O369" t="str">
            <v>3418988</v>
          </cell>
        </row>
        <row r="370">
          <cell r="N370"/>
          <cell r="O370" t="str">
            <v>3418990</v>
          </cell>
        </row>
        <row r="371">
          <cell r="N371"/>
          <cell r="O371" t="str">
            <v>3418991</v>
          </cell>
        </row>
        <row r="372">
          <cell r="N372"/>
          <cell r="O372" t="str">
            <v>3418992</v>
          </cell>
        </row>
        <row r="373">
          <cell r="N373"/>
          <cell r="O373" t="str">
            <v>3418993</v>
          </cell>
        </row>
        <row r="374">
          <cell r="N374"/>
          <cell r="O374" t="str">
            <v>3419006</v>
          </cell>
        </row>
        <row r="375">
          <cell r="N375"/>
          <cell r="O375" t="str">
            <v>3418997</v>
          </cell>
        </row>
        <row r="376">
          <cell r="N376"/>
          <cell r="O376" t="str">
            <v>3418997</v>
          </cell>
        </row>
        <row r="377">
          <cell r="N377"/>
          <cell r="O377" t="str">
            <v>3418997</v>
          </cell>
        </row>
        <row r="378">
          <cell r="N378"/>
          <cell r="O378" t="str">
            <v>3418999</v>
          </cell>
        </row>
        <row r="379">
          <cell r="N379"/>
          <cell r="O379" t="str">
            <v>3418999</v>
          </cell>
        </row>
        <row r="380">
          <cell r="N380"/>
          <cell r="O380" t="str">
            <v>3418999</v>
          </cell>
        </row>
        <row r="381">
          <cell r="N381"/>
          <cell r="O381" t="str">
            <v>3419001</v>
          </cell>
        </row>
        <row r="382">
          <cell r="N382"/>
          <cell r="O382" t="str">
            <v>3418996</v>
          </cell>
        </row>
        <row r="383">
          <cell r="N383"/>
          <cell r="O383" t="str">
            <v>3418998</v>
          </cell>
        </row>
        <row r="384">
          <cell r="N384"/>
          <cell r="O384" t="str">
            <v>3419000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602E-B273-448B-BCE1-C233AE0F255B}">
  <dimension ref="A1:AH164"/>
  <sheetViews>
    <sheetView tabSelected="1" topLeftCell="L1" workbookViewId="0">
      <selection activeCell="Y2" sqref="Y2"/>
    </sheetView>
  </sheetViews>
  <sheetFormatPr defaultRowHeight="14.4" outlineLevelCol="1" x14ac:dyDescent="0.55000000000000004"/>
  <cols>
    <col min="1" max="1" width="34.734375" hidden="1" customWidth="1" outlineLevel="1"/>
    <col min="2" max="2" width="32.7890625" hidden="1" customWidth="1" outlineLevel="1"/>
    <col min="3" max="3" width="31.26171875" hidden="1" customWidth="1" outlineLevel="1"/>
    <col min="4" max="4" width="31.15625" hidden="1" customWidth="1" outlineLevel="1"/>
    <col min="5" max="5" width="31.20703125" hidden="1" customWidth="1" outlineLevel="1"/>
    <col min="6" max="6" width="30.578125" hidden="1" customWidth="1" outlineLevel="1"/>
    <col min="7" max="7" width="33.05078125" hidden="1" customWidth="1" outlineLevel="1"/>
    <col min="8" max="8" width="36.3125" hidden="1" customWidth="1" outlineLevel="1"/>
    <col min="9" max="9" width="34.15625" hidden="1" customWidth="1" outlineLevel="1"/>
    <col min="10" max="10" width="36.05078125" hidden="1" customWidth="1" outlineLevel="1"/>
    <col min="11" max="11" width="35.83984375" hidden="1" customWidth="1" outlineLevel="1"/>
    <col min="12" max="12" width="7.62890625" bestFit="1" customWidth="1" collapsed="1"/>
    <col min="13" max="13" width="22.3671875" bestFit="1" customWidth="1"/>
    <col min="14" max="14" width="10.62890625" customWidth="1"/>
    <col min="16" max="18" width="10.1015625" bestFit="1" customWidth="1"/>
    <col min="25" max="25" width="13.3125" bestFit="1" customWidth="1"/>
    <col min="31" max="31" width="13.7890625" bestFit="1" customWidth="1"/>
    <col min="32" max="32" width="8.734375" bestFit="1" customWidth="1"/>
    <col min="33" max="33" width="6.9453125" bestFit="1" customWidth="1"/>
    <col min="34" max="34" width="13.62890625" bestFit="1" customWidth="1"/>
  </cols>
  <sheetData>
    <row r="1" spans="1:34" ht="29.4" customHeight="1" x14ac:dyDescent="0.55000000000000004">
      <c r="L1" s="46" t="s">
        <v>18</v>
      </c>
      <c r="M1" s="46" t="s">
        <v>1097</v>
      </c>
      <c r="N1" s="46" t="s">
        <v>1099</v>
      </c>
      <c r="O1" s="46" t="s">
        <v>301</v>
      </c>
      <c r="P1" s="46" t="s">
        <v>302</v>
      </c>
      <c r="Q1" s="46" t="s">
        <v>303</v>
      </c>
      <c r="R1" s="46" t="s">
        <v>304</v>
      </c>
      <c r="S1" s="46" t="s">
        <v>305</v>
      </c>
      <c r="T1" s="46" t="s">
        <v>306</v>
      </c>
      <c r="U1" s="46" t="s">
        <v>307</v>
      </c>
      <c r="V1" s="46" t="s">
        <v>308</v>
      </c>
      <c r="W1" s="46" t="s">
        <v>309</v>
      </c>
      <c r="X1" s="46" t="s">
        <v>310</v>
      </c>
      <c r="Y1" s="47" t="s">
        <v>1100</v>
      </c>
      <c r="AB1" s="15" t="s">
        <v>311</v>
      </c>
      <c r="AC1" s="16"/>
      <c r="AD1" s="16"/>
      <c r="AE1" s="17" t="s">
        <v>312</v>
      </c>
      <c r="AF1" s="17" t="s">
        <v>313</v>
      </c>
      <c r="AG1" s="17" t="s">
        <v>314</v>
      </c>
      <c r="AH1" s="18" t="s">
        <v>315</v>
      </c>
    </row>
    <row r="2" spans="1:34" x14ac:dyDescent="0.55000000000000004">
      <c r="L2" s="49"/>
      <c r="M2" s="48" t="s">
        <v>1098</v>
      </c>
      <c r="N2" s="40">
        <f>SUM(N3:N250)</f>
        <v>72</v>
      </c>
      <c r="O2" s="40">
        <f t="shared" ref="O2:X2" si="0">SUM(O3:O250)</f>
        <v>181575.67999999999</v>
      </c>
      <c r="P2" s="40">
        <f t="shared" si="0"/>
        <v>1309884.8600000001</v>
      </c>
      <c r="Q2" s="40">
        <f t="shared" si="0"/>
        <v>1023339.9700000001</v>
      </c>
      <c r="R2" s="40">
        <f t="shared" si="0"/>
        <v>1038269.9700000001</v>
      </c>
      <c r="S2" s="40">
        <f t="shared" si="0"/>
        <v>920939.59</v>
      </c>
      <c r="T2" s="40">
        <f t="shared" si="0"/>
        <v>110601.42000000001</v>
      </c>
      <c r="U2" s="40">
        <f t="shared" si="0"/>
        <v>0</v>
      </c>
      <c r="V2" s="40">
        <f t="shared" si="0"/>
        <v>0</v>
      </c>
      <c r="W2" s="40">
        <f t="shared" si="0"/>
        <v>0</v>
      </c>
      <c r="X2" s="40">
        <f t="shared" si="0"/>
        <v>0</v>
      </c>
      <c r="Y2" s="45">
        <f>SUM(N2:X2)</f>
        <v>4584683.49</v>
      </c>
      <c r="AB2" s="17" t="s">
        <v>316</v>
      </c>
      <c r="AC2" s="17" t="s">
        <v>1084</v>
      </c>
      <c r="AD2" s="16"/>
      <c r="AE2" s="17" t="s">
        <v>317</v>
      </c>
      <c r="AF2" s="17" t="s">
        <v>318</v>
      </c>
      <c r="AG2" s="17" t="s">
        <v>319</v>
      </c>
      <c r="AH2" s="19">
        <v>43322.439999014001</v>
      </c>
    </row>
    <row r="3" spans="1:34" x14ac:dyDescent="0.55000000000000004">
      <c r="A3" t="str">
        <f>$L3&amp;N$1&amp;$M3</f>
        <v>MarchFebruaryAFG NC - DCL KY</v>
      </c>
      <c r="B3" t="str">
        <f>$L3&amp;O$1&amp;$M3</f>
        <v>MarchMarchAFG NC - DCL KY</v>
      </c>
      <c r="C3" t="str">
        <f t="shared" ref="C3:K3" si="1">$L3&amp;P$1&amp;$M3</f>
        <v>MarchAprilAFG NC - DCL KY</v>
      </c>
      <c r="D3" t="str">
        <f t="shared" si="1"/>
        <v>MarchMayAFG NC - DCL KY</v>
      </c>
      <c r="E3" t="str">
        <f t="shared" si="1"/>
        <v>MarchJuneAFG NC - DCL KY</v>
      </c>
      <c r="F3" t="str">
        <f t="shared" si="1"/>
        <v>MarchJulyAFG NC - DCL KY</v>
      </c>
      <c r="G3" t="str">
        <f t="shared" si="1"/>
        <v>MarchAugustAFG NC - DCL KY</v>
      </c>
      <c r="H3" t="str">
        <f t="shared" si="1"/>
        <v>MarchSeptemberAFG NC - DCL KY</v>
      </c>
      <c r="I3" t="str">
        <f t="shared" si="1"/>
        <v>MarchOctoberAFG NC - DCL KY</v>
      </c>
      <c r="J3" t="str">
        <f t="shared" si="1"/>
        <v>MarchNovemberAFG NC - DCL KY</v>
      </c>
      <c r="K3" t="str">
        <f t="shared" si="1"/>
        <v>MarchDecemberAFG NC - DCL KY</v>
      </c>
      <c r="L3" t="s">
        <v>301</v>
      </c>
      <c r="M3" t="s">
        <v>173</v>
      </c>
      <c r="N3" s="38">
        <f>SUMIF(Data!$A:$A,Summary!A3,Data!$M:$M)</f>
        <v>0</v>
      </c>
      <c r="O3" s="38">
        <f>SUMIF(Data!$A:$A,Summary!B3,Data!$M:$M)</f>
        <v>1725</v>
      </c>
      <c r="P3" s="38">
        <f>SUMIF(Data!$A:$A,Summary!C3,Data!$M:$M)</f>
        <v>0</v>
      </c>
      <c r="Q3" s="38">
        <f>SUMIF(Data!$A:$A,Summary!D3,Data!$M:$M)</f>
        <v>0</v>
      </c>
      <c r="R3" s="38">
        <f>SUMIF(Data!$A:$A,Summary!E3,Data!$M:$M)</f>
        <v>0</v>
      </c>
      <c r="S3" s="38">
        <f>SUMIF(Data!$A:$A,Summary!F3,Data!$M:$M)</f>
        <v>0</v>
      </c>
      <c r="T3" s="38">
        <f>SUMIF(Data!$A:$A,Summary!G3,Data!$M:$M)</f>
        <v>0</v>
      </c>
      <c r="U3" s="38">
        <f>SUMIF(Data!$A:$A,Summary!H3,Data!$M:$M)</f>
        <v>0</v>
      </c>
      <c r="V3" s="38">
        <f>SUMIF(Data!$A:$A,Summary!I3,Data!$M:$M)</f>
        <v>0</v>
      </c>
      <c r="W3" s="38">
        <f>SUMIF(Data!$A:$A,Summary!J3,Data!$M:$M)</f>
        <v>0</v>
      </c>
      <c r="X3" s="38">
        <f>SUMIF(Data!$A:$A,Summary!K3,Data!$M:$M)</f>
        <v>0</v>
      </c>
      <c r="AB3" s="17" t="s">
        <v>320</v>
      </c>
      <c r="AC3" s="17" t="s">
        <v>321</v>
      </c>
      <c r="AD3" s="16"/>
      <c r="AE3" s="17" t="s">
        <v>322</v>
      </c>
      <c r="AF3" s="20" t="s">
        <v>332</v>
      </c>
      <c r="AG3" s="16"/>
      <c r="AH3" s="16"/>
    </row>
    <row r="4" spans="1:34" x14ac:dyDescent="0.55000000000000004">
      <c r="A4" t="str">
        <f t="shared" ref="A4:A56" si="2">$L4&amp;N$1&amp;$M4</f>
        <v>MarchFebruaryAFG NC - Canada</v>
      </c>
      <c r="B4" t="str">
        <f t="shared" ref="B4:B56" si="3">$L4&amp;O$1&amp;$M4</f>
        <v>MarchMarchAFG NC - Canada</v>
      </c>
      <c r="C4" t="str">
        <f t="shared" ref="C4:C56" si="4">$L4&amp;P$1&amp;$M4</f>
        <v>MarchAprilAFG NC - Canada</v>
      </c>
      <c r="D4" t="str">
        <f t="shared" ref="D4:D56" si="5">$L4&amp;Q$1&amp;$M4</f>
        <v>MarchMayAFG NC - Canada</v>
      </c>
      <c r="E4" t="str">
        <f t="shared" ref="E4:E56" si="6">$L4&amp;R$1&amp;$M4</f>
        <v>MarchJuneAFG NC - Canada</v>
      </c>
      <c r="F4" t="str">
        <f t="shared" ref="F4:F56" si="7">$L4&amp;S$1&amp;$M4</f>
        <v>MarchJulyAFG NC - Canada</v>
      </c>
      <c r="G4" t="str">
        <f t="shared" ref="G4:G56" si="8">$L4&amp;T$1&amp;$M4</f>
        <v>MarchAugustAFG NC - Canada</v>
      </c>
      <c r="H4" t="str">
        <f t="shared" ref="H4:H56" si="9">$L4&amp;U$1&amp;$M4</f>
        <v>MarchSeptemberAFG NC - Canada</v>
      </c>
      <c r="I4" t="str">
        <f t="shared" ref="I4:I56" si="10">$L4&amp;V$1&amp;$M4</f>
        <v>MarchOctoberAFG NC - Canada</v>
      </c>
      <c r="J4" t="str">
        <f t="shared" ref="J4:J56" si="11">$L4&amp;W$1&amp;$M4</f>
        <v>MarchNovemberAFG NC - Canada</v>
      </c>
      <c r="K4" t="str">
        <f t="shared" ref="K4:K56" si="12">$L4&amp;X$1&amp;$M4</f>
        <v>MarchDecemberAFG NC - Canada</v>
      </c>
      <c r="L4" t="s">
        <v>301</v>
      </c>
      <c r="M4" t="s">
        <v>1085</v>
      </c>
      <c r="N4" s="38">
        <f>SUMIF(Data!$A:$A,Summary!A4,Data!$M:$M)</f>
        <v>0</v>
      </c>
      <c r="O4" s="38">
        <f>SUMIF(Data!$A:$A,Summary!B4,Data!$M:$M)</f>
        <v>0</v>
      </c>
      <c r="P4" s="38">
        <f>SUMIF(Data!$A:$A,Summary!C4,Data!$M:$M)</f>
        <v>0</v>
      </c>
      <c r="Q4" s="38">
        <f>SUMIF(Data!$A:$A,Summary!D4,Data!$M:$M)</f>
        <v>0</v>
      </c>
      <c r="R4" s="38">
        <f>SUMIF(Data!$A:$A,Summary!E4,Data!$M:$M)</f>
        <v>0</v>
      </c>
      <c r="S4" s="38">
        <f>SUMIF(Data!$A:$A,Summary!F4,Data!$M:$M)</f>
        <v>0</v>
      </c>
      <c r="T4" s="38">
        <f>SUMIF(Data!$A:$A,Summary!G4,Data!$M:$M)</f>
        <v>0</v>
      </c>
      <c r="U4" s="38">
        <f>SUMIF(Data!$A:$A,Summary!H4,Data!$M:$M)</f>
        <v>0</v>
      </c>
      <c r="V4" s="38">
        <f>SUMIF(Data!$A:$A,Summary!I4,Data!$M:$M)</f>
        <v>0</v>
      </c>
      <c r="W4" s="38">
        <f>SUMIF(Data!$A:$A,Summary!J4,Data!$M:$M)</f>
        <v>0</v>
      </c>
      <c r="X4" s="38">
        <f>SUMIF(Data!$A:$A,Summary!K4,Data!$M:$M)</f>
        <v>0</v>
      </c>
      <c r="AB4" s="21" t="s">
        <v>7</v>
      </c>
      <c r="AC4" s="21" t="s">
        <v>0</v>
      </c>
      <c r="AD4" s="21" t="s">
        <v>5</v>
      </c>
      <c r="AE4" s="22" t="s">
        <v>323</v>
      </c>
      <c r="AF4" s="22" t="s">
        <v>324</v>
      </c>
      <c r="AG4" s="22" t="s">
        <v>325</v>
      </c>
      <c r="AH4" s="22" t="s">
        <v>326</v>
      </c>
    </row>
    <row r="5" spans="1:34" x14ac:dyDescent="0.55000000000000004">
      <c r="A5" t="str">
        <f t="shared" si="2"/>
        <v>MarchFebruaryAFG NC - Phillips WI</v>
      </c>
      <c r="B5" t="str">
        <f t="shared" si="3"/>
        <v>MarchMarchAFG NC - Phillips WI</v>
      </c>
      <c r="C5" t="str">
        <f t="shared" si="4"/>
        <v>MarchAprilAFG NC - Phillips WI</v>
      </c>
      <c r="D5" t="str">
        <f t="shared" si="5"/>
        <v>MarchMayAFG NC - Phillips WI</v>
      </c>
      <c r="E5" t="str">
        <f t="shared" si="6"/>
        <v>MarchJuneAFG NC - Phillips WI</v>
      </c>
      <c r="F5" t="str">
        <f t="shared" si="7"/>
        <v>MarchJulyAFG NC - Phillips WI</v>
      </c>
      <c r="G5" t="str">
        <f t="shared" si="8"/>
        <v>MarchAugustAFG NC - Phillips WI</v>
      </c>
      <c r="H5" t="str">
        <f t="shared" si="9"/>
        <v>MarchSeptemberAFG NC - Phillips WI</v>
      </c>
      <c r="I5" t="str">
        <f t="shared" si="10"/>
        <v>MarchOctoberAFG NC - Phillips WI</v>
      </c>
      <c r="J5" t="str">
        <f t="shared" si="11"/>
        <v>MarchNovemberAFG NC - Phillips WI</v>
      </c>
      <c r="K5" t="str">
        <f t="shared" si="12"/>
        <v>MarchDecemberAFG NC - Phillips WI</v>
      </c>
      <c r="L5" t="s">
        <v>301</v>
      </c>
      <c r="M5" t="s">
        <v>833</v>
      </c>
      <c r="N5" s="38">
        <f>SUMIF(Data!$A:$A,Summary!A5,Data!$M:$M)</f>
        <v>0</v>
      </c>
      <c r="O5" s="38">
        <f>SUMIF(Data!$A:$A,Summary!B5,Data!$M:$M)</f>
        <v>0</v>
      </c>
      <c r="P5" s="38">
        <f>SUMIF(Data!$A:$A,Summary!C5,Data!$M:$M)</f>
        <v>0</v>
      </c>
      <c r="Q5" s="38">
        <f>SUMIF(Data!$A:$A,Summary!D5,Data!$M:$M)</f>
        <v>0</v>
      </c>
      <c r="R5" s="38">
        <f>SUMIF(Data!$A:$A,Summary!E5,Data!$M:$M)</f>
        <v>0</v>
      </c>
      <c r="S5" s="38">
        <f>SUMIF(Data!$A:$A,Summary!F5,Data!$M:$M)</f>
        <v>0</v>
      </c>
      <c r="T5" s="38">
        <f>SUMIF(Data!$A:$A,Summary!G5,Data!$M:$M)</f>
        <v>0</v>
      </c>
      <c r="U5" s="38">
        <f>SUMIF(Data!$A:$A,Summary!H5,Data!$M:$M)</f>
        <v>0</v>
      </c>
      <c r="V5" s="38">
        <f>SUMIF(Data!$A:$A,Summary!I5,Data!$M:$M)</f>
        <v>0</v>
      </c>
      <c r="W5" s="38">
        <f>SUMIF(Data!$A:$A,Summary!J5,Data!$M:$M)</f>
        <v>0</v>
      </c>
      <c r="X5" s="38">
        <f>SUMIF(Data!$A:$A,Summary!K5,Data!$M:$M)</f>
        <v>0</v>
      </c>
      <c r="AB5" s="17" t="s">
        <v>26</v>
      </c>
      <c r="AC5" s="17" t="s">
        <v>327</v>
      </c>
      <c r="AD5" s="17" t="s">
        <v>328</v>
      </c>
      <c r="AE5" s="41">
        <v>2421092.31</v>
      </c>
      <c r="AF5" s="41">
        <v>749631.24</v>
      </c>
      <c r="AG5" s="41">
        <v>0</v>
      </c>
      <c r="AH5" s="41">
        <v>3170723.55</v>
      </c>
    </row>
    <row r="6" spans="1:34" x14ac:dyDescent="0.55000000000000004">
      <c r="A6" t="str">
        <f t="shared" si="2"/>
        <v>MarchFebruaryAFG Suzho - DCL KY</v>
      </c>
      <c r="B6" t="str">
        <f t="shared" si="3"/>
        <v>MarchMarchAFG Suzho - DCL KY</v>
      </c>
      <c r="C6" t="str">
        <f t="shared" si="4"/>
        <v>MarchAprilAFG Suzho - DCL KY</v>
      </c>
      <c r="D6" t="str">
        <f t="shared" si="5"/>
        <v>MarchMayAFG Suzho - DCL KY</v>
      </c>
      <c r="E6" t="str">
        <f t="shared" si="6"/>
        <v>MarchJuneAFG Suzho - DCL KY</v>
      </c>
      <c r="F6" t="str">
        <f t="shared" si="7"/>
        <v>MarchJulyAFG Suzho - DCL KY</v>
      </c>
      <c r="G6" t="str">
        <f t="shared" si="8"/>
        <v>MarchAugustAFG Suzho - DCL KY</v>
      </c>
      <c r="H6" t="str">
        <f t="shared" si="9"/>
        <v>MarchSeptemberAFG Suzho - DCL KY</v>
      </c>
      <c r="I6" t="str">
        <f t="shared" si="10"/>
        <v>MarchOctoberAFG Suzho - DCL KY</v>
      </c>
      <c r="J6" t="str">
        <f t="shared" si="11"/>
        <v>MarchNovemberAFG Suzho - DCL KY</v>
      </c>
      <c r="K6" t="str">
        <f t="shared" si="12"/>
        <v>MarchDecemberAFG Suzho - DCL KY</v>
      </c>
      <c r="L6" t="s">
        <v>301</v>
      </c>
      <c r="M6" t="s">
        <v>247</v>
      </c>
      <c r="N6" s="38">
        <f>SUMIF(Data!$A:$A,Summary!A6,Data!$M:$M)</f>
        <v>0</v>
      </c>
      <c r="O6" s="38">
        <f>SUMIF(Data!$A:$A,Summary!B6,Data!$M:$M)</f>
        <v>0</v>
      </c>
      <c r="P6" s="38">
        <f>SUMIF(Data!$A:$A,Summary!C6,Data!$M:$M)</f>
        <v>0</v>
      </c>
      <c r="Q6" s="38">
        <f>SUMIF(Data!$A:$A,Summary!D6,Data!$M:$M)</f>
        <v>0</v>
      </c>
      <c r="R6" s="38">
        <f>SUMIF(Data!$A:$A,Summary!E6,Data!$M:$M)</f>
        <v>0</v>
      </c>
      <c r="S6" s="38">
        <f>SUMIF(Data!$A:$A,Summary!F6,Data!$M:$M)</f>
        <v>0</v>
      </c>
      <c r="T6" s="38">
        <f>SUMIF(Data!$A:$A,Summary!G6,Data!$M:$M)</f>
        <v>0</v>
      </c>
      <c r="U6" s="38">
        <f>SUMIF(Data!$A:$A,Summary!H6,Data!$M:$M)</f>
        <v>0</v>
      </c>
      <c r="V6" s="38">
        <f>SUMIF(Data!$A:$A,Summary!I6,Data!$M:$M)</f>
        <v>0</v>
      </c>
      <c r="W6" s="38">
        <f>SUMIF(Data!$A:$A,Summary!J6,Data!$M:$M)</f>
        <v>0</v>
      </c>
      <c r="X6" s="38">
        <f>SUMIF(Data!$A:$A,Summary!K6,Data!$M:$M)</f>
        <v>0</v>
      </c>
      <c r="AB6" s="17" t="s">
        <v>154</v>
      </c>
      <c r="AC6" s="17" t="s">
        <v>327</v>
      </c>
      <c r="AD6" s="17" t="s">
        <v>20</v>
      </c>
      <c r="AE6" s="41">
        <v>403113.61</v>
      </c>
      <c r="AF6" s="41">
        <v>986440.3</v>
      </c>
      <c r="AG6" s="41">
        <v>534470.80000000005</v>
      </c>
      <c r="AH6" s="41">
        <v>855083.11</v>
      </c>
    </row>
    <row r="7" spans="1:34" x14ac:dyDescent="0.55000000000000004">
      <c r="A7" t="str">
        <f t="shared" si="2"/>
        <v>MarchFebruaryAFG Suzho - DECI NC</v>
      </c>
      <c r="B7" t="str">
        <f t="shared" si="3"/>
        <v>MarchMarchAFG Suzho - DECI NC</v>
      </c>
      <c r="C7" t="str">
        <f t="shared" si="4"/>
        <v>MarchAprilAFG Suzho - DECI NC</v>
      </c>
      <c r="D7" t="str">
        <f t="shared" si="5"/>
        <v>MarchMayAFG Suzho - DECI NC</v>
      </c>
      <c r="E7" t="str">
        <f t="shared" si="6"/>
        <v>MarchJuneAFG Suzho - DECI NC</v>
      </c>
      <c r="F7" t="str">
        <f t="shared" si="7"/>
        <v>MarchJulyAFG Suzho - DECI NC</v>
      </c>
      <c r="G7" t="str">
        <f t="shared" si="8"/>
        <v>MarchAugustAFG Suzho - DECI NC</v>
      </c>
      <c r="H7" t="str">
        <f t="shared" si="9"/>
        <v>MarchSeptemberAFG Suzho - DECI NC</v>
      </c>
      <c r="I7" t="str">
        <f t="shared" si="10"/>
        <v>MarchOctoberAFG Suzho - DECI NC</v>
      </c>
      <c r="J7" t="str">
        <f t="shared" si="11"/>
        <v>MarchNovemberAFG Suzho - DECI NC</v>
      </c>
      <c r="K7" t="str">
        <f t="shared" si="12"/>
        <v>MarchDecemberAFG Suzho - DECI NC</v>
      </c>
      <c r="L7" t="s">
        <v>301</v>
      </c>
      <c r="M7" t="s">
        <v>245</v>
      </c>
      <c r="N7" s="38">
        <f>SUMIF(Data!$A:$A,Summary!A7,Data!$M:$M)</f>
        <v>0</v>
      </c>
      <c r="O7" s="38">
        <f>SUMIF(Data!$A:$A,Summary!B7,Data!$M:$M)</f>
        <v>0</v>
      </c>
      <c r="P7" s="38">
        <f>SUMIF(Data!$A:$A,Summary!C7,Data!$M:$M)</f>
        <v>0</v>
      </c>
      <c r="Q7" s="38">
        <f>SUMIF(Data!$A:$A,Summary!D7,Data!$M:$M)</f>
        <v>0</v>
      </c>
      <c r="R7" s="38">
        <f>SUMIF(Data!$A:$A,Summary!E7,Data!$M:$M)</f>
        <v>0</v>
      </c>
      <c r="S7" s="38">
        <f>SUMIF(Data!$A:$A,Summary!F7,Data!$M:$M)</f>
        <v>0</v>
      </c>
      <c r="T7" s="38">
        <f>SUMIF(Data!$A:$A,Summary!G7,Data!$M:$M)</f>
        <v>0</v>
      </c>
      <c r="U7" s="38">
        <f>SUMIF(Data!$A:$A,Summary!H7,Data!$M:$M)</f>
        <v>0</v>
      </c>
      <c r="V7" s="38">
        <f>SUMIF(Data!$A:$A,Summary!I7,Data!$M:$M)</f>
        <v>0</v>
      </c>
      <c r="W7" s="38">
        <f>SUMIF(Data!$A:$A,Summary!J7,Data!$M:$M)</f>
        <v>0</v>
      </c>
      <c r="X7" s="38">
        <f>SUMIF(Data!$A:$A,Summary!K7,Data!$M:$M)</f>
        <v>0</v>
      </c>
      <c r="AB7" s="16"/>
      <c r="AC7" s="16"/>
      <c r="AD7" s="23" t="s">
        <v>329</v>
      </c>
      <c r="AE7" s="42">
        <f t="shared" ref="AE7" si="13">SUM(AE5:AE6)</f>
        <v>2824205.92</v>
      </c>
      <c r="AF7" s="42">
        <f>SUM(AF5:AF6)</f>
        <v>1736071.54</v>
      </c>
      <c r="AG7" s="42">
        <f t="shared" ref="AG7:AH7" si="14">SUM(AG5:AG6)</f>
        <v>534470.80000000005</v>
      </c>
      <c r="AH7" s="42">
        <f t="shared" si="14"/>
        <v>4025806.6599999997</v>
      </c>
    </row>
    <row r="8" spans="1:34" x14ac:dyDescent="0.55000000000000004">
      <c r="A8" t="str">
        <f t="shared" si="2"/>
        <v>MarchFebruaryAFG Suzho - Flex IL</v>
      </c>
      <c r="B8" t="str">
        <f t="shared" si="3"/>
        <v>MarchMarchAFG Suzho - Flex IL</v>
      </c>
      <c r="C8" t="str">
        <f t="shared" si="4"/>
        <v>MarchAprilAFG Suzho - Flex IL</v>
      </c>
      <c r="D8" t="str">
        <f t="shared" si="5"/>
        <v>MarchMayAFG Suzho - Flex IL</v>
      </c>
      <c r="E8" t="str">
        <f t="shared" si="6"/>
        <v>MarchJuneAFG Suzho - Flex IL</v>
      </c>
      <c r="F8" t="str">
        <f t="shared" si="7"/>
        <v>MarchJulyAFG Suzho - Flex IL</v>
      </c>
      <c r="G8" t="str">
        <f t="shared" si="8"/>
        <v>MarchAugustAFG Suzho - Flex IL</v>
      </c>
      <c r="H8" t="str">
        <f t="shared" si="9"/>
        <v>MarchSeptemberAFG Suzho - Flex IL</v>
      </c>
      <c r="I8" t="str">
        <f t="shared" si="10"/>
        <v>MarchOctoberAFG Suzho - Flex IL</v>
      </c>
      <c r="J8" t="str">
        <f t="shared" si="11"/>
        <v>MarchNovemberAFG Suzho - Flex IL</v>
      </c>
      <c r="K8" t="str">
        <f t="shared" si="12"/>
        <v>MarchDecemberAFG Suzho - Flex IL</v>
      </c>
      <c r="L8" t="s">
        <v>301</v>
      </c>
      <c r="M8" t="s">
        <v>260</v>
      </c>
      <c r="N8" s="38">
        <f>SUMIF(Data!$A:$A,Summary!A8,Data!$M:$M)</f>
        <v>0</v>
      </c>
      <c r="O8" s="38">
        <f>SUMIF(Data!$A:$A,Summary!B8,Data!$M:$M)</f>
        <v>0</v>
      </c>
      <c r="P8" s="38">
        <f>SUMIF(Data!$A:$A,Summary!C8,Data!$M:$M)</f>
        <v>0</v>
      </c>
      <c r="Q8" s="38">
        <f>SUMIF(Data!$A:$A,Summary!D8,Data!$M:$M)</f>
        <v>0</v>
      </c>
      <c r="R8" s="38">
        <f>SUMIF(Data!$A:$A,Summary!E8,Data!$M:$M)</f>
        <v>0</v>
      </c>
      <c r="S8" s="38">
        <f>SUMIF(Data!$A:$A,Summary!F8,Data!$M:$M)</f>
        <v>0</v>
      </c>
      <c r="T8" s="38">
        <f>SUMIF(Data!$A:$A,Summary!G8,Data!$M:$M)</f>
        <v>0</v>
      </c>
      <c r="U8" s="38">
        <f>SUMIF(Data!$A:$A,Summary!H8,Data!$M:$M)</f>
        <v>0</v>
      </c>
      <c r="V8" s="38">
        <f>SUMIF(Data!$A:$A,Summary!I8,Data!$M:$M)</f>
        <v>0</v>
      </c>
      <c r="W8" s="38">
        <f>SUMIF(Data!$A:$A,Summary!J8,Data!$M:$M)</f>
        <v>0</v>
      </c>
      <c r="X8" s="38">
        <f>SUMIF(Data!$A:$A,Summary!K8,Data!$M:$M)</f>
        <v>0</v>
      </c>
      <c r="AE8" s="43"/>
      <c r="AF8" s="44">
        <f>AF7-AG7</f>
        <v>1201600.74</v>
      </c>
      <c r="AG8" s="43"/>
      <c r="AH8" s="43"/>
    </row>
    <row r="9" spans="1:34" x14ac:dyDescent="0.55000000000000004">
      <c r="A9" t="str">
        <f t="shared" si="2"/>
        <v>MarchFebruaryChicago IL - Phillips WI</v>
      </c>
      <c r="B9" t="str">
        <f t="shared" si="3"/>
        <v>MarchMarchChicago IL - Phillips WI</v>
      </c>
      <c r="C9" t="str">
        <f t="shared" si="4"/>
        <v>MarchAprilChicago IL - Phillips WI</v>
      </c>
      <c r="D9" t="str">
        <f t="shared" si="5"/>
        <v>MarchMayChicago IL - Phillips WI</v>
      </c>
      <c r="E9" t="str">
        <f t="shared" si="6"/>
        <v>MarchJuneChicago IL - Phillips WI</v>
      </c>
      <c r="F9" t="str">
        <f t="shared" si="7"/>
        <v>MarchJulyChicago IL - Phillips WI</v>
      </c>
      <c r="G9" t="str">
        <f t="shared" si="8"/>
        <v>MarchAugustChicago IL - Phillips WI</v>
      </c>
      <c r="H9" t="str">
        <f t="shared" si="9"/>
        <v>MarchSeptemberChicago IL - Phillips WI</v>
      </c>
      <c r="I9" t="str">
        <f t="shared" si="10"/>
        <v>MarchOctoberChicago IL - Phillips WI</v>
      </c>
      <c r="J9" t="str">
        <f t="shared" si="11"/>
        <v>MarchNovemberChicago IL - Phillips WI</v>
      </c>
      <c r="K9" t="str">
        <f t="shared" si="12"/>
        <v>MarchDecemberChicago IL - Phillips WI</v>
      </c>
      <c r="L9" t="s">
        <v>301</v>
      </c>
      <c r="M9" t="s">
        <v>187</v>
      </c>
      <c r="N9" s="38">
        <f>SUMIF(Data!$A:$A,Summary!A9,Data!$M:$M)</f>
        <v>0</v>
      </c>
      <c r="O9" s="38">
        <f>SUMIF(Data!$A:$A,Summary!B9,Data!$M:$M)</f>
        <v>0</v>
      </c>
      <c r="P9" s="38">
        <f>SUMIF(Data!$A:$A,Summary!C9,Data!$M:$M)</f>
        <v>0</v>
      </c>
      <c r="Q9" s="38">
        <f>SUMIF(Data!$A:$A,Summary!D9,Data!$M:$M)</f>
        <v>0</v>
      </c>
      <c r="R9" s="38">
        <f>SUMIF(Data!$A:$A,Summary!E9,Data!$M:$M)</f>
        <v>0</v>
      </c>
      <c r="S9" s="38">
        <f>SUMIF(Data!$A:$A,Summary!F9,Data!$M:$M)</f>
        <v>0</v>
      </c>
      <c r="T9" s="38">
        <f>SUMIF(Data!$A:$A,Summary!G9,Data!$M:$M)</f>
        <v>0</v>
      </c>
      <c r="U9" s="38">
        <f>SUMIF(Data!$A:$A,Summary!H9,Data!$M:$M)</f>
        <v>0</v>
      </c>
      <c r="V9" s="38">
        <f>SUMIF(Data!$A:$A,Summary!I9,Data!$M:$M)</f>
        <v>0</v>
      </c>
      <c r="W9" s="38">
        <f>SUMIF(Data!$A:$A,Summary!J9,Data!$M:$M)</f>
        <v>0</v>
      </c>
      <c r="X9" s="38">
        <f>SUMIF(Data!$A:$A,Summary!K9,Data!$M:$M)</f>
        <v>0</v>
      </c>
      <c r="AB9" s="15" t="s">
        <v>311</v>
      </c>
      <c r="AC9" s="16"/>
      <c r="AD9" s="16"/>
      <c r="AE9" s="17" t="s">
        <v>312</v>
      </c>
      <c r="AF9" s="17" t="s">
        <v>313</v>
      </c>
      <c r="AG9" s="17" t="s">
        <v>314</v>
      </c>
      <c r="AH9" s="18" t="s">
        <v>315</v>
      </c>
    </row>
    <row r="10" spans="1:34" x14ac:dyDescent="0.55000000000000004">
      <c r="A10" t="str">
        <f t="shared" si="2"/>
        <v>MarchFebruaryChina - DCL KY</v>
      </c>
      <c r="B10" t="str">
        <f t="shared" si="3"/>
        <v>MarchMarchChina - DCL KY</v>
      </c>
      <c r="C10" t="str">
        <f t="shared" si="4"/>
        <v>MarchAprilChina - DCL KY</v>
      </c>
      <c r="D10" t="str">
        <f t="shared" si="5"/>
        <v>MarchMayChina - DCL KY</v>
      </c>
      <c r="E10" t="str">
        <f t="shared" si="6"/>
        <v>MarchJuneChina - DCL KY</v>
      </c>
      <c r="F10" t="str">
        <f t="shared" si="7"/>
        <v>MarchJulyChina - DCL KY</v>
      </c>
      <c r="G10" t="str">
        <f t="shared" si="8"/>
        <v>MarchAugustChina - DCL KY</v>
      </c>
      <c r="H10" t="str">
        <f t="shared" si="9"/>
        <v>MarchSeptemberChina - DCL KY</v>
      </c>
      <c r="I10" t="str">
        <f t="shared" si="10"/>
        <v>MarchOctoberChina - DCL KY</v>
      </c>
      <c r="J10" t="str">
        <f t="shared" si="11"/>
        <v>MarchNovemberChina - DCL KY</v>
      </c>
      <c r="K10" t="str">
        <f t="shared" si="12"/>
        <v>MarchDecemberChina - DCL KY</v>
      </c>
      <c r="L10" t="s">
        <v>301</v>
      </c>
      <c r="M10" t="s">
        <v>82</v>
      </c>
      <c r="N10" s="38">
        <f>SUMIF(Data!$A:$A,Summary!A10,Data!$M:$M)</f>
        <v>0</v>
      </c>
      <c r="O10" s="38">
        <f>SUMIF(Data!$A:$A,Summary!B10,Data!$M:$M)</f>
        <v>62064.18</v>
      </c>
      <c r="P10" s="38">
        <f>SUMIF(Data!$A:$A,Summary!C10,Data!$M:$M)</f>
        <v>0</v>
      </c>
      <c r="Q10" s="38">
        <f>SUMIF(Data!$A:$A,Summary!D10,Data!$M:$M)</f>
        <v>0</v>
      </c>
      <c r="R10" s="38">
        <f>SUMIF(Data!$A:$A,Summary!E10,Data!$M:$M)</f>
        <v>0</v>
      </c>
      <c r="S10" s="38">
        <f>SUMIF(Data!$A:$A,Summary!F10,Data!$M:$M)</f>
        <v>0</v>
      </c>
      <c r="T10" s="38">
        <f>SUMIF(Data!$A:$A,Summary!G10,Data!$M:$M)</f>
        <v>0</v>
      </c>
      <c r="U10" s="38">
        <f>SUMIF(Data!$A:$A,Summary!H10,Data!$M:$M)</f>
        <v>0</v>
      </c>
      <c r="V10" s="38">
        <f>SUMIF(Data!$A:$A,Summary!I10,Data!$M:$M)</f>
        <v>0</v>
      </c>
      <c r="W10" s="38">
        <f>SUMIF(Data!$A:$A,Summary!J10,Data!$M:$M)</f>
        <v>0</v>
      </c>
      <c r="X10" s="38">
        <f>SUMIF(Data!$A:$A,Summary!K10,Data!$M:$M)</f>
        <v>0</v>
      </c>
      <c r="AB10" s="17" t="s">
        <v>316</v>
      </c>
      <c r="AC10" s="17" t="s">
        <v>1084</v>
      </c>
      <c r="AD10" s="16"/>
      <c r="AE10" s="17" t="s">
        <v>317</v>
      </c>
      <c r="AF10" s="17" t="s">
        <v>318</v>
      </c>
      <c r="AG10" s="17" t="s">
        <v>319</v>
      </c>
      <c r="AH10" s="19">
        <v>43322.500722351702</v>
      </c>
    </row>
    <row r="11" spans="1:34" x14ac:dyDescent="0.55000000000000004">
      <c r="A11" t="str">
        <f t="shared" si="2"/>
        <v>MarchFebruaryChina - DECI NC</v>
      </c>
      <c r="B11" t="str">
        <f t="shared" si="3"/>
        <v>MarchMarchChina - DECI NC</v>
      </c>
      <c r="C11" t="str">
        <f t="shared" si="4"/>
        <v>MarchAprilChina - DECI NC</v>
      </c>
      <c r="D11" t="str">
        <f t="shared" si="5"/>
        <v>MarchMayChina - DECI NC</v>
      </c>
      <c r="E11" t="str">
        <f t="shared" si="6"/>
        <v>MarchJuneChina - DECI NC</v>
      </c>
      <c r="F11" t="str">
        <f t="shared" si="7"/>
        <v>MarchJulyChina - DECI NC</v>
      </c>
      <c r="G11" t="str">
        <f t="shared" si="8"/>
        <v>MarchAugustChina - DECI NC</v>
      </c>
      <c r="H11" t="str">
        <f t="shared" si="9"/>
        <v>MarchSeptemberChina - DECI NC</v>
      </c>
      <c r="I11" t="str">
        <f t="shared" si="10"/>
        <v>MarchOctoberChina - DECI NC</v>
      </c>
      <c r="J11" t="str">
        <f t="shared" si="11"/>
        <v>MarchNovemberChina - DECI NC</v>
      </c>
      <c r="K11" t="str">
        <f t="shared" si="12"/>
        <v>MarchDecemberChina - DECI NC</v>
      </c>
      <c r="L11" t="s">
        <v>301</v>
      </c>
      <c r="M11" t="s">
        <v>97</v>
      </c>
      <c r="N11" s="38">
        <f>SUMIF(Data!$A:$A,Summary!A11,Data!$M:$M)</f>
        <v>0</v>
      </c>
      <c r="O11" s="38">
        <f>SUMIF(Data!$A:$A,Summary!B11,Data!$M:$M)</f>
        <v>0</v>
      </c>
      <c r="P11" s="38">
        <f>SUMIF(Data!$A:$A,Summary!C11,Data!$M:$M)</f>
        <v>0</v>
      </c>
      <c r="Q11" s="38">
        <f>SUMIF(Data!$A:$A,Summary!D11,Data!$M:$M)</f>
        <v>0</v>
      </c>
      <c r="R11" s="38">
        <f>SUMIF(Data!$A:$A,Summary!E11,Data!$M:$M)</f>
        <v>0</v>
      </c>
      <c r="S11" s="38">
        <f>SUMIF(Data!$A:$A,Summary!F11,Data!$M:$M)</f>
        <v>0</v>
      </c>
      <c r="T11" s="38">
        <f>SUMIF(Data!$A:$A,Summary!G11,Data!$M:$M)</f>
        <v>0</v>
      </c>
      <c r="U11" s="38">
        <f>SUMIF(Data!$A:$A,Summary!H11,Data!$M:$M)</f>
        <v>0</v>
      </c>
      <c r="V11" s="38">
        <f>SUMIF(Data!$A:$A,Summary!I11,Data!$M:$M)</f>
        <v>0</v>
      </c>
      <c r="W11" s="38">
        <f>SUMIF(Data!$A:$A,Summary!J11,Data!$M:$M)</f>
        <v>0</v>
      </c>
      <c r="X11" s="38">
        <f>SUMIF(Data!$A:$A,Summary!K11,Data!$M:$M)</f>
        <v>0</v>
      </c>
      <c r="AB11" s="17" t="s">
        <v>320</v>
      </c>
      <c r="AC11" s="17" t="s">
        <v>321</v>
      </c>
      <c r="AD11" s="16"/>
      <c r="AE11" s="17" t="s">
        <v>322</v>
      </c>
      <c r="AF11" s="20" t="s">
        <v>23</v>
      </c>
      <c r="AG11" s="16"/>
      <c r="AH11" s="16"/>
    </row>
    <row r="12" spans="1:34" x14ac:dyDescent="0.55000000000000004">
      <c r="A12" t="str">
        <f t="shared" si="2"/>
        <v>MarchFebruaryChina - Flex IL</v>
      </c>
      <c r="B12" t="str">
        <f t="shared" si="3"/>
        <v>MarchMarchChina - Flex IL</v>
      </c>
      <c r="C12" t="str">
        <f t="shared" si="4"/>
        <v>MarchAprilChina - Flex IL</v>
      </c>
      <c r="D12" t="str">
        <f t="shared" si="5"/>
        <v>MarchMayChina - Flex IL</v>
      </c>
      <c r="E12" t="str">
        <f t="shared" si="6"/>
        <v>MarchJuneChina - Flex IL</v>
      </c>
      <c r="F12" t="str">
        <f t="shared" si="7"/>
        <v>MarchJulyChina - Flex IL</v>
      </c>
      <c r="G12" t="str">
        <f t="shared" si="8"/>
        <v>MarchAugustChina - Flex IL</v>
      </c>
      <c r="H12" t="str">
        <f t="shared" si="9"/>
        <v>MarchSeptemberChina - Flex IL</v>
      </c>
      <c r="I12" t="str">
        <f t="shared" si="10"/>
        <v>MarchOctoberChina - Flex IL</v>
      </c>
      <c r="J12" t="str">
        <f t="shared" si="11"/>
        <v>MarchNovemberChina - Flex IL</v>
      </c>
      <c r="K12" t="str">
        <f t="shared" si="12"/>
        <v>MarchDecemberChina - Flex IL</v>
      </c>
      <c r="L12" t="s">
        <v>301</v>
      </c>
      <c r="M12" t="s">
        <v>886</v>
      </c>
      <c r="N12" s="38">
        <f>SUMIF(Data!$A:$A,Summary!A12,Data!$M:$M)</f>
        <v>0</v>
      </c>
      <c r="O12" s="38">
        <f>SUMIF(Data!$A:$A,Summary!B12,Data!$M:$M)</f>
        <v>0</v>
      </c>
      <c r="P12" s="38">
        <f>SUMIF(Data!$A:$A,Summary!C12,Data!$M:$M)</f>
        <v>0</v>
      </c>
      <c r="Q12" s="38">
        <f>SUMIF(Data!$A:$A,Summary!D12,Data!$M:$M)</f>
        <v>0</v>
      </c>
      <c r="R12" s="38">
        <f>SUMIF(Data!$A:$A,Summary!E12,Data!$M:$M)</f>
        <v>0</v>
      </c>
      <c r="S12" s="38">
        <f>SUMIF(Data!$A:$A,Summary!F12,Data!$M:$M)</f>
        <v>0</v>
      </c>
      <c r="T12" s="38">
        <f>SUMIF(Data!$A:$A,Summary!G12,Data!$M:$M)</f>
        <v>0</v>
      </c>
      <c r="U12" s="38">
        <f>SUMIF(Data!$A:$A,Summary!H12,Data!$M:$M)</f>
        <v>0</v>
      </c>
      <c r="V12" s="38">
        <f>SUMIF(Data!$A:$A,Summary!I12,Data!$M:$M)</f>
        <v>0</v>
      </c>
      <c r="W12" s="38">
        <f>SUMIF(Data!$A:$A,Summary!J12,Data!$M:$M)</f>
        <v>0</v>
      </c>
      <c r="X12" s="38">
        <f>SUMIF(Data!$A:$A,Summary!K12,Data!$M:$M)</f>
        <v>0</v>
      </c>
      <c r="AB12" s="21" t="s">
        <v>7</v>
      </c>
      <c r="AC12" s="21" t="s">
        <v>0</v>
      </c>
      <c r="AD12" s="21" t="s">
        <v>5</v>
      </c>
      <c r="AE12" s="22" t="s">
        <v>323</v>
      </c>
      <c r="AF12" s="22" t="s">
        <v>324</v>
      </c>
      <c r="AG12" s="22" t="s">
        <v>325</v>
      </c>
      <c r="AH12" s="22" t="s">
        <v>326</v>
      </c>
    </row>
    <row r="13" spans="1:34" x14ac:dyDescent="0.55000000000000004">
      <c r="A13" t="str">
        <f t="shared" si="2"/>
        <v>MarchFebruaryChina - Phillips WI</v>
      </c>
      <c r="B13" t="str">
        <f t="shared" si="3"/>
        <v>MarchMarchChina - Phillips WI</v>
      </c>
      <c r="C13" t="str">
        <f t="shared" si="4"/>
        <v>MarchAprilChina - Phillips WI</v>
      </c>
      <c r="D13" t="str">
        <f t="shared" si="5"/>
        <v>MarchMayChina - Phillips WI</v>
      </c>
      <c r="E13" t="str">
        <f t="shared" si="6"/>
        <v>MarchJuneChina - Phillips WI</v>
      </c>
      <c r="F13" t="str">
        <f t="shared" si="7"/>
        <v>MarchJulyChina - Phillips WI</v>
      </c>
      <c r="G13" t="str">
        <f t="shared" si="8"/>
        <v>MarchAugustChina - Phillips WI</v>
      </c>
      <c r="H13" t="str">
        <f t="shared" si="9"/>
        <v>MarchSeptemberChina - Phillips WI</v>
      </c>
      <c r="I13" t="str">
        <f t="shared" si="10"/>
        <v>MarchOctoberChina - Phillips WI</v>
      </c>
      <c r="J13" t="str">
        <f t="shared" si="11"/>
        <v>MarchNovemberChina - Phillips WI</v>
      </c>
      <c r="K13" t="str">
        <f t="shared" si="12"/>
        <v>MarchDecemberChina - Phillips WI</v>
      </c>
      <c r="L13" t="s">
        <v>301</v>
      </c>
      <c r="M13" t="s">
        <v>687</v>
      </c>
      <c r="N13" s="38">
        <f>SUMIF(Data!$A:$A,Summary!A13,Data!$M:$M)</f>
        <v>0</v>
      </c>
      <c r="O13" s="38">
        <f>SUMIF(Data!$A:$A,Summary!B13,Data!$M:$M)</f>
        <v>0</v>
      </c>
      <c r="P13" s="38">
        <f>SUMIF(Data!$A:$A,Summary!C13,Data!$M:$M)</f>
        <v>0</v>
      </c>
      <c r="Q13" s="38">
        <f>SUMIF(Data!$A:$A,Summary!D13,Data!$M:$M)</f>
        <v>0</v>
      </c>
      <c r="R13" s="38">
        <f>SUMIF(Data!$A:$A,Summary!E13,Data!$M:$M)</f>
        <v>0</v>
      </c>
      <c r="S13" s="38">
        <f>SUMIF(Data!$A:$A,Summary!F13,Data!$M:$M)</f>
        <v>0</v>
      </c>
      <c r="T13" s="38">
        <f>SUMIF(Data!$A:$A,Summary!G13,Data!$M:$M)</f>
        <v>0</v>
      </c>
      <c r="U13" s="38">
        <f>SUMIF(Data!$A:$A,Summary!H13,Data!$M:$M)</f>
        <v>0</v>
      </c>
      <c r="V13" s="38">
        <f>SUMIF(Data!$A:$A,Summary!I13,Data!$M:$M)</f>
        <v>0</v>
      </c>
      <c r="W13" s="38">
        <f>SUMIF(Data!$A:$A,Summary!J13,Data!$M:$M)</f>
        <v>0</v>
      </c>
      <c r="X13" s="38">
        <f>SUMIF(Data!$A:$A,Summary!K13,Data!$M:$M)</f>
        <v>0</v>
      </c>
      <c r="AB13" s="17" t="s">
        <v>26</v>
      </c>
      <c r="AC13" s="17" t="s">
        <v>327</v>
      </c>
      <c r="AD13" s="17" t="s">
        <v>328</v>
      </c>
      <c r="AE13" s="41">
        <v>3170723.55</v>
      </c>
      <c r="AF13" s="41">
        <v>491441.76</v>
      </c>
      <c r="AG13" s="41">
        <v>0</v>
      </c>
      <c r="AH13" s="41">
        <v>3662165.31</v>
      </c>
    </row>
    <row r="14" spans="1:34" x14ac:dyDescent="0.55000000000000004">
      <c r="A14" t="str">
        <f t="shared" si="2"/>
        <v>MarchFebruaryChina - San Francisco</v>
      </c>
      <c r="B14" t="str">
        <f t="shared" si="3"/>
        <v>MarchMarchChina - San Francisco</v>
      </c>
      <c r="C14" t="str">
        <f t="shared" si="4"/>
        <v>MarchAprilChina - San Francisco</v>
      </c>
      <c r="D14" t="str">
        <f t="shared" si="5"/>
        <v>MarchMayChina - San Francisco</v>
      </c>
      <c r="E14" t="str">
        <f t="shared" si="6"/>
        <v>MarchJuneChina - San Francisco</v>
      </c>
      <c r="F14" t="str">
        <f t="shared" si="7"/>
        <v>MarchJulyChina - San Francisco</v>
      </c>
      <c r="G14" t="str">
        <f t="shared" si="8"/>
        <v>MarchAugustChina - San Francisco</v>
      </c>
      <c r="H14" t="str">
        <f t="shared" si="9"/>
        <v>MarchSeptemberChina - San Francisco</v>
      </c>
      <c r="I14" t="str">
        <f t="shared" si="10"/>
        <v>MarchOctoberChina - San Francisco</v>
      </c>
      <c r="J14" t="str">
        <f t="shared" si="11"/>
        <v>MarchNovemberChina - San Francisco</v>
      </c>
      <c r="K14" t="str">
        <f t="shared" si="12"/>
        <v>MarchDecemberChina - San Francisco</v>
      </c>
      <c r="L14" t="s">
        <v>301</v>
      </c>
      <c r="M14" t="s">
        <v>1077</v>
      </c>
      <c r="N14" s="38">
        <f>SUMIF(Data!$A:$A,Summary!A14,Data!$M:$M)</f>
        <v>0</v>
      </c>
      <c r="O14" s="38">
        <f>SUMIF(Data!$A:$A,Summary!B14,Data!$M:$M)</f>
        <v>0</v>
      </c>
      <c r="P14" s="38">
        <f>SUMIF(Data!$A:$A,Summary!C14,Data!$M:$M)</f>
        <v>0</v>
      </c>
      <c r="Q14" s="38">
        <f>SUMIF(Data!$A:$A,Summary!D14,Data!$M:$M)</f>
        <v>0</v>
      </c>
      <c r="R14" s="38">
        <f>SUMIF(Data!$A:$A,Summary!E14,Data!$M:$M)</f>
        <v>0</v>
      </c>
      <c r="S14" s="38">
        <f>SUMIF(Data!$A:$A,Summary!F14,Data!$M:$M)</f>
        <v>0</v>
      </c>
      <c r="T14" s="38">
        <f>SUMIF(Data!$A:$A,Summary!G14,Data!$M:$M)</f>
        <v>0</v>
      </c>
      <c r="U14" s="38">
        <f>SUMIF(Data!$A:$A,Summary!H14,Data!$M:$M)</f>
        <v>0</v>
      </c>
      <c r="V14" s="38">
        <f>SUMIF(Data!$A:$A,Summary!I14,Data!$M:$M)</f>
        <v>0</v>
      </c>
      <c r="W14" s="38">
        <f>SUMIF(Data!$A:$A,Summary!J14,Data!$M:$M)</f>
        <v>0</v>
      </c>
      <c r="X14" s="38">
        <f>SUMIF(Data!$A:$A,Summary!K14,Data!$M:$M)</f>
        <v>0</v>
      </c>
      <c r="AB14" s="17" t="s">
        <v>154</v>
      </c>
      <c r="AC14" s="17" t="s">
        <v>327</v>
      </c>
      <c r="AD14" s="17" t="s">
        <v>20</v>
      </c>
      <c r="AE14" s="41">
        <v>855083.11</v>
      </c>
      <c r="AF14" s="41">
        <v>730453.14</v>
      </c>
      <c r="AG14" s="41">
        <v>87693.64</v>
      </c>
      <c r="AH14" s="41">
        <v>1497842.61</v>
      </c>
    </row>
    <row r="15" spans="1:34" x14ac:dyDescent="0.55000000000000004">
      <c r="A15" t="str">
        <f t="shared" si="2"/>
        <v>MarchFebruaryDCL KY - Canada</v>
      </c>
      <c r="B15" t="str">
        <f t="shared" si="3"/>
        <v>MarchMarchDCL KY - Canada</v>
      </c>
      <c r="C15" t="str">
        <f t="shared" si="4"/>
        <v>MarchAprilDCL KY - Canada</v>
      </c>
      <c r="D15" t="str">
        <f t="shared" si="5"/>
        <v>MarchMayDCL KY - Canada</v>
      </c>
      <c r="E15" t="str">
        <f t="shared" si="6"/>
        <v>MarchJuneDCL KY - Canada</v>
      </c>
      <c r="F15" t="str">
        <f t="shared" si="7"/>
        <v>MarchJulyDCL KY - Canada</v>
      </c>
      <c r="G15" t="str">
        <f t="shared" si="8"/>
        <v>MarchAugustDCL KY - Canada</v>
      </c>
      <c r="H15" t="str">
        <f t="shared" si="9"/>
        <v>MarchSeptemberDCL KY - Canada</v>
      </c>
      <c r="I15" t="str">
        <f t="shared" si="10"/>
        <v>MarchOctoberDCL KY - Canada</v>
      </c>
      <c r="J15" t="str">
        <f t="shared" si="11"/>
        <v>MarchNovemberDCL KY - Canada</v>
      </c>
      <c r="K15" t="str">
        <f t="shared" si="12"/>
        <v>MarchDecemberDCL KY - Canada</v>
      </c>
      <c r="L15" t="s">
        <v>301</v>
      </c>
      <c r="M15" s="3" t="s">
        <v>1086</v>
      </c>
      <c r="N15" s="38">
        <f>SUMIF(Data!$A:$A,Summary!A15,Data!$M:$M)</f>
        <v>0</v>
      </c>
      <c r="O15" s="38">
        <f>SUMIF(Data!$A:$A,Summary!B15,Data!$M:$M)</f>
        <v>0</v>
      </c>
      <c r="P15" s="38">
        <f>SUMIF(Data!$A:$A,Summary!C15,Data!$M:$M)</f>
        <v>0</v>
      </c>
      <c r="Q15" s="38">
        <f>SUMIF(Data!$A:$A,Summary!D15,Data!$M:$M)</f>
        <v>0</v>
      </c>
      <c r="R15" s="38">
        <f>SUMIF(Data!$A:$A,Summary!E15,Data!$M:$M)</f>
        <v>0</v>
      </c>
      <c r="S15" s="38">
        <f>SUMIF(Data!$A:$A,Summary!F15,Data!$M:$M)</f>
        <v>0</v>
      </c>
      <c r="T15" s="38">
        <f>SUMIF(Data!$A:$A,Summary!G15,Data!$M:$M)</f>
        <v>0</v>
      </c>
      <c r="U15" s="38">
        <f>SUMIF(Data!$A:$A,Summary!H15,Data!$M:$M)</f>
        <v>0</v>
      </c>
      <c r="V15" s="38">
        <f>SUMIF(Data!$A:$A,Summary!I15,Data!$M:$M)</f>
        <v>0</v>
      </c>
      <c r="W15" s="38">
        <f>SUMIF(Data!$A:$A,Summary!J15,Data!$M:$M)</f>
        <v>0</v>
      </c>
      <c r="X15" s="38">
        <f>SUMIF(Data!$A:$A,Summary!K15,Data!$M:$M)</f>
        <v>0</v>
      </c>
      <c r="AB15" s="16"/>
      <c r="AC15" s="16"/>
      <c r="AD15" s="23" t="s">
        <v>329</v>
      </c>
      <c r="AE15" s="42">
        <f>SUM(AE13:AE14)</f>
        <v>4025806.6599999997</v>
      </c>
      <c r="AF15" s="42">
        <f t="shared" ref="AF15:AH15" si="15">SUM(AF13:AF14)</f>
        <v>1221894.8999999999</v>
      </c>
      <c r="AG15" s="42">
        <f t="shared" si="15"/>
        <v>87693.64</v>
      </c>
      <c r="AH15" s="42">
        <f t="shared" si="15"/>
        <v>5160007.92</v>
      </c>
    </row>
    <row r="16" spans="1:34" x14ac:dyDescent="0.55000000000000004">
      <c r="A16" t="str">
        <f t="shared" si="2"/>
        <v>MarchFebruaryDECI NC - DCL KY</v>
      </c>
      <c r="B16" t="str">
        <f t="shared" si="3"/>
        <v>MarchMarchDECI NC - DCL KY</v>
      </c>
      <c r="C16" t="str">
        <f t="shared" si="4"/>
        <v>MarchAprilDECI NC - DCL KY</v>
      </c>
      <c r="D16" t="str">
        <f t="shared" si="5"/>
        <v>MarchMayDECI NC - DCL KY</v>
      </c>
      <c r="E16" t="str">
        <f t="shared" si="6"/>
        <v>MarchJuneDECI NC - DCL KY</v>
      </c>
      <c r="F16" t="str">
        <f t="shared" si="7"/>
        <v>MarchJulyDECI NC - DCL KY</v>
      </c>
      <c r="G16" t="str">
        <f t="shared" si="8"/>
        <v>MarchAugustDECI NC - DCL KY</v>
      </c>
      <c r="H16" t="str">
        <f t="shared" si="9"/>
        <v>MarchSeptemberDECI NC - DCL KY</v>
      </c>
      <c r="I16" t="str">
        <f t="shared" si="10"/>
        <v>MarchOctoberDECI NC - DCL KY</v>
      </c>
      <c r="J16" t="str">
        <f t="shared" si="11"/>
        <v>MarchNovemberDECI NC - DCL KY</v>
      </c>
      <c r="K16" t="str">
        <f t="shared" si="12"/>
        <v>MarchDecemberDECI NC - DCL KY</v>
      </c>
      <c r="L16" t="s">
        <v>301</v>
      </c>
      <c r="M16" t="s">
        <v>178</v>
      </c>
      <c r="N16" s="38">
        <f>SUMIF(Data!$A:$A,Summary!A16,Data!$M:$M)</f>
        <v>0</v>
      </c>
      <c r="O16" s="38">
        <f>SUMIF(Data!$A:$A,Summary!B16,Data!$M:$M)</f>
        <v>0</v>
      </c>
      <c r="P16" s="38">
        <f>SUMIF(Data!$A:$A,Summary!C16,Data!$M:$M)</f>
        <v>0</v>
      </c>
      <c r="Q16" s="38">
        <f>SUMIF(Data!$A:$A,Summary!D16,Data!$M:$M)</f>
        <v>0</v>
      </c>
      <c r="R16" s="38">
        <f>SUMIF(Data!$A:$A,Summary!E16,Data!$M:$M)</f>
        <v>0</v>
      </c>
      <c r="S16" s="38">
        <f>SUMIF(Data!$A:$A,Summary!F16,Data!$M:$M)</f>
        <v>0</v>
      </c>
      <c r="T16" s="38">
        <f>SUMIF(Data!$A:$A,Summary!G16,Data!$M:$M)</f>
        <v>0</v>
      </c>
      <c r="U16" s="38">
        <f>SUMIF(Data!$A:$A,Summary!H16,Data!$M:$M)</f>
        <v>0</v>
      </c>
      <c r="V16" s="38">
        <f>SUMIF(Data!$A:$A,Summary!I16,Data!$M:$M)</f>
        <v>0</v>
      </c>
      <c r="W16" s="38">
        <f>SUMIF(Data!$A:$A,Summary!J16,Data!$M:$M)</f>
        <v>0</v>
      </c>
      <c r="X16" s="38">
        <f>SUMIF(Data!$A:$A,Summary!K16,Data!$M:$M)</f>
        <v>0</v>
      </c>
      <c r="AE16" s="43"/>
      <c r="AF16" s="44">
        <f>AF15-AG15</f>
        <v>1134201.26</v>
      </c>
      <c r="AG16" s="43"/>
      <c r="AH16" s="43"/>
    </row>
    <row r="17" spans="1:34" x14ac:dyDescent="0.55000000000000004">
      <c r="A17" t="str">
        <f t="shared" si="2"/>
        <v>MarchFebruaryGreensboro NC - Phillips WI</v>
      </c>
      <c r="B17" t="str">
        <f t="shared" si="3"/>
        <v>MarchMarchGreensboro NC - Phillips WI</v>
      </c>
      <c r="C17" t="str">
        <f t="shared" si="4"/>
        <v>MarchAprilGreensboro NC - Phillips WI</v>
      </c>
      <c r="D17" t="str">
        <f t="shared" si="5"/>
        <v>MarchMayGreensboro NC - Phillips WI</v>
      </c>
      <c r="E17" t="str">
        <f t="shared" si="6"/>
        <v>MarchJuneGreensboro NC - Phillips WI</v>
      </c>
      <c r="F17" t="str">
        <f t="shared" si="7"/>
        <v>MarchJulyGreensboro NC - Phillips WI</v>
      </c>
      <c r="G17" t="str">
        <f t="shared" si="8"/>
        <v>MarchAugustGreensboro NC - Phillips WI</v>
      </c>
      <c r="H17" t="str">
        <f t="shared" si="9"/>
        <v>MarchSeptemberGreensboro NC - Phillips WI</v>
      </c>
      <c r="I17" t="str">
        <f t="shared" si="10"/>
        <v>MarchOctoberGreensboro NC - Phillips WI</v>
      </c>
      <c r="J17" t="str">
        <f t="shared" si="11"/>
        <v>MarchNovemberGreensboro NC - Phillips WI</v>
      </c>
      <c r="K17" t="str">
        <f t="shared" si="12"/>
        <v>MarchDecemberGreensboro NC - Phillips WI</v>
      </c>
      <c r="L17" t="s">
        <v>301</v>
      </c>
      <c r="M17" t="s">
        <v>155</v>
      </c>
      <c r="N17" s="38">
        <f>SUMIF(Data!$A:$A,Summary!A17,Data!$M:$M)</f>
        <v>0</v>
      </c>
      <c r="O17" s="38">
        <f>SUMIF(Data!$A:$A,Summary!B17,Data!$M:$M)</f>
        <v>3122.8</v>
      </c>
      <c r="P17" s="38">
        <f>SUMIF(Data!$A:$A,Summary!C17,Data!$M:$M)</f>
        <v>0</v>
      </c>
      <c r="Q17" s="38">
        <f>SUMIF(Data!$A:$A,Summary!D17,Data!$M:$M)</f>
        <v>0</v>
      </c>
      <c r="R17" s="38">
        <f>SUMIF(Data!$A:$A,Summary!E17,Data!$M:$M)</f>
        <v>0</v>
      </c>
      <c r="S17" s="38">
        <f>SUMIF(Data!$A:$A,Summary!F17,Data!$M:$M)</f>
        <v>0</v>
      </c>
      <c r="T17" s="38">
        <f>SUMIF(Data!$A:$A,Summary!G17,Data!$M:$M)</f>
        <v>0</v>
      </c>
      <c r="U17" s="38">
        <f>SUMIF(Data!$A:$A,Summary!H17,Data!$M:$M)</f>
        <v>0</v>
      </c>
      <c r="V17" s="38">
        <f>SUMIF(Data!$A:$A,Summary!I17,Data!$M:$M)</f>
        <v>0</v>
      </c>
      <c r="W17" s="38">
        <f>SUMIF(Data!$A:$A,Summary!J17,Data!$M:$M)</f>
        <v>0</v>
      </c>
      <c r="X17" s="38">
        <f>SUMIF(Data!$A:$A,Summary!K17,Data!$M:$M)</f>
        <v>0</v>
      </c>
      <c r="AB17" s="15" t="s">
        <v>311</v>
      </c>
      <c r="AC17" s="16"/>
      <c r="AD17" s="16"/>
      <c r="AE17" s="17" t="s">
        <v>312</v>
      </c>
      <c r="AF17" s="17" t="s">
        <v>313</v>
      </c>
      <c r="AG17" s="17" t="s">
        <v>314</v>
      </c>
      <c r="AH17" s="18" t="s">
        <v>315</v>
      </c>
    </row>
    <row r="18" spans="1:34" x14ac:dyDescent="0.55000000000000004">
      <c r="A18" t="str">
        <f t="shared" si="2"/>
        <v>MarchFebruaryFlex IL - UK</v>
      </c>
      <c r="B18" t="str">
        <f t="shared" si="3"/>
        <v>MarchMarchFlex IL - UK</v>
      </c>
      <c r="C18" t="str">
        <f t="shared" si="4"/>
        <v>MarchAprilFlex IL - UK</v>
      </c>
      <c r="D18" t="str">
        <f t="shared" si="5"/>
        <v>MarchMayFlex IL - UK</v>
      </c>
      <c r="E18" t="str">
        <f t="shared" si="6"/>
        <v>MarchJuneFlex IL - UK</v>
      </c>
      <c r="F18" t="str">
        <f t="shared" si="7"/>
        <v>MarchJulyFlex IL - UK</v>
      </c>
      <c r="G18" t="str">
        <f t="shared" si="8"/>
        <v>MarchAugustFlex IL - UK</v>
      </c>
      <c r="H18" t="str">
        <f t="shared" si="9"/>
        <v>MarchSeptemberFlex IL - UK</v>
      </c>
      <c r="I18" t="str">
        <f t="shared" si="10"/>
        <v>MarchOctoberFlex IL - UK</v>
      </c>
      <c r="J18" t="str">
        <f t="shared" si="11"/>
        <v>MarchNovemberFlex IL - UK</v>
      </c>
      <c r="K18" t="str">
        <f t="shared" si="12"/>
        <v>MarchDecemberFlex IL - UK</v>
      </c>
      <c r="L18" t="s">
        <v>301</v>
      </c>
      <c r="M18" t="s">
        <v>895</v>
      </c>
      <c r="N18" s="38">
        <f>SUMIF(Data!$A:$A,Summary!A18,Data!$M:$M)</f>
        <v>0</v>
      </c>
      <c r="O18" s="38">
        <f>SUMIF(Data!$A:$A,Summary!B18,Data!$M:$M)</f>
        <v>0</v>
      </c>
      <c r="P18" s="38">
        <f>SUMIF(Data!$A:$A,Summary!C18,Data!$M:$M)</f>
        <v>0</v>
      </c>
      <c r="Q18" s="38">
        <f>SUMIF(Data!$A:$A,Summary!D18,Data!$M:$M)</f>
        <v>0</v>
      </c>
      <c r="R18" s="38">
        <f>SUMIF(Data!$A:$A,Summary!E18,Data!$M:$M)</f>
        <v>0</v>
      </c>
      <c r="S18" s="38">
        <f>SUMIF(Data!$A:$A,Summary!F18,Data!$M:$M)</f>
        <v>0</v>
      </c>
      <c r="T18" s="38">
        <f>SUMIF(Data!$A:$A,Summary!G18,Data!$M:$M)</f>
        <v>0</v>
      </c>
      <c r="U18" s="38">
        <f>SUMIF(Data!$A:$A,Summary!H18,Data!$M:$M)</f>
        <v>0</v>
      </c>
      <c r="V18" s="38">
        <f>SUMIF(Data!$A:$A,Summary!I18,Data!$M:$M)</f>
        <v>0</v>
      </c>
      <c r="W18" s="38">
        <f>SUMIF(Data!$A:$A,Summary!J18,Data!$M:$M)</f>
        <v>0</v>
      </c>
      <c r="X18" s="38">
        <f>SUMIF(Data!$A:$A,Summary!K18,Data!$M:$M)</f>
        <v>0</v>
      </c>
      <c r="AB18" s="17" t="s">
        <v>316</v>
      </c>
      <c r="AC18" s="17" t="s">
        <v>1084</v>
      </c>
      <c r="AD18" s="16"/>
      <c r="AE18" s="17" t="s">
        <v>317</v>
      </c>
      <c r="AF18" s="17" t="s">
        <v>318</v>
      </c>
      <c r="AG18" s="17" t="s">
        <v>319</v>
      </c>
      <c r="AH18" s="19">
        <v>43322.439812064702</v>
      </c>
    </row>
    <row r="19" spans="1:34" x14ac:dyDescent="0.55000000000000004">
      <c r="A19" t="str">
        <f t="shared" si="2"/>
        <v>MarchFebruaryFlorida - Phillips WI</v>
      </c>
      <c r="B19" t="str">
        <f t="shared" si="3"/>
        <v>MarchMarchFlorida - Phillips WI</v>
      </c>
      <c r="C19" t="str">
        <f t="shared" si="4"/>
        <v>MarchAprilFlorida - Phillips WI</v>
      </c>
      <c r="D19" t="str">
        <f t="shared" si="5"/>
        <v>MarchMayFlorida - Phillips WI</v>
      </c>
      <c r="E19" t="str">
        <f t="shared" si="6"/>
        <v>MarchJuneFlorida - Phillips WI</v>
      </c>
      <c r="F19" t="str">
        <f t="shared" si="7"/>
        <v>MarchJulyFlorida - Phillips WI</v>
      </c>
      <c r="G19" t="str">
        <f t="shared" si="8"/>
        <v>MarchAugustFlorida - Phillips WI</v>
      </c>
      <c r="H19" t="str">
        <f t="shared" si="9"/>
        <v>MarchSeptemberFlorida - Phillips WI</v>
      </c>
      <c r="I19" t="str">
        <f t="shared" si="10"/>
        <v>MarchOctoberFlorida - Phillips WI</v>
      </c>
      <c r="J19" t="str">
        <f t="shared" si="11"/>
        <v>MarchNovemberFlorida - Phillips WI</v>
      </c>
      <c r="K19" t="str">
        <f t="shared" si="12"/>
        <v>MarchDecemberFlorida - Phillips WI</v>
      </c>
      <c r="L19" t="s">
        <v>301</v>
      </c>
      <c r="M19" t="s">
        <v>933</v>
      </c>
      <c r="N19" s="38">
        <f>SUMIF(Data!$A:$A,Summary!A19,Data!$M:$M)</f>
        <v>0</v>
      </c>
      <c r="O19" s="38">
        <f>SUMIF(Data!$A:$A,Summary!B19,Data!$M:$M)</f>
        <v>0</v>
      </c>
      <c r="P19" s="38">
        <f>SUMIF(Data!$A:$A,Summary!C19,Data!$M:$M)</f>
        <v>0</v>
      </c>
      <c r="Q19" s="38">
        <f>SUMIF(Data!$A:$A,Summary!D19,Data!$M:$M)</f>
        <v>0</v>
      </c>
      <c r="R19" s="38">
        <f>SUMIF(Data!$A:$A,Summary!E19,Data!$M:$M)</f>
        <v>0</v>
      </c>
      <c r="S19" s="38">
        <f>SUMIF(Data!$A:$A,Summary!F19,Data!$M:$M)</f>
        <v>0</v>
      </c>
      <c r="T19" s="38">
        <f>SUMIF(Data!$A:$A,Summary!G19,Data!$M:$M)</f>
        <v>0</v>
      </c>
      <c r="U19" s="38">
        <f>SUMIF(Data!$A:$A,Summary!H19,Data!$M:$M)</f>
        <v>0</v>
      </c>
      <c r="V19" s="38">
        <f>SUMIF(Data!$A:$A,Summary!I19,Data!$M:$M)</f>
        <v>0</v>
      </c>
      <c r="W19" s="38">
        <f>SUMIF(Data!$A:$A,Summary!J19,Data!$M:$M)</f>
        <v>0</v>
      </c>
      <c r="X19" s="38">
        <f>SUMIF(Data!$A:$A,Summary!K19,Data!$M:$M)</f>
        <v>0</v>
      </c>
      <c r="AB19" s="17" t="s">
        <v>320</v>
      </c>
      <c r="AC19" s="17" t="s">
        <v>321</v>
      </c>
      <c r="AD19" s="16"/>
      <c r="AE19" s="17" t="s">
        <v>322</v>
      </c>
      <c r="AF19" s="20" t="s">
        <v>842</v>
      </c>
      <c r="AG19" s="16"/>
      <c r="AH19" s="16"/>
    </row>
    <row r="20" spans="1:34" x14ac:dyDescent="0.55000000000000004">
      <c r="A20" t="str">
        <f t="shared" si="2"/>
        <v>MarchFebruaryHong Kong - AFG NC</v>
      </c>
      <c r="B20" t="str">
        <f t="shared" si="3"/>
        <v>MarchMarchHong Kong - AFG NC</v>
      </c>
      <c r="C20" t="str">
        <f t="shared" si="4"/>
        <v>MarchAprilHong Kong - AFG NC</v>
      </c>
      <c r="D20" t="str">
        <f t="shared" si="5"/>
        <v>MarchMayHong Kong - AFG NC</v>
      </c>
      <c r="E20" t="str">
        <f t="shared" si="6"/>
        <v>MarchJuneHong Kong - AFG NC</v>
      </c>
      <c r="F20" t="str">
        <f t="shared" si="7"/>
        <v>MarchJulyHong Kong - AFG NC</v>
      </c>
      <c r="G20" t="str">
        <f t="shared" si="8"/>
        <v>MarchAugustHong Kong - AFG NC</v>
      </c>
      <c r="H20" t="str">
        <f t="shared" si="9"/>
        <v>MarchSeptemberHong Kong - AFG NC</v>
      </c>
      <c r="I20" t="str">
        <f t="shared" si="10"/>
        <v>MarchOctoberHong Kong - AFG NC</v>
      </c>
      <c r="J20" t="str">
        <f t="shared" si="11"/>
        <v>MarchNovemberHong Kong - AFG NC</v>
      </c>
      <c r="K20" t="str">
        <f t="shared" si="12"/>
        <v>MarchDecemberHong Kong - AFG NC</v>
      </c>
      <c r="L20" t="s">
        <v>301</v>
      </c>
      <c r="M20" t="s">
        <v>334</v>
      </c>
      <c r="N20" s="38">
        <f>SUMIF(Data!$A:$A,Summary!A20,Data!$M:$M)</f>
        <v>72</v>
      </c>
      <c r="O20" s="38">
        <f>SUMIF(Data!$A:$A,Summary!B20,Data!$M:$M)</f>
        <v>0</v>
      </c>
      <c r="P20" s="38">
        <f>SUMIF(Data!$A:$A,Summary!C20,Data!$M:$M)</f>
        <v>4398.8500000000004</v>
      </c>
      <c r="Q20" s="38">
        <f>SUMIF(Data!$A:$A,Summary!D20,Data!$M:$M)</f>
        <v>0</v>
      </c>
      <c r="R20" s="38">
        <f>SUMIF(Data!$A:$A,Summary!E20,Data!$M:$M)</f>
        <v>0</v>
      </c>
      <c r="S20" s="38">
        <f>SUMIF(Data!$A:$A,Summary!F20,Data!$M:$M)</f>
        <v>0</v>
      </c>
      <c r="T20" s="38">
        <f>SUMIF(Data!$A:$A,Summary!G20,Data!$M:$M)</f>
        <v>0</v>
      </c>
      <c r="U20" s="38">
        <f>SUMIF(Data!$A:$A,Summary!H20,Data!$M:$M)</f>
        <v>0</v>
      </c>
      <c r="V20" s="38">
        <f>SUMIF(Data!$A:$A,Summary!I20,Data!$M:$M)</f>
        <v>0</v>
      </c>
      <c r="W20" s="38">
        <f>SUMIF(Data!$A:$A,Summary!J20,Data!$M:$M)</f>
        <v>0</v>
      </c>
      <c r="X20" s="38">
        <f>SUMIF(Data!$A:$A,Summary!K20,Data!$M:$M)</f>
        <v>0</v>
      </c>
      <c r="AB20" s="21" t="s">
        <v>7</v>
      </c>
      <c r="AC20" s="21" t="s">
        <v>0</v>
      </c>
      <c r="AD20" s="21" t="s">
        <v>5</v>
      </c>
      <c r="AE20" s="22" t="s">
        <v>323</v>
      </c>
      <c r="AF20" s="22" t="s">
        <v>324</v>
      </c>
      <c r="AG20" s="22" t="s">
        <v>325</v>
      </c>
      <c r="AH20" s="22" t="s">
        <v>326</v>
      </c>
    </row>
    <row r="21" spans="1:34" x14ac:dyDescent="0.55000000000000004">
      <c r="A21" t="str">
        <f t="shared" si="2"/>
        <v>MarchFebruaryHong Kong - DCL KY</v>
      </c>
      <c r="B21" t="str">
        <f t="shared" si="3"/>
        <v>MarchMarchHong Kong - DCL KY</v>
      </c>
      <c r="C21" t="str">
        <f t="shared" si="4"/>
        <v>MarchAprilHong Kong - DCL KY</v>
      </c>
      <c r="D21" t="str">
        <f t="shared" si="5"/>
        <v>MarchMayHong Kong - DCL KY</v>
      </c>
      <c r="E21" t="str">
        <f t="shared" si="6"/>
        <v>MarchJuneHong Kong - DCL KY</v>
      </c>
      <c r="F21" t="str">
        <f t="shared" si="7"/>
        <v>MarchJulyHong Kong - DCL KY</v>
      </c>
      <c r="G21" t="str">
        <f t="shared" si="8"/>
        <v>MarchAugustHong Kong - DCL KY</v>
      </c>
      <c r="H21" t="str">
        <f t="shared" si="9"/>
        <v>MarchSeptemberHong Kong - DCL KY</v>
      </c>
      <c r="I21" t="str">
        <f t="shared" si="10"/>
        <v>MarchOctoberHong Kong - DCL KY</v>
      </c>
      <c r="J21" t="str">
        <f t="shared" si="11"/>
        <v>MarchNovemberHong Kong - DCL KY</v>
      </c>
      <c r="K21" t="str">
        <f t="shared" si="12"/>
        <v>MarchDecemberHong Kong - DCL KY</v>
      </c>
      <c r="L21" t="s">
        <v>301</v>
      </c>
      <c r="M21" t="s">
        <v>39</v>
      </c>
      <c r="N21" s="38">
        <f>SUMIF(Data!$A:$A,Summary!A21,Data!$M:$M)</f>
        <v>0</v>
      </c>
      <c r="O21" s="38">
        <f>SUMIF(Data!$A:$A,Summary!B21,Data!$M:$M)</f>
        <v>55750.409999999989</v>
      </c>
      <c r="P21" s="38">
        <f>SUMIF(Data!$A:$A,Summary!C21,Data!$M:$M)</f>
        <v>0</v>
      </c>
      <c r="Q21" s="38">
        <f>SUMIF(Data!$A:$A,Summary!D21,Data!$M:$M)</f>
        <v>0</v>
      </c>
      <c r="R21" s="38">
        <f>SUMIF(Data!$A:$A,Summary!E21,Data!$M:$M)</f>
        <v>0</v>
      </c>
      <c r="S21" s="38">
        <f>SUMIF(Data!$A:$A,Summary!F21,Data!$M:$M)</f>
        <v>0</v>
      </c>
      <c r="T21" s="38">
        <f>SUMIF(Data!$A:$A,Summary!G21,Data!$M:$M)</f>
        <v>0</v>
      </c>
      <c r="U21" s="38">
        <f>SUMIF(Data!$A:$A,Summary!H21,Data!$M:$M)</f>
        <v>0</v>
      </c>
      <c r="V21" s="38">
        <f>SUMIF(Data!$A:$A,Summary!I21,Data!$M:$M)</f>
        <v>0</v>
      </c>
      <c r="W21" s="38">
        <f>SUMIF(Data!$A:$A,Summary!J21,Data!$M:$M)</f>
        <v>0</v>
      </c>
      <c r="X21" s="38">
        <f>SUMIF(Data!$A:$A,Summary!K21,Data!$M:$M)</f>
        <v>0</v>
      </c>
      <c r="AB21" s="17" t="s">
        <v>26</v>
      </c>
      <c r="AC21" s="17" t="s">
        <v>327</v>
      </c>
      <c r="AD21" s="17" t="s">
        <v>328</v>
      </c>
      <c r="AE21" s="41">
        <v>3662165.31</v>
      </c>
      <c r="AF21" s="41">
        <v>100021.68</v>
      </c>
      <c r="AG21" s="41">
        <v>100021.68</v>
      </c>
      <c r="AH21" s="41">
        <v>3662165.31</v>
      </c>
    </row>
    <row r="22" spans="1:34" x14ac:dyDescent="0.55000000000000004">
      <c r="A22" t="str">
        <f t="shared" si="2"/>
        <v>MarchFebruaryHong Kong - DECI NC</v>
      </c>
      <c r="B22" t="str">
        <f t="shared" si="3"/>
        <v>MarchMarchHong Kong - DECI NC</v>
      </c>
      <c r="C22" t="str">
        <f t="shared" si="4"/>
        <v>MarchAprilHong Kong - DECI NC</v>
      </c>
      <c r="D22" t="str">
        <f t="shared" si="5"/>
        <v>MarchMayHong Kong - DECI NC</v>
      </c>
      <c r="E22" t="str">
        <f t="shared" si="6"/>
        <v>MarchJuneHong Kong - DECI NC</v>
      </c>
      <c r="F22" t="str">
        <f t="shared" si="7"/>
        <v>MarchJulyHong Kong - DECI NC</v>
      </c>
      <c r="G22" t="str">
        <f t="shared" si="8"/>
        <v>MarchAugustHong Kong - DECI NC</v>
      </c>
      <c r="H22" t="str">
        <f t="shared" si="9"/>
        <v>MarchSeptemberHong Kong - DECI NC</v>
      </c>
      <c r="I22" t="str">
        <f t="shared" si="10"/>
        <v>MarchOctoberHong Kong - DECI NC</v>
      </c>
      <c r="J22" t="str">
        <f t="shared" si="11"/>
        <v>MarchNovemberHong Kong - DECI NC</v>
      </c>
      <c r="K22" t="str">
        <f t="shared" si="12"/>
        <v>MarchDecemberHong Kong - DECI NC</v>
      </c>
      <c r="L22" t="s">
        <v>301</v>
      </c>
      <c r="M22" t="s">
        <v>92</v>
      </c>
      <c r="N22" s="38">
        <f>SUMIF(Data!$A:$A,Summary!A22,Data!$M:$M)</f>
        <v>0</v>
      </c>
      <c r="O22" s="38">
        <f>SUMIF(Data!$A:$A,Summary!B22,Data!$M:$M)</f>
        <v>58913.289999999994</v>
      </c>
      <c r="P22" s="38">
        <f>SUMIF(Data!$A:$A,Summary!C22,Data!$M:$M)</f>
        <v>0</v>
      </c>
      <c r="Q22" s="38">
        <f>SUMIF(Data!$A:$A,Summary!D22,Data!$M:$M)</f>
        <v>0</v>
      </c>
      <c r="R22" s="38">
        <f>SUMIF(Data!$A:$A,Summary!E22,Data!$M:$M)</f>
        <v>0</v>
      </c>
      <c r="S22" s="38">
        <f>SUMIF(Data!$A:$A,Summary!F22,Data!$M:$M)</f>
        <v>0</v>
      </c>
      <c r="T22" s="38">
        <f>SUMIF(Data!$A:$A,Summary!G22,Data!$M:$M)</f>
        <v>0</v>
      </c>
      <c r="U22" s="38">
        <f>SUMIF(Data!$A:$A,Summary!H22,Data!$M:$M)</f>
        <v>0</v>
      </c>
      <c r="V22" s="38">
        <f>SUMIF(Data!$A:$A,Summary!I22,Data!$M:$M)</f>
        <v>0</v>
      </c>
      <c r="W22" s="38">
        <f>SUMIF(Data!$A:$A,Summary!J22,Data!$M:$M)</f>
        <v>0</v>
      </c>
      <c r="X22" s="38">
        <f>SUMIF(Data!$A:$A,Summary!K22,Data!$M:$M)</f>
        <v>0</v>
      </c>
      <c r="AB22" s="17" t="s">
        <v>154</v>
      </c>
      <c r="AC22" s="17" t="s">
        <v>327</v>
      </c>
      <c r="AD22" s="17" t="s">
        <v>20</v>
      </c>
      <c r="AE22" s="41">
        <v>1497842.61</v>
      </c>
      <c r="AF22" s="41">
        <v>1388272.62</v>
      </c>
      <c r="AG22" s="41">
        <v>197141.27</v>
      </c>
      <c r="AH22" s="41">
        <v>2688973.96</v>
      </c>
    </row>
    <row r="23" spans="1:34" x14ac:dyDescent="0.55000000000000004">
      <c r="A23" t="str">
        <f t="shared" si="2"/>
        <v>MarchFebruaryHong Kong - Flex IL</v>
      </c>
      <c r="B23" t="str">
        <f t="shared" si="3"/>
        <v>MarchMarchHong Kong - Flex IL</v>
      </c>
      <c r="C23" t="str">
        <f t="shared" si="4"/>
        <v>MarchAprilHong Kong - Flex IL</v>
      </c>
      <c r="D23" t="str">
        <f t="shared" si="5"/>
        <v>MarchMayHong Kong - Flex IL</v>
      </c>
      <c r="E23" t="str">
        <f t="shared" si="6"/>
        <v>MarchJuneHong Kong - Flex IL</v>
      </c>
      <c r="F23" t="str">
        <f t="shared" si="7"/>
        <v>MarchJulyHong Kong - Flex IL</v>
      </c>
      <c r="G23" t="str">
        <f t="shared" si="8"/>
        <v>MarchAugustHong Kong - Flex IL</v>
      </c>
      <c r="H23" t="str">
        <f t="shared" si="9"/>
        <v>MarchSeptemberHong Kong - Flex IL</v>
      </c>
      <c r="I23" t="str">
        <f t="shared" si="10"/>
        <v>MarchOctoberHong Kong - Flex IL</v>
      </c>
      <c r="J23" t="str">
        <f t="shared" si="11"/>
        <v>MarchNovemberHong Kong - Flex IL</v>
      </c>
      <c r="K23" t="str">
        <f t="shared" si="12"/>
        <v>MarchDecemberHong Kong - Flex IL</v>
      </c>
      <c r="L23" t="s">
        <v>301</v>
      </c>
      <c r="M23" t="s">
        <v>111</v>
      </c>
      <c r="N23" s="38">
        <f>SUMIF(Data!$A:$A,Summary!A23,Data!$M:$M)</f>
        <v>0</v>
      </c>
      <c r="O23" s="38">
        <f>SUMIF(Data!$A:$A,Summary!B23,Data!$M:$M)</f>
        <v>0</v>
      </c>
      <c r="P23" s="38">
        <f>SUMIF(Data!$A:$A,Summary!C23,Data!$M:$M)</f>
        <v>0</v>
      </c>
      <c r="Q23" s="38">
        <f>SUMIF(Data!$A:$A,Summary!D23,Data!$M:$M)</f>
        <v>0</v>
      </c>
      <c r="R23" s="38">
        <f>SUMIF(Data!$A:$A,Summary!E23,Data!$M:$M)</f>
        <v>0</v>
      </c>
      <c r="S23" s="38">
        <f>SUMIF(Data!$A:$A,Summary!F23,Data!$M:$M)</f>
        <v>0</v>
      </c>
      <c r="T23" s="38">
        <f>SUMIF(Data!$A:$A,Summary!G23,Data!$M:$M)</f>
        <v>0</v>
      </c>
      <c r="U23" s="38">
        <f>SUMIF(Data!$A:$A,Summary!H23,Data!$M:$M)</f>
        <v>0</v>
      </c>
      <c r="V23" s="38">
        <f>SUMIF(Data!$A:$A,Summary!I23,Data!$M:$M)</f>
        <v>0</v>
      </c>
      <c r="W23" s="38">
        <f>SUMIF(Data!$A:$A,Summary!J23,Data!$M:$M)</f>
        <v>0</v>
      </c>
      <c r="X23" s="38">
        <f>SUMIF(Data!$A:$A,Summary!K23,Data!$M:$M)</f>
        <v>0</v>
      </c>
      <c r="AB23" s="16"/>
      <c r="AC23" s="16"/>
      <c r="AD23" s="23" t="s">
        <v>329</v>
      </c>
      <c r="AE23" s="42">
        <f>SUM(AE21:AE22)</f>
        <v>5160007.92</v>
      </c>
      <c r="AF23" s="42">
        <f t="shared" ref="AF23" si="16">SUM(AF21:AF22)</f>
        <v>1488294.3</v>
      </c>
      <c r="AG23" s="42">
        <f t="shared" ref="AG23" si="17">SUM(AG21:AG22)</f>
        <v>297162.94999999995</v>
      </c>
      <c r="AH23" s="42">
        <f t="shared" ref="AH23" si="18">SUM(AH21:AH22)</f>
        <v>6351139.2699999996</v>
      </c>
    </row>
    <row r="24" spans="1:34" x14ac:dyDescent="0.55000000000000004">
      <c r="A24" t="str">
        <f t="shared" si="2"/>
        <v>MarchFebruaryHong Kong - Phillips WI</v>
      </c>
      <c r="B24" t="str">
        <f t="shared" si="3"/>
        <v>MarchMarchHong Kong - Phillips WI</v>
      </c>
      <c r="C24" t="str">
        <f t="shared" si="4"/>
        <v>MarchAprilHong Kong - Phillips WI</v>
      </c>
      <c r="D24" t="str">
        <f t="shared" si="5"/>
        <v>MarchMayHong Kong - Phillips WI</v>
      </c>
      <c r="E24" t="str">
        <f t="shared" si="6"/>
        <v>MarchJuneHong Kong - Phillips WI</v>
      </c>
      <c r="F24" t="str">
        <f t="shared" si="7"/>
        <v>MarchJulyHong Kong - Phillips WI</v>
      </c>
      <c r="G24" t="str">
        <f t="shared" si="8"/>
        <v>MarchAugustHong Kong - Phillips WI</v>
      </c>
      <c r="H24" t="str">
        <f t="shared" si="9"/>
        <v>MarchSeptemberHong Kong - Phillips WI</v>
      </c>
      <c r="I24" t="str">
        <f t="shared" si="10"/>
        <v>MarchOctoberHong Kong - Phillips WI</v>
      </c>
      <c r="J24" t="str">
        <f t="shared" si="11"/>
        <v>MarchNovemberHong Kong - Phillips WI</v>
      </c>
      <c r="K24" t="str">
        <f t="shared" si="12"/>
        <v>MarchDecemberHong Kong - Phillips WI</v>
      </c>
      <c r="L24" t="s">
        <v>301</v>
      </c>
      <c r="M24" t="s">
        <v>65</v>
      </c>
      <c r="N24" s="38">
        <f>SUMIF(Data!$A:$A,Summary!A24,Data!$M:$M)</f>
        <v>0</v>
      </c>
      <c r="O24" s="38">
        <f>SUMIF(Data!$A:$A,Summary!B24,Data!$M:$M)</f>
        <v>0</v>
      </c>
      <c r="P24" s="38">
        <f>SUMIF(Data!$A:$A,Summary!C24,Data!$M:$M)</f>
        <v>0</v>
      </c>
      <c r="Q24" s="38">
        <f>SUMIF(Data!$A:$A,Summary!D24,Data!$M:$M)</f>
        <v>0</v>
      </c>
      <c r="R24" s="38">
        <f>SUMIF(Data!$A:$A,Summary!E24,Data!$M:$M)</f>
        <v>0</v>
      </c>
      <c r="S24" s="38">
        <f>SUMIF(Data!$A:$A,Summary!F24,Data!$M:$M)</f>
        <v>0</v>
      </c>
      <c r="T24" s="38">
        <f>SUMIF(Data!$A:$A,Summary!G24,Data!$M:$M)</f>
        <v>0</v>
      </c>
      <c r="U24" s="38">
        <f>SUMIF(Data!$A:$A,Summary!H24,Data!$M:$M)</f>
        <v>0</v>
      </c>
      <c r="V24" s="38">
        <f>SUMIF(Data!$A:$A,Summary!I24,Data!$M:$M)</f>
        <v>0</v>
      </c>
      <c r="W24" s="38">
        <f>SUMIF(Data!$A:$A,Summary!J24,Data!$M:$M)</f>
        <v>0</v>
      </c>
      <c r="X24" s="38">
        <f>SUMIF(Data!$A:$A,Summary!K24,Data!$M:$M)</f>
        <v>0</v>
      </c>
      <c r="AE24" s="43"/>
      <c r="AF24" s="44">
        <f>AF23-AG23</f>
        <v>1191131.3500000001</v>
      </c>
      <c r="AG24" s="43"/>
      <c r="AH24" s="43"/>
    </row>
    <row r="25" spans="1:34" x14ac:dyDescent="0.55000000000000004">
      <c r="A25" t="str">
        <f t="shared" si="2"/>
        <v>MarchFebruaryPhillips WI - DCL KY</v>
      </c>
      <c r="B25" t="str">
        <f t="shared" si="3"/>
        <v>MarchMarchPhillips WI - DCL KY</v>
      </c>
      <c r="C25" t="str">
        <f t="shared" si="4"/>
        <v>MarchAprilPhillips WI - DCL KY</v>
      </c>
      <c r="D25" t="str">
        <f t="shared" si="5"/>
        <v>MarchMayPhillips WI - DCL KY</v>
      </c>
      <c r="E25" t="str">
        <f t="shared" si="6"/>
        <v>MarchJunePhillips WI - DCL KY</v>
      </c>
      <c r="F25" t="str">
        <f t="shared" si="7"/>
        <v>MarchJulyPhillips WI - DCL KY</v>
      </c>
      <c r="G25" t="str">
        <f t="shared" si="8"/>
        <v>MarchAugustPhillips WI - DCL KY</v>
      </c>
      <c r="H25" t="str">
        <f t="shared" si="9"/>
        <v>MarchSeptemberPhillips WI - DCL KY</v>
      </c>
      <c r="I25" t="str">
        <f t="shared" si="10"/>
        <v>MarchOctoberPhillips WI - DCL KY</v>
      </c>
      <c r="J25" t="str">
        <f t="shared" si="11"/>
        <v>MarchNovemberPhillips WI - DCL KY</v>
      </c>
      <c r="K25" t="str">
        <f t="shared" si="12"/>
        <v>MarchDecemberPhillips WI - DCL KY</v>
      </c>
      <c r="L25" t="s">
        <v>301</v>
      </c>
      <c r="M25" t="s">
        <v>29</v>
      </c>
      <c r="N25" s="38">
        <f>SUMIF(Data!$A:$A,Summary!A25,Data!$M:$M)</f>
        <v>0</v>
      </c>
      <c r="O25" s="38">
        <f>SUMIF(Data!$A:$A,Summary!B25,Data!$M:$M)</f>
        <v>0</v>
      </c>
      <c r="P25" s="38">
        <f>SUMIF(Data!$A:$A,Summary!C25,Data!$M:$M)</f>
        <v>0</v>
      </c>
      <c r="Q25" s="38">
        <f>SUMIF(Data!$A:$A,Summary!D25,Data!$M:$M)</f>
        <v>0</v>
      </c>
      <c r="R25" s="38">
        <f>SUMIF(Data!$A:$A,Summary!E25,Data!$M:$M)</f>
        <v>0</v>
      </c>
      <c r="S25" s="38">
        <f>SUMIF(Data!$A:$A,Summary!F25,Data!$M:$M)</f>
        <v>0</v>
      </c>
      <c r="T25" s="38">
        <f>SUMIF(Data!$A:$A,Summary!G25,Data!$M:$M)</f>
        <v>0</v>
      </c>
      <c r="U25" s="38">
        <f>SUMIF(Data!$A:$A,Summary!H25,Data!$M:$M)</f>
        <v>0</v>
      </c>
      <c r="V25" s="38">
        <f>SUMIF(Data!$A:$A,Summary!I25,Data!$M:$M)</f>
        <v>0</v>
      </c>
      <c r="W25" s="38">
        <f>SUMIF(Data!$A:$A,Summary!J25,Data!$M:$M)</f>
        <v>0</v>
      </c>
      <c r="X25" s="38">
        <f>SUMIF(Data!$A:$A,Summary!K25,Data!$M:$M)</f>
        <v>0</v>
      </c>
      <c r="AB25" s="50" t="s">
        <v>311</v>
      </c>
      <c r="AC25" s="16"/>
      <c r="AD25" s="16"/>
      <c r="AE25" s="51" t="s">
        <v>312</v>
      </c>
      <c r="AF25" s="51" t="s">
        <v>313</v>
      </c>
      <c r="AG25" s="51" t="s">
        <v>314</v>
      </c>
      <c r="AH25" s="52" t="s">
        <v>315</v>
      </c>
    </row>
    <row r="26" spans="1:34" x14ac:dyDescent="0.55000000000000004">
      <c r="A26" t="str">
        <f t="shared" si="2"/>
        <v>MarchFebruarySan Francisco - Canada</v>
      </c>
      <c r="B26" t="str">
        <f t="shared" si="3"/>
        <v>MarchMarchSan Francisco - Canada</v>
      </c>
      <c r="C26" t="str">
        <f t="shared" si="4"/>
        <v>MarchAprilSan Francisco - Canada</v>
      </c>
      <c r="D26" t="str">
        <f t="shared" si="5"/>
        <v>MarchMaySan Francisco - Canada</v>
      </c>
      <c r="E26" t="str">
        <f t="shared" si="6"/>
        <v>MarchJuneSan Francisco - Canada</v>
      </c>
      <c r="F26" t="str">
        <f t="shared" si="7"/>
        <v>MarchJulySan Francisco - Canada</v>
      </c>
      <c r="G26" t="str">
        <f t="shared" si="8"/>
        <v>MarchAugustSan Francisco - Canada</v>
      </c>
      <c r="H26" t="str">
        <f t="shared" si="9"/>
        <v>MarchSeptemberSan Francisco - Canada</v>
      </c>
      <c r="I26" t="str">
        <f t="shared" si="10"/>
        <v>MarchOctoberSan Francisco - Canada</v>
      </c>
      <c r="J26" t="str">
        <f t="shared" si="11"/>
        <v>MarchNovemberSan Francisco - Canada</v>
      </c>
      <c r="K26" t="str">
        <f t="shared" si="12"/>
        <v>MarchDecemberSan Francisco - Canada</v>
      </c>
      <c r="L26" t="s">
        <v>301</v>
      </c>
      <c r="M26" t="s">
        <v>435</v>
      </c>
      <c r="N26" s="38">
        <f>SUMIF(Data!$A:$A,Summary!A26,Data!$M:$M)</f>
        <v>0</v>
      </c>
      <c r="O26" s="38">
        <f>SUMIF(Data!$A:$A,Summary!B26,Data!$M:$M)</f>
        <v>0</v>
      </c>
      <c r="P26" s="38">
        <f>SUMIF(Data!$A:$A,Summary!C26,Data!$M:$M)</f>
        <v>0</v>
      </c>
      <c r="Q26" s="38">
        <f>SUMIF(Data!$A:$A,Summary!D26,Data!$M:$M)</f>
        <v>0</v>
      </c>
      <c r="R26" s="38">
        <f>SUMIF(Data!$A:$A,Summary!E26,Data!$M:$M)</f>
        <v>0</v>
      </c>
      <c r="S26" s="38">
        <f>SUMIF(Data!$A:$A,Summary!F26,Data!$M:$M)</f>
        <v>0</v>
      </c>
      <c r="T26" s="38">
        <f>SUMIF(Data!$A:$A,Summary!G26,Data!$M:$M)</f>
        <v>0</v>
      </c>
      <c r="U26" s="38">
        <f>SUMIF(Data!$A:$A,Summary!H26,Data!$M:$M)</f>
        <v>0</v>
      </c>
      <c r="V26" s="38">
        <f>SUMIF(Data!$A:$A,Summary!I26,Data!$M:$M)</f>
        <v>0</v>
      </c>
      <c r="W26" s="38">
        <f>SUMIF(Data!$A:$A,Summary!J26,Data!$M:$M)</f>
        <v>0</v>
      </c>
      <c r="X26" s="38">
        <f>SUMIF(Data!$A:$A,Summary!K26,Data!$M:$M)</f>
        <v>0</v>
      </c>
      <c r="AB26" s="51" t="s">
        <v>316</v>
      </c>
      <c r="AC26" s="51" t="s">
        <v>1084</v>
      </c>
      <c r="AD26" s="16"/>
      <c r="AE26" s="51" t="s">
        <v>317</v>
      </c>
      <c r="AF26" s="51" t="s">
        <v>318</v>
      </c>
      <c r="AG26" s="51" t="s">
        <v>319</v>
      </c>
      <c r="AH26" s="53">
        <v>43367.421431517803</v>
      </c>
    </row>
    <row r="27" spans="1:34" x14ac:dyDescent="0.55000000000000004">
      <c r="A27" t="str">
        <f t="shared" si="2"/>
        <v>MarchFebruaryShanghai - DCL KY</v>
      </c>
      <c r="B27" t="str">
        <f t="shared" si="3"/>
        <v>MarchMarchShanghai - DCL KY</v>
      </c>
      <c r="C27" t="str">
        <f t="shared" si="4"/>
        <v>MarchAprilShanghai - DCL KY</v>
      </c>
      <c r="D27" t="str">
        <f t="shared" si="5"/>
        <v>MarchMayShanghai - DCL KY</v>
      </c>
      <c r="E27" t="str">
        <f t="shared" si="6"/>
        <v>MarchJuneShanghai - DCL KY</v>
      </c>
      <c r="F27" t="str">
        <f t="shared" si="7"/>
        <v>MarchJulyShanghai - DCL KY</v>
      </c>
      <c r="G27" t="str">
        <f t="shared" si="8"/>
        <v>MarchAugustShanghai - DCL KY</v>
      </c>
      <c r="H27" t="str">
        <f t="shared" si="9"/>
        <v>MarchSeptemberShanghai - DCL KY</v>
      </c>
      <c r="I27" t="str">
        <f t="shared" si="10"/>
        <v>MarchOctoberShanghai - DCL KY</v>
      </c>
      <c r="J27" t="str">
        <f t="shared" si="11"/>
        <v>MarchNovemberShanghai - DCL KY</v>
      </c>
      <c r="K27" t="str">
        <f t="shared" si="12"/>
        <v>MarchDecemberShanghai - DCL KY</v>
      </c>
      <c r="L27" t="s">
        <v>301</v>
      </c>
      <c r="M27" t="s">
        <v>44</v>
      </c>
      <c r="N27" s="38">
        <f>SUMIF(Data!$A:$A,Summary!A27,Data!$M:$M)</f>
        <v>0</v>
      </c>
      <c r="O27" s="38">
        <f>SUMIF(Data!$A:$A,Summary!B27,Data!$M:$M)</f>
        <v>0</v>
      </c>
      <c r="P27" s="38">
        <f>SUMIF(Data!$A:$A,Summary!C27,Data!$M:$M)</f>
        <v>0</v>
      </c>
      <c r="Q27" s="38">
        <f>SUMIF(Data!$A:$A,Summary!D27,Data!$M:$M)</f>
        <v>0</v>
      </c>
      <c r="R27" s="38">
        <f>SUMIF(Data!$A:$A,Summary!E27,Data!$M:$M)</f>
        <v>0</v>
      </c>
      <c r="S27" s="38">
        <f>SUMIF(Data!$A:$A,Summary!F27,Data!$M:$M)</f>
        <v>0</v>
      </c>
      <c r="T27" s="38">
        <f>SUMIF(Data!$A:$A,Summary!G27,Data!$M:$M)</f>
        <v>0</v>
      </c>
      <c r="U27" s="38">
        <f>SUMIF(Data!$A:$A,Summary!H27,Data!$M:$M)</f>
        <v>0</v>
      </c>
      <c r="V27" s="38">
        <f>SUMIF(Data!$A:$A,Summary!I27,Data!$M:$M)</f>
        <v>0</v>
      </c>
      <c r="W27" s="38">
        <f>SUMIF(Data!$A:$A,Summary!J27,Data!$M:$M)</f>
        <v>0</v>
      </c>
      <c r="X27" s="38">
        <f>SUMIF(Data!$A:$A,Summary!K27,Data!$M:$M)</f>
        <v>0</v>
      </c>
      <c r="AB27" s="51" t="s">
        <v>320</v>
      </c>
      <c r="AC27" s="51" t="s">
        <v>1408</v>
      </c>
      <c r="AD27" s="16"/>
      <c r="AE27" s="51" t="s">
        <v>322</v>
      </c>
      <c r="AF27" s="51" t="s">
        <v>1102</v>
      </c>
      <c r="AG27" s="16"/>
      <c r="AH27" s="16"/>
    </row>
    <row r="28" spans="1:34" x14ac:dyDescent="0.55000000000000004">
      <c r="A28" t="str">
        <f t="shared" si="2"/>
        <v>MarchFebruaryShanghai - DECI NC</v>
      </c>
      <c r="B28" t="str">
        <f t="shared" si="3"/>
        <v>MarchMarchShanghai - DECI NC</v>
      </c>
      <c r="C28" t="str">
        <f t="shared" si="4"/>
        <v>MarchAprilShanghai - DECI NC</v>
      </c>
      <c r="D28" t="str">
        <f t="shared" si="5"/>
        <v>MarchMayShanghai - DECI NC</v>
      </c>
      <c r="E28" t="str">
        <f t="shared" si="6"/>
        <v>MarchJuneShanghai - DECI NC</v>
      </c>
      <c r="F28" t="str">
        <f t="shared" si="7"/>
        <v>MarchJulyShanghai - DECI NC</v>
      </c>
      <c r="G28" t="str">
        <f t="shared" si="8"/>
        <v>MarchAugustShanghai - DECI NC</v>
      </c>
      <c r="H28" t="str">
        <f t="shared" si="9"/>
        <v>MarchSeptemberShanghai - DECI NC</v>
      </c>
      <c r="I28" t="str">
        <f t="shared" si="10"/>
        <v>MarchOctoberShanghai - DECI NC</v>
      </c>
      <c r="J28" t="str">
        <f t="shared" si="11"/>
        <v>MarchNovemberShanghai - DECI NC</v>
      </c>
      <c r="K28" t="str">
        <f t="shared" si="12"/>
        <v>MarchDecemberShanghai - DECI NC</v>
      </c>
      <c r="L28" t="s">
        <v>301</v>
      </c>
      <c r="M28" t="s">
        <v>50</v>
      </c>
      <c r="N28" s="38">
        <f>SUMIF(Data!$A:$A,Summary!A28,Data!$M:$M)</f>
        <v>0</v>
      </c>
      <c r="O28" s="38">
        <f>SUMIF(Data!$A:$A,Summary!B28,Data!$M:$M)</f>
        <v>0</v>
      </c>
      <c r="P28" s="38">
        <f>SUMIF(Data!$A:$A,Summary!C28,Data!$M:$M)</f>
        <v>0</v>
      </c>
      <c r="Q28" s="38">
        <f>SUMIF(Data!$A:$A,Summary!D28,Data!$M:$M)</f>
        <v>0</v>
      </c>
      <c r="R28" s="38">
        <f>SUMIF(Data!$A:$A,Summary!E28,Data!$M:$M)</f>
        <v>0</v>
      </c>
      <c r="S28" s="38">
        <f>SUMIF(Data!$A:$A,Summary!F28,Data!$M:$M)</f>
        <v>0</v>
      </c>
      <c r="T28" s="38">
        <f>SUMIF(Data!$A:$A,Summary!G28,Data!$M:$M)</f>
        <v>0</v>
      </c>
      <c r="U28" s="38">
        <f>SUMIF(Data!$A:$A,Summary!H28,Data!$M:$M)</f>
        <v>0</v>
      </c>
      <c r="V28" s="38">
        <f>SUMIF(Data!$A:$A,Summary!I28,Data!$M:$M)</f>
        <v>0</v>
      </c>
      <c r="W28" s="38">
        <f>SUMIF(Data!$A:$A,Summary!J28,Data!$M:$M)</f>
        <v>0</v>
      </c>
      <c r="X28" s="38">
        <f>SUMIF(Data!$A:$A,Summary!K28,Data!$M:$M)</f>
        <v>0</v>
      </c>
      <c r="AB28" s="16"/>
      <c r="AC28" s="16"/>
      <c r="AD28" s="16"/>
      <c r="AE28" s="16"/>
      <c r="AF28" s="16"/>
      <c r="AG28" s="16"/>
      <c r="AH28" s="16"/>
    </row>
    <row r="29" spans="1:34" x14ac:dyDescent="0.55000000000000004">
      <c r="A29" t="str">
        <f t="shared" si="2"/>
        <v>MarchFebruaryTaiwan - DCL KY</v>
      </c>
      <c r="B29" t="str">
        <f t="shared" si="3"/>
        <v>MarchMarchTaiwan - DCL KY</v>
      </c>
      <c r="C29" t="str">
        <f t="shared" si="4"/>
        <v>MarchAprilTaiwan - DCL KY</v>
      </c>
      <c r="D29" t="str">
        <f t="shared" si="5"/>
        <v>MarchMayTaiwan - DCL KY</v>
      </c>
      <c r="E29" t="str">
        <f t="shared" si="6"/>
        <v>MarchJuneTaiwan - DCL KY</v>
      </c>
      <c r="F29" t="str">
        <f t="shared" si="7"/>
        <v>MarchJulyTaiwan - DCL KY</v>
      </c>
      <c r="G29" t="str">
        <f t="shared" si="8"/>
        <v>MarchAugustTaiwan - DCL KY</v>
      </c>
      <c r="H29" t="str">
        <f t="shared" si="9"/>
        <v>MarchSeptemberTaiwan - DCL KY</v>
      </c>
      <c r="I29" t="str">
        <f t="shared" si="10"/>
        <v>MarchOctoberTaiwan - DCL KY</v>
      </c>
      <c r="J29" t="str">
        <f t="shared" si="11"/>
        <v>MarchNovemberTaiwan - DCL KY</v>
      </c>
      <c r="K29" t="str">
        <f t="shared" si="12"/>
        <v>MarchDecemberTaiwan - DCL KY</v>
      </c>
      <c r="L29" t="s">
        <v>301</v>
      </c>
      <c r="M29" t="s">
        <v>128</v>
      </c>
      <c r="N29" s="38">
        <f>SUMIF(Data!$A:$A,Summary!A29,Data!$M:$M)</f>
        <v>0</v>
      </c>
      <c r="O29" s="38">
        <f>SUMIF(Data!$A:$A,Summary!B29,Data!$M:$M)</f>
        <v>0</v>
      </c>
      <c r="P29" s="38">
        <f>SUMIF(Data!$A:$A,Summary!C29,Data!$M:$M)</f>
        <v>0</v>
      </c>
      <c r="Q29" s="38">
        <f>SUMIF(Data!$A:$A,Summary!D29,Data!$M:$M)</f>
        <v>0</v>
      </c>
      <c r="R29" s="38">
        <f>SUMIF(Data!$A:$A,Summary!E29,Data!$M:$M)</f>
        <v>0</v>
      </c>
      <c r="S29" s="38">
        <f>SUMIF(Data!$A:$A,Summary!F29,Data!$M:$M)</f>
        <v>0</v>
      </c>
      <c r="T29" s="38">
        <f>SUMIF(Data!$A:$A,Summary!G29,Data!$M:$M)</f>
        <v>0</v>
      </c>
      <c r="U29" s="38">
        <f>SUMIF(Data!$A:$A,Summary!H29,Data!$M:$M)</f>
        <v>0</v>
      </c>
      <c r="V29" s="38">
        <f>SUMIF(Data!$A:$A,Summary!I29,Data!$M:$M)</f>
        <v>0</v>
      </c>
      <c r="W29" s="38">
        <f>SUMIF(Data!$A:$A,Summary!J29,Data!$M:$M)</f>
        <v>0</v>
      </c>
      <c r="X29" s="38">
        <f>SUMIF(Data!$A:$A,Summary!K29,Data!$M:$M)</f>
        <v>0</v>
      </c>
      <c r="AB29" s="54" t="s">
        <v>7</v>
      </c>
      <c r="AC29" s="54" t="s">
        <v>0</v>
      </c>
      <c r="AD29" s="54" t="s">
        <v>5</v>
      </c>
      <c r="AE29" s="55" t="s">
        <v>323</v>
      </c>
      <c r="AF29" s="55" t="s">
        <v>324</v>
      </c>
      <c r="AG29" s="55" t="s">
        <v>325</v>
      </c>
      <c r="AH29" s="55" t="s">
        <v>326</v>
      </c>
    </row>
    <row r="30" spans="1:34" x14ac:dyDescent="0.55000000000000004">
      <c r="A30" t="str">
        <f t="shared" si="2"/>
        <v>AprilFebruaryAFG NC - DCL KY</v>
      </c>
      <c r="B30" t="str">
        <f t="shared" si="3"/>
        <v>AprilMarchAFG NC - DCL KY</v>
      </c>
      <c r="C30" t="str">
        <f t="shared" si="4"/>
        <v>AprilAprilAFG NC - DCL KY</v>
      </c>
      <c r="D30" t="str">
        <f t="shared" si="5"/>
        <v>AprilMayAFG NC - DCL KY</v>
      </c>
      <c r="E30" t="str">
        <f t="shared" si="6"/>
        <v>AprilJuneAFG NC - DCL KY</v>
      </c>
      <c r="F30" t="str">
        <f t="shared" si="7"/>
        <v>AprilJulyAFG NC - DCL KY</v>
      </c>
      <c r="G30" t="str">
        <f t="shared" si="8"/>
        <v>AprilAugustAFG NC - DCL KY</v>
      </c>
      <c r="H30" t="str">
        <f t="shared" si="9"/>
        <v>AprilSeptemberAFG NC - DCL KY</v>
      </c>
      <c r="I30" t="str">
        <f t="shared" si="10"/>
        <v>AprilOctoberAFG NC - DCL KY</v>
      </c>
      <c r="J30" t="str">
        <f t="shared" si="11"/>
        <v>AprilNovemberAFG NC - DCL KY</v>
      </c>
      <c r="K30" t="str">
        <f t="shared" si="12"/>
        <v>AprilDecemberAFG NC - DCL KY</v>
      </c>
      <c r="L30" t="s">
        <v>302</v>
      </c>
      <c r="M30" t="s">
        <v>173</v>
      </c>
      <c r="N30" s="38">
        <f>SUMIF(Data!$A:$A,Summary!A30,Data!$M:$M)</f>
        <v>0</v>
      </c>
      <c r="O30" s="38">
        <f>SUMIF(Data!$A:$A,Summary!B30,Data!$M:$M)</f>
        <v>0</v>
      </c>
      <c r="P30" s="38">
        <f>SUMIF(Data!$A:$A,Summary!C30,Data!$M:$M)</f>
        <v>33300</v>
      </c>
      <c r="Q30" s="38">
        <f>SUMIF(Data!$A:$A,Summary!D30,Data!$M:$M)</f>
        <v>0</v>
      </c>
      <c r="R30" s="38">
        <f>SUMIF(Data!$A:$A,Summary!E30,Data!$M:$M)</f>
        <v>0</v>
      </c>
      <c r="S30" s="38">
        <f>SUMIF(Data!$A:$A,Summary!F30,Data!$M:$M)</f>
        <v>0</v>
      </c>
      <c r="T30" s="38">
        <f>SUMIF(Data!$A:$A,Summary!G30,Data!$M:$M)</f>
        <v>0</v>
      </c>
      <c r="U30" s="38">
        <f>SUMIF(Data!$A:$A,Summary!H30,Data!$M:$M)</f>
        <v>0</v>
      </c>
      <c r="V30" s="38">
        <f>SUMIF(Data!$A:$A,Summary!I30,Data!$M:$M)</f>
        <v>0</v>
      </c>
      <c r="W30" s="38">
        <f>SUMIF(Data!$A:$A,Summary!J30,Data!$M:$M)</f>
        <v>0</v>
      </c>
      <c r="X30" s="38">
        <f>SUMIF(Data!$A:$A,Summary!K30,Data!$M:$M)</f>
        <v>0</v>
      </c>
      <c r="AB30" s="51" t="s">
        <v>26</v>
      </c>
      <c r="AC30" s="51" t="s">
        <v>327</v>
      </c>
      <c r="AD30" s="51" t="s">
        <v>328</v>
      </c>
      <c r="AE30" s="41">
        <v>3662165.31</v>
      </c>
      <c r="AF30" s="41">
        <v>0</v>
      </c>
      <c r="AG30" s="41">
        <v>0</v>
      </c>
      <c r="AH30" s="41">
        <v>3662165.31</v>
      </c>
    </row>
    <row r="31" spans="1:34" x14ac:dyDescent="0.55000000000000004">
      <c r="A31" t="str">
        <f t="shared" si="2"/>
        <v>AprilFebruaryAFG NC - Canada</v>
      </c>
      <c r="B31" t="str">
        <f t="shared" si="3"/>
        <v>AprilMarchAFG NC - Canada</v>
      </c>
      <c r="C31" t="str">
        <f t="shared" si="4"/>
        <v>AprilAprilAFG NC - Canada</v>
      </c>
      <c r="D31" t="str">
        <f t="shared" si="5"/>
        <v>AprilMayAFG NC - Canada</v>
      </c>
      <c r="E31" t="str">
        <f t="shared" si="6"/>
        <v>AprilJuneAFG NC - Canada</v>
      </c>
      <c r="F31" t="str">
        <f t="shared" si="7"/>
        <v>AprilJulyAFG NC - Canada</v>
      </c>
      <c r="G31" t="str">
        <f t="shared" si="8"/>
        <v>AprilAugustAFG NC - Canada</v>
      </c>
      <c r="H31" t="str">
        <f t="shared" si="9"/>
        <v>AprilSeptemberAFG NC - Canada</v>
      </c>
      <c r="I31" t="str">
        <f t="shared" si="10"/>
        <v>AprilOctoberAFG NC - Canada</v>
      </c>
      <c r="J31" t="str">
        <f t="shared" si="11"/>
        <v>AprilNovemberAFG NC - Canada</v>
      </c>
      <c r="K31" t="str">
        <f t="shared" si="12"/>
        <v>AprilDecemberAFG NC - Canada</v>
      </c>
      <c r="L31" t="s">
        <v>302</v>
      </c>
      <c r="M31" t="s">
        <v>1085</v>
      </c>
      <c r="N31" s="38">
        <f>SUMIF(Data!$A:$A,Summary!A31,Data!$M:$M)</f>
        <v>0</v>
      </c>
      <c r="O31" s="38">
        <f>SUMIF(Data!$A:$A,Summary!B31,Data!$M:$M)</f>
        <v>0</v>
      </c>
      <c r="P31" s="38">
        <f>SUMIF(Data!$A:$A,Summary!C31,Data!$M:$M)</f>
        <v>0</v>
      </c>
      <c r="Q31" s="38">
        <f>SUMIF(Data!$A:$A,Summary!D31,Data!$M:$M)</f>
        <v>0</v>
      </c>
      <c r="R31" s="38">
        <f>SUMIF(Data!$A:$A,Summary!E31,Data!$M:$M)</f>
        <v>0</v>
      </c>
      <c r="S31" s="38">
        <f>SUMIF(Data!$A:$A,Summary!F31,Data!$M:$M)</f>
        <v>0</v>
      </c>
      <c r="T31" s="38">
        <f>SUMIF(Data!$A:$A,Summary!G31,Data!$M:$M)</f>
        <v>0</v>
      </c>
      <c r="U31" s="38">
        <f>SUMIF(Data!$A:$A,Summary!H31,Data!$M:$M)</f>
        <v>0</v>
      </c>
      <c r="V31" s="38">
        <f>SUMIF(Data!$A:$A,Summary!I31,Data!$M:$M)</f>
        <v>0</v>
      </c>
      <c r="W31" s="38">
        <f>SUMIF(Data!$A:$A,Summary!J31,Data!$M:$M)</f>
        <v>0</v>
      </c>
      <c r="X31" s="38">
        <f>SUMIF(Data!$A:$A,Summary!K31,Data!$M:$M)</f>
        <v>0</v>
      </c>
      <c r="AB31" s="51" t="s">
        <v>154</v>
      </c>
      <c r="AC31" s="51" t="s">
        <v>327</v>
      </c>
      <c r="AD31" s="51" t="s">
        <v>20</v>
      </c>
      <c r="AE31" s="41">
        <v>2688973.96</v>
      </c>
      <c r="AF31" s="41">
        <v>1105646.04</v>
      </c>
      <c r="AG31" s="41">
        <v>0</v>
      </c>
      <c r="AH31" s="41">
        <v>3794620</v>
      </c>
    </row>
    <row r="32" spans="1:34" x14ac:dyDescent="0.55000000000000004">
      <c r="A32" t="str">
        <f t="shared" si="2"/>
        <v>AprilFebruaryAFG NC - Phillips WI</v>
      </c>
      <c r="B32" t="str">
        <f t="shared" si="3"/>
        <v>AprilMarchAFG NC - Phillips WI</v>
      </c>
      <c r="C32" t="str">
        <f t="shared" si="4"/>
        <v>AprilAprilAFG NC - Phillips WI</v>
      </c>
      <c r="D32" t="str">
        <f t="shared" si="5"/>
        <v>AprilMayAFG NC - Phillips WI</v>
      </c>
      <c r="E32" t="str">
        <f t="shared" si="6"/>
        <v>AprilJuneAFG NC - Phillips WI</v>
      </c>
      <c r="F32" t="str">
        <f t="shared" si="7"/>
        <v>AprilJulyAFG NC - Phillips WI</v>
      </c>
      <c r="G32" t="str">
        <f t="shared" si="8"/>
        <v>AprilAugustAFG NC - Phillips WI</v>
      </c>
      <c r="H32" t="str">
        <f t="shared" si="9"/>
        <v>AprilSeptemberAFG NC - Phillips WI</v>
      </c>
      <c r="I32" t="str">
        <f t="shared" si="10"/>
        <v>AprilOctoberAFG NC - Phillips WI</v>
      </c>
      <c r="J32" t="str">
        <f t="shared" si="11"/>
        <v>AprilNovemberAFG NC - Phillips WI</v>
      </c>
      <c r="K32" t="str">
        <f t="shared" si="12"/>
        <v>AprilDecemberAFG NC - Phillips WI</v>
      </c>
      <c r="L32" t="s">
        <v>302</v>
      </c>
      <c r="M32" t="s">
        <v>833</v>
      </c>
      <c r="N32" s="38">
        <f>SUMIF(Data!$A:$A,Summary!A32,Data!$M:$M)</f>
        <v>0</v>
      </c>
      <c r="O32" s="38">
        <f>SUMIF(Data!$A:$A,Summary!B32,Data!$M:$M)</f>
        <v>0</v>
      </c>
      <c r="P32" s="38">
        <f>SUMIF(Data!$A:$A,Summary!C32,Data!$M:$M)</f>
        <v>0</v>
      </c>
      <c r="Q32" s="38">
        <f>SUMIF(Data!$A:$A,Summary!D32,Data!$M:$M)</f>
        <v>0</v>
      </c>
      <c r="R32" s="38">
        <f>SUMIF(Data!$A:$A,Summary!E32,Data!$M:$M)</f>
        <v>0</v>
      </c>
      <c r="S32" s="38">
        <f>SUMIF(Data!$A:$A,Summary!F32,Data!$M:$M)</f>
        <v>0</v>
      </c>
      <c r="T32" s="38">
        <f>SUMIF(Data!$A:$A,Summary!G32,Data!$M:$M)</f>
        <v>0</v>
      </c>
      <c r="U32" s="38">
        <f>SUMIF(Data!$A:$A,Summary!H32,Data!$M:$M)</f>
        <v>0</v>
      </c>
      <c r="V32" s="38">
        <f>SUMIF(Data!$A:$A,Summary!I32,Data!$M:$M)</f>
        <v>0</v>
      </c>
      <c r="W32" s="38">
        <f>SUMIF(Data!$A:$A,Summary!J32,Data!$M:$M)</f>
        <v>0</v>
      </c>
      <c r="X32" s="38">
        <f>SUMIF(Data!$A:$A,Summary!K32,Data!$M:$M)</f>
        <v>0</v>
      </c>
      <c r="AB32" s="16"/>
      <c r="AC32" s="16"/>
      <c r="AD32" s="56" t="s">
        <v>329</v>
      </c>
      <c r="AE32" s="42">
        <f>SUM(AE30:AE31)</f>
        <v>6351139.2699999996</v>
      </c>
      <c r="AF32" s="42">
        <f t="shared" ref="AF32:AH32" si="19">SUM(AF30:AF31)</f>
        <v>1105646.04</v>
      </c>
      <c r="AG32" s="42">
        <f t="shared" si="19"/>
        <v>0</v>
      </c>
      <c r="AH32" s="42">
        <f t="shared" si="19"/>
        <v>7456785.3100000005</v>
      </c>
    </row>
    <row r="33" spans="1:34" x14ac:dyDescent="0.55000000000000004">
      <c r="A33" t="str">
        <f t="shared" si="2"/>
        <v>AprilFebruaryAFG Suzho - DCL KY</v>
      </c>
      <c r="B33" t="str">
        <f t="shared" si="3"/>
        <v>AprilMarchAFG Suzho - DCL KY</v>
      </c>
      <c r="C33" t="str">
        <f t="shared" si="4"/>
        <v>AprilAprilAFG Suzho - DCL KY</v>
      </c>
      <c r="D33" t="str">
        <f t="shared" si="5"/>
        <v>AprilMayAFG Suzho - DCL KY</v>
      </c>
      <c r="E33" t="str">
        <f t="shared" si="6"/>
        <v>AprilJuneAFG Suzho - DCL KY</v>
      </c>
      <c r="F33" t="str">
        <f t="shared" si="7"/>
        <v>AprilJulyAFG Suzho - DCL KY</v>
      </c>
      <c r="G33" t="str">
        <f t="shared" si="8"/>
        <v>AprilAugustAFG Suzho - DCL KY</v>
      </c>
      <c r="H33" t="str">
        <f t="shared" si="9"/>
        <v>AprilSeptemberAFG Suzho - DCL KY</v>
      </c>
      <c r="I33" t="str">
        <f t="shared" si="10"/>
        <v>AprilOctoberAFG Suzho - DCL KY</v>
      </c>
      <c r="J33" t="str">
        <f t="shared" si="11"/>
        <v>AprilNovemberAFG Suzho - DCL KY</v>
      </c>
      <c r="K33" t="str">
        <f t="shared" si="12"/>
        <v>AprilDecemberAFG Suzho - DCL KY</v>
      </c>
      <c r="L33" t="s">
        <v>302</v>
      </c>
      <c r="M33" t="s">
        <v>247</v>
      </c>
      <c r="N33" s="38">
        <f>SUMIF(Data!$A:$A,Summary!A33,Data!$M:$M)</f>
        <v>0</v>
      </c>
      <c r="O33" s="38">
        <f>SUMIF(Data!$A:$A,Summary!B33,Data!$M:$M)</f>
        <v>0</v>
      </c>
      <c r="P33" s="38">
        <f>SUMIF(Data!$A:$A,Summary!C33,Data!$M:$M)</f>
        <v>0</v>
      </c>
      <c r="Q33" s="38">
        <f>SUMIF(Data!$A:$A,Summary!D33,Data!$M:$M)</f>
        <v>0</v>
      </c>
      <c r="R33" s="38">
        <f>SUMIF(Data!$A:$A,Summary!E33,Data!$M:$M)</f>
        <v>0</v>
      </c>
      <c r="S33" s="38">
        <f>SUMIF(Data!$A:$A,Summary!F33,Data!$M:$M)</f>
        <v>0</v>
      </c>
      <c r="T33" s="38">
        <f>SUMIF(Data!$A:$A,Summary!G33,Data!$M:$M)</f>
        <v>0</v>
      </c>
      <c r="U33" s="38">
        <f>SUMIF(Data!$A:$A,Summary!H33,Data!$M:$M)</f>
        <v>0</v>
      </c>
      <c r="V33" s="38">
        <f>SUMIF(Data!$A:$A,Summary!I33,Data!$M:$M)</f>
        <v>0</v>
      </c>
      <c r="W33" s="38">
        <f>SUMIF(Data!$A:$A,Summary!J33,Data!$M:$M)</f>
        <v>0</v>
      </c>
      <c r="X33" s="38">
        <f>SUMIF(Data!$A:$A,Summary!K33,Data!$M:$M)</f>
        <v>0</v>
      </c>
      <c r="AE33" s="43"/>
      <c r="AF33" s="44">
        <f>AF32-AG32</f>
        <v>1105646.04</v>
      </c>
      <c r="AG33" s="43"/>
      <c r="AH33" s="43"/>
    </row>
    <row r="34" spans="1:34" x14ac:dyDescent="0.55000000000000004">
      <c r="A34" t="str">
        <f t="shared" si="2"/>
        <v>AprilFebruaryAFG Suzho - DECI NC</v>
      </c>
      <c r="B34" t="str">
        <f t="shared" si="3"/>
        <v>AprilMarchAFG Suzho - DECI NC</v>
      </c>
      <c r="C34" t="str">
        <f t="shared" si="4"/>
        <v>AprilAprilAFG Suzho - DECI NC</v>
      </c>
      <c r="D34" t="str">
        <f t="shared" si="5"/>
        <v>AprilMayAFG Suzho - DECI NC</v>
      </c>
      <c r="E34" t="str">
        <f t="shared" si="6"/>
        <v>AprilJuneAFG Suzho - DECI NC</v>
      </c>
      <c r="F34" t="str">
        <f t="shared" si="7"/>
        <v>AprilJulyAFG Suzho - DECI NC</v>
      </c>
      <c r="G34" t="str">
        <f t="shared" si="8"/>
        <v>AprilAugustAFG Suzho - DECI NC</v>
      </c>
      <c r="H34" t="str">
        <f t="shared" si="9"/>
        <v>AprilSeptemberAFG Suzho - DECI NC</v>
      </c>
      <c r="I34" t="str">
        <f t="shared" si="10"/>
        <v>AprilOctoberAFG Suzho - DECI NC</v>
      </c>
      <c r="J34" t="str">
        <f t="shared" si="11"/>
        <v>AprilNovemberAFG Suzho - DECI NC</v>
      </c>
      <c r="K34" t="str">
        <f t="shared" si="12"/>
        <v>AprilDecemberAFG Suzho - DECI NC</v>
      </c>
      <c r="L34" t="s">
        <v>302</v>
      </c>
      <c r="M34" t="s">
        <v>245</v>
      </c>
      <c r="N34" s="38">
        <f>SUMIF(Data!$A:$A,Summary!A34,Data!$M:$M)</f>
        <v>0</v>
      </c>
      <c r="O34" s="38">
        <f>SUMIF(Data!$A:$A,Summary!B34,Data!$M:$M)</f>
        <v>0</v>
      </c>
      <c r="P34" s="38">
        <f>SUMIF(Data!$A:$A,Summary!C34,Data!$M:$M)</f>
        <v>0</v>
      </c>
      <c r="Q34" s="38">
        <f>SUMIF(Data!$A:$A,Summary!D34,Data!$M:$M)</f>
        <v>0</v>
      </c>
      <c r="R34" s="38">
        <f>SUMIF(Data!$A:$A,Summary!E34,Data!$M:$M)</f>
        <v>0</v>
      </c>
      <c r="S34" s="38">
        <f>SUMIF(Data!$A:$A,Summary!F34,Data!$M:$M)</f>
        <v>0</v>
      </c>
      <c r="T34" s="38">
        <f>SUMIF(Data!$A:$A,Summary!G34,Data!$M:$M)</f>
        <v>0</v>
      </c>
      <c r="U34" s="38">
        <f>SUMIF(Data!$A:$A,Summary!H34,Data!$M:$M)</f>
        <v>0</v>
      </c>
      <c r="V34" s="38">
        <f>SUMIF(Data!$A:$A,Summary!I34,Data!$M:$M)</f>
        <v>0</v>
      </c>
      <c r="W34" s="38">
        <f>SUMIF(Data!$A:$A,Summary!J34,Data!$M:$M)</f>
        <v>0</v>
      </c>
      <c r="X34" s="38">
        <f>SUMIF(Data!$A:$A,Summary!K34,Data!$M:$M)</f>
        <v>0</v>
      </c>
      <c r="AE34" s="39" t="s">
        <v>1409</v>
      </c>
      <c r="AF34" s="45">
        <f>SUM(AF24,AF16,AF8,AF33)</f>
        <v>4632579.3900000006</v>
      </c>
    </row>
    <row r="35" spans="1:34" x14ac:dyDescent="0.55000000000000004">
      <c r="A35" t="str">
        <f t="shared" si="2"/>
        <v>AprilFebruaryAFG Suzho - Flex IL</v>
      </c>
      <c r="B35" t="str">
        <f t="shared" si="3"/>
        <v>AprilMarchAFG Suzho - Flex IL</v>
      </c>
      <c r="C35" t="str">
        <f t="shared" si="4"/>
        <v>AprilAprilAFG Suzho - Flex IL</v>
      </c>
      <c r="D35" t="str">
        <f t="shared" si="5"/>
        <v>AprilMayAFG Suzho - Flex IL</v>
      </c>
      <c r="E35" t="str">
        <f t="shared" si="6"/>
        <v>AprilJuneAFG Suzho - Flex IL</v>
      </c>
      <c r="F35" t="str">
        <f t="shared" si="7"/>
        <v>AprilJulyAFG Suzho - Flex IL</v>
      </c>
      <c r="G35" t="str">
        <f t="shared" si="8"/>
        <v>AprilAugustAFG Suzho - Flex IL</v>
      </c>
      <c r="H35" t="str">
        <f t="shared" si="9"/>
        <v>AprilSeptemberAFG Suzho - Flex IL</v>
      </c>
      <c r="I35" t="str">
        <f t="shared" si="10"/>
        <v>AprilOctoberAFG Suzho - Flex IL</v>
      </c>
      <c r="J35" t="str">
        <f t="shared" si="11"/>
        <v>AprilNovemberAFG Suzho - Flex IL</v>
      </c>
      <c r="K35" t="str">
        <f t="shared" si="12"/>
        <v>AprilDecemberAFG Suzho - Flex IL</v>
      </c>
      <c r="L35" t="s">
        <v>302</v>
      </c>
      <c r="M35" t="s">
        <v>260</v>
      </c>
      <c r="N35" s="38">
        <f>SUMIF(Data!$A:$A,Summary!A35,Data!$M:$M)</f>
        <v>0</v>
      </c>
      <c r="O35" s="38">
        <f>SUMIF(Data!$A:$A,Summary!B35,Data!$M:$M)</f>
        <v>0</v>
      </c>
      <c r="P35" s="38">
        <f>SUMIF(Data!$A:$A,Summary!C35,Data!$M:$M)</f>
        <v>0</v>
      </c>
      <c r="Q35" s="38">
        <f>SUMIF(Data!$A:$A,Summary!D35,Data!$M:$M)</f>
        <v>0</v>
      </c>
      <c r="R35" s="38">
        <f>SUMIF(Data!$A:$A,Summary!E35,Data!$M:$M)</f>
        <v>0</v>
      </c>
      <c r="S35" s="38">
        <f>SUMIF(Data!$A:$A,Summary!F35,Data!$M:$M)</f>
        <v>0</v>
      </c>
      <c r="T35" s="38">
        <f>SUMIF(Data!$A:$A,Summary!G35,Data!$M:$M)</f>
        <v>0</v>
      </c>
      <c r="U35" s="38">
        <f>SUMIF(Data!$A:$A,Summary!H35,Data!$M:$M)</f>
        <v>0</v>
      </c>
      <c r="V35" s="38">
        <f>SUMIF(Data!$A:$A,Summary!I35,Data!$M:$M)</f>
        <v>0</v>
      </c>
      <c r="W35" s="38">
        <f>SUMIF(Data!$A:$A,Summary!J35,Data!$M:$M)</f>
        <v>0</v>
      </c>
      <c r="X35" s="38">
        <f>SUMIF(Data!$A:$A,Summary!K35,Data!$M:$M)</f>
        <v>0</v>
      </c>
    </row>
    <row r="36" spans="1:34" x14ac:dyDescent="0.55000000000000004">
      <c r="A36" t="str">
        <f t="shared" si="2"/>
        <v>AprilFebruaryChicago IL - Phillips WI</v>
      </c>
      <c r="B36" t="str">
        <f t="shared" si="3"/>
        <v>AprilMarchChicago IL - Phillips WI</v>
      </c>
      <c r="C36" t="str">
        <f t="shared" si="4"/>
        <v>AprilAprilChicago IL - Phillips WI</v>
      </c>
      <c r="D36" t="str">
        <f t="shared" si="5"/>
        <v>AprilMayChicago IL - Phillips WI</v>
      </c>
      <c r="E36" t="str">
        <f t="shared" si="6"/>
        <v>AprilJuneChicago IL - Phillips WI</v>
      </c>
      <c r="F36" t="str">
        <f t="shared" si="7"/>
        <v>AprilJulyChicago IL - Phillips WI</v>
      </c>
      <c r="G36" t="str">
        <f t="shared" si="8"/>
        <v>AprilAugustChicago IL - Phillips WI</v>
      </c>
      <c r="H36" t="str">
        <f t="shared" si="9"/>
        <v>AprilSeptemberChicago IL - Phillips WI</v>
      </c>
      <c r="I36" t="str">
        <f t="shared" si="10"/>
        <v>AprilOctoberChicago IL - Phillips WI</v>
      </c>
      <c r="J36" t="str">
        <f t="shared" si="11"/>
        <v>AprilNovemberChicago IL - Phillips WI</v>
      </c>
      <c r="K36" t="str">
        <f t="shared" si="12"/>
        <v>AprilDecemberChicago IL - Phillips WI</v>
      </c>
      <c r="L36" t="s">
        <v>302</v>
      </c>
      <c r="M36" t="s">
        <v>187</v>
      </c>
      <c r="N36" s="38">
        <f>SUMIF(Data!$A:$A,Summary!A36,Data!$M:$M)</f>
        <v>0</v>
      </c>
      <c r="O36" s="38">
        <f>SUMIF(Data!$A:$A,Summary!B36,Data!$M:$M)</f>
        <v>0</v>
      </c>
      <c r="P36" s="38">
        <f>SUMIF(Data!$A:$A,Summary!C36,Data!$M:$M)</f>
        <v>0</v>
      </c>
      <c r="Q36" s="38">
        <f>SUMIF(Data!$A:$A,Summary!D36,Data!$M:$M)</f>
        <v>0</v>
      </c>
      <c r="R36" s="38">
        <f>SUMIF(Data!$A:$A,Summary!E36,Data!$M:$M)</f>
        <v>0</v>
      </c>
      <c r="S36" s="38">
        <f>SUMIF(Data!$A:$A,Summary!F36,Data!$M:$M)</f>
        <v>0</v>
      </c>
      <c r="T36" s="38">
        <f>SUMIF(Data!$A:$A,Summary!G36,Data!$M:$M)</f>
        <v>0</v>
      </c>
      <c r="U36" s="38">
        <f>SUMIF(Data!$A:$A,Summary!H36,Data!$M:$M)</f>
        <v>0</v>
      </c>
      <c r="V36" s="38">
        <f>SUMIF(Data!$A:$A,Summary!I36,Data!$M:$M)</f>
        <v>0</v>
      </c>
      <c r="W36" s="38">
        <f>SUMIF(Data!$A:$A,Summary!J36,Data!$M:$M)</f>
        <v>0</v>
      </c>
      <c r="X36" s="38">
        <f>SUMIF(Data!$A:$A,Summary!K36,Data!$M:$M)</f>
        <v>0</v>
      </c>
    </row>
    <row r="37" spans="1:34" x14ac:dyDescent="0.55000000000000004">
      <c r="A37" t="str">
        <f t="shared" si="2"/>
        <v>AprilFebruaryChina - DCL KY</v>
      </c>
      <c r="B37" t="str">
        <f t="shared" si="3"/>
        <v>AprilMarchChina - DCL KY</v>
      </c>
      <c r="C37" t="str">
        <f t="shared" si="4"/>
        <v>AprilAprilChina - DCL KY</v>
      </c>
      <c r="D37" t="str">
        <f t="shared" si="5"/>
        <v>AprilMayChina - DCL KY</v>
      </c>
      <c r="E37" t="str">
        <f t="shared" si="6"/>
        <v>AprilJuneChina - DCL KY</v>
      </c>
      <c r="F37" t="str">
        <f t="shared" si="7"/>
        <v>AprilJulyChina - DCL KY</v>
      </c>
      <c r="G37" t="str">
        <f t="shared" si="8"/>
        <v>AprilAugustChina - DCL KY</v>
      </c>
      <c r="H37" t="str">
        <f t="shared" si="9"/>
        <v>AprilSeptemberChina - DCL KY</v>
      </c>
      <c r="I37" t="str">
        <f t="shared" si="10"/>
        <v>AprilOctoberChina - DCL KY</v>
      </c>
      <c r="J37" t="str">
        <f t="shared" si="11"/>
        <v>AprilNovemberChina - DCL KY</v>
      </c>
      <c r="K37" t="str">
        <f t="shared" si="12"/>
        <v>AprilDecemberChina - DCL KY</v>
      </c>
      <c r="L37" t="s">
        <v>302</v>
      </c>
      <c r="M37" t="s">
        <v>82</v>
      </c>
      <c r="N37" s="38">
        <f>SUMIF(Data!$A:$A,Summary!A37,Data!$M:$M)</f>
        <v>0</v>
      </c>
      <c r="O37" s="38">
        <f>SUMIF(Data!$A:$A,Summary!B37,Data!$M:$M)</f>
        <v>0</v>
      </c>
      <c r="P37" s="38">
        <f>SUMIF(Data!$A:$A,Summary!C37,Data!$M:$M)</f>
        <v>215526.2</v>
      </c>
      <c r="Q37" s="38">
        <f>SUMIF(Data!$A:$A,Summary!D37,Data!$M:$M)</f>
        <v>0</v>
      </c>
      <c r="R37" s="38">
        <f>SUMIF(Data!$A:$A,Summary!E37,Data!$M:$M)</f>
        <v>0</v>
      </c>
      <c r="S37" s="38">
        <f>SUMIF(Data!$A:$A,Summary!F37,Data!$M:$M)</f>
        <v>0</v>
      </c>
      <c r="T37" s="38">
        <f>SUMIF(Data!$A:$A,Summary!G37,Data!$M:$M)</f>
        <v>0</v>
      </c>
      <c r="U37" s="38">
        <f>SUMIF(Data!$A:$A,Summary!H37,Data!$M:$M)</f>
        <v>0</v>
      </c>
      <c r="V37" s="38">
        <f>SUMIF(Data!$A:$A,Summary!I37,Data!$M:$M)</f>
        <v>0</v>
      </c>
      <c r="W37" s="38">
        <f>SUMIF(Data!$A:$A,Summary!J37,Data!$M:$M)</f>
        <v>0</v>
      </c>
      <c r="X37" s="38">
        <f>SUMIF(Data!$A:$A,Summary!K37,Data!$M:$M)</f>
        <v>0</v>
      </c>
    </row>
    <row r="38" spans="1:34" x14ac:dyDescent="0.55000000000000004">
      <c r="A38" t="str">
        <f t="shared" si="2"/>
        <v>AprilFebruaryChina - DECI NC</v>
      </c>
      <c r="B38" t="str">
        <f t="shared" si="3"/>
        <v>AprilMarchChina - DECI NC</v>
      </c>
      <c r="C38" t="str">
        <f t="shared" si="4"/>
        <v>AprilAprilChina - DECI NC</v>
      </c>
      <c r="D38" t="str">
        <f t="shared" si="5"/>
        <v>AprilMayChina - DECI NC</v>
      </c>
      <c r="E38" t="str">
        <f t="shared" si="6"/>
        <v>AprilJuneChina - DECI NC</v>
      </c>
      <c r="F38" t="str">
        <f t="shared" si="7"/>
        <v>AprilJulyChina - DECI NC</v>
      </c>
      <c r="G38" t="str">
        <f t="shared" si="8"/>
        <v>AprilAugustChina - DECI NC</v>
      </c>
      <c r="H38" t="str">
        <f t="shared" si="9"/>
        <v>AprilSeptemberChina - DECI NC</v>
      </c>
      <c r="I38" t="str">
        <f t="shared" si="10"/>
        <v>AprilOctoberChina - DECI NC</v>
      </c>
      <c r="J38" t="str">
        <f t="shared" si="11"/>
        <v>AprilNovemberChina - DECI NC</v>
      </c>
      <c r="K38" t="str">
        <f t="shared" si="12"/>
        <v>AprilDecemberChina - DECI NC</v>
      </c>
      <c r="L38" t="s">
        <v>302</v>
      </c>
      <c r="M38" t="s">
        <v>97</v>
      </c>
      <c r="N38" s="38">
        <f>SUMIF(Data!$A:$A,Summary!A38,Data!$M:$M)</f>
        <v>0</v>
      </c>
      <c r="O38" s="38">
        <f>SUMIF(Data!$A:$A,Summary!B38,Data!$M:$M)</f>
        <v>0</v>
      </c>
      <c r="P38" s="38">
        <f>SUMIF(Data!$A:$A,Summary!C38,Data!$M:$M)</f>
        <v>301176.02</v>
      </c>
      <c r="Q38" s="38">
        <f>SUMIF(Data!$A:$A,Summary!D38,Data!$M:$M)</f>
        <v>0</v>
      </c>
      <c r="R38" s="38">
        <f>SUMIF(Data!$A:$A,Summary!E38,Data!$M:$M)</f>
        <v>0</v>
      </c>
      <c r="S38" s="38">
        <f>SUMIF(Data!$A:$A,Summary!F38,Data!$M:$M)</f>
        <v>0</v>
      </c>
      <c r="T38" s="38">
        <f>SUMIF(Data!$A:$A,Summary!G38,Data!$M:$M)</f>
        <v>0</v>
      </c>
      <c r="U38" s="38">
        <f>SUMIF(Data!$A:$A,Summary!H38,Data!$M:$M)</f>
        <v>0</v>
      </c>
      <c r="V38" s="38">
        <f>SUMIF(Data!$A:$A,Summary!I38,Data!$M:$M)</f>
        <v>0</v>
      </c>
      <c r="W38" s="38">
        <f>SUMIF(Data!$A:$A,Summary!J38,Data!$M:$M)</f>
        <v>0</v>
      </c>
      <c r="X38" s="38">
        <f>SUMIF(Data!$A:$A,Summary!K38,Data!$M:$M)</f>
        <v>0</v>
      </c>
    </row>
    <row r="39" spans="1:34" x14ac:dyDescent="0.55000000000000004">
      <c r="A39" t="str">
        <f t="shared" si="2"/>
        <v>AprilFebruaryChina - Flex IL</v>
      </c>
      <c r="B39" t="str">
        <f t="shared" si="3"/>
        <v>AprilMarchChina - Flex IL</v>
      </c>
      <c r="C39" t="str">
        <f t="shared" si="4"/>
        <v>AprilAprilChina - Flex IL</v>
      </c>
      <c r="D39" t="str">
        <f t="shared" si="5"/>
        <v>AprilMayChina - Flex IL</v>
      </c>
      <c r="E39" t="str">
        <f t="shared" si="6"/>
        <v>AprilJuneChina - Flex IL</v>
      </c>
      <c r="F39" t="str">
        <f t="shared" si="7"/>
        <v>AprilJulyChina - Flex IL</v>
      </c>
      <c r="G39" t="str">
        <f t="shared" si="8"/>
        <v>AprilAugustChina - Flex IL</v>
      </c>
      <c r="H39" t="str">
        <f t="shared" si="9"/>
        <v>AprilSeptemberChina - Flex IL</v>
      </c>
      <c r="I39" t="str">
        <f t="shared" si="10"/>
        <v>AprilOctoberChina - Flex IL</v>
      </c>
      <c r="J39" t="str">
        <f t="shared" si="11"/>
        <v>AprilNovemberChina - Flex IL</v>
      </c>
      <c r="K39" t="str">
        <f t="shared" si="12"/>
        <v>AprilDecemberChina - Flex IL</v>
      </c>
      <c r="L39" t="s">
        <v>302</v>
      </c>
      <c r="M39" t="s">
        <v>886</v>
      </c>
      <c r="N39" s="38">
        <f>SUMIF(Data!$A:$A,Summary!A39,Data!$M:$M)</f>
        <v>0</v>
      </c>
      <c r="O39" s="38">
        <f>SUMIF(Data!$A:$A,Summary!B39,Data!$M:$M)</f>
        <v>0</v>
      </c>
      <c r="P39" s="38">
        <f>SUMIF(Data!$A:$A,Summary!C39,Data!$M:$M)</f>
        <v>0</v>
      </c>
      <c r="Q39" s="38">
        <f>SUMIF(Data!$A:$A,Summary!D39,Data!$M:$M)</f>
        <v>0</v>
      </c>
      <c r="R39" s="38">
        <f>SUMIF(Data!$A:$A,Summary!E39,Data!$M:$M)</f>
        <v>0</v>
      </c>
      <c r="S39" s="38">
        <f>SUMIF(Data!$A:$A,Summary!F39,Data!$M:$M)</f>
        <v>0</v>
      </c>
      <c r="T39" s="38">
        <f>SUMIF(Data!$A:$A,Summary!G39,Data!$M:$M)</f>
        <v>0</v>
      </c>
      <c r="U39" s="38">
        <f>SUMIF(Data!$A:$A,Summary!H39,Data!$M:$M)</f>
        <v>0</v>
      </c>
      <c r="V39" s="38">
        <f>SUMIF(Data!$A:$A,Summary!I39,Data!$M:$M)</f>
        <v>0</v>
      </c>
      <c r="W39" s="38">
        <f>SUMIF(Data!$A:$A,Summary!J39,Data!$M:$M)</f>
        <v>0</v>
      </c>
      <c r="X39" s="38">
        <f>SUMIF(Data!$A:$A,Summary!K39,Data!$M:$M)</f>
        <v>0</v>
      </c>
    </row>
    <row r="40" spans="1:34" x14ac:dyDescent="0.55000000000000004">
      <c r="A40" t="str">
        <f t="shared" si="2"/>
        <v>AprilFebruaryChina - Phillips WI</v>
      </c>
      <c r="B40" t="str">
        <f t="shared" si="3"/>
        <v>AprilMarchChina - Phillips WI</v>
      </c>
      <c r="C40" t="str">
        <f t="shared" si="4"/>
        <v>AprilAprilChina - Phillips WI</v>
      </c>
      <c r="D40" t="str">
        <f t="shared" si="5"/>
        <v>AprilMayChina - Phillips WI</v>
      </c>
      <c r="E40" t="str">
        <f t="shared" si="6"/>
        <v>AprilJuneChina - Phillips WI</v>
      </c>
      <c r="F40" t="str">
        <f t="shared" si="7"/>
        <v>AprilJulyChina - Phillips WI</v>
      </c>
      <c r="G40" t="str">
        <f t="shared" si="8"/>
        <v>AprilAugustChina - Phillips WI</v>
      </c>
      <c r="H40" t="str">
        <f t="shared" si="9"/>
        <v>AprilSeptemberChina - Phillips WI</v>
      </c>
      <c r="I40" t="str">
        <f t="shared" si="10"/>
        <v>AprilOctoberChina - Phillips WI</v>
      </c>
      <c r="J40" t="str">
        <f t="shared" si="11"/>
        <v>AprilNovemberChina - Phillips WI</v>
      </c>
      <c r="K40" t="str">
        <f t="shared" si="12"/>
        <v>AprilDecemberChina - Phillips WI</v>
      </c>
      <c r="L40" t="s">
        <v>302</v>
      </c>
      <c r="M40" t="s">
        <v>687</v>
      </c>
      <c r="N40" s="38">
        <f>SUMIF(Data!$A:$A,Summary!A40,Data!$M:$M)</f>
        <v>0</v>
      </c>
      <c r="O40" s="38">
        <f>SUMIF(Data!$A:$A,Summary!B40,Data!$M:$M)</f>
        <v>0</v>
      </c>
      <c r="P40" s="38">
        <f>SUMIF(Data!$A:$A,Summary!C40,Data!$M:$M)</f>
        <v>0</v>
      </c>
      <c r="Q40" s="38">
        <f>SUMIF(Data!$A:$A,Summary!D40,Data!$M:$M)</f>
        <v>0</v>
      </c>
      <c r="R40" s="38">
        <f>SUMIF(Data!$A:$A,Summary!E40,Data!$M:$M)</f>
        <v>0</v>
      </c>
      <c r="S40" s="38">
        <f>SUMIF(Data!$A:$A,Summary!F40,Data!$M:$M)</f>
        <v>0</v>
      </c>
      <c r="T40" s="38">
        <f>SUMIF(Data!$A:$A,Summary!G40,Data!$M:$M)</f>
        <v>0</v>
      </c>
      <c r="U40" s="38">
        <f>SUMIF(Data!$A:$A,Summary!H40,Data!$M:$M)</f>
        <v>0</v>
      </c>
      <c r="V40" s="38">
        <f>SUMIF(Data!$A:$A,Summary!I40,Data!$M:$M)</f>
        <v>0</v>
      </c>
      <c r="W40" s="38">
        <f>SUMIF(Data!$A:$A,Summary!J40,Data!$M:$M)</f>
        <v>0</v>
      </c>
      <c r="X40" s="38">
        <f>SUMIF(Data!$A:$A,Summary!K40,Data!$M:$M)</f>
        <v>0</v>
      </c>
    </row>
    <row r="41" spans="1:34" x14ac:dyDescent="0.55000000000000004">
      <c r="A41" t="str">
        <f t="shared" si="2"/>
        <v>AprilFebruaryChina - San Francisco</v>
      </c>
      <c r="B41" t="str">
        <f t="shared" si="3"/>
        <v>AprilMarchChina - San Francisco</v>
      </c>
      <c r="C41" t="str">
        <f t="shared" si="4"/>
        <v>AprilAprilChina - San Francisco</v>
      </c>
      <c r="D41" t="str">
        <f t="shared" si="5"/>
        <v>AprilMayChina - San Francisco</v>
      </c>
      <c r="E41" t="str">
        <f t="shared" si="6"/>
        <v>AprilJuneChina - San Francisco</v>
      </c>
      <c r="F41" t="str">
        <f t="shared" si="7"/>
        <v>AprilJulyChina - San Francisco</v>
      </c>
      <c r="G41" t="str">
        <f t="shared" si="8"/>
        <v>AprilAugustChina - San Francisco</v>
      </c>
      <c r="H41" t="str">
        <f t="shared" si="9"/>
        <v>AprilSeptemberChina - San Francisco</v>
      </c>
      <c r="I41" t="str">
        <f t="shared" si="10"/>
        <v>AprilOctoberChina - San Francisco</v>
      </c>
      <c r="J41" t="str">
        <f t="shared" si="11"/>
        <v>AprilNovemberChina - San Francisco</v>
      </c>
      <c r="K41" t="str">
        <f t="shared" si="12"/>
        <v>AprilDecemberChina - San Francisco</v>
      </c>
      <c r="L41" t="s">
        <v>302</v>
      </c>
      <c r="M41" t="s">
        <v>1077</v>
      </c>
      <c r="N41" s="38">
        <f>SUMIF(Data!$A:$A,Summary!A41,Data!$M:$M)</f>
        <v>0</v>
      </c>
      <c r="O41" s="38">
        <f>SUMIF(Data!$A:$A,Summary!B41,Data!$M:$M)</f>
        <v>0</v>
      </c>
      <c r="P41" s="38">
        <f>SUMIF(Data!$A:$A,Summary!C41,Data!$M:$M)</f>
        <v>3532.92</v>
      </c>
      <c r="Q41" s="38">
        <f>SUMIF(Data!$A:$A,Summary!D41,Data!$M:$M)</f>
        <v>0</v>
      </c>
      <c r="R41" s="38">
        <f>SUMIF(Data!$A:$A,Summary!E41,Data!$M:$M)</f>
        <v>0</v>
      </c>
      <c r="S41" s="38">
        <f>SUMIF(Data!$A:$A,Summary!F41,Data!$M:$M)</f>
        <v>0</v>
      </c>
      <c r="T41" s="38">
        <f>SUMIF(Data!$A:$A,Summary!G41,Data!$M:$M)</f>
        <v>0</v>
      </c>
      <c r="U41" s="38">
        <f>SUMIF(Data!$A:$A,Summary!H41,Data!$M:$M)</f>
        <v>0</v>
      </c>
      <c r="V41" s="38">
        <f>SUMIF(Data!$A:$A,Summary!I41,Data!$M:$M)</f>
        <v>0</v>
      </c>
      <c r="W41" s="38">
        <f>SUMIF(Data!$A:$A,Summary!J41,Data!$M:$M)</f>
        <v>0</v>
      </c>
      <c r="X41" s="38">
        <f>SUMIF(Data!$A:$A,Summary!K41,Data!$M:$M)</f>
        <v>0</v>
      </c>
    </row>
    <row r="42" spans="1:34" x14ac:dyDescent="0.55000000000000004">
      <c r="A42" t="str">
        <f t="shared" si="2"/>
        <v>AprilFebruaryDCL KY - Canada</v>
      </c>
      <c r="B42" t="str">
        <f t="shared" si="3"/>
        <v>AprilMarchDCL KY - Canada</v>
      </c>
      <c r="C42" t="str">
        <f t="shared" si="4"/>
        <v>AprilAprilDCL KY - Canada</v>
      </c>
      <c r="D42" t="str">
        <f t="shared" si="5"/>
        <v>AprilMayDCL KY - Canada</v>
      </c>
      <c r="E42" t="str">
        <f t="shared" si="6"/>
        <v>AprilJuneDCL KY - Canada</v>
      </c>
      <c r="F42" t="str">
        <f t="shared" si="7"/>
        <v>AprilJulyDCL KY - Canada</v>
      </c>
      <c r="G42" t="str">
        <f t="shared" si="8"/>
        <v>AprilAugustDCL KY - Canada</v>
      </c>
      <c r="H42" t="str">
        <f t="shared" si="9"/>
        <v>AprilSeptemberDCL KY - Canada</v>
      </c>
      <c r="I42" t="str">
        <f t="shared" si="10"/>
        <v>AprilOctoberDCL KY - Canada</v>
      </c>
      <c r="J42" t="str">
        <f t="shared" si="11"/>
        <v>AprilNovemberDCL KY - Canada</v>
      </c>
      <c r="K42" t="str">
        <f t="shared" si="12"/>
        <v>AprilDecemberDCL KY - Canada</v>
      </c>
      <c r="L42" t="s">
        <v>302</v>
      </c>
      <c r="M42" s="3" t="s">
        <v>1086</v>
      </c>
      <c r="N42" s="38">
        <f>SUMIF(Data!$A:$A,Summary!A42,Data!$M:$M)</f>
        <v>0</v>
      </c>
      <c r="O42" s="38">
        <f>SUMIF(Data!$A:$A,Summary!B42,Data!$M:$M)</f>
        <v>0</v>
      </c>
      <c r="P42" s="38">
        <f>SUMIF(Data!$A:$A,Summary!C42,Data!$M:$M)</f>
        <v>0</v>
      </c>
      <c r="Q42" s="38">
        <f>SUMIF(Data!$A:$A,Summary!D42,Data!$M:$M)</f>
        <v>0</v>
      </c>
      <c r="R42" s="38">
        <f>SUMIF(Data!$A:$A,Summary!E42,Data!$M:$M)</f>
        <v>0</v>
      </c>
      <c r="S42" s="38">
        <f>SUMIF(Data!$A:$A,Summary!F42,Data!$M:$M)</f>
        <v>0</v>
      </c>
      <c r="T42" s="38">
        <f>SUMIF(Data!$A:$A,Summary!G42,Data!$M:$M)</f>
        <v>0</v>
      </c>
      <c r="U42" s="38">
        <f>SUMIF(Data!$A:$A,Summary!H42,Data!$M:$M)</f>
        <v>0</v>
      </c>
      <c r="V42" s="38">
        <f>SUMIF(Data!$A:$A,Summary!I42,Data!$M:$M)</f>
        <v>0</v>
      </c>
      <c r="W42" s="38">
        <f>SUMIF(Data!$A:$A,Summary!J42,Data!$M:$M)</f>
        <v>0</v>
      </c>
      <c r="X42" s="38">
        <f>SUMIF(Data!$A:$A,Summary!K42,Data!$M:$M)</f>
        <v>0</v>
      </c>
    </row>
    <row r="43" spans="1:34" x14ac:dyDescent="0.55000000000000004">
      <c r="A43" t="str">
        <f t="shared" si="2"/>
        <v>AprilFebruaryDECI NC - DCL KY</v>
      </c>
      <c r="B43" t="str">
        <f t="shared" si="3"/>
        <v>AprilMarchDECI NC - DCL KY</v>
      </c>
      <c r="C43" t="str">
        <f t="shared" si="4"/>
        <v>AprilAprilDECI NC - DCL KY</v>
      </c>
      <c r="D43" t="str">
        <f t="shared" si="5"/>
        <v>AprilMayDECI NC - DCL KY</v>
      </c>
      <c r="E43" t="str">
        <f t="shared" si="6"/>
        <v>AprilJuneDECI NC - DCL KY</v>
      </c>
      <c r="F43" t="str">
        <f t="shared" si="7"/>
        <v>AprilJulyDECI NC - DCL KY</v>
      </c>
      <c r="G43" t="str">
        <f t="shared" si="8"/>
        <v>AprilAugustDECI NC - DCL KY</v>
      </c>
      <c r="H43" t="str">
        <f t="shared" si="9"/>
        <v>AprilSeptemberDECI NC - DCL KY</v>
      </c>
      <c r="I43" t="str">
        <f t="shared" si="10"/>
        <v>AprilOctoberDECI NC - DCL KY</v>
      </c>
      <c r="J43" t="str">
        <f t="shared" si="11"/>
        <v>AprilNovemberDECI NC - DCL KY</v>
      </c>
      <c r="K43" t="str">
        <f t="shared" si="12"/>
        <v>AprilDecemberDECI NC - DCL KY</v>
      </c>
      <c r="L43" t="s">
        <v>302</v>
      </c>
      <c r="M43" t="s">
        <v>178</v>
      </c>
      <c r="N43" s="38">
        <f>SUMIF(Data!$A:$A,Summary!A43,Data!$M:$M)</f>
        <v>0</v>
      </c>
      <c r="O43" s="38">
        <f>SUMIF(Data!$A:$A,Summary!B43,Data!$M:$M)</f>
        <v>0</v>
      </c>
      <c r="P43" s="38">
        <f>SUMIF(Data!$A:$A,Summary!C43,Data!$M:$M)</f>
        <v>1450</v>
      </c>
      <c r="Q43" s="38">
        <f>SUMIF(Data!$A:$A,Summary!D43,Data!$M:$M)</f>
        <v>0</v>
      </c>
      <c r="R43" s="38">
        <f>SUMIF(Data!$A:$A,Summary!E43,Data!$M:$M)</f>
        <v>0</v>
      </c>
      <c r="S43" s="38">
        <f>SUMIF(Data!$A:$A,Summary!F43,Data!$M:$M)</f>
        <v>0</v>
      </c>
      <c r="T43" s="38">
        <f>SUMIF(Data!$A:$A,Summary!G43,Data!$M:$M)</f>
        <v>0</v>
      </c>
      <c r="U43" s="38">
        <f>SUMIF(Data!$A:$A,Summary!H43,Data!$M:$M)</f>
        <v>0</v>
      </c>
      <c r="V43" s="38">
        <f>SUMIF(Data!$A:$A,Summary!I43,Data!$M:$M)</f>
        <v>0</v>
      </c>
      <c r="W43" s="38">
        <f>SUMIF(Data!$A:$A,Summary!J43,Data!$M:$M)</f>
        <v>0</v>
      </c>
      <c r="X43" s="38">
        <f>SUMIF(Data!$A:$A,Summary!K43,Data!$M:$M)</f>
        <v>0</v>
      </c>
    </row>
    <row r="44" spans="1:34" x14ac:dyDescent="0.55000000000000004">
      <c r="A44" t="str">
        <f t="shared" si="2"/>
        <v>AprilFebruaryGreensboro NC - Phillips WI</v>
      </c>
      <c r="B44" t="str">
        <f t="shared" si="3"/>
        <v>AprilMarchGreensboro NC - Phillips WI</v>
      </c>
      <c r="C44" t="str">
        <f t="shared" si="4"/>
        <v>AprilAprilGreensboro NC - Phillips WI</v>
      </c>
      <c r="D44" t="str">
        <f t="shared" si="5"/>
        <v>AprilMayGreensboro NC - Phillips WI</v>
      </c>
      <c r="E44" t="str">
        <f t="shared" si="6"/>
        <v>AprilJuneGreensboro NC - Phillips WI</v>
      </c>
      <c r="F44" t="str">
        <f t="shared" si="7"/>
        <v>AprilJulyGreensboro NC - Phillips WI</v>
      </c>
      <c r="G44" t="str">
        <f t="shared" si="8"/>
        <v>AprilAugustGreensboro NC - Phillips WI</v>
      </c>
      <c r="H44" t="str">
        <f t="shared" si="9"/>
        <v>AprilSeptemberGreensboro NC - Phillips WI</v>
      </c>
      <c r="I44" t="str">
        <f t="shared" si="10"/>
        <v>AprilOctoberGreensboro NC - Phillips WI</v>
      </c>
      <c r="J44" t="str">
        <f t="shared" si="11"/>
        <v>AprilNovemberGreensboro NC - Phillips WI</v>
      </c>
      <c r="K44" t="str">
        <f t="shared" si="12"/>
        <v>AprilDecemberGreensboro NC - Phillips WI</v>
      </c>
      <c r="L44" t="s">
        <v>302</v>
      </c>
      <c r="M44" t="s">
        <v>155</v>
      </c>
      <c r="N44" s="38">
        <f>SUMIF(Data!$A:$A,Summary!A44,Data!$M:$M)</f>
        <v>0</v>
      </c>
      <c r="O44" s="38">
        <f>SUMIF(Data!$A:$A,Summary!B44,Data!$M:$M)</f>
        <v>0</v>
      </c>
      <c r="P44" s="38">
        <f>SUMIF(Data!$A:$A,Summary!C44,Data!$M:$M)</f>
        <v>0</v>
      </c>
      <c r="Q44" s="38">
        <f>SUMIF(Data!$A:$A,Summary!D44,Data!$M:$M)</f>
        <v>0</v>
      </c>
      <c r="R44" s="38">
        <f>SUMIF(Data!$A:$A,Summary!E44,Data!$M:$M)</f>
        <v>0</v>
      </c>
      <c r="S44" s="38">
        <f>SUMIF(Data!$A:$A,Summary!F44,Data!$M:$M)</f>
        <v>0</v>
      </c>
      <c r="T44" s="38">
        <f>SUMIF(Data!$A:$A,Summary!G44,Data!$M:$M)</f>
        <v>0</v>
      </c>
      <c r="U44" s="38">
        <f>SUMIF(Data!$A:$A,Summary!H44,Data!$M:$M)</f>
        <v>0</v>
      </c>
      <c r="V44" s="38">
        <f>SUMIF(Data!$A:$A,Summary!I44,Data!$M:$M)</f>
        <v>0</v>
      </c>
      <c r="W44" s="38">
        <f>SUMIF(Data!$A:$A,Summary!J44,Data!$M:$M)</f>
        <v>0</v>
      </c>
      <c r="X44" s="38">
        <f>SUMIF(Data!$A:$A,Summary!K44,Data!$M:$M)</f>
        <v>0</v>
      </c>
    </row>
    <row r="45" spans="1:34" x14ac:dyDescent="0.55000000000000004">
      <c r="A45" t="str">
        <f t="shared" si="2"/>
        <v>AprilFebruaryFlex IL - UK</v>
      </c>
      <c r="B45" t="str">
        <f t="shared" si="3"/>
        <v>AprilMarchFlex IL - UK</v>
      </c>
      <c r="C45" t="str">
        <f t="shared" si="4"/>
        <v>AprilAprilFlex IL - UK</v>
      </c>
      <c r="D45" t="str">
        <f t="shared" si="5"/>
        <v>AprilMayFlex IL - UK</v>
      </c>
      <c r="E45" t="str">
        <f t="shared" si="6"/>
        <v>AprilJuneFlex IL - UK</v>
      </c>
      <c r="F45" t="str">
        <f t="shared" si="7"/>
        <v>AprilJulyFlex IL - UK</v>
      </c>
      <c r="G45" t="str">
        <f t="shared" si="8"/>
        <v>AprilAugustFlex IL - UK</v>
      </c>
      <c r="H45" t="str">
        <f t="shared" si="9"/>
        <v>AprilSeptemberFlex IL - UK</v>
      </c>
      <c r="I45" t="str">
        <f t="shared" si="10"/>
        <v>AprilOctoberFlex IL - UK</v>
      </c>
      <c r="J45" t="str">
        <f t="shared" si="11"/>
        <v>AprilNovemberFlex IL - UK</v>
      </c>
      <c r="K45" t="str">
        <f t="shared" si="12"/>
        <v>AprilDecemberFlex IL - UK</v>
      </c>
      <c r="L45" t="s">
        <v>302</v>
      </c>
      <c r="M45" t="s">
        <v>895</v>
      </c>
      <c r="N45" s="38">
        <f>SUMIF(Data!$A:$A,Summary!A45,Data!$M:$M)</f>
        <v>0</v>
      </c>
      <c r="O45" s="38">
        <f>SUMIF(Data!$A:$A,Summary!B45,Data!$M:$M)</f>
        <v>0</v>
      </c>
      <c r="P45" s="38">
        <f>SUMIF(Data!$A:$A,Summary!C45,Data!$M:$M)</f>
        <v>0</v>
      </c>
      <c r="Q45" s="38">
        <f>SUMIF(Data!$A:$A,Summary!D45,Data!$M:$M)</f>
        <v>0</v>
      </c>
      <c r="R45" s="38">
        <f>SUMIF(Data!$A:$A,Summary!E45,Data!$M:$M)</f>
        <v>0</v>
      </c>
      <c r="S45" s="38">
        <f>SUMIF(Data!$A:$A,Summary!F45,Data!$M:$M)</f>
        <v>0</v>
      </c>
      <c r="T45" s="38">
        <f>SUMIF(Data!$A:$A,Summary!G45,Data!$M:$M)</f>
        <v>0</v>
      </c>
      <c r="U45" s="38">
        <f>SUMIF(Data!$A:$A,Summary!H45,Data!$M:$M)</f>
        <v>0</v>
      </c>
      <c r="V45" s="38">
        <f>SUMIF(Data!$A:$A,Summary!I45,Data!$M:$M)</f>
        <v>0</v>
      </c>
      <c r="W45" s="38">
        <f>SUMIF(Data!$A:$A,Summary!J45,Data!$M:$M)</f>
        <v>0</v>
      </c>
      <c r="X45" s="38">
        <f>SUMIF(Data!$A:$A,Summary!K45,Data!$M:$M)</f>
        <v>0</v>
      </c>
    </row>
    <row r="46" spans="1:34" x14ac:dyDescent="0.55000000000000004">
      <c r="A46" t="str">
        <f t="shared" si="2"/>
        <v>AprilFebruaryFlorida - Phillips WI</v>
      </c>
      <c r="B46" t="str">
        <f t="shared" si="3"/>
        <v>AprilMarchFlorida - Phillips WI</v>
      </c>
      <c r="C46" t="str">
        <f t="shared" si="4"/>
        <v>AprilAprilFlorida - Phillips WI</v>
      </c>
      <c r="D46" t="str">
        <f t="shared" si="5"/>
        <v>AprilMayFlorida - Phillips WI</v>
      </c>
      <c r="E46" t="str">
        <f t="shared" si="6"/>
        <v>AprilJuneFlorida - Phillips WI</v>
      </c>
      <c r="F46" t="str">
        <f t="shared" si="7"/>
        <v>AprilJulyFlorida - Phillips WI</v>
      </c>
      <c r="G46" t="str">
        <f t="shared" si="8"/>
        <v>AprilAugustFlorida - Phillips WI</v>
      </c>
      <c r="H46" t="str">
        <f t="shared" si="9"/>
        <v>AprilSeptemberFlorida - Phillips WI</v>
      </c>
      <c r="I46" t="str">
        <f t="shared" si="10"/>
        <v>AprilOctoberFlorida - Phillips WI</v>
      </c>
      <c r="J46" t="str">
        <f t="shared" si="11"/>
        <v>AprilNovemberFlorida - Phillips WI</v>
      </c>
      <c r="K46" t="str">
        <f t="shared" si="12"/>
        <v>AprilDecemberFlorida - Phillips WI</v>
      </c>
      <c r="L46" t="s">
        <v>302</v>
      </c>
      <c r="M46" t="s">
        <v>933</v>
      </c>
      <c r="N46" s="38">
        <f>SUMIF(Data!$A:$A,Summary!A46,Data!$M:$M)</f>
        <v>0</v>
      </c>
      <c r="O46" s="38">
        <f>SUMIF(Data!$A:$A,Summary!B46,Data!$M:$M)</f>
        <v>0</v>
      </c>
      <c r="P46" s="38">
        <f>SUMIF(Data!$A:$A,Summary!C46,Data!$M:$M)</f>
        <v>0</v>
      </c>
      <c r="Q46" s="38">
        <f>SUMIF(Data!$A:$A,Summary!D46,Data!$M:$M)</f>
        <v>0</v>
      </c>
      <c r="R46" s="38">
        <f>SUMIF(Data!$A:$A,Summary!E46,Data!$M:$M)</f>
        <v>0</v>
      </c>
      <c r="S46" s="38">
        <f>SUMIF(Data!$A:$A,Summary!F46,Data!$M:$M)</f>
        <v>0</v>
      </c>
      <c r="T46" s="38">
        <f>SUMIF(Data!$A:$A,Summary!G46,Data!$M:$M)</f>
        <v>0</v>
      </c>
      <c r="U46" s="38">
        <f>SUMIF(Data!$A:$A,Summary!H46,Data!$M:$M)</f>
        <v>0</v>
      </c>
      <c r="V46" s="38">
        <f>SUMIF(Data!$A:$A,Summary!I46,Data!$M:$M)</f>
        <v>0</v>
      </c>
      <c r="W46" s="38">
        <f>SUMIF(Data!$A:$A,Summary!J46,Data!$M:$M)</f>
        <v>0</v>
      </c>
      <c r="X46" s="38">
        <f>SUMIF(Data!$A:$A,Summary!K46,Data!$M:$M)</f>
        <v>0</v>
      </c>
    </row>
    <row r="47" spans="1:34" x14ac:dyDescent="0.55000000000000004">
      <c r="A47" t="str">
        <f t="shared" si="2"/>
        <v>AprilFebruaryHong Kong - AFG NC</v>
      </c>
      <c r="B47" t="str">
        <f t="shared" si="3"/>
        <v>AprilMarchHong Kong - AFG NC</v>
      </c>
      <c r="C47" t="str">
        <f t="shared" si="4"/>
        <v>AprilAprilHong Kong - AFG NC</v>
      </c>
      <c r="D47" t="str">
        <f t="shared" si="5"/>
        <v>AprilMayHong Kong - AFG NC</v>
      </c>
      <c r="E47" t="str">
        <f t="shared" si="6"/>
        <v>AprilJuneHong Kong - AFG NC</v>
      </c>
      <c r="F47" t="str">
        <f t="shared" si="7"/>
        <v>AprilJulyHong Kong - AFG NC</v>
      </c>
      <c r="G47" t="str">
        <f t="shared" si="8"/>
        <v>AprilAugustHong Kong - AFG NC</v>
      </c>
      <c r="H47" t="str">
        <f t="shared" si="9"/>
        <v>AprilSeptemberHong Kong - AFG NC</v>
      </c>
      <c r="I47" t="str">
        <f t="shared" si="10"/>
        <v>AprilOctoberHong Kong - AFG NC</v>
      </c>
      <c r="J47" t="str">
        <f t="shared" si="11"/>
        <v>AprilNovemberHong Kong - AFG NC</v>
      </c>
      <c r="K47" t="str">
        <f t="shared" si="12"/>
        <v>AprilDecemberHong Kong - AFG NC</v>
      </c>
      <c r="L47" t="s">
        <v>302</v>
      </c>
      <c r="M47" t="s">
        <v>334</v>
      </c>
      <c r="N47" s="38">
        <f>SUMIF(Data!$A:$A,Summary!A47,Data!$M:$M)</f>
        <v>0</v>
      </c>
      <c r="O47" s="38">
        <f>SUMIF(Data!$A:$A,Summary!B47,Data!$M:$M)</f>
        <v>0</v>
      </c>
      <c r="P47" s="38">
        <f>SUMIF(Data!$A:$A,Summary!C47,Data!$M:$M)</f>
        <v>0</v>
      </c>
      <c r="Q47" s="38">
        <f>SUMIF(Data!$A:$A,Summary!D47,Data!$M:$M)</f>
        <v>0</v>
      </c>
      <c r="R47" s="38">
        <f>SUMIF(Data!$A:$A,Summary!E47,Data!$M:$M)</f>
        <v>0</v>
      </c>
      <c r="S47" s="38">
        <f>SUMIF(Data!$A:$A,Summary!F47,Data!$M:$M)</f>
        <v>0</v>
      </c>
      <c r="T47" s="38">
        <f>SUMIF(Data!$A:$A,Summary!G47,Data!$M:$M)</f>
        <v>0</v>
      </c>
      <c r="U47" s="38">
        <f>SUMIF(Data!$A:$A,Summary!H47,Data!$M:$M)</f>
        <v>0</v>
      </c>
      <c r="V47" s="38">
        <f>SUMIF(Data!$A:$A,Summary!I47,Data!$M:$M)</f>
        <v>0</v>
      </c>
      <c r="W47" s="38">
        <f>SUMIF(Data!$A:$A,Summary!J47,Data!$M:$M)</f>
        <v>0</v>
      </c>
      <c r="X47" s="38">
        <f>SUMIF(Data!$A:$A,Summary!K47,Data!$M:$M)</f>
        <v>0</v>
      </c>
    </row>
    <row r="48" spans="1:34" x14ac:dyDescent="0.55000000000000004">
      <c r="A48" t="str">
        <f t="shared" si="2"/>
        <v>AprilFebruaryHong Kong - DCL KY</v>
      </c>
      <c r="B48" t="str">
        <f t="shared" si="3"/>
        <v>AprilMarchHong Kong - DCL KY</v>
      </c>
      <c r="C48" t="str">
        <f t="shared" si="4"/>
        <v>AprilAprilHong Kong - DCL KY</v>
      </c>
      <c r="D48" t="str">
        <f t="shared" si="5"/>
        <v>AprilMayHong Kong - DCL KY</v>
      </c>
      <c r="E48" t="str">
        <f t="shared" si="6"/>
        <v>AprilJuneHong Kong - DCL KY</v>
      </c>
      <c r="F48" t="str">
        <f t="shared" si="7"/>
        <v>AprilJulyHong Kong - DCL KY</v>
      </c>
      <c r="G48" t="str">
        <f t="shared" si="8"/>
        <v>AprilAugustHong Kong - DCL KY</v>
      </c>
      <c r="H48" t="str">
        <f t="shared" si="9"/>
        <v>AprilSeptemberHong Kong - DCL KY</v>
      </c>
      <c r="I48" t="str">
        <f t="shared" si="10"/>
        <v>AprilOctoberHong Kong - DCL KY</v>
      </c>
      <c r="J48" t="str">
        <f t="shared" si="11"/>
        <v>AprilNovemberHong Kong - DCL KY</v>
      </c>
      <c r="K48" t="str">
        <f t="shared" si="12"/>
        <v>AprilDecemberHong Kong - DCL KY</v>
      </c>
      <c r="L48" t="s">
        <v>302</v>
      </c>
      <c r="M48" t="s">
        <v>39</v>
      </c>
      <c r="N48" s="38">
        <f>SUMIF(Data!$A:$A,Summary!A48,Data!$M:$M)</f>
        <v>0</v>
      </c>
      <c r="O48" s="38">
        <f>SUMIF(Data!$A:$A,Summary!B48,Data!$M:$M)</f>
        <v>0</v>
      </c>
      <c r="P48" s="38">
        <f>SUMIF(Data!$A:$A,Summary!C48,Data!$M:$M)</f>
        <v>166251.91</v>
      </c>
      <c r="Q48" s="38">
        <f>SUMIF(Data!$A:$A,Summary!D48,Data!$M:$M)</f>
        <v>0</v>
      </c>
      <c r="R48" s="38">
        <f>SUMIF(Data!$A:$A,Summary!E48,Data!$M:$M)</f>
        <v>0</v>
      </c>
      <c r="S48" s="38">
        <f>SUMIF(Data!$A:$A,Summary!F48,Data!$M:$M)</f>
        <v>0</v>
      </c>
      <c r="T48" s="38">
        <f>SUMIF(Data!$A:$A,Summary!G48,Data!$M:$M)</f>
        <v>0</v>
      </c>
      <c r="U48" s="38">
        <f>SUMIF(Data!$A:$A,Summary!H48,Data!$M:$M)</f>
        <v>0</v>
      </c>
      <c r="V48" s="38">
        <f>SUMIF(Data!$A:$A,Summary!I48,Data!$M:$M)</f>
        <v>0</v>
      </c>
      <c r="W48" s="38">
        <f>SUMIF(Data!$A:$A,Summary!J48,Data!$M:$M)</f>
        <v>0</v>
      </c>
      <c r="X48" s="38">
        <f>SUMIF(Data!$A:$A,Summary!K48,Data!$M:$M)</f>
        <v>0</v>
      </c>
    </row>
    <row r="49" spans="1:24" x14ac:dyDescent="0.55000000000000004">
      <c r="A49" t="str">
        <f t="shared" si="2"/>
        <v>AprilFebruaryHong Kong - DECI NC</v>
      </c>
      <c r="B49" t="str">
        <f t="shared" si="3"/>
        <v>AprilMarchHong Kong - DECI NC</v>
      </c>
      <c r="C49" t="str">
        <f t="shared" si="4"/>
        <v>AprilAprilHong Kong - DECI NC</v>
      </c>
      <c r="D49" t="str">
        <f t="shared" si="5"/>
        <v>AprilMayHong Kong - DECI NC</v>
      </c>
      <c r="E49" t="str">
        <f t="shared" si="6"/>
        <v>AprilJuneHong Kong - DECI NC</v>
      </c>
      <c r="F49" t="str">
        <f t="shared" si="7"/>
        <v>AprilJulyHong Kong - DECI NC</v>
      </c>
      <c r="G49" t="str">
        <f t="shared" si="8"/>
        <v>AprilAugustHong Kong - DECI NC</v>
      </c>
      <c r="H49" t="str">
        <f t="shared" si="9"/>
        <v>AprilSeptemberHong Kong - DECI NC</v>
      </c>
      <c r="I49" t="str">
        <f t="shared" si="10"/>
        <v>AprilOctoberHong Kong - DECI NC</v>
      </c>
      <c r="J49" t="str">
        <f t="shared" si="11"/>
        <v>AprilNovemberHong Kong - DECI NC</v>
      </c>
      <c r="K49" t="str">
        <f t="shared" si="12"/>
        <v>AprilDecemberHong Kong - DECI NC</v>
      </c>
      <c r="L49" t="s">
        <v>302</v>
      </c>
      <c r="M49" t="s">
        <v>92</v>
      </c>
      <c r="N49" s="38">
        <f>SUMIF(Data!$A:$A,Summary!A49,Data!$M:$M)</f>
        <v>0</v>
      </c>
      <c r="O49" s="38">
        <f>SUMIF(Data!$A:$A,Summary!B49,Data!$M:$M)</f>
        <v>0</v>
      </c>
      <c r="P49" s="38">
        <f>SUMIF(Data!$A:$A,Summary!C49,Data!$M:$M)</f>
        <v>138702.12000000002</v>
      </c>
      <c r="Q49" s="38">
        <f>SUMIF(Data!$A:$A,Summary!D49,Data!$M:$M)</f>
        <v>0</v>
      </c>
      <c r="R49" s="38">
        <f>SUMIF(Data!$A:$A,Summary!E49,Data!$M:$M)</f>
        <v>0</v>
      </c>
      <c r="S49" s="38">
        <f>SUMIF(Data!$A:$A,Summary!F49,Data!$M:$M)</f>
        <v>0</v>
      </c>
      <c r="T49" s="38">
        <f>SUMIF(Data!$A:$A,Summary!G49,Data!$M:$M)</f>
        <v>0</v>
      </c>
      <c r="U49" s="38">
        <f>SUMIF(Data!$A:$A,Summary!H49,Data!$M:$M)</f>
        <v>0</v>
      </c>
      <c r="V49" s="38">
        <f>SUMIF(Data!$A:$A,Summary!I49,Data!$M:$M)</f>
        <v>0</v>
      </c>
      <c r="W49" s="38">
        <f>SUMIF(Data!$A:$A,Summary!J49,Data!$M:$M)</f>
        <v>0</v>
      </c>
      <c r="X49" s="38">
        <f>SUMIF(Data!$A:$A,Summary!K49,Data!$M:$M)</f>
        <v>0</v>
      </c>
    </row>
    <row r="50" spans="1:24" x14ac:dyDescent="0.55000000000000004">
      <c r="A50" t="str">
        <f t="shared" si="2"/>
        <v>AprilFebruaryHong Kong - Flex IL</v>
      </c>
      <c r="B50" t="str">
        <f t="shared" si="3"/>
        <v>AprilMarchHong Kong - Flex IL</v>
      </c>
      <c r="C50" t="str">
        <f t="shared" si="4"/>
        <v>AprilAprilHong Kong - Flex IL</v>
      </c>
      <c r="D50" t="str">
        <f t="shared" si="5"/>
        <v>AprilMayHong Kong - Flex IL</v>
      </c>
      <c r="E50" t="str">
        <f t="shared" si="6"/>
        <v>AprilJuneHong Kong - Flex IL</v>
      </c>
      <c r="F50" t="str">
        <f t="shared" si="7"/>
        <v>AprilJulyHong Kong - Flex IL</v>
      </c>
      <c r="G50" t="str">
        <f t="shared" si="8"/>
        <v>AprilAugustHong Kong - Flex IL</v>
      </c>
      <c r="H50" t="str">
        <f t="shared" si="9"/>
        <v>AprilSeptemberHong Kong - Flex IL</v>
      </c>
      <c r="I50" t="str">
        <f t="shared" si="10"/>
        <v>AprilOctoberHong Kong - Flex IL</v>
      </c>
      <c r="J50" t="str">
        <f t="shared" si="11"/>
        <v>AprilNovemberHong Kong - Flex IL</v>
      </c>
      <c r="K50" t="str">
        <f t="shared" si="12"/>
        <v>AprilDecemberHong Kong - Flex IL</v>
      </c>
      <c r="L50" t="s">
        <v>302</v>
      </c>
      <c r="M50" t="s">
        <v>111</v>
      </c>
      <c r="N50" s="38">
        <f>SUMIF(Data!$A:$A,Summary!A50,Data!$M:$M)</f>
        <v>0</v>
      </c>
      <c r="O50" s="38">
        <f>SUMIF(Data!$A:$A,Summary!B50,Data!$M:$M)</f>
        <v>0</v>
      </c>
      <c r="P50" s="38">
        <f>SUMIF(Data!$A:$A,Summary!C50,Data!$M:$M)</f>
        <v>3903.36</v>
      </c>
      <c r="Q50" s="38">
        <f>SUMIF(Data!$A:$A,Summary!D50,Data!$M:$M)</f>
        <v>0</v>
      </c>
      <c r="R50" s="38">
        <f>SUMIF(Data!$A:$A,Summary!E50,Data!$M:$M)</f>
        <v>0</v>
      </c>
      <c r="S50" s="38">
        <f>SUMIF(Data!$A:$A,Summary!F50,Data!$M:$M)</f>
        <v>0</v>
      </c>
      <c r="T50" s="38">
        <f>SUMIF(Data!$A:$A,Summary!G50,Data!$M:$M)</f>
        <v>0</v>
      </c>
      <c r="U50" s="38">
        <f>SUMIF(Data!$A:$A,Summary!H50,Data!$M:$M)</f>
        <v>0</v>
      </c>
      <c r="V50" s="38">
        <f>SUMIF(Data!$A:$A,Summary!I50,Data!$M:$M)</f>
        <v>0</v>
      </c>
      <c r="W50" s="38">
        <f>SUMIF(Data!$A:$A,Summary!J50,Data!$M:$M)</f>
        <v>0</v>
      </c>
      <c r="X50" s="38">
        <f>SUMIF(Data!$A:$A,Summary!K50,Data!$M:$M)</f>
        <v>0</v>
      </c>
    </row>
    <row r="51" spans="1:24" x14ac:dyDescent="0.55000000000000004">
      <c r="A51" t="str">
        <f t="shared" si="2"/>
        <v>AprilFebruaryHong Kong - Phillips WI</v>
      </c>
      <c r="B51" t="str">
        <f t="shared" si="3"/>
        <v>AprilMarchHong Kong - Phillips WI</v>
      </c>
      <c r="C51" t="str">
        <f t="shared" si="4"/>
        <v>AprilAprilHong Kong - Phillips WI</v>
      </c>
      <c r="D51" t="str">
        <f t="shared" si="5"/>
        <v>AprilMayHong Kong - Phillips WI</v>
      </c>
      <c r="E51" t="str">
        <f t="shared" si="6"/>
        <v>AprilJuneHong Kong - Phillips WI</v>
      </c>
      <c r="F51" t="str">
        <f t="shared" si="7"/>
        <v>AprilJulyHong Kong - Phillips WI</v>
      </c>
      <c r="G51" t="str">
        <f t="shared" si="8"/>
        <v>AprilAugustHong Kong - Phillips WI</v>
      </c>
      <c r="H51" t="str">
        <f t="shared" si="9"/>
        <v>AprilSeptemberHong Kong - Phillips WI</v>
      </c>
      <c r="I51" t="str">
        <f t="shared" si="10"/>
        <v>AprilOctoberHong Kong - Phillips WI</v>
      </c>
      <c r="J51" t="str">
        <f t="shared" si="11"/>
        <v>AprilNovemberHong Kong - Phillips WI</v>
      </c>
      <c r="K51" t="str">
        <f t="shared" si="12"/>
        <v>AprilDecemberHong Kong - Phillips WI</v>
      </c>
      <c r="L51" t="s">
        <v>302</v>
      </c>
      <c r="M51" t="s">
        <v>65</v>
      </c>
      <c r="N51" s="38">
        <f>SUMIF(Data!$A:$A,Summary!A51,Data!$M:$M)</f>
        <v>0</v>
      </c>
      <c r="O51" s="38">
        <f>SUMIF(Data!$A:$A,Summary!B51,Data!$M:$M)</f>
        <v>0</v>
      </c>
      <c r="P51" s="38">
        <f>SUMIF(Data!$A:$A,Summary!C51,Data!$M:$M)</f>
        <v>18457.07</v>
      </c>
      <c r="Q51" s="38">
        <f>SUMIF(Data!$A:$A,Summary!D51,Data!$M:$M)</f>
        <v>0</v>
      </c>
      <c r="R51" s="38">
        <f>SUMIF(Data!$A:$A,Summary!E51,Data!$M:$M)</f>
        <v>0</v>
      </c>
      <c r="S51" s="38">
        <f>SUMIF(Data!$A:$A,Summary!F51,Data!$M:$M)</f>
        <v>0</v>
      </c>
      <c r="T51" s="38">
        <f>SUMIF(Data!$A:$A,Summary!G51,Data!$M:$M)</f>
        <v>0</v>
      </c>
      <c r="U51" s="38">
        <f>SUMIF(Data!$A:$A,Summary!H51,Data!$M:$M)</f>
        <v>0</v>
      </c>
      <c r="V51" s="38">
        <f>SUMIF(Data!$A:$A,Summary!I51,Data!$M:$M)</f>
        <v>0</v>
      </c>
      <c r="W51" s="38">
        <f>SUMIF(Data!$A:$A,Summary!J51,Data!$M:$M)</f>
        <v>0</v>
      </c>
      <c r="X51" s="38">
        <f>SUMIF(Data!$A:$A,Summary!K51,Data!$M:$M)</f>
        <v>0</v>
      </c>
    </row>
    <row r="52" spans="1:24" x14ac:dyDescent="0.55000000000000004">
      <c r="A52" t="str">
        <f t="shared" si="2"/>
        <v>AprilFebruaryPhillips WI - DCL KY</v>
      </c>
      <c r="B52" t="str">
        <f t="shared" si="3"/>
        <v>AprilMarchPhillips WI - DCL KY</v>
      </c>
      <c r="C52" t="str">
        <f t="shared" si="4"/>
        <v>AprilAprilPhillips WI - DCL KY</v>
      </c>
      <c r="D52" t="str">
        <f t="shared" si="5"/>
        <v>AprilMayPhillips WI - DCL KY</v>
      </c>
      <c r="E52" t="str">
        <f t="shared" si="6"/>
        <v>AprilJunePhillips WI - DCL KY</v>
      </c>
      <c r="F52" t="str">
        <f t="shared" si="7"/>
        <v>AprilJulyPhillips WI - DCL KY</v>
      </c>
      <c r="G52" t="str">
        <f t="shared" si="8"/>
        <v>AprilAugustPhillips WI - DCL KY</v>
      </c>
      <c r="H52" t="str">
        <f t="shared" si="9"/>
        <v>AprilSeptemberPhillips WI - DCL KY</v>
      </c>
      <c r="I52" t="str">
        <f t="shared" si="10"/>
        <v>AprilOctoberPhillips WI - DCL KY</v>
      </c>
      <c r="J52" t="str">
        <f t="shared" si="11"/>
        <v>AprilNovemberPhillips WI - DCL KY</v>
      </c>
      <c r="K52" t="str">
        <f t="shared" si="12"/>
        <v>AprilDecemberPhillips WI - DCL KY</v>
      </c>
      <c r="L52" t="s">
        <v>302</v>
      </c>
      <c r="M52" t="s">
        <v>29</v>
      </c>
      <c r="N52" s="38">
        <f>SUMIF(Data!$A:$A,Summary!A52,Data!$M:$M)</f>
        <v>0</v>
      </c>
      <c r="O52" s="38">
        <f>SUMIF(Data!$A:$A,Summary!B52,Data!$M:$M)</f>
        <v>0</v>
      </c>
      <c r="P52" s="38">
        <f>SUMIF(Data!$A:$A,Summary!C52,Data!$M:$M)</f>
        <v>0</v>
      </c>
      <c r="Q52" s="38">
        <f>SUMIF(Data!$A:$A,Summary!D52,Data!$M:$M)</f>
        <v>0</v>
      </c>
      <c r="R52" s="38">
        <f>SUMIF(Data!$A:$A,Summary!E52,Data!$M:$M)</f>
        <v>0</v>
      </c>
      <c r="S52" s="38">
        <f>SUMIF(Data!$A:$A,Summary!F52,Data!$M:$M)</f>
        <v>0</v>
      </c>
      <c r="T52" s="38">
        <f>SUMIF(Data!$A:$A,Summary!G52,Data!$M:$M)</f>
        <v>0</v>
      </c>
      <c r="U52" s="38">
        <f>SUMIF(Data!$A:$A,Summary!H52,Data!$M:$M)</f>
        <v>0</v>
      </c>
      <c r="V52" s="38">
        <f>SUMIF(Data!$A:$A,Summary!I52,Data!$M:$M)</f>
        <v>0</v>
      </c>
      <c r="W52" s="38">
        <f>SUMIF(Data!$A:$A,Summary!J52,Data!$M:$M)</f>
        <v>0</v>
      </c>
      <c r="X52" s="38">
        <f>SUMIF(Data!$A:$A,Summary!K52,Data!$M:$M)</f>
        <v>0</v>
      </c>
    </row>
    <row r="53" spans="1:24" x14ac:dyDescent="0.55000000000000004">
      <c r="A53" t="str">
        <f t="shared" si="2"/>
        <v>AprilFebruarySan Francisco - Canada</v>
      </c>
      <c r="B53" t="str">
        <f t="shared" si="3"/>
        <v>AprilMarchSan Francisco - Canada</v>
      </c>
      <c r="C53" t="str">
        <f t="shared" si="4"/>
        <v>AprilAprilSan Francisco - Canada</v>
      </c>
      <c r="D53" t="str">
        <f t="shared" si="5"/>
        <v>AprilMaySan Francisco - Canada</v>
      </c>
      <c r="E53" t="str">
        <f t="shared" si="6"/>
        <v>AprilJuneSan Francisco - Canada</v>
      </c>
      <c r="F53" t="str">
        <f t="shared" si="7"/>
        <v>AprilJulySan Francisco - Canada</v>
      </c>
      <c r="G53" t="str">
        <f t="shared" si="8"/>
        <v>AprilAugustSan Francisco - Canada</v>
      </c>
      <c r="H53" t="str">
        <f t="shared" si="9"/>
        <v>AprilSeptemberSan Francisco - Canada</v>
      </c>
      <c r="I53" t="str">
        <f t="shared" si="10"/>
        <v>AprilOctoberSan Francisco - Canada</v>
      </c>
      <c r="J53" t="str">
        <f t="shared" si="11"/>
        <v>AprilNovemberSan Francisco - Canada</v>
      </c>
      <c r="K53" t="str">
        <f t="shared" si="12"/>
        <v>AprilDecemberSan Francisco - Canada</v>
      </c>
      <c r="L53" t="s">
        <v>302</v>
      </c>
      <c r="M53" t="s">
        <v>435</v>
      </c>
      <c r="N53" s="38">
        <f>SUMIF(Data!$A:$A,Summary!A53,Data!$M:$M)</f>
        <v>0</v>
      </c>
      <c r="O53" s="38">
        <f>SUMIF(Data!$A:$A,Summary!B53,Data!$M:$M)</f>
        <v>0</v>
      </c>
      <c r="P53" s="38">
        <f>SUMIF(Data!$A:$A,Summary!C53,Data!$M:$M)</f>
        <v>0</v>
      </c>
      <c r="Q53" s="38">
        <f>SUMIF(Data!$A:$A,Summary!D53,Data!$M:$M)</f>
        <v>0</v>
      </c>
      <c r="R53" s="38">
        <f>SUMIF(Data!$A:$A,Summary!E53,Data!$M:$M)</f>
        <v>0</v>
      </c>
      <c r="S53" s="38">
        <f>SUMIF(Data!$A:$A,Summary!F53,Data!$M:$M)</f>
        <v>0</v>
      </c>
      <c r="T53" s="38">
        <f>SUMIF(Data!$A:$A,Summary!G53,Data!$M:$M)</f>
        <v>0</v>
      </c>
      <c r="U53" s="38">
        <f>SUMIF(Data!$A:$A,Summary!H53,Data!$M:$M)</f>
        <v>0</v>
      </c>
      <c r="V53" s="38">
        <f>SUMIF(Data!$A:$A,Summary!I53,Data!$M:$M)</f>
        <v>0</v>
      </c>
      <c r="W53" s="38">
        <f>SUMIF(Data!$A:$A,Summary!J53,Data!$M:$M)</f>
        <v>0</v>
      </c>
      <c r="X53" s="38">
        <f>SUMIF(Data!$A:$A,Summary!K53,Data!$M:$M)</f>
        <v>0</v>
      </c>
    </row>
    <row r="54" spans="1:24" x14ac:dyDescent="0.55000000000000004">
      <c r="A54" t="str">
        <f t="shared" si="2"/>
        <v>AprilFebruaryShanghai - DCL KY</v>
      </c>
      <c r="B54" t="str">
        <f t="shared" si="3"/>
        <v>AprilMarchShanghai - DCL KY</v>
      </c>
      <c r="C54" t="str">
        <f t="shared" si="4"/>
        <v>AprilAprilShanghai - DCL KY</v>
      </c>
      <c r="D54" t="str">
        <f t="shared" si="5"/>
        <v>AprilMayShanghai - DCL KY</v>
      </c>
      <c r="E54" t="str">
        <f t="shared" si="6"/>
        <v>AprilJuneShanghai - DCL KY</v>
      </c>
      <c r="F54" t="str">
        <f t="shared" si="7"/>
        <v>AprilJulyShanghai - DCL KY</v>
      </c>
      <c r="G54" t="str">
        <f t="shared" si="8"/>
        <v>AprilAugustShanghai - DCL KY</v>
      </c>
      <c r="H54" t="str">
        <f t="shared" si="9"/>
        <v>AprilSeptemberShanghai - DCL KY</v>
      </c>
      <c r="I54" t="str">
        <f t="shared" si="10"/>
        <v>AprilOctoberShanghai - DCL KY</v>
      </c>
      <c r="J54" t="str">
        <f t="shared" si="11"/>
        <v>AprilNovemberShanghai - DCL KY</v>
      </c>
      <c r="K54" t="str">
        <f t="shared" si="12"/>
        <v>AprilDecemberShanghai - DCL KY</v>
      </c>
      <c r="L54" t="s">
        <v>302</v>
      </c>
      <c r="M54" t="s">
        <v>44</v>
      </c>
      <c r="N54" s="38">
        <f>SUMIF(Data!$A:$A,Summary!A54,Data!$M:$M)</f>
        <v>0</v>
      </c>
      <c r="O54" s="38">
        <f>SUMIF(Data!$A:$A,Summary!B54,Data!$M:$M)</f>
        <v>0</v>
      </c>
      <c r="P54" s="38">
        <f>SUMIF(Data!$A:$A,Summary!C54,Data!$M:$M)</f>
        <v>0</v>
      </c>
      <c r="Q54" s="38">
        <f>SUMIF(Data!$A:$A,Summary!D54,Data!$M:$M)</f>
        <v>0</v>
      </c>
      <c r="R54" s="38">
        <f>SUMIF(Data!$A:$A,Summary!E54,Data!$M:$M)</f>
        <v>0</v>
      </c>
      <c r="S54" s="38">
        <f>SUMIF(Data!$A:$A,Summary!F54,Data!$M:$M)</f>
        <v>0</v>
      </c>
      <c r="T54" s="38">
        <f>SUMIF(Data!$A:$A,Summary!G54,Data!$M:$M)</f>
        <v>0</v>
      </c>
      <c r="U54" s="38">
        <f>SUMIF(Data!$A:$A,Summary!H54,Data!$M:$M)</f>
        <v>0</v>
      </c>
      <c r="V54" s="38">
        <f>SUMIF(Data!$A:$A,Summary!I54,Data!$M:$M)</f>
        <v>0</v>
      </c>
      <c r="W54" s="38">
        <f>SUMIF(Data!$A:$A,Summary!J54,Data!$M:$M)</f>
        <v>0</v>
      </c>
      <c r="X54" s="38">
        <f>SUMIF(Data!$A:$A,Summary!K54,Data!$M:$M)</f>
        <v>0</v>
      </c>
    </row>
    <row r="55" spans="1:24" x14ac:dyDescent="0.55000000000000004">
      <c r="A55" t="str">
        <f t="shared" si="2"/>
        <v>AprilFebruaryShanghai - DECI NC</v>
      </c>
      <c r="B55" t="str">
        <f t="shared" si="3"/>
        <v>AprilMarchShanghai - DECI NC</v>
      </c>
      <c r="C55" t="str">
        <f t="shared" si="4"/>
        <v>AprilAprilShanghai - DECI NC</v>
      </c>
      <c r="D55" t="str">
        <f t="shared" si="5"/>
        <v>AprilMayShanghai - DECI NC</v>
      </c>
      <c r="E55" t="str">
        <f t="shared" si="6"/>
        <v>AprilJuneShanghai - DECI NC</v>
      </c>
      <c r="F55" t="str">
        <f t="shared" si="7"/>
        <v>AprilJulyShanghai - DECI NC</v>
      </c>
      <c r="G55" t="str">
        <f t="shared" si="8"/>
        <v>AprilAugustShanghai - DECI NC</v>
      </c>
      <c r="H55" t="str">
        <f t="shared" si="9"/>
        <v>AprilSeptemberShanghai - DECI NC</v>
      </c>
      <c r="I55" t="str">
        <f t="shared" si="10"/>
        <v>AprilOctoberShanghai - DECI NC</v>
      </c>
      <c r="J55" t="str">
        <f t="shared" si="11"/>
        <v>AprilNovemberShanghai - DECI NC</v>
      </c>
      <c r="K55" t="str">
        <f t="shared" si="12"/>
        <v>AprilDecemberShanghai - DECI NC</v>
      </c>
      <c r="L55" t="s">
        <v>302</v>
      </c>
      <c r="M55" t="s">
        <v>50</v>
      </c>
      <c r="N55" s="38">
        <f>SUMIF(Data!$A:$A,Summary!A55,Data!$M:$M)</f>
        <v>0</v>
      </c>
      <c r="O55" s="38">
        <f>SUMIF(Data!$A:$A,Summary!B55,Data!$M:$M)</f>
        <v>0</v>
      </c>
      <c r="P55" s="38">
        <f>SUMIF(Data!$A:$A,Summary!C55,Data!$M:$M)</f>
        <v>0</v>
      </c>
      <c r="Q55" s="38">
        <f>SUMIF(Data!$A:$A,Summary!D55,Data!$M:$M)</f>
        <v>0</v>
      </c>
      <c r="R55" s="38">
        <f>SUMIF(Data!$A:$A,Summary!E55,Data!$M:$M)</f>
        <v>0</v>
      </c>
      <c r="S55" s="38">
        <f>SUMIF(Data!$A:$A,Summary!F55,Data!$M:$M)</f>
        <v>0</v>
      </c>
      <c r="T55" s="38">
        <f>SUMIF(Data!$A:$A,Summary!G55,Data!$M:$M)</f>
        <v>0</v>
      </c>
      <c r="U55" s="38">
        <f>SUMIF(Data!$A:$A,Summary!H55,Data!$M:$M)</f>
        <v>0</v>
      </c>
      <c r="V55" s="38">
        <f>SUMIF(Data!$A:$A,Summary!I55,Data!$M:$M)</f>
        <v>0</v>
      </c>
      <c r="W55" s="38">
        <f>SUMIF(Data!$A:$A,Summary!J55,Data!$M:$M)</f>
        <v>0</v>
      </c>
      <c r="X55" s="38">
        <f>SUMIF(Data!$A:$A,Summary!K55,Data!$M:$M)</f>
        <v>0</v>
      </c>
    </row>
    <row r="56" spans="1:24" x14ac:dyDescent="0.55000000000000004">
      <c r="A56" t="str">
        <f t="shared" si="2"/>
        <v>AprilFebruaryTaiwan - DCL KY</v>
      </c>
      <c r="B56" t="str">
        <f t="shared" si="3"/>
        <v>AprilMarchTaiwan - DCL KY</v>
      </c>
      <c r="C56" t="str">
        <f t="shared" si="4"/>
        <v>AprilAprilTaiwan - DCL KY</v>
      </c>
      <c r="D56" t="str">
        <f t="shared" si="5"/>
        <v>AprilMayTaiwan - DCL KY</v>
      </c>
      <c r="E56" t="str">
        <f t="shared" si="6"/>
        <v>AprilJuneTaiwan - DCL KY</v>
      </c>
      <c r="F56" t="str">
        <f t="shared" si="7"/>
        <v>AprilJulyTaiwan - DCL KY</v>
      </c>
      <c r="G56" t="str">
        <f t="shared" si="8"/>
        <v>AprilAugustTaiwan - DCL KY</v>
      </c>
      <c r="H56" t="str">
        <f t="shared" si="9"/>
        <v>AprilSeptemberTaiwan - DCL KY</v>
      </c>
      <c r="I56" t="str">
        <f t="shared" si="10"/>
        <v>AprilOctoberTaiwan - DCL KY</v>
      </c>
      <c r="J56" t="str">
        <f t="shared" si="11"/>
        <v>AprilNovemberTaiwan - DCL KY</v>
      </c>
      <c r="K56" t="str">
        <f t="shared" si="12"/>
        <v>AprilDecemberTaiwan - DCL KY</v>
      </c>
      <c r="L56" t="s">
        <v>302</v>
      </c>
      <c r="M56" t="s">
        <v>128</v>
      </c>
      <c r="N56" s="38">
        <f>SUMIF(Data!$A:$A,Summary!A56,Data!$M:$M)</f>
        <v>0</v>
      </c>
      <c r="O56" s="38">
        <f>SUMIF(Data!$A:$A,Summary!B56,Data!$M:$M)</f>
        <v>0</v>
      </c>
      <c r="P56" s="38">
        <f>SUMIF(Data!$A:$A,Summary!C56,Data!$M:$M)</f>
        <v>0</v>
      </c>
      <c r="Q56" s="38">
        <f>SUMIF(Data!$A:$A,Summary!D56,Data!$M:$M)</f>
        <v>0</v>
      </c>
      <c r="R56" s="38">
        <f>SUMIF(Data!$A:$A,Summary!E56,Data!$M:$M)</f>
        <v>0</v>
      </c>
      <c r="S56" s="38">
        <f>SUMIF(Data!$A:$A,Summary!F56,Data!$M:$M)</f>
        <v>0</v>
      </c>
      <c r="T56" s="38">
        <f>SUMIF(Data!$A:$A,Summary!G56,Data!$M:$M)</f>
        <v>0</v>
      </c>
      <c r="U56" s="38">
        <f>SUMIF(Data!$A:$A,Summary!H56,Data!$M:$M)</f>
        <v>0</v>
      </c>
      <c r="V56" s="38">
        <f>SUMIF(Data!$A:$A,Summary!I56,Data!$M:$M)</f>
        <v>0</v>
      </c>
      <c r="W56" s="38">
        <f>SUMIF(Data!$A:$A,Summary!J56,Data!$M:$M)</f>
        <v>0</v>
      </c>
      <c r="X56" s="38">
        <f>SUMIF(Data!$A:$A,Summary!K56,Data!$M:$M)</f>
        <v>0</v>
      </c>
    </row>
    <row r="57" spans="1:24" x14ac:dyDescent="0.55000000000000004">
      <c r="A57" t="str">
        <f>$L57&amp;N$1&amp;$M57</f>
        <v>MayFebruaryAFG NC - DCL KY</v>
      </c>
      <c r="B57" t="str">
        <f>$L57&amp;O$1&amp;$M57</f>
        <v>MayMarchAFG NC - DCL KY</v>
      </c>
      <c r="C57" t="str">
        <f t="shared" ref="C57" si="20">$L57&amp;P$1&amp;$M57</f>
        <v>MayAprilAFG NC - DCL KY</v>
      </c>
      <c r="D57" t="str">
        <f t="shared" ref="D57" si="21">$L57&amp;Q$1&amp;$M57</f>
        <v>MayMayAFG NC - DCL KY</v>
      </c>
      <c r="E57" t="str">
        <f t="shared" ref="E57" si="22">$L57&amp;R$1&amp;$M57</f>
        <v>MayJuneAFG NC - DCL KY</v>
      </c>
      <c r="F57" t="str">
        <f t="shared" ref="F57" si="23">$L57&amp;S$1&amp;$M57</f>
        <v>MayJulyAFG NC - DCL KY</v>
      </c>
      <c r="G57" t="str">
        <f t="shared" ref="G57" si="24">$L57&amp;T$1&amp;$M57</f>
        <v>MayAugustAFG NC - DCL KY</v>
      </c>
      <c r="H57" t="str">
        <f t="shared" ref="H57" si="25">$L57&amp;U$1&amp;$M57</f>
        <v>MaySeptemberAFG NC - DCL KY</v>
      </c>
      <c r="I57" t="str">
        <f t="shared" ref="I57" si="26">$L57&amp;V$1&amp;$M57</f>
        <v>MayOctoberAFG NC - DCL KY</v>
      </c>
      <c r="J57" t="str">
        <f t="shared" ref="J57" si="27">$L57&amp;W$1&amp;$M57</f>
        <v>MayNovemberAFG NC - DCL KY</v>
      </c>
      <c r="K57" t="str">
        <f t="shared" ref="K57" si="28">$L57&amp;X$1&amp;$M57</f>
        <v>MayDecemberAFG NC - DCL KY</v>
      </c>
      <c r="L57" t="s">
        <v>303</v>
      </c>
      <c r="M57" t="s">
        <v>173</v>
      </c>
      <c r="N57" s="38">
        <f>SUMIF(Data!$A:$A,Summary!A57,Data!$M:$M)</f>
        <v>0</v>
      </c>
      <c r="O57" s="38">
        <f>SUMIF(Data!$A:$A,Summary!B57,Data!$M:$M)</f>
        <v>0</v>
      </c>
      <c r="P57" s="38">
        <f>SUMIF(Data!$A:$A,Summary!C57,Data!$M:$M)</f>
        <v>0</v>
      </c>
      <c r="Q57" s="38">
        <f>SUMIF(Data!$A:$A,Summary!D57,Data!$M:$M)</f>
        <v>108505.64000000001</v>
      </c>
      <c r="R57" s="38">
        <f>SUMIF(Data!$A:$A,Summary!E57,Data!$M:$M)</f>
        <v>0</v>
      </c>
      <c r="S57" s="38">
        <f>SUMIF(Data!$A:$A,Summary!F57,Data!$M:$M)</f>
        <v>0</v>
      </c>
      <c r="T57" s="38">
        <f>SUMIF(Data!$A:$A,Summary!G57,Data!$M:$M)</f>
        <v>0</v>
      </c>
      <c r="U57" s="38">
        <f>SUMIF(Data!$A:$A,Summary!H57,Data!$M:$M)</f>
        <v>0</v>
      </c>
      <c r="V57" s="38">
        <f>SUMIF(Data!$A:$A,Summary!I57,Data!$M:$M)</f>
        <v>0</v>
      </c>
      <c r="W57" s="38">
        <f>SUMIF(Data!$A:$A,Summary!J57,Data!$M:$M)</f>
        <v>0</v>
      </c>
      <c r="X57" s="38">
        <f>SUMIF(Data!$A:$A,Summary!K57,Data!$M:$M)</f>
        <v>0</v>
      </c>
    </row>
    <row r="58" spans="1:24" x14ac:dyDescent="0.55000000000000004">
      <c r="A58" t="str">
        <f t="shared" ref="A58" si="29">$L58&amp;N$1&amp;$M58</f>
        <v>MayFebruaryAFG NC - Canada</v>
      </c>
      <c r="B58" t="str">
        <f t="shared" ref="B58" si="30">$L58&amp;O$1&amp;$M58</f>
        <v>MayMarchAFG NC - Canada</v>
      </c>
      <c r="C58" t="str">
        <f t="shared" ref="C58" si="31">$L58&amp;P$1&amp;$M58</f>
        <v>MayAprilAFG NC - Canada</v>
      </c>
      <c r="D58" t="str">
        <f t="shared" ref="D58" si="32">$L58&amp;Q$1&amp;$M58</f>
        <v>MayMayAFG NC - Canada</v>
      </c>
      <c r="E58" t="str">
        <f t="shared" ref="E58" si="33">$L58&amp;R$1&amp;$M58</f>
        <v>MayJuneAFG NC - Canada</v>
      </c>
      <c r="F58" t="str">
        <f t="shared" ref="F58" si="34">$L58&amp;S$1&amp;$M58</f>
        <v>MayJulyAFG NC - Canada</v>
      </c>
      <c r="G58" t="str">
        <f t="shared" ref="G58" si="35">$L58&amp;T$1&amp;$M58</f>
        <v>MayAugustAFG NC - Canada</v>
      </c>
      <c r="H58" t="str">
        <f t="shared" ref="H58" si="36">$L58&amp;U$1&amp;$M58</f>
        <v>MaySeptemberAFG NC - Canada</v>
      </c>
      <c r="I58" t="str">
        <f t="shared" ref="I58" si="37">$L58&amp;V$1&amp;$M58</f>
        <v>MayOctoberAFG NC - Canada</v>
      </c>
      <c r="J58" t="str">
        <f t="shared" ref="J58" si="38">$L58&amp;W$1&amp;$M58</f>
        <v>MayNovemberAFG NC - Canada</v>
      </c>
      <c r="K58" t="str">
        <f t="shared" ref="K58" si="39">$L58&amp;X$1&amp;$M58</f>
        <v>MayDecemberAFG NC - Canada</v>
      </c>
      <c r="L58" t="s">
        <v>303</v>
      </c>
      <c r="M58" t="s">
        <v>1085</v>
      </c>
      <c r="N58" s="38">
        <f>SUMIF(Data!$A:$A,Summary!A58,Data!$M:$M)</f>
        <v>0</v>
      </c>
      <c r="O58" s="38">
        <f>SUMIF(Data!$A:$A,Summary!B58,Data!$M:$M)</f>
        <v>0</v>
      </c>
      <c r="P58" s="38">
        <f>SUMIF(Data!$A:$A,Summary!C58,Data!$M:$M)</f>
        <v>0</v>
      </c>
      <c r="Q58" s="38">
        <f>SUMIF(Data!$A:$A,Summary!D58,Data!$M:$M)</f>
        <v>0</v>
      </c>
      <c r="R58" s="38">
        <f>SUMIF(Data!$A:$A,Summary!E58,Data!$M:$M)</f>
        <v>0</v>
      </c>
      <c r="S58" s="38">
        <f>SUMIF(Data!$A:$A,Summary!F58,Data!$M:$M)</f>
        <v>0</v>
      </c>
      <c r="T58" s="38">
        <f>SUMIF(Data!$A:$A,Summary!G58,Data!$M:$M)</f>
        <v>0</v>
      </c>
      <c r="U58" s="38">
        <f>SUMIF(Data!$A:$A,Summary!H58,Data!$M:$M)</f>
        <v>0</v>
      </c>
      <c r="V58" s="38">
        <f>SUMIF(Data!$A:$A,Summary!I58,Data!$M:$M)</f>
        <v>0</v>
      </c>
      <c r="W58" s="38">
        <f>SUMIF(Data!$A:$A,Summary!J58,Data!$M:$M)</f>
        <v>0</v>
      </c>
      <c r="X58" s="38">
        <f>SUMIF(Data!$A:$A,Summary!K58,Data!$M:$M)</f>
        <v>0</v>
      </c>
    </row>
    <row r="59" spans="1:24" x14ac:dyDescent="0.55000000000000004">
      <c r="A59" t="str">
        <f t="shared" ref="A59" si="40">$L59&amp;N$1&amp;$M59</f>
        <v>MayFebruaryAFG NC - Phillips WI</v>
      </c>
      <c r="B59" t="str">
        <f t="shared" ref="B59" si="41">$L59&amp;O$1&amp;$M59</f>
        <v>MayMarchAFG NC - Phillips WI</v>
      </c>
      <c r="C59" t="str">
        <f t="shared" ref="C59" si="42">$L59&amp;P$1&amp;$M59</f>
        <v>MayAprilAFG NC - Phillips WI</v>
      </c>
      <c r="D59" t="str">
        <f t="shared" ref="D59" si="43">$L59&amp;Q$1&amp;$M59</f>
        <v>MayMayAFG NC - Phillips WI</v>
      </c>
      <c r="E59" t="str">
        <f t="shared" ref="E59" si="44">$L59&amp;R$1&amp;$M59</f>
        <v>MayJuneAFG NC - Phillips WI</v>
      </c>
      <c r="F59" t="str">
        <f t="shared" ref="F59" si="45">$L59&amp;S$1&amp;$M59</f>
        <v>MayJulyAFG NC - Phillips WI</v>
      </c>
      <c r="G59" t="str">
        <f t="shared" ref="G59" si="46">$L59&amp;T$1&amp;$M59</f>
        <v>MayAugustAFG NC - Phillips WI</v>
      </c>
      <c r="H59" t="str">
        <f t="shared" ref="H59" si="47">$L59&amp;U$1&amp;$M59</f>
        <v>MaySeptemberAFG NC - Phillips WI</v>
      </c>
      <c r="I59" t="str">
        <f t="shared" ref="I59" si="48">$L59&amp;V$1&amp;$M59</f>
        <v>MayOctoberAFG NC - Phillips WI</v>
      </c>
      <c r="J59" t="str">
        <f t="shared" ref="J59" si="49">$L59&amp;W$1&amp;$M59</f>
        <v>MayNovemberAFG NC - Phillips WI</v>
      </c>
      <c r="K59" t="str">
        <f t="shared" ref="K59" si="50">$L59&amp;X$1&amp;$M59</f>
        <v>MayDecemberAFG NC - Phillips WI</v>
      </c>
      <c r="L59" t="s">
        <v>303</v>
      </c>
      <c r="M59" t="s">
        <v>833</v>
      </c>
      <c r="N59" s="38">
        <f>SUMIF(Data!$A:$A,Summary!A59,Data!$M:$M)</f>
        <v>0</v>
      </c>
      <c r="O59" s="38">
        <f>SUMIF(Data!$A:$A,Summary!B59,Data!$M:$M)</f>
        <v>0</v>
      </c>
      <c r="P59" s="38">
        <f>SUMIF(Data!$A:$A,Summary!C59,Data!$M:$M)</f>
        <v>0</v>
      </c>
      <c r="Q59" s="38">
        <f>SUMIF(Data!$A:$A,Summary!D59,Data!$M:$M)</f>
        <v>-9</v>
      </c>
      <c r="R59" s="38">
        <f>SUMIF(Data!$A:$A,Summary!E59,Data!$M:$M)</f>
        <v>0</v>
      </c>
      <c r="S59" s="38">
        <f>SUMIF(Data!$A:$A,Summary!F59,Data!$M:$M)</f>
        <v>0</v>
      </c>
      <c r="T59" s="38">
        <f>SUMIF(Data!$A:$A,Summary!G59,Data!$M:$M)</f>
        <v>0</v>
      </c>
      <c r="U59" s="38">
        <f>SUMIF(Data!$A:$A,Summary!H59,Data!$M:$M)</f>
        <v>0</v>
      </c>
      <c r="V59" s="38">
        <f>SUMIF(Data!$A:$A,Summary!I59,Data!$M:$M)</f>
        <v>0</v>
      </c>
      <c r="W59" s="38">
        <f>SUMIF(Data!$A:$A,Summary!J59,Data!$M:$M)</f>
        <v>0</v>
      </c>
      <c r="X59" s="38">
        <f>SUMIF(Data!$A:$A,Summary!K59,Data!$M:$M)</f>
        <v>0</v>
      </c>
    </row>
    <row r="60" spans="1:24" x14ac:dyDescent="0.55000000000000004">
      <c r="A60" t="str">
        <f t="shared" ref="A60" si="51">$L60&amp;N$1&amp;$M60</f>
        <v>MayFebruaryAFG Suzho - DCL KY</v>
      </c>
      <c r="B60" t="str">
        <f t="shared" ref="B60" si="52">$L60&amp;O$1&amp;$M60</f>
        <v>MayMarchAFG Suzho - DCL KY</v>
      </c>
      <c r="C60" t="str">
        <f t="shared" ref="C60" si="53">$L60&amp;P$1&amp;$M60</f>
        <v>MayAprilAFG Suzho - DCL KY</v>
      </c>
      <c r="D60" t="str">
        <f t="shared" ref="D60" si="54">$L60&amp;Q$1&amp;$M60</f>
        <v>MayMayAFG Suzho - DCL KY</v>
      </c>
      <c r="E60" t="str">
        <f t="shared" ref="E60" si="55">$L60&amp;R$1&amp;$M60</f>
        <v>MayJuneAFG Suzho - DCL KY</v>
      </c>
      <c r="F60" t="str">
        <f t="shared" ref="F60" si="56">$L60&amp;S$1&amp;$M60</f>
        <v>MayJulyAFG Suzho - DCL KY</v>
      </c>
      <c r="G60" t="str">
        <f t="shared" ref="G60" si="57">$L60&amp;T$1&amp;$M60</f>
        <v>MayAugustAFG Suzho - DCL KY</v>
      </c>
      <c r="H60" t="str">
        <f t="shared" ref="H60" si="58">$L60&amp;U$1&amp;$M60</f>
        <v>MaySeptemberAFG Suzho - DCL KY</v>
      </c>
      <c r="I60" t="str">
        <f t="shared" ref="I60" si="59">$L60&amp;V$1&amp;$M60</f>
        <v>MayOctoberAFG Suzho - DCL KY</v>
      </c>
      <c r="J60" t="str">
        <f t="shared" ref="J60" si="60">$L60&amp;W$1&amp;$M60</f>
        <v>MayNovemberAFG Suzho - DCL KY</v>
      </c>
      <c r="K60" t="str">
        <f t="shared" ref="K60" si="61">$L60&amp;X$1&amp;$M60</f>
        <v>MayDecemberAFG Suzho - DCL KY</v>
      </c>
      <c r="L60" t="s">
        <v>303</v>
      </c>
      <c r="M60" t="s">
        <v>247</v>
      </c>
      <c r="N60" s="38">
        <f>SUMIF(Data!$A:$A,Summary!A60,Data!$M:$M)</f>
        <v>0</v>
      </c>
      <c r="O60" s="38">
        <f>SUMIF(Data!$A:$A,Summary!B60,Data!$M:$M)</f>
        <v>0</v>
      </c>
      <c r="P60" s="38">
        <f>SUMIF(Data!$A:$A,Summary!C60,Data!$M:$M)</f>
        <v>0</v>
      </c>
      <c r="Q60" s="38">
        <f>SUMIF(Data!$A:$A,Summary!D60,Data!$M:$M)</f>
        <v>-3.637978807091713E-12</v>
      </c>
      <c r="R60" s="38">
        <f>SUMIF(Data!$A:$A,Summary!E60,Data!$M:$M)</f>
        <v>0</v>
      </c>
      <c r="S60" s="38">
        <f>SUMIF(Data!$A:$A,Summary!F60,Data!$M:$M)</f>
        <v>0</v>
      </c>
      <c r="T60" s="38">
        <f>SUMIF(Data!$A:$A,Summary!G60,Data!$M:$M)</f>
        <v>0</v>
      </c>
      <c r="U60" s="38">
        <f>SUMIF(Data!$A:$A,Summary!H60,Data!$M:$M)</f>
        <v>0</v>
      </c>
      <c r="V60" s="38">
        <f>SUMIF(Data!$A:$A,Summary!I60,Data!$M:$M)</f>
        <v>0</v>
      </c>
      <c r="W60" s="38">
        <f>SUMIF(Data!$A:$A,Summary!J60,Data!$M:$M)</f>
        <v>0</v>
      </c>
      <c r="X60" s="38">
        <f>SUMIF(Data!$A:$A,Summary!K60,Data!$M:$M)</f>
        <v>0</v>
      </c>
    </row>
    <row r="61" spans="1:24" x14ac:dyDescent="0.55000000000000004">
      <c r="A61" t="str">
        <f t="shared" ref="A61" si="62">$L61&amp;N$1&amp;$M61</f>
        <v>MayFebruaryAFG Suzho - DECI NC</v>
      </c>
      <c r="B61" t="str">
        <f t="shared" ref="B61" si="63">$L61&amp;O$1&amp;$M61</f>
        <v>MayMarchAFG Suzho - DECI NC</v>
      </c>
      <c r="C61" t="str">
        <f t="shared" ref="C61" si="64">$L61&amp;P$1&amp;$M61</f>
        <v>MayAprilAFG Suzho - DECI NC</v>
      </c>
      <c r="D61" t="str">
        <f t="shared" ref="D61" si="65">$L61&amp;Q$1&amp;$M61</f>
        <v>MayMayAFG Suzho - DECI NC</v>
      </c>
      <c r="E61" t="str">
        <f t="shared" ref="E61" si="66">$L61&amp;R$1&amp;$M61</f>
        <v>MayJuneAFG Suzho - DECI NC</v>
      </c>
      <c r="F61" t="str">
        <f t="shared" ref="F61" si="67">$L61&amp;S$1&amp;$M61</f>
        <v>MayJulyAFG Suzho - DECI NC</v>
      </c>
      <c r="G61" t="str">
        <f t="shared" ref="G61" si="68">$L61&amp;T$1&amp;$M61</f>
        <v>MayAugustAFG Suzho - DECI NC</v>
      </c>
      <c r="H61" t="str">
        <f t="shared" ref="H61" si="69">$L61&amp;U$1&amp;$M61</f>
        <v>MaySeptemberAFG Suzho - DECI NC</v>
      </c>
      <c r="I61" t="str">
        <f t="shared" ref="I61" si="70">$L61&amp;V$1&amp;$M61</f>
        <v>MayOctoberAFG Suzho - DECI NC</v>
      </c>
      <c r="J61" t="str">
        <f t="shared" ref="J61" si="71">$L61&amp;W$1&amp;$M61</f>
        <v>MayNovemberAFG Suzho - DECI NC</v>
      </c>
      <c r="K61" t="str">
        <f t="shared" ref="K61" si="72">$L61&amp;X$1&amp;$M61</f>
        <v>MayDecemberAFG Suzho - DECI NC</v>
      </c>
      <c r="L61" t="s">
        <v>303</v>
      </c>
      <c r="M61" t="s">
        <v>245</v>
      </c>
      <c r="N61" s="38">
        <f>SUMIF(Data!$A:$A,Summary!A61,Data!$M:$M)</f>
        <v>0</v>
      </c>
      <c r="O61" s="38">
        <f>SUMIF(Data!$A:$A,Summary!B61,Data!$M:$M)</f>
        <v>0</v>
      </c>
      <c r="P61" s="38">
        <f>SUMIF(Data!$A:$A,Summary!C61,Data!$M:$M)</f>
        <v>0</v>
      </c>
      <c r="Q61" s="38">
        <f>SUMIF(Data!$A:$A,Summary!D61,Data!$M:$M)</f>
        <v>-7.2759576141834259E-12</v>
      </c>
      <c r="R61" s="38">
        <f>SUMIF(Data!$A:$A,Summary!E61,Data!$M:$M)</f>
        <v>0</v>
      </c>
      <c r="S61" s="38">
        <f>SUMIF(Data!$A:$A,Summary!F61,Data!$M:$M)</f>
        <v>0</v>
      </c>
      <c r="T61" s="38">
        <f>SUMIF(Data!$A:$A,Summary!G61,Data!$M:$M)</f>
        <v>0</v>
      </c>
      <c r="U61" s="38">
        <f>SUMIF(Data!$A:$A,Summary!H61,Data!$M:$M)</f>
        <v>0</v>
      </c>
      <c r="V61" s="38">
        <f>SUMIF(Data!$A:$A,Summary!I61,Data!$M:$M)</f>
        <v>0</v>
      </c>
      <c r="W61" s="38">
        <f>SUMIF(Data!$A:$A,Summary!J61,Data!$M:$M)</f>
        <v>0</v>
      </c>
      <c r="X61" s="38">
        <f>SUMIF(Data!$A:$A,Summary!K61,Data!$M:$M)</f>
        <v>0</v>
      </c>
    </row>
    <row r="62" spans="1:24" x14ac:dyDescent="0.55000000000000004">
      <c r="A62" t="str">
        <f t="shared" ref="A62" si="73">$L62&amp;N$1&amp;$M62</f>
        <v>MayFebruaryAFG Suzho - Flex IL</v>
      </c>
      <c r="B62" t="str">
        <f t="shared" ref="B62" si="74">$L62&amp;O$1&amp;$M62</f>
        <v>MayMarchAFG Suzho - Flex IL</v>
      </c>
      <c r="C62" t="str">
        <f t="shared" ref="C62" si="75">$L62&amp;P$1&amp;$M62</f>
        <v>MayAprilAFG Suzho - Flex IL</v>
      </c>
      <c r="D62" t="str">
        <f t="shared" ref="D62" si="76">$L62&amp;Q$1&amp;$M62</f>
        <v>MayMayAFG Suzho - Flex IL</v>
      </c>
      <c r="E62" t="str">
        <f t="shared" ref="E62" si="77">$L62&amp;R$1&amp;$M62</f>
        <v>MayJuneAFG Suzho - Flex IL</v>
      </c>
      <c r="F62" t="str">
        <f t="shared" ref="F62" si="78">$L62&amp;S$1&amp;$M62</f>
        <v>MayJulyAFG Suzho - Flex IL</v>
      </c>
      <c r="G62" t="str">
        <f t="shared" ref="G62" si="79">$L62&amp;T$1&amp;$M62</f>
        <v>MayAugustAFG Suzho - Flex IL</v>
      </c>
      <c r="H62" t="str">
        <f t="shared" ref="H62" si="80">$L62&amp;U$1&amp;$M62</f>
        <v>MaySeptemberAFG Suzho - Flex IL</v>
      </c>
      <c r="I62" t="str">
        <f t="shared" ref="I62" si="81">$L62&amp;V$1&amp;$M62</f>
        <v>MayOctoberAFG Suzho - Flex IL</v>
      </c>
      <c r="J62" t="str">
        <f t="shared" ref="J62" si="82">$L62&amp;W$1&amp;$M62</f>
        <v>MayNovemberAFG Suzho - Flex IL</v>
      </c>
      <c r="K62" t="str">
        <f t="shared" ref="K62" si="83">$L62&amp;X$1&amp;$M62</f>
        <v>MayDecemberAFG Suzho - Flex IL</v>
      </c>
      <c r="L62" t="s">
        <v>303</v>
      </c>
      <c r="M62" t="s">
        <v>260</v>
      </c>
      <c r="N62" s="38">
        <f>SUMIF(Data!$A:$A,Summary!A62,Data!$M:$M)</f>
        <v>0</v>
      </c>
      <c r="O62" s="38">
        <f>SUMIF(Data!$A:$A,Summary!B62,Data!$M:$M)</f>
        <v>0</v>
      </c>
      <c r="P62" s="38">
        <f>SUMIF(Data!$A:$A,Summary!C62,Data!$M:$M)</f>
        <v>0</v>
      </c>
      <c r="Q62" s="38">
        <f>SUMIF(Data!$A:$A,Summary!D62,Data!$M:$M)</f>
        <v>0</v>
      </c>
      <c r="R62" s="38">
        <f>SUMIF(Data!$A:$A,Summary!E62,Data!$M:$M)</f>
        <v>0</v>
      </c>
      <c r="S62" s="38">
        <f>SUMIF(Data!$A:$A,Summary!F62,Data!$M:$M)</f>
        <v>0</v>
      </c>
      <c r="T62" s="38">
        <f>SUMIF(Data!$A:$A,Summary!G62,Data!$M:$M)</f>
        <v>0</v>
      </c>
      <c r="U62" s="38">
        <f>SUMIF(Data!$A:$A,Summary!H62,Data!$M:$M)</f>
        <v>0</v>
      </c>
      <c r="V62" s="38">
        <f>SUMIF(Data!$A:$A,Summary!I62,Data!$M:$M)</f>
        <v>0</v>
      </c>
      <c r="W62" s="38">
        <f>SUMIF(Data!$A:$A,Summary!J62,Data!$M:$M)</f>
        <v>0</v>
      </c>
      <c r="X62" s="38">
        <f>SUMIF(Data!$A:$A,Summary!K62,Data!$M:$M)</f>
        <v>0</v>
      </c>
    </row>
    <row r="63" spans="1:24" x14ac:dyDescent="0.55000000000000004">
      <c r="A63" t="str">
        <f t="shared" ref="A63" si="84">$L63&amp;N$1&amp;$M63</f>
        <v>MayFebruaryChicago IL - Phillips WI</v>
      </c>
      <c r="B63" t="str">
        <f t="shared" ref="B63" si="85">$L63&amp;O$1&amp;$M63</f>
        <v>MayMarchChicago IL - Phillips WI</v>
      </c>
      <c r="C63" t="str">
        <f t="shared" ref="C63" si="86">$L63&amp;P$1&amp;$M63</f>
        <v>MayAprilChicago IL - Phillips WI</v>
      </c>
      <c r="D63" t="str">
        <f t="shared" ref="D63" si="87">$L63&amp;Q$1&amp;$M63</f>
        <v>MayMayChicago IL - Phillips WI</v>
      </c>
      <c r="E63" t="str">
        <f t="shared" ref="E63" si="88">$L63&amp;R$1&amp;$M63</f>
        <v>MayJuneChicago IL - Phillips WI</v>
      </c>
      <c r="F63" t="str">
        <f t="shared" ref="F63" si="89">$L63&amp;S$1&amp;$M63</f>
        <v>MayJulyChicago IL - Phillips WI</v>
      </c>
      <c r="G63" t="str">
        <f t="shared" ref="G63" si="90">$L63&amp;T$1&amp;$M63</f>
        <v>MayAugustChicago IL - Phillips WI</v>
      </c>
      <c r="H63" t="str">
        <f t="shared" ref="H63" si="91">$L63&amp;U$1&amp;$M63</f>
        <v>MaySeptemberChicago IL - Phillips WI</v>
      </c>
      <c r="I63" t="str">
        <f t="shared" ref="I63" si="92">$L63&amp;V$1&amp;$M63</f>
        <v>MayOctoberChicago IL - Phillips WI</v>
      </c>
      <c r="J63" t="str">
        <f t="shared" ref="J63" si="93">$L63&amp;W$1&amp;$M63</f>
        <v>MayNovemberChicago IL - Phillips WI</v>
      </c>
      <c r="K63" t="str">
        <f t="shared" ref="K63" si="94">$L63&amp;X$1&amp;$M63</f>
        <v>MayDecemberChicago IL - Phillips WI</v>
      </c>
      <c r="L63" t="s">
        <v>303</v>
      </c>
      <c r="M63" t="s">
        <v>187</v>
      </c>
      <c r="N63" s="38">
        <f>SUMIF(Data!$A:$A,Summary!A63,Data!$M:$M)</f>
        <v>0</v>
      </c>
      <c r="O63" s="38">
        <f>SUMIF(Data!$A:$A,Summary!B63,Data!$M:$M)</f>
        <v>0</v>
      </c>
      <c r="P63" s="38">
        <f>SUMIF(Data!$A:$A,Summary!C63,Data!$M:$M)</f>
        <v>0</v>
      </c>
      <c r="Q63" s="38">
        <f>SUMIF(Data!$A:$A,Summary!D63,Data!$M:$M)</f>
        <v>378.67</v>
      </c>
      <c r="R63" s="38">
        <f>SUMIF(Data!$A:$A,Summary!E63,Data!$M:$M)</f>
        <v>0</v>
      </c>
      <c r="S63" s="38">
        <f>SUMIF(Data!$A:$A,Summary!F63,Data!$M:$M)</f>
        <v>0</v>
      </c>
      <c r="T63" s="38">
        <f>SUMIF(Data!$A:$A,Summary!G63,Data!$M:$M)</f>
        <v>0</v>
      </c>
      <c r="U63" s="38">
        <f>SUMIF(Data!$A:$A,Summary!H63,Data!$M:$M)</f>
        <v>0</v>
      </c>
      <c r="V63" s="38">
        <f>SUMIF(Data!$A:$A,Summary!I63,Data!$M:$M)</f>
        <v>0</v>
      </c>
      <c r="W63" s="38">
        <f>SUMIF(Data!$A:$A,Summary!J63,Data!$M:$M)</f>
        <v>0</v>
      </c>
      <c r="X63" s="38">
        <f>SUMIF(Data!$A:$A,Summary!K63,Data!$M:$M)</f>
        <v>0</v>
      </c>
    </row>
    <row r="64" spans="1:24" x14ac:dyDescent="0.55000000000000004">
      <c r="A64" t="str">
        <f t="shared" ref="A64" si="95">$L64&amp;N$1&amp;$M64</f>
        <v>MayFebruaryChina - DCL KY</v>
      </c>
      <c r="B64" t="str">
        <f t="shared" ref="B64" si="96">$L64&amp;O$1&amp;$M64</f>
        <v>MayMarchChina - DCL KY</v>
      </c>
      <c r="C64" t="str">
        <f t="shared" ref="C64" si="97">$L64&amp;P$1&amp;$M64</f>
        <v>MayAprilChina - DCL KY</v>
      </c>
      <c r="D64" t="str">
        <f t="shared" ref="D64" si="98">$L64&amp;Q$1&amp;$M64</f>
        <v>MayMayChina - DCL KY</v>
      </c>
      <c r="E64" t="str">
        <f t="shared" ref="E64" si="99">$L64&amp;R$1&amp;$M64</f>
        <v>MayJuneChina - DCL KY</v>
      </c>
      <c r="F64" t="str">
        <f t="shared" ref="F64" si="100">$L64&amp;S$1&amp;$M64</f>
        <v>MayJulyChina - DCL KY</v>
      </c>
      <c r="G64" t="str">
        <f t="shared" ref="G64" si="101">$L64&amp;T$1&amp;$M64</f>
        <v>MayAugustChina - DCL KY</v>
      </c>
      <c r="H64" t="str">
        <f t="shared" ref="H64" si="102">$L64&amp;U$1&amp;$M64</f>
        <v>MaySeptemberChina - DCL KY</v>
      </c>
      <c r="I64" t="str">
        <f t="shared" ref="I64" si="103">$L64&amp;V$1&amp;$M64</f>
        <v>MayOctoberChina - DCL KY</v>
      </c>
      <c r="J64" t="str">
        <f t="shared" ref="J64" si="104">$L64&amp;W$1&amp;$M64</f>
        <v>MayNovemberChina - DCL KY</v>
      </c>
      <c r="K64" t="str">
        <f t="shared" ref="K64" si="105">$L64&amp;X$1&amp;$M64</f>
        <v>MayDecemberChina - DCL KY</v>
      </c>
      <c r="L64" t="s">
        <v>303</v>
      </c>
      <c r="M64" t="s">
        <v>82</v>
      </c>
      <c r="N64" s="38">
        <f>SUMIF(Data!$A:$A,Summary!A64,Data!$M:$M)</f>
        <v>0</v>
      </c>
      <c r="O64" s="38">
        <f>SUMIF(Data!$A:$A,Summary!B64,Data!$M:$M)</f>
        <v>0</v>
      </c>
      <c r="P64" s="38">
        <f>SUMIF(Data!$A:$A,Summary!C64,Data!$M:$M)</f>
        <v>191746.63999999998</v>
      </c>
      <c r="Q64" s="38">
        <f>SUMIF(Data!$A:$A,Summary!D64,Data!$M:$M)</f>
        <v>164421.16999999998</v>
      </c>
      <c r="R64" s="38">
        <f>SUMIF(Data!$A:$A,Summary!E64,Data!$M:$M)</f>
        <v>0</v>
      </c>
      <c r="S64" s="38">
        <f>SUMIF(Data!$A:$A,Summary!F64,Data!$M:$M)</f>
        <v>0</v>
      </c>
      <c r="T64" s="38">
        <f>SUMIF(Data!$A:$A,Summary!G64,Data!$M:$M)</f>
        <v>0</v>
      </c>
      <c r="U64" s="38">
        <f>SUMIF(Data!$A:$A,Summary!H64,Data!$M:$M)</f>
        <v>0</v>
      </c>
      <c r="V64" s="38">
        <f>SUMIF(Data!$A:$A,Summary!I64,Data!$M:$M)</f>
        <v>0</v>
      </c>
      <c r="W64" s="38">
        <f>SUMIF(Data!$A:$A,Summary!J64,Data!$M:$M)</f>
        <v>0</v>
      </c>
      <c r="X64" s="38">
        <f>SUMIF(Data!$A:$A,Summary!K64,Data!$M:$M)</f>
        <v>0</v>
      </c>
    </row>
    <row r="65" spans="1:24" x14ac:dyDescent="0.55000000000000004">
      <c r="A65" t="str">
        <f t="shared" ref="A65" si="106">$L65&amp;N$1&amp;$M65</f>
        <v>MayFebruaryChina - DECI NC</v>
      </c>
      <c r="B65" t="str">
        <f t="shared" ref="B65" si="107">$L65&amp;O$1&amp;$M65</f>
        <v>MayMarchChina - DECI NC</v>
      </c>
      <c r="C65" t="str">
        <f t="shared" ref="C65" si="108">$L65&amp;P$1&amp;$M65</f>
        <v>MayAprilChina - DECI NC</v>
      </c>
      <c r="D65" t="str">
        <f t="shared" ref="D65" si="109">$L65&amp;Q$1&amp;$M65</f>
        <v>MayMayChina - DECI NC</v>
      </c>
      <c r="E65" t="str">
        <f t="shared" ref="E65" si="110">$L65&amp;R$1&amp;$M65</f>
        <v>MayJuneChina - DECI NC</v>
      </c>
      <c r="F65" t="str">
        <f t="shared" ref="F65" si="111">$L65&amp;S$1&amp;$M65</f>
        <v>MayJulyChina - DECI NC</v>
      </c>
      <c r="G65" t="str">
        <f t="shared" ref="G65" si="112">$L65&amp;T$1&amp;$M65</f>
        <v>MayAugustChina - DECI NC</v>
      </c>
      <c r="H65" t="str">
        <f t="shared" ref="H65" si="113">$L65&amp;U$1&amp;$M65</f>
        <v>MaySeptemberChina - DECI NC</v>
      </c>
      <c r="I65" t="str">
        <f t="shared" ref="I65" si="114">$L65&amp;V$1&amp;$M65</f>
        <v>MayOctoberChina - DECI NC</v>
      </c>
      <c r="J65" t="str">
        <f t="shared" ref="J65" si="115">$L65&amp;W$1&amp;$M65</f>
        <v>MayNovemberChina - DECI NC</v>
      </c>
      <c r="K65" t="str">
        <f t="shared" ref="K65" si="116">$L65&amp;X$1&amp;$M65</f>
        <v>MayDecemberChina - DECI NC</v>
      </c>
      <c r="L65" t="s">
        <v>303</v>
      </c>
      <c r="M65" t="s">
        <v>97</v>
      </c>
      <c r="N65" s="38">
        <f>SUMIF(Data!$A:$A,Summary!A65,Data!$M:$M)</f>
        <v>0</v>
      </c>
      <c r="O65" s="38">
        <f>SUMIF(Data!$A:$A,Summary!B65,Data!$M:$M)</f>
        <v>0</v>
      </c>
      <c r="P65" s="38">
        <f>SUMIF(Data!$A:$A,Summary!C65,Data!$M:$M)</f>
        <v>78234.16</v>
      </c>
      <c r="Q65" s="38">
        <f>SUMIF(Data!$A:$A,Summary!D65,Data!$M:$M)</f>
        <v>154434.94</v>
      </c>
      <c r="R65" s="38">
        <f>SUMIF(Data!$A:$A,Summary!E65,Data!$M:$M)</f>
        <v>0</v>
      </c>
      <c r="S65" s="38">
        <f>SUMIF(Data!$A:$A,Summary!F65,Data!$M:$M)</f>
        <v>0</v>
      </c>
      <c r="T65" s="38">
        <f>SUMIF(Data!$A:$A,Summary!G65,Data!$M:$M)</f>
        <v>0</v>
      </c>
      <c r="U65" s="38">
        <f>SUMIF(Data!$A:$A,Summary!H65,Data!$M:$M)</f>
        <v>0</v>
      </c>
      <c r="V65" s="38">
        <f>SUMIF(Data!$A:$A,Summary!I65,Data!$M:$M)</f>
        <v>0</v>
      </c>
      <c r="W65" s="38">
        <f>SUMIF(Data!$A:$A,Summary!J65,Data!$M:$M)</f>
        <v>0</v>
      </c>
      <c r="X65" s="38">
        <f>SUMIF(Data!$A:$A,Summary!K65,Data!$M:$M)</f>
        <v>0</v>
      </c>
    </row>
    <row r="66" spans="1:24" x14ac:dyDescent="0.55000000000000004">
      <c r="A66" t="str">
        <f t="shared" ref="A66" si="117">$L66&amp;N$1&amp;$M66</f>
        <v>MayFebruaryChina - Flex IL</v>
      </c>
      <c r="B66" t="str">
        <f t="shared" ref="B66" si="118">$L66&amp;O$1&amp;$M66</f>
        <v>MayMarchChina - Flex IL</v>
      </c>
      <c r="C66" t="str">
        <f t="shared" ref="C66" si="119">$L66&amp;P$1&amp;$M66</f>
        <v>MayAprilChina - Flex IL</v>
      </c>
      <c r="D66" t="str">
        <f t="shared" ref="D66" si="120">$L66&amp;Q$1&amp;$M66</f>
        <v>MayMayChina - Flex IL</v>
      </c>
      <c r="E66" t="str">
        <f t="shared" ref="E66" si="121">$L66&amp;R$1&amp;$M66</f>
        <v>MayJuneChina - Flex IL</v>
      </c>
      <c r="F66" t="str">
        <f t="shared" ref="F66" si="122">$L66&amp;S$1&amp;$M66</f>
        <v>MayJulyChina - Flex IL</v>
      </c>
      <c r="G66" t="str">
        <f t="shared" ref="G66" si="123">$L66&amp;T$1&amp;$M66</f>
        <v>MayAugustChina - Flex IL</v>
      </c>
      <c r="H66" t="str">
        <f t="shared" ref="H66" si="124">$L66&amp;U$1&amp;$M66</f>
        <v>MaySeptemberChina - Flex IL</v>
      </c>
      <c r="I66" t="str">
        <f t="shared" ref="I66" si="125">$L66&amp;V$1&amp;$M66</f>
        <v>MayOctoberChina - Flex IL</v>
      </c>
      <c r="J66" t="str">
        <f t="shared" ref="J66" si="126">$L66&amp;W$1&amp;$M66</f>
        <v>MayNovemberChina - Flex IL</v>
      </c>
      <c r="K66" t="str">
        <f t="shared" ref="K66" si="127">$L66&amp;X$1&amp;$M66</f>
        <v>MayDecemberChina - Flex IL</v>
      </c>
      <c r="L66" t="s">
        <v>303</v>
      </c>
      <c r="M66" t="s">
        <v>886</v>
      </c>
      <c r="N66" s="38">
        <f>SUMIF(Data!$A:$A,Summary!A66,Data!$M:$M)</f>
        <v>0</v>
      </c>
      <c r="O66" s="38">
        <f>SUMIF(Data!$A:$A,Summary!B66,Data!$M:$M)</f>
        <v>0</v>
      </c>
      <c r="P66" s="38">
        <f>SUMIF(Data!$A:$A,Summary!C66,Data!$M:$M)</f>
        <v>0</v>
      </c>
      <c r="Q66" s="38">
        <f>SUMIF(Data!$A:$A,Summary!D66,Data!$M:$M)</f>
        <v>1250</v>
      </c>
      <c r="R66" s="38">
        <f>SUMIF(Data!$A:$A,Summary!E66,Data!$M:$M)</f>
        <v>0</v>
      </c>
      <c r="S66" s="38">
        <f>SUMIF(Data!$A:$A,Summary!F66,Data!$M:$M)</f>
        <v>0</v>
      </c>
      <c r="T66" s="38">
        <f>SUMIF(Data!$A:$A,Summary!G66,Data!$M:$M)</f>
        <v>0</v>
      </c>
      <c r="U66" s="38">
        <f>SUMIF(Data!$A:$A,Summary!H66,Data!$M:$M)</f>
        <v>0</v>
      </c>
      <c r="V66" s="38">
        <f>SUMIF(Data!$A:$A,Summary!I66,Data!$M:$M)</f>
        <v>0</v>
      </c>
      <c r="W66" s="38">
        <f>SUMIF(Data!$A:$A,Summary!J66,Data!$M:$M)</f>
        <v>0</v>
      </c>
      <c r="X66" s="38">
        <f>SUMIF(Data!$A:$A,Summary!K66,Data!$M:$M)</f>
        <v>0</v>
      </c>
    </row>
    <row r="67" spans="1:24" x14ac:dyDescent="0.55000000000000004">
      <c r="A67" t="str">
        <f t="shared" ref="A67" si="128">$L67&amp;N$1&amp;$M67</f>
        <v>MayFebruaryChina - Phillips WI</v>
      </c>
      <c r="B67" t="str">
        <f t="shared" ref="B67" si="129">$L67&amp;O$1&amp;$M67</f>
        <v>MayMarchChina - Phillips WI</v>
      </c>
      <c r="C67" t="str">
        <f t="shared" ref="C67" si="130">$L67&amp;P$1&amp;$M67</f>
        <v>MayAprilChina - Phillips WI</v>
      </c>
      <c r="D67" t="str">
        <f t="shared" ref="D67" si="131">$L67&amp;Q$1&amp;$M67</f>
        <v>MayMayChina - Phillips WI</v>
      </c>
      <c r="E67" t="str">
        <f t="shared" ref="E67" si="132">$L67&amp;R$1&amp;$M67</f>
        <v>MayJuneChina - Phillips WI</v>
      </c>
      <c r="F67" t="str">
        <f t="shared" ref="F67" si="133">$L67&amp;S$1&amp;$M67</f>
        <v>MayJulyChina - Phillips WI</v>
      </c>
      <c r="G67" t="str">
        <f t="shared" ref="G67" si="134">$L67&amp;T$1&amp;$M67</f>
        <v>MayAugustChina - Phillips WI</v>
      </c>
      <c r="H67" t="str">
        <f t="shared" ref="H67" si="135">$L67&amp;U$1&amp;$M67</f>
        <v>MaySeptemberChina - Phillips WI</v>
      </c>
      <c r="I67" t="str">
        <f t="shared" ref="I67" si="136">$L67&amp;V$1&amp;$M67</f>
        <v>MayOctoberChina - Phillips WI</v>
      </c>
      <c r="J67" t="str">
        <f t="shared" ref="J67" si="137">$L67&amp;W$1&amp;$M67</f>
        <v>MayNovemberChina - Phillips WI</v>
      </c>
      <c r="K67" t="str">
        <f t="shared" ref="K67" si="138">$L67&amp;X$1&amp;$M67</f>
        <v>MayDecemberChina - Phillips WI</v>
      </c>
      <c r="L67" t="s">
        <v>303</v>
      </c>
      <c r="M67" t="s">
        <v>687</v>
      </c>
      <c r="N67" s="38">
        <f>SUMIF(Data!$A:$A,Summary!A67,Data!$M:$M)</f>
        <v>0</v>
      </c>
      <c r="O67" s="38">
        <f>SUMIF(Data!$A:$A,Summary!B67,Data!$M:$M)</f>
        <v>0</v>
      </c>
      <c r="P67" s="38">
        <f>SUMIF(Data!$A:$A,Summary!C67,Data!$M:$M)</f>
        <v>0</v>
      </c>
      <c r="Q67" s="38">
        <f>SUMIF(Data!$A:$A,Summary!D67,Data!$M:$M)</f>
        <v>0</v>
      </c>
      <c r="R67" s="38">
        <f>SUMIF(Data!$A:$A,Summary!E67,Data!$M:$M)</f>
        <v>0</v>
      </c>
      <c r="S67" s="38">
        <f>SUMIF(Data!$A:$A,Summary!F67,Data!$M:$M)</f>
        <v>0</v>
      </c>
      <c r="T67" s="38">
        <f>SUMIF(Data!$A:$A,Summary!G67,Data!$M:$M)</f>
        <v>0</v>
      </c>
      <c r="U67" s="38">
        <f>SUMIF(Data!$A:$A,Summary!H67,Data!$M:$M)</f>
        <v>0</v>
      </c>
      <c r="V67" s="38">
        <f>SUMIF(Data!$A:$A,Summary!I67,Data!$M:$M)</f>
        <v>0</v>
      </c>
      <c r="W67" s="38">
        <f>SUMIF(Data!$A:$A,Summary!J67,Data!$M:$M)</f>
        <v>0</v>
      </c>
      <c r="X67" s="38">
        <f>SUMIF(Data!$A:$A,Summary!K67,Data!$M:$M)</f>
        <v>0</v>
      </c>
    </row>
    <row r="68" spans="1:24" x14ac:dyDescent="0.55000000000000004">
      <c r="A68" t="str">
        <f t="shared" ref="A68" si="139">$L68&amp;N$1&amp;$M68</f>
        <v>MayFebruaryChina - San Francisco</v>
      </c>
      <c r="B68" t="str">
        <f t="shared" ref="B68" si="140">$L68&amp;O$1&amp;$M68</f>
        <v>MayMarchChina - San Francisco</v>
      </c>
      <c r="C68" t="str">
        <f t="shared" ref="C68" si="141">$L68&amp;P$1&amp;$M68</f>
        <v>MayAprilChina - San Francisco</v>
      </c>
      <c r="D68" t="str">
        <f t="shared" ref="D68" si="142">$L68&amp;Q$1&amp;$M68</f>
        <v>MayMayChina - San Francisco</v>
      </c>
      <c r="E68" t="str">
        <f t="shared" ref="E68" si="143">$L68&amp;R$1&amp;$M68</f>
        <v>MayJuneChina - San Francisco</v>
      </c>
      <c r="F68" t="str">
        <f t="shared" ref="F68" si="144">$L68&amp;S$1&amp;$M68</f>
        <v>MayJulyChina - San Francisco</v>
      </c>
      <c r="G68" t="str">
        <f t="shared" ref="G68" si="145">$L68&amp;T$1&amp;$M68</f>
        <v>MayAugustChina - San Francisco</v>
      </c>
      <c r="H68" t="str">
        <f t="shared" ref="H68" si="146">$L68&amp;U$1&amp;$M68</f>
        <v>MaySeptemberChina - San Francisco</v>
      </c>
      <c r="I68" t="str">
        <f t="shared" ref="I68" si="147">$L68&amp;V$1&amp;$M68</f>
        <v>MayOctoberChina - San Francisco</v>
      </c>
      <c r="J68" t="str">
        <f t="shared" ref="J68" si="148">$L68&amp;W$1&amp;$M68</f>
        <v>MayNovemberChina - San Francisco</v>
      </c>
      <c r="K68" t="str">
        <f t="shared" ref="K68" si="149">$L68&amp;X$1&amp;$M68</f>
        <v>MayDecemberChina - San Francisco</v>
      </c>
      <c r="L68" t="s">
        <v>303</v>
      </c>
      <c r="M68" t="s">
        <v>1077</v>
      </c>
      <c r="N68" s="38">
        <f>SUMIF(Data!$A:$A,Summary!A68,Data!$M:$M)</f>
        <v>0</v>
      </c>
      <c r="O68" s="38">
        <f>SUMIF(Data!$A:$A,Summary!B68,Data!$M:$M)</f>
        <v>0</v>
      </c>
      <c r="P68" s="38">
        <f>SUMIF(Data!$A:$A,Summary!C68,Data!$M:$M)</f>
        <v>0</v>
      </c>
      <c r="Q68" s="38">
        <f>SUMIF(Data!$A:$A,Summary!D68,Data!$M:$M)</f>
        <v>0</v>
      </c>
      <c r="R68" s="38">
        <f>SUMIF(Data!$A:$A,Summary!E68,Data!$M:$M)</f>
        <v>0</v>
      </c>
      <c r="S68" s="38">
        <f>SUMIF(Data!$A:$A,Summary!F68,Data!$M:$M)</f>
        <v>0</v>
      </c>
      <c r="T68" s="38">
        <f>SUMIF(Data!$A:$A,Summary!G68,Data!$M:$M)</f>
        <v>0</v>
      </c>
      <c r="U68" s="38">
        <f>SUMIF(Data!$A:$A,Summary!H68,Data!$M:$M)</f>
        <v>0</v>
      </c>
      <c r="V68" s="38">
        <f>SUMIF(Data!$A:$A,Summary!I68,Data!$M:$M)</f>
        <v>0</v>
      </c>
      <c r="W68" s="38">
        <f>SUMIF(Data!$A:$A,Summary!J68,Data!$M:$M)</f>
        <v>0</v>
      </c>
      <c r="X68" s="38">
        <f>SUMIF(Data!$A:$A,Summary!K68,Data!$M:$M)</f>
        <v>0</v>
      </c>
    </row>
    <row r="69" spans="1:24" x14ac:dyDescent="0.55000000000000004">
      <c r="A69" t="str">
        <f t="shared" ref="A69" si="150">$L69&amp;N$1&amp;$M69</f>
        <v>MayFebruaryDCL KY - Canada</v>
      </c>
      <c r="B69" t="str">
        <f t="shared" ref="B69" si="151">$L69&amp;O$1&amp;$M69</f>
        <v>MayMarchDCL KY - Canada</v>
      </c>
      <c r="C69" t="str">
        <f t="shared" ref="C69" si="152">$L69&amp;P$1&amp;$M69</f>
        <v>MayAprilDCL KY - Canada</v>
      </c>
      <c r="D69" t="str">
        <f t="shared" ref="D69" si="153">$L69&amp;Q$1&amp;$M69</f>
        <v>MayMayDCL KY - Canada</v>
      </c>
      <c r="E69" t="str">
        <f t="shared" ref="E69" si="154">$L69&amp;R$1&amp;$M69</f>
        <v>MayJuneDCL KY - Canada</v>
      </c>
      <c r="F69" t="str">
        <f t="shared" ref="F69" si="155">$L69&amp;S$1&amp;$M69</f>
        <v>MayJulyDCL KY - Canada</v>
      </c>
      <c r="G69" t="str">
        <f t="shared" ref="G69" si="156">$L69&amp;T$1&amp;$M69</f>
        <v>MayAugustDCL KY - Canada</v>
      </c>
      <c r="H69" t="str">
        <f t="shared" ref="H69" si="157">$L69&amp;U$1&amp;$M69</f>
        <v>MaySeptemberDCL KY - Canada</v>
      </c>
      <c r="I69" t="str">
        <f t="shared" ref="I69" si="158">$L69&amp;V$1&amp;$M69</f>
        <v>MayOctoberDCL KY - Canada</v>
      </c>
      <c r="J69" t="str">
        <f t="shared" ref="J69" si="159">$L69&amp;W$1&amp;$M69</f>
        <v>MayNovemberDCL KY - Canada</v>
      </c>
      <c r="K69" t="str">
        <f t="shared" ref="K69" si="160">$L69&amp;X$1&amp;$M69</f>
        <v>MayDecemberDCL KY - Canada</v>
      </c>
      <c r="L69" t="s">
        <v>303</v>
      </c>
      <c r="M69" s="3" t="s">
        <v>1086</v>
      </c>
      <c r="N69" s="38">
        <f>SUMIF(Data!$A:$A,Summary!A69,Data!$M:$M)</f>
        <v>0</v>
      </c>
      <c r="O69" s="38">
        <f>SUMIF(Data!$A:$A,Summary!B69,Data!$M:$M)</f>
        <v>0</v>
      </c>
      <c r="P69" s="38">
        <f>SUMIF(Data!$A:$A,Summary!C69,Data!$M:$M)</f>
        <v>0</v>
      </c>
      <c r="Q69" s="38">
        <f>SUMIF(Data!$A:$A,Summary!D69,Data!$M:$M)</f>
        <v>3781.09</v>
      </c>
      <c r="R69" s="38">
        <f>SUMIF(Data!$A:$A,Summary!E69,Data!$M:$M)</f>
        <v>0</v>
      </c>
      <c r="S69" s="38">
        <f>SUMIF(Data!$A:$A,Summary!F69,Data!$M:$M)</f>
        <v>0</v>
      </c>
      <c r="T69" s="38">
        <f>SUMIF(Data!$A:$A,Summary!G69,Data!$M:$M)</f>
        <v>0</v>
      </c>
      <c r="U69" s="38">
        <f>SUMIF(Data!$A:$A,Summary!H69,Data!$M:$M)</f>
        <v>0</v>
      </c>
      <c r="V69" s="38">
        <f>SUMIF(Data!$A:$A,Summary!I69,Data!$M:$M)</f>
        <v>0</v>
      </c>
      <c r="W69" s="38">
        <f>SUMIF(Data!$A:$A,Summary!J69,Data!$M:$M)</f>
        <v>0</v>
      </c>
      <c r="X69" s="38">
        <f>SUMIF(Data!$A:$A,Summary!K69,Data!$M:$M)</f>
        <v>0</v>
      </c>
    </row>
    <row r="70" spans="1:24" x14ac:dyDescent="0.55000000000000004">
      <c r="A70" t="str">
        <f t="shared" ref="A70" si="161">$L70&amp;N$1&amp;$M70</f>
        <v>MayFebruaryDECI NC - DCL KY</v>
      </c>
      <c r="B70" t="str">
        <f t="shared" ref="B70" si="162">$L70&amp;O$1&amp;$M70</f>
        <v>MayMarchDECI NC - DCL KY</v>
      </c>
      <c r="C70" t="str">
        <f t="shared" ref="C70" si="163">$L70&amp;P$1&amp;$M70</f>
        <v>MayAprilDECI NC - DCL KY</v>
      </c>
      <c r="D70" t="str">
        <f t="shared" ref="D70" si="164">$L70&amp;Q$1&amp;$M70</f>
        <v>MayMayDECI NC - DCL KY</v>
      </c>
      <c r="E70" t="str">
        <f t="shared" ref="E70" si="165">$L70&amp;R$1&amp;$M70</f>
        <v>MayJuneDECI NC - DCL KY</v>
      </c>
      <c r="F70" t="str">
        <f t="shared" ref="F70" si="166">$L70&amp;S$1&amp;$M70</f>
        <v>MayJulyDECI NC - DCL KY</v>
      </c>
      <c r="G70" t="str">
        <f t="shared" ref="G70" si="167">$L70&amp;T$1&amp;$M70</f>
        <v>MayAugustDECI NC - DCL KY</v>
      </c>
      <c r="H70" t="str">
        <f t="shared" ref="H70" si="168">$L70&amp;U$1&amp;$M70</f>
        <v>MaySeptemberDECI NC - DCL KY</v>
      </c>
      <c r="I70" t="str">
        <f t="shared" ref="I70" si="169">$L70&amp;V$1&amp;$M70</f>
        <v>MayOctoberDECI NC - DCL KY</v>
      </c>
      <c r="J70" t="str">
        <f t="shared" ref="J70" si="170">$L70&amp;W$1&amp;$M70</f>
        <v>MayNovemberDECI NC - DCL KY</v>
      </c>
      <c r="K70" t="str">
        <f t="shared" ref="K70" si="171">$L70&amp;X$1&amp;$M70</f>
        <v>MayDecemberDECI NC - DCL KY</v>
      </c>
      <c r="L70" t="s">
        <v>303</v>
      </c>
      <c r="M70" t="s">
        <v>178</v>
      </c>
      <c r="N70" s="38">
        <f>SUMIF(Data!$A:$A,Summary!A70,Data!$M:$M)</f>
        <v>0</v>
      </c>
      <c r="O70" s="38">
        <f>SUMIF(Data!$A:$A,Summary!B70,Data!$M:$M)</f>
        <v>0</v>
      </c>
      <c r="P70" s="38">
        <f>SUMIF(Data!$A:$A,Summary!C70,Data!$M:$M)</f>
        <v>0</v>
      </c>
      <c r="Q70" s="38">
        <f>SUMIF(Data!$A:$A,Summary!D70,Data!$M:$M)</f>
        <v>6534</v>
      </c>
      <c r="R70" s="38">
        <f>SUMIF(Data!$A:$A,Summary!E70,Data!$M:$M)</f>
        <v>0</v>
      </c>
      <c r="S70" s="38">
        <f>SUMIF(Data!$A:$A,Summary!F70,Data!$M:$M)</f>
        <v>0</v>
      </c>
      <c r="T70" s="38">
        <f>SUMIF(Data!$A:$A,Summary!G70,Data!$M:$M)</f>
        <v>0</v>
      </c>
      <c r="U70" s="38">
        <f>SUMIF(Data!$A:$A,Summary!H70,Data!$M:$M)</f>
        <v>0</v>
      </c>
      <c r="V70" s="38">
        <f>SUMIF(Data!$A:$A,Summary!I70,Data!$M:$M)</f>
        <v>0</v>
      </c>
      <c r="W70" s="38">
        <f>SUMIF(Data!$A:$A,Summary!J70,Data!$M:$M)</f>
        <v>0</v>
      </c>
      <c r="X70" s="38">
        <f>SUMIF(Data!$A:$A,Summary!K70,Data!$M:$M)</f>
        <v>0</v>
      </c>
    </row>
    <row r="71" spans="1:24" x14ac:dyDescent="0.55000000000000004">
      <c r="A71" t="str">
        <f t="shared" ref="A71" si="172">$L71&amp;N$1&amp;$M71</f>
        <v>MayFebruaryGreensboro NC - Phillips WI</v>
      </c>
      <c r="B71" t="str">
        <f t="shared" ref="B71" si="173">$L71&amp;O$1&amp;$M71</f>
        <v>MayMarchGreensboro NC - Phillips WI</v>
      </c>
      <c r="C71" t="str">
        <f t="shared" ref="C71" si="174">$L71&amp;P$1&amp;$M71</f>
        <v>MayAprilGreensboro NC - Phillips WI</v>
      </c>
      <c r="D71" t="str">
        <f t="shared" ref="D71" si="175">$L71&amp;Q$1&amp;$M71</f>
        <v>MayMayGreensboro NC - Phillips WI</v>
      </c>
      <c r="E71" t="str">
        <f t="shared" ref="E71" si="176">$L71&amp;R$1&amp;$M71</f>
        <v>MayJuneGreensboro NC - Phillips WI</v>
      </c>
      <c r="F71" t="str">
        <f t="shared" ref="F71" si="177">$L71&amp;S$1&amp;$M71</f>
        <v>MayJulyGreensboro NC - Phillips WI</v>
      </c>
      <c r="G71" t="str">
        <f t="shared" ref="G71" si="178">$L71&amp;T$1&amp;$M71</f>
        <v>MayAugustGreensboro NC - Phillips WI</v>
      </c>
      <c r="H71" t="str">
        <f t="shared" ref="H71" si="179">$L71&amp;U$1&amp;$M71</f>
        <v>MaySeptemberGreensboro NC - Phillips WI</v>
      </c>
      <c r="I71" t="str">
        <f t="shared" ref="I71" si="180">$L71&amp;V$1&amp;$M71</f>
        <v>MayOctoberGreensboro NC - Phillips WI</v>
      </c>
      <c r="J71" t="str">
        <f t="shared" ref="J71" si="181">$L71&amp;W$1&amp;$M71</f>
        <v>MayNovemberGreensboro NC - Phillips WI</v>
      </c>
      <c r="K71" t="str">
        <f t="shared" ref="K71" si="182">$L71&amp;X$1&amp;$M71</f>
        <v>MayDecemberGreensboro NC - Phillips WI</v>
      </c>
      <c r="L71" t="s">
        <v>303</v>
      </c>
      <c r="M71" t="s">
        <v>155</v>
      </c>
      <c r="N71" s="38">
        <f>SUMIF(Data!$A:$A,Summary!A71,Data!$M:$M)</f>
        <v>0</v>
      </c>
      <c r="O71" s="38">
        <f>SUMIF(Data!$A:$A,Summary!B71,Data!$M:$M)</f>
        <v>0</v>
      </c>
      <c r="P71" s="38">
        <f>SUMIF(Data!$A:$A,Summary!C71,Data!$M:$M)</f>
        <v>0</v>
      </c>
      <c r="Q71" s="38">
        <f>SUMIF(Data!$A:$A,Summary!D71,Data!$M:$M)</f>
        <v>0</v>
      </c>
      <c r="R71" s="38">
        <f>SUMIF(Data!$A:$A,Summary!E71,Data!$M:$M)</f>
        <v>0</v>
      </c>
      <c r="S71" s="38">
        <f>SUMIF(Data!$A:$A,Summary!F71,Data!$M:$M)</f>
        <v>0</v>
      </c>
      <c r="T71" s="38">
        <f>SUMIF(Data!$A:$A,Summary!G71,Data!$M:$M)</f>
        <v>0</v>
      </c>
      <c r="U71" s="38">
        <f>SUMIF(Data!$A:$A,Summary!H71,Data!$M:$M)</f>
        <v>0</v>
      </c>
      <c r="V71" s="38">
        <f>SUMIF(Data!$A:$A,Summary!I71,Data!$M:$M)</f>
        <v>0</v>
      </c>
      <c r="W71" s="38">
        <f>SUMIF(Data!$A:$A,Summary!J71,Data!$M:$M)</f>
        <v>0</v>
      </c>
      <c r="X71" s="38">
        <f>SUMIF(Data!$A:$A,Summary!K71,Data!$M:$M)</f>
        <v>0</v>
      </c>
    </row>
    <row r="72" spans="1:24" x14ac:dyDescent="0.55000000000000004">
      <c r="A72" t="str">
        <f t="shared" ref="A72" si="183">$L72&amp;N$1&amp;$M72</f>
        <v>MayFebruaryFlex IL - UK</v>
      </c>
      <c r="B72" t="str">
        <f t="shared" ref="B72" si="184">$L72&amp;O$1&amp;$M72</f>
        <v>MayMarchFlex IL - UK</v>
      </c>
      <c r="C72" t="str">
        <f t="shared" ref="C72" si="185">$L72&amp;P$1&amp;$M72</f>
        <v>MayAprilFlex IL - UK</v>
      </c>
      <c r="D72" t="str">
        <f t="shared" ref="D72" si="186">$L72&amp;Q$1&amp;$M72</f>
        <v>MayMayFlex IL - UK</v>
      </c>
      <c r="E72" t="str">
        <f t="shared" ref="E72" si="187">$L72&amp;R$1&amp;$M72</f>
        <v>MayJuneFlex IL - UK</v>
      </c>
      <c r="F72" t="str">
        <f t="shared" ref="F72" si="188">$L72&amp;S$1&amp;$M72</f>
        <v>MayJulyFlex IL - UK</v>
      </c>
      <c r="G72" t="str">
        <f t="shared" ref="G72" si="189">$L72&amp;T$1&amp;$M72</f>
        <v>MayAugustFlex IL - UK</v>
      </c>
      <c r="H72" t="str">
        <f t="shared" ref="H72" si="190">$L72&amp;U$1&amp;$M72</f>
        <v>MaySeptemberFlex IL - UK</v>
      </c>
      <c r="I72" t="str">
        <f t="shared" ref="I72" si="191">$L72&amp;V$1&amp;$M72</f>
        <v>MayOctoberFlex IL - UK</v>
      </c>
      <c r="J72" t="str">
        <f t="shared" ref="J72" si="192">$L72&amp;W$1&amp;$M72</f>
        <v>MayNovemberFlex IL - UK</v>
      </c>
      <c r="K72" t="str">
        <f t="shared" ref="K72" si="193">$L72&amp;X$1&amp;$M72</f>
        <v>MayDecemberFlex IL - UK</v>
      </c>
      <c r="L72" t="s">
        <v>303</v>
      </c>
      <c r="M72" t="s">
        <v>895</v>
      </c>
      <c r="N72" s="38">
        <f>SUMIF(Data!$A:$A,Summary!A72,Data!$M:$M)</f>
        <v>0</v>
      </c>
      <c r="O72" s="38">
        <f>SUMIF(Data!$A:$A,Summary!B72,Data!$M:$M)</f>
        <v>0</v>
      </c>
      <c r="P72" s="38">
        <f>SUMIF(Data!$A:$A,Summary!C72,Data!$M:$M)</f>
        <v>0</v>
      </c>
      <c r="Q72" s="38">
        <f>SUMIF(Data!$A:$A,Summary!D72,Data!$M:$M)</f>
        <v>0</v>
      </c>
      <c r="R72" s="38">
        <f>SUMIF(Data!$A:$A,Summary!E72,Data!$M:$M)</f>
        <v>0</v>
      </c>
      <c r="S72" s="38">
        <f>SUMIF(Data!$A:$A,Summary!F72,Data!$M:$M)</f>
        <v>0</v>
      </c>
      <c r="T72" s="38">
        <f>SUMIF(Data!$A:$A,Summary!G72,Data!$M:$M)</f>
        <v>0</v>
      </c>
      <c r="U72" s="38">
        <f>SUMIF(Data!$A:$A,Summary!H72,Data!$M:$M)</f>
        <v>0</v>
      </c>
      <c r="V72" s="38">
        <f>SUMIF(Data!$A:$A,Summary!I72,Data!$M:$M)</f>
        <v>0</v>
      </c>
      <c r="W72" s="38">
        <f>SUMIF(Data!$A:$A,Summary!J72,Data!$M:$M)</f>
        <v>0</v>
      </c>
      <c r="X72" s="38">
        <f>SUMIF(Data!$A:$A,Summary!K72,Data!$M:$M)</f>
        <v>0</v>
      </c>
    </row>
    <row r="73" spans="1:24" x14ac:dyDescent="0.55000000000000004">
      <c r="A73" t="str">
        <f t="shared" ref="A73" si="194">$L73&amp;N$1&amp;$M73</f>
        <v>MayFebruaryFlorida - Phillips WI</v>
      </c>
      <c r="B73" t="str">
        <f t="shared" ref="B73" si="195">$L73&amp;O$1&amp;$M73</f>
        <v>MayMarchFlorida - Phillips WI</v>
      </c>
      <c r="C73" t="str">
        <f t="shared" ref="C73" si="196">$L73&amp;P$1&amp;$M73</f>
        <v>MayAprilFlorida - Phillips WI</v>
      </c>
      <c r="D73" t="str">
        <f t="shared" ref="D73" si="197">$L73&amp;Q$1&amp;$M73</f>
        <v>MayMayFlorida - Phillips WI</v>
      </c>
      <c r="E73" t="str">
        <f t="shared" ref="E73" si="198">$L73&amp;R$1&amp;$M73</f>
        <v>MayJuneFlorida - Phillips WI</v>
      </c>
      <c r="F73" t="str">
        <f t="shared" ref="F73" si="199">$L73&amp;S$1&amp;$M73</f>
        <v>MayJulyFlorida - Phillips WI</v>
      </c>
      <c r="G73" t="str">
        <f t="shared" ref="G73" si="200">$L73&amp;T$1&amp;$M73</f>
        <v>MayAugustFlorida - Phillips WI</v>
      </c>
      <c r="H73" t="str">
        <f t="shared" ref="H73" si="201">$L73&amp;U$1&amp;$M73</f>
        <v>MaySeptemberFlorida - Phillips WI</v>
      </c>
      <c r="I73" t="str">
        <f t="shared" ref="I73" si="202">$L73&amp;V$1&amp;$M73</f>
        <v>MayOctoberFlorida - Phillips WI</v>
      </c>
      <c r="J73" t="str">
        <f t="shared" ref="J73" si="203">$L73&amp;W$1&amp;$M73</f>
        <v>MayNovemberFlorida - Phillips WI</v>
      </c>
      <c r="K73" t="str">
        <f t="shared" ref="K73" si="204">$L73&amp;X$1&amp;$M73</f>
        <v>MayDecemberFlorida - Phillips WI</v>
      </c>
      <c r="L73" t="s">
        <v>303</v>
      </c>
      <c r="M73" t="s">
        <v>933</v>
      </c>
      <c r="N73" s="38">
        <f>SUMIF(Data!$A:$A,Summary!A73,Data!$M:$M)</f>
        <v>0</v>
      </c>
      <c r="O73" s="38">
        <f>SUMIF(Data!$A:$A,Summary!B73,Data!$M:$M)</f>
        <v>0</v>
      </c>
      <c r="P73" s="38">
        <f>SUMIF(Data!$A:$A,Summary!C73,Data!$M:$M)</f>
        <v>0</v>
      </c>
      <c r="Q73" s="38">
        <f>SUMIF(Data!$A:$A,Summary!D73,Data!$M:$M)</f>
        <v>0</v>
      </c>
      <c r="R73" s="38">
        <f>SUMIF(Data!$A:$A,Summary!E73,Data!$M:$M)</f>
        <v>0</v>
      </c>
      <c r="S73" s="38">
        <f>SUMIF(Data!$A:$A,Summary!F73,Data!$M:$M)</f>
        <v>0</v>
      </c>
      <c r="T73" s="38">
        <f>SUMIF(Data!$A:$A,Summary!G73,Data!$M:$M)</f>
        <v>0</v>
      </c>
      <c r="U73" s="38">
        <f>SUMIF(Data!$A:$A,Summary!H73,Data!$M:$M)</f>
        <v>0</v>
      </c>
      <c r="V73" s="38">
        <f>SUMIF(Data!$A:$A,Summary!I73,Data!$M:$M)</f>
        <v>0</v>
      </c>
      <c r="W73" s="38">
        <f>SUMIF(Data!$A:$A,Summary!J73,Data!$M:$M)</f>
        <v>0</v>
      </c>
      <c r="X73" s="38">
        <f>SUMIF(Data!$A:$A,Summary!K73,Data!$M:$M)</f>
        <v>0</v>
      </c>
    </row>
    <row r="74" spans="1:24" x14ac:dyDescent="0.55000000000000004">
      <c r="A74" t="str">
        <f t="shared" ref="A74:A137" si="205">$L74&amp;N$1&amp;$M74</f>
        <v>MayFebruaryHong Kong - AFG NC</v>
      </c>
      <c r="B74" t="str">
        <f t="shared" ref="B74:B137" si="206">$L74&amp;O$1&amp;$M74</f>
        <v>MayMarchHong Kong - AFG NC</v>
      </c>
      <c r="C74" t="str">
        <f t="shared" ref="C74:C137" si="207">$L74&amp;P$1&amp;$M74</f>
        <v>MayAprilHong Kong - AFG NC</v>
      </c>
      <c r="D74" t="str">
        <f t="shared" ref="D74:D137" si="208">$L74&amp;Q$1&amp;$M74</f>
        <v>MayMayHong Kong - AFG NC</v>
      </c>
      <c r="E74" t="str">
        <f t="shared" ref="E74:E137" si="209">$L74&amp;R$1&amp;$M74</f>
        <v>MayJuneHong Kong - AFG NC</v>
      </c>
      <c r="F74" t="str">
        <f t="shared" ref="F74:F137" si="210">$L74&amp;S$1&amp;$M74</f>
        <v>MayJulyHong Kong - AFG NC</v>
      </c>
      <c r="G74" t="str">
        <f t="shared" ref="G74:G137" si="211">$L74&amp;T$1&amp;$M74</f>
        <v>MayAugustHong Kong - AFG NC</v>
      </c>
      <c r="H74" t="str">
        <f t="shared" ref="H74:H137" si="212">$L74&amp;U$1&amp;$M74</f>
        <v>MaySeptemberHong Kong - AFG NC</v>
      </c>
      <c r="I74" t="str">
        <f t="shared" ref="I74:I137" si="213">$L74&amp;V$1&amp;$M74</f>
        <v>MayOctoberHong Kong - AFG NC</v>
      </c>
      <c r="J74" t="str">
        <f t="shared" ref="J74:J137" si="214">$L74&amp;W$1&amp;$M74</f>
        <v>MayNovemberHong Kong - AFG NC</v>
      </c>
      <c r="K74" t="str">
        <f t="shared" ref="K74:K137" si="215">$L74&amp;X$1&amp;$M74</f>
        <v>MayDecemberHong Kong - AFG NC</v>
      </c>
      <c r="L74" t="s">
        <v>303</v>
      </c>
      <c r="M74" t="s">
        <v>334</v>
      </c>
      <c r="N74" s="38">
        <f>SUMIF(Data!$A:$A,Summary!A74,Data!$M:$M)</f>
        <v>0</v>
      </c>
      <c r="O74" s="38">
        <f>SUMIF(Data!$A:$A,Summary!B74,Data!$M:$M)</f>
        <v>0</v>
      </c>
      <c r="P74" s="38">
        <f>SUMIF(Data!$A:$A,Summary!C74,Data!$M:$M)</f>
        <v>0</v>
      </c>
      <c r="Q74" s="38">
        <f>SUMIF(Data!$A:$A,Summary!D74,Data!$M:$M)</f>
        <v>384</v>
      </c>
      <c r="R74" s="38">
        <f>SUMIF(Data!$A:$A,Summary!E74,Data!$M:$M)</f>
        <v>0</v>
      </c>
      <c r="S74" s="38">
        <f>SUMIF(Data!$A:$A,Summary!F74,Data!$M:$M)</f>
        <v>0</v>
      </c>
      <c r="T74" s="38">
        <f>SUMIF(Data!$A:$A,Summary!G74,Data!$M:$M)</f>
        <v>0</v>
      </c>
      <c r="U74" s="38">
        <f>SUMIF(Data!$A:$A,Summary!H74,Data!$M:$M)</f>
        <v>0</v>
      </c>
      <c r="V74" s="38">
        <f>SUMIF(Data!$A:$A,Summary!I74,Data!$M:$M)</f>
        <v>0</v>
      </c>
      <c r="W74" s="38">
        <f>SUMIF(Data!$A:$A,Summary!J74,Data!$M:$M)</f>
        <v>0</v>
      </c>
      <c r="X74" s="38">
        <f>SUMIF(Data!$A:$A,Summary!K74,Data!$M:$M)</f>
        <v>0</v>
      </c>
    </row>
    <row r="75" spans="1:24" x14ac:dyDescent="0.55000000000000004">
      <c r="A75" t="str">
        <f t="shared" si="205"/>
        <v>MayFebruaryHong Kong - DCL KY</v>
      </c>
      <c r="B75" t="str">
        <f t="shared" si="206"/>
        <v>MayMarchHong Kong - DCL KY</v>
      </c>
      <c r="C75" t="str">
        <f t="shared" si="207"/>
        <v>MayAprilHong Kong - DCL KY</v>
      </c>
      <c r="D75" t="str">
        <f t="shared" si="208"/>
        <v>MayMayHong Kong - DCL KY</v>
      </c>
      <c r="E75" t="str">
        <f t="shared" si="209"/>
        <v>MayJuneHong Kong - DCL KY</v>
      </c>
      <c r="F75" t="str">
        <f t="shared" si="210"/>
        <v>MayJulyHong Kong - DCL KY</v>
      </c>
      <c r="G75" t="str">
        <f t="shared" si="211"/>
        <v>MayAugustHong Kong - DCL KY</v>
      </c>
      <c r="H75" t="str">
        <f t="shared" si="212"/>
        <v>MaySeptemberHong Kong - DCL KY</v>
      </c>
      <c r="I75" t="str">
        <f t="shared" si="213"/>
        <v>MayOctoberHong Kong - DCL KY</v>
      </c>
      <c r="J75" t="str">
        <f t="shared" si="214"/>
        <v>MayNovemberHong Kong - DCL KY</v>
      </c>
      <c r="K75" t="str">
        <f t="shared" si="215"/>
        <v>MayDecemberHong Kong - DCL KY</v>
      </c>
      <c r="L75" t="s">
        <v>303</v>
      </c>
      <c r="M75" t="s">
        <v>39</v>
      </c>
      <c r="N75" s="38">
        <f>SUMIF(Data!$A:$A,Summary!A75,Data!$M:$M)</f>
        <v>0</v>
      </c>
      <c r="O75" s="38">
        <f>SUMIF(Data!$A:$A,Summary!B75,Data!$M:$M)</f>
        <v>0</v>
      </c>
      <c r="P75" s="38">
        <f>SUMIF(Data!$A:$A,Summary!C75,Data!$M:$M)</f>
        <v>31892.809999999998</v>
      </c>
      <c r="Q75" s="38">
        <f>SUMIF(Data!$A:$A,Summary!D75,Data!$M:$M)</f>
        <v>7918.7199999999993</v>
      </c>
      <c r="R75" s="38">
        <f>SUMIF(Data!$A:$A,Summary!E75,Data!$M:$M)</f>
        <v>0</v>
      </c>
      <c r="S75" s="38">
        <f>SUMIF(Data!$A:$A,Summary!F75,Data!$M:$M)</f>
        <v>0</v>
      </c>
      <c r="T75" s="38">
        <f>SUMIF(Data!$A:$A,Summary!G75,Data!$M:$M)</f>
        <v>0</v>
      </c>
      <c r="U75" s="38">
        <f>SUMIF(Data!$A:$A,Summary!H75,Data!$M:$M)</f>
        <v>0</v>
      </c>
      <c r="V75" s="38">
        <f>SUMIF(Data!$A:$A,Summary!I75,Data!$M:$M)</f>
        <v>0</v>
      </c>
      <c r="W75" s="38">
        <f>SUMIF(Data!$A:$A,Summary!J75,Data!$M:$M)</f>
        <v>0</v>
      </c>
      <c r="X75" s="38">
        <f>SUMIF(Data!$A:$A,Summary!K75,Data!$M:$M)</f>
        <v>0</v>
      </c>
    </row>
    <row r="76" spans="1:24" x14ac:dyDescent="0.55000000000000004">
      <c r="A76" t="str">
        <f t="shared" si="205"/>
        <v>MayFebruaryHong Kong - DECI NC</v>
      </c>
      <c r="B76" t="str">
        <f t="shared" si="206"/>
        <v>MayMarchHong Kong - DECI NC</v>
      </c>
      <c r="C76" t="str">
        <f t="shared" si="207"/>
        <v>MayAprilHong Kong - DECI NC</v>
      </c>
      <c r="D76" t="str">
        <f t="shared" si="208"/>
        <v>MayMayHong Kong - DECI NC</v>
      </c>
      <c r="E76" t="str">
        <f t="shared" si="209"/>
        <v>MayJuneHong Kong - DECI NC</v>
      </c>
      <c r="F76" t="str">
        <f t="shared" si="210"/>
        <v>MayJulyHong Kong - DECI NC</v>
      </c>
      <c r="G76" t="str">
        <f t="shared" si="211"/>
        <v>MayAugustHong Kong - DECI NC</v>
      </c>
      <c r="H76" t="str">
        <f t="shared" si="212"/>
        <v>MaySeptemberHong Kong - DECI NC</v>
      </c>
      <c r="I76" t="str">
        <f t="shared" si="213"/>
        <v>MayOctoberHong Kong - DECI NC</v>
      </c>
      <c r="J76" t="str">
        <f t="shared" si="214"/>
        <v>MayNovemberHong Kong - DECI NC</v>
      </c>
      <c r="K76" t="str">
        <f t="shared" si="215"/>
        <v>MayDecemberHong Kong - DECI NC</v>
      </c>
      <c r="L76" t="s">
        <v>303</v>
      </c>
      <c r="M76" t="s">
        <v>92</v>
      </c>
      <c r="N76" s="38">
        <f>SUMIF(Data!$A:$A,Summary!A76,Data!$M:$M)</f>
        <v>0</v>
      </c>
      <c r="O76" s="38">
        <f>SUMIF(Data!$A:$A,Summary!B76,Data!$M:$M)</f>
        <v>0</v>
      </c>
      <c r="P76" s="38">
        <f>SUMIF(Data!$A:$A,Summary!C76,Data!$M:$M)</f>
        <v>70507.459999999992</v>
      </c>
      <c r="Q76" s="38">
        <f>SUMIF(Data!$A:$A,Summary!D76,Data!$M:$M)</f>
        <v>37327.800000000003</v>
      </c>
      <c r="R76" s="38">
        <f>SUMIF(Data!$A:$A,Summary!E76,Data!$M:$M)</f>
        <v>0</v>
      </c>
      <c r="S76" s="38">
        <f>SUMIF(Data!$A:$A,Summary!F76,Data!$M:$M)</f>
        <v>0</v>
      </c>
      <c r="T76" s="38">
        <f>SUMIF(Data!$A:$A,Summary!G76,Data!$M:$M)</f>
        <v>0</v>
      </c>
      <c r="U76" s="38">
        <f>SUMIF(Data!$A:$A,Summary!H76,Data!$M:$M)</f>
        <v>0</v>
      </c>
      <c r="V76" s="38">
        <f>SUMIF(Data!$A:$A,Summary!I76,Data!$M:$M)</f>
        <v>0</v>
      </c>
      <c r="W76" s="38">
        <f>SUMIF(Data!$A:$A,Summary!J76,Data!$M:$M)</f>
        <v>0</v>
      </c>
      <c r="X76" s="38">
        <f>SUMIF(Data!$A:$A,Summary!K76,Data!$M:$M)</f>
        <v>0</v>
      </c>
    </row>
    <row r="77" spans="1:24" x14ac:dyDescent="0.55000000000000004">
      <c r="A77" t="str">
        <f t="shared" si="205"/>
        <v>MayFebruaryHong Kong - Flex IL</v>
      </c>
      <c r="B77" t="str">
        <f t="shared" si="206"/>
        <v>MayMarchHong Kong - Flex IL</v>
      </c>
      <c r="C77" t="str">
        <f t="shared" si="207"/>
        <v>MayAprilHong Kong - Flex IL</v>
      </c>
      <c r="D77" t="str">
        <f t="shared" si="208"/>
        <v>MayMayHong Kong - Flex IL</v>
      </c>
      <c r="E77" t="str">
        <f t="shared" si="209"/>
        <v>MayJuneHong Kong - Flex IL</v>
      </c>
      <c r="F77" t="str">
        <f t="shared" si="210"/>
        <v>MayJulyHong Kong - Flex IL</v>
      </c>
      <c r="G77" t="str">
        <f t="shared" si="211"/>
        <v>MayAugustHong Kong - Flex IL</v>
      </c>
      <c r="H77" t="str">
        <f t="shared" si="212"/>
        <v>MaySeptemberHong Kong - Flex IL</v>
      </c>
      <c r="I77" t="str">
        <f t="shared" si="213"/>
        <v>MayOctoberHong Kong - Flex IL</v>
      </c>
      <c r="J77" t="str">
        <f t="shared" si="214"/>
        <v>MayNovemberHong Kong - Flex IL</v>
      </c>
      <c r="K77" t="str">
        <f t="shared" si="215"/>
        <v>MayDecemberHong Kong - Flex IL</v>
      </c>
      <c r="L77" t="s">
        <v>303</v>
      </c>
      <c r="M77" t="s">
        <v>111</v>
      </c>
      <c r="N77" s="38">
        <f>SUMIF(Data!$A:$A,Summary!A77,Data!$M:$M)</f>
        <v>0</v>
      </c>
      <c r="O77" s="38">
        <f>SUMIF(Data!$A:$A,Summary!B77,Data!$M:$M)</f>
        <v>0</v>
      </c>
      <c r="P77" s="38">
        <f>SUMIF(Data!$A:$A,Summary!C77,Data!$M:$M)</f>
        <v>0</v>
      </c>
      <c r="Q77" s="38">
        <f>SUMIF(Data!$A:$A,Summary!D77,Data!$M:$M)</f>
        <v>14660.62</v>
      </c>
      <c r="R77" s="38">
        <f>SUMIF(Data!$A:$A,Summary!E77,Data!$M:$M)</f>
        <v>0</v>
      </c>
      <c r="S77" s="38">
        <f>SUMIF(Data!$A:$A,Summary!F77,Data!$M:$M)</f>
        <v>0</v>
      </c>
      <c r="T77" s="38">
        <f>SUMIF(Data!$A:$A,Summary!G77,Data!$M:$M)</f>
        <v>0</v>
      </c>
      <c r="U77" s="38">
        <f>SUMIF(Data!$A:$A,Summary!H77,Data!$M:$M)</f>
        <v>0</v>
      </c>
      <c r="V77" s="38">
        <f>SUMIF(Data!$A:$A,Summary!I77,Data!$M:$M)</f>
        <v>0</v>
      </c>
      <c r="W77" s="38">
        <f>SUMIF(Data!$A:$A,Summary!J77,Data!$M:$M)</f>
        <v>0</v>
      </c>
      <c r="X77" s="38">
        <f>SUMIF(Data!$A:$A,Summary!K77,Data!$M:$M)</f>
        <v>0</v>
      </c>
    </row>
    <row r="78" spans="1:24" x14ac:dyDescent="0.55000000000000004">
      <c r="A78" t="str">
        <f t="shared" si="205"/>
        <v>MayFebruaryHong Kong - Phillips WI</v>
      </c>
      <c r="B78" t="str">
        <f t="shared" si="206"/>
        <v>MayMarchHong Kong - Phillips WI</v>
      </c>
      <c r="C78" t="str">
        <f t="shared" si="207"/>
        <v>MayAprilHong Kong - Phillips WI</v>
      </c>
      <c r="D78" t="str">
        <f t="shared" si="208"/>
        <v>MayMayHong Kong - Phillips WI</v>
      </c>
      <c r="E78" t="str">
        <f t="shared" si="209"/>
        <v>MayJuneHong Kong - Phillips WI</v>
      </c>
      <c r="F78" t="str">
        <f t="shared" si="210"/>
        <v>MayJulyHong Kong - Phillips WI</v>
      </c>
      <c r="G78" t="str">
        <f t="shared" si="211"/>
        <v>MayAugustHong Kong - Phillips WI</v>
      </c>
      <c r="H78" t="str">
        <f t="shared" si="212"/>
        <v>MaySeptemberHong Kong - Phillips WI</v>
      </c>
      <c r="I78" t="str">
        <f t="shared" si="213"/>
        <v>MayOctoberHong Kong - Phillips WI</v>
      </c>
      <c r="J78" t="str">
        <f t="shared" si="214"/>
        <v>MayNovemberHong Kong - Phillips WI</v>
      </c>
      <c r="K78" t="str">
        <f t="shared" si="215"/>
        <v>MayDecemberHong Kong - Phillips WI</v>
      </c>
      <c r="L78" t="s">
        <v>303</v>
      </c>
      <c r="M78" t="s">
        <v>65</v>
      </c>
      <c r="N78" s="38">
        <f>SUMIF(Data!$A:$A,Summary!A78,Data!$M:$M)</f>
        <v>0</v>
      </c>
      <c r="O78" s="38">
        <f>SUMIF(Data!$A:$A,Summary!B78,Data!$M:$M)</f>
        <v>0</v>
      </c>
      <c r="P78" s="38">
        <f>SUMIF(Data!$A:$A,Summary!C78,Data!$M:$M)</f>
        <v>46201.75</v>
      </c>
      <c r="Q78" s="38">
        <f>SUMIF(Data!$A:$A,Summary!D78,Data!$M:$M)</f>
        <v>71284.850000000006</v>
      </c>
      <c r="R78" s="38">
        <f>SUMIF(Data!$A:$A,Summary!E78,Data!$M:$M)</f>
        <v>0</v>
      </c>
      <c r="S78" s="38">
        <f>SUMIF(Data!$A:$A,Summary!F78,Data!$M:$M)</f>
        <v>0</v>
      </c>
      <c r="T78" s="38">
        <f>SUMIF(Data!$A:$A,Summary!G78,Data!$M:$M)</f>
        <v>0</v>
      </c>
      <c r="U78" s="38">
        <f>SUMIF(Data!$A:$A,Summary!H78,Data!$M:$M)</f>
        <v>0</v>
      </c>
      <c r="V78" s="38">
        <f>SUMIF(Data!$A:$A,Summary!I78,Data!$M:$M)</f>
        <v>0</v>
      </c>
      <c r="W78" s="38">
        <f>SUMIF(Data!$A:$A,Summary!J78,Data!$M:$M)</f>
        <v>0</v>
      </c>
      <c r="X78" s="38">
        <f>SUMIF(Data!$A:$A,Summary!K78,Data!$M:$M)</f>
        <v>0</v>
      </c>
    </row>
    <row r="79" spans="1:24" x14ac:dyDescent="0.55000000000000004">
      <c r="A79" t="str">
        <f t="shared" si="205"/>
        <v>MayFebruaryPhillips WI - DCL KY</v>
      </c>
      <c r="B79" t="str">
        <f t="shared" si="206"/>
        <v>MayMarchPhillips WI - DCL KY</v>
      </c>
      <c r="C79" t="str">
        <f t="shared" si="207"/>
        <v>MayAprilPhillips WI - DCL KY</v>
      </c>
      <c r="D79" t="str">
        <f t="shared" si="208"/>
        <v>MayMayPhillips WI - DCL KY</v>
      </c>
      <c r="E79" t="str">
        <f t="shared" si="209"/>
        <v>MayJunePhillips WI - DCL KY</v>
      </c>
      <c r="F79" t="str">
        <f t="shared" si="210"/>
        <v>MayJulyPhillips WI - DCL KY</v>
      </c>
      <c r="G79" t="str">
        <f t="shared" si="211"/>
        <v>MayAugustPhillips WI - DCL KY</v>
      </c>
      <c r="H79" t="str">
        <f t="shared" si="212"/>
        <v>MaySeptemberPhillips WI - DCL KY</v>
      </c>
      <c r="I79" t="str">
        <f t="shared" si="213"/>
        <v>MayOctoberPhillips WI - DCL KY</v>
      </c>
      <c r="J79" t="str">
        <f t="shared" si="214"/>
        <v>MayNovemberPhillips WI - DCL KY</v>
      </c>
      <c r="K79" t="str">
        <f t="shared" si="215"/>
        <v>MayDecemberPhillips WI - DCL KY</v>
      </c>
      <c r="L79" t="s">
        <v>303</v>
      </c>
      <c r="M79" t="s">
        <v>29</v>
      </c>
      <c r="N79" s="38">
        <f>SUMIF(Data!$A:$A,Summary!A79,Data!$M:$M)</f>
        <v>0</v>
      </c>
      <c r="O79" s="38">
        <f>SUMIF(Data!$A:$A,Summary!B79,Data!$M:$M)</f>
        <v>0</v>
      </c>
      <c r="P79" s="38">
        <f>SUMIF(Data!$A:$A,Summary!C79,Data!$M:$M)</f>
        <v>0</v>
      </c>
      <c r="Q79" s="38">
        <f>SUMIF(Data!$A:$A,Summary!D79,Data!$M:$M)</f>
        <v>5802</v>
      </c>
      <c r="R79" s="38">
        <f>SUMIF(Data!$A:$A,Summary!E79,Data!$M:$M)</f>
        <v>0</v>
      </c>
      <c r="S79" s="38">
        <f>SUMIF(Data!$A:$A,Summary!F79,Data!$M:$M)</f>
        <v>0</v>
      </c>
      <c r="T79" s="38">
        <f>SUMIF(Data!$A:$A,Summary!G79,Data!$M:$M)</f>
        <v>0</v>
      </c>
      <c r="U79" s="38">
        <f>SUMIF(Data!$A:$A,Summary!H79,Data!$M:$M)</f>
        <v>0</v>
      </c>
      <c r="V79" s="38">
        <f>SUMIF(Data!$A:$A,Summary!I79,Data!$M:$M)</f>
        <v>0</v>
      </c>
      <c r="W79" s="38">
        <f>SUMIF(Data!$A:$A,Summary!J79,Data!$M:$M)</f>
        <v>0</v>
      </c>
      <c r="X79" s="38">
        <f>SUMIF(Data!$A:$A,Summary!K79,Data!$M:$M)</f>
        <v>0</v>
      </c>
    </row>
    <row r="80" spans="1:24" x14ac:dyDescent="0.55000000000000004">
      <c r="A80" t="str">
        <f t="shared" si="205"/>
        <v>MayFebruarySan Francisco - Canada</v>
      </c>
      <c r="B80" t="str">
        <f t="shared" si="206"/>
        <v>MayMarchSan Francisco - Canada</v>
      </c>
      <c r="C80" t="str">
        <f t="shared" si="207"/>
        <v>MayAprilSan Francisco - Canada</v>
      </c>
      <c r="D80" t="str">
        <f t="shared" si="208"/>
        <v>MayMaySan Francisco - Canada</v>
      </c>
      <c r="E80" t="str">
        <f t="shared" si="209"/>
        <v>MayJuneSan Francisco - Canada</v>
      </c>
      <c r="F80" t="str">
        <f t="shared" si="210"/>
        <v>MayJulySan Francisco - Canada</v>
      </c>
      <c r="G80" t="str">
        <f t="shared" si="211"/>
        <v>MayAugustSan Francisco - Canada</v>
      </c>
      <c r="H80" t="str">
        <f t="shared" si="212"/>
        <v>MaySeptemberSan Francisco - Canada</v>
      </c>
      <c r="I80" t="str">
        <f t="shared" si="213"/>
        <v>MayOctoberSan Francisco - Canada</v>
      </c>
      <c r="J80" t="str">
        <f t="shared" si="214"/>
        <v>MayNovemberSan Francisco - Canada</v>
      </c>
      <c r="K80" t="str">
        <f t="shared" si="215"/>
        <v>MayDecemberSan Francisco - Canada</v>
      </c>
      <c r="L80" t="s">
        <v>303</v>
      </c>
      <c r="M80" t="s">
        <v>435</v>
      </c>
      <c r="N80" s="38">
        <f>SUMIF(Data!$A:$A,Summary!A80,Data!$M:$M)</f>
        <v>0</v>
      </c>
      <c r="O80" s="38">
        <f>SUMIF(Data!$A:$A,Summary!B80,Data!$M:$M)</f>
        <v>0</v>
      </c>
      <c r="P80" s="38">
        <f>SUMIF(Data!$A:$A,Summary!C80,Data!$M:$M)</f>
        <v>361.25</v>
      </c>
      <c r="Q80" s="38">
        <f>SUMIF(Data!$A:$A,Summary!D80,Data!$M:$M)</f>
        <v>0</v>
      </c>
      <c r="R80" s="38">
        <f>SUMIF(Data!$A:$A,Summary!E80,Data!$M:$M)</f>
        <v>0</v>
      </c>
      <c r="S80" s="38">
        <f>SUMIF(Data!$A:$A,Summary!F80,Data!$M:$M)</f>
        <v>0</v>
      </c>
      <c r="T80" s="38">
        <f>SUMIF(Data!$A:$A,Summary!G80,Data!$M:$M)</f>
        <v>0</v>
      </c>
      <c r="U80" s="38">
        <f>SUMIF(Data!$A:$A,Summary!H80,Data!$M:$M)</f>
        <v>0</v>
      </c>
      <c r="V80" s="38">
        <f>SUMIF(Data!$A:$A,Summary!I80,Data!$M:$M)</f>
        <v>0</v>
      </c>
      <c r="W80" s="38">
        <f>SUMIF(Data!$A:$A,Summary!J80,Data!$M:$M)</f>
        <v>0</v>
      </c>
      <c r="X80" s="38">
        <f>SUMIF(Data!$A:$A,Summary!K80,Data!$M:$M)</f>
        <v>0</v>
      </c>
    </row>
    <row r="81" spans="1:24" x14ac:dyDescent="0.55000000000000004">
      <c r="A81" t="str">
        <f t="shared" si="205"/>
        <v>MayFebruaryShanghai - DCL KY</v>
      </c>
      <c r="B81" t="str">
        <f t="shared" si="206"/>
        <v>MayMarchShanghai - DCL KY</v>
      </c>
      <c r="C81" t="str">
        <f t="shared" si="207"/>
        <v>MayAprilShanghai - DCL KY</v>
      </c>
      <c r="D81" t="str">
        <f t="shared" si="208"/>
        <v>MayMayShanghai - DCL KY</v>
      </c>
      <c r="E81" t="str">
        <f t="shared" si="209"/>
        <v>MayJuneShanghai - DCL KY</v>
      </c>
      <c r="F81" t="str">
        <f t="shared" si="210"/>
        <v>MayJulyShanghai - DCL KY</v>
      </c>
      <c r="G81" t="str">
        <f t="shared" si="211"/>
        <v>MayAugustShanghai - DCL KY</v>
      </c>
      <c r="H81" t="str">
        <f t="shared" si="212"/>
        <v>MaySeptemberShanghai - DCL KY</v>
      </c>
      <c r="I81" t="str">
        <f t="shared" si="213"/>
        <v>MayOctoberShanghai - DCL KY</v>
      </c>
      <c r="J81" t="str">
        <f t="shared" si="214"/>
        <v>MayNovemberShanghai - DCL KY</v>
      </c>
      <c r="K81" t="str">
        <f t="shared" si="215"/>
        <v>MayDecemberShanghai - DCL KY</v>
      </c>
      <c r="L81" t="s">
        <v>303</v>
      </c>
      <c r="M81" t="s">
        <v>44</v>
      </c>
      <c r="N81" s="38">
        <f>SUMIF(Data!$A:$A,Summary!A81,Data!$M:$M)</f>
        <v>0</v>
      </c>
      <c r="O81" s="38">
        <f>SUMIF(Data!$A:$A,Summary!B81,Data!$M:$M)</f>
        <v>0</v>
      </c>
      <c r="P81" s="38">
        <f>SUMIF(Data!$A:$A,Summary!C81,Data!$M:$M)</f>
        <v>0</v>
      </c>
      <c r="Q81" s="38">
        <f>SUMIF(Data!$A:$A,Summary!D81,Data!$M:$M)</f>
        <v>73190.63</v>
      </c>
      <c r="R81" s="38">
        <f>SUMIF(Data!$A:$A,Summary!E81,Data!$M:$M)</f>
        <v>0</v>
      </c>
      <c r="S81" s="38">
        <f>SUMIF(Data!$A:$A,Summary!F81,Data!$M:$M)</f>
        <v>0</v>
      </c>
      <c r="T81" s="38">
        <f>SUMIF(Data!$A:$A,Summary!G81,Data!$M:$M)</f>
        <v>0</v>
      </c>
      <c r="U81" s="38">
        <f>SUMIF(Data!$A:$A,Summary!H81,Data!$M:$M)</f>
        <v>0</v>
      </c>
      <c r="V81" s="38">
        <f>SUMIF(Data!$A:$A,Summary!I81,Data!$M:$M)</f>
        <v>0</v>
      </c>
      <c r="W81" s="38">
        <f>SUMIF(Data!$A:$A,Summary!J81,Data!$M:$M)</f>
        <v>0</v>
      </c>
      <c r="X81" s="38">
        <f>SUMIF(Data!$A:$A,Summary!K81,Data!$M:$M)</f>
        <v>0</v>
      </c>
    </row>
    <row r="82" spans="1:24" x14ac:dyDescent="0.55000000000000004">
      <c r="A82" t="str">
        <f t="shared" si="205"/>
        <v>MayFebruaryShanghai - DECI NC</v>
      </c>
      <c r="B82" t="str">
        <f t="shared" si="206"/>
        <v>MayMarchShanghai - DECI NC</v>
      </c>
      <c r="C82" t="str">
        <f t="shared" si="207"/>
        <v>MayAprilShanghai - DECI NC</v>
      </c>
      <c r="D82" t="str">
        <f t="shared" si="208"/>
        <v>MayMayShanghai - DECI NC</v>
      </c>
      <c r="E82" t="str">
        <f t="shared" si="209"/>
        <v>MayJuneShanghai - DECI NC</v>
      </c>
      <c r="F82" t="str">
        <f t="shared" si="210"/>
        <v>MayJulyShanghai - DECI NC</v>
      </c>
      <c r="G82" t="str">
        <f t="shared" si="211"/>
        <v>MayAugustShanghai - DECI NC</v>
      </c>
      <c r="H82" t="str">
        <f t="shared" si="212"/>
        <v>MaySeptemberShanghai - DECI NC</v>
      </c>
      <c r="I82" t="str">
        <f t="shared" si="213"/>
        <v>MayOctoberShanghai - DECI NC</v>
      </c>
      <c r="J82" t="str">
        <f t="shared" si="214"/>
        <v>MayNovemberShanghai - DECI NC</v>
      </c>
      <c r="K82" t="str">
        <f t="shared" si="215"/>
        <v>MayDecemberShanghai - DECI NC</v>
      </c>
      <c r="L82" t="s">
        <v>303</v>
      </c>
      <c r="M82" t="s">
        <v>50</v>
      </c>
      <c r="N82" s="38">
        <f>SUMIF(Data!$A:$A,Summary!A82,Data!$M:$M)</f>
        <v>0</v>
      </c>
      <c r="O82" s="38">
        <f>SUMIF(Data!$A:$A,Summary!B82,Data!$M:$M)</f>
        <v>0</v>
      </c>
      <c r="P82" s="38">
        <f>SUMIF(Data!$A:$A,Summary!C82,Data!$M:$M)</f>
        <v>0</v>
      </c>
      <c r="Q82" s="38">
        <f>SUMIF(Data!$A:$A,Summary!D82,Data!$M:$M)</f>
        <v>0</v>
      </c>
      <c r="R82" s="38">
        <f>SUMIF(Data!$A:$A,Summary!E82,Data!$M:$M)</f>
        <v>0</v>
      </c>
      <c r="S82" s="38">
        <f>SUMIF(Data!$A:$A,Summary!F82,Data!$M:$M)</f>
        <v>0</v>
      </c>
      <c r="T82" s="38">
        <f>SUMIF(Data!$A:$A,Summary!G82,Data!$M:$M)</f>
        <v>0</v>
      </c>
      <c r="U82" s="38">
        <f>SUMIF(Data!$A:$A,Summary!H82,Data!$M:$M)</f>
        <v>0</v>
      </c>
      <c r="V82" s="38">
        <f>SUMIF(Data!$A:$A,Summary!I82,Data!$M:$M)</f>
        <v>0</v>
      </c>
      <c r="W82" s="38">
        <f>SUMIF(Data!$A:$A,Summary!J82,Data!$M:$M)</f>
        <v>0</v>
      </c>
      <c r="X82" s="38">
        <f>SUMIF(Data!$A:$A,Summary!K82,Data!$M:$M)</f>
        <v>0</v>
      </c>
    </row>
    <row r="83" spans="1:24" x14ac:dyDescent="0.55000000000000004">
      <c r="A83" t="str">
        <f t="shared" si="205"/>
        <v>MayFebruaryTaiwan - DCL KY</v>
      </c>
      <c r="B83" t="str">
        <f t="shared" si="206"/>
        <v>MayMarchTaiwan - DCL KY</v>
      </c>
      <c r="C83" t="str">
        <f t="shared" si="207"/>
        <v>MayAprilTaiwan - DCL KY</v>
      </c>
      <c r="D83" t="str">
        <f t="shared" si="208"/>
        <v>MayMayTaiwan - DCL KY</v>
      </c>
      <c r="E83" t="str">
        <f t="shared" si="209"/>
        <v>MayJuneTaiwan - DCL KY</v>
      </c>
      <c r="F83" t="str">
        <f t="shared" si="210"/>
        <v>MayJulyTaiwan - DCL KY</v>
      </c>
      <c r="G83" t="str">
        <f t="shared" si="211"/>
        <v>MayAugustTaiwan - DCL KY</v>
      </c>
      <c r="H83" t="str">
        <f t="shared" si="212"/>
        <v>MaySeptemberTaiwan - DCL KY</v>
      </c>
      <c r="I83" t="str">
        <f t="shared" si="213"/>
        <v>MayOctoberTaiwan - DCL KY</v>
      </c>
      <c r="J83" t="str">
        <f t="shared" si="214"/>
        <v>MayNovemberTaiwan - DCL KY</v>
      </c>
      <c r="K83" t="str">
        <f t="shared" si="215"/>
        <v>MayDecemberTaiwan - DCL KY</v>
      </c>
      <c r="L83" t="s">
        <v>303</v>
      </c>
      <c r="M83" t="s">
        <v>128</v>
      </c>
      <c r="N83" s="38">
        <f>SUMIF(Data!$A:$A,Summary!A83,Data!$M:$M)</f>
        <v>0</v>
      </c>
      <c r="O83" s="38">
        <f>SUMIF(Data!$A:$A,Summary!B83,Data!$M:$M)</f>
        <v>0</v>
      </c>
      <c r="P83" s="38">
        <f>SUMIF(Data!$A:$A,Summary!C83,Data!$M:$M)</f>
        <v>0</v>
      </c>
      <c r="Q83" s="38">
        <f>SUMIF(Data!$A:$A,Summary!D83,Data!$M:$M)</f>
        <v>0</v>
      </c>
      <c r="R83" s="38">
        <f>SUMIF(Data!$A:$A,Summary!E83,Data!$M:$M)</f>
        <v>0</v>
      </c>
      <c r="S83" s="38">
        <f>SUMIF(Data!$A:$A,Summary!F83,Data!$M:$M)</f>
        <v>0</v>
      </c>
      <c r="T83" s="38">
        <f>SUMIF(Data!$A:$A,Summary!G83,Data!$M:$M)</f>
        <v>0</v>
      </c>
      <c r="U83" s="38">
        <f>SUMIF(Data!$A:$A,Summary!H83,Data!$M:$M)</f>
        <v>0</v>
      </c>
      <c r="V83" s="38">
        <f>SUMIF(Data!$A:$A,Summary!I83,Data!$M:$M)</f>
        <v>0</v>
      </c>
      <c r="W83" s="38">
        <f>SUMIF(Data!$A:$A,Summary!J83,Data!$M:$M)</f>
        <v>0</v>
      </c>
      <c r="X83" s="38">
        <f>SUMIF(Data!$A:$A,Summary!K83,Data!$M:$M)</f>
        <v>0</v>
      </c>
    </row>
    <row r="84" spans="1:24" x14ac:dyDescent="0.55000000000000004">
      <c r="A84" t="str">
        <f t="shared" si="205"/>
        <v>JuneFebruaryAFG NC - DCL KY</v>
      </c>
      <c r="B84" t="str">
        <f t="shared" si="206"/>
        <v>JuneMarchAFG NC - DCL KY</v>
      </c>
      <c r="C84" t="str">
        <f t="shared" si="207"/>
        <v>JuneAprilAFG NC - DCL KY</v>
      </c>
      <c r="D84" t="str">
        <f t="shared" si="208"/>
        <v>JuneMayAFG NC - DCL KY</v>
      </c>
      <c r="E84" t="str">
        <f t="shared" si="209"/>
        <v>JuneJuneAFG NC - DCL KY</v>
      </c>
      <c r="F84" t="str">
        <f t="shared" si="210"/>
        <v>JuneJulyAFG NC - DCL KY</v>
      </c>
      <c r="G84" t="str">
        <f t="shared" si="211"/>
        <v>JuneAugustAFG NC - DCL KY</v>
      </c>
      <c r="H84" t="str">
        <f t="shared" si="212"/>
        <v>JuneSeptemberAFG NC - DCL KY</v>
      </c>
      <c r="I84" t="str">
        <f t="shared" si="213"/>
        <v>JuneOctoberAFG NC - DCL KY</v>
      </c>
      <c r="J84" t="str">
        <f t="shared" si="214"/>
        <v>JuneNovemberAFG NC - DCL KY</v>
      </c>
      <c r="K84" t="str">
        <f t="shared" si="215"/>
        <v>JuneDecemberAFG NC - DCL KY</v>
      </c>
      <c r="L84" t="s">
        <v>304</v>
      </c>
      <c r="M84" t="s">
        <v>173</v>
      </c>
      <c r="N84" s="38">
        <f>SUMIF(Data!$A:$A,Summary!A84,Data!$M:$M)</f>
        <v>0</v>
      </c>
      <c r="O84" s="38">
        <f>SUMIF(Data!$A:$A,Summary!B84,Data!$M:$M)</f>
        <v>0</v>
      </c>
      <c r="P84" s="38">
        <f>SUMIF(Data!$A:$A,Summary!C84,Data!$M:$M)</f>
        <v>0</v>
      </c>
      <c r="Q84" s="38">
        <f>SUMIF(Data!$A:$A,Summary!D84,Data!$M:$M)</f>
        <v>0</v>
      </c>
      <c r="R84" s="38">
        <f>SUMIF(Data!$A:$A,Summary!E84,Data!$M:$M)</f>
        <v>31750</v>
      </c>
      <c r="S84" s="38">
        <f>SUMIF(Data!$A:$A,Summary!F84,Data!$M:$M)</f>
        <v>0</v>
      </c>
      <c r="T84" s="38">
        <f>SUMIF(Data!$A:$A,Summary!G84,Data!$M:$M)</f>
        <v>0</v>
      </c>
      <c r="U84" s="38">
        <f>SUMIF(Data!$A:$A,Summary!H84,Data!$M:$M)</f>
        <v>0</v>
      </c>
      <c r="V84" s="38">
        <f>SUMIF(Data!$A:$A,Summary!I84,Data!$M:$M)</f>
        <v>0</v>
      </c>
      <c r="W84" s="38">
        <f>SUMIF(Data!$A:$A,Summary!J84,Data!$M:$M)</f>
        <v>0</v>
      </c>
      <c r="X84" s="38">
        <f>SUMIF(Data!$A:$A,Summary!K84,Data!$M:$M)</f>
        <v>0</v>
      </c>
    </row>
    <row r="85" spans="1:24" x14ac:dyDescent="0.55000000000000004">
      <c r="A85" t="str">
        <f t="shared" si="205"/>
        <v>JuneFebruaryAFG NC - Canada</v>
      </c>
      <c r="B85" t="str">
        <f t="shared" si="206"/>
        <v>JuneMarchAFG NC - Canada</v>
      </c>
      <c r="C85" t="str">
        <f t="shared" si="207"/>
        <v>JuneAprilAFG NC - Canada</v>
      </c>
      <c r="D85" t="str">
        <f t="shared" si="208"/>
        <v>JuneMayAFG NC - Canada</v>
      </c>
      <c r="E85" t="str">
        <f t="shared" si="209"/>
        <v>JuneJuneAFG NC - Canada</v>
      </c>
      <c r="F85" t="str">
        <f t="shared" si="210"/>
        <v>JuneJulyAFG NC - Canada</v>
      </c>
      <c r="G85" t="str">
        <f t="shared" si="211"/>
        <v>JuneAugustAFG NC - Canada</v>
      </c>
      <c r="H85" t="str">
        <f t="shared" si="212"/>
        <v>JuneSeptemberAFG NC - Canada</v>
      </c>
      <c r="I85" t="str">
        <f t="shared" si="213"/>
        <v>JuneOctoberAFG NC - Canada</v>
      </c>
      <c r="J85" t="str">
        <f t="shared" si="214"/>
        <v>JuneNovemberAFG NC - Canada</v>
      </c>
      <c r="K85" t="str">
        <f t="shared" si="215"/>
        <v>JuneDecemberAFG NC - Canada</v>
      </c>
      <c r="L85" t="s">
        <v>304</v>
      </c>
      <c r="M85" t="s">
        <v>1085</v>
      </c>
      <c r="N85" s="38">
        <f>SUMIF(Data!$A:$A,Summary!A85,Data!$M:$M)</f>
        <v>0</v>
      </c>
      <c r="O85" s="38">
        <f>SUMIF(Data!$A:$A,Summary!B85,Data!$M:$M)</f>
        <v>0</v>
      </c>
      <c r="P85" s="38">
        <f>SUMIF(Data!$A:$A,Summary!C85,Data!$M:$M)</f>
        <v>0</v>
      </c>
      <c r="Q85" s="38">
        <f>SUMIF(Data!$A:$A,Summary!D85,Data!$M:$M)</f>
        <v>0</v>
      </c>
      <c r="R85" s="38">
        <f>SUMIF(Data!$A:$A,Summary!E85,Data!$M:$M)</f>
        <v>0</v>
      </c>
      <c r="S85" s="38">
        <f>SUMIF(Data!$A:$A,Summary!F85,Data!$M:$M)</f>
        <v>0</v>
      </c>
      <c r="T85" s="38">
        <f>SUMIF(Data!$A:$A,Summary!G85,Data!$M:$M)</f>
        <v>0</v>
      </c>
      <c r="U85" s="38">
        <f>SUMIF(Data!$A:$A,Summary!H85,Data!$M:$M)</f>
        <v>0</v>
      </c>
      <c r="V85" s="38">
        <f>SUMIF(Data!$A:$A,Summary!I85,Data!$M:$M)</f>
        <v>0</v>
      </c>
      <c r="W85" s="38">
        <f>SUMIF(Data!$A:$A,Summary!J85,Data!$M:$M)</f>
        <v>0</v>
      </c>
      <c r="X85" s="38">
        <f>SUMIF(Data!$A:$A,Summary!K85,Data!$M:$M)</f>
        <v>0</v>
      </c>
    </row>
    <row r="86" spans="1:24" x14ac:dyDescent="0.55000000000000004">
      <c r="A86" t="str">
        <f t="shared" si="205"/>
        <v>JuneFebruaryAFG NC - Phillips WI</v>
      </c>
      <c r="B86" t="str">
        <f t="shared" si="206"/>
        <v>JuneMarchAFG NC - Phillips WI</v>
      </c>
      <c r="C86" t="str">
        <f t="shared" si="207"/>
        <v>JuneAprilAFG NC - Phillips WI</v>
      </c>
      <c r="D86" t="str">
        <f t="shared" si="208"/>
        <v>JuneMayAFG NC - Phillips WI</v>
      </c>
      <c r="E86" t="str">
        <f t="shared" si="209"/>
        <v>JuneJuneAFG NC - Phillips WI</v>
      </c>
      <c r="F86" t="str">
        <f t="shared" si="210"/>
        <v>JuneJulyAFG NC - Phillips WI</v>
      </c>
      <c r="G86" t="str">
        <f t="shared" si="211"/>
        <v>JuneAugustAFG NC - Phillips WI</v>
      </c>
      <c r="H86" t="str">
        <f t="shared" si="212"/>
        <v>JuneSeptemberAFG NC - Phillips WI</v>
      </c>
      <c r="I86" t="str">
        <f t="shared" si="213"/>
        <v>JuneOctoberAFG NC - Phillips WI</v>
      </c>
      <c r="J86" t="str">
        <f t="shared" si="214"/>
        <v>JuneNovemberAFG NC - Phillips WI</v>
      </c>
      <c r="K86" t="str">
        <f t="shared" si="215"/>
        <v>JuneDecemberAFG NC - Phillips WI</v>
      </c>
      <c r="L86" t="s">
        <v>304</v>
      </c>
      <c r="M86" t="s">
        <v>833</v>
      </c>
      <c r="N86" s="38">
        <f>SUMIF(Data!$A:$A,Summary!A86,Data!$M:$M)</f>
        <v>0</v>
      </c>
      <c r="O86" s="38">
        <f>SUMIF(Data!$A:$A,Summary!B86,Data!$M:$M)</f>
        <v>0</v>
      </c>
      <c r="P86" s="38">
        <f>SUMIF(Data!$A:$A,Summary!C86,Data!$M:$M)</f>
        <v>0</v>
      </c>
      <c r="Q86" s="38">
        <f>SUMIF(Data!$A:$A,Summary!D86,Data!$M:$M)</f>
        <v>0</v>
      </c>
      <c r="R86" s="38">
        <f>SUMIF(Data!$A:$A,Summary!E86,Data!$M:$M)</f>
        <v>0</v>
      </c>
      <c r="S86" s="38">
        <f>SUMIF(Data!$A:$A,Summary!F86,Data!$M:$M)</f>
        <v>0</v>
      </c>
      <c r="T86" s="38">
        <f>SUMIF(Data!$A:$A,Summary!G86,Data!$M:$M)</f>
        <v>0</v>
      </c>
      <c r="U86" s="38">
        <f>SUMIF(Data!$A:$A,Summary!H86,Data!$M:$M)</f>
        <v>0</v>
      </c>
      <c r="V86" s="38">
        <f>SUMIF(Data!$A:$A,Summary!I86,Data!$M:$M)</f>
        <v>0</v>
      </c>
      <c r="W86" s="38">
        <f>SUMIF(Data!$A:$A,Summary!J86,Data!$M:$M)</f>
        <v>0</v>
      </c>
      <c r="X86" s="38">
        <f>SUMIF(Data!$A:$A,Summary!K86,Data!$M:$M)</f>
        <v>0</v>
      </c>
    </row>
    <row r="87" spans="1:24" x14ac:dyDescent="0.55000000000000004">
      <c r="A87" t="str">
        <f t="shared" si="205"/>
        <v>JuneFebruaryAFG Suzho - DCL KY</v>
      </c>
      <c r="B87" t="str">
        <f t="shared" si="206"/>
        <v>JuneMarchAFG Suzho - DCL KY</v>
      </c>
      <c r="C87" t="str">
        <f t="shared" si="207"/>
        <v>JuneAprilAFG Suzho - DCL KY</v>
      </c>
      <c r="D87" t="str">
        <f t="shared" si="208"/>
        <v>JuneMayAFG Suzho - DCL KY</v>
      </c>
      <c r="E87" t="str">
        <f t="shared" si="209"/>
        <v>JuneJuneAFG Suzho - DCL KY</v>
      </c>
      <c r="F87" t="str">
        <f t="shared" si="210"/>
        <v>JuneJulyAFG Suzho - DCL KY</v>
      </c>
      <c r="G87" t="str">
        <f t="shared" si="211"/>
        <v>JuneAugustAFG Suzho - DCL KY</v>
      </c>
      <c r="H87" t="str">
        <f t="shared" si="212"/>
        <v>JuneSeptemberAFG Suzho - DCL KY</v>
      </c>
      <c r="I87" t="str">
        <f t="shared" si="213"/>
        <v>JuneOctoberAFG Suzho - DCL KY</v>
      </c>
      <c r="J87" t="str">
        <f t="shared" si="214"/>
        <v>JuneNovemberAFG Suzho - DCL KY</v>
      </c>
      <c r="K87" t="str">
        <f t="shared" si="215"/>
        <v>JuneDecemberAFG Suzho - DCL KY</v>
      </c>
      <c r="L87" t="s">
        <v>304</v>
      </c>
      <c r="M87" t="s">
        <v>247</v>
      </c>
      <c r="N87" s="38">
        <f>SUMIF(Data!$A:$A,Summary!A87,Data!$M:$M)</f>
        <v>0</v>
      </c>
      <c r="O87" s="38">
        <f>SUMIF(Data!$A:$A,Summary!B87,Data!$M:$M)</f>
        <v>0</v>
      </c>
      <c r="P87" s="38">
        <f>SUMIF(Data!$A:$A,Summary!C87,Data!$M:$M)</f>
        <v>0</v>
      </c>
      <c r="Q87" s="38">
        <f>SUMIF(Data!$A:$A,Summary!D87,Data!$M:$M)</f>
        <v>0</v>
      </c>
      <c r="R87" s="38">
        <f>SUMIF(Data!$A:$A,Summary!E87,Data!$M:$M)</f>
        <v>0</v>
      </c>
      <c r="S87" s="38">
        <f>SUMIF(Data!$A:$A,Summary!F87,Data!$M:$M)</f>
        <v>0</v>
      </c>
      <c r="T87" s="38">
        <f>SUMIF(Data!$A:$A,Summary!G87,Data!$M:$M)</f>
        <v>0</v>
      </c>
      <c r="U87" s="38">
        <f>SUMIF(Data!$A:$A,Summary!H87,Data!$M:$M)</f>
        <v>0</v>
      </c>
      <c r="V87" s="38">
        <f>SUMIF(Data!$A:$A,Summary!I87,Data!$M:$M)</f>
        <v>0</v>
      </c>
      <c r="W87" s="38">
        <f>SUMIF(Data!$A:$A,Summary!J87,Data!$M:$M)</f>
        <v>0</v>
      </c>
      <c r="X87" s="38">
        <f>SUMIF(Data!$A:$A,Summary!K87,Data!$M:$M)</f>
        <v>0</v>
      </c>
    </row>
    <row r="88" spans="1:24" x14ac:dyDescent="0.55000000000000004">
      <c r="A88" t="str">
        <f t="shared" si="205"/>
        <v>JuneFebruaryAFG Suzho - DECI NC</v>
      </c>
      <c r="B88" t="str">
        <f t="shared" si="206"/>
        <v>JuneMarchAFG Suzho - DECI NC</v>
      </c>
      <c r="C88" t="str">
        <f t="shared" si="207"/>
        <v>JuneAprilAFG Suzho - DECI NC</v>
      </c>
      <c r="D88" t="str">
        <f t="shared" si="208"/>
        <v>JuneMayAFG Suzho - DECI NC</v>
      </c>
      <c r="E88" t="str">
        <f t="shared" si="209"/>
        <v>JuneJuneAFG Suzho - DECI NC</v>
      </c>
      <c r="F88" t="str">
        <f t="shared" si="210"/>
        <v>JuneJulyAFG Suzho - DECI NC</v>
      </c>
      <c r="G88" t="str">
        <f t="shared" si="211"/>
        <v>JuneAugustAFG Suzho - DECI NC</v>
      </c>
      <c r="H88" t="str">
        <f t="shared" si="212"/>
        <v>JuneSeptemberAFG Suzho - DECI NC</v>
      </c>
      <c r="I88" t="str">
        <f t="shared" si="213"/>
        <v>JuneOctoberAFG Suzho - DECI NC</v>
      </c>
      <c r="J88" t="str">
        <f t="shared" si="214"/>
        <v>JuneNovemberAFG Suzho - DECI NC</v>
      </c>
      <c r="K88" t="str">
        <f t="shared" si="215"/>
        <v>JuneDecemberAFG Suzho - DECI NC</v>
      </c>
      <c r="L88" t="s">
        <v>304</v>
      </c>
      <c r="M88" t="s">
        <v>245</v>
      </c>
      <c r="N88" s="38">
        <f>SUMIF(Data!$A:$A,Summary!A88,Data!$M:$M)</f>
        <v>0</v>
      </c>
      <c r="O88" s="38">
        <f>SUMIF(Data!$A:$A,Summary!B88,Data!$M:$M)</f>
        <v>0</v>
      </c>
      <c r="P88" s="38">
        <f>SUMIF(Data!$A:$A,Summary!C88,Data!$M:$M)</f>
        <v>0</v>
      </c>
      <c r="Q88" s="38">
        <f>SUMIF(Data!$A:$A,Summary!D88,Data!$M:$M)</f>
        <v>0</v>
      </c>
      <c r="R88" s="38">
        <f>SUMIF(Data!$A:$A,Summary!E88,Data!$M:$M)</f>
        <v>0</v>
      </c>
      <c r="S88" s="38">
        <f>SUMIF(Data!$A:$A,Summary!F88,Data!$M:$M)</f>
        <v>0</v>
      </c>
      <c r="T88" s="38">
        <f>SUMIF(Data!$A:$A,Summary!G88,Data!$M:$M)</f>
        <v>0</v>
      </c>
      <c r="U88" s="38">
        <f>SUMIF(Data!$A:$A,Summary!H88,Data!$M:$M)</f>
        <v>0</v>
      </c>
      <c r="V88" s="38">
        <f>SUMIF(Data!$A:$A,Summary!I88,Data!$M:$M)</f>
        <v>0</v>
      </c>
      <c r="W88" s="38">
        <f>SUMIF(Data!$A:$A,Summary!J88,Data!$M:$M)</f>
        <v>0</v>
      </c>
      <c r="X88" s="38">
        <f>SUMIF(Data!$A:$A,Summary!K88,Data!$M:$M)</f>
        <v>0</v>
      </c>
    </row>
    <row r="89" spans="1:24" x14ac:dyDescent="0.55000000000000004">
      <c r="A89" t="str">
        <f t="shared" si="205"/>
        <v>JuneFebruaryAFG Suzho - Flex IL</v>
      </c>
      <c r="B89" t="str">
        <f t="shared" si="206"/>
        <v>JuneMarchAFG Suzho - Flex IL</v>
      </c>
      <c r="C89" t="str">
        <f t="shared" si="207"/>
        <v>JuneAprilAFG Suzho - Flex IL</v>
      </c>
      <c r="D89" t="str">
        <f t="shared" si="208"/>
        <v>JuneMayAFG Suzho - Flex IL</v>
      </c>
      <c r="E89" t="str">
        <f t="shared" si="209"/>
        <v>JuneJuneAFG Suzho - Flex IL</v>
      </c>
      <c r="F89" t="str">
        <f t="shared" si="210"/>
        <v>JuneJulyAFG Suzho - Flex IL</v>
      </c>
      <c r="G89" t="str">
        <f t="shared" si="211"/>
        <v>JuneAugustAFG Suzho - Flex IL</v>
      </c>
      <c r="H89" t="str">
        <f t="shared" si="212"/>
        <v>JuneSeptemberAFG Suzho - Flex IL</v>
      </c>
      <c r="I89" t="str">
        <f t="shared" si="213"/>
        <v>JuneOctoberAFG Suzho - Flex IL</v>
      </c>
      <c r="J89" t="str">
        <f t="shared" si="214"/>
        <v>JuneNovemberAFG Suzho - Flex IL</v>
      </c>
      <c r="K89" t="str">
        <f t="shared" si="215"/>
        <v>JuneDecemberAFG Suzho - Flex IL</v>
      </c>
      <c r="L89" t="s">
        <v>304</v>
      </c>
      <c r="M89" t="s">
        <v>260</v>
      </c>
      <c r="N89" s="38">
        <f>SUMIF(Data!$A:$A,Summary!A89,Data!$M:$M)</f>
        <v>0</v>
      </c>
      <c r="O89" s="38">
        <f>SUMIF(Data!$A:$A,Summary!B89,Data!$M:$M)</f>
        <v>0</v>
      </c>
      <c r="P89" s="38">
        <f>SUMIF(Data!$A:$A,Summary!C89,Data!$M:$M)</f>
        <v>0</v>
      </c>
      <c r="Q89" s="38">
        <f>SUMIF(Data!$A:$A,Summary!D89,Data!$M:$M)</f>
        <v>0</v>
      </c>
      <c r="R89" s="38">
        <f>SUMIF(Data!$A:$A,Summary!E89,Data!$M:$M)</f>
        <v>0</v>
      </c>
      <c r="S89" s="38">
        <f>SUMIF(Data!$A:$A,Summary!F89,Data!$M:$M)</f>
        <v>0</v>
      </c>
      <c r="T89" s="38">
        <f>SUMIF(Data!$A:$A,Summary!G89,Data!$M:$M)</f>
        <v>0</v>
      </c>
      <c r="U89" s="38">
        <f>SUMIF(Data!$A:$A,Summary!H89,Data!$M:$M)</f>
        <v>0</v>
      </c>
      <c r="V89" s="38">
        <f>SUMIF(Data!$A:$A,Summary!I89,Data!$M:$M)</f>
        <v>0</v>
      </c>
      <c r="W89" s="38">
        <f>SUMIF(Data!$A:$A,Summary!J89,Data!$M:$M)</f>
        <v>0</v>
      </c>
      <c r="X89" s="38">
        <f>SUMIF(Data!$A:$A,Summary!K89,Data!$M:$M)</f>
        <v>0</v>
      </c>
    </row>
    <row r="90" spans="1:24" x14ac:dyDescent="0.55000000000000004">
      <c r="A90" t="str">
        <f t="shared" si="205"/>
        <v>JuneFebruaryChicago IL - Phillips WI</v>
      </c>
      <c r="B90" t="str">
        <f t="shared" si="206"/>
        <v>JuneMarchChicago IL - Phillips WI</v>
      </c>
      <c r="C90" t="str">
        <f t="shared" si="207"/>
        <v>JuneAprilChicago IL - Phillips WI</v>
      </c>
      <c r="D90" t="str">
        <f t="shared" si="208"/>
        <v>JuneMayChicago IL - Phillips WI</v>
      </c>
      <c r="E90" t="str">
        <f t="shared" si="209"/>
        <v>JuneJuneChicago IL - Phillips WI</v>
      </c>
      <c r="F90" t="str">
        <f t="shared" si="210"/>
        <v>JuneJulyChicago IL - Phillips WI</v>
      </c>
      <c r="G90" t="str">
        <f t="shared" si="211"/>
        <v>JuneAugustChicago IL - Phillips WI</v>
      </c>
      <c r="H90" t="str">
        <f t="shared" si="212"/>
        <v>JuneSeptemberChicago IL - Phillips WI</v>
      </c>
      <c r="I90" t="str">
        <f t="shared" si="213"/>
        <v>JuneOctoberChicago IL - Phillips WI</v>
      </c>
      <c r="J90" t="str">
        <f t="shared" si="214"/>
        <v>JuneNovemberChicago IL - Phillips WI</v>
      </c>
      <c r="K90" t="str">
        <f t="shared" si="215"/>
        <v>JuneDecemberChicago IL - Phillips WI</v>
      </c>
      <c r="L90" t="s">
        <v>304</v>
      </c>
      <c r="M90" t="s">
        <v>187</v>
      </c>
      <c r="N90" s="38">
        <f>SUMIF(Data!$A:$A,Summary!A90,Data!$M:$M)</f>
        <v>0</v>
      </c>
      <c r="O90" s="38">
        <f>SUMIF(Data!$A:$A,Summary!B90,Data!$M:$M)</f>
        <v>0</v>
      </c>
      <c r="P90" s="38">
        <f>SUMIF(Data!$A:$A,Summary!C90,Data!$M:$M)</f>
        <v>0</v>
      </c>
      <c r="Q90" s="38">
        <f>SUMIF(Data!$A:$A,Summary!D90,Data!$M:$M)</f>
        <v>0</v>
      </c>
      <c r="R90" s="38">
        <f>SUMIF(Data!$A:$A,Summary!E90,Data!$M:$M)</f>
        <v>0</v>
      </c>
      <c r="S90" s="38">
        <f>SUMIF(Data!$A:$A,Summary!F90,Data!$M:$M)</f>
        <v>0</v>
      </c>
      <c r="T90" s="38">
        <f>SUMIF(Data!$A:$A,Summary!G90,Data!$M:$M)</f>
        <v>0</v>
      </c>
      <c r="U90" s="38">
        <f>SUMIF(Data!$A:$A,Summary!H90,Data!$M:$M)</f>
        <v>0</v>
      </c>
      <c r="V90" s="38">
        <f>SUMIF(Data!$A:$A,Summary!I90,Data!$M:$M)</f>
        <v>0</v>
      </c>
      <c r="W90" s="38">
        <f>SUMIF(Data!$A:$A,Summary!J90,Data!$M:$M)</f>
        <v>0</v>
      </c>
      <c r="X90" s="38">
        <f>SUMIF(Data!$A:$A,Summary!K90,Data!$M:$M)</f>
        <v>0</v>
      </c>
    </row>
    <row r="91" spans="1:24" x14ac:dyDescent="0.55000000000000004">
      <c r="A91" t="str">
        <f t="shared" si="205"/>
        <v>JuneFebruaryChina - DCL KY</v>
      </c>
      <c r="B91" t="str">
        <f t="shared" si="206"/>
        <v>JuneMarchChina - DCL KY</v>
      </c>
      <c r="C91" t="str">
        <f t="shared" si="207"/>
        <v>JuneAprilChina - DCL KY</v>
      </c>
      <c r="D91" t="str">
        <f t="shared" si="208"/>
        <v>JuneMayChina - DCL KY</v>
      </c>
      <c r="E91" t="str">
        <f t="shared" si="209"/>
        <v>JuneJuneChina - DCL KY</v>
      </c>
      <c r="F91" t="str">
        <f t="shared" si="210"/>
        <v>JuneJulyChina - DCL KY</v>
      </c>
      <c r="G91" t="str">
        <f t="shared" si="211"/>
        <v>JuneAugustChina - DCL KY</v>
      </c>
      <c r="H91" t="str">
        <f t="shared" si="212"/>
        <v>JuneSeptemberChina - DCL KY</v>
      </c>
      <c r="I91" t="str">
        <f t="shared" si="213"/>
        <v>JuneOctoberChina - DCL KY</v>
      </c>
      <c r="J91" t="str">
        <f t="shared" si="214"/>
        <v>JuneNovemberChina - DCL KY</v>
      </c>
      <c r="K91" t="str">
        <f t="shared" si="215"/>
        <v>JuneDecemberChina - DCL KY</v>
      </c>
      <c r="L91" t="s">
        <v>304</v>
      </c>
      <c r="M91" t="s">
        <v>82</v>
      </c>
      <c r="N91" s="38">
        <f>SUMIF(Data!$A:$A,Summary!A91,Data!$M:$M)</f>
        <v>0</v>
      </c>
      <c r="O91" s="38">
        <f>SUMIF(Data!$A:$A,Summary!B91,Data!$M:$M)</f>
        <v>0</v>
      </c>
      <c r="P91" s="38">
        <f>SUMIF(Data!$A:$A,Summary!C91,Data!$M:$M)</f>
        <v>0</v>
      </c>
      <c r="Q91" s="38">
        <f>SUMIF(Data!$A:$A,Summary!D91,Data!$M:$M)</f>
        <v>42961.93</v>
      </c>
      <c r="R91" s="38">
        <f>SUMIF(Data!$A:$A,Summary!E91,Data!$M:$M)</f>
        <v>174540.71</v>
      </c>
      <c r="S91" s="38">
        <f>SUMIF(Data!$A:$A,Summary!F91,Data!$M:$M)</f>
        <v>0</v>
      </c>
      <c r="T91" s="38">
        <f>SUMIF(Data!$A:$A,Summary!G91,Data!$M:$M)</f>
        <v>0</v>
      </c>
      <c r="U91" s="38">
        <f>SUMIF(Data!$A:$A,Summary!H91,Data!$M:$M)</f>
        <v>0</v>
      </c>
      <c r="V91" s="38">
        <f>SUMIF(Data!$A:$A,Summary!I91,Data!$M:$M)</f>
        <v>0</v>
      </c>
      <c r="W91" s="38">
        <f>SUMIF(Data!$A:$A,Summary!J91,Data!$M:$M)</f>
        <v>0</v>
      </c>
      <c r="X91" s="38">
        <f>SUMIF(Data!$A:$A,Summary!K91,Data!$M:$M)</f>
        <v>0</v>
      </c>
    </row>
    <row r="92" spans="1:24" x14ac:dyDescent="0.55000000000000004">
      <c r="A92" t="str">
        <f t="shared" si="205"/>
        <v>JuneFebruaryChina - DECI NC</v>
      </c>
      <c r="B92" t="str">
        <f t="shared" si="206"/>
        <v>JuneMarchChina - DECI NC</v>
      </c>
      <c r="C92" t="str">
        <f t="shared" si="207"/>
        <v>JuneAprilChina - DECI NC</v>
      </c>
      <c r="D92" t="str">
        <f t="shared" si="208"/>
        <v>JuneMayChina - DECI NC</v>
      </c>
      <c r="E92" t="str">
        <f t="shared" si="209"/>
        <v>JuneJuneChina - DECI NC</v>
      </c>
      <c r="F92" t="str">
        <f t="shared" si="210"/>
        <v>JuneJulyChina - DECI NC</v>
      </c>
      <c r="G92" t="str">
        <f t="shared" si="211"/>
        <v>JuneAugustChina - DECI NC</v>
      </c>
      <c r="H92" t="str">
        <f t="shared" si="212"/>
        <v>JuneSeptemberChina - DECI NC</v>
      </c>
      <c r="I92" t="str">
        <f t="shared" si="213"/>
        <v>JuneOctoberChina - DECI NC</v>
      </c>
      <c r="J92" t="str">
        <f t="shared" si="214"/>
        <v>JuneNovemberChina - DECI NC</v>
      </c>
      <c r="K92" t="str">
        <f t="shared" si="215"/>
        <v>JuneDecemberChina - DECI NC</v>
      </c>
      <c r="L92" t="s">
        <v>304</v>
      </c>
      <c r="M92" t="s">
        <v>97</v>
      </c>
      <c r="N92" s="38">
        <f>SUMIF(Data!$A:$A,Summary!A92,Data!$M:$M)</f>
        <v>0</v>
      </c>
      <c r="O92" s="38">
        <f>SUMIF(Data!$A:$A,Summary!B92,Data!$M:$M)</f>
        <v>0</v>
      </c>
      <c r="P92" s="38">
        <f>SUMIF(Data!$A:$A,Summary!C92,Data!$M:$M)</f>
        <v>0</v>
      </c>
      <c r="Q92" s="38">
        <f>SUMIF(Data!$A:$A,Summary!D92,Data!$M:$M)</f>
        <v>52338.18</v>
      </c>
      <c r="R92" s="38">
        <f>SUMIF(Data!$A:$A,Summary!E92,Data!$M:$M)</f>
        <v>195630.52</v>
      </c>
      <c r="S92" s="38">
        <f>SUMIF(Data!$A:$A,Summary!F92,Data!$M:$M)</f>
        <v>0</v>
      </c>
      <c r="T92" s="38">
        <f>SUMIF(Data!$A:$A,Summary!G92,Data!$M:$M)</f>
        <v>0</v>
      </c>
      <c r="U92" s="38">
        <f>SUMIF(Data!$A:$A,Summary!H92,Data!$M:$M)</f>
        <v>0</v>
      </c>
      <c r="V92" s="38">
        <f>SUMIF(Data!$A:$A,Summary!I92,Data!$M:$M)</f>
        <v>0</v>
      </c>
      <c r="W92" s="38">
        <f>SUMIF(Data!$A:$A,Summary!J92,Data!$M:$M)</f>
        <v>0</v>
      </c>
      <c r="X92" s="38">
        <f>SUMIF(Data!$A:$A,Summary!K92,Data!$M:$M)</f>
        <v>0</v>
      </c>
    </row>
    <row r="93" spans="1:24" x14ac:dyDescent="0.55000000000000004">
      <c r="A93" t="str">
        <f t="shared" si="205"/>
        <v>JuneFebruaryChina - Flex IL</v>
      </c>
      <c r="B93" t="str">
        <f t="shared" si="206"/>
        <v>JuneMarchChina - Flex IL</v>
      </c>
      <c r="C93" t="str">
        <f t="shared" si="207"/>
        <v>JuneAprilChina - Flex IL</v>
      </c>
      <c r="D93" t="str">
        <f t="shared" si="208"/>
        <v>JuneMayChina - Flex IL</v>
      </c>
      <c r="E93" t="str">
        <f t="shared" si="209"/>
        <v>JuneJuneChina - Flex IL</v>
      </c>
      <c r="F93" t="str">
        <f t="shared" si="210"/>
        <v>JuneJulyChina - Flex IL</v>
      </c>
      <c r="G93" t="str">
        <f t="shared" si="211"/>
        <v>JuneAugustChina - Flex IL</v>
      </c>
      <c r="H93" t="str">
        <f t="shared" si="212"/>
        <v>JuneSeptemberChina - Flex IL</v>
      </c>
      <c r="I93" t="str">
        <f t="shared" si="213"/>
        <v>JuneOctoberChina - Flex IL</v>
      </c>
      <c r="J93" t="str">
        <f t="shared" si="214"/>
        <v>JuneNovemberChina - Flex IL</v>
      </c>
      <c r="K93" t="str">
        <f t="shared" si="215"/>
        <v>JuneDecemberChina - Flex IL</v>
      </c>
      <c r="L93" t="s">
        <v>304</v>
      </c>
      <c r="M93" t="s">
        <v>886</v>
      </c>
      <c r="N93" s="38">
        <f>SUMIF(Data!$A:$A,Summary!A93,Data!$M:$M)</f>
        <v>0</v>
      </c>
      <c r="O93" s="38">
        <f>SUMIF(Data!$A:$A,Summary!B93,Data!$M:$M)</f>
        <v>0</v>
      </c>
      <c r="P93" s="38">
        <f>SUMIF(Data!$A:$A,Summary!C93,Data!$M:$M)</f>
        <v>0</v>
      </c>
      <c r="Q93" s="38">
        <f>SUMIF(Data!$A:$A,Summary!D93,Data!$M:$M)</f>
        <v>13785.13</v>
      </c>
      <c r="R93" s="38">
        <f>SUMIF(Data!$A:$A,Summary!E93,Data!$M:$M)</f>
        <v>24472.13</v>
      </c>
      <c r="S93" s="38">
        <f>SUMIF(Data!$A:$A,Summary!F93,Data!$M:$M)</f>
        <v>0</v>
      </c>
      <c r="T93" s="38">
        <f>SUMIF(Data!$A:$A,Summary!G93,Data!$M:$M)</f>
        <v>0</v>
      </c>
      <c r="U93" s="38">
        <f>SUMIF(Data!$A:$A,Summary!H93,Data!$M:$M)</f>
        <v>0</v>
      </c>
      <c r="V93" s="38">
        <f>SUMIF(Data!$A:$A,Summary!I93,Data!$M:$M)</f>
        <v>0</v>
      </c>
      <c r="W93" s="38">
        <f>SUMIF(Data!$A:$A,Summary!J93,Data!$M:$M)</f>
        <v>0</v>
      </c>
      <c r="X93" s="38">
        <f>SUMIF(Data!$A:$A,Summary!K93,Data!$M:$M)</f>
        <v>0</v>
      </c>
    </row>
    <row r="94" spans="1:24" x14ac:dyDescent="0.55000000000000004">
      <c r="A94" t="str">
        <f t="shared" si="205"/>
        <v>JuneFebruaryChina - Phillips WI</v>
      </c>
      <c r="B94" t="str">
        <f t="shared" si="206"/>
        <v>JuneMarchChina - Phillips WI</v>
      </c>
      <c r="C94" t="str">
        <f t="shared" si="207"/>
        <v>JuneAprilChina - Phillips WI</v>
      </c>
      <c r="D94" t="str">
        <f t="shared" si="208"/>
        <v>JuneMayChina - Phillips WI</v>
      </c>
      <c r="E94" t="str">
        <f t="shared" si="209"/>
        <v>JuneJuneChina - Phillips WI</v>
      </c>
      <c r="F94" t="str">
        <f t="shared" si="210"/>
        <v>JuneJulyChina - Phillips WI</v>
      </c>
      <c r="G94" t="str">
        <f t="shared" si="211"/>
        <v>JuneAugustChina - Phillips WI</v>
      </c>
      <c r="H94" t="str">
        <f t="shared" si="212"/>
        <v>JuneSeptemberChina - Phillips WI</v>
      </c>
      <c r="I94" t="str">
        <f t="shared" si="213"/>
        <v>JuneOctoberChina - Phillips WI</v>
      </c>
      <c r="J94" t="str">
        <f t="shared" si="214"/>
        <v>JuneNovemberChina - Phillips WI</v>
      </c>
      <c r="K94" t="str">
        <f t="shared" si="215"/>
        <v>JuneDecemberChina - Phillips WI</v>
      </c>
      <c r="L94" t="s">
        <v>304</v>
      </c>
      <c r="M94" t="s">
        <v>687</v>
      </c>
      <c r="N94" s="38">
        <f>SUMIF(Data!$A:$A,Summary!A94,Data!$M:$M)</f>
        <v>0</v>
      </c>
      <c r="O94" s="38">
        <f>SUMIF(Data!$A:$A,Summary!B94,Data!$M:$M)</f>
        <v>0</v>
      </c>
      <c r="P94" s="38">
        <f>SUMIF(Data!$A:$A,Summary!C94,Data!$M:$M)</f>
        <v>0</v>
      </c>
      <c r="Q94" s="38">
        <f>SUMIF(Data!$A:$A,Summary!D94,Data!$M:$M)</f>
        <v>0</v>
      </c>
      <c r="R94" s="38">
        <f>SUMIF(Data!$A:$A,Summary!E94,Data!$M:$M)</f>
        <v>0</v>
      </c>
      <c r="S94" s="38">
        <f>SUMIF(Data!$A:$A,Summary!F94,Data!$M:$M)</f>
        <v>0</v>
      </c>
      <c r="T94" s="38">
        <f>SUMIF(Data!$A:$A,Summary!G94,Data!$M:$M)</f>
        <v>0</v>
      </c>
      <c r="U94" s="38">
        <f>SUMIF(Data!$A:$A,Summary!H94,Data!$M:$M)</f>
        <v>0</v>
      </c>
      <c r="V94" s="38">
        <f>SUMIF(Data!$A:$A,Summary!I94,Data!$M:$M)</f>
        <v>0</v>
      </c>
      <c r="W94" s="38">
        <f>SUMIF(Data!$A:$A,Summary!J94,Data!$M:$M)</f>
        <v>0</v>
      </c>
      <c r="X94" s="38">
        <f>SUMIF(Data!$A:$A,Summary!K94,Data!$M:$M)</f>
        <v>0</v>
      </c>
    </row>
    <row r="95" spans="1:24" x14ac:dyDescent="0.55000000000000004">
      <c r="A95" t="str">
        <f t="shared" si="205"/>
        <v>JuneFebruaryChina - San Francisco</v>
      </c>
      <c r="B95" t="str">
        <f t="shared" si="206"/>
        <v>JuneMarchChina - San Francisco</v>
      </c>
      <c r="C95" t="str">
        <f t="shared" si="207"/>
        <v>JuneAprilChina - San Francisco</v>
      </c>
      <c r="D95" t="str">
        <f t="shared" si="208"/>
        <v>JuneMayChina - San Francisco</v>
      </c>
      <c r="E95" t="str">
        <f t="shared" si="209"/>
        <v>JuneJuneChina - San Francisco</v>
      </c>
      <c r="F95" t="str">
        <f t="shared" si="210"/>
        <v>JuneJulyChina - San Francisco</v>
      </c>
      <c r="G95" t="str">
        <f t="shared" si="211"/>
        <v>JuneAugustChina - San Francisco</v>
      </c>
      <c r="H95" t="str">
        <f t="shared" si="212"/>
        <v>JuneSeptemberChina - San Francisco</v>
      </c>
      <c r="I95" t="str">
        <f t="shared" si="213"/>
        <v>JuneOctoberChina - San Francisco</v>
      </c>
      <c r="J95" t="str">
        <f t="shared" si="214"/>
        <v>JuneNovemberChina - San Francisco</v>
      </c>
      <c r="K95" t="str">
        <f t="shared" si="215"/>
        <v>JuneDecemberChina - San Francisco</v>
      </c>
      <c r="L95" t="s">
        <v>304</v>
      </c>
      <c r="M95" t="s">
        <v>1077</v>
      </c>
      <c r="N95" s="38">
        <f>SUMIF(Data!$A:$A,Summary!A95,Data!$M:$M)</f>
        <v>0</v>
      </c>
      <c r="O95" s="38">
        <f>SUMIF(Data!$A:$A,Summary!B95,Data!$M:$M)</f>
        <v>0</v>
      </c>
      <c r="P95" s="38">
        <f>SUMIF(Data!$A:$A,Summary!C95,Data!$M:$M)</f>
        <v>0</v>
      </c>
      <c r="Q95" s="38">
        <f>SUMIF(Data!$A:$A,Summary!D95,Data!$M:$M)</f>
        <v>0</v>
      </c>
      <c r="R95" s="38">
        <f>SUMIF(Data!$A:$A,Summary!E95,Data!$M:$M)</f>
        <v>0</v>
      </c>
      <c r="S95" s="38">
        <f>SUMIF(Data!$A:$A,Summary!F95,Data!$M:$M)</f>
        <v>0</v>
      </c>
      <c r="T95" s="38">
        <f>SUMIF(Data!$A:$A,Summary!G95,Data!$M:$M)</f>
        <v>0</v>
      </c>
      <c r="U95" s="38">
        <f>SUMIF(Data!$A:$A,Summary!H95,Data!$M:$M)</f>
        <v>0</v>
      </c>
      <c r="V95" s="38">
        <f>SUMIF(Data!$A:$A,Summary!I95,Data!$M:$M)</f>
        <v>0</v>
      </c>
      <c r="W95" s="38">
        <f>SUMIF(Data!$A:$A,Summary!J95,Data!$M:$M)</f>
        <v>0</v>
      </c>
      <c r="X95" s="38">
        <f>SUMIF(Data!$A:$A,Summary!K95,Data!$M:$M)</f>
        <v>0</v>
      </c>
    </row>
    <row r="96" spans="1:24" x14ac:dyDescent="0.55000000000000004">
      <c r="A96" t="str">
        <f t="shared" si="205"/>
        <v>JuneFebruaryDCL KY - Canada</v>
      </c>
      <c r="B96" t="str">
        <f t="shared" si="206"/>
        <v>JuneMarchDCL KY - Canada</v>
      </c>
      <c r="C96" t="str">
        <f t="shared" si="207"/>
        <v>JuneAprilDCL KY - Canada</v>
      </c>
      <c r="D96" t="str">
        <f t="shared" si="208"/>
        <v>JuneMayDCL KY - Canada</v>
      </c>
      <c r="E96" t="str">
        <f t="shared" si="209"/>
        <v>JuneJuneDCL KY - Canada</v>
      </c>
      <c r="F96" t="str">
        <f t="shared" si="210"/>
        <v>JuneJulyDCL KY - Canada</v>
      </c>
      <c r="G96" t="str">
        <f t="shared" si="211"/>
        <v>JuneAugustDCL KY - Canada</v>
      </c>
      <c r="H96" t="str">
        <f t="shared" si="212"/>
        <v>JuneSeptemberDCL KY - Canada</v>
      </c>
      <c r="I96" t="str">
        <f t="shared" si="213"/>
        <v>JuneOctoberDCL KY - Canada</v>
      </c>
      <c r="J96" t="str">
        <f t="shared" si="214"/>
        <v>JuneNovemberDCL KY - Canada</v>
      </c>
      <c r="K96" t="str">
        <f t="shared" si="215"/>
        <v>JuneDecemberDCL KY - Canada</v>
      </c>
      <c r="L96" t="s">
        <v>304</v>
      </c>
      <c r="M96" s="3" t="s">
        <v>1086</v>
      </c>
      <c r="N96" s="38">
        <f>SUMIF(Data!$A:$A,Summary!A96,Data!$M:$M)</f>
        <v>0</v>
      </c>
      <c r="O96" s="38">
        <f>SUMIF(Data!$A:$A,Summary!B96,Data!$M:$M)</f>
        <v>0</v>
      </c>
      <c r="P96" s="38">
        <f>SUMIF(Data!$A:$A,Summary!C96,Data!$M:$M)</f>
        <v>0</v>
      </c>
      <c r="Q96" s="38">
        <f>SUMIF(Data!$A:$A,Summary!D96,Data!$M:$M)</f>
        <v>0</v>
      </c>
      <c r="R96" s="38">
        <f>SUMIF(Data!$A:$A,Summary!E96,Data!$M:$M)</f>
        <v>0</v>
      </c>
      <c r="S96" s="38">
        <f>SUMIF(Data!$A:$A,Summary!F96,Data!$M:$M)</f>
        <v>0</v>
      </c>
      <c r="T96" s="38">
        <f>SUMIF(Data!$A:$A,Summary!G96,Data!$M:$M)</f>
        <v>0</v>
      </c>
      <c r="U96" s="38">
        <f>SUMIF(Data!$A:$A,Summary!H96,Data!$M:$M)</f>
        <v>0</v>
      </c>
      <c r="V96" s="38">
        <f>SUMIF(Data!$A:$A,Summary!I96,Data!$M:$M)</f>
        <v>0</v>
      </c>
      <c r="W96" s="38">
        <f>SUMIF(Data!$A:$A,Summary!J96,Data!$M:$M)</f>
        <v>0</v>
      </c>
      <c r="X96" s="38">
        <f>SUMIF(Data!$A:$A,Summary!K96,Data!$M:$M)</f>
        <v>0</v>
      </c>
    </row>
    <row r="97" spans="1:24" x14ac:dyDescent="0.55000000000000004">
      <c r="A97" t="str">
        <f t="shared" si="205"/>
        <v>JuneFebruaryDECI NC - DCL KY</v>
      </c>
      <c r="B97" t="str">
        <f t="shared" si="206"/>
        <v>JuneMarchDECI NC - DCL KY</v>
      </c>
      <c r="C97" t="str">
        <f t="shared" si="207"/>
        <v>JuneAprilDECI NC - DCL KY</v>
      </c>
      <c r="D97" t="str">
        <f t="shared" si="208"/>
        <v>JuneMayDECI NC - DCL KY</v>
      </c>
      <c r="E97" t="str">
        <f t="shared" si="209"/>
        <v>JuneJuneDECI NC - DCL KY</v>
      </c>
      <c r="F97" t="str">
        <f t="shared" si="210"/>
        <v>JuneJulyDECI NC - DCL KY</v>
      </c>
      <c r="G97" t="str">
        <f t="shared" si="211"/>
        <v>JuneAugustDECI NC - DCL KY</v>
      </c>
      <c r="H97" t="str">
        <f t="shared" si="212"/>
        <v>JuneSeptemberDECI NC - DCL KY</v>
      </c>
      <c r="I97" t="str">
        <f t="shared" si="213"/>
        <v>JuneOctoberDECI NC - DCL KY</v>
      </c>
      <c r="J97" t="str">
        <f t="shared" si="214"/>
        <v>JuneNovemberDECI NC - DCL KY</v>
      </c>
      <c r="K97" t="str">
        <f t="shared" si="215"/>
        <v>JuneDecemberDECI NC - DCL KY</v>
      </c>
      <c r="L97" t="s">
        <v>304</v>
      </c>
      <c r="M97" t="s">
        <v>178</v>
      </c>
      <c r="N97" s="38">
        <f>SUMIF(Data!$A:$A,Summary!A97,Data!$M:$M)</f>
        <v>0</v>
      </c>
      <c r="O97" s="38">
        <f>SUMIF(Data!$A:$A,Summary!B97,Data!$M:$M)</f>
        <v>0</v>
      </c>
      <c r="P97" s="38">
        <f>SUMIF(Data!$A:$A,Summary!C97,Data!$M:$M)</f>
        <v>0</v>
      </c>
      <c r="Q97" s="38">
        <f>SUMIF(Data!$A:$A,Summary!D97,Data!$M:$M)</f>
        <v>0</v>
      </c>
      <c r="R97" s="38">
        <f>SUMIF(Data!$A:$A,Summary!E97,Data!$M:$M)</f>
        <v>0</v>
      </c>
      <c r="S97" s="38">
        <f>SUMIF(Data!$A:$A,Summary!F97,Data!$M:$M)</f>
        <v>0</v>
      </c>
      <c r="T97" s="38">
        <f>SUMIF(Data!$A:$A,Summary!G97,Data!$M:$M)</f>
        <v>0</v>
      </c>
      <c r="U97" s="38">
        <f>SUMIF(Data!$A:$A,Summary!H97,Data!$M:$M)</f>
        <v>0</v>
      </c>
      <c r="V97" s="38">
        <f>SUMIF(Data!$A:$A,Summary!I97,Data!$M:$M)</f>
        <v>0</v>
      </c>
      <c r="W97" s="38">
        <f>SUMIF(Data!$A:$A,Summary!J97,Data!$M:$M)</f>
        <v>0</v>
      </c>
      <c r="X97" s="38">
        <f>SUMIF(Data!$A:$A,Summary!K97,Data!$M:$M)</f>
        <v>0</v>
      </c>
    </row>
    <row r="98" spans="1:24" x14ac:dyDescent="0.55000000000000004">
      <c r="A98" t="str">
        <f t="shared" si="205"/>
        <v>JuneFebruaryGreensboro NC - Phillips WI</v>
      </c>
      <c r="B98" t="str">
        <f t="shared" si="206"/>
        <v>JuneMarchGreensboro NC - Phillips WI</v>
      </c>
      <c r="C98" t="str">
        <f t="shared" si="207"/>
        <v>JuneAprilGreensboro NC - Phillips WI</v>
      </c>
      <c r="D98" t="str">
        <f t="shared" si="208"/>
        <v>JuneMayGreensboro NC - Phillips WI</v>
      </c>
      <c r="E98" t="str">
        <f t="shared" si="209"/>
        <v>JuneJuneGreensboro NC - Phillips WI</v>
      </c>
      <c r="F98" t="str">
        <f t="shared" si="210"/>
        <v>JuneJulyGreensboro NC - Phillips WI</v>
      </c>
      <c r="G98" t="str">
        <f t="shared" si="211"/>
        <v>JuneAugustGreensboro NC - Phillips WI</v>
      </c>
      <c r="H98" t="str">
        <f t="shared" si="212"/>
        <v>JuneSeptemberGreensboro NC - Phillips WI</v>
      </c>
      <c r="I98" t="str">
        <f t="shared" si="213"/>
        <v>JuneOctoberGreensboro NC - Phillips WI</v>
      </c>
      <c r="J98" t="str">
        <f t="shared" si="214"/>
        <v>JuneNovemberGreensboro NC - Phillips WI</v>
      </c>
      <c r="K98" t="str">
        <f t="shared" si="215"/>
        <v>JuneDecemberGreensboro NC - Phillips WI</v>
      </c>
      <c r="L98" t="s">
        <v>304</v>
      </c>
      <c r="M98" t="s">
        <v>155</v>
      </c>
      <c r="N98" s="38">
        <f>SUMIF(Data!$A:$A,Summary!A98,Data!$M:$M)</f>
        <v>0</v>
      </c>
      <c r="O98" s="38">
        <f>SUMIF(Data!$A:$A,Summary!B98,Data!$M:$M)</f>
        <v>0</v>
      </c>
      <c r="P98" s="38">
        <f>SUMIF(Data!$A:$A,Summary!C98,Data!$M:$M)</f>
        <v>0</v>
      </c>
      <c r="Q98" s="38">
        <f>SUMIF(Data!$A:$A,Summary!D98,Data!$M:$M)</f>
        <v>0</v>
      </c>
      <c r="R98" s="38">
        <f>SUMIF(Data!$A:$A,Summary!E98,Data!$M:$M)</f>
        <v>0</v>
      </c>
      <c r="S98" s="38">
        <f>SUMIF(Data!$A:$A,Summary!F98,Data!$M:$M)</f>
        <v>0</v>
      </c>
      <c r="T98" s="38">
        <f>SUMIF(Data!$A:$A,Summary!G98,Data!$M:$M)</f>
        <v>0</v>
      </c>
      <c r="U98" s="38">
        <f>SUMIF(Data!$A:$A,Summary!H98,Data!$M:$M)</f>
        <v>0</v>
      </c>
      <c r="V98" s="38">
        <f>SUMIF(Data!$A:$A,Summary!I98,Data!$M:$M)</f>
        <v>0</v>
      </c>
      <c r="W98" s="38">
        <f>SUMIF(Data!$A:$A,Summary!J98,Data!$M:$M)</f>
        <v>0</v>
      </c>
      <c r="X98" s="38">
        <f>SUMIF(Data!$A:$A,Summary!K98,Data!$M:$M)</f>
        <v>0</v>
      </c>
    </row>
    <row r="99" spans="1:24" x14ac:dyDescent="0.55000000000000004">
      <c r="A99" t="str">
        <f t="shared" si="205"/>
        <v>JuneFebruaryFlex IL - UK</v>
      </c>
      <c r="B99" t="str">
        <f t="shared" si="206"/>
        <v>JuneMarchFlex IL - UK</v>
      </c>
      <c r="C99" t="str">
        <f t="shared" si="207"/>
        <v>JuneAprilFlex IL - UK</v>
      </c>
      <c r="D99" t="str">
        <f t="shared" si="208"/>
        <v>JuneMayFlex IL - UK</v>
      </c>
      <c r="E99" t="str">
        <f t="shared" si="209"/>
        <v>JuneJuneFlex IL - UK</v>
      </c>
      <c r="F99" t="str">
        <f t="shared" si="210"/>
        <v>JuneJulyFlex IL - UK</v>
      </c>
      <c r="G99" t="str">
        <f t="shared" si="211"/>
        <v>JuneAugustFlex IL - UK</v>
      </c>
      <c r="H99" t="str">
        <f t="shared" si="212"/>
        <v>JuneSeptemberFlex IL - UK</v>
      </c>
      <c r="I99" t="str">
        <f t="shared" si="213"/>
        <v>JuneOctoberFlex IL - UK</v>
      </c>
      <c r="J99" t="str">
        <f t="shared" si="214"/>
        <v>JuneNovemberFlex IL - UK</v>
      </c>
      <c r="K99" t="str">
        <f t="shared" si="215"/>
        <v>JuneDecemberFlex IL - UK</v>
      </c>
      <c r="L99" t="s">
        <v>304</v>
      </c>
      <c r="M99" t="s">
        <v>895</v>
      </c>
      <c r="N99" s="38">
        <f>SUMIF(Data!$A:$A,Summary!A99,Data!$M:$M)</f>
        <v>0</v>
      </c>
      <c r="O99" s="38">
        <f>SUMIF(Data!$A:$A,Summary!B99,Data!$M:$M)</f>
        <v>0</v>
      </c>
      <c r="P99" s="38">
        <f>SUMIF(Data!$A:$A,Summary!C99,Data!$M:$M)</f>
        <v>0</v>
      </c>
      <c r="Q99" s="38">
        <f>SUMIF(Data!$A:$A,Summary!D99,Data!$M:$M)</f>
        <v>0</v>
      </c>
      <c r="R99" s="38">
        <f>SUMIF(Data!$A:$A,Summary!E99,Data!$M:$M)</f>
        <v>5216.3399999999992</v>
      </c>
      <c r="S99" s="38">
        <f>SUMIF(Data!$A:$A,Summary!F99,Data!$M:$M)</f>
        <v>0</v>
      </c>
      <c r="T99" s="38">
        <f>SUMIF(Data!$A:$A,Summary!G99,Data!$M:$M)</f>
        <v>0</v>
      </c>
      <c r="U99" s="38">
        <f>SUMIF(Data!$A:$A,Summary!H99,Data!$M:$M)</f>
        <v>0</v>
      </c>
      <c r="V99" s="38">
        <f>SUMIF(Data!$A:$A,Summary!I99,Data!$M:$M)</f>
        <v>0</v>
      </c>
      <c r="W99" s="38">
        <f>SUMIF(Data!$A:$A,Summary!J99,Data!$M:$M)</f>
        <v>0</v>
      </c>
      <c r="X99" s="38">
        <f>SUMIF(Data!$A:$A,Summary!K99,Data!$M:$M)</f>
        <v>0</v>
      </c>
    </row>
    <row r="100" spans="1:24" x14ac:dyDescent="0.55000000000000004">
      <c r="A100" t="str">
        <f t="shared" si="205"/>
        <v>JuneFebruaryFlorida - Phillips WI</v>
      </c>
      <c r="B100" t="str">
        <f t="shared" si="206"/>
        <v>JuneMarchFlorida - Phillips WI</v>
      </c>
      <c r="C100" t="str">
        <f t="shared" si="207"/>
        <v>JuneAprilFlorida - Phillips WI</v>
      </c>
      <c r="D100" t="str">
        <f t="shared" si="208"/>
        <v>JuneMayFlorida - Phillips WI</v>
      </c>
      <c r="E100" t="str">
        <f t="shared" si="209"/>
        <v>JuneJuneFlorida - Phillips WI</v>
      </c>
      <c r="F100" t="str">
        <f t="shared" si="210"/>
        <v>JuneJulyFlorida - Phillips WI</v>
      </c>
      <c r="G100" t="str">
        <f t="shared" si="211"/>
        <v>JuneAugustFlorida - Phillips WI</v>
      </c>
      <c r="H100" t="str">
        <f t="shared" si="212"/>
        <v>JuneSeptemberFlorida - Phillips WI</v>
      </c>
      <c r="I100" t="str">
        <f t="shared" si="213"/>
        <v>JuneOctoberFlorida - Phillips WI</v>
      </c>
      <c r="J100" t="str">
        <f t="shared" si="214"/>
        <v>JuneNovemberFlorida - Phillips WI</v>
      </c>
      <c r="K100" t="str">
        <f t="shared" si="215"/>
        <v>JuneDecemberFlorida - Phillips WI</v>
      </c>
      <c r="L100" t="s">
        <v>304</v>
      </c>
      <c r="M100" t="s">
        <v>933</v>
      </c>
      <c r="N100" s="38">
        <f>SUMIF(Data!$A:$A,Summary!A100,Data!$M:$M)</f>
        <v>0</v>
      </c>
      <c r="O100" s="38">
        <f>SUMIF(Data!$A:$A,Summary!B100,Data!$M:$M)</f>
        <v>0</v>
      </c>
      <c r="P100" s="38">
        <f>SUMIF(Data!$A:$A,Summary!C100,Data!$M:$M)</f>
        <v>0</v>
      </c>
      <c r="Q100" s="38">
        <f>SUMIF(Data!$A:$A,Summary!D100,Data!$M:$M)</f>
        <v>0</v>
      </c>
      <c r="R100" s="38">
        <f>SUMIF(Data!$A:$A,Summary!E100,Data!$M:$M)</f>
        <v>834.39</v>
      </c>
      <c r="S100" s="38">
        <f>SUMIF(Data!$A:$A,Summary!F100,Data!$M:$M)</f>
        <v>0</v>
      </c>
      <c r="T100" s="38">
        <f>SUMIF(Data!$A:$A,Summary!G100,Data!$M:$M)</f>
        <v>0</v>
      </c>
      <c r="U100" s="38">
        <f>SUMIF(Data!$A:$A,Summary!H100,Data!$M:$M)</f>
        <v>0</v>
      </c>
      <c r="V100" s="38">
        <f>SUMIF(Data!$A:$A,Summary!I100,Data!$M:$M)</f>
        <v>0</v>
      </c>
      <c r="W100" s="38">
        <f>SUMIF(Data!$A:$A,Summary!J100,Data!$M:$M)</f>
        <v>0</v>
      </c>
      <c r="X100" s="38">
        <f>SUMIF(Data!$A:$A,Summary!K100,Data!$M:$M)</f>
        <v>0</v>
      </c>
    </row>
    <row r="101" spans="1:24" x14ac:dyDescent="0.55000000000000004">
      <c r="A101" t="str">
        <f t="shared" si="205"/>
        <v>JuneFebruaryHong Kong - AFG NC</v>
      </c>
      <c r="B101" t="str">
        <f t="shared" si="206"/>
        <v>JuneMarchHong Kong - AFG NC</v>
      </c>
      <c r="C101" t="str">
        <f t="shared" si="207"/>
        <v>JuneAprilHong Kong - AFG NC</v>
      </c>
      <c r="D101" t="str">
        <f t="shared" si="208"/>
        <v>JuneMayHong Kong - AFG NC</v>
      </c>
      <c r="E101" t="str">
        <f t="shared" si="209"/>
        <v>JuneJuneHong Kong - AFG NC</v>
      </c>
      <c r="F101" t="str">
        <f t="shared" si="210"/>
        <v>JuneJulyHong Kong - AFG NC</v>
      </c>
      <c r="G101" t="str">
        <f t="shared" si="211"/>
        <v>JuneAugustHong Kong - AFG NC</v>
      </c>
      <c r="H101" t="str">
        <f t="shared" si="212"/>
        <v>JuneSeptemberHong Kong - AFG NC</v>
      </c>
      <c r="I101" t="str">
        <f t="shared" si="213"/>
        <v>JuneOctoberHong Kong - AFG NC</v>
      </c>
      <c r="J101" t="str">
        <f t="shared" si="214"/>
        <v>JuneNovemberHong Kong - AFG NC</v>
      </c>
      <c r="K101" t="str">
        <f t="shared" si="215"/>
        <v>JuneDecemberHong Kong - AFG NC</v>
      </c>
      <c r="L101" t="s">
        <v>304</v>
      </c>
      <c r="M101" t="s">
        <v>334</v>
      </c>
      <c r="N101" s="38">
        <f>SUMIF(Data!$A:$A,Summary!A101,Data!$M:$M)</f>
        <v>0</v>
      </c>
      <c r="O101" s="38">
        <f>SUMIF(Data!$A:$A,Summary!B101,Data!$M:$M)</f>
        <v>0</v>
      </c>
      <c r="P101" s="38">
        <f>SUMIF(Data!$A:$A,Summary!C101,Data!$M:$M)</f>
        <v>0</v>
      </c>
      <c r="Q101" s="38">
        <f>SUMIF(Data!$A:$A,Summary!D101,Data!$M:$M)</f>
        <v>0</v>
      </c>
      <c r="R101" s="38">
        <f>SUMIF(Data!$A:$A,Summary!E101,Data!$M:$M)</f>
        <v>5973.96</v>
      </c>
      <c r="S101" s="38">
        <f>SUMIF(Data!$A:$A,Summary!F101,Data!$M:$M)</f>
        <v>0</v>
      </c>
      <c r="T101" s="38">
        <f>SUMIF(Data!$A:$A,Summary!G101,Data!$M:$M)</f>
        <v>0</v>
      </c>
      <c r="U101" s="38">
        <f>SUMIF(Data!$A:$A,Summary!H101,Data!$M:$M)</f>
        <v>0</v>
      </c>
      <c r="V101" s="38">
        <f>SUMIF(Data!$A:$A,Summary!I101,Data!$M:$M)</f>
        <v>0</v>
      </c>
      <c r="W101" s="38">
        <f>SUMIF(Data!$A:$A,Summary!J101,Data!$M:$M)</f>
        <v>0</v>
      </c>
      <c r="X101" s="38">
        <f>SUMIF(Data!$A:$A,Summary!K101,Data!$M:$M)</f>
        <v>0</v>
      </c>
    </row>
    <row r="102" spans="1:24" x14ac:dyDescent="0.55000000000000004">
      <c r="A102" t="str">
        <f t="shared" si="205"/>
        <v>JuneFebruaryHong Kong - DCL KY</v>
      </c>
      <c r="B102" t="str">
        <f t="shared" si="206"/>
        <v>JuneMarchHong Kong - DCL KY</v>
      </c>
      <c r="C102" t="str">
        <f t="shared" si="207"/>
        <v>JuneAprilHong Kong - DCL KY</v>
      </c>
      <c r="D102" t="str">
        <f t="shared" si="208"/>
        <v>JuneMayHong Kong - DCL KY</v>
      </c>
      <c r="E102" t="str">
        <f t="shared" si="209"/>
        <v>JuneJuneHong Kong - DCL KY</v>
      </c>
      <c r="F102" t="str">
        <f t="shared" si="210"/>
        <v>JuneJulyHong Kong - DCL KY</v>
      </c>
      <c r="G102" t="str">
        <f t="shared" si="211"/>
        <v>JuneAugustHong Kong - DCL KY</v>
      </c>
      <c r="H102" t="str">
        <f t="shared" si="212"/>
        <v>JuneSeptemberHong Kong - DCL KY</v>
      </c>
      <c r="I102" t="str">
        <f t="shared" si="213"/>
        <v>JuneOctoberHong Kong - DCL KY</v>
      </c>
      <c r="J102" t="str">
        <f t="shared" si="214"/>
        <v>JuneNovemberHong Kong - DCL KY</v>
      </c>
      <c r="K102" t="str">
        <f t="shared" si="215"/>
        <v>JuneDecemberHong Kong - DCL KY</v>
      </c>
      <c r="L102" t="s">
        <v>304</v>
      </c>
      <c r="M102" t="s">
        <v>39</v>
      </c>
      <c r="N102" s="38">
        <f>SUMIF(Data!$A:$A,Summary!A102,Data!$M:$M)</f>
        <v>0</v>
      </c>
      <c r="O102" s="38">
        <f>SUMIF(Data!$A:$A,Summary!B102,Data!$M:$M)</f>
        <v>0</v>
      </c>
      <c r="P102" s="38">
        <f>SUMIF(Data!$A:$A,Summary!C102,Data!$M:$M)</f>
        <v>4242.34</v>
      </c>
      <c r="Q102" s="38">
        <f>SUMIF(Data!$A:$A,Summary!D102,Data!$M:$M)</f>
        <v>28920.719999999994</v>
      </c>
      <c r="R102" s="38">
        <f>SUMIF(Data!$A:$A,Summary!E102,Data!$M:$M)</f>
        <v>341110.34</v>
      </c>
      <c r="S102" s="38">
        <f>SUMIF(Data!$A:$A,Summary!F102,Data!$M:$M)</f>
        <v>0</v>
      </c>
      <c r="T102" s="38">
        <f>SUMIF(Data!$A:$A,Summary!G102,Data!$M:$M)</f>
        <v>0</v>
      </c>
      <c r="U102" s="38">
        <f>SUMIF(Data!$A:$A,Summary!H102,Data!$M:$M)</f>
        <v>0</v>
      </c>
      <c r="V102" s="38">
        <f>SUMIF(Data!$A:$A,Summary!I102,Data!$M:$M)</f>
        <v>0</v>
      </c>
      <c r="W102" s="38">
        <f>SUMIF(Data!$A:$A,Summary!J102,Data!$M:$M)</f>
        <v>0</v>
      </c>
      <c r="X102" s="38">
        <f>SUMIF(Data!$A:$A,Summary!K102,Data!$M:$M)</f>
        <v>0</v>
      </c>
    </row>
    <row r="103" spans="1:24" x14ac:dyDescent="0.55000000000000004">
      <c r="A103" t="str">
        <f t="shared" si="205"/>
        <v>JuneFebruaryHong Kong - DECI NC</v>
      </c>
      <c r="B103" t="str">
        <f t="shared" si="206"/>
        <v>JuneMarchHong Kong - DECI NC</v>
      </c>
      <c r="C103" t="str">
        <f t="shared" si="207"/>
        <v>JuneAprilHong Kong - DECI NC</v>
      </c>
      <c r="D103" t="str">
        <f t="shared" si="208"/>
        <v>JuneMayHong Kong - DECI NC</v>
      </c>
      <c r="E103" t="str">
        <f t="shared" si="209"/>
        <v>JuneJuneHong Kong - DECI NC</v>
      </c>
      <c r="F103" t="str">
        <f t="shared" si="210"/>
        <v>JuneJulyHong Kong - DECI NC</v>
      </c>
      <c r="G103" t="str">
        <f t="shared" si="211"/>
        <v>JuneAugustHong Kong - DECI NC</v>
      </c>
      <c r="H103" t="str">
        <f t="shared" si="212"/>
        <v>JuneSeptemberHong Kong - DECI NC</v>
      </c>
      <c r="I103" t="str">
        <f t="shared" si="213"/>
        <v>JuneOctoberHong Kong - DECI NC</v>
      </c>
      <c r="J103" t="str">
        <f t="shared" si="214"/>
        <v>JuneNovemberHong Kong - DECI NC</v>
      </c>
      <c r="K103" t="str">
        <f t="shared" si="215"/>
        <v>JuneDecemberHong Kong - DECI NC</v>
      </c>
      <c r="L103" t="s">
        <v>304</v>
      </c>
      <c r="M103" t="s">
        <v>92</v>
      </c>
      <c r="N103" s="38">
        <f>SUMIF(Data!$A:$A,Summary!A103,Data!$M:$M)</f>
        <v>0</v>
      </c>
      <c r="O103" s="38">
        <f>SUMIF(Data!$A:$A,Summary!B103,Data!$M:$M)</f>
        <v>0</v>
      </c>
      <c r="P103" s="38">
        <f>SUMIF(Data!$A:$A,Summary!C103,Data!$M:$M)</f>
        <v>0</v>
      </c>
      <c r="Q103" s="38">
        <f>SUMIF(Data!$A:$A,Summary!D103,Data!$M:$M)</f>
        <v>21710.59</v>
      </c>
      <c r="R103" s="38">
        <f>SUMIF(Data!$A:$A,Summary!E103,Data!$M:$M)</f>
        <v>0</v>
      </c>
      <c r="S103" s="38">
        <f>SUMIF(Data!$A:$A,Summary!F103,Data!$M:$M)</f>
        <v>0</v>
      </c>
      <c r="T103" s="38">
        <f>SUMIF(Data!$A:$A,Summary!G103,Data!$M:$M)</f>
        <v>0</v>
      </c>
      <c r="U103" s="38">
        <f>SUMIF(Data!$A:$A,Summary!H103,Data!$M:$M)</f>
        <v>0</v>
      </c>
      <c r="V103" s="38">
        <f>SUMIF(Data!$A:$A,Summary!I103,Data!$M:$M)</f>
        <v>0</v>
      </c>
      <c r="W103" s="38">
        <f>SUMIF(Data!$A:$A,Summary!J103,Data!$M:$M)</f>
        <v>0</v>
      </c>
      <c r="X103" s="38">
        <f>SUMIF(Data!$A:$A,Summary!K103,Data!$M:$M)</f>
        <v>0</v>
      </c>
    </row>
    <row r="104" spans="1:24" x14ac:dyDescent="0.55000000000000004">
      <c r="A104" t="str">
        <f t="shared" si="205"/>
        <v>JuneFebruaryHong Kong - Flex IL</v>
      </c>
      <c r="B104" t="str">
        <f t="shared" si="206"/>
        <v>JuneMarchHong Kong - Flex IL</v>
      </c>
      <c r="C104" t="str">
        <f t="shared" si="207"/>
        <v>JuneAprilHong Kong - Flex IL</v>
      </c>
      <c r="D104" t="str">
        <f t="shared" si="208"/>
        <v>JuneMayHong Kong - Flex IL</v>
      </c>
      <c r="E104" t="str">
        <f t="shared" si="209"/>
        <v>JuneJuneHong Kong - Flex IL</v>
      </c>
      <c r="F104" t="str">
        <f t="shared" si="210"/>
        <v>JuneJulyHong Kong - Flex IL</v>
      </c>
      <c r="G104" t="str">
        <f t="shared" si="211"/>
        <v>JuneAugustHong Kong - Flex IL</v>
      </c>
      <c r="H104" t="str">
        <f t="shared" si="212"/>
        <v>JuneSeptemberHong Kong - Flex IL</v>
      </c>
      <c r="I104" t="str">
        <f t="shared" si="213"/>
        <v>JuneOctoberHong Kong - Flex IL</v>
      </c>
      <c r="J104" t="str">
        <f t="shared" si="214"/>
        <v>JuneNovemberHong Kong - Flex IL</v>
      </c>
      <c r="K104" t="str">
        <f t="shared" si="215"/>
        <v>JuneDecemberHong Kong - Flex IL</v>
      </c>
      <c r="L104" t="s">
        <v>304</v>
      </c>
      <c r="M104" t="s">
        <v>111</v>
      </c>
      <c r="N104" s="38">
        <f>SUMIF(Data!$A:$A,Summary!A104,Data!$M:$M)</f>
        <v>0</v>
      </c>
      <c r="O104" s="38">
        <f>SUMIF(Data!$A:$A,Summary!B104,Data!$M:$M)</f>
        <v>0</v>
      </c>
      <c r="P104" s="38">
        <f>SUMIF(Data!$A:$A,Summary!C104,Data!$M:$M)</f>
        <v>0</v>
      </c>
      <c r="Q104" s="38">
        <f>SUMIF(Data!$A:$A,Summary!D104,Data!$M:$M)</f>
        <v>0</v>
      </c>
      <c r="R104" s="38">
        <f>SUMIF(Data!$A:$A,Summary!E104,Data!$M:$M)</f>
        <v>108594.39</v>
      </c>
      <c r="S104" s="38">
        <f>SUMIF(Data!$A:$A,Summary!F104,Data!$M:$M)</f>
        <v>0</v>
      </c>
      <c r="T104" s="38">
        <f>SUMIF(Data!$A:$A,Summary!G104,Data!$M:$M)</f>
        <v>0</v>
      </c>
      <c r="U104" s="38">
        <f>SUMIF(Data!$A:$A,Summary!H104,Data!$M:$M)</f>
        <v>0</v>
      </c>
      <c r="V104" s="38">
        <f>SUMIF(Data!$A:$A,Summary!I104,Data!$M:$M)</f>
        <v>0</v>
      </c>
      <c r="W104" s="38">
        <f>SUMIF(Data!$A:$A,Summary!J104,Data!$M:$M)</f>
        <v>0</v>
      </c>
      <c r="X104" s="38">
        <f>SUMIF(Data!$A:$A,Summary!K104,Data!$M:$M)</f>
        <v>0</v>
      </c>
    </row>
    <row r="105" spans="1:24" x14ac:dyDescent="0.55000000000000004">
      <c r="A105" t="str">
        <f t="shared" si="205"/>
        <v>JuneFebruaryHong Kong - Phillips WI</v>
      </c>
      <c r="B105" t="str">
        <f t="shared" si="206"/>
        <v>JuneMarchHong Kong - Phillips WI</v>
      </c>
      <c r="C105" t="str">
        <f t="shared" si="207"/>
        <v>JuneAprilHong Kong - Phillips WI</v>
      </c>
      <c r="D105" t="str">
        <f t="shared" si="208"/>
        <v>JuneMayHong Kong - Phillips WI</v>
      </c>
      <c r="E105" t="str">
        <f t="shared" si="209"/>
        <v>JuneJuneHong Kong - Phillips WI</v>
      </c>
      <c r="F105" t="str">
        <f t="shared" si="210"/>
        <v>JuneJulyHong Kong - Phillips WI</v>
      </c>
      <c r="G105" t="str">
        <f t="shared" si="211"/>
        <v>JuneAugustHong Kong - Phillips WI</v>
      </c>
      <c r="H105" t="str">
        <f t="shared" si="212"/>
        <v>JuneSeptemberHong Kong - Phillips WI</v>
      </c>
      <c r="I105" t="str">
        <f t="shared" si="213"/>
        <v>JuneOctoberHong Kong - Phillips WI</v>
      </c>
      <c r="J105" t="str">
        <f t="shared" si="214"/>
        <v>JuneNovemberHong Kong - Phillips WI</v>
      </c>
      <c r="K105" t="str">
        <f t="shared" si="215"/>
        <v>JuneDecemberHong Kong - Phillips WI</v>
      </c>
      <c r="L105" t="s">
        <v>304</v>
      </c>
      <c r="M105" t="s">
        <v>65</v>
      </c>
      <c r="N105" s="38">
        <f>SUMIF(Data!$A:$A,Summary!A105,Data!$M:$M)</f>
        <v>0</v>
      </c>
      <c r="O105" s="38">
        <f>SUMIF(Data!$A:$A,Summary!B105,Data!$M:$M)</f>
        <v>0</v>
      </c>
      <c r="P105" s="38">
        <f>SUMIF(Data!$A:$A,Summary!C105,Data!$M:$M)</f>
        <v>0</v>
      </c>
      <c r="Q105" s="38">
        <f>SUMIF(Data!$A:$A,Summary!D105,Data!$M:$M)</f>
        <v>5448.75</v>
      </c>
      <c r="R105" s="38">
        <f>SUMIF(Data!$A:$A,Summary!E105,Data!$M:$M)</f>
        <v>20837.46</v>
      </c>
      <c r="S105" s="38">
        <f>SUMIF(Data!$A:$A,Summary!F105,Data!$M:$M)</f>
        <v>0</v>
      </c>
      <c r="T105" s="38">
        <f>SUMIF(Data!$A:$A,Summary!G105,Data!$M:$M)</f>
        <v>0</v>
      </c>
      <c r="U105" s="38">
        <f>SUMIF(Data!$A:$A,Summary!H105,Data!$M:$M)</f>
        <v>0</v>
      </c>
      <c r="V105" s="38">
        <f>SUMIF(Data!$A:$A,Summary!I105,Data!$M:$M)</f>
        <v>0</v>
      </c>
      <c r="W105" s="38">
        <f>SUMIF(Data!$A:$A,Summary!J105,Data!$M:$M)</f>
        <v>0</v>
      </c>
      <c r="X105" s="38">
        <f>SUMIF(Data!$A:$A,Summary!K105,Data!$M:$M)</f>
        <v>0</v>
      </c>
    </row>
    <row r="106" spans="1:24" x14ac:dyDescent="0.55000000000000004">
      <c r="A106" t="str">
        <f t="shared" si="205"/>
        <v>JuneFebruaryPhillips WI - DCL KY</v>
      </c>
      <c r="B106" t="str">
        <f t="shared" si="206"/>
        <v>JuneMarchPhillips WI - DCL KY</v>
      </c>
      <c r="C106" t="str">
        <f t="shared" si="207"/>
        <v>JuneAprilPhillips WI - DCL KY</v>
      </c>
      <c r="D106" t="str">
        <f t="shared" si="208"/>
        <v>JuneMayPhillips WI - DCL KY</v>
      </c>
      <c r="E106" t="str">
        <f t="shared" si="209"/>
        <v>JuneJunePhillips WI - DCL KY</v>
      </c>
      <c r="F106" t="str">
        <f t="shared" si="210"/>
        <v>JuneJulyPhillips WI - DCL KY</v>
      </c>
      <c r="G106" t="str">
        <f t="shared" si="211"/>
        <v>JuneAugustPhillips WI - DCL KY</v>
      </c>
      <c r="H106" t="str">
        <f t="shared" si="212"/>
        <v>JuneSeptemberPhillips WI - DCL KY</v>
      </c>
      <c r="I106" t="str">
        <f t="shared" si="213"/>
        <v>JuneOctoberPhillips WI - DCL KY</v>
      </c>
      <c r="J106" t="str">
        <f t="shared" si="214"/>
        <v>JuneNovemberPhillips WI - DCL KY</v>
      </c>
      <c r="K106" t="str">
        <f t="shared" si="215"/>
        <v>JuneDecemberPhillips WI - DCL KY</v>
      </c>
      <c r="L106" t="s">
        <v>304</v>
      </c>
      <c r="M106" t="s">
        <v>29</v>
      </c>
      <c r="N106" s="38">
        <f>SUMIF(Data!$A:$A,Summary!A106,Data!$M:$M)</f>
        <v>0</v>
      </c>
      <c r="O106" s="38">
        <f>SUMIF(Data!$A:$A,Summary!B106,Data!$M:$M)</f>
        <v>0</v>
      </c>
      <c r="P106" s="38">
        <f>SUMIF(Data!$A:$A,Summary!C106,Data!$M:$M)</f>
        <v>0</v>
      </c>
      <c r="Q106" s="38">
        <f>SUMIF(Data!$A:$A,Summary!D106,Data!$M:$M)</f>
        <v>5582.3600000000006</v>
      </c>
      <c r="R106" s="38">
        <f>SUMIF(Data!$A:$A,Summary!E106,Data!$M:$M)</f>
        <v>6124.869999999999</v>
      </c>
      <c r="S106" s="38">
        <f>SUMIF(Data!$A:$A,Summary!F106,Data!$M:$M)</f>
        <v>0</v>
      </c>
      <c r="T106" s="38">
        <f>SUMIF(Data!$A:$A,Summary!G106,Data!$M:$M)</f>
        <v>0</v>
      </c>
      <c r="U106" s="38">
        <f>SUMIF(Data!$A:$A,Summary!H106,Data!$M:$M)</f>
        <v>0</v>
      </c>
      <c r="V106" s="38">
        <f>SUMIF(Data!$A:$A,Summary!I106,Data!$M:$M)</f>
        <v>0</v>
      </c>
      <c r="W106" s="38">
        <f>SUMIF(Data!$A:$A,Summary!J106,Data!$M:$M)</f>
        <v>0</v>
      </c>
      <c r="X106" s="38">
        <f>SUMIF(Data!$A:$A,Summary!K106,Data!$M:$M)</f>
        <v>0</v>
      </c>
    </row>
    <row r="107" spans="1:24" x14ac:dyDescent="0.55000000000000004">
      <c r="A107" t="str">
        <f t="shared" si="205"/>
        <v>JuneFebruarySan Francisco - Canada</v>
      </c>
      <c r="B107" t="str">
        <f t="shared" si="206"/>
        <v>JuneMarchSan Francisco - Canada</v>
      </c>
      <c r="C107" t="str">
        <f t="shared" si="207"/>
        <v>JuneAprilSan Francisco - Canada</v>
      </c>
      <c r="D107" t="str">
        <f t="shared" si="208"/>
        <v>JuneMaySan Francisco - Canada</v>
      </c>
      <c r="E107" t="str">
        <f t="shared" si="209"/>
        <v>JuneJuneSan Francisco - Canada</v>
      </c>
      <c r="F107" t="str">
        <f t="shared" si="210"/>
        <v>JuneJulySan Francisco - Canada</v>
      </c>
      <c r="G107" t="str">
        <f t="shared" si="211"/>
        <v>JuneAugustSan Francisco - Canada</v>
      </c>
      <c r="H107" t="str">
        <f t="shared" si="212"/>
        <v>JuneSeptemberSan Francisco - Canada</v>
      </c>
      <c r="I107" t="str">
        <f t="shared" si="213"/>
        <v>JuneOctoberSan Francisco - Canada</v>
      </c>
      <c r="J107" t="str">
        <f t="shared" si="214"/>
        <v>JuneNovemberSan Francisco - Canada</v>
      </c>
      <c r="K107" t="str">
        <f t="shared" si="215"/>
        <v>JuneDecemberSan Francisco - Canada</v>
      </c>
      <c r="L107" t="s">
        <v>304</v>
      </c>
      <c r="M107" t="s">
        <v>435</v>
      </c>
      <c r="N107" s="38">
        <f>SUMIF(Data!$A:$A,Summary!A107,Data!$M:$M)</f>
        <v>0</v>
      </c>
      <c r="O107" s="38">
        <f>SUMIF(Data!$A:$A,Summary!B107,Data!$M:$M)</f>
        <v>0</v>
      </c>
      <c r="P107" s="38">
        <f>SUMIF(Data!$A:$A,Summary!C107,Data!$M:$M)</f>
        <v>0</v>
      </c>
      <c r="Q107" s="38">
        <f>SUMIF(Data!$A:$A,Summary!D107,Data!$M:$M)</f>
        <v>0</v>
      </c>
      <c r="R107" s="38">
        <f>SUMIF(Data!$A:$A,Summary!E107,Data!$M:$M)</f>
        <v>0</v>
      </c>
      <c r="S107" s="38">
        <f>SUMIF(Data!$A:$A,Summary!F107,Data!$M:$M)</f>
        <v>0</v>
      </c>
      <c r="T107" s="38">
        <f>SUMIF(Data!$A:$A,Summary!G107,Data!$M:$M)</f>
        <v>0</v>
      </c>
      <c r="U107" s="38">
        <f>SUMIF(Data!$A:$A,Summary!H107,Data!$M:$M)</f>
        <v>0</v>
      </c>
      <c r="V107" s="38">
        <f>SUMIF(Data!$A:$A,Summary!I107,Data!$M:$M)</f>
        <v>0</v>
      </c>
      <c r="W107" s="38">
        <f>SUMIF(Data!$A:$A,Summary!J107,Data!$M:$M)</f>
        <v>0</v>
      </c>
      <c r="X107" s="38">
        <f>SUMIF(Data!$A:$A,Summary!K107,Data!$M:$M)</f>
        <v>0</v>
      </c>
    </row>
    <row r="108" spans="1:24" x14ac:dyDescent="0.55000000000000004">
      <c r="A108" t="str">
        <f t="shared" si="205"/>
        <v>JuneFebruaryShanghai - DCL KY</v>
      </c>
      <c r="B108" t="str">
        <f t="shared" si="206"/>
        <v>JuneMarchShanghai - DCL KY</v>
      </c>
      <c r="C108" t="str">
        <f t="shared" si="207"/>
        <v>JuneAprilShanghai - DCL KY</v>
      </c>
      <c r="D108" t="str">
        <f t="shared" si="208"/>
        <v>JuneMayShanghai - DCL KY</v>
      </c>
      <c r="E108" t="str">
        <f t="shared" si="209"/>
        <v>JuneJuneShanghai - DCL KY</v>
      </c>
      <c r="F108" t="str">
        <f t="shared" si="210"/>
        <v>JuneJulyShanghai - DCL KY</v>
      </c>
      <c r="G108" t="str">
        <f t="shared" si="211"/>
        <v>JuneAugustShanghai - DCL KY</v>
      </c>
      <c r="H108" t="str">
        <f t="shared" si="212"/>
        <v>JuneSeptemberShanghai - DCL KY</v>
      </c>
      <c r="I108" t="str">
        <f t="shared" si="213"/>
        <v>JuneOctoberShanghai - DCL KY</v>
      </c>
      <c r="J108" t="str">
        <f t="shared" si="214"/>
        <v>JuneNovemberShanghai - DCL KY</v>
      </c>
      <c r="K108" t="str">
        <f t="shared" si="215"/>
        <v>JuneDecemberShanghai - DCL KY</v>
      </c>
      <c r="L108" t="s">
        <v>304</v>
      </c>
      <c r="M108" t="s">
        <v>44</v>
      </c>
      <c r="N108" s="38">
        <f>SUMIF(Data!$A:$A,Summary!A108,Data!$M:$M)</f>
        <v>0</v>
      </c>
      <c r="O108" s="38">
        <f>SUMIF(Data!$A:$A,Summary!B108,Data!$M:$M)</f>
        <v>0</v>
      </c>
      <c r="P108" s="38">
        <f>SUMIF(Data!$A:$A,Summary!C108,Data!$M:$M)</f>
        <v>0</v>
      </c>
      <c r="Q108" s="38">
        <f>SUMIF(Data!$A:$A,Summary!D108,Data!$M:$M)</f>
        <v>56926.68</v>
      </c>
      <c r="R108" s="38">
        <f>SUMIF(Data!$A:$A,Summary!E108,Data!$M:$M)</f>
        <v>0</v>
      </c>
      <c r="S108" s="38">
        <f>SUMIF(Data!$A:$A,Summary!F108,Data!$M:$M)</f>
        <v>0</v>
      </c>
      <c r="T108" s="38">
        <f>SUMIF(Data!$A:$A,Summary!G108,Data!$M:$M)</f>
        <v>0</v>
      </c>
      <c r="U108" s="38">
        <f>SUMIF(Data!$A:$A,Summary!H108,Data!$M:$M)</f>
        <v>0</v>
      </c>
      <c r="V108" s="38">
        <f>SUMIF(Data!$A:$A,Summary!I108,Data!$M:$M)</f>
        <v>0</v>
      </c>
      <c r="W108" s="38">
        <f>SUMIF(Data!$A:$A,Summary!J108,Data!$M:$M)</f>
        <v>0</v>
      </c>
      <c r="X108" s="38">
        <f>SUMIF(Data!$A:$A,Summary!K108,Data!$M:$M)</f>
        <v>0</v>
      </c>
    </row>
    <row r="109" spans="1:24" x14ac:dyDescent="0.55000000000000004">
      <c r="A109" t="str">
        <f t="shared" si="205"/>
        <v>JuneFebruaryShanghai - DECI NC</v>
      </c>
      <c r="B109" t="str">
        <f t="shared" si="206"/>
        <v>JuneMarchShanghai - DECI NC</v>
      </c>
      <c r="C109" t="str">
        <f t="shared" si="207"/>
        <v>JuneAprilShanghai - DECI NC</v>
      </c>
      <c r="D109" t="str">
        <f t="shared" si="208"/>
        <v>JuneMayShanghai - DECI NC</v>
      </c>
      <c r="E109" t="str">
        <f t="shared" si="209"/>
        <v>JuneJuneShanghai - DECI NC</v>
      </c>
      <c r="F109" t="str">
        <f t="shared" si="210"/>
        <v>JuneJulyShanghai - DECI NC</v>
      </c>
      <c r="G109" t="str">
        <f t="shared" si="211"/>
        <v>JuneAugustShanghai - DECI NC</v>
      </c>
      <c r="H109" t="str">
        <f t="shared" si="212"/>
        <v>JuneSeptemberShanghai - DECI NC</v>
      </c>
      <c r="I109" t="str">
        <f t="shared" si="213"/>
        <v>JuneOctoberShanghai - DECI NC</v>
      </c>
      <c r="J109" t="str">
        <f t="shared" si="214"/>
        <v>JuneNovemberShanghai - DECI NC</v>
      </c>
      <c r="K109" t="str">
        <f t="shared" si="215"/>
        <v>JuneDecemberShanghai - DECI NC</v>
      </c>
      <c r="L109" t="s">
        <v>304</v>
      </c>
      <c r="M109" t="s">
        <v>50</v>
      </c>
      <c r="N109" s="38">
        <f>SUMIF(Data!$A:$A,Summary!A109,Data!$M:$M)</f>
        <v>0</v>
      </c>
      <c r="O109" s="38">
        <f>SUMIF(Data!$A:$A,Summary!B109,Data!$M:$M)</f>
        <v>0</v>
      </c>
      <c r="P109" s="38">
        <f>SUMIF(Data!$A:$A,Summary!C109,Data!$M:$M)</f>
        <v>0</v>
      </c>
      <c r="Q109" s="38">
        <f>SUMIF(Data!$A:$A,Summary!D109,Data!$M:$M)</f>
        <v>143824.87</v>
      </c>
      <c r="R109" s="38">
        <f>SUMIF(Data!$A:$A,Summary!E109,Data!$M:$M)</f>
        <v>0</v>
      </c>
      <c r="S109" s="38">
        <f>SUMIF(Data!$A:$A,Summary!F109,Data!$M:$M)</f>
        <v>0</v>
      </c>
      <c r="T109" s="38">
        <f>SUMIF(Data!$A:$A,Summary!G109,Data!$M:$M)</f>
        <v>0</v>
      </c>
      <c r="U109" s="38">
        <f>SUMIF(Data!$A:$A,Summary!H109,Data!$M:$M)</f>
        <v>0</v>
      </c>
      <c r="V109" s="38">
        <f>SUMIF(Data!$A:$A,Summary!I109,Data!$M:$M)</f>
        <v>0</v>
      </c>
      <c r="W109" s="38">
        <f>SUMIF(Data!$A:$A,Summary!J109,Data!$M:$M)</f>
        <v>0</v>
      </c>
      <c r="X109" s="38">
        <f>SUMIF(Data!$A:$A,Summary!K109,Data!$M:$M)</f>
        <v>0</v>
      </c>
    </row>
    <row r="110" spans="1:24" x14ac:dyDescent="0.55000000000000004">
      <c r="A110" t="str">
        <f t="shared" si="205"/>
        <v>JuneFebruaryTaiwan - DCL KY</v>
      </c>
      <c r="B110" t="str">
        <f t="shared" si="206"/>
        <v>JuneMarchTaiwan - DCL KY</v>
      </c>
      <c r="C110" t="str">
        <f t="shared" si="207"/>
        <v>JuneAprilTaiwan - DCL KY</v>
      </c>
      <c r="D110" t="str">
        <f t="shared" si="208"/>
        <v>JuneMayTaiwan - DCL KY</v>
      </c>
      <c r="E110" t="str">
        <f t="shared" si="209"/>
        <v>JuneJuneTaiwan - DCL KY</v>
      </c>
      <c r="F110" t="str">
        <f t="shared" si="210"/>
        <v>JuneJulyTaiwan - DCL KY</v>
      </c>
      <c r="G110" t="str">
        <f t="shared" si="211"/>
        <v>JuneAugustTaiwan - DCL KY</v>
      </c>
      <c r="H110" t="str">
        <f t="shared" si="212"/>
        <v>JuneSeptemberTaiwan - DCL KY</v>
      </c>
      <c r="I110" t="str">
        <f t="shared" si="213"/>
        <v>JuneOctoberTaiwan - DCL KY</v>
      </c>
      <c r="J110" t="str">
        <f t="shared" si="214"/>
        <v>JuneNovemberTaiwan - DCL KY</v>
      </c>
      <c r="K110" t="str">
        <f t="shared" si="215"/>
        <v>JuneDecemberTaiwan - DCL KY</v>
      </c>
      <c r="L110" t="s">
        <v>304</v>
      </c>
      <c r="M110" t="s">
        <v>128</v>
      </c>
      <c r="N110" s="38">
        <f>SUMIF(Data!$A:$A,Summary!A110,Data!$M:$M)</f>
        <v>0</v>
      </c>
      <c r="O110" s="38">
        <f>SUMIF(Data!$A:$A,Summary!B110,Data!$M:$M)</f>
        <v>0</v>
      </c>
      <c r="P110" s="38">
        <f>SUMIF(Data!$A:$A,Summary!C110,Data!$M:$M)</f>
        <v>0</v>
      </c>
      <c r="Q110" s="38">
        <f>SUMIF(Data!$A:$A,Summary!D110,Data!$M:$M)</f>
        <v>0</v>
      </c>
      <c r="R110" s="38">
        <f>SUMIF(Data!$A:$A,Summary!E110,Data!$M:$M)</f>
        <v>21082.17</v>
      </c>
      <c r="S110" s="38">
        <f>SUMIF(Data!$A:$A,Summary!F110,Data!$M:$M)</f>
        <v>0</v>
      </c>
      <c r="T110" s="38">
        <f>SUMIF(Data!$A:$A,Summary!G110,Data!$M:$M)</f>
        <v>0</v>
      </c>
      <c r="U110" s="38">
        <f>SUMIF(Data!$A:$A,Summary!H110,Data!$M:$M)</f>
        <v>0</v>
      </c>
      <c r="V110" s="38">
        <f>SUMIF(Data!$A:$A,Summary!I110,Data!$M:$M)</f>
        <v>0</v>
      </c>
      <c r="W110" s="38">
        <f>SUMIF(Data!$A:$A,Summary!J110,Data!$M:$M)</f>
        <v>0</v>
      </c>
      <c r="X110" s="38">
        <f>SUMIF(Data!$A:$A,Summary!K110,Data!$M:$M)</f>
        <v>0</v>
      </c>
    </row>
    <row r="111" spans="1:24" x14ac:dyDescent="0.55000000000000004">
      <c r="A111" t="str">
        <f t="shared" si="205"/>
        <v>JulyFebruaryAFG NC - DCL KY</v>
      </c>
      <c r="B111" t="str">
        <f t="shared" si="206"/>
        <v>JulyMarchAFG NC - DCL KY</v>
      </c>
      <c r="C111" t="str">
        <f t="shared" si="207"/>
        <v>JulyAprilAFG NC - DCL KY</v>
      </c>
      <c r="D111" t="str">
        <f t="shared" si="208"/>
        <v>JulyMayAFG NC - DCL KY</v>
      </c>
      <c r="E111" t="str">
        <f t="shared" si="209"/>
        <v>JulyJuneAFG NC - DCL KY</v>
      </c>
      <c r="F111" t="str">
        <f t="shared" si="210"/>
        <v>JulyJulyAFG NC - DCL KY</v>
      </c>
      <c r="G111" t="str">
        <f t="shared" si="211"/>
        <v>JulyAugustAFG NC - DCL KY</v>
      </c>
      <c r="H111" t="str">
        <f t="shared" si="212"/>
        <v>JulySeptemberAFG NC - DCL KY</v>
      </c>
      <c r="I111" t="str">
        <f t="shared" si="213"/>
        <v>JulyOctoberAFG NC - DCL KY</v>
      </c>
      <c r="J111" t="str">
        <f t="shared" si="214"/>
        <v>JulyNovemberAFG NC - DCL KY</v>
      </c>
      <c r="K111" t="str">
        <f t="shared" si="215"/>
        <v>JulyDecemberAFG NC - DCL KY</v>
      </c>
      <c r="L111" t="s">
        <v>305</v>
      </c>
      <c r="M111" t="s">
        <v>173</v>
      </c>
      <c r="N111" s="38">
        <f>SUMIF(Data!$A:$A,Summary!A111,Data!$M:$M)</f>
        <v>0</v>
      </c>
      <c r="O111" s="38">
        <f>SUMIF(Data!$A:$A,Summary!B111,Data!$M:$M)</f>
        <v>0</v>
      </c>
      <c r="P111" s="38">
        <f>SUMIF(Data!$A:$A,Summary!C111,Data!$M:$M)</f>
        <v>0</v>
      </c>
      <c r="Q111" s="38">
        <f>SUMIF(Data!$A:$A,Summary!D111,Data!$M:$M)</f>
        <v>0</v>
      </c>
      <c r="R111" s="38">
        <f>SUMIF(Data!$A:$A,Summary!E111,Data!$M:$M)</f>
        <v>0</v>
      </c>
      <c r="S111" s="38">
        <f>SUMIF(Data!$A:$A,Summary!F111,Data!$M:$M)</f>
        <v>45091.320000000007</v>
      </c>
      <c r="T111" s="38">
        <f>SUMIF(Data!$A:$A,Summary!G111,Data!$M:$M)</f>
        <v>0</v>
      </c>
      <c r="U111" s="38">
        <f>SUMIF(Data!$A:$A,Summary!H111,Data!$M:$M)</f>
        <v>0</v>
      </c>
      <c r="V111" s="38">
        <f>SUMIF(Data!$A:$A,Summary!I111,Data!$M:$M)</f>
        <v>0</v>
      </c>
      <c r="W111" s="38">
        <f>SUMIF(Data!$A:$A,Summary!J111,Data!$M:$M)</f>
        <v>0</v>
      </c>
      <c r="X111" s="38">
        <f>SUMIF(Data!$A:$A,Summary!K111,Data!$M:$M)</f>
        <v>0</v>
      </c>
    </row>
    <row r="112" spans="1:24" x14ac:dyDescent="0.55000000000000004">
      <c r="A112" t="str">
        <f t="shared" si="205"/>
        <v>JulyFebruaryAFG NC - Canada</v>
      </c>
      <c r="B112" t="str">
        <f t="shared" si="206"/>
        <v>JulyMarchAFG NC - Canada</v>
      </c>
      <c r="C112" t="str">
        <f t="shared" si="207"/>
        <v>JulyAprilAFG NC - Canada</v>
      </c>
      <c r="D112" t="str">
        <f t="shared" si="208"/>
        <v>JulyMayAFG NC - Canada</v>
      </c>
      <c r="E112" t="str">
        <f t="shared" si="209"/>
        <v>JulyJuneAFG NC - Canada</v>
      </c>
      <c r="F112" t="str">
        <f t="shared" si="210"/>
        <v>JulyJulyAFG NC - Canada</v>
      </c>
      <c r="G112" t="str">
        <f t="shared" si="211"/>
        <v>JulyAugustAFG NC - Canada</v>
      </c>
      <c r="H112" t="str">
        <f t="shared" si="212"/>
        <v>JulySeptemberAFG NC - Canada</v>
      </c>
      <c r="I112" t="str">
        <f t="shared" si="213"/>
        <v>JulyOctoberAFG NC - Canada</v>
      </c>
      <c r="J112" t="str">
        <f t="shared" si="214"/>
        <v>JulyNovemberAFG NC - Canada</v>
      </c>
      <c r="K112" t="str">
        <f t="shared" si="215"/>
        <v>JulyDecemberAFG NC - Canada</v>
      </c>
      <c r="L112" t="s">
        <v>305</v>
      </c>
      <c r="M112" t="s">
        <v>1085</v>
      </c>
      <c r="N112" s="38">
        <f>SUMIF(Data!$A:$A,Summary!A112,Data!$M:$M)</f>
        <v>0</v>
      </c>
      <c r="O112" s="38">
        <f>SUMIF(Data!$A:$A,Summary!B112,Data!$M:$M)</f>
        <v>0</v>
      </c>
      <c r="P112" s="38">
        <f>SUMIF(Data!$A:$A,Summary!C112,Data!$M:$M)</f>
        <v>0</v>
      </c>
      <c r="Q112" s="38">
        <f>SUMIF(Data!$A:$A,Summary!D112,Data!$M:$M)</f>
        <v>0</v>
      </c>
      <c r="R112" s="38">
        <f>SUMIF(Data!$A:$A,Summary!E112,Data!$M:$M)</f>
        <v>0</v>
      </c>
      <c r="S112" s="38">
        <f>SUMIF(Data!$A:$A,Summary!F112,Data!$M:$M)</f>
        <v>0</v>
      </c>
      <c r="T112" s="38">
        <f>SUMIF(Data!$A:$A,Summary!G112,Data!$M:$M)</f>
        <v>0</v>
      </c>
      <c r="U112" s="38">
        <f>SUMIF(Data!$A:$A,Summary!H112,Data!$M:$M)</f>
        <v>0</v>
      </c>
      <c r="V112" s="38">
        <f>SUMIF(Data!$A:$A,Summary!I112,Data!$M:$M)</f>
        <v>0</v>
      </c>
      <c r="W112" s="38">
        <f>SUMIF(Data!$A:$A,Summary!J112,Data!$M:$M)</f>
        <v>0</v>
      </c>
      <c r="X112" s="38">
        <f>SUMIF(Data!$A:$A,Summary!K112,Data!$M:$M)</f>
        <v>0</v>
      </c>
    </row>
    <row r="113" spans="1:24" x14ac:dyDescent="0.55000000000000004">
      <c r="A113" t="str">
        <f t="shared" si="205"/>
        <v>JulyFebruaryAFG NC - Phillips WI</v>
      </c>
      <c r="B113" t="str">
        <f t="shared" si="206"/>
        <v>JulyMarchAFG NC - Phillips WI</v>
      </c>
      <c r="C113" t="str">
        <f t="shared" si="207"/>
        <v>JulyAprilAFG NC - Phillips WI</v>
      </c>
      <c r="D113" t="str">
        <f t="shared" si="208"/>
        <v>JulyMayAFG NC - Phillips WI</v>
      </c>
      <c r="E113" t="str">
        <f t="shared" si="209"/>
        <v>JulyJuneAFG NC - Phillips WI</v>
      </c>
      <c r="F113" t="str">
        <f t="shared" si="210"/>
        <v>JulyJulyAFG NC - Phillips WI</v>
      </c>
      <c r="G113" t="str">
        <f t="shared" si="211"/>
        <v>JulyAugustAFG NC - Phillips WI</v>
      </c>
      <c r="H113" t="str">
        <f t="shared" si="212"/>
        <v>JulySeptemberAFG NC - Phillips WI</v>
      </c>
      <c r="I113" t="str">
        <f t="shared" si="213"/>
        <v>JulyOctoberAFG NC - Phillips WI</v>
      </c>
      <c r="J113" t="str">
        <f t="shared" si="214"/>
        <v>JulyNovemberAFG NC - Phillips WI</v>
      </c>
      <c r="K113" t="str">
        <f t="shared" si="215"/>
        <v>JulyDecemberAFG NC - Phillips WI</v>
      </c>
      <c r="L113" t="s">
        <v>305</v>
      </c>
      <c r="M113" t="s">
        <v>833</v>
      </c>
      <c r="N113" s="38">
        <f>SUMIF(Data!$A:$A,Summary!A113,Data!$M:$M)</f>
        <v>0</v>
      </c>
      <c r="O113" s="38">
        <f>SUMIF(Data!$A:$A,Summary!B113,Data!$M:$M)</f>
        <v>0</v>
      </c>
      <c r="P113" s="38">
        <f>SUMIF(Data!$A:$A,Summary!C113,Data!$M:$M)</f>
        <v>0</v>
      </c>
      <c r="Q113" s="38">
        <f>SUMIF(Data!$A:$A,Summary!D113,Data!$M:$M)</f>
        <v>0</v>
      </c>
      <c r="R113" s="38">
        <f>SUMIF(Data!$A:$A,Summary!E113,Data!$M:$M)</f>
        <v>0</v>
      </c>
      <c r="S113" s="38">
        <f>SUMIF(Data!$A:$A,Summary!F113,Data!$M:$M)</f>
        <v>0</v>
      </c>
      <c r="T113" s="38">
        <f>SUMIF(Data!$A:$A,Summary!G113,Data!$M:$M)</f>
        <v>0</v>
      </c>
      <c r="U113" s="38">
        <f>SUMIF(Data!$A:$A,Summary!H113,Data!$M:$M)</f>
        <v>0</v>
      </c>
      <c r="V113" s="38">
        <f>SUMIF(Data!$A:$A,Summary!I113,Data!$M:$M)</f>
        <v>0</v>
      </c>
      <c r="W113" s="38">
        <f>SUMIF(Data!$A:$A,Summary!J113,Data!$M:$M)</f>
        <v>0</v>
      </c>
      <c r="X113" s="38">
        <f>SUMIF(Data!$A:$A,Summary!K113,Data!$M:$M)</f>
        <v>0</v>
      </c>
    </row>
    <row r="114" spans="1:24" x14ac:dyDescent="0.55000000000000004">
      <c r="A114" t="str">
        <f t="shared" si="205"/>
        <v>JulyFebruaryAFG Suzho - DCL KY</v>
      </c>
      <c r="B114" t="str">
        <f t="shared" si="206"/>
        <v>JulyMarchAFG Suzho - DCL KY</v>
      </c>
      <c r="C114" t="str">
        <f t="shared" si="207"/>
        <v>JulyAprilAFG Suzho - DCL KY</v>
      </c>
      <c r="D114" t="str">
        <f t="shared" si="208"/>
        <v>JulyMayAFG Suzho - DCL KY</v>
      </c>
      <c r="E114" t="str">
        <f t="shared" si="209"/>
        <v>JulyJuneAFG Suzho - DCL KY</v>
      </c>
      <c r="F114" t="str">
        <f t="shared" si="210"/>
        <v>JulyJulyAFG Suzho - DCL KY</v>
      </c>
      <c r="G114" t="str">
        <f t="shared" si="211"/>
        <v>JulyAugustAFG Suzho - DCL KY</v>
      </c>
      <c r="H114" t="str">
        <f t="shared" si="212"/>
        <v>JulySeptemberAFG Suzho - DCL KY</v>
      </c>
      <c r="I114" t="str">
        <f t="shared" si="213"/>
        <v>JulyOctoberAFG Suzho - DCL KY</v>
      </c>
      <c r="J114" t="str">
        <f t="shared" si="214"/>
        <v>JulyNovemberAFG Suzho - DCL KY</v>
      </c>
      <c r="K114" t="str">
        <f t="shared" si="215"/>
        <v>JulyDecemberAFG Suzho - DCL KY</v>
      </c>
      <c r="L114" t="s">
        <v>305</v>
      </c>
      <c r="M114" t="s">
        <v>247</v>
      </c>
      <c r="N114" s="38">
        <f>SUMIF(Data!$A:$A,Summary!A114,Data!$M:$M)</f>
        <v>0</v>
      </c>
      <c r="O114" s="38">
        <f>SUMIF(Data!$A:$A,Summary!B114,Data!$M:$M)</f>
        <v>0</v>
      </c>
      <c r="P114" s="38">
        <f>SUMIF(Data!$A:$A,Summary!C114,Data!$M:$M)</f>
        <v>0</v>
      </c>
      <c r="Q114" s="38">
        <f>SUMIF(Data!$A:$A,Summary!D114,Data!$M:$M)</f>
        <v>0</v>
      </c>
      <c r="R114" s="38">
        <f>SUMIF(Data!$A:$A,Summary!E114,Data!$M:$M)</f>
        <v>0</v>
      </c>
      <c r="S114" s="38">
        <f>SUMIF(Data!$A:$A,Summary!F114,Data!$M:$M)</f>
        <v>0</v>
      </c>
      <c r="T114" s="38">
        <f>SUMIF(Data!$A:$A,Summary!G114,Data!$M:$M)</f>
        <v>0</v>
      </c>
      <c r="U114" s="38">
        <f>SUMIF(Data!$A:$A,Summary!H114,Data!$M:$M)</f>
        <v>0</v>
      </c>
      <c r="V114" s="38">
        <f>SUMIF(Data!$A:$A,Summary!I114,Data!$M:$M)</f>
        <v>0</v>
      </c>
      <c r="W114" s="38">
        <f>SUMIF(Data!$A:$A,Summary!J114,Data!$M:$M)</f>
        <v>0</v>
      </c>
      <c r="X114" s="38">
        <f>SUMIF(Data!$A:$A,Summary!K114,Data!$M:$M)</f>
        <v>0</v>
      </c>
    </row>
    <row r="115" spans="1:24" x14ac:dyDescent="0.55000000000000004">
      <c r="A115" t="str">
        <f t="shared" si="205"/>
        <v>JulyFebruaryAFG Suzho - DECI NC</v>
      </c>
      <c r="B115" t="str">
        <f t="shared" si="206"/>
        <v>JulyMarchAFG Suzho - DECI NC</v>
      </c>
      <c r="C115" t="str">
        <f t="shared" si="207"/>
        <v>JulyAprilAFG Suzho - DECI NC</v>
      </c>
      <c r="D115" t="str">
        <f t="shared" si="208"/>
        <v>JulyMayAFG Suzho - DECI NC</v>
      </c>
      <c r="E115" t="str">
        <f t="shared" si="209"/>
        <v>JulyJuneAFG Suzho - DECI NC</v>
      </c>
      <c r="F115" t="str">
        <f t="shared" si="210"/>
        <v>JulyJulyAFG Suzho - DECI NC</v>
      </c>
      <c r="G115" t="str">
        <f t="shared" si="211"/>
        <v>JulyAugustAFG Suzho - DECI NC</v>
      </c>
      <c r="H115" t="str">
        <f t="shared" si="212"/>
        <v>JulySeptemberAFG Suzho - DECI NC</v>
      </c>
      <c r="I115" t="str">
        <f t="shared" si="213"/>
        <v>JulyOctoberAFG Suzho - DECI NC</v>
      </c>
      <c r="J115" t="str">
        <f t="shared" si="214"/>
        <v>JulyNovemberAFG Suzho - DECI NC</v>
      </c>
      <c r="K115" t="str">
        <f t="shared" si="215"/>
        <v>JulyDecemberAFG Suzho - DECI NC</v>
      </c>
      <c r="L115" t="s">
        <v>305</v>
      </c>
      <c r="M115" t="s">
        <v>245</v>
      </c>
      <c r="N115" s="38">
        <f>SUMIF(Data!$A:$A,Summary!A115,Data!$M:$M)</f>
        <v>0</v>
      </c>
      <c r="O115" s="38">
        <f>SUMIF(Data!$A:$A,Summary!B115,Data!$M:$M)</f>
        <v>0</v>
      </c>
      <c r="P115" s="38">
        <f>SUMIF(Data!$A:$A,Summary!C115,Data!$M:$M)</f>
        <v>0</v>
      </c>
      <c r="Q115" s="38">
        <f>SUMIF(Data!$A:$A,Summary!D115,Data!$M:$M)</f>
        <v>0</v>
      </c>
      <c r="R115" s="38">
        <f>SUMIF(Data!$A:$A,Summary!E115,Data!$M:$M)</f>
        <v>0</v>
      </c>
      <c r="S115" s="38">
        <f>SUMIF(Data!$A:$A,Summary!F115,Data!$M:$M)</f>
        <v>0</v>
      </c>
      <c r="T115" s="38">
        <f>SUMIF(Data!$A:$A,Summary!G115,Data!$M:$M)</f>
        <v>0</v>
      </c>
      <c r="U115" s="38">
        <f>SUMIF(Data!$A:$A,Summary!H115,Data!$M:$M)</f>
        <v>0</v>
      </c>
      <c r="V115" s="38">
        <f>SUMIF(Data!$A:$A,Summary!I115,Data!$M:$M)</f>
        <v>0</v>
      </c>
      <c r="W115" s="38">
        <f>SUMIF(Data!$A:$A,Summary!J115,Data!$M:$M)</f>
        <v>0</v>
      </c>
      <c r="X115" s="38">
        <f>SUMIF(Data!$A:$A,Summary!K115,Data!$M:$M)</f>
        <v>0</v>
      </c>
    </row>
    <row r="116" spans="1:24" x14ac:dyDescent="0.55000000000000004">
      <c r="A116" t="str">
        <f t="shared" si="205"/>
        <v>JulyFebruaryAFG Suzho - Flex IL</v>
      </c>
      <c r="B116" t="str">
        <f t="shared" si="206"/>
        <v>JulyMarchAFG Suzho - Flex IL</v>
      </c>
      <c r="C116" t="str">
        <f t="shared" si="207"/>
        <v>JulyAprilAFG Suzho - Flex IL</v>
      </c>
      <c r="D116" t="str">
        <f t="shared" si="208"/>
        <v>JulyMayAFG Suzho - Flex IL</v>
      </c>
      <c r="E116" t="str">
        <f t="shared" si="209"/>
        <v>JulyJuneAFG Suzho - Flex IL</v>
      </c>
      <c r="F116" t="str">
        <f t="shared" si="210"/>
        <v>JulyJulyAFG Suzho - Flex IL</v>
      </c>
      <c r="G116" t="str">
        <f t="shared" si="211"/>
        <v>JulyAugustAFG Suzho - Flex IL</v>
      </c>
      <c r="H116" t="str">
        <f t="shared" si="212"/>
        <v>JulySeptemberAFG Suzho - Flex IL</v>
      </c>
      <c r="I116" t="str">
        <f t="shared" si="213"/>
        <v>JulyOctoberAFG Suzho - Flex IL</v>
      </c>
      <c r="J116" t="str">
        <f t="shared" si="214"/>
        <v>JulyNovemberAFG Suzho - Flex IL</v>
      </c>
      <c r="K116" t="str">
        <f t="shared" si="215"/>
        <v>JulyDecemberAFG Suzho - Flex IL</v>
      </c>
      <c r="L116" t="s">
        <v>305</v>
      </c>
      <c r="M116" t="s">
        <v>260</v>
      </c>
      <c r="N116" s="38">
        <f>SUMIF(Data!$A:$A,Summary!A116,Data!$M:$M)</f>
        <v>0</v>
      </c>
      <c r="O116" s="38">
        <f>SUMIF(Data!$A:$A,Summary!B116,Data!$M:$M)</f>
        <v>0</v>
      </c>
      <c r="P116" s="38">
        <f>SUMIF(Data!$A:$A,Summary!C116,Data!$M:$M)</f>
        <v>0</v>
      </c>
      <c r="Q116" s="38">
        <f>SUMIF(Data!$A:$A,Summary!D116,Data!$M:$M)</f>
        <v>0</v>
      </c>
      <c r="R116" s="38">
        <f>SUMIF(Data!$A:$A,Summary!E116,Data!$M:$M)</f>
        <v>0</v>
      </c>
      <c r="S116" s="38">
        <f>SUMIF(Data!$A:$A,Summary!F116,Data!$M:$M)</f>
        <v>0</v>
      </c>
      <c r="T116" s="38">
        <f>SUMIF(Data!$A:$A,Summary!G116,Data!$M:$M)</f>
        <v>0</v>
      </c>
      <c r="U116" s="38">
        <f>SUMIF(Data!$A:$A,Summary!H116,Data!$M:$M)</f>
        <v>0</v>
      </c>
      <c r="V116" s="38">
        <f>SUMIF(Data!$A:$A,Summary!I116,Data!$M:$M)</f>
        <v>0</v>
      </c>
      <c r="W116" s="38">
        <f>SUMIF(Data!$A:$A,Summary!J116,Data!$M:$M)</f>
        <v>0</v>
      </c>
      <c r="X116" s="38">
        <f>SUMIF(Data!$A:$A,Summary!K116,Data!$M:$M)</f>
        <v>0</v>
      </c>
    </row>
    <row r="117" spans="1:24" x14ac:dyDescent="0.55000000000000004">
      <c r="A117" t="str">
        <f t="shared" si="205"/>
        <v>JulyFebruaryChicago IL - Phillips WI</v>
      </c>
      <c r="B117" t="str">
        <f t="shared" si="206"/>
        <v>JulyMarchChicago IL - Phillips WI</v>
      </c>
      <c r="C117" t="str">
        <f t="shared" si="207"/>
        <v>JulyAprilChicago IL - Phillips WI</v>
      </c>
      <c r="D117" t="str">
        <f t="shared" si="208"/>
        <v>JulyMayChicago IL - Phillips WI</v>
      </c>
      <c r="E117" t="str">
        <f t="shared" si="209"/>
        <v>JulyJuneChicago IL - Phillips WI</v>
      </c>
      <c r="F117" t="str">
        <f t="shared" si="210"/>
        <v>JulyJulyChicago IL - Phillips WI</v>
      </c>
      <c r="G117" t="str">
        <f t="shared" si="211"/>
        <v>JulyAugustChicago IL - Phillips WI</v>
      </c>
      <c r="H117" t="str">
        <f t="shared" si="212"/>
        <v>JulySeptemberChicago IL - Phillips WI</v>
      </c>
      <c r="I117" t="str">
        <f t="shared" si="213"/>
        <v>JulyOctoberChicago IL - Phillips WI</v>
      </c>
      <c r="J117" t="str">
        <f t="shared" si="214"/>
        <v>JulyNovemberChicago IL - Phillips WI</v>
      </c>
      <c r="K117" t="str">
        <f t="shared" si="215"/>
        <v>JulyDecemberChicago IL - Phillips WI</v>
      </c>
      <c r="L117" t="s">
        <v>305</v>
      </c>
      <c r="M117" t="s">
        <v>187</v>
      </c>
      <c r="N117" s="38">
        <f>SUMIF(Data!$A:$A,Summary!A117,Data!$M:$M)</f>
        <v>0</v>
      </c>
      <c r="O117" s="38">
        <f>SUMIF(Data!$A:$A,Summary!B117,Data!$M:$M)</f>
        <v>0</v>
      </c>
      <c r="P117" s="38">
        <f>SUMIF(Data!$A:$A,Summary!C117,Data!$M:$M)</f>
        <v>0</v>
      </c>
      <c r="Q117" s="38">
        <f>SUMIF(Data!$A:$A,Summary!D117,Data!$M:$M)</f>
        <v>0</v>
      </c>
      <c r="R117" s="38">
        <f>SUMIF(Data!$A:$A,Summary!E117,Data!$M:$M)</f>
        <v>0</v>
      </c>
      <c r="S117" s="38">
        <f>SUMIF(Data!$A:$A,Summary!F117,Data!$M:$M)</f>
        <v>0</v>
      </c>
      <c r="T117" s="38">
        <f>SUMIF(Data!$A:$A,Summary!G117,Data!$M:$M)</f>
        <v>0</v>
      </c>
      <c r="U117" s="38">
        <f>SUMIF(Data!$A:$A,Summary!H117,Data!$M:$M)</f>
        <v>0</v>
      </c>
      <c r="V117" s="38">
        <f>SUMIF(Data!$A:$A,Summary!I117,Data!$M:$M)</f>
        <v>0</v>
      </c>
      <c r="W117" s="38">
        <f>SUMIF(Data!$A:$A,Summary!J117,Data!$M:$M)</f>
        <v>0</v>
      </c>
      <c r="X117" s="38">
        <f>SUMIF(Data!$A:$A,Summary!K117,Data!$M:$M)</f>
        <v>0</v>
      </c>
    </row>
    <row r="118" spans="1:24" x14ac:dyDescent="0.55000000000000004">
      <c r="A118" t="str">
        <f t="shared" si="205"/>
        <v>JulyFebruaryChina - DCL KY</v>
      </c>
      <c r="B118" t="str">
        <f t="shared" si="206"/>
        <v>JulyMarchChina - DCL KY</v>
      </c>
      <c r="C118" t="str">
        <f t="shared" si="207"/>
        <v>JulyAprilChina - DCL KY</v>
      </c>
      <c r="D118" t="str">
        <f t="shared" si="208"/>
        <v>JulyMayChina - DCL KY</v>
      </c>
      <c r="E118" t="str">
        <f t="shared" si="209"/>
        <v>JulyJuneChina - DCL KY</v>
      </c>
      <c r="F118" t="str">
        <f t="shared" si="210"/>
        <v>JulyJulyChina - DCL KY</v>
      </c>
      <c r="G118" t="str">
        <f t="shared" si="211"/>
        <v>JulyAugustChina - DCL KY</v>
      </c>
      <c r="H118" t="str">
        <f t="shared" si="212"/>
        <v>JulySeptemberChina - DCL KY</v>
      </c>
      <c r="I118" t="str">
        <f t="shared" si="213"/>
        <v>JulyOctoberChina - DCL KY</v>
      </c>
      <c r="J118" t="str">
        <f t="shared" si="214"/>
        <v>JulyNovemberChina - DCL KY</v>
      </c>
      <c r="K118" t="str">
        <f t="shared" si="215"/>
        <v>JulyDecemberChina - DCL KY</v>
      </c>
      <c r="L118" t="s">
        <v>305</v>
      </c>
      <c r="M118" t="s">
        <v>82</v>
      </c>
      <c r="N118" s="38">
        <f>SUMIF(Data!$A:$A,Summary!A118,Data!$M:$M)</f>
        <v>0</v>
      </c>
      <c r="O118" s="38">
        <f>SUMIF(Data!$A:$A,Summary!B118,Data!$M:$M)</f>
        <v>0</v>
      </c>
      <c r="P118" s="38">
        <f>SUMIF(Data!$A:$A,Summary!C118,Data!$M:$M)</f>
        <v>0</v>
      </c>
      <c r="Q118" s="38">
        <f>SUMIF(Data!$A:$A,Summary!D118,Data!$M:$M)</f>
        <v>0</v>
      </c>
      <c r="R118" s="38">
        <f>SUMIF(Data!$A:$A,Summary!E118,Data!$M:$M)</f>
        <v>61759.450000000004</v>
      </c>
      <c r="S118" s="38">
        <f>SUMIF(Data!$A:$A,Summary!F118,Data!$M:$M)</f>
        <v>455288.37</v>
      </c>
      <c r="T118" s="38">
        <f>SUMIF(Data!$A:$A,Summary!G118,Data!$M:$M)</f>
        <v>0</v>
      </c>
      <c r="U118" s="38">
        <f>SUMIF(Data!$A:$A,Summary!H118,Data!$M:$M)</f>
        <v>0</v>
      </c>
      <c r="V118" s="38">
        <f>SUMIF(Data!$A:$A,Summary!I118,Data!$M:$M)</f>
        <v>0</v>
      </c>
      <c r="W118" s="38">
        <f>SUMIF(Data!$A:$A,Summary!J118,Data!$M:$M)</f>
        <v>0</v>
      </c>
      <c r="X118" s="38">
        <f>SUMIF(Data!$A:$A,Summary!K118,Data!$M:$M)</f>
        <v>0</v>
      </c>
    </row>
    <row r="119" spans="1:24" x14ac:dyDescent="0.55000000000000004">
      <c r="A119" t="str">
        <f t="shared" si="205"/>
        <v>JulyFebruaryChina - DECI NC</v>
      </c>
      <c r="B119" t="str">
        <f t="shared" si="206"/>
        <v>JulyMarchChina - DECI NC</v>
      </c>
      <c r="C119" t="str">
        <f t="shared" si="207"/>
        <v>JulyAprilChina - DECI NC</v>
      </c>
      <c r="D119" t="str">
        <f t="shared" si="208"/>
        <v>JulyMayChina - DECI NC</v>
      </c>
      <c r="E119" t="str">
        <f t="shared" si="209"/>
        <v>JulyJuneChina - DECI NC</v>
      </c>
      <c r="F119" t="str">
        <f t="shared" si="210"/>
        <v>JulyJulyChina - DECI NC</v>
      </c>
      <c r="G119" t="str">
        <f t="shared" si="211"/>
        <v>JulyAugustChina - DECI NC</v>
      </c>
      <c r="H119" t="str">
        <f t="shared" si="212"/>
        <v>JulySeptemberChina - DECI NC</v>
      </c>
      <c r="I119" t="str">
        <f t="shared" si="213"/>
        <v>JulyOctoberChina - DECI NC</v>
      </c>
      <c r="J119" t="str">
        <f t="shared" si="214"/>
        <v>JulyNovemberChina - DECI NC</v>
      </c>
      <c r="K119" t="str">
        <f t="shared" si="215"/>
        <v>JulyDecemberChina - DECI NC</v>
      </c>
      <c r="L119" t="s">
        <v>305</v>
      </c>
      <c r="M119" t="s">
        <v>97</v>
      </c>
      <c r="N119" s="38">
        <f>SUMIF(Data!$A:$A,Summary!A119,Data!$M:$M)</f>
        <v>0</v>
      </c>
      <c r="O119" s="38">
        <f>SUMIF(Data!$A:$A,Summary!B119,Data!$M:$M)</f>
        <v>0</v>
      </c>
      <c r="P119" s="38">
        <f>SUMIF(Data!$A:$A,Summary!C119,Data!$M:$M)</f>
        <v>0</v>
      </c>
      <c r="Q119" s="38">
        <f>SUMIF(Data!$A:$A,Summary!D119,Data!$M:$M)</f>
        <v>0</v>
      </c>
      <c r="R119" s="38">
        <f>SUMIF(Data!$A:$A,Summary!E119,Data!$M:$M)</f>
        <v>0</v>
      </c>
      <c r="S119" s="38">
        <f>SUMIF(Data!$A:$A,Summary!F119,Data!$M:$M)</f>
        <v>150827.91999999998</v>
      </c>
      <c r="T119" s="38">
        <f>SUMIF(Data!$A:$A,Summary!G119,Data!$M:$M)</f>
        <v>0</v>
      </c>
      <c r="U119" s="38">
        <f>SUMIF(Data!$A:$A,Summary!H119,Data!$M:$M)</f>
        <v>0</v>
      </c>
      <c r="V119" s="38">
        <f>SUMIF(Data!$A:$A,Summary!I119,Data!$M:$M)</f>
        <v>0</v>
      </c>
      <c r="W119" s="38">
        <f>SUMIF(Data!$A:$A,Summary!J119,Data!$M:$M)</f>
        <v>0</v>
      </c>
      <c r="X119" s="38">
        <f>SUMIF(Data!$A:$A,Summary!K119,Data!$M:$M)</f>
        <v>0</v>
      </c>
    </row>
    <row r="120" spans="1:24" x14ac:dyDescent="0.55000000000000004">
      <c r="A120" t="str">
        <f t="shared" si="205"/>
        <v>JulyFebruaryChina - Flex IL</v>
      </c>
      <c r="B120" t="str">
        <f t="shared" si="206"/>
        <v>JulyMarchChina - Flex IL</v>
      </c>
      <c r="C120" t="str">
        <f t="shared" si="207"/>
        <v>JulyAprilChina - Flex IL</v>
      </c>
      <c r="D120" t="str">
        <f t="shared" si="208"/>
        <v>JulyMayChina - Flex IL</v>
      </c>
      <c r="E120" t="str">
        <f t="shared" si="209"/>
        <v>JulyJuneChina - Flex IL</v>
      </c>
      <c r="F120" t="str">
        <f t="shared" si="210"/>
        <v>JulyJulyChina - Flex IL</v>
      </c>
      <c r="G120" t="str">
        <f t="shared" si="211"/>
        <v>JulyAugustChina - Flex IL</v>
      </c>
      <c r="H120" t="str">
        <f t="shared" si="212"/>
        <v>JulySeptemberChina - Flex IL</v>
      </c>
      <c r="I120" t="str">
        <f t="shared" si="213"/>
        <v>JulyOctoberChina - Flex IL</v>
      </c>
      <c r="J120" t="str">
        <f t="shared" si="214"/>
        <v>JulyNovemberChina - Flex IL</v>
      </c>
      <c r="K120" t="str">
        <f t="shared" si="215"/>
        <v>JulyDecemberChina - Flex IL</v>
      </c>
      <c r="L120" t="s">
        <v>305</v>
      </c>
      <c r="M120" t="s">
        <v>886</v>
      </c>
      <c r="N120" s="38">
        <f>SUMIF(Data!$A:$A,Summary!A120,Data!$M:$M)</f>
        <v>0</v>
      </c>
      <c r="O120" s="38">
        <f>SUMIF(Data!$A:$A,Summary!B120,Data!$M:$M)</f>
        <v>0</v>
      </c>
      <c r="P120" s="38">
        <f>SUMIF(Data!$A:$A,Summary!C120,Data!$M:$M)</f>
        <v>0</v>
      </c>
      <c r="Q120" s="38">
        <f>SUMIF(Data!$A:$A,Summary!D120,Data!$M:$M)</f>
        <v>1975.63</v>
      </c>
      <c r="R120" s="38">
        <f>SUMIF(Data!$A:$A,Summary!E120,Data!$M:$M)</f>
        <v>0</v>
      </c>
      <c r="S120" s="38">
        <f>SUMIF(Data!$A:$A,Summary!F120,Data!$M:$M)</f>
        <v>14004.55</v>
      </c>
      <c r="T120" s="38">
        <f>SUMIF(Data!$A:$A,Summary!G120,Data!$M:$M)</f>
        <v>0</v>
      </c>
      <c r="U120" s="38">
        <f>SUMIF(Data!$A:$A,Summary!H120,Data!$M:$M)</f>
        <v>0</v>
      </c>
      <c r="V120" s="38">
        <f>SUMIF(Data!$A:$A,Summary!I120,Data!$M:$M)</f>
        <v>0</v>
      </c>
      <c r="W120" s="38">
        <f>SUMIF(Data!$A:$A,Summary!J120,Data!$M:$M)</f>
        <v>0</v>
      </c>
      <c r="X120" s="38">
        <f>SUMIF(Data!$A:$A,Summary!K120,Data!$M:$M)</f>
        <v>0</v>
      </c>
    </row>
    <row r="121" spans="1:24" x14ac:dyDescent="0.55000000000000004">
      <c r="A121" t="str">
        <f t="shared" si="205"/>
        <v>JulyFebruaryChina - Phillips WI</v>
      </c>
      <c r="B121" t="str">
        <f t="shared" si="206"/>
        <v>JulyMarchChina - Phillips WI</v>
      </c>
      <c r="C121" t="str">
        <f t="shared" si="207"/>
        <v>JulyAprilChina - Phillips WI</v>
      </c>
      <c r="D121" t="str">
        <f t="shared" si="208"/>
        <v>JulyMayChina - Phillips WI</v>
      </c>
      <c r="E121" t="str">
        <f t="shared" si="209"/>
        <v>JulyJuneChina - Phillips WI</v>
      </c>
      <c r="F121" t="str">
        <f t="shared" si="210"/>
        <v>JulyJulyChina - Phillips WI</v>
      </c>
      <c r="G121" t="str">
        <f t="shared" si="211"/>
        <v>JulyAugustChina - Phillips WI</v>
      </c>
      <c r="H121" t="str">
        <f t="shared" si="212"/>
        <v>JulySeptemberChina - Phillips WI</v>
      </c>
      <c r="I121" t="str">
        <f t="shared" si="213"/>
        <v>JulyOctoberChina - Phillips WI</v>
      </c>
      <c r="J121" t="str">
        <f t="shared" si="214"/>
        <v>JulyNovemberChina - Phillips WI</v>
      </c>
      <c r="K121" t="str">
        <f t="shared" si="215"/>
        <v>JulyDecemberChina - Phillips WI</v>
      </c>
      <c r="L121" t="s">
        <v>305</v>
      </c>
      <c r="M121" t="s">
        <v>687</v>
      </c>
      <c r="N121" s="38">
        <f>SUMIF(Data!$A:$A,Summary!A121,Data!$M:$M)</f>
        <v>0</v>
      </c>
      <c r="O121" s="38">
        <f>SUMIF(Data!$A:$A,Summary!B121,Data!$M:$M)</f>
        <v>0</v>
      </c>
      <c r="P121" s="38">
        <f>SUMIF(Data!$A:$A,Summary!C121,Data!$M:$M)</f>
        <v>0</v>
      </c>
      <c r="Q121" s="38">
        <f>SUMIF(Data!$A:$A,Summary!D121,Data!$M:$M)</f>
        <v>0</v>
      </c>
      <c r="R121" s="38">
        <f>SUMIF(Data!$A:$A,Summary!E121,Data!$M:$M)</f>
        <v>0</v>
      </c>
      <c r="S121" s="38">
        <f>SUMIF(Data!$A:$A,Summary!F121,Data!$M:$M)</f>
        <v>0</v>
      </c>
      <c r="T121" s="38">
        <f>SUMIF(Data!$A:$A,Summary!G121,Data!$M:$M)</f>
        <v>0</v>
      </c>
      <c r="U121" s="38">
        <f>SUMIF(Data!$A:$A,Summary!H121,Data!$M:$M)</f>
        <v>0</v>
      </c>
      <c r="V121" s="38">
        <f>SUMIF(Data!$A:$A,Summary!I121,Data!$M:$M)</f>
        <v>0</v>
      </c>
      <c r="W121" s="38">
        <f>SUMIF(Data!$A:$A,Summary!J121,Data!$M:$M)</f>
        <v>0</v>
      </c>
      <c r="X121" s="38">
        <f>SUMIF(Data!$A:$A,Summary!K121,Data!$M:$M)</f>
        <v>0</v>
      </c>
    </row>
    <row r="122" spans="1:24" x14ac:dyDescent="0.55000000000000004">
      <c r="A122" t="str">
        <f t="shared" si="205"/>
        <v>JulyFebruaryChina - San Francisco</v>
      </c>
      <c r="B122" t="str">
        <f t="shared" si="206"/>
        <v>JulyMarchChina - San Francisco</v>
      </c>
      <c r="C122" t="str">
        <f t="shared" si="207"/>
        <v>JulyAprilChina - San Francisco</v>
      </c>
      <c r="D122" t="str">
        <f t="shared" si="208"/>
        <v>JulyMayChina - San Francisco</v>
      </c>
      <c r="E122" t="str">
        <f t="shared" si="209"/>
        <v>JulyJuneChina - San Francisco</v>
      </c>
      <c r="F122" t="str">
        <f t="shared" si="210"/>
        <v>JulyJulyChina - San Francisco</v>
      </c>
      <c r="G122" t="str">
        <f t="shared" si="211"/>
        <v>JulyAugustChina - San Francisco</v>
      </c>
      <c r="H122" t="str">
        <f t="shared" si="212"/>
        <v>JulySeptemberChina - San Francisco</v>
      </c>
      <c r="I122" t="str">
        <f t="shared" si="213"/>
        <v>JulyOctoberChina - San Francisco</v>
      </c>
      <c r="J122" t="str">
        <f t="shared" si="214"/>
        <v>JulyNovemberChina - San Francisco</v>
      </c>
      <c r="K122" t="str">
        <f t="shared" si="215"/>
        <v>JulyDecemberChina - San Francisco</v>
      </c>
      <c r="L122" t="s">
        <v>305</v>
      </c>
      <c r="M122" t="s">
        <v>1077</v>
      </c>
      <c r="N122" s="38">
        <f>SUMIF(Data!$A:$A,Summary!A122,Data!$M:$M)</f>
        <v>0</v>
      </c>
      <c r="O122" s="38">
        <f>SUMIF(Data!$A:$A,Summary!B122,Data!$M:$M)</f>
        <v>0</v>
      </c>
      <c r="P122" s="38">
        <f>SUMIF(Data!$A:$A,Summary!C122,Data!$M:$M)</f>
        <v>0</v>
      </c>
      <c r="Q122" s="38">
        <f>SUMIF(Data!$A:$A,Summary!D122,Data!$M:$M)</f>
        <v>0</v>
      </c>
      <c r="R122" s="38">
        <f>SUMIF(Data!$A:$A,Summary!E122,Data!$M:$M)</f>
        <v>0</v>
      </c>
      <c r="S122" s="38">
        <f>SUMIF(Data!$A:$A,Summary!F122,Data!$M:$M)</f>
        <v>0</v>
      </c>
      <c r="T122" s="38">
        <f>SUMIF(Data!$A:$A,Summary!G122,Data!$M:$M)</f>
        <v>0</v>
      </c>
      <c r="U122" s="38">
        <f>SUMIF(Data!$A:$A,Summary!H122,Data!$M:$M)</f>
        <v>0</v>
      </c>
      <c r="V122" s="38">
        <f>SUMIF(Data!$A:$A,Summary!I122,Data!$M:$M)</f>
        <v>0</v>
      </c>
      <c r="W122" s="38">
        <f>SUMIF(Data!$A:$A,Summary!J122,Data!$M:$M)</f>
        <v>0</v>
      </c>
      <c r="X122" s="38">
        <f>SUMIF(Data!$A:$A,Summary!K122,Data!$M:$M)</f>
        <v>0</v>
      </c>
    </row>
    <row r="123" spans="1:24" x14ac:dyDescent="0.55000000000000004">
      <c r="A123" t="str">
        <f t="shared" si="205"/>
        <v>JulyFebruaryDCL KY - Canada</v>
      </c>
      <c r="B123" t="str">
        <f t="shared" si="206"/>
        <v>JulyMarchDCL KY - Canada</v>
      </c>
      <c r="C123" t="str">
        <f t="shared" si="207"/>
        <v>JulyAprilDCL KY - Canada</v>
      </c>
      <c r="D123" t="str">
        <f t="shared" si="208"/>
        <v>JulyMayDCL KY - Canada</v>
      </c>
      <c r="E123" t="str">
        <f t="shared" si="209"/>
        <v>JulyJuneDCL KY - Canada</v>
      </c>
      <c r="F123" t="str">
        <f t="shared" si="210"/>
        <v>JulyJulyDCL KY - Canada</v>
      </c>
      <c r="G123" t="str">
        <f t="shared" si="211"/>
        <v>JulyAugustDCL KY - Canada</v>
      </c>
      <c r="H123" t="str">
        <f t="shared" si="212"/>
        <v>JulySeptemberDCL KY - Canada</v>
      </c>
      <c r="I123" t="str">
        <f t="shared" si="213"/>
        <v>JulyOctoberDCL KY - Canada</v>
      </c>
      <c r="J123" t="str">
        <f t="shared" si="214"/>
        <v>JulyNovemberDCL KY - Canada</v>
      </c>
      <c r="K123" t="str">
        <f t="shared" si="215"/>
        <v>JulyDecemberDCL KY - Canada</v>
      </c>
      <c r="L123" t="s">
        <v>305</v>
      </c>
      <c r="M123" s="3" t="s">
        <v>1086</v>
      </c>
      <c r="N123" s="38">
        <f>SUMIF(Data!$A:$A,Summary!A123,Data!$M:$M)</f>
        <v>0</v>
      </c>
      <c r="O123" s="38">
        <f>SUMIF(Data!$A:$A,Summary!B123,Data!$M:$M)</f>
        <v>0</v>
      </c>
      <c r="P123" s="38">
        <f>SUMIF(Data!$A:$A,Summary!C123,Data!$M:$M)</f>
        <v>0</v>
      </c>
      <c r="Q123" s="38">
        <f>SUMIF(Data!$A:$A,Summary!D123,Data!$M:$M)</f>
        <v>0</v>
      </c>
      <c r="R123" s="38">
        <f>SUMIF(Data!$A:$A,Summary!E123,Data!$M:$M)</f>
        <v>0</v>
      </c>
      <c r="S123" s="38">
        <f>SUMIF(Data!$A:$A,Summary!F123,Data!$M:$M)</f>
        <v>2498.58</v>
      </c>
      <c r="T123" s="38">
        <f>SUMIF(Data!$A:$A,Summary!G123,Data!$M:$M)</f>
        <v>0</v>
      </c>
      <c r="U123" s="38">
        <f>SUMIF(Data!$A:$A,Summary!H123,Data!$M:$M)</f>
        <v>0</v>
      </c>
      <c r="V123" s="38">
        <f>SUMIF(Data!$A:$A,Summary!I123,Data!$M:$M)</f>
        <v>0</v>
      </c>
      <c r="W123" s="38">
        <f>SUMIF(Data!$A:$A,Summary!J123,Data!$M:$M)</f>
        <v>0</v>
      </c>
      <c r="X123" s="38">
        <f>SUMIF(Data!$A:$A,Summary!K123,Data!$M:$M)</f>
        <v>0</v>
      </c>
    </row>
    <row r="124" spans="1:24" x14ac:dyDescent="0.55000000000000004">
      <c r="A124" t="str">
        <f t="shared" si="205"/>
        <v>JulyFebruaryDECI NC - DCL KY</v>
      </c>
      <c r="B124" t="str">
        <f t="shared" si="206"/>
        <v>JulyMarchDECI NC - DCL KY</v>
      </c>
      <c r="C124" t="str">
        <f t="shared" si="207"/>
        <v>JulyAprilDECI NC - DCL KY</v>
      </c>
      <c r="D124" t="str">
        <f t="shared" si="208"/>
        <v>JulyMayDECI NC - DCL KY</v>
      </c>
      <c r="E124" t="str">
        <f t="shared" si="209"/>
        <v>JulyJuneDECI NC - DCL KY</v>
      </c>
      <c r="F124" t="str">
        <f t="shared" si="210"/>
        <v>JulyJulyDECI NC - DCL KY</v>
      </c>
      <c r="G124" t="str">
        <f t="shared" si="211"/>
        <v>JulyAugustDECI NC - DCL KY</v>
      </c>
      <c r="H124" t="str">
        <f t="shared" si="212"/>
        <v>JulySeptemberDECI NC - DCL KY</v>
      </c>
      <c r="I124" t="str">
        <f t="shared" si="213"/>
        <v>JulyOctoberDECI NC - DCL KY</v>
      </c>
      <c r="J124" t="str">
        <f t="shared" si="214"/>
        <v>JulyNovemberDECI NC - DCL KY</v>
      </c>
      <c r="K124" t="str">
        <f t="shared" si="215"/>
        <v>JulyDecemberDECI NC - DCL KY</v>
      </c>
      <c r="L124" t="s">
        <v>305</v>
      </c>
      <c r="M124" t="s">
        <v>178</v>
      </c>
      <c r="N124" s="38">
        <f>SUMIF(Data!$A:$A,Summary!A124,Data!$M:$M)</f>
        <v>0</v>
      </c>
      <c r="O124" s="38">
        <f>SUMIF(Data!$A:$A,Summary!B124,Data!$M:$M)</f>
        <v>0</v>
      </c>
      <c r="P124" s="38">
        <f>SUMIF(Data!$A:$A,Summary!C124,Data!$M:$M)</f>
        <v>0</v>
      </c>
      <c r="Q124" s="38">
        <f>SUMIF(Data!$A:$A,Summary!D124,Data!$M:$M)</f>
        <v>0</v>
      </c>
      <c r="R124" s="38">
        <f>SUMIF(Data!$A:$A,Summary!E124,Data!$M:$M)</f>
        <v>0</v>
      </c>
      <c r="S124" s="38">
        <f>SUMIF(Data!$A:$A,Summary!F124,Data!$M:$M)</f>
        <v>1480.24</v>
      </c>
      <c r="T124" s="38">
        <f>SUMIF(Data!$A:$A,Summary!G124,Data!$M:$M)</f>
        <v>0</v>
      </c>
      <c r="U124" s="38">
        <f>SUMIF(Data!$A:$A,Summary!H124,Data!$M:$M)</f>
        <v>0</v>
      </c>
      <c r="V124" s="38">
        <f>SUMIF(Data!$A:$A,Summary!I124,Data!$M:$M)</f>
        <v>0</v>
      </c>
      <c r="W124" s="38">
        <f>SUMIF(Data!$A:$A,Summary!J124,Data!$M:$M)</f>
        <v>0</v>
      </c>
      <c r="X124" s="38">
        <f>SUMIF(Data!$A:$A,Summary!K124,Data!$M:$M)</f>
        <v>0</v>
      </c>
    </row>
    <row r="125" spans="1:24" x14ac:dyDescent="0.55000000000000004">
      <c r="A125" t="str">
        <f t="shared" si="205"/>
        <v>JulyFebruaryGreensboro NC - Phillips WI</v>
      </c>
      <c r="B125" t="str">
        <f t="shared" si="206"/>
        <v>JulyMarchGreensboro NC - Phillips WI</v>
      </c>
      <c r="C125" t="str">
        <f t="shared" si="207"/>
        <v>JulyAprilGreensboro NC - Phillips WI</v>
      </c>
      <c r="D125" t="str">
        <f t="shared" si="208"/>
        <v>JulyMayGreensboro NC - Phillips WI</v>
      </c>
      <c r="E125" t="str">
        <f t="shared" si="209"/>
        <v>JulyJuneGreensboro NC - Phillips WI</v>
      </c>
      <c r="F125" t="str">
        <f t="shared" si="210"/>
        <v>JulyJulyGreensboro NC - Phillips WI</v>
      </c>
      <c r="G125" t="str">
        <f t="shared" si="211"/>
        <v>JulyAugustGreensboro NC - Phillips WI</v>
      </c>
      <c r="H125" t="str">
        <f t="shared" si="212"/>
        <v>JulySeptemberGreensboro NC - Phillips WI</v>
      </c>
      <c r="I125" t="str">
        <f t="shared" si="213"/>
        <v>JulyOctoberGreensboro NC - Phillips WI</v>
      </c>
      <c r="J125" t="str">
        <f t="shared" si="214"/>
        <v>JulyNovemberGreensboro NC - Phillips WI</v>
      </c>
      <c r="K125" t="str">
        <f t="shared" si="215"/>
        <v>JulyDecemberGreensboro NC - Phillips WI</v>
      </c>
      <c r="L125" t="s">
        <v>305</v>
      </c>
      <c r="M125" t="s">
        <v>155</v>
      </c>
      <c r="N125" s="38">
        <f>SUMIF(Data!$A:$A,Summary!A125,Data!$M:$M)</f>
        <v>0</v>
      </c>
      <c r="O125" s="38">
        <f>SUMIF(Data!$A:$A,Summary!B125,Data!$M:$M)</f>
        <v>0</v>
      </c>
      <c r="P125" s="38">
        <f>SUMIF(Data!$A:$A,Summary!C125,Data!$M:$M)</f>
        <v>0</v>
      </c>
      <c r="Q125" s="38">
        <f>SUMIF(Data!$A:$A,Summary!D125,Data!$M:$M)</f>
        <v>0</v>
      </c>
      <c r="R125" s="38">
        <f>SUMIF(Data!$A:$A,Summary!E125,Data!$M:$M)</f>
        <v>0</v>
      </c>
      <c r="S125" s="38">
        <f>SUMIF(Data!$A:$A,Summary!F125,Data!$M:$M)</f>
        <v>2850</v>
      </c>
      <c r="T125" s="38">
        <f>SUMIF(Data!$A:$A,Summary!G125,Data!$M:$M)</f>
        <v>0</v>
      </c>
      <c r="U125" s="38">
        <f>SUMIF(Data!$A:$A,Summary!H125,Data!$M:$M)</f>
        <v>0</v>
      </c>
      <c r="V125" s="38">
        <f>SUMIF(Data!$A:$A,Summary!I125,Data!$M:$M)</f>
        <v>0</v>
      </c>
      <c r="W125" s="38">
        <f>SUMIF(Data!$A:$A,Summary!J125,Data!$M:$M)</f>
        <v>0</v>
      </c>
      <c r="X125" s="38">
        <f>SUMIF(Data!$A:$A,Summary!K125,Data!$M:$M)</f>
        <v>0</v>
      </c>
    </row>
    <row r="126" spans="1:24" x14ac:dyDescent="0.55000000000000004">
      <c r="A126" t="str">
        <f t="shared" si="205"/>
        <v>JulyFebruaryFlex IL - UK</v>
      </c>
      <c r="B126" t="str">
        <f t="shared" si="206"/>
        <v>JulyMarchFlex IL - UK</v>
      </c>
      <c r="C126" t="str">
        <f t="shared" si="207"/>
        <v>JulyAprilFlex IL - UK</v>
      </c>
      <c r="D126" t="str">
        <f t="shared" si="208"/>
        <v>JulyMayFlex IL - UK</v>
      </c>
      <c r="E126" t="str">
        <f t="shared" si="209"/>
        <v>JulyJuneFlex IL - UK</v>
      </c>
      <c r="F126" t="str">
        <f t="shared" si="210"/>
        <v>JulyJulyFlex IL - UK</v>
      </c>
      <c r="G126" t="str">
        <f t="shared" si="211"/>
        <v>JulyAugustFlex IL - UK</v>
      </c>
      <c r="H126" t="str">
        <f t="shared" si="212"/>
        <v>JulySeptemberFlex IL - UK</v>
      </c>
      <c r="I126" t="str">
        <f t="shared" si="213"/>
        <v>JulyOctoberFlex IL - UK</v>
      </c>
      <c r="J126" t="str">
        <f t="shared" si="214"/>
        <v>JulyNovemberFlex IL - UK</v>
      </c>
      <c r="K126" t="str">
        <f t="shared" si="215"/>
        <v>JulyDecemberFlex IL - UK</v>
      </c>
      <c r="L126" t="s">
        <v>305</v>
      </c>
      <c r="M126" t="s">
        <v>895</v>
      </c>
      <c r="N126" s="38">
        <f>SUMIF(Data!$A:$A,Summary!A126,Data!$M:$M)</f>
        <v>0</v>
      </c>
      <c r="O126" s="38">
        <f>SUMIF(Data!$A:$A,Summary!B126,Data!$M:$M)</f>
        <v>0</v>
      </c>
      <c r="P126" s="38">
        <f>SUMIF(Data!$A:$A,Summary!C126,Data!$M:$M)</f>
        <v>0</v>
      </c>
      <c r="Q126" s="38">
        <f>SUMIF(Data!$A:$A,Summary!D126,Data!$M:$M)</f>
        <v>0</v>
      </c>
      <c r="R126" s="38">
        <f>SUMIF(Data!$A:$A,Summary!E126,Data!$M:$M)</f>
        <v>0</v>
      </c>
      <c r="S126" s="38">
        <f>SUMIF(Data!$A:$A,Summary!F126,Data!$M:$M)</f>
        <v>0</v>
      </c>
      <c r="T126" s="38">
        <f>SUMIF(Data!$A:$A,Summary!G126,Data!$M:$M)</f>
        <v>0</v>
      </c>
      <c r="U126" s="38">
        <f>SUMIF(Data!$A:$A,Summary!H126,Data!$M:$M)</f>
        <v>0</v>
      </c>
      <c r="V126" s="38">
        <f>SUMIF(Data!$A:$A,Summary!I126,Data!$M:$M)</f>
        <v>0</v>
      </c>
      <c r="W126" s="38">
        <f>SUMIF(Data!$A:$A,Summary!J126,Data!$M:$M)</f>
        <v>0</v>
      </c>
      <c r="X126" s="38">
        <f>SUMIF(Data!$A:$A,Summary!K126,Data!$M:$M)</f>
        <v>0</v>
      </c>
    </row>
    <row r="127" spans="1:24" x14ac:dyDescent="0.55000000000000004">
      <c r="A127" t="str">
        <f t="shared" si="205"/>
        <v>JulyFebruaryFlorida - Phillips WI</v>
      </c>
      <c r="B127" t="str">
        <f t="shared" si="206"/>
        <v>JulyMarchFlorida - Phillips WI</v>
      </c>
      <c r="C127" t="str">
        <f t="shared" si="207"/>
        <v>JulyAprilFlorida - Phillips WI</v>
      </c>
      <c r="D127" t="str">
        <f t="shared" si="208"/>
        <v>JulyMayFlorida - Phillips WI</v>
      </c>
      <c r="E127" t="str">
        <f t="shared" si="209"/>
        <v>JulyJuneFlorida - Phillips WI</v>
      </c>
      <c r="F127" t="str">
        <f t="shared" si="210"/>
        <v>JulyJulyFlorida - Phillips WI</v>
      </c>
      <c r="G127" t="str">
        <f t="shared" si="211"/>
        <v>JulyAugustFlorida - Phillips WI</v>
      </c>
      <c r="H127" t="str">
        <f t="shared" si="212"/>
        <v>JulySeptemberFlorida - Phillips WI</v>
      </c>
      <c r="I127" t="str">
        <f t="shared" si="213"/>
        <v>JulyOctoberFlorida - Phillips WI</v>
      </c>
      <c r="J127" t="str">
        <f t="shared" si="214"/>
        <v>JulyNovemberFlorida - Phillips WI</v>
      </c>
      <c r="K127" t="str">
        <f t="shared" si="215"/>
        <v>JulyDecemberFlorida - Phillips WI</v>
      </c>
      <c r="L127" t="s">
        <v>305</v>
      </c>
      <c r="M127" t="s">
        <v>933</v>
      </c>
      <c r="N127" s="38">
        <f>SUMIF(Data!$A:$A,Summary!A127,Data!$M:$M)</f>
        <v>0</v>
      </c>
      <c r="O127" s="38">
        <f>SUMIF(Data!$A:$A,Summary!B127,Data!$M:$M)</f>
        <v>0</v>
      </c>
      <c r="P127" s="38">
        <f>SUMIF(Data!$A:$A,Summary!C127,Data!$M:$M)</f>
        <v>0</v>
      </c>
      <c r="Q127" s="38">
        <f>SUMIF(Data!$A:$A,Summary!D127,Data!$M:$M)</f>
        <v>0</v>
      </c>
      <c r="R127" s="38">
        <f>SUMIF(Data!$A:$A,Summary!E127,Data!$M:$M)</f>
        <v>0</v>
      </c>
      <c r="S127" s="38">
        <f>SUMIF(Data!$A:$A,Summary!F127,Data!$M:$M)</f>
        <v>0</v>
      </c>
      <c r="T127" s="38">
        <f>SUMIF(Data!$A:$A,Summary!G127,Data!$M:$M)</f>
        <v>0</v>
      </c>
      <c r="U127" s="38">
        <f>SUMIF(Data!$A:$A,Summary!H127,Data!$M:$M)</f>
        <v>0</v>
      </c>
      <c r="V127" s="38">
        <f>SUMIF(Data!$A:$A,Summary!I127,Data!$M:$M)</f>
        <v>0</v>
      </c>
      <c r="W127" s="38">
        <f>SUMIF(Data!$A:$A,Summary!J127,Data!$M:$M)</f>
        <v>0</v>
      </c>
      <c r="X127" s="38">
        <f>SUMIF(Data!$A:$A,Summary!K127,Data!$M:$M)</f>
        <v>0</v>
      </c>
    </row>
    <row r="128" spans="1:24" x14ac:dyDescent="0.55000000000000004">
      <c r="A128" t="str">
        <f t="shared" si="205"/>
        <v>JulyFebruaryHong Kong - AFG NC</v>
      </c>
      <c r="B128" t="str">
        <f t="shared" si="206"/>
        <v>JulyMarchHong Kong - AFG NC</v>
      </c>
      <c r="C128" t="str">
        <f t="shared" si="207"/>
        <v>JulyAprilHong Kong - AFG NC</v>
      </c>
      <c r="D128" t="str">
        <f t="shared" si="208"/>
        <v>JulyMayHong Kong - AFG NC</v>
      </c>
      <c r="E128" t="str">
        <f t="shared" si="209"/>
        <v>JulyJuneHong Kong - AFG NC</v>
      </c>
      <c r="F128" t="str">
        <f t="shared" si="210"/>
        <v>JulyJulyHong Kong - AFG NC</v>
      </c>
      <c r="G128" t="str">
        <f t="shared" si="211"/>
        <v>JulyAugustHong Kong - AFG NC</v>
      </c>
      <c r="H128" t="str">
        <f t="shared" si="212"/>
        <v>JulySeptemberHong Kong - AFG NC</v>
      </c>
      <c r="I128" t="str">
        <f t="shared" si="213"/>
        <v>JulyOctoberHong Kong - AFG NC</v>
      </c>
      <c r="J128" t="str">
        <f t="shared" si="214"/>
        <v>JulyNovemberHong Kong - AFG NC</v>
      </c>
      <c r="K128" t="str">
        <f t="shared" si="215"/>
        <v>JulyDecemberHong Kong - AFG NC</v>
      </c>
      <c r="L128" t="s">
        <v>305</v>
      </c>
      <c r="M128" t="s">
        <v>334</v>
      </c>
      <c r="N128" s="38">
        <f>SUMIF(Data!$A:$A,Summary!A128,Data!$M:$M)</f>
        <v>0</v>
      </c>
      <c r="O128" s="38">
        <f>SUMIF(Data!$A:$A,Summary!B128,Data!$M:$M)</f>
        <v>0</v>
      </c>
      <c r="P128" s="38">
        <f>SUMIF(Data!$A:$A,Summary!C128,Data!$M:$M)</f>
        <v>0</v>
      </c>
      <c r="Q128" s="38">
        <f>SUMIF(Data!$A:$A,Summary!D128,Data!$M:$M)</f>
        <v>0</v>
      </c>
      <c r="R128" s="38">
        <f>SUMIF(Data!$A:$A,Summary!E128,Data!$M:$M)</f>
        <v>7141.37</v>
      </c>
      <c r="S128" s="38">
        <f>SUMIF(Data!$A:$A,Summary!F128,Data!$M:$M)</f>
        <v>60</v>
      </c>
      <c r="T128" s="38">
        <f>SUMIF(Data!$A:$A,Summary!G128,Data!$M:$M)</f>
        <v>0</v>
      </c>
      <c r="U128" s="38">
        <f>SUMIF(Data!$A:$A,Summary!H128,Data!$M:$M)</f>
        <v>0</v>
      </c>
      <c r="V128" s="38">
        <f>SUMIF(Data!$A:$A,Summary!I128,Data!$M:$M)</f>
        <v>0</v>
      </c>
      <c r="W128" s="38">
        <f>SUMIF(Data!$A:$A,Summary!J128,Data!$M:$M)</f>
        <v>0</v>
      </c>
      <c r="X128" s="38">
        <f>SUMIF(Data!$A:$A,Summary!K128,Data!$M:$M)</f>
        <v>0</v>
      </c>
    </row>
    <row r="129" spans="1:24" x14ac:dyDescent="0.55000000000000004">
      <c r="A129" t="str">
        <f t="shared" si="205"/>
        <v>JulyFebruaryHong Kong - DCL KY</v>
      </c>
      <c r="B129" t="str">
        <f t="shared" si="206"/>
        <v>JulyMarchHong Kong - DCL KY</v>
      </c>
      <c r="C129" t="str">
        <f t="shared" si="207"/>
        <v>JulyAprilHong Kong - DCL KY</v>
      </c>
      <c r="D129" t="str">
        <f t="shared" si="208"/>
        <v>JulyMayHong Kong - DCL KY</v>
      </c>
      <c r="E129" t="str">
        <f t="shared" si="209"/>
        <v>JulyJuneHong Kong - DCL KY</v>
      </c>
      <c r="F129" t="str">
        <f t="shared" si="210"/>
        <v>JulyJulyHong Kong - DCL KY</v>
      </c>
      <c r="G129" t="str">
        <f t="shared" si="211"/>
        <v>JulyAugustHong Kong - DCL KY</v>
      </c>
      <c r="H129" t="str">
        <f t="shared" si="212"/>
        <v>JulySeptemberHong Kong - DCL KY</v>
      </c>
      <c r="I129" t="str">
        <f t="shared" si="213"/>
        <v>JulyOctoberHong Kong - DCL KY</v>
      </c>
      <c r="J129" t="str">
        <f t="shared" si="214"/>
        <v>JulyNovemberHong Kong - DCL KY</v>
      </c>
      <c r="K129" t="str">
        <f t="shared" si="215"/>
        <v>JulyDecemberHong Kong - DCL KY</v>
      </c>
      <c r="L129" t="s">
        <v>305</v>
      </c>
      <c r="M129" t="s">
        <v>39</v>
      </c>
      <c r="N129" s="38">
        <f>SUMIF(Data!$A:$A,Summary!A129,Data!$M:$M)</f>
        <v>0</v>
      </c>
      <c r="O129" s="38">
        <f>SUMIF(Data!$A:$A,Summary!B129,Data!$M:$M)</f>
        <v>0</v>
      </c>
      <c r="P129" s="38">
        <f>SUMIF(Data!$A:$A,Summary!C129,Data!$M:$M)</f>
        <v>0</v>
      </c>
      <c r="Q129" s="38">
        <f>SUMIF(Data!$A:$A,Summary!D129,Data!$M:$M)</f>
        <v>0</v>
      </c>
      <c r="R129" s="38">
        <f>SUMIF(Data!$A:$A,Summary!E129,Data!$M:$M)</f>
        <v>0</v>
      </c>
      <c r="S129" s="38">
        <f>SUMIF(Data!$A:$A,Summary!F129,Data!$M:$M)</f>
        <v>21214.3</v>
      </c>
      <c r="T129" s="38">
        <f>SUMIF(Data!$A:$A,Summary!G129,Data!$M:$M)</f>
        <v>0</v>
      </c>
      <c r="U129" s="38">
        <f>SUMIF(Data!$A:$A,Summary!H129,Data!$M:$M)</f>
        <v>0</v>
      </c>
      <c r="V129" s="38">
        <f>SUMIF(Data!$A:$A,Summary!I129,Data!$M:$M)</f>
        <v>0</v>
      </c>
      <c r="W129" s="38">
        <f>SUMIF(Data!$A:$A,Summary!J129,Data!$M:$M)</f>
        <v>0</v>
      </c>
      <c r="X129" s="38">
        <f>SUMIF(Data!$A:$A,Summary!K129,Data!$M:$M)</f>
        <v>0</v>
      </c>
    </row>
    <row r="130" spans="1:24" x14ac:dyDescent="0.55000000000000004">
      <c r="A130" t="str">
        <f t="shared" si="205"/>
        <v>JulyFebruaryHong Kong - DECI NC</v>
      </c>
      <c r="B130" t="str">
        <f t="shared" si="206"/>
        <v>JulyMarchHong Kong - DECI NC</v>
      </c>
      <c r="C130" t="str">
        <f t="shared" si="207"/>
        <v>JulyAprilHong Kong - DECI NC</v>
      </c>
      <c r="D130" t="str">
        <f t="shared" si="208"/>
        <v>JulyMayHong Kong - DECI NC</v>
      </c>
      <c r="E130" t="str">
        <f t="shared" si="209"/>
        <v>JulyJuneHong Kong - DECI NC</v>
      </c>
      <c r="F130" t="str">
        <f t="shared" si="210"/>
        <v>JulyJulyHong Kong - DECI NC</v>
      </c>
      <c r="G130" t="str">
        <f t="shared" si="211"/>
        <v>JulyAugustHong Kong - DECI NC</v>
      </c>
      <c r="H130" t="str">
        <f t="shared" si="212"/>
        <v>JulySeptemberHong Kong - DECI NC</v>
      </c>
      <c r="I130" t="str">
        <f t="shared" si="213"/>
        <v>JulyOctoberHong Kong - DECI NC</v>
      </c>
      <c r="J130" t="str">
        <f t="shared" si="214"/>
        <v>JulyNovemberHong Kong - DECI NC</v>
      </c>
      <c r="K130" t="str">
        <f t="shared" si="215"/>
        <v>JulyDecemberHong Kong - DECI NC</v>
      </c>
      <c r="L130" t="s">
        <v>305</v>
      </c>
      <c r="M130" t="s">
        <v>92</v>
      </c>
      <c r="N130" s="38">
        <f>SUMIF(Data!$A:$A,Summary!A130,Data!$M:$M)</f>
        <v>0</v>
      </c>
      <c r="O130" s="38">
        <f>SUMIF(Data!$A:$A,Summary!B130,Data!$M:$M)</f>
        <v>0</v>
      </c>
      <c r="P130" s="38">
        <f>SUMIF(Data!$A:$A,Summary!C130,Data!$M:$M)</f>
        <v>0</v>
      </c>
      <c r="Q130" s="38">
        <f>SUMIF(Data!$A:$A,Summary!D130,Data!$M:$M)</f>
        <v>0</v>
      </c>
      <c r="R130" s="38">
        <f>SUMIF(Data!$A:$A,Summary!E130,Data!$M:$M)</f>
        <v>0</v>
      </c>
      <c r="S130" s="38">
        <f>SUMIF(Data!$A:$A,Summary!F130,Data!$M:$M)</f>
        <v>0</v>
      </c>
      <c r="T130" s="38">
        <f>SUMIF(Data!$A:$A,Summary!G130,Data!$M:$M)</f>
        <v>0</v>
      </c>
      <c r="U130" s="38">
        <f>SUMIF(Data!$A:$A,Summary!H130,Data!$M:$M)</f>
        <v>0</v>
      </c>
      <c r="V130" s="38">
        <f>SUMIF(Data!$A:$A,Summary!I130,Data!$M:$M)</f>
        <v>0</v>
      </c>
      <c r="W130" s="38">
        <f>SUMIF(Data!$A:$A,Summary!J130,Data!$M:$M)</f>
        <v>0</v>
      </c>
      <c r="X130" s="38">
        <f>SUMIF(Data!$A:$A,Summary!K130,Data!$M:$M)</f>
        <v>0</v>
      </c>
    </row>
    <row r="131" spans="1:24" x14ac:dyDescent="0.55000000000000004">
      <c r="A131" t="str">
        <f t="shared" si="205"/>
        <v>JulyFebruaryHong Kong - Flex IL</v>
      </c>
      <c r="B131" t="str">
        <f t="shared" si="206"/>
        <v>JulyMarchHong Kong - Flex IL</v>
      </c>
      <c r="C131" t="str">
        <f t="shared" si="207"/>
        <v>JulyAprilHong Kong - Flex IL</v>
      </c>
      <c r="D131" t="str">
        <f t="shared" si="208"/>
        <v>JulyMayHong Kong - Flex IL</v>
      </c>
      <c r="E131" t="str">
        <f t="shared" si="209"/>
        <v>JulyJuneHong Kong - Flex IL</v>
      </c>
      <c r="F131" t="str">
        <f t="shared" si="210"/>
        <v>JulyJulyHong Kong - Flex IL</v>
      </c>
      <c r="G131" t="str">
        <f t="shared" si="211"/>
        <v>JulyAugustHong Kong - Flex IL</v>
      </c>
      <c r="H131" t="str">
        <f t="shared" si="212"/>
        <v>JulySeptemberHong Kong - Flex IL</v>
      </c>
      <c r="I131" t="str">
        <f t="shared" si="213"/>
        <v>JulyOctoberHong Kong - Flex IL</v>
      </c>
      <c r="J131" t="str">
        <f t="shared" si="214"/>
        <v>JulyNovemberHong Kong - Flex IL</v>
      </c>
      <c r="K131" t="str">
        <f t="shared" si="215"/>
        <v>JulyDecemberHong Kong - Flex IL</v>
      </c>
      <c r="L131" t="s">
        <v>305</v>
      </c>
      <c r="M131" t="s">
        <v>111</v>
      </c>
      <c r="N131" s="38">
        <f>SUMIF(Data!$A:$A,Summary!A131,Data!$M:$M)</f>
        <v>0</v>
      </c>
      <c r="O131" s="38">
        <f>SUMIF(Data!$A:$A,Summary!B131,Data!$M:$M)</f>
        <v>0</v>
      </c>
      <c r="P131" s="38">
        <f>SUMIF(Data!$A:$A,Summary!C131,Data!$M:$M)</f>
        <v>0</v>
      </c>
      <c r="Q131" s="38">
        <f>SUMIF(Data!$A:$A,Summary!D131,Data!$M:$M)</f>
        <v>0</v>
      </c>
      <c r="R131" s="38">
        <f>SUMIF(Data!$A:$A,Summary!E131,Data!$M:$M)</f>
        <v>16530.22</v>
      </c>
      <c r="S131" s="38">
        <f>SUMIF(Data!$A:$A,Summary!F131,Data!$M:$M)</f>
        <v>26297.56</v>
      </c>
      <c r="T131" s="38">
        <f>SUMIF(Data!$A:$A,Summary!G131,Data!$M:$M)</f>
        <v>0</v>
      </c>
      <c r="U131" s="38">
        <f>SUMIF(Data!$A:$A,Summary!H131,Data!$M:$M)</f>
        <v>0</v>
      </c>
      <c r="V131" s="38">
        <f>SUMIF(Data!$A:$A,Summary!I131,Data!$M:$M)</f>
        <v>0</v>
      </c>
      <c r="W131" s="38">
        <f>SUMIF(Data!$A:$A,Summary!J131,Data!$M:$M)</f>
        <v>0</v>
      </c>
      <c r="X131" s="38">
        <f>SUMIF(Data!$A:$A,Summary!K131,Data!$M:$M)</f>
        <v>0</v>
      </c>
    </row>
    <row r="132" spans="1:24" x14ac:dyDescent="0.55000000000000004">
      <c r="A132" t="str">
        <f t="shared" si="205"/>
        <v>JulyFebruaryHong Kong - Phillips WI</v>
      </c>
      <c r="B132" t="str">
        <f t="shared" si="206"/>
        <v>JulyMarchHong Kong - Phillips WI</v>
      </c>
      <c r="C132" t="str">
        <f t="shared" si="207"/>
        <v>JulyAprilHong Kong - Phillips WI</v>
      </c>
      <c r="D132" t="str">
        <f t="shared" si="208"/>
        <v>JulyMayHong Kong - Phillips WI</v>
      </c>
      <c r="E132" t="str">
        <f t="shared" si="209"/>
        <v>JulyJuneHong Kong - Phillips WI</v>
      </c>
      <c r="F132" t="str">
        <f t="shared" si="210"/>
        <v>JulyJulyHong Kong - Phillips WI</v>
      </c>
      <c r="G132" t="str">
        <f t="shared" si="211"/>
        <v>JulyAugustHong Kong - Phillips WI</v>
      </c>
      <c r="H132" t="str">
        <f t="shared" si="212"/>
        <v>JulySeptemberHong Kong - Phillips WI</v>
      </c>
      <c r="I132" t="str">
        <f t="shared" si="213"/>
        <v>JulyOctoberHong Kong - Phillips WI</v>
      </c>
      <c r="J132" t="str">
        <f t="shared" si="214"/>
        <v>JulyNovemberHong Kong - Phillips WI</v>
      </c>
      <c r="K132" t="str">
        <f t="shared" si="215"/>
        <v>JulyDecemberHong Kong - Phillips WI</v>
      </c>
      <c r="L132" t="s">
        <v>305</v>
      </c>
      <c r="M132" t="s">
        <v>65</v>
      </c>
      <c r="N132" s="38">
        <f>SUMIF(Data!$A:$A,Summary!A132,Data!$M:$M)</f>
        <v>0</v>
      </c>
      <c r="O132" s="38">
        <f>SUMIF(Data!$A:$A,Summary!B132,Data!$M:$M)</f>
        <v>0</v>
      </c>
      <c r="P132" s="38">
        <f>SUMIF(Data!$A:$A,Summary!C132,Data!$M:$M)</f>
        <v>0</v>
      </c>
      <c r="Q132" s="38">
        <f>SUMIF(Data!$A:$A,Summary!D132,Data!$M:$M)</f>
        <v>0</v>
      </c>
      <c r="R132" s="38">
        <f>SUMIF(Data!$A:$A,Summary!E132,Data!$M:$M)</f>
        <v>16364.14</v>
      </c>
      <c r="S132" s="38">
        <f>SUMIF(Data!$A:$A,Summary!F132,Data!$M:$M)</f>
        <v>23072.47</v>
      </c>
      <c r="T132" s="38">
        <f>SUMIF(Data!$A:$A,Summary!G132,Data!$M:$M)</f>
        <v>0</v>
      </c>
      <c r="U132" s="38">
        <f>SUMIF(Data!$A:$A,Summary!H132,Data!$M:$M)</f>
        <v>0</v>
      </c>
      <c r="V132" s="38">
        <f>SUMIF(Data!$A:$A,Summary!I132,Data!$M:$M)</f>
        <v>0</v>
      </c>
      <c r="W132" s="38">
        <f>SUMIF(Data!$A:$A,Summary!J132,Data!$M:$M)</f>
        <v>0</v>
      </c>
      <c r="X132" s="38">
        <f>SUMIF(Data!$A:$A,Summary!K132,Data!$M:$M)</f>
        <v>0</v>
      </c>
    </row>
    <row r="133" spans="1:24" x14ac:dyDescent="0.55000000000000004">
      <c r="A133" t="str">
        <f t="shared" si="205"/>
        <v>JulyFebruaryPhillips WI - DCL KY</v>
      </c>
      <c r="B133" t="str">
        <f t="shared" si="206"/>
        <v>JulyMarchPhillips WI - DCL KY</v>
      </c>
      <c r="C133" t="str">
        <f t="shared" si="207"/>
        <v>JulyAprilPhillips WI - DCL KY</v>
      </c>
      <c r="D133" t="str">
        <f t="shared" si="208"/>
        <v>JulyMayPhillips WI - DCL KY</v>
      </c>
      <c r="E133" t="str">
        <f t="shared" si="209"/>
        <v>JulyJunePhillips WI - DCL KY</v>
      </c>
      <c r="F133" t="str">
        <f t="shared" si="210"/>
        <v>JulyJulyPhillips WI - DCL KY</v>
      </c>
      <c r="G133" t="str">
        <f t="shared" si="211"/>
        <v>JulyAugustPhillips WI - DCL KY</v>
      </c>
      <c r="H133" t="str">
        <f t="shared" si="212"/>
        <v>JulySeptemberPhillips WI - DCL KY</v>
      </c>
      <c r="I133" t="str">
        <f t="shared" si="213"/>
        <v>JulyOctoberPhillips WI - DCL KY</v>
      </c>
      <c r="J133" t="str">
        <f t="shared" si="214"/>
        <v>JulyNovemberPhillips WI - DCL KY</v>
      </c>
      <c r="K133" t="str">
        <f t="shared" si="215"/>
        <v>JulyDecemberPhillips WI - DCL KY</v>
      </c>
      <c r="L133" t="s">
        <v>305</v>
      </c>
      <c r="M133" t="s">
        <v>29</v>
      </c>
      <c r="N133" s="38">
        <f>SUMIF(Data!$A:$A,Summary!A133,Data!$M:$M)</f>
        <v>0</v>
      </c>
      <c r="O133" s="38">
        <f>SUMIF(Data!$A:$A,Summary!B133,Data!$M:$M)</f>
        <v>0</v>
      </c>
      <c r="P133" s="38">
        <f>SUMIF(Data!$A:$A,Summary!C133,Data!$M:$M)</f>
        <v>0</v>
      </c>
      <c r="Q133" s="38">
        <f>SUMIF(Data!$A:$A,Summary!D133,Data!$M:$M)</f>
        <v>0</v>
      </c>
      <c r="R133" s="38">
        <f>SUMIF(Data!$A:$A,Summary!E133,Data!$M:$M)</f>
        <v>0</v>
      </c>
      <c r="S133" s="38">
        <f>SUMIF(Data!$A:$A,Summary!F133,Data!$M:$M)</f>
        <v>1881.19</v>
      </c>
      <c r="T133" s="38">
        <f>SUMIF(Data!$A:$A,Summary!G133,Data!$M:$M)</f>
        <v>0</v>
      </c>
      <c r="U133" s="38">
        <f>SUMIF(Data!$A:$A,Summary!H133,Data!$M:$M)</f>
        <v>0</v>
      </c>
      <c r="V133" s="38">
        <f>SUMIF(Data!$A:$A,Summary!I133,Data!$M:$M)</f>
        <v>0</v>
      </c>
      <c r="W133" s="38">
        <f>SUMIF(Data!$A:$A,Summary!J133,Data!$M:$M)</f>
        <v>0</v>
      </c>
      <c r="X133" s="38">
        <f>SUMIF(Data!$A:$A,Summary!K133,Data!$M:$M)</f>
        <v>0</v>
      </c>
    </row>
    <row r="134" spans="1:24" x14ac:dyDescent="0.55000000000000004">
      <c r="A134" t="str">
        <f t="shared" si="205"/>
        <v>JulyFebruarySan Francisco - Canada</v>
      </c>
      <c r="B134" t="str">
        <f t="shared" si="206"/>
        <v>JulyMarchSan Francisco - Canada</v>
      </c>
      <c r="C134" t="str">
        <f t="shared" si="207"/>
        <v>JulyAprilSan Francisco - Canada</v>
      </c>
      <c r="D134" t="str">
        <f t="shared" si="208"/>
        <v>JulyMaySan Francisco - Canada</v>
      </c>
      <c r="E134" t="str">
        <f t="shared" si="209"/>
        <v>JulyJuneSan Francisco - Canada</v>
      </c>
      <c r="F134" t="str">
        <f t="shared" si="210"/>
        <v>JulyJulySan Francisco - Canada</v>
      </c>
      <c r="G134" t="str">
        <f t="shared" si="211"/>
        <v>JulyAugustSan Francisco - Canada</v>
      </c>
      <c r="H134" t="str">
        <f t="shared" si="212"/>
        <v>JulySeptemberSan Francisco - Canada</v>
      </c>
      <c r="I134" t="str">
        <f t="shared" si="213"/>
        <v>JulyOctoberSan Francisco - Canada</v>
      </c>
      <c r="J134" t="str">
        <f t="shared" si="214"/>
        <v>JulyNovemberSan Francisco - Canada</v>
      </c>
      <c r="K134" t="str">
        <f t="shared" si="215"/>
        <v>JulyDecemberSan Francisco - Canada</v>
      </c>
      <c r="L134" t="s">
        <v>305</v>
      </c>
      <c r="M134" t="s">
        <v>435</v>
      </c>
      <c r="N134" s="38">
        <f>SUMIF(Data!$A:$A,Summary!A134,Data!$M:$M)</f>
        <v>0</v>
      </c>
      <c r="O134" s="38">
        <f>SUMIF(Data!$A:$A,Summary!B134,Data!$M:$M)</f>
        <v>0</v>
      </c>
      <c r="P134" s="38">
        <f>SUMIF(Data!$A:$A,Summary!C134,Data!$M:$M)</f>
        <v>0</v>
      </c>
      <c r="Q134" s="38">
        <f>SUMIF(Data!$A:$A,Summary!D134,Data!$M:$M)</f>
        <v>0</v>
      </c>
      <c r="R134" s="38">
        <f>SUMIF(Data!$A:$A,Summary!E134,Data!$M:$M)</f>
        <v>307.51</v>
      </c>
      <c r="S134" s="38">
        <f>SUMIF(Data!$A:$A,Summary!F134,Data!$M:$M)</f>
        <v>0</v>
      </c>
      <c r="T134" s="38">
        <f>SUMIF(Data!$A:$A,Summary!G134,Data!$M:$M)</f>
        <v>0</v>
      </c>
      <c r="U134" s="38">
        <f>SUMIF(Data!$A:$A,Summary!H134,Data!$M:$M)</f>
        <v>0</v>
      </c>
      <c r="V134" s="38">
        <f>SUMIF(Data!$A:$A,Summary!I134,Data!$M:$M)</f>
        <v>0</v>
      </c>
      <c r="W134" s="38">
        <f>SUMIF(Data!$A:$A,Summary!J134,Data!$M:$M)</f>
        <v>0</v>
      </c>
      <c r="X134" s="38">
        <f>SUMIF(Data!$A:$A,Summary!K134,Data!$M:$M)</f>
        <v>0</v>
      </c>
    </row>
    <row r="135" spans="1:24" x14ac:dyDescent="0.55000000000000004">
      <c r="A135" t="str">
        <f t="shared" si="205"/>
        <v>JulyFebruaryShanghai - DCL KY</v>
      </c>
      <c r="B135" t="str">
        <f t="shared" si="206"/>
        <v>JulyMarchShanghai - DCL KY</v>
      </c>
      <c r="C135" t="str">
        <f t="shared" si="207"/>
        <v>JulyAprilShanghai - DCL KY</v>
      </c>
      <c r="D135" t="str">
        <f t="shared" si="208"/>
        <v>JulyMayShanghai - DCL KY</v>
      </c>
      <c r="E135" t="str">
        <f t="shared" si="209"/>
        <v>JulyJuneShanghai - DCL KY</v>
      </c>
      <c r="F135" t="str">
        <f t="shared" si="210"/>
        <v>JulyJulyShanghai - DCL KY</v>
      </c>
      <c r="G135" t="str">
        <f t="shared" si="211"/>
        <v>JulyAugustShanghai - DCL KY</v>
      </c>
      <c r="H135" t="str">
        <f t="shared" si="212"/>
        <v>JulySeptemberShanghai - DCL KY</v>
      </c>
      <c r="I135" t="str">
        <f t="shared" si="213"/>
        <v>JulyOctoberShanghai - DCL KY</v>
      </c>
      <c r="J135" t="str">
        <f t="shared" si="214"/>
        <v>JulyNovemberShanghai - DCL KY</v>
      </c>
      <c r="K135" t="str">
        <f t="shared" si="215"/>
        <v>JulyDecemberShanghai - DCL KY</v>
      </c>
      <c r="L135" t="s">
        <v>305</v>
      </c>
      <c r="M135" t="s">
        <v>44</v>
      </c>
      <c r="N135" s="38">
        <f>SUMIF(Data!$A:$A,Summary!A135,Data!$M:$M)</f>
        <v>0</v>
      </c>
      <c r="O135" s="38">
        <f>SUMIF(Data!$A:$A,Summary!B135,Data!$M:$M)</f>
        <v>0</v>
      </c>
      <c r="P135" s="38">
        <f>SUMIF(Data!$A:$A,Summary!C135,Data!$M:$M)</f>
        <v>0</v>
      </c>
      <c r="Q135" s="38">
        <f>SUMIF(Data!$A:$A,Summary!D135,Data!$M:$M)</f>
        <v>0</v>
      </c>
      <c r="R135" s="38">
        <f>SUMIF(Data!$A:$A,Summary!E135,Data!$M:$M)</f>
        <v>0</v>
      </c>
      <c r="S135" s="38">
        <f>SUMIF(Data!$A:$A,Summary!F135,Data!$M:$M)</f>
        <v>0</v>
      </c>
      <c r="T135" s="38">
        <f>SUMIF(Data!$A:$A,Summary!G135,Data!$M:$M)</f>
        <v>0</v>
      </c>
      <c r="U135" s="38">
        <f>SUMIF(Data!$A:$A,Summary!H135,Data!$M:$M)</f>
        <v>0</v>
      </c>
      <c r="V135" s="38">
        <f>SUMIF(Data!$A:$A,Summary!I135,Data!$M:$M)</f>
        <v>0</v>
      </c>
      <c r="W135" s="38">
        <f>SUMIF(Data!$A:$A,Summary!J135,Data!$M:$M)</f>
        <v>0</v>
      </c>
      <c r="X135" s="38">
        <f>SUMIF(Data!$A:$A,Summary!K135,Data!$M:$M)</f>
        <v>0</v>
      </c>
    </row>
    <row r="136" spans="1:24" x14ac:dyDescent="0.55000000000000004">
      <c r="A136" t="str">
        <f t="shared" si="205"/>
        <v>JulyFebruaryShanghai - DECI NC</v>
      </c>
      <c r="B136" t="str">
        <f t="shared" si="206"/>
        <v>JulyMarchShanghai - DECI NC</v>
      </c>
      <c r="C136" t="str">
        <f t="shared" si="207"/>
        <v>JulyAprilShanghai - DECI NC</v>
      </c>
      <c r="D136" t="str">
        <f t="shared" si="208"/>
        <v>JulyMayShanghai - DECI NC</v>
      </c>
      <c r="E136" t="str">
        <f t="shared" si="209"/>
        <v>JulyJuneShanghai - DECI NC</v>
      </c>
      <c r="F136" t="str">
        <f t="shared" si="210"/>
        <v>JulyJulyShanghai - DECI NC</v>
      </c>
      <c r="G136" t="str">
        <f t="shared" si="211"/>
        <v>JulyAugustShanghai - DECI NC</v>
      </c>
      <c r="H136" t="str">
        <f t="shared" si="212"/>
        <v>JulySeptemberShanghai - DECI NC</v>
      </c>
      <c r="I136" t="str">
        <f t="shared" si="213"/>
        <v>JulyOctoberShanghai - DECI NC</v>
      </c>
      <c r="J136" t="str">
        <f t="shared" si="214"/>
        <v>JulyNovemberShanghai - DECI NC</v>
      </c>
      <c r="K136" t="str">
        <f t="shared" si="215"/>
        <v>JulyDecemberShanghai - DECI NC</v>
      </c>
      <c r="L136" t="s">
        <v>305</v>
      </c>
      <c r="M136" t="s">
        <v>50</v>
      </c>
      <c r="N136" s="38">
        <f>SUMIF(Data!$A:$A,Summary!A136,Data!$M:$M)</f>
        <v>0</v>
      </c>
      <c r="O136" s="38">
        <f>SUMIF(Data!$A:$A,Summary!B136,Data!$M:$M)</f>
        <v>0</v>
      </c>
      <c r="P136" s="38">
        <f>SUMIF(Data!$A:$A,Summary!C136,Data!$M:$M)</f>
        <v>0</v>
      </c>
      <c r="Q136" s="38">
        <f>SUMIF(Data!$A:$A,Summary!D136,Data!$M:$M)</f>
        <v>0</v>
      </c>
      <c r="R136" s="38">
        <f>SUMIF(Data!$A:$A,Summary!E136,Data!$M:$M)</f>
        <v>0</v>
      </c>
      <c r="S136" s="38">
        <f>SUMIF(Data!$A:$A,Summary!F136,Data!$M:$M)</f>
        <v>0</v>
      </c>
      <c r="T136" s="38">
        <f>SUMIF(Data!$A:$A,Summary!G136,Data!$M:$M)</f>
        <v>0</v>
      </c>
      <c r="U136" s="38">
        <f>SUMIF(Data!$A:$A,Summary!H136,Data!$M:$M)</f>
        <v>0</v>
      </c>
      <c r="V136" s="38">
        <f>SUMIF(Data!$A:$A,Summary!I136,Data!$M:$M)</f>
        <v>0</v>
      </c>
      <c r="W136" s="38">
        <f>SUMIF(Data!$A:$A,Summary!J136,Data!$M:$M)</f>
        <v>0</v>
      </c>
      <c r="X136" s="38">
        <f>SUMIF(Data!$A:$A,Summary!K136,Data!$M:$M)</f>
        <v>0</v>
      </c>
    </row>
    <row r="137" spans="1:24" x14ac:dyDescent="0.55000000000000004">
      <c r="A137" t="str">
        <f t="shared" si="205"/>
        <v>JulyFebruaryTaiwan - DCL KY</v>
      </c>
      <c r="B137" t="str">
        <f t="shared" si="206"/>
        <v>JulyMarchTaiwan - DCL KY</v>
      </c>
      <c r="C137" t="str">
        <f t="shared" si="207"/>
        <v>JulyAprilTaiwan - DCL KY</v>
      </c>
      <c r="D137" t="str">
        <f t="shared" si="208"/>
        <v>JulyMayTaiwan - DCL KY</v>
      </c>
      <c r="E137" t="str">
        <f t="shared" si="209"/>
        <v>JulyJuneTaiwan - DCL KY</v>
      </c>
      <c r="F137" t="str">
        <f t="shared" si="210"/>
        <v>JulyJulyTaiwan - DCL KY</v>
      </c>
      <c r="G137" t="str">
        <f t="shared" si="211"/>
        <v>JulyAugustTaiwan - DCL KY</v>
      </c>
      <c r="H137" t="str">
        <f t="shared" si="212"/>
        <v>JulySeptemberTaiwan - DCL KY</v>
      </c>
      <c r="I137" t="str">
        <f t="shared" si="213"/>
        <v>JulyOctoberTaiwan - DCL KY</v>
      </c>
      <c r="J137" t="str">
        <f t="shared" si="214"/>
        <v>JulyNovemberTaiwan - DCL KY</v>
      </c>
      <c r="K137" t="str">
        <f>$L137&amp;X$1&amp;$M137</f>
        <v>JulyDecemberTaiwan - DCL KY</v>
      </c>
      <c r="L137" t="s">
        <v>305</v>
      </c>
      <c r="M137" t="s">
        <v>128</v>
      </c>
      <c r="N137" s="38">
        <f>SUMIF(Data!$A:$A,Summary!A137,Data!$M:$M)</f>
        <v>0</v>
      </c>
      <c r="O137" s="38">
        <f>SUMIF(Data!$A:$A,Summary!B137,Data!$M:$M)</f>
        <v>0</v>
      </c>
      <c r="P137" s="38">
        <f>SUMIF(Data!$A:$A,Summary!C137,Data!$M:$M)</f>
        <v>0</v>
      </c>
      <c r="Q137" s="38">
        <f>SUMIF(Data!$A:$A,Summary!D137,Data!$M:$M)</f>
        <v>0</v>
      </c>
      <c r="R137" s="38">
        <f>SUMIF(Data!$A:$A,Summary!E137,Data!$M:$M)</f>
        <v>0</v>
      </c>
      <c r="S137" s="38">
        <f>SUMIF(Data!$A:$A,Summary!F137,Data!$M:$M)</f>
        <v>0</v>
      </c>
      <c r="T137" s="38">
        <f>SUMIF(Data!$A:$A,Summary!G137,Data!$M:$M)</f>
        <v>0</v>
      </c>
      <c r="U137" s="38">
        <f>SUMIF(Data!$A:$A,Summary!H137,Data!$M:$M)</f>
        <v>0</v>
      </c>
      <c r="V137" s="38">
        <f>SUMIF(Data!$A:$A,Summary!I137,Data!$M:$M)</f>
        <v>0</v>
      </c>
      <c r="W137" s="38">
        <f>SUMIF(Data!$A:$A,Summary!J137,Data!$M:$M)</f>
        <v>0</v>
      </c>
      <c r="X137" s="38">
        <f>SUMIF(Data!$A:$A,Summary!K137,Data!$M:$M)</f>
        <v>0</v>
      </c>
    </row>
    <row r="138" spans="1:24" x14ac:dyDescent="0.55000000000000004">
      <c r="A138" t="str">
        <f t="shared" ref="A138:A164" si="216">$L138&amp;N$1&amp;$M138</f>
        <v>AugustFebruaryAFG NC - DCL KY</v>
      </c>
      <c r="B138" t="str">
        <f t="shared" ref="B138:B164" si="217">$L138&amp;O$1&amp;$M138</f>
        <v>AugustMarchAFG NC - DCL KY</v>
      </c>
      <c r="C138" t="str">
        <f t="shared" ref="C138:C164" si="218">$L138&amp;P$1&amp;$M138</f>
        <v>AugustAprilAFG NC - DCL KY</v>
      </c>
      <c r="D138" t="str">
        <f t="shared" ref="D138:D164" si="219">$L138&amp;Q$1&amp;$M138</f>
        <v>AugustMayAFG NC - DCL KY</v>
      </c>
      <c r="E138" t="str">
        <f t="shared" ref="E138:E164" si="220">$L138&amp;R$1&amp;$M138</f>
        <v>AugustJuneAFG NC - DCL KY</v>
      </c>
      <c r="F138" t="str">
        <f t="shared" ref="F138:F164" si="221">$L138&amp;S$1&amp;$M138</f>
        <v>AugustJulyAFG NC - DCL KY</v>
      </c>
      <c r="G138" t="str">
        <f t="shared" ref="G138:G164" si="222">$L138&amp;T$1&amp;$M138</f>
        <v>AugustAugustAFG NC - DCL KY</v>
      </c>
      <c r="H138" t="str">
        <f t="shared" ref="H138:H164" si="223">$L138&amp;U$1&amp;$M138</f>
        <v>AugustSeptemberAFG NC - DCL KY</v>
      </c>
      <c r="I138" t="str">
        <f t="shared" ref="I138:I164" si="224">$L138&amp;V$1&amp;$M138</f>
        <v>AugustOctoberAFG NC - DCL KY</v>
      </c>
      <c r="J138" t="str">
        <f t="shared" ref="J138:J164" si="225">$L138&amp;W$1&amp;$M138</f>
        <v>AugustNovemberAFG NC - DCL KY</v>
      </c>
      <c r="K138" t="str">
        <f t="shared" ref="K138:K164" si="226">$L138&amp;X$1&amp;$M138</f>
        <v>AugustDecemberAFG NC - DCL KY</v>
      </c>
      <c r="L138" t="s">
        <v>306</v>
      </c>
      <c r="M138" t="s">
        <v>173</v>
      </c>
      <c r="N138" s="38">
        <f>SUMIF(Data!$A:$A,Summary!A138,Data!$M:$M)</f>
        <v>0</v>
      </c>
      <c r="O138" s="38">
        <f>SUMIF(Data!$A:$A,Summary!B138,Data!$M:$M)</f>
        <v>0</v>
      </c>
      <c r="P138" s="38">
        <f>SUMIF(Data!$A:$A,Summary!C138,Data!$M:$M)</f>
        <v>0</v>
      </c>
      <c r="Q138" s="38">
        <f>SUMIF(Data!$A:$A,Summary!D138,Data!$M:$M)</f>
        <v>0</v>
      </c>
      <c r="R138" s="38">
        <f>SUMIF(Data!$A:$A,Summary!E138,Data!$M:$M)</f>
        <v>0</v>
      </c>
      <c r="S138" s="38">
        <f>SUMIF(Data!$A:$A,Summary!F138,Data!$M:$M)</f>
        <v>16434.840000000004</v>
      </c>
      <c r="T138" s="38">
        <f>SUMIF(Data!$A:$A,Summary!G138,Data!$M:$M)</f>
        <v>1480.44</v>
      </c>
      <c r="U138" s="38">
        <f>SUMIF(Data!$A:$A,Summary!H138,Data!$M:$M)</f>
        <v>0</v>
      </c>
      <c r="V138" s="38">
        <f>SUMIF(Data!$A:$A,Summary!I138,Data!$M:$M)</f>
        <v>0</v>
      </c>
      <c r="W138" s="38">
        <f>SUMIF(Data!$A:$A,Summary!J138,Data!$M:$M)</f>
        <v>0</v>
      </c>
      <c r="X138" s="38">
        <f>SUMIF(Data!$A:$A,Summary!K138,Data!$M:$M)</f>
        <v>0</v>
      </c>
    </row>
    <row r="139" spans="1:24" x14ac:dyDescent="0.55000000000000004">
      <c r="A139" t="str">
        <f t="shared" si="216"/>
        <v>AugustFebruaryAFG NC - Canada</v>
      </c>
      <c r="B139" t="str">
        <f t="shared" si="217"/>
        <v>AugustMarchAFG NC - Canada</v>
      </c>
      <c r="C139" t="str">
        <f t="shared" si="218"/>
        <v>AugustAprilAFG NC - Canada</v>
      </c>
      <c r="D139" t="str">
        <f t="shared" si="219"/>
        <v>AugustMayAFG NC - Canada</v>
      </c>
      <c r="E139" t="str">
        <f t="shared" si="220"/>
        <v>AugustJuneAFG NC - Canada</v>
      </c>
      <c r="F139" t="str">
        <f t="shared" si="221"/>
        <v>AugustJulyAFG NC - Canada</v>
      </c>
      <c r="G139" t="str">
        <f t="shared" si="222"/>
        <v>AugustAugustAFG NC - Canada</v>
      </c>
      <c r="H139" t="str">
        <f t="shared" si="223"/>
        <v>AugustSeptemberAFG NC - Canada</v>
      </c>
      <c r="I139" t="str">
        <f t="shared" si="224"/>
        <v>AugustOctoberAFG NC - Canada</v>
      </c>
      <c r="J139" t="str">
        <f t="shared" si="225"/>
        <v>AugustNovemberAFG NC - Canada</v>
      </c>
      <c r="K139" t="str">
        <f t="shared" si="226"/>
        <v>AugustDecemberAFG NC - Canada</v>
      </c>
      <c r="L139" t="s">
        <v>306</v>
      </c>
      <c r="M139" t="s">
        <v>1085</v>
      </c>
      <c r="N139" s="38">
        <f>SUMIF(Data!$A:$A,Summary!A139,Data!$M:$M)</f>
        <v>0</v>
      </c>
      <c r="O139" s="38">
        <f>SUMIF(Data!$A:$A,Summary!B139,Data!$M:$M)</f>
        <v>0</v>
      </c>
      <c r="P139" s="38">
        <f>SUMIF(Data!$A:$A,Summary!C139,Data!$M:$M)</f>
        <v>0</v>
      </c>
      <c r="Q139" s="38">
        <f>SUMIF(Data!$A:$A,Summary!D139,Data!$M:$M)</f>
        <v>0</v>
      </c>
      <c r="R139" s="38">
        <f>SUMIF(Data!$A:$A,Summary!E139,Data!$M:$M)</f>
        <v>0</v>
      </c>
      <c r="S139" s="38">
        <f>SUMIF(Data!$A:$A,Summary!F139,Data!$M:$M)</f>
        <v>0</v>
      </c>
      <c r="T139" s="38">
        <f>SUMIF(Data!$A:$A,Summary!G139,Data!$M:$M)</f>
        <v>0</v>
      </c>
      <c r="U139" s="38">
        <f>SUMIF(Data!$A:$A,Summary!H139,Data!$M:$M)</f>
        <v>0</v>
      </c>
      <c r="V139" s="38">
        <f>SUMIF(Data!$A:$A,Summary!I139,Data!$M:$M)</f>
        <v>0</v>
      </c>
      <c r="W139" s="38">
        <f>SUMIF(Data!$A:$A,Summary!J139,Data!$M:$M)</f>
        <v>0</v>
      </c>
      <c r="X139" s="38">
        <f>SUMIF(Data!$A:$A,Summary!K139,Data!$M:$M)</f>
        <v>0</v>
      </c>
    </row>
    <row r="140" spans="1:24" x14ac:dyDescent="0.55000000000000004">
      <c r="A140" t="str">
        <f t="shared" si="216"/>
        <v>AugustFebruaryAFG NC - Phillips WI</v>
      </c>
      <c r="B140" t="str">
        <f t="shared" si="217"/>
        <v>AugustMarchAFG NC - Phillips WI</v>
      </c>
      <c r="C140" t="str">
        <f t="shared" si="218"/>
        <v>AugustAprilAFG NC - Phillips WI</v>
      </c>
      <c r="D140" t="str">
        <f t="shared" si="219"/>
        <v>AugustMayAFG NC - Phillips WI</v>
      </c>
      <c r="E140" t="str">
        <f t="shared" si="220"/>
        <v>AugustJuneAFG NC - Phillips WI</v>
      </c>
      <c r="F140" t="str">
        <f t="shared" si="221"/>
        <v>AugustJulyAFG NC - Phillips WI</v>
      </c>
      <c r="G140" t="str">
        <f t="shared" si="222"/>
        <v>AugustAugustAFG NC - Phillips WI</v>
      </c>
      <c r="H140" t="str">
        <f t="shared" si="223"/>
        <v>AugustSeptemberAFG NC - Phillips WI</v>
      </c>
      <c r="I140" t="str">
        <f t="shared" si="224"/>
        <v>AugustOctoberAFG NC - Phillips WI</v>
      </c>
      <c r="J140" t="str">
        <f t="shared" si="225"/>
        <v>AugustNovemberAFG NC - Phillips WI</v>
      </c>
      <c r="K140" t="str">
        <f t="shared" si="226"/>
        <v>AugustDecemberAFG NC - Phillips WI</v>
      </c>
      <c r="L140" t="s">
        <v>306</v>
      </c>
      <c r="M140" t="s">
        <v>833</v>
      </c>
      <c r="N140" s="38">
        <f>SUMIF(Data!$A:$A,Summary!A140,Data!$M:$M)</f>
        <v>0</v>
      </c>
      <c r="O140" s="38">
        <f>SUMIF(Data!$A:$A,Summary!B140,Data!$M:$M)</f>
        <v>0</v>
      </c>
      <c r="P140" s="38">
        <f>SUMIF(Data!$A:$A,Summary!C140,Data!$M:$M)</f>
        <v>0</v>
      </c>
      <c r="Q140" s="38">
        <f>SUMIF(Data!$A:$A,Summary!D140,Data!$M:$M)</f>
        <v>0</v>
      </c>
      <c r="R140" s="38">
        <f>SUMIF(Data!$A:$A,Summary!E140,Data!$M:$M)</f>
        <v>0</v>
      </c>
      <c r="S140" s="38">
        <f>SUMIF(Data!$A:$A,Summary!F140,Data!$M:$M)</f>
        <v>0</v>
      </c>
      <c r="T140" s="38">
        <f>SUMIF(Data!$A:$A,Summary!G140,Data!$M:$M)</f>
        <v>0</v>
      </c>
      <c r="U140" s="38">
        <f>SUMIF(Data!$A:$A,Summary!H140,Data!$M:$M)</f>
        <v>0</v>
      </c>
      <c r="V140" s="38">
        <f>SUMIF(Data!$A:$A,Summary!I140,Data!$M:$M)</f>
        <v>0</v>
      </c>
      <c r="W140" s="38">
        <f>SUMIF(Data!$A:$A,Summary!J140,Data!$M:$M)</f>
        <v>0</v>
      </c>
      <c r="X140" s="38">
        <f>SUMIF(Data!$A:$A,Summary!K140,Data!$M:$M)</f>
        <v>0</v>
      </c>
    </row>
    <row r="141" spans="1:24" x14ac:dyDescent="0.55000000000000004">
      <c r="A141" t="str">
        <f t="shared" si="216"/>
        <v>AugustFebruaryAFG Suzho - DCL KY</v>
      </c>
      <c r="B141" t="str">
        <f t="shared" si="217"/>
        <v>AugustMarchAFG Suzho - DCL KY</v>
      </c>
      <c r="C141" t="str">
        <f t="shared" si="218"/>
        <v>AugustAprilAFG Suzho - DCL KY</v>
      </c>
      <c r="D141" t="str">
        <f t="shared" si="219"/>
        <v>AugustMayAFG Suzho - DCL KY</v>
      </c>
      <c r="E141" t="str">
        <f t="shared" si="220"/>
        <v>AugustJuneAFG Suzho - DCL KY</v>
      </c>
      <c r="F141" t="str">
        <f t="shared" si="221"/>
        <v>AugustJulyAFG Suzho - DCL KY</v>
      </c>
      <c r="G141" t="str">
        <f t="shared" si="222"/>
        <v>AugustAugustAFG Suzho - DCL KY</v>
      </c>
      <c r="H141" t="str">
        <f t="shared" si="223"/>
        <v>AugustSeptemberAFG Suzho - DCL KY</v>
      </c>
      <c r="I141" t="str">
        <f t="shared" si="224"/>
        <v>AugustOctoberAFG Suzho - DCL KY</v>
      </c>
      <c r="J141" t="str">
        <f t="shared" si="225"/>
        <v>AugustNovemberAFG Suzho - DCL KY</v>
      </c>
      <c r="K141" t="str">
        <f t="shared" si="226"/>
        <v>AugustDecemberAFG Suzho - DCL KY</v>
      </c>
      <c r="L141" t="s">
        <v>306</v>
      </c>
      <c r="M141" t="s">
        <v>247</v>
      </c>
      <c r="N141" s="38">
        <f>SUMIF(Data!$A:$A,Summary!A141,Data!$M:$M)</f>
        <v>0</v>
      </c>
      <c r="O141" s="38">
        <f>SUMIF(Data!$A:$A,Summary!B141,Data!$M:$M)</f>
        <v>0</v>
      </c>
      <c r="P141" s="38">
        <f>SUMIF(Data!$A:$A,Summary!C141,Data!$M:$M)</f>
        <v>0</v>
      </c>
      <c r="Q141" s="38">
        <f>SUMIF(Data!$A:$A,Summary!D141,Data!$M:$M)</f>
        <v>0</v>
      </c>
      <c r="R141" s="38">
        <f>SUMIF(Data!$A:$A,Summary!E141,Data!$M:$M)</f>
        <v>0</v>
      </c>
      <c r="S141" s="38">
        <f>SUMIF(Data!$A:$A,Summary!F141,Data!$M:$M)</f>
        <v>0</v>
      </c>
      <c r="T141" s="38">
        <f>SUMIF(Data!$A:$A,Summary!G141,Data!$M:$M)</f>
        <v>0</v>
      </c>
      <c r="U141" s="38">
        <f>SUMIF(Data!$A:$A,Summary!H141,Data!$M:$M)</f>
        <v>0</v>
      </c>
      <c r="V141" s="38">
        <f>SUMIF(Data!$A:$A,Summary!I141,Data!$M:$M)</f>
        <v>0</v>
      </c>
      <c r="W141" s="38">
        <f>SUMIF(Data!$A:$A,Summary!J141,Data!$M:$M)</f>
        <v>0</v>
      </c>
      <c r="X141" s="38">
        <f>SUMIF(Data!$A:$A,Summary!K141,Data!$M:$M)</f>
        <v>0</v>
      </c>
    </row>
    <row r="142" spans="1:24" x14ac:dyDescent="0.55000000000000004">
      <c r="A142" t="str">
        <f t="shared" si="216"/>
        <v>AugustFebruaryAFG Suzho - DECI NC</v>
      </c>
      <c r="B142" t="str">
        <f t="shared" si="217"/>
        <v>AugustMarchAFG Suzho - DECI NC</v>
      </c>
      <c r="C142" t="str">
        <f t="shared" si="218"/>
        <v>AugustAprilAFG Suzho - DECI NC</v>
      </c>
      <c r="D142" t="str">
        <f t="shared" si="219"/>
        <v>AugustMayAFG Suzho - DECI NC</v>
      </c>
      <c r="E142" t="str">
        <f t="shared" si="220"/>
        <v>AugustJuneAFG Suzho - DECI NC</v>
      </c>
      <c r="F142" t="str">
        <f t="shared" si="221"/>
        <v>AugustJulyAFG Suzho - DECI NC</v>
      </c>
      <c r="G142" t="str">
        <f t="shared" si="222"/>
        <v>AugustAugustAFG Suzho - DECI NC</v>
      </c>
      <c r="H142" t="str">
        <f t="shared" si="223"/>
        <v>AugustSeptemberAFG Suzho - DECI NC</v>
      </c>
      <c r="I142" t="str">
        <f t="shared" si="224"/>
        <v>AugustOctoberAFG Suzho - DECI NC</v>
      </c>
      <c r="J142" t="str">
        <f t="shared" si="225"/>
        <v>AugustNovemberAFG Suzho - DECI NC</v>
      </c>
      <c r="K142" t="str">
        <f t="shared" si="226"/>
        <v>AugustDecemberAFG Suzho - DECI NC</v>
      </c>
      <c r="L142" t="s">
        <v>306</v>
      </c>
      <c r="M142" t="s">
        <v>245</v>
      </c>
      <c r="N142" s="38">
        <f>SUMIF(Data!$A:$A,Summary!A142,Data!$M:$M)</f>
        <v>0</v>
      </c>
      <c r="O142" s="38">
        <f>SUMIF(Data!$A:$A,Summary!B142,Data!$M:$M)</f>
        <v>0</v>
      </c>
      <c r="P142" s="38">
        <f>SUMIF(Data!$A:$A,Summary!C142,Data!$M:$M)</f>
        <v>0</v>
      </c>
      <c r="Q142" s="38">
        <f>SUMIF(Data!$A:$A,Summary!D142,Data!$M:$M)</f>
        <v>0</v>
      </c>
      <c r="R142" s="38">
        <f>SUMIF(Data!$A:$A,Summary!E142,Data!$M:$M)</f>
        <v>0</v>
      </c>
      <c r="S142" s="38">
        <f>SUMIF(Data!$A:$A,Summary!F142,Data!$M:$M)</f>
        <v>0</v>
      </c>
      <c r="T142" s="38">
        <f>SUMIF(Data!$A:$A,Summary!G142,Data!$M:$M)</f>
        <v>0</v>
      </c>
      <c r="U142" s="38">
        <f>SUMIF(Data!$A:$A,Summary!H142,Data!$M:$M)</f>
        <v>0</v>
      </c>
      <c r="V142" s="38">
        <f>SUMIF(Data!$A:$A,Summary!I142,Data!$M:$M)</f>
        <v>0</v>
      </c>
      <c r="W142" s="38">
        <f>SUMIF(Data!$A:$A,Summary!J142,Data!$M:$M)</f>
        <v>0</v>
      </c>
      <c r="X142" s="38">
        <f>SUMIF(Data!$A:$A,Summary!K142,Data!$M:$M)</f>
        <v>0</v>
      </c>
    </row>
    <row r="143" spans="1:24" x14ac:dyDescent="0.55000000000000004">
      <c r="A143" t="str">
        <f t="shared" si="216"/>
        <v>AugustFebruaryAFG Suzho - Flex IL</v>
      </c>
      <c r="B143" t="str">
        <f t="shared" si="217"/>
        <v>AugustMarchAFG Suzho - Flex IL</v>
      </c>
      <c r="C143" t="str">
        <f t="shared" si="218"/>
        <v>AugustAprilAFG Suzho - Flex IL</v>
      </c>
      <c r="D143" t="str">
        <f t="shared" si="219"/>
        <v>AugustMayAFG Suzho - Flex IL</v>
      </c>
      <c r="E143" t="str">
        <f t="shared" si="220"/>
        <v>AugustJuneAFG Suzho - Flex IL</v>
      </c>
      <c r="F143" t="str">
        <f t="shared" si="221"/>
        <v>AugustJulyAFG Suzho - Flex IL</v>
      </c>
      <c r="G143" t="str">
        <f t="shared" si="222"/>
        <v>AugustAugustAFG Suzho - Flex IL</v>
      </c>
      <c r="H143" t="str">
        <f t="shared" si="223"/>
        <v>AugustSeptemberAFG Suzho - Flex IL</v>
      </c>
      <c r="I143" t="str">
        <f t="shared" si="224"/>
        <v>AugustOctoberAFG Suzho - Flex IL</v>
      </c>
      <c r="J143" t="str">
        <f t="shared" si="225"/>
        <v>AugustNovemberAFG Suzho - Flex IL</v>
      </c>
      <c r="K143" t="str">
        <f t="shared" si="226"/>
        <v>AugustDecemberAFG Suzho - Flex IL</v>
      </c>
      <c r="L143" t="s">
        <v>306</v>
      </c>
      <c r="M143" t="s">
        <v>260</v>
      </c>
      <c r="N143" s="38">
        <f>SUMIF(Data!$A:$A,Summary!A143,Data!$M:$M)</f>
        <v>0</v>
      </c>
      <c r="O143" s="38">
        <f>SUMIF(Data!$A:$A,Summary!B143,Data!$M:$M)</f>
        <v>0</v>
      </c>
      <c r="P143" s="38">
        <f>SUMIF(Data!$A:$A,Summary!C143,Data!$M:$M)</f>
        <v>0</v>
      </c>
      <c r="Q143" s="38">
        <f>SUMIF(Data!$A:$A,Summary!D143,Data!$M:$M)</f>
        <v>0</v>
      </c>
      <c r="R143" s="38">
        <f>SUMIF(Data!$A:$A,Summary!E143,Data!$M:$M)</f>
        <v>0</v>
      </c>
      <c r="S143" s="38">
        <f>SUMIF(Data!$A:$A,Summary!F143,Data!$M:$M)</f>
        <v>0</v>
      </c>
      <c r="T143" s="38">
        <f>SUMIF(Data!$A:$A,Summary!G143,Data!$M:$M)</f>
        <v>0</v>
      </c>
      <c r="U143" s="38">
        <f>SUMIF(Data!$A:$A,Summary!H143,Data!$M:$M)</f>
        <v>0</v>
      </c>
      <c r="V143" s="38">
        <f>SUMIF(Data!$A:$A,Summary!I143,Data!$M:$M)</f>
        <v>0</v>
      </c>
      <c r="W143" s="38">
        <f>SUMIF(Data!$A:$A,Summary!J143,Data!$M:$M)</f>
        <v>0</v>
      </c>
      <c r="X143" s="38">
        <f>SUMIF(Data!$A:$A,Summary!K143,Data!$M:$M)</f>
        <v>0</v>
      </c>
    </row>
    <row r="144" spans="1:24" x14ac:dyDescent="0.55000000000000004">
      <c r="A144" t="str">
        <f t="shared" si="216"/>
        <v>AugustFebruaryChicago IL - Phillips WI</v>
      </c>
      <c r="B144" t="str">
        <f t="shared" si="217"/>
        <v>AugustMarchChicago IL - Phillips WI</v>
      </c>
      <c r="C144" t="str">
        <f t="shared" si="218"/>
        <v>AugustAprilChicago IL - Phillips WI</v>
      </c>
      <c r="D144" t="str">
        <f t="shared" si="219"/>
        <v>AugustMayChicago IL - Phillips WI</v>
      </c>
      <c r="E144" t="str">
        <f t="shared" si="220"/>
        <v>AugustJuneChicago IL - Phillips WI</v>
      </c>
      <c r="F144" t="str">
        <f t="shared" si="221"/>
        <v>AugustJulyChicago IL - Phillips WI</v>
      </c>
      <c r="G144" t="str">
        <f t="shared" si="222"/>
        <v>AugustAugustChicago IL - Phillips WI</v>
      </c>
      <c r="H144" t="str">
        <f t="shared" si="223"/>
        <v>AugustSeptemberChicago IL - Phillips WI</v>
      </c>
      <c r="I144" t="str">
        <f t="shared" si="224"/>
        <v>AugustOctoberChicago IL - Phillips WI</v>
      </c>
      <c r="J144" t="str">
        <f t="shared" si="225"/>
        <v>AugustNovemberChicago IL - Phillips WI</v>
      </c>
      <c r="K144" t="str">
        <f t="shared" si="226"/>
        <v>AugustDecemberChicago IL - Phillips WI</v>
      </c>
      <c r="L144" t="s">
        <v>306</v>
      </c>
      <c r="M144" t="s">
        <v>187</v>
      </c>
      <c r="N144" s="38">
        <f>SUMIF(Data!$A:$A,Summary!A144,Data!$M:$M)</f>
        <v>0</v>
      </c>
      <c r="O144" s="38">
        <f>SUMIF(Data!$A:$A,Summary!B144,Data!$M:$M)</f>
        <v>0</v>
      </c>
      <c r="P144" s="38">
        <f>SUMIF(Data!$A:$A,Summary!C144,Data!$M:$M)</f>
        <v>0</v>
      </c>
      <c r="Q144" s="38">
        <f>SUMIF(Data!$A:$A,Summary!D144,Data!$M:$M)</f>
        <v>0</v>
      </c>
      <c r="R144" s="38">
        <f>SUMIF(Data!$A:$A,Summary!E144,Data!$M:$M)</f>
        <v>0</v>
      </c>
      <c r="S144" s="38">
        <f>SUMIF(Data!$A:$A,Summary!F144,Data!$M:$M)</f>
        <v>0</v>
      </c>
      <c r="T144" s="38">
        <f>SUMIF(Data!$A:$A,Summary!G144,Data!$M:$M)</f>
        <v>0</v>
      </c>
      <c r="U144" s="38">
        <f>SUMIF(Data!$A:$A,Summary!H144,Data!$M:$M)</f>
        <v>0</v>
      </c>
      <c r="V144" s="38">
        <f>SUMIF(Data!$A:$A,Summary!I144,Data!$M:$M)</f>
        <v>0</v>
      </c>
      <c r="W144" s="38">
        <f>SUMIF(Data!$A:$A,Summary!J144,Data!$M:$M)</f>
        <v>0</v>
      </c>
      <c r="X144" s="38">
        <f>SUMIF(Data!$A:$A,Summary!K144,Data!$M:$M)</f>
        <v>0</v>
      </c>
    </row>
    <row r="145" spans="1:24" x14ac:dyDescent="0.55000000000000004">
      <c r="A145" t="str">
        <f t="shared" si="216"/>
        <v>AugustFebruaryChina - DCL KY</v>
      </c>
      <c r="B145" t="str">
        <f t="shared" si="217"/>
        <v>AugustMarchChina - DCL KY</v>
      </c>
      <c r="C145" t="str">
        <f t="shared" si="218"/>
        <v>AugustAprilChina - DCL KY</v>
      </c>
      <c r="D145" t="str">
        <f t="shared" si="219"/>
        <v>AugustMayChina - DCL KY</v>
      </c>
      <c r="E145" t="str">
        <f t="shared" si="220"/>
        <v>AugustJuneChina - DCL KY</v>
      </c>
      <c r="F145" t="str">
        <f t="shared" si="221"/>
        <v>AugustJulyChina - DCL KY</v>
      </c>
      <c r="G145" t="str">
        <f t="shared" si="222"/>
        <v>AugustAugustChina - DCL KY</v>
      </c>
      <c r="H145" t="str">
        <f t="shared" si="223"/>
        <v>AugustSeptemberChina - DCL KY</v>
      </c>
      <c r="I145" t="str">
        <f t="shared" si="224"/>
        <v>AugustOctoberChina - DCL KY</v>
      </c>
      <c r="J145" t="str">
        <f t="shared" si="225"/>
        <v>AugustNovemberChina - DCL KY</v>
      </c>
      <c r="K145" t="str">
        <f t="shared" si="226"/>
        <v>AugustDecemberChina - DCL KY</v>
      </c>
      <c r="L145" t="s">
        <v>306</v>
      </c>
      <c r="M145" t="s">
        <v>82</v>
      </c>
      <c r="N145" s="38">
        <f>SUMIF(Data!$A:$A,Summary!A145,Data!$M:$M)</f>
        <v>0</v>
      </c>
      <c r="O145" s="38">
        <f>SUMIF(Data!$A:$A,Summary!B145,Data!$M:$M)</f>
        <v>0</v>
      </c>
      <c r="P145" s="38">
        <f>SUMIF(Data!$A:$A,Summary!C145,Data!$M:$M)</f>
        <v>0</v>
      </c>
      <c r="Q145" s="38">
        <f>SUMIF(Data!$A:$A,Summary!D145,Data!$M:$M)</f>
        <v>0</v>
      </c>
      <c r="R145" s="38">
        <f>SUMIF(Data!$A:$A,Summary!E145,Data!$M:$M)</f>
        <v>0</v>
      </c>
      <c r="S145" s="38">
        <f>SUMIF(Data!$A:$A,Summary!F145,Data!$M:$M)</f>
        <v>5830.39</v>
      </c>
      <c r="T145" s="38">
        <f>SUMIF(Data!$A:$A,Summary!G145,Data!$M:$M)</f>
        <v>46255.93</v>
      </c>
      <c r="U145" s="38">
        <f>SUMIF(Data!$A:$A,Summary!H145,Data!$M:$M)</f>
        <v>0</v>
      </c>
      <c r="V145" s="38">
        <f>SUMIF(Data!$A:$A,Summary!I145,Data!$M:$M)</f>
        <v>0</v>
      </c>
      <c r="W145" s="38">
        <f>SUMIF(Data!$A:$A,Summary!J145,Data!$M:$M)</f>
        <v>0</v>
      </c>
      <c r="X145" s="38">
        <f>SUMIF(Data!$A:$A,Summary!K145,Data!$M:$M)</f>
        <v>0</v>
      </c>
    </row>
    <row r="146" spans="1:24" x14ac:dyDescent="0.55000000000000004">
      <c r="A146" t="str">
        <f t="shared" si="216"/>
        <v>AugustFebruaryChina - DECI NC</v>
      </c>
      <c r="B146" t="str">
        <f t="shared" si="217"/>
        <v>AugustMarchChina - DECI NC</v>
      </c>
      <c r="C146" t="str">
        <f t="shared" si="218"/>
        <v>AugustAprilChina - DECI NC</v>
      </c>
      <c r="D146" t="str">
        <f t="shared" si="219"/>
        <v>AugustMayChina - DECI NC</v>
      </c>
      <c r="E146" t="str">
        <f t="shared" si="220"/>
        <v>AugustJuneChina - DECI NC</v>
      </c>
      <c r="F146" t="str">
        <f t="shared" si="221"/>
        <v>AugustJulyChina - DECI NC</v>
      </c>
      <c r="G146" t="str">
        <f t="shared" si="222"/>
        <v>AugustAugustChina - DECI NC</v>
      </c>
      <c r="H146" t="str">
        <f t="shared" si="223"/>
        <v>AugustSeptemberChina - DECI NC</v>
      </c>
      <c r="I146" t="str">
        <f t="shared" si="224"/>
        <v>AugustOctoberChina - DECI NC</v>
      </c>
      <c r="J146" t="str">
        <f t="shared" si="225"/>
        <v>AugustNovemberChina - DECI NC</v>
      </c>
      <c r="K146" t="str">
        <f t="shared" si="226"/>
        <v>AugustDecemberChina - DECI NC</v>
      </c>
      <c r="L146" t="s">
        <v>306</v>
      </c>
      <c r="M146" t="s">
        <v>97</v>
      </c>
      <c r="N146" s="38">
        <f>SUMIF(Data!$A:$A,Summary!A146,Data!$M:$M)</f>
        <v>0</v>
      </c>
      <c r="O146" s="38">
        <f>SUMIF(Data!$A:$A,Summary!B146,Data!$M:$M)</f>
        <v>0</v>
      </c>
      <c r="P146" s="38">
        <f>SUMIF(Data!$A:$A,Summary!C146,Data!$M:$M)</f>
        <v>0</v>
      </c>
      <c r="Q146" s="38">
        <f>SUMIF(Data!$A:$A,Summary!D146,Data!$M:$M)</f>
        <v>0</v>
      </c>
      <c r="R146" s="38">
        <f>SUMIF(Data!$A:$A,Summary!E146,Data!$M:$M)</f>
        <v>0</v>
      </c>
      <c r="S146" s="38">
        <f>SUMIF(Data!$A:$A,Summary!F146,Data!$M:$M)</f>
        <v>120744.04</v>
      </c>
      <c r="T146" s="38">
        <f>SUMIF(Data!$A:$A,Summary!G146,Data!$M:$M)</f>
        <v>48107.1</v>
      </c>
      <c r="U146" s="38">
        <f>SUMIF(Data!$A:$A,Summary!H146,Data!$M:$M)</f>
        <v>0</v>
      </c>
      <c r="V146" s="38">
        <f>SUMIF(Data!$A:$A,Summary!I146,Data!$M:$M)</f>
        <v>0</v>
      </c>
      <c r="W146" s="38">
        <f>SUMIF(Data!$A:$A,Summary!J146,Data!$M:$M)</f>
        <v>0</v>
      </c>
      <c r="X146" s="38">
        <f>SUMIF(Data!$A:$A,Summary!K146,Data!$M:$M)</f>
        <v>0</v>
      </c>
    </row>
    <row r="147" spans="1:24" x14ac:dyDescent="0.55000000000000004">
      <c r="A147" t="str">
        <f t="shared" si="216"/>
        <v>AugustFebruaryChina - Flex IL</v>
      </c>
      <c r="B147" t="str">
        <f t="shared" si="217"/>
        <v>AugustMarchChina - Flex IL</v>
      </c>
      <c r="C147" t="str">
        <f t="shared" si="218"/>
        <v>AugustAprilChina - Flex IL</v>
      </c>
      <c r="D147" t="str">
        <f t="shared" si="219"/>
        <v>AugustMayChina - Flex IL</v>
      </c>
      <c r="E147" t="str">
        <f t="shared" si="220"/>
        <v>AugustJuneChina - Flex IL</v>
      </c>
      <c r="F147" t="str">
        <f t="shared" si="221"/>
        <v>AugustJulyChina - Flex IL</v>
      </c>
      <c r="G147" t="str">
        <f t="shared" si="222"/>
        <v>AugustAugustChina - Flex IL</v>
      </c>
      <c r="H147" t="str">
        <f t="shared" si="223"/>
        <v>AugustSeptemberChina - Flex IL</v>
      </c>
      <c r="I147" t="str">
        <f t="shared" si="224"/>
        <v>AugustOctoberChina - Flex IL</v>
      </c>
      <c r="J147" t="str">
        <f t="shared" si="225"/>
        <v>AugustNovemberChina - Flex IL</v>
      </c>
      <c r="K147" t="str">
        <f t="shared" si="226"/>
        <v>AugustDecemberChina - Flex IL</v>
      </c>
      <c r="L147" t="s">
        <v>306</v>
      </c>
      <c r="M147" t="s">
        <v>886</v>
      </c>
      <c r="N147" s="38">
        <f>SUMIF(Data!$A:$A,Summary!A147,Data!$M:$M)</f>
        <v>0</v>
      </c>
      <c r="O147" s="38">
        <f>SUMIF(Data!$A:$A,Summary!B147,Data!$M:$M)</f>
        <v>0</v>
      </c>
      <c r="P147" s="38">
        <f>SUMIF(Data!$A:$A,Summary!C147,Data!$M:$M)</f>
        <v>0</v>
      </c>
      <c r="Q147" s="38">
        <f>SUMIF(Data!$A:$A,Summary!D147,Data!$M:$M)</f>
        <v>0</v>
      </c>
      <c r="R147" s="38">
        <f>SUMIF(Data!$A:$A,Summary!E147,Data!$M:$M)</f>
        <v>0</v>
      </c>
      <c r="S147" s="38">
        <f>SUMIF(Data!$A:$A,Summary!F147,Data!$M:$M)</f>
        <v>0</v>
      </c>
      <c r="T147" s="38">
        <f>SUMIF(Data!$A:$A,Summary!G147,Data!$M:$M)</f>
        <v>3376.99</v>
      </c>
      <c r="U147" s="38">
        <f>SUMIF(Data!$A:$A,Summary!H147,Data!$M:$M)</f>
        <v>0</v>
      </c>
      <c r="V147" s="38">
        <f>SUMIF(Data!$A:$A,Summary!I147,Data!$M:$M)</f>
        <v>0</v>
      </c>
      <c r="W147" s="38">
        <f>SUMIF(Data!$A:$A,Summary!J147,Data!$M:$M)</f>
        <v>0</v>
      </c>
      <c r="X147" s="38">
        <f>SUMIF(Data!$A:$A,Summary!K147,Data!$M:$M)</f>
        <v>0</v>
      </c>
    </row>
    <row r="148" spans="1:24" x14ac:dyDescent="0.55000000000000004">
      <c r="A148" t="str">
        <f t="shared" si="216"/>
        <v>AugustFebruaryChina - Phillips WI</v>
      </c>
      <c r="B148" t="str">
        <f t="shared" si="217"/>
        <v>AugustMarchChina - Phillips WI</v>
      </c>
      <c r="C148" t="str">
        <f t="shared" si="218"/>
        <v>AugustAprilChina - Phillips WI</v>
      </c>
      <c r="D148" t="str">
        <f t="shared" si="219"/>
        <v>AugustMayChina - Phillips WI</v>
      </c>
      <c r="E148" t="str">
        <f t="shared" si="220"/>
        <v>AugustJuneChina - Phillips WI</v>
      </c>
      <c r="F148" t="str">
        <f t="shared" si="221"/>
        <v>AugustJulyChina - Phillips WI</v>
      </c>
      <c r="G148" t="str">
        <f t="shared" si="222"/>
        <v>AugustAugustChina - Phillips WI</v>
      </c>
      <c r="H148" t="str">
        <f t="shared" si="223"/>
        <v>AugustSeptemberChina - Phillips WI</v>
      </c>
      <c r="I148" t="str">
        <f t="shared" si="224"/>
        <v>AugustOctoberChina - Phillips WI</v>
      </c>
      <c r="J148" t="str">
        <f t="shared" si="225"/>
        <v>AugustNovemberChina - Phillips WI</v>
      </c>
      <c r="K148" t="str">
        <f t="shared" si="226"/>
        <v>AugustDecemberChina - Phillips WI</v>
      </c>
      <c r="L148" t="s">
        <v>306</v>
      </c>
      <c r="M148" t="s">
        <v>687</v>
      </c>
      <c r="N148" s="38">
        <f>SUMIF(Data!$A:$A,Summary!A148,Data!$M:$M)</f>
        <v>0</v>
      </c>
      <c r="O148" s="38">
        <f>SUMIF(Data!$A:$A,Summary!B148,Data!$M:$M)</f>
        <v>0</v>
      </c>
      <c r="P148" s="38">
        <f>SUMIF(Data!$A:$A,Summary!C148,Data!$M:$M)</f>
        <v>0</v>
      </c>
      <c r="Q148" s="38">
        <f>SUMIF(Data!$A:$A,Summary!D148,Data!$M:$M)</f>
        <v>0</v>
      </c>
      <c r="R148" s="38">
        <f>SUMIF(Data!$A:$A,Summary!E148,Data!$M:$M)</f>
        <v>0</v>
      </c>
      <c r="S148" s="38">
        <f>SUMIF(Data!$A:$A,Summary!F148,Data!$M:$M)</f>
        <v>0</v>
      </c>
      <c r="T148" s="38">
        <f>SUMIF(Data!$A:$A,Summary!G148,Data!$M:$M)</f>
        <v>0</v>
      </c>
      <c r="U148" s="38">
        <f>SUMIF(Data!$A:$A,Summary!H148,Data!$M:$M)</f>
        <v>0</v>
      </c>
      <c r="V148" s="38">
        <f>SUMIF(Data!$A:$A,Summary!I148,Data!$M:$M)</f>
        <v>0</v>
      </c>
      <c r="W148" s="38">
        <f>SUMIF(Data!$A:$A,Summary!J148,Data!$M:$M)</f>
        <v>0</v>
      </c>
      <c r="X148" s="38">
        <f>SUMIF(Data!$A:$A,Summary!K148,Data!$M:$M)</f>
        <v>0</v>
      </c>
    </row>
    <row r="149" spans="1:24" x14ac:dyDescent="0.55000000000000004">
      <c r="A149" t="str">
        <f t="shared" si="216"/>
        <v>AugustFebruaryChina - San Francisco</v>
      </c>
      <c r="B149" t="str">
        <f t="shared" si="217"/>
        <v>AugustMarchChina - San Francisco</v>
      </c>
      <c r="C149" t="str">
        <f t="shared" si="218"/>
        <v>AugustAprilChina - San Francisco</v>
      </c>
      <c r="D149" t="str">
        <f t="shared" si="219"/>
        <v>AugustMayChina - San Francisco</v>
      </c>
      <c r="E149" t="str">
        <f t="shared" si="220"/>
        <v>AugustJuneChina - San Francisco</v>
      </c>
      <c r="F149" t="str">
        <f t="shared" si="221"/>
        <v>AugustJulyChina - San Francisco</v>
      </c>
      <c r="G149" t="str">
        <f t="shared" si="222"/>
        <v>AugustAugustChina - San Francisco</v>
      </c>
      <c r="H149" t="str">
        <f t="shared" si="223"/>
        <v>AugustSeptemberChina - San Francisco</v>
      </c>
      <c r="I149" t="str">
        <f t="shared" si="224"/>
        <v>AugustOctoberChina - San Francisco</v>
      </c>
      <c r="J149" t="str">
        <f t="shared" si="225"/>
        <v>AugustNovemberChina - San Francisco</v>
      </c>
      <c r="K149" t="str">
        <f t="shared" si="226"/>
        <v>AugustDecemberChina - San Francisco</v>
      </c>
      <c r="L149" t="s">
        <v>306</v>
      </c>
      <c r="M149" t="s">
        <v>1077</v>
      </c>
      <c r="N149" s="38">
        <f>SUMIF(Data!$A:$A,Summary!A149,Data!$M:$M)</f>
        <v>0</v>
      </c>
      <c r="O149" s="38">
        <f>SUMIF(Data!$A:$A,Summary!B149,Data!$M:$M)</f>
        <v>0</v>
      </c>
      <c r="P149" s="38">
        <f>SUMIF(Data!$A:$A,Summary!C149,Data!$M:$M)</f>
        <v>0</v>
      </c>
      <c r="Q149" s="38">
        <f>SUMIF(Data!$A:$A,Summary!D149,Data!$M:$M)</f>
        <v>0</v>
      </c>
      <c r="R149" s="38">
        <f>SUMIF(Data!$A:$A,Summary!E149,Data!$M:$M)</f>
        <v>0</v>
      </c>
      <c r="S149" s="38">
        <f>SUMIF(Data!$A:$A,Summary!F149,Data!$M:$M)</f>
        <v>0</v>
      </c>
      <c r="T149" s="38">
        <f>SUMIF(Data!$A:$A,Summary!G149,Data!$M:$M)</f>
        <v>0</v>
      </c>
      <c r="U149" s="38">
        <f>SUMIF(Data!$A:$A,Summary!H149,Data!$M:$M)</f>
        <v>0</v>
      </c>
      <c r="V149" s="38">
        <f>SUMIF(Data!$A:$A,Summary!I149,Data!$M:$M)</f>
        <v>0</v>
      </c>
      <c r="W149" s="38">
        <f>SUMIF(Data!$A:$A,Summary!J149,Data!$M:$M)</f>
        <v>0</v>
      </c>
      <c r="X149" s="38">
        <f>SUMIF(Data!$A:$A,Summary!K149,Data!$M:$M)</f>
        <v>0</v>
      </c>
    </row>
    <row r="150" spans="1:24" x14ac:dyDescent="0.55000000000000004">
      <c r="A150" t="str">
        <f t="shared" si="216"/>
        <v>AugustFebruaryDCL KY - Canada</v>
      </c>
      <c r="B150" t="str">
        <f t="shared" si="217"/>
        <v>AugustMarchDCL KY - Canada</v>
      </c>
      <c r="C150" t="str">
        <f t="shared" si="218"/>
        <v>AugustAprilDCL KY - Canada</v>
      </c>
      <c r="D150" t="str">
        <f t="shared" si="219"/>
        <v>AugustMayDCL KY - Canada</v>
      </c>
      <c r="E150" t="str">
        <f t="shared" si="220"/>
        <v>AugustJuneDCL KY - Canada</v>
      </c>
      <c r="F150" t="str">
        <f t="shared" si="221"/>
        <v>AugustJulyDCL KY - Canada</v>
      </c>
      <c r="G150" t="str">
        <f t="shared" si="222"/>
        <v>AugustAugustDCL KY - Canada</v>
      </c>
      <c r="H150" t="str">
        <f t="shared" si="223"/>
        <v>AugustSeptemberDCL KY - Canada</v>
      </c>
      <c r="I150" t="str">
        <f t="shared" si="224"/>
        <v>AugustOctoberDCL KY - Canada</v>
      </c>
      <c r="J150" t="str">
        <f t="shared" si="225"/>
        <v>AugustNovemberDCL KY - Canada</v>
      </c>
      <c r="K150" t="str">
        <f t="shared" si="226"/>
        <v>AugustDecemberDCL KY - Canada</v>
      </c>
      <c r="L150" t="s">
        <v>306</v>
      </c>
      <c r="M150" s="3" t="s">
        <v>1086</v>
      </c>
      <c r="N150" s="38">
        <f>SUMIF(Data!$A:$A,Summary!A150,Data!$M:$M)</f>
        <v>0</v>
      </c>
      <c r="O150" s="38">
        <f>SUMIF(Data!$A:$A,Summary!B150,Data!$M:$M)</f>
        <v>0</v>
      </c>
      <c r="P150" s="38">
        <f>SUMIF(Data!$A:$A,Summary!C150,Data!$M:$M)</f>
        <v>0</v>
      </c>
      <c r="Q150" s="38">
        <f>SUMIF(Data!$A:$A,Summary!D150,Data!$M:$M)</f>
        <v>0</v>
      </c>
      <c r="R150" s="38">
        <f>SUMIF(Data!$A:$A,Summary!E150,Data!$M:$M)</f>
        <v>0</v>
      </c>
      <c r="S150" s="38">
        <f>SUMIF(Data!$A:$A,Summary!F150,Data!$M:$M)</f>
        <v>0</v>
      </c>
      <c r="T150" s="38">
        <f>SUMIF(Data!$A:$A,Summary!G150,Data!$M:$M)</f>
        <v>0</v>
      </c>
      <c r="U150" s="38">
        <f>SUMIF(Data!$A:$A,Summary!H150,Data!$M:$M)</f>
        <v>0</v>
      </c>
      <c r="V150" s="38">
        <f>SUMIF(Data!$A:$A,Summary!I150,Data!$M:$M)</f>
        <v>0</v>
      </c>
      <c r="W150" s="38">
        <f>SUMIF(Data!$A:$A,Summary!J150,Data!$M:$M)</f>
        <v>0</v>
      </c>
      <c r="X150" s="38">
        <f>SUMIF(Data!$A:$A,Summary!K150,Data!$M:$M)</f>
        <v>0</v>
      </c>
    </row>
    <row r="151" spans="1:24" x14ac:dyDescent="0.55000000000000004">
      <c r="A151" t="str">
        <f t="shared" si="216"/>
        <v>AugustFebruaryDECI NC - DCL KY</v>
      </c>
      <c r="B151" t="str">
        <f t="shared" si="217"/>
        <v>AugustMarchDECI NC - DCL KY</v>
      </c>
      <c r="C151" t="str">
        <f t="shared" si="218"/>
        <v>AugustAprilDECI NC - DCL KY</v>
      </c>
      <c r="D151" t="str">
        <f t="shared" si="219"/>
        <v>AugustMayDECI NC - DCL KY</v>
      </c>
      <c r="E151" t="str">
        <f t="shared" si="220"/>
        <v>AugustJuneDECI NC - DCL KY</v>
      </c>
      <c r="F151" t="str">
        <f t="shared" si="221"/>
        <v>AugustJulyDECI NC - DCL KY</v>
      </c>
      <c r="G151" t="str">
        <f t="shared" si="222"/>
        <v>AugustAugustDECI NC - DCL KY</v>
      </c>
      <c r="H151" t="str">
        <f t="shared" si="223"/>
        <v>AugustSeptemberDECI NC - DCL KY</v>
      </c>
      <c r="I151" t="str">
        <f t="shared" si="224"/>
        <v>AugustOctoberDECI NC - DCL KY</v>
      </c>
      <c r="J151" t="str">
        <f t="shared" si="225"/>
        <v>AugustNovemberDECI NC - DCL KY</v>
      </c>
      <c r="K151" t="str">
        <f t="shared" si="226"/>
        <v>AugustDecemberDECI NC - DCL KY</v>
      </c>
      <c r="L151" t="s">
        <v>306</v>
      </c>
      <c r="M151" t="s">
        <v>178</v>
      </c>
      <c r="N151" s="38">
        <f>SUMIF(Data!$A:$A,Summary!A151,Data!$M:$M)</f>
        <v>0</v>
      </c>
      <c r="O151" s="38">
        <f>SUMIF(Data!$A:$A,Summary!B151,Data!$M:$M)</f>
        <v>0</v>
      </c>
      <c r="P151" s="38">
        <f>SUMIF(Data!$A:$A,Summary!C151,Data!$M:$M)</f>
        <v>0</v>
      </c>
      <c r="Q151" s="38">
        <f>SUMIF(Data!$A:$A,Summary!D151,Data!$M:$M)</f>
        <v>0</v>
      </c>
      <c r="R151" s="38">
        <f>SUMIF(Data!$A:$A,Summary!E151,Data!$M:$M)</f>
        <v>0</v>
      </c>
      <c r="S151" s="38">
        <f>SUMIF(Data!$A:$A,Summary!F151,Data!$M:$M)</f>
        <v>5920.96</v>
      </c>
      <c r="T151" s="38">
        <f>SUMIF(Data!$A:$A,Summary!G151,Data!$M:$M)</f>
        <v>1480.24</v>
      </c>
      <c r="U151" s="38">
        <f>SUMIF(Data!$A:$A,Summary!H151,Data!$M:$M)</f>
        <v>0</v>
      </c>
      <c r="V151" s="38">
        <f>SUMIF(Data!$A:$A,Summary!I151,Data!$M:$M)</f>
        <v>0</v>
      </c>
      <c r="W151" s="38">
        <f>SUMIF(Data!$A:$A,Summary!J151,Data!$M:$M)</f>
        <v>0</v>
      </c>
      <c r="X151" s="38">
        <f>SUMIF(Data!$A:$A,Summary!K151,Data!$M:$M)</f>
        <v>0</v>
      </c>
    </row>
    <row r="152" spans="1:24" x14ac:dyDescent="0.55000000000000004">
      <c r="A152" t="str">
        <f t="shared" si="216"/>
        <v>AugustFebruaryGreensboro NC - Phillips WI</v>
      </c>
      <c r="B152" t="str">
        <f t="shared" si="217"/>
        <v>AugustMarchGreensboro NC - Phillips WI</v>
      </c>
      <c r="C152" t="str">
        <f t="shared" si="218"/>
        <v>AugustAprilGreensboro NC - Phillips WI</v>
      </c>
      <c r="D152" t="str">
        <f t="shared" si="219"/>
        <v>AugustMayGreensboro NC - Phillips WI</v>
      </c>
      <c r="E152" t="str">
        <f t="shared" si="220"/>
        <v>AugustJuneGreensboro NC - Phillips WI</v>
      </c>
      <c r="F152" t="str">
        <f t="shared" si="221"/>
        <v>AugustJulyGreensboro NC - Phillips WI</v>
      </c>
      <c r="G152" t="str">
        <f t="shared" si="222"/>
        <v>AugustAugustGreensboro NC - Phillips WI</v>
      </c>
      <c r="H152" t="str">
        <f t="shared" si="223"/>
        <v>AugustSeptemberGreensboro NC - Phillips WI</v>
      </c>
      <c r="I152" t="str">
        <f t="shared" si="224"/>
        <v>AugustOctoberGreensboro NC - Phillips WI</v>
      </c>
      <c r="J152" t="str">
        <f t="shared" si="225"/>
        <v>AugustNovemberGreensboro NC - Phillips WI</v>
      </c>
      <c r="K152" t="str">
        <f t="shared" si="226"/>
        <v>AugustDecemberGreensboro NC - Phillips WI</v>
      </c>
      <c r="L152" t="s">
        <v>306</v>
      </c>
      <c r="M152" t="s">
        <v>155</v>
      </c>
      <c r="N152" s="38">
        <f>SUMIF(Data!$A:$A,Summary!A152,Data!$M:$M)</f>
        <v>0</v>
      </c>
      <c r="O152" s="38">
        <f>SUMIF(Data!$A:$A,Summary!B152,Data!$M:$M)</f>
        <v>0</v>
      </c>
      <c r="P152" s="38">
        <f>SUMIF(Data!$A:$A,Summary!C152,Data!$M:$M)</f>
        <v>0</v>
      </c>
      <c r="Q152" s="38">
        <f>SUMIF(Data!$A:$A,Summary!D152,Data!$M:$M)</f>
        <v>0</v>
      </c>
      <c r="R152" s="38">
        <f>SUMIF(Data!$A:$A,Summary!E152,Data!$M:$M)</f>
        <v>0</v>
      </c>
      <c r="S152" s="38">
        <f>SUMIF(Data!$A:$A,Summary!F152,Data!$M:$M)</f>
        <v>0</v>
      </c>
      <c r="T152" s="38">
        <f>SUMIF(Data!$A:$A,Summary!G152,Data!$M:$M)</f>
        <v>0</v>
      </c>
      <c r="U152" s="38">
        <f>SUMIF(Data!$A:$A,Summary!H152,Data!$M:$M)</f>
        <v>0</v>
      </c>
      <c r="V152" s="38">
        <f>SUMIF(Data!$A:$A,Summary!I152,Data!$M:$M)</f>
        <v>0</v>
      </c>
      <c r="W152" s="38">
        <f>SUMIF(Data!$A:$A,Summary!J152,Data!$M:$M)</f>
        <v>0</v>
      </c>
      <c r="X152" s="38">
        <f>SUMIF(Data!$A:$A,Summary!K152,Data!$M:$M)</f>
        <v>0</v>
      </c>
    </row>
    <row r="153" spans="1:24" x14ac:dyDescent="0.55000000000000004">
      <c r="A153" t="str">
        <f t="shared" si="216"/>
        <v>AugustFebruaryFlex IL - UK</v>
      </c>
      <c r="B153" t="str">
        <f t="shared" si="217"/>
        <v>AugustMarchFlex IL - UK</v>
      </c>
      <c r="C153" t="str">
        <f t="shared" si="218"/>
        <v>AugustAprilFlex IL - UK</v>
      </c>
      <c r="D153" t="str">
        <f t="shared" si="219"/>
        <v>AugustMayFlex IL - UK</v>
      </c>
      <c r="E153" t="str">
        <f t="shared" si="220"/>
        <v>AugustJuneFlex IL - UK</v>
      </c>
      <c r="F153" t="str">
        <f t="shared" si="221"/>
        <v>AugustJulyFlex IL - UK</v>
      </c>
      <c r="G153" t="str">
        <f t="shared" si="222"/>
        <v>AugustAugustFlex IL - UK</v>
      </c>
      <c r="H153" t="str">
        <f t="shared" si="223"/>
        <v>AugustSeptemberFlex IL - UK</v>
      </c>
      <c r="I153" t="str">
        <f t="shared" si="224"/>
        <v>AugustOctoberFlex IL - UK</v>
      </c>
      <c r="J153" t="str">
        <f t="shared" si="225"/>
        <v>AugustNovemberFlex IL - UK</v>
      </c>
      <c r="K153" t="str">
        <f t="shared" si="226"/>
        <v>AugustDecemberFlex IL - UK</v>
      </c>
      <c r="L153" t="s">
        <v>306</v>
      </c>
      <c r="M153" t="s">
        <v>895</v>
      </c>
      <c r="N153" s="38">
        <f>SUMIF(Data!$A:$A,Summary!A153,Data!$M:$M)</f>
        <v>0</v>
      </c>
      <c r="O153" s="38">
        <f>SUMIF(Data!$A:$A,Summary!B153,Data!$M:$M)</f>
        <v>0</v>
      </c>
      <c r="P153" s="38">
        <f>SUMIF(Data!$A:$A,Summary!C153,Data!$M:$M)</f>
        <v>0</v>
      </c>
      <c r="Q153" s="38">
        <f>SUMIF(Data!$A:$A,Summary!D153,Data!$M:$M)</f>
        <v>0</v>
      </c>
      <c r="R153" s="38">
        <f>SUMIF(Data!$A:$A,Summary!E153,Data!$M:$M)</f>
        <v>0</v>
      </c>
      <c r="S153" s="38">
        <f>SUMIF(Data!$A:$A,Summary!F153,Data!$M:$M)</f>
        <v>0</v>
      </c>
      <c r="T153" s="38">
        <f>SUMIF(Data!$A:$A,Summary!G153,Data!$M:$M)</f>
        <v>0</v>
      </c>
      <c r="U153" s="38">
        <f>SUMIF(Data!$A:$A,Summary!H153,Data!$M:$M)</f>
        <v>0</v>
      </c>
      <c r="V153" s="38">
        <f>SUMIF(Data!$A:$A,Summary!I153,Data!$M:$M)</f>
        <v>0</v>
      </c>
      <c r="W153" s="38">
        <f>SUMIF(Data!$A:$A,Summary!J153,Data!$M:$M)</f>
        <v>0</v>
      </c>
      <c r="X153" s="38">
        <f>SUMIF(Data!$A:$A,Summary!K153,Data!$M:$M)</f>
        <v>0</v>
      </c>
    </row>
    <row r="154" spans="1:24" x14ac:dyDescent="0.55000000000000004">
      <c r="A154" t="str">
        <f t="shared" si="216"/>
        <v>AugustFebruaryFlorida - Phillips WI</v>
      </c>
      <c r="B154" t="str">
        <f t="shared" si="217"/>
        <v>AugustMarchFlorida - Phillips WI</v>
      </c>
      <c r="C154" t="str">
        <f t="shared" si="218"/>
        <v>AugustAprilFlorida - Phillips WI</v>
      </c>
      <c r="D154" t="str">
        <f t="shared" si="219"/>
        <v>AugustMayFlorida - Phillips WI</v>
      </c>
      <c r="E154" t="str">
        <f t="shared" si="220"/>
        <v>AugustJuneFlorida - Phillips WI</v>
      </c>
      <c r="F154" t="str">
        <f t="shared" si="221"/>
        <v>AugustJulyFlorida - Phillips WI</v>
      </c>
      <c r="G154" t="str">
        <f t="shared" si="222"/>
        <v>AugustAugustFlorida - Phillips WI</v>
      </c>
      <c r="H154" t="str">
        <f t="shared" si="223"/>
        <v>AugustSeptemberFlorida - Phillips WI</v>
      </c>
      <c r="I154" t="str">
        <f t="shared" si="224"/>
        <v>AugustOctoberFlorida - Phillips WI</v>
      </c>
      <c r="J154" t="str">
        <f t="shared" si="225"/>
        <v>AugustNovemberFlorida - Phillips WI</v>
      </c>
      <c r="K154" t="str">
        <f t="shared" si="226"/>
        <v>AugustDecemberFlorida - Phillips WI</v>
      </c>
      <c r="L154" t="s">
        <v>306</v>
      </c>
      <c r="M154" t="s">
        <v>933</v>
      </c>
      <c r="N154" s="38">
        <f>SUMIF(Data!$A:$A,Summary!A154,Data!$M:$M)</f>
        <v>0</v>
      </c>
      <c r="O154" s="38">
        <f>SUMIF(Data!$A:$A,Summary!B154,Data!$M:$M)</f>
        <v>0</v>
      </c>
      <c r="P154" s="38">
        <f>SUMIF(Data!$A:$A,Summary!C154,Data!$M:$M)</f>
        <v>0</v>
      </c>
      <c r="Q154" s="38">
        <f>SUMIF(Data!$A:$A,Summary!D154,Data!$M:$M)</f>
        <v>0</v>
      </c>
      <c r="R154" s="38">
        <f>SUMIF(Data!$A:$A,Summary!E154,Data!$M:$M)</f>
        <v>0</v>
      </c>
      <c r="S154" s="38">
        <f>SUMIF(Data!$A:$A,Summary!F154,Data!$M:$M)</f>
        <v>0</v>
      </c>
      <c r="T154" s="38">
        <f>SUMIF(Data!$A:$A,Summary!G154,Data!$M:$M)</f>
        <v>0</v>
      </c>
      <c r="U154" s="38">
        <f>SUMIF(Data!$A:$A,Summary!H154,Data!$M:$M)</f>
        <v>0</v>
      </c>
      <c r="V154" s="38">
        <f>SUMIF(Data!$A:$A,Summary!I154,Data!$M:$M)</f>
        <v>0</v>
      </c>
      <c r="W154" s="38">
        <f>SUMIF(Data!$A:$A,Summary!J154,Data!$M:$M)</f>
        <v>0</v>
      </c>
      <c r="X154" s="38">
        <f>SUMIF(Data!$A:$A,Summary!K154,Data!$M:$M)</f>
        <v>0</v>
      </c>
    </row>
    <row r="155" spans="1:24" x14ac:dyDescent="0.55000000000000004">
      <c r="A155" t="str">
        <f t="shared" si="216"/>
        <v>AugustFebruaryHong Kong - AFG NC</v>
      </c>
      <c r="B155" t="str">
        <f t="shared" si="217"/>
        <v>AugustMarchHong Kong - AFG NC</v>
      </c>
      <c r="C155" t="str">
        <f t="shared" si="218"/>
        <v>AugustAprilHong Kong - AFG NC</v>
      </c>
      <c r="D155" t="str">
        <f t="shared" si="219"/>
        <v>AugustMayHong Kong - AFG NC</v>
      </c>
      <c r="E155" t="str">
        <f t="shared" si="220"/>
        <v>AugustJuneHong Kong - AFG NC</v>
      </c>
      <c r="F155" t="str">
        <f t="shared" si="221"/>
        <v>AugustJulyHong Kong - AFG NC</v>
      </c>
      <c r="G155" t="str">
        <f t="shared" si="222"/>
        <v>AugustAugustHong Kong - AFG NC</v>
      </c>
      <c r="H155" t="str">
        <f t="shared" si="223"/>
        <v>AugustSeptemberHong Kong - AFG NC</v>
      </c>
      <c r="I155" t="str">
        <f t="shared" si="224"/>
        <v>AugustOctoberHong Kong - AFG NC</v>
      </c>
      <c r="J155" t="str">
        <f t="shared" si="225"/>
        <v>AugustNovemberHong Kong - AFG NC</v>
      </c>
      <c r="K155" t="str">
        <f t="shared" si="226"/>
        <v>AugustDecemberHong Kong - AFG NC</v>
      </c>
      <c r="L155" t="s">
        <v>306</v>
      </c>
      <c r="M155" t="s">
        <v>334</v>
      </c>
      <c r="N155" s="38">
        <f>SUMIF(Data!$A:$A,Summary!A155,Data!$M:$M)</f>
        <v>0</v>
      </c>
      <c r="O155" s="38">
        <f>SUMIF(Data!$A:$A,Summary!B155,Data!$M:$M)</f>
        <v>0</v>
      </c>
      <c r="P155" s="38">
        <f>SUMIF(Data!$A:$A,Summary!C155,Data!$M:$M)</f>
        <v>0</v>
      </c>
      <c r="Q155" s="38">
        <f>SUMIF(Data!$A:$A,Summary!D155,Data!$M:$M)</f>
        <v>0</v>
      </c>
      <c r="R155" s="38">
        <f>SUMIF(Data!$A:$A,Summary!E155,Data!$M:$M)</f>
        <v>0</v>
      </c>
      <c r="S155" s="38">
        <f>SUMIF(Data!$A:$A,Summary!F155,Data!$M:$M)</f>
        <v>9353.18</v>
      </c>
      <c r="T155" s="38">
        <f>SUMIF(Data!$A:$A,Summary!G155,Data!$M:$M)</f>
        <v>6138.34</v>
      </c>
      <c r="U155" s="38">
        <f>SUMIF(Data!$A:$A,Summary!H155,Data!$M:$M)</f>
        <v>0</v>
      </c>
      <c r="V155" s="38">
        <f>SUMIF(Data!$A:$A,Summary!I155,Data!$M:$M)</f>
        <v>0</v>
      </c>
      <c r="W155" s="38">
        <f>SUMIF(Data!$A:$A,Summary!J155,Data!$M:$M)</f>
        <v>0</v>
      </c>
      <c r="X155" s="38">
        <f>SUMIF(Data!$A:$A,Summary!K155,Data!$M:$M)</f>
        <v>0</v>
      </c>
    </row>
    <row r="156" spans="1:24" x14ac:dyDescent="0.55000000000000004">
      <c r="A156" t="str">
        <f t="shared" si="216"/>
        <v>AugustFebruaryHong Kong - DCL KY</v>
      </c>
      <c r="B156" t="str">
        <f t="shared" si="217"/>
        <v>AugustMarchHong Kong - DCL KY</v>
      </c>
      <c r="C156" t="str">
        <f t="shared" si="218"/>
        <v>AugustAprilHong Kong - DCL KY</v>
      </c>
      <c r="D156" t="str">
        <f t="shared" si="219"/>
        <v>AugustMayHong Kong - DCL KY</v>
      </c>
      <c r="E156" t="str">
        <f t="shared" si="220"/>
        <v>AugustJuneHong Kong - DCL KY</v>
      </c>
      <c r="F156" t="str">
        <f t="shared" si="221"/>
        <v>AugustJulyHong Kong - DCL KY</v>
      </c>
      <c r="G156" t="str">
        <f t="shared" si="222"/>
        <v>AugustAugustHong Kong - DCL KY</v>
      </c>
      <c r="H156" t="str">
        <f t="shared" si="223"/>
        <v>AugustSeptemberHong Kong - DCL KY</v>
      </c>
      <c r="I156" t="str">
        <f t="shared" si="224"/>
        <v>AugustOctoberHong Kong - DCL KY</v>
      </c>
      <c r="J156" t="str">
        <f t="shared" si="225"/>
        <v>AugustNovemberHong Kong - DCL KY</v>
      </c>
      <c r="K156" t="str">
        <f t="shared" si="226"/>
        <v>AugustDecemberHong Kong - DCL KY</v>
      </c>
      <c r="L156" t="s">
        <v>306</v>
      </c>
      <c r="M156" t="s">
        <v>39</v>
      </c>
      <c r="N156" s="38">
        <f>SUMIF(Data!$A:$A,Summary!A156,Data!$M:$M)</f>
        <v>0</v>
      </c>
      <c r="O156" s="38">
        <f>SUMIF(Data!$A:$A,Summary!B156,Data!$M:$M)</f>
        <v>0</v>
      </c>
      <c r="P156" s="38">
        <f>SUMIF(Data!$A:$A,Summary!C156,Data!$M:$M)</f>
        <v>0</v>
      </c>
      <c r="Q156" s="38">
        <f>SUMIF(Data!$A:$A,Summary!D156,Data!$M:$M)</f>
        <v>0</v>
      </c>
      <c r="R156" s="38">
        <f>SUMIF(Data!$A:$A,Summary!E156,Data!$M:$M)</f>
        <v>0</v>
      </c>
      <c r="S156" s="38">
        <f>SUMIF(Data!$A:$A,Summary!F156,Data!$M:$M)</f>
        <v>0</v>
      </c>
      <c r="T156" s="38">
        <f>SUMIF(Data!$A:$A,Summary!G156,Data!$M:$M)</f>
        <v>0</v>
      </c>
      <c r="U156" s="38">
        <f>SUMIF(Data!$A:$A,Summary!H156,Data!$M:$M)</f>
        <v>0</v>
      </c>
      <c r="V156" s="38">
        <f>SUMIF(Data!$A:$A,Summary!I156,Data!$M:$M)</f>
        <v>0</v>
      </c>
      <c r="W156" s="38">
        <f>SUMIF(Data!$A:$A,Summary!J156,Data!$M:$M)</f>
        <v>0</v>
      </c>
      <c r="X156" s="38">
        <f>SUMIF(Data!$A:$A,Summary!K156,Data!$M:$M)</f>
        <v>0</v>
      </c>
    </row>
    <row r="157" spans="1:24" x14ac:dyDescent="0.55000000000000004">
      <c r="A157" t="str">
        <f t="shared" si="216"/>
        <v>AugustFebruaryHong Kong - DECI NC</v>
      </c>
      <c r="B157" t="str">
        <f t="shared" si="217"/>
        <v>AugustMarchHong Kong - DECI NC</v>
      </c>
      <c r="C157" t="str">
        <f t="shared" si="218"/>
        <v>AugustAprilHong Kong - DECI NC</v>
      </c>
      <c r="D157" t="str">
        <f t="shared" si="219"/>
        <v>AugustMayHong Kong - DECI NC</v>
      </c>
      <c r="E157" t="str">
        <f t="shared" si="220"/>
        <v>AugustJuneHong Kong - DECI NC</v>
      </c>
      <c r="F157" t="str">
        <f t="shared" si="221"/>
        <v>AugustJulyHong Kong - DECI NC</v>
      </c>
      <c r="G157" t="str">
        <f t="shared" si="222"/>
        <v>AugustAugustHong Kong - DECI NC</v>
      </c>
      <c r="H157" t="str">
        <f t="shared" si="223"/>
        <v>AugustSeptemberHong Kong - DECI NC</v>
      </c>
      <c r="I157" t="str">
        <f t="shared" si="224"/>
        <v>AugustOctoberHong Kong - DECI NC</v>
      </c>
      <c r="J157" t="str">
        <f t="shared" si="225"/>
        <v>AugustNovemberHong Kong - DECI NC</v>
      </c>
      <c r="K157" t="str">
        <f t="shared" si="226"/>
        <v>AugustDecemberHong Kong - DECI NC</v>
      </c>
      <c r="L157" t="s">
        <v>306</v>
      </c>
      <c r="M157" t="s">
        <v>92</v>
      </c>
      <c r="N157" s="38">
        <f>SUMIF(Data!$A:$A,Summary!A157,Data!$M:$M)</f>
        <v>0</v>
      </c>
      <c r="O157" s="38">
        <f>SUMIF(Data!$A:$A,Summary!B157,Data!$M:$M)</f>
        <v>0</v>
      </c>
      <c r="P157" s="38">
        <f>SUMIF(Data!$A:$A,Summary!C157,Data!$M:$M)</f>
        <v>0</v>
      </c>
      <c r="Q157" s="38">
        <f>SUMIF(Data!$A:$A,Summary!D157,Data!$M:$M)</f>
        <v>0</v>
      </c>
      <c r="R157" s="38">
        <f>SUMIF(Data!$A:$A,Summary!E157,Data!$M:$M)</f>
        <v>0</v>
      </c>
      <c r="S157" s="38">
        <f>SUMIF(Data!$A:$A,Summary!F157,Data!$M:$M)</f>
        <v>0</v>
      </c>
      <c r="T157" s="38">
        <f>SUMIF(Data!$A:$A,Summary!G157,Data!$M:$M)</f>
        <v>0</v>
      </c>
      <c r="U157" s="38">
        <f>SUMIF(Data!$A:$A,Summary!H157,Data!$M:$M)</f>
        <v>0</v>
      </c>
      <c r="V157" s="38">
        <f>SUMIF(Data!$A:$A,Summary!I157,Data!$M:$M)</f>
        <v>0</v>
      </c>
      <c r="W157" s="38">
        <f>SUMIF(Data!$A:$A,Summary!J157,Data!$M:$M)</f>
        <v>0</v>
      </c>
      <c r="X157" s="38">
        <f>SUMIF(Data!$A:$A,Summary!K157,Data!$M:$M)</f>
        <v>0</v>
      </c>
    </row>
    <row r="158" spans="1:24" x14ac:dyDescent="0.55000000000000004">
      <c r="A158" t="str">
        <f t="shared" si="216"/>
        <v>AugustFebruaryHong Kong - Flex IL</v>
      </c>
      <c r="B158" t="str">
        <f t="shared" si="217"/>
        <v>AugustMarchHong Kong - Flex IL</v>
      </c>
      <c r="C158" t="str">
        <f t="shared" si="218"/>
        <v>AugustAprilHong Kong - Flex IL</v>
      </c>
      <c r="D158" t="str">
        <f t="shared" si="219"/>
        <v>AugustMayHong Kong - Flex IL</v>
      </c>
      <c r="E158" t="str">
        <f t="shared" si="220"/>
        <v>AugustJuneHong Kong - Flex IL</v>
      </c>
      <c r="F158" t="str">
        <f t="shared" si="221"/>
        <v>AugustJulyHong Kong - Flex IL</v>
      </c>
      <c r="G158" t="str">
        <f t="shared" si="222"/>
        <v>AugustAugustHong Kong - Flex IL</v>
      </c>
      <c r="H158" t="str">
        <f t="shared" si="223"/>
        <v>AugustSeptemberHong Kong - Flex IL</v>
      </c>
      <c r="I158" t="str">
        <f t="shared" si="224"/>
        <v>AugustOctoberHong Kong - Flex IL</v>
      </c>
      <c r="J158" t="str">
        <f t="shared" si="225"/>
        <v>AugustNovemberHong Kong - Flex IL</v>
      </c>
      <c r="K158" t="str">
        <f t="shared" si="226"/>
        <v>AugustDecemberHong Kong - Flex IL</v>
      </c>
      <c r="L158" t="s">
        <v>306</v>
      </c>
      <c r="M158" t="s">
        <v>111</v>
      </c>
      <c r="N158" s="38">
        <f>SUMIF(Data!$A:$A,Summary!A158,Data!$M:$M)</f>
        <v>0</v>
      </c>
      <c r="O158" s="38">
        <f>SUMIF(Data!$A:$A,Summary!B158,Data!$M:$M)</f>
        <v>0</v>
      </c>
      <c r="P158" s="38">
        <f>SUMIF(Data!$A:$A,Summary!C158,Data!$M:$M)</f>
        <v>0</v>
      </c>
      <c r="Q158" s="38">
        <f>SUMIF(Data!$A:$A,Summary!D158,Data!$M:$M)</f>
        <v>0</v>
      </c>
      <c r="R158" s="38">
        <f>SUMIF(Data!$A:$A,Summary!E158,Data!$M:$M)</f>
        <v>0</v>
      </c>
      <c r="S158" s="38">
        <f>SUMIF(Data!$A:$A,Summary!F158,Data!$M:$M)</f>
        <v>880.84</v>
      </c>
      <c r="T158" s="38">
        <f>SUMIF(Data!$A:$A,Summary!G158,Data!$M:$M)</f>
        <v>0</v>
      </c>
      <c r="U158" s="38">
        <f>SUMIF(Data!$A:$A,Summary!H158,Data!$M:$M)</f>
        <v>0</v>
      </c>
      <c r="V158" s="38">
        <f>SUMIF(Data!$A:$A,Summary!I158,Data!$M:$M)</f>
        <v>0</v>
      </c>
      <c r="W158" s="38">
        <f>SUMIF(Data!$A:$A,Summary!J158,Data!$M:$M)</f>
        <v>0</v>
      </c>
      <c r="X158" s="38">
        <f>SUMIF(Data!$A:$A,Summary!K158,Data!$M:$M)</f>
        <v>0</v>
      </c>
    </row>
    <row r="159" spans="1:24" x14ac:dyDescent="0.55000000000000004">
      <c r="A159" t="str">
        <f t="shared" si="216"/>
        <v>AugustFebruaryHong Kong - Phillips WI</v>
      </c>
      <c r="B159" t="str">
        <f t="shared" si="217"/>
        <v>AugustMarchHong Kong - Phillips WI</v>
      </c>
      <c r="C159" t="str">
        <f t="shared" si="218"/>
        <v>AugustAprilHong Kong - Phillips WI</v>
      </c>
      <c r="D159" t="str">
        <f t="shared" si="219"/>
        <v>AugustMayHong Kong - Phillips WI</v>
      </c>
      <c r="E159" t="str">
        <f t="shared" si="220"/>
        <v>AugustJuneHong Kong - Phillips WI</v>
      </c>
      <c r="F159" t="str">
        <f t="shared" si="221"/>
        <v>AugustJulyHong Kong - Phillips WI</v>
      </c>
      <c r="G159" t="str">
        <f t="shared" si="222"/>
        <v>AugustAugustHong Kong - Phillips WI</v>
      </c>
      <c r="H159" t="str">
        <f t="shared" si="223"/>
        <v>AugustSeptemberHong Kong - Phillips WI</v>
      </c>
      <c r="I159" t="str">
        <f t="shared" si="224"/>
        <v>AugustOctoberHong Kong - Phillips WI</v>
      </c>
      <c r="J159" t="str">
        <f t="shared" si="225"/>
        <v>AugustNovemberHong Kong - Phillips WI</v>
      </c>
      <c r="K159" t="str">
        <f t="shared" si="226"/>
        <v>AugustDecemberHong Kong - Phillips WI</v>
      </c>
      <c r="L159" t="s">
        <v>306</v>
      </c>
      <c r="M159" t="s">
        <v>65</v>
      </c>
      <c r="N159" s="38">
        <f>SUMIF(Data!$A:$A,Summary!A159,Data!$M:$M)</f>
        <v>0</v>
      </c>
      <c r="O159" s="38">
        <f>SUMIF(Data!$A:$A,Summary!B159,Data!$M:$M)</f>
        <v>0</v>
      </c>
      <c r="P159" s="38">
        <f>SUMIF(Data!$A:$A,Summary!C159,Data!$M:$M)</f>
        <v>0</v>
      </c>
      <c r="Q159" s="38">
        <f>SUMIF(Data!$A:$A,Summary!D159,Data!$M:$M)</f>
        <v>0</v>
      </c>
      <c r="R159" s="38">
        <f>SUMIF(Data!$A:$A,Summary!E159,Data!$M:$M)</f>
        <v>0</v>
      </c>
      <c r="S159" s="38">
        <f>SUMIF(Data!$A:$A,Summary!F159,Data!$M:$M)</f>
        <v>4040.51</v>
      </c>
      <c r="T159" s="38">
        <f>SUMIF(Data!$A:$A,Summary!G159,Data!$M:$M)</f>
        <v>0</v>
      </c>
      <c r="U159" s="38">
        <f>SUMIF(Data!$A:$A,Summary!H159,Data!$M:$M)</f>
        <v>0</v>
      </c>
      <c r="V159" s="38">
        <f>SUMIF(Data!$A:$A,Summary!I159,Data!$M:$M)</f>
        <v>0</v>
      </c>
      <c r="W159" s="38">
        <f>SUMIF(Data!$A:$A,Summary!J159,Data!$M:$M)</f>
        <v>0</v>
      </c>
      <c r="X159" s="38">
        <f>SUMIF(Data!$A:$A,Summary!K159,Data!$M:$M)</f>
        <v>0</v>
      </c>
    </row>
    <row r="160" spans="1:24" x14ac:dyDescent="0.55000000000000004">
      <c r="A160" t="str">
        <f t="shared" si="216"/>
        <v>AugustFebruaryPhillips WI - DCL KY</v>
      </c>
      <c r="B160" t="str">
        <f t="shared" si="217"/>
        <v>AugustMarchPhillips WI - DCL KY</v>
      </c>
      <c r="C160" t="str">
        <f t="shared" si="218"/>
        <v>AugustAprilPhillips WI - DCL KY</v>
      </c>
      <c r="D160" t="str">
        <f t="shared" si="219"/>
        <v>AugustMayPhillips WI - DCL KY</v>
      </c>
      <c r="E160" t="str">
        <f t="shared" si="220"/>
        <v>AugustJunePhillips WI - DCL KY</v>
      </c>
      <c r="F160" t="str">
        <f t="shared" si="221"/>
        <v>AugustJulyPhillips WI - DCL KY</v>
      </c>
      <c r="G160" t="str">
        <f t="shared" si="222"/>
        <v>AugustAugustPhillips WI - DCL KY</v>
      </c>
      <c r="H160" t="str">
        <f t="shared" si="223"/>
        <v>AugustSeptemberPhillips WI - DCL KY</v>
      </c>
      <c r="I160" t="str">
        <f t="shared" si="224"/>
        <v>AugustOctoberPhillips WI - DCL KY</v>
      </c>
      <c r="J160" t="str">
        <f t="shared" si="225"/>
        <v>AugustNovemberPhillips WI - DCL KY</v>
      </c>
      <c r="K160" t="str">
        <f t="shared" si="226"/>
        <v>AugustDecemberPhillips WI - DCL KY</v>
      </c>
      <c r="L160" t="s">
        <v>306</v>
      </c>
      <c r="M160" t="s">
        <v>29</v>
      </c>
      <c r="N160" s="38">
        <f>SUMIF(Data!$A:$A,Summary!A160,Data!$M:$M)</f>
        <v>0</v>
      </c>
      <c r="O160" s="38">
        <f>SUMIF(Data!$A:$A,Summary!B160,Data!$M:$M)</f>
        <v>0</v>
      </c>
      <c r="P160" s="38">
        <f>SUMIF(Data!$A:$A,Summary!C160,Data!$M:$M)</f>
        <v>0</v>
      </c>
      <c r="Q160" s="38">
        <f>SUMIF(Data!$A:$A,Summary!D160,Data!$M:$M)</f>
        <v>0</v>
      </c>
      <c r="R160" s="38">
        <f>SUMIF(Data!$A:$A,Summary!E160,Data!$M:$M)</f>
        <v>0</v>
      </c>
      <c r="S160" s="38">
        <f>SUMIF(Data!$A:$A,Summary!F160,Data!$M:$M)</f>
        <v>13168.330000000002</v>
      </c>
      <c r="T160" s="38">
        <f>SUMIF(Data!$A:$A,Summary!G160,Data!$M:$M)</f>
        <v>3762.38</v>
      </c>
      <c r="U160" s="38">
        <f>SUMIF(Data!$A:$A,Summary!H160,Data!$M:$M)</f>
        <v>0</v>
      </c>
      <c r="V160" s="38">
        <f>SUMIF(Data!$A:$A,Summary!I160,Data!$M:$M)</f>
        <v>0</v>
      </c>
      <c r="W160" s="38">
        <f>SUMIF(Data!$A:$A,Summary!J160,Data!$M:$M)</f>
        <v>0</v>
      </c>
      <c r="X160" s="38">
        <f>SUMIF(Data!$A:$A,Summary!K160,Data!$M:$M)</f>
        <v>0</v>
      </c>
    </row>
    <row r="161" spans="1:24" x14ac:dyDescent="0.55000000000000004">
      <c r="A161" t="str">
        <f t="shared" si="216"/>
        <v>AugustFebruarySan Francisco - Canada</v>
      </c>
      <c r="B161" t="str">
        <f t="shared" si="217"/>
        <v>AugustMarchSan Francisco - Canada</v>
      </c>
      <c r="C161" t="str">
        <f t="shared" si="218"/>
        <v>AugustAprilSan Francisco - Canada</v>
      </c>
      <c r="D161" t="str">
        <f t="shared" si="219"/>
        <v>AugustMaySan Francisco - Canada</v>
      </c>
      <c r="E161" t="str">
        <f t="shared" si="220"/>
        <v>AugustJuneSan Francisco - Canada</v>
      </c>
      <c r="F161" t="str">
        <f t="shared" si="221"/>
        <v>AugustJulySan Francisco - Canada</v>
      </c>
      <c r="G161" t="str">
        <f t="shared" si="222"/>
        <v>AugustAugustSan Francisco - Canada</v>
      </c>
      <c r="H161" t="str">
        <f t="shared" si="223"/>
        <v>AugustSeptemberSan Francisco - Canada</v>
      </c>
      <c r="I161" t="str">
        <f t="shared" si="224"/>
        <v>AugustOctoberSan Francisco - Canada</v>
      </c>
      <c r="J161" t="str">
        <f t="shared" si="225"/>
        <v>AugustNovemberSan Francisco - Canada</v>
      </c>
      <c r="K161" t="str">
        <f t="shared" si="226"/>
        <v>AugustDecemberSan Francisco - Canada</v>
      </c>
      <c r="L161" t="s">
        <v>306</v>
      </c>
      <c r="M161" t="s">
        <v>435</v>
      </c>
      <c r="N161" s="38">
        <f>SUMIF(Data!$A:$A,Summary!A161,Data!$M:$M)</f>
        <v>0</v>
      </c>
      <c r="O161" s="38">
        <f>SUMIF(Data!$A:$A,Summary!B161,Data!$M:$M)</f>
        <v>0</v>
      </c>
      <c r="P161" s="38">
        <f>SUMIF(Data!$A:$A,Summary!C161,Data!$M:$M)</f>
        <v>0</v>
      </c>
      <c r="Q161" s="38">
        <f>SUMIF(Data!$A:$A,Summary!D161,Data!$M:$M)</f>
        <v>0</v>
      </c>
      <c r="R161" s="38">
        <f>SUMIF(Data!$A:$A,Summary!E161,Data!$M:$M)</f>
        <v>0</v>
      </c>
      <c r="S161" s="38">
        <f>SUMIF(Data!$A:$A,Summary!F161,Data!$M:$M)</f>
        <v>0</v>
      </c>
      <c r="T161" s="38">
        <f>SUMIF(Data!$A:$A,Summary!G161,Data!$M:$M)</f>
        <v>0</v>
      </c>
      <c r="U161" s="38">
        <f>SUMIF(Data!$A:$A,Summary!H161,Data!$M:$M)</f>
        <v>0</v>
      </c>
      <c r="V161" s="38">
        <f>SUMIF(Data!$A:$A,Summary!I161,Data!$M:$M)</f>
        <v>0</v>
      </c>
      <c r="W161" s="38">
        <f>SUMIF(Data!$A:$A,Summary!J161,Data!$M:$M)</f>
        <v>0</v>
      </c>
      <c r="X161" s="38">
        <f>SUMIF(Data!$A:$A,Summary!K161,Data!$M:$M)</f>
        <v>0</v>
      </c>
    </row>
    <row r="162" spans="1:24" x14ac:dyDescent="0.55000000000000004">
      <c r="A162" t="str">
        <f t="shared" si="216"/>
        <v>AugustFebruaryShanghai - DCL KY</v>
      </c>
      <c r="B162" t="str">
        <f t="shared" si="217"/>
        <v>AugustMarchShanghai - DCL KY</v>
      </c>
      <c r="C162" t="str">
        <f t="shared" si="218"/>
        <v>AugustAprilShanghai - DCL KY</v>
      </c>
      <c r="D162" t="str">
        <f t="shared" si="219"/>
        <v>AugustMayShanghai - DCL KY</v>
      </c>
      <c r="E162" t="str">
        <f t="shared" si="220"/>
        <v>AugustJuneShanghai - DCL KY</v>
      </c>
      <c r="F162" t="str">
        <f t="shared" si="221"/>
        <v>AugustJulyShanghai - DCL KY</v>
      </c>
      <c r="G162" t="str">
        <f t="shared" si="222"/>
        <v>AugustAugustShanghai - DCL KY</v>
      </c>
      <c r="H162" t="str">
        <f t="shared" si="223"/>
        <v>AugustSeptemberShanghai - DCL KY</v>
      </c>
      <c r="I162" t="str">
        <f t="shared" si="224"/>
        <v>AugustOctoberShanghai - DCL KY</v>
      </c>
      <c r="J162" t="str">
        <f t="shared" si="225"/>
        <v>AugustNovemberShanghai - DCL KY</v>
      </c>
      <c r="K162" t="str">
        <f t="shared" si="226"/>
        <v>AugustDecemberShanghai - DCL KY</v>
      </c>
      <c r="L162" t="s">
        <v>306</v>
      </c>
      <c r="M162" t="s">
        <v>44</v>
      </c>
      <c r="N162" s="38">
        <f>SUMIF(Data!$A:$A,Summary!A162,Data!$M:$M)</f>
        <v>0</v>
      </c>
      <c r="O162" s="38">
        <f>SUMIF(Data!$A:$A,Summary!B162,Data!$M:$M)</f>
        <v>0</v>
      </c>
      <c r="P162" s="38">
        <f>SUMIF(Data!$A:$A,Summary!C162,Data!$M:$M)</f>
        <v>0</v>
      </c>
      <c r="Q162" s="38">
        <f>SUMIF(Data!$A:$A,Summary!D162,Data!$M:$M)</f>
        <v>0</v>
      </c>
      <c r="R162" s="38">
        <f>SUMIF(Data!$A:$A,Summary!E162,Data!$M:$M)</f>
        <v>0</v>
      </c>
      <c r="S162" s="38">
        <f>SUMIF(Data!$A:$A,Summary!F162,Data!$M:$M)</f>
        <v>0</v>
      </c>
      <c r="T162" s="38">
        <f>SUMIF(Data!$A:$A,Summary!G162,Data!$M:$M)</f>
        <v>0</v>
      </c>
      <c r="U162" s="38">
        <f>SUMIF(Data!$A:$A,Summary!H162,Data!$M:$M)</f>
        <v>0</v>
      </c>
      <c r="V162" s="38">
        <f>SUMIF(Data!$A:$A,Summary!I162,Data!$M:$M)</f>
        <v>0</v>
      </c>
      <c r="W162" s="38">
        <f>SUMIF(Data!$A:$A,Summary!J162,Data!$M:$M)</f>
        <v>0</v>
      </c>
      <c r="X162" s="38">
        <f>SUMIF(Data!$A:$A,Summary!K162,Data!$M:$M)</f>
        <v>0</v>
      </c>
    </row>
    <row r="163" spans="1:24" x14ac:dyDescent="0.55000000000000004">
      <c r="A163" t="str">
        <f t="shared" si="216"/>
        <v>AugustFebruaryShanghai - DECI NC</v>
      </c>
      <c r="B163" t="str">
        <f t="shared" si="217"/>
        <v>AugustMarchShanghai - DECI NC</v>
      </c>
      <c r="C163" t="str">
        <f t="shared" si="218"/>
        <v>AugustAprilShanghai - DECI NC</v>
      </c>
      <c r="D163" t="str">
        <f t="shared" si="219"/>
        <v>AugustMayShanghai - DECI NC</v>
      </c>
      <c r="E163" t="str">
        <f t="shared" si="220"/>
        <v>AugustJuneShanghai - DECI NC</v>
      </c>
      <c r="F163" t="str">
        <f t="shared" si="221"/>
        <v>AugustJulyShanghai - DECI NC</v>
      </c>
      <c r="G163" t="str">
        <f t="shared" si="222"/>
        <v>AugustAugustShanghai - DECI NC</v>
      </c>
      <c r="H163" t="str">
        <f t="shared" si="223"/>
        <v>AugustSeptemberShanghai - DECI NC</v>
      </c>
      <c r="I163" t="str">
        <f t="shared" si="224"/>
        <v>AugustOctoberShanghai - DECI NC</v>
      </c>
      <c r="J163" t="str">
        <f t="shared" si="225"/>
        <v>AugustNovemberShanghai - DECI NC</v>
      </c>
      <c r="K163" t="str">
        <f t="shared" si="226"/>
        <v>AugustDecemberShanghai - DECI NC</v>
      </c>
      <c r="L163" t="s">
        <v>306</v>
      </c>
      <c r="M163" t="s">
        <v>50</v>
      </c>
      <c r="N163" s="38">
        <f>SUMIF(Data!$A:$A,Summary!A163,Data!$M:$M)</f>
        <v>0</v>
      </c>
      <c r="O163" s="38">
        <f>SUMIF(Data!$A:$A,Summary!B163,Data!$M:$M)</f>
        <v>0</v>
      </c>
      <c r="P163" s="38">
        <f>SUMIF(Data!$A:$A,Summary!C163,Data!$M:$M)</f>
        <v>0</v>
      </c>
      <c r="Q163" s="38">
        <f>SUMIF(Data!$A:$A,Summary!D163,Data!$M:$M)</f>
        <v>0</v>
      </c>
      <c r="R163" s="38">
        <f>SUMIF(Data!$A:$A,Summary!E163,Data!$M:$M)</f>
        <v>0</v>
      </c>
      <c r="S163" s="38">
        <f>SUMIF(Data!$A:$A,Summary!F163,Data!$M:$M)</f>
        <v>0</v>
      </c>
      <c r="T163" s="38">
        <f>SUMIF(Data!$A:$A,Summary!G163,Data!$M:$M)</f>
        <v>0</v>
      </c>
      <c r="U163" s="38">
        <f>SUMIF(Data!$A:$A,Summary!H163,Data!$M:$M)</f>
        <v>0</v>
      </c>
      <c r="V163" s="38">
        <f>SUMIF(Data!$A:$A,Summary!I163,Data!$M:$M)</f>
        <v>0</v>
      </c>
      <c r="W163" s="38">
        <f>SUMIF(Data!$A:$A,Summary!J163,Data!$M:$M)</f>
        <v>0</v>
      </c>
      <c r="X163" s="38">
        <f>SUMIF(Data!$A:$A,Summary!K163,Data!$M:$M)</f>
        <v>0</v>
      </c>
    </row>
    <row r="164" spans="1:24" x14ac:dyDescent="0.55000000000000004">
      <c r="A164" t="str">
        <f t="shared" si="216"/>
        <v>AugustFebruaryTaiwan - DCL KY</v>
      </c>
      <c r="B164" t="str">
        <f t="shared" si="217"/>
        <v>AugustMarchTaiwan - DCL KY</v>
      </c>
      <c r="C164" t="str">
        <f t="shared" si="218"/>
        <v>AugustAprilTaiwan - DCL KY</v>
      </c>
      <c r="D164" t="str">
        <f t="shared" si="219"/>
        <v>AugustMayTaiwan - DCL KY</v>
      </c>
      <c r="E164" t="str">
        <f t="shared" si="220"/>
        <v>AugustJuneTaiwan - DCL KY</v>
      </c>
      <c r="F164" t="str">
        <f t="shared" si="221"/>
        <v>AugustJulyTaiwan - DCL KY</v>
      </c>
      <c r="G164" t="str">
        <f t="shared" si="222"/>
        <v>AugustAugustTaiwan - DCL KY</v>
      </c>
      <c r="H164" t="str">
        <f t="shared" si="223"/>
        <v>AugustSeptemberTaiwan - DCL KY</v>
      </c>
      <c r="I164" t="str">
        <f t="shared" si="224"/>
        <v>AugustOctoberTaiwan - DCL KY</v>
      </c>
      <c r="J164" t="str">
        <f t="shared" si="225"/>
        <v>AugustNovemberTaiwan - DCL KY</v>
      </c>
      <c r="K164" t="str">
        <f>$L164&amp;X$1&amp;$M164</f>
        <v>AugustDecemberTaiwan - DCL KY</v>
      </c>
      <c r="L164" t="s">
        <v>306</v>
      </c>
      <c r="M164" t="s">
        <v>128</v>
      </c>
      <c r="N164" s="38">
        <f>SUMIF(Data!$A:$A,Summary!A164,Data!$M:$M)</f>
        <v>0</v>
      </c>
      <c r="O164" s="38">
        <f>SUMIF(Data!$A:$A,Summary!B164,Data!$M:$M)</f>
        <v>0</v>
      </c>
      <c r="P164" s="38">
        <f>SUMIF(Data!$A:$A,Summary!C164,Data!$M:$M)</f>
        <v>0</v>
      </c>
      <c r="Q164" s="38">
        <f>SUMIF(Data!$A:$A,Summary!D164,Data!$M:$M)</f>
        <v>0</v>
      </c>
      <c r="R164" s="38">
        <f>SUMIF(Data!$A:$A,Summary!E164,Data!$M:$M)</f>
        <v>0</v>
      </c>
      <c r="S164" s="38">
        <f>SUMIF(Data!$A:$A,Summary!F164,Data!$M:$M)</f>
        <v>0</v>
      </c>
      <c r="T164" s="38">
        <f>SUMIF(Data!$A:$A,Summary!G164,Data!$M:$M)</f>
        <v>0</v>
      </c>
      <c r="U164" s="38">
        <f>SUMIF(Data!$A:$A,Summary!H164,Data!$M:$M)</f>
        <v>0</v>
      </c>
      <c r="V164" s="38">
        <f>SUMIF(Data!$A:$A,Summary!I164,Data!$M:$M)</f>
        <v>0</v>
      </c>
      <c r="W164" s="38">
        <f>SUMIF(Data!$A:$A,Summary!J164,Data!$M:$M)</f>
        <v>0</v>
      </c>
      <c r="X164" s="38">
        <f>SUMIF(Data!$A:$A,Summary!K164,Data!$M:$M)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AE23-1C6A-48F6-90EC-123ADC950B44}">
  <dimension ref="A1:W1267"/>
  <sheetViews>
    <sheetView topLeftCell="O1" workbookViewId="0">
      <pane ySplit="1" topLeftCell="A532" activePane="bottomLeft" state="frozen"/>
      <selection pane="bottomLeft" activeCell="W549" sqref="W549"/>
    </sheetView>
  </sheetViews>
  <sheetFormatPr defaultRowHeight="14.4" x14ac:dyDescent="0.55000000000000004"/>
  <cols>
    <col min="2" max="2" width="11.89453125" bestFit="1" customWidth="1"/>
    <col min="5" max="5" width="9.3671875" bestFit="1" customWidth="1"/>
    <col min="7" max="7" width="47.578125" customWidth="1"/>
    <col min="11" max="11" width="9.734375" bestFit="1" customWidth="1"/>
    <col min="13" max="13" width="9.62890625" bestFit="1" customWidth="1"/>
    <col min="15" max="15" width="52.5234375" bestFit="1" customWidth="1"/>
    <col min="16" max="16" width="22.3671875" bestFit="1" customWidth="1"/>
    <col min="24" max="24" width="22.3671875" bestFit="1" customWidth="1"/>
    <col min="26" max="26" width="18.9453125" bestFit="1" customWidth="1"/>
  </cols>
  <sheetData>
    <row r="1" spans="1:23" x14ac:dyDescent="0.55000000000000004">
      <c r="A1" s="1" t="s">
        <v>642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0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3" x14ac:dyDescent="0.55000000000000004">
      <c r="A2" t="str">
        <f>U2&amp;W2&amp;P2</f>
        <v>MarchMarchGreensboro NC - Phillips WI</v>
      </c>
      <c r="B2" s="3" t="s">
        <v>20</v>
      </c>
      <c r="C2" s="4" t="s">
        <v>150</v>
      </c>
      <c r="D2" s="4" t="s">
        <v>151</v>
      </c>
      <c r="E2" s="5">
        <v>43164</v>
      </c>
      <c r="F2" s="4" t="s">
        <v>23</v>
      </c>
      <c r="G2" s="4" t="s">
        <v>152</v>
      </c>
      <c r="H2" s="4" t="s">
        <v>153</v>
      </c>
      <c r="I2" s="4" t="s">
        <v>154</v>
      </c>
      <c r="J2" s="4" t="s">
        <v>27</v>
      </c>
      <c r="K2" s="6">
        <v>1700</v>
      </c>
      <c r="L2" s="6">
        <v>0</v>
      </c>
      <c r="M2" s="6">
        <v>1700</v>
      </c>
      <c r="N2" s="4"/>
      <c r="O2" s="8" t="s">
        <v>152</v>
      </c>
      <c r="P2" s="8" t="s">
        <v>155</v>
      </c>
      <c r="Q2" s="10" t="s">
        <v>156</v>
      </c>
      <c r="R2" s="9">
        <v>43160</v>
      </c>
      <c r="S2" s="9">
        <v>43160</v>
      </c>
      <c r="T2" s="8">
        <v>3</v>
      </c>
      <c r="U2" s="8" t="str">
        <f>IF(T2=6,"June",IF(T2=5,"May",IF(T2=4,"April",IF(T2=3,"March",0))))</f>
        <v>March</v>
      </c>
      <c r="V2">
        <f>MONTH(S2)</f>
        <v>3</v>
      </c>
      <c r="W2" s="8" t="str">
        <f>IF(V2=6,"June",IF(V2=5,"May",IF(V2=4,"April",IF(V2=3,"March",IF(V2=7,"July",IF(V2=2,"February",0))))))</f>
        <v>March</v>
      </c>
    </row>
    <row r="3" spans="1:23" x14ac:dyDescent="0.55000000000000004">
      <c r="A3" t="str">
        <f t="shared" ref="A3:A66" si="0">U3&amp;W3&amp;P3</f>
        <v>MarchMarchGreensboro NC - Phillips WI</v>
      </c>
      <c r="B3" s="3" t="s">
        <v>20</v>
      </c>
      <c r="C3" s="4" t="s">
        <v>150</v>
      </c>
      <c r="D3" s="4" t="s">
        <v>157</v>
      </c>
      <c r="E3" s="5">
        <v>43186</v>
      </c>
      <c r="F3" s="4" t="s">
        <v>23</v>
      </c>
      <c r="G3" s="4" t="s">
        <v>158</v>
      </c>
      <c r="H3" s="11">
        <v>1010838</v>
      </c>
      <c r="I3" s="4" t="s">
        <v>154</v>
      </c>
      <c r="J3" s="4" t="s">
        <v>27</v>
      </c>
      <c r="K3" s="6">
        <v>1422.8</v>
      </c>
      <c r="L3" s="6">
        <v>0</v>
      </c>
      <c r="M3" s="6">
        <v>1422.8</v>
      </c>
      <c r="N3" s="4"/>
      <c r="O3" s="8" t="s">
        <v>152</v>
      </c>
      <c r="P3" s="8" t="s">
        <v>155</v>
      </c>
      <c r="Q3" s="12" t="s">
        <v>159</v>
      </c>
      <c r="R3" s="9">
        <v>43160</v>
      </c>
      <c r="S3" s="9">
        <v>43160</v>
      </c>
      <c r="T3" s="8">
        <v>3</v>
      </c>
      <c r="U3" s="8" t="str">
        <f t="shared" ref="U3:U33" si="1">IF(T3=6,"June",IF(T3=5,"May",IF(T3=4,"April",IF(T3=3,"March",0))))</f>
        <v>March</v>
      </c>
      <c r="V3">
        <f t="shared" ref="V3:V66" si="2">MONTH(S3)</f>
        <v>3</v>
      </c>
      <c r="W3" s="8" t="str">
        <f t="shared" ref="W3:W66" si="3">IF(V3=6,"June",IF(V3=5,"May",IF(V3=4,"April",IF(V3=3,"March",IF(V3=7,"July",IF(V3=2,"February",0))))))</f>
        <v>March</v>
      </c>
    </row>
    <row r="4" spans="1:23" x14ac:dyDescent="0.55000000000000004">
      <c r="A4" t="str">
        <f t="shared" si="0"/>
        <v>MarchFebruaryHong Kong - AFG NC</v>
      </c>
      <c r="B4" s="3" t="s">
        <v>20</v>
      </c>
      <c r="C4" s="26" t="s">
        <v>150</v>
      </c>
      <c r="D4" s="26" t="s">
        <v>331</v>
      </c>
      <c r="E4" s="27">
        <v>43160</v>
      </c>
      <c r="F4" s="26" t="s">
        <v>332</v>
      </c>
      <c r="G4" s="26" t="s">
        <v>20</v>
      </c>
      <c r="H4" s="26" t="s">
        <v>333</v>
      </c>
      <c r="I4" s="26" t="s">
        <v>154</v>
      </c>
      <c r="J4" s="26" t="s">
        <v>27</v>
      </c>
      <c r="K4" s="28">
        <v>72</v>
      </c>
      <c r="L4" s="28">
        <v>0</v>
      </c>
      <c r="M4" s="28">
        <v>72</v>
      </c>
      <c r="N4" s="26"/>
      <c r="O4" s="8" t="s">
        <v>20</v>
      </c>
      <c r="P4" s="8" t="s">
        <v>334</v>
      </c>
      <c r="Q4" s="8" t="s">
        <v>335</v>
      </c>
      <c r="R4" s="9">
        <v>43132</v>
      </c>
      <c r="S4" s="9">
        <v>43132</v>
      </c>
      <c r="T4" s="8">
        <v>3</v>
      </c>
      <c r="U4" s="8" t="str">
        <f t="shared" si="1"/>
        <v>March</v>
      </c>
      <c r="V4">
        <f t="shared" si="2"/>
        <v>2</v>
      </c>
      <c r="W4" s="8" t="str">
        <f t="shared" si="3"/>
        <v>February</v>
      </c>
    </row>
    <row r="5" spans="1:23" x14ac:dyDescent="0.55000000000000004">
      <c r="A5" t="str">
        <f t="shared" si="0"/>
        <v>MarchMarchHong Kong - DCL KY</v>
      </c>
      <c r="B5" s="3" t="s">
        <v>20</v>
      </c>
      <c r="C5" s="26" t="s">
        <v>150</v>
      </c>
      <c r="D5" s="26" t="s">
        <v>336</v>
      </c>
      <c r="E5" s="27">
        <v>43161</v>
      </c>
      <c r="F5" s="26" t="s">
        <v>332</v>
      </c>
      <c r="G5" s="26" t="s">
        <v>161</v>
      </c>
      <c r="H5" s="26" t="s">
        <v>337</v>
      </c>
      <c r="I5" s="26" t="s">
        <v>154</v>
      </c>
      <c r="J5" s="26" t="s">
        <v>27</v>
      </c>
      <c r="K5" s="28">
        <v>48</v>
      </c>
      <c r="L5" s="28">
        <v>0</v>
      </c>
      <c r="M5" s="28">
        <v>48</v>
      </c>
      <c r="N5" s="26"/>
      <c r="O5" s="8" t="s">
        <v>161</v>
      </c>
      <c r="P5" s="8" t="s">
        <v>39</v>
      </c>
      <c r="Q5" s="8" t="s">
        <v>338</v>
      </c>
      <c r="R5" s="9">
        <v>43160</v>
      </c>
      <c r="S5" s="9">
        <v>43160</v>
      </c>
      <c r="T5" s="8">
        <v>3</v>
      </c>
      <c r="U5" s="8" t="str">
        <f t="shared" si="1"/>
        <v>March</v>
      </c>
      <c r="V5">
        <f t="shared" si="2"/>
        <v>3</v>
      </c>
      <c r="W5" s="8" t="str">
        <f t="shared" si="3"/>
        <v>March</v>
      </c>
    </row>
    <row r="6" spans="1:23" x14ac:dyDescent="0.55000000000000004">
      <c r="A6" t="str">
        <f t="shared" si="0"/>
        <v>MarchMarchHong Kong - DCL KY</v>
      </c>
      <c r="B6" s="3" t="s">
        <v>20</v>
      </c>
      <c r="C6" s="26" t="s">
        <v>150</v>
      </c>
      <c r="D6" s="26" t="s">
        <v>339</v>
      </c>
      <c r="E6" s="27">
        <v>43168</v>
      </c>
      <c r="F6" s="26" t="s">
        <v>332</v>
      </c>
      <c r="G6" s="26" t="s">
        <v>186</v>
      </c>
      <c r="H6" s="26" t="s">
        <v>340</v>
      </c>
      <c r="I6" s="26" t="s">
        <v>154</v>
      </c>
      <c r="J6" s="26" t="s">
        <v>27</v>
      </c>
      <c r="K6" s="28">
        <v>741.66</v>
      </c>
      <c r="L6" s="28">
        <v>0</v>
      </c>
      <c r="M6" s="28">
        <v>741.66</v>
      </c>
      <c r="N6" s="26"/>
      <c r="O6" s="8" t="s">
        <v>186</v>
      </c>
      <c r="P6" s="8" t="s">
        <v>39</v>
      </c>
      <c r="Q6" s="8"/>
      <c r="R6" s="9">
        <v>43160</v>
      </c>
      <c r="S6" s="9">
        <v>43160</v>
      </c>
      <c r="T6" s="8">
        <v>3</v>
      </c>
      <c r="U6" s="8" t="str">
        <f t="shared" si="1"/>
        <v>March</v>
      </c>
      <c r="V6">
        <f t="shared" si="2"/>
        <v>3</v>
      </c>
      <c r="W6" s="8" t="str">
        <f t="shared" si="3"/>
        <v>March</v>
      </c>
    </row>
    <row r="7" spans="1:23" x14ac:dyDescent="0.55000000000000004">
      <c r="A7" t="str">
        <f t="shared" si="0"/>
        <v>MarchMarchHong Kong - DCL KY</v>
      </c>
      <c r="B7" s="3" t="s">
        <v>20</v>
      </c>
      <c r="C7" s="26" t="s">
        <v>150</v>
      </c>
      <c r="D7" s="26" t="s">
        <v>341</v>
      </c>
      <c r="E7" s="27">
        <v>43168</v>
      </c>
      <c r="F7" s="26" t="s">
        <v>332</v>
      </c>
      <c r="G7" s="26" t="s">
        <v>161</v>
      </c>
      <c r="H7" s="26" t="s">
        <v>342</v>
      </c>
      <c r="I7" s="26" t="s">
        <v>154</v>
      </c>
      <c r="J7" s="26" t="s">
        <v>27</v>
      </c>
      <c r="K7" s="28">
        <v>24</v>
      </c>
      <c r="L7" s="28">
        <v>0</v>
      </c>
      <c r="M7" s="28">
        <v>24</v>
      </c>
      <c r="N7" s="26"/>
      <c r="O7" s="8" t="s">
        <v>161</v>
      </c>
      <c r="P7" s="8" t="s">
        <v>39</v>
      </c>
      <c r="Q7" s="8"/>
      <c r="R7" s="9">
        <v>43160</v>
      </c>
      <c r="S7" s="9">
        <v>43160</v>
      </c>
      <c r="T7" s="8">
        <v>3</v>
      </c>
      <c r="U7" s="8" t="str">
        <f t="shared" si="1"/>
        <v>March</v>
      </c>
      <c r="V7">
        <f t="shared" si="2"/>
        <v>3</v>
      </c>
      <c r="W7" s="8" t="str">
        <f t="shared" si="3"/>
        <v>March</v>
      </c>
    </row>
    <row r="8" spans="1:23" x14ac:dyDescent="0.55000000000000004">
      <c r="A8" t="str">
        <f t="shared" si="0"/>
        <v>MarchMarchAFG NC - DCL KY</v>
      </c>
      <c r="B8" s="3" t="s">
        <v>20</v>
      </c>
      <c r="C8" s="26" t="s">
        <v>150</v>
      </c>
      <c r="D8" s="26" t="s">
        <v>343</v>
      </c>
      <c r="E8" s="27">
        <v>43185</v>
      </c>
      <c r="F8" s="26" t="s">
        <v>332</v>
      </c>
      <c r="G8" s="26" t="s">
        <v>344</v>
      </c>
      <c r="H8" s="26" t="s">
        <v>345</v>
      </c>
      <c r="I8" s="26" t="s">
        <v>154</v>
      </c>
      <c r="J8" s="26" t="s">
        <v>172</v>
      </c>
      <c r="K8" s="28">
        <v>1725</v>
      </c>
      <c r="L8" s="28">
        <v>0</v>
      </c>
      <c r="M8" s="28">
        <v>1725</v>
      </c>
      <c r="N8" s="26"/>
      <c r="O8" s="8" t="s">
        <v>344</v>
      </c>
      <c r="P8" s="8" t="s">
        <v>173</v>
      </c>
      <c r="Q8" s="8"/>
      <c r="R8" s="9">
        <v>43160</v>
      </c>
      <c r="S8" s="9">
        <v>43160</v>
      </c>
      <c r="T8" s="8">
        <v>3</v>
      </c>
      <c r="U8" s="8" t="str">
        <f t="shared" si="1"/>
        <v>March</v>
      </c>
      <c r="V8">
        <f t="shared" si="2"/>
        <v>3</v>
      </c>
      <c r="W8" s="8" t="str">
        <f t="shared" si="3"/>
        <v>March</v>
      </c>
    </row>
    <row r="9" spans="1:23" x14ac:dyDescent="0.55000000000000004">
      <c r="A9" t="str">
        <f t="shared" si="0"/>
        <v>MarchMarchHong Kong - DECI NC</v>
      </c>
      <c r="B9" s="3" t="s">
        <v>20</v>
      </c>
      <c r="C9" s="26" t="s">
        <v>241</v>
      </c>
      <c r="D9" s="26" t="s">
        <v>643</v>
      </c>
      <c r="E9" s="27">
        <v>43189</v>
      </c>
      <c r="F9" s="26" t="s">
        <v>332</v>
      </c>
      <c r="G9" s="26" t="s">
        <v>644</v>
      </c>
      <c r="H9" s="26" t="s">
        <v>645</v>
      </c>
      <c r="I9" s="26" t="s">
        <v>646</v>
      </c>
      <c r="J9" s="26" t="s">
        <v>27</v>
      </c>
      <c r="K9" s="31">
        <v>11426.21</v>
      </c>
      <c r="L9" s="28">
        <v>0</v>
      </c>
      <c r="M9" s="28">
        <v>11426.21</v>
      </c>
      <c r="N9" s="26"/>
      <c r="O9" t="s">
        <v>644</v>
      </c>
      <c r="P9" s="8" t="s">
        <v>92</v>
      </c>
      <c r="Q9" s="8" t="s">
        <v>647</v>
      </c>
      <c r="R9" s="9">
        <v>43160</v>
      </c>
      <c r="S9" s="9">
        <v>43160</v>
      </c>
      <c r="T9" s="8">
        <v>3</v>
      </c>
      <c r="U9" s="8" t="str">
        <f t="shared" si="1"/>
        <v>March</v>
      </c>
      <c r="V9">
        <f t="shared" si="2"/>
        <v>3</v>
      </c>
      <c r="W9" s="8" t="str">
        <f t="shared" si="3"/>
        <v>March</v>
      </c>
    </row>
    <row r="10" spans="1:23" x14ac:dyDescent="0.55000000000000004">
      <c r="A10" t="str">
        <f t="shared" si="0"/>
        <v>MarchMarchHong Kong - DECI NC</v>
      </c>
      <c r="B10" s="3" t="s">
        <v>20</v>
      </c>
      <c r="C10" s="26" t="s">
        <v>241</v>
      </c>
      <c r="D10" s="26" t="s">
        <v>648</v>
      </c>
      <c r="E10" s="27">
        <v>43189</v>
      </c>
      <c r="F10" s="26" t="s">
        <v>332</v>
      </c>
      <c r="G10" s="26" t="s">
        <v>644</v>
      </c>
      <c r="H10" s="26" t="s">
        <v>649</v>
      </c>
      <c r="I10" s="26" t="s">
        <v>646</v>
      </c>
      <c r="J10" s="26" t="s">
        <v>27</v>
      </c>
      <c r="K10" s="31">
        <v>13267.81</v>
      </c>
      <c r="L10" s="28">
        <v>0</v>
      </c>
      <c r="M10" s="28">
        <v>13267.81</v>
      </c>
      <c r="N10" s="26"/>
      <c r="O10" t="s">
        <v>644</v>
      </c>
      <c r="P10" s="8" t="s">
        <v>92</v>
      </c>
      <c r="Q10" s="8"/>
      <c r="R10" s="9">
        <v>43160</v>
      </c>
      <c r="S10" s="9">
        <v>43160</v>
      </c>
      <c r="T10" s="8">
        <v>3</v>
      </c>
      <c r="U10" s="8" t="str">
        <f t="shared" si="1"/>
        <v>March</v>
      </c>
      <c r="V10">
        <f t="shared" si="2"/>
        <v>3</v>
      </c>
      <c r="W10" s="8" t="str">
        <f t="shared" si="3"/>
        <v>March</v>
      </c>
    </row>
    <row r="11" spans="1:23" x14ac:dyDescent="0.55000000000000004">
      <c r="A11" t="str">
        <f t="shared" si="0"/>
        <v>MarchMarchHong Kong - DECI NC</v>
      </c>
      <c r="B11" s="3" t="s">
        <v>20</v>
      </c>
      <c r="C11" s="26" t="s">
        <v>241</v>
      </c>
      <c r="D11" s="26" t="s">
        <v>650</v>
      </c>
      <c r="E11" s="27">
        <v>43189</v>
      </c>
      <c r="F11" s="26" t="s">
        <v>332</v>
      </c>
      <c r="G11" s="26" t="s">
        <v>651</v>
      </c>
      <c r="H11" s="26" t="s">
        <v>652</v>
      </c>
      <c r="I11" s="26" t="s">
        <v>646</v>
      </c>
      <c r="J11" s="26" t="s">
        <v>27</v>
      </c>
      <c r="K11" s="31">
        <v>8290.41</v>
      </c>
      <c r="L11" s="28">
        <v>0</v>
      </c>
      <c r="M11" s="28">
        <v>8290.41</v>
      </c>
      <c r="N11" s="26"/>
      <c r="O11" t="s">
        <v>651</v>
      </c>
      <c r="P11" s="8" t="s">
        <v>92</v>
      </c>
      <c r="Q11" s="8"/>
      <c r="R11" s="9">
        <v>43160</v>
      </c>
      <c r="S11" s="9">
        <v>43160</v>
      </c>
      <c r="T11" s="8">
        <v>3</v>
      </c>
      <c r="U11" s="8" t="str">
        <f t="shared" si="1"/>
        <v>March</v>
      </c>
      <c r="V11">
        <f t="shared" si="2"/>
        <v>3</v>
      </c>
      <c r="W11" s="8" t="str">
        <f t="shared" si="3"/>
        <v>March</v>
      </c>
    </row>
    <row r="12" spans="1:23" x14ac:dyDescent="0.55000000000000004">
      <c r="A12" t="str">
        <f t="shared" si="0"/>
        <v>MarchMarchChina - DCL KY</v>
      </c>
      <c r="B12" s="3" t="s">
        <v>20</v>
      </c>
      <c r="C12" s="26" t="s">
        <v>241</v>
      </c>
      <c r="D12" s="26" t="s">
        <v>653</v>
      </c>
      <c r="E12" s="27">
        <v>43189</v>
      </c>
      <c r="F12" s="26" t="s">
        <v>332</v>
      </c>
      <c r="G12" s="26" t="s">
        <v>654</v>
      </c>
      <c r="H12" s="26" t="s">
        <v>655</v>
      </c>
      <c r="I12" s="26" t="s">
        <v>646</v>
      </c>
      <c r="J12" s="26" t="s">
        <v>27</v>
      </c>
      <c r="K12" s="31">
        <v>30091.58</v>
      </c>
      <c r="L12" s="28">
        <v>0</v>
      </c>
      <c r="M12" s="28">
        <v>30091.58</v>
      </c>
      <c r="N12" s="26"/>
      <c r="O12" t="s">
        <v>654</v>
      </c>
      <c r="P12" s="8" t="s">
        <v>82</v>
      </c>
      <c r="Q12" s="8"/>
      <c r="R12" s="9">
        <v>43160</v>
      </c>
      <c r="S12" s="9">
        <v>43160</v>
      </c>
      <c r="T12" s="8">
        <v>3</v>
      </c>
      <c r="U12" s="8" t="str">
        <f t="shared" si="1"/>
        <v>March</v>
      </c>
      <c r="V12">
        <f t="shared" si="2"/>
        <v>3</v>
      </c>
      <c r="W12" s="8" t="str">
        <f t="shared" si="3"/>
        <v>March</v>
      </c>
    </row>
    <row r="13" spans="1:23" x14ac:dyDescent="0.55000000000000004">
      <c r="A13" t="str">
        <f t="shared" si="0"/>
        <v>MarchMarchHong Kong - DECI NC</v>
      </c>
      <c r="B13" s="3" t="s">
        <v>20</v>
      </c>
      <c r="C13" s="26" t="s">
        <v>241</v>
      </c>
      <c r="D13" s="26" t="s">
        <v>656</v>
      </c>
      <c r="E13" s="27">
        <v>43189</v>
      </c>
      <c r="F13" s="26" t="s">
        <v>332</v>
      </c>
      <c r="G13" s="26" t="s">
        <v>644</v>
      </c>
      <c r="H13" s="26" t="s">
        <v>657</v>
      </c>
      <c r="I13" s="26" t="s">
        <v>646</v>
      </c>
      <c r="J13" s="26" t="s">
        <v>27</v>
      </c>
      <c r="K13" s="31">
        <v>9881.7999999999993</v>
      </c>
      <c r="L13" s="28">
        <v>0</v>
      </c>
      <c r="M13" s="28">
        <v>9881.7999999999993</v>
      </c>
      <c r="N13" s="26"/>
      <c r="O13" t="s">
        <v>644</v>
      </c>
      <c r="P13" s="8" t="s">
        <v>92</v>
      </c>
      <c r="Q13" s="8"/>
      <c r="R13" s="9">
        <v>43160</v>
      </c>
      <c r="S13" s="9">
        <v>43160</v>
      </c>
      <c r="T13" s="8">
        <v>3</v>
      </c>
      <c r="U13" s="8" t="str">
        <f t="shared" si="1"/>
        <v>March</v>
      </c>
      <c r="V13">
        <f t="shared" si="2"/>
        <v>3</v>
      </c>
      <c r="W13" s="8" t="str">
        <f t="shared" si="3"/>
        <v>March</v>
      </c>
    </row>
    <row r="14" spans="1:23" x14ac:dyDescent="0.55000000000000004">
      <c r="A14" t="str">
        <f t="shared" si="0"/>
        <v>MarchMarchHong Kong - DCL KY</v>
      </c>
      <c r="B14" s="3" t="s">
        <v>20</v>
      </c>
      <c r="C14" s="26" t="s">
        <v>241</v>
      </c>
      <c r="D14" s="26" t="s">
        <v>658</v>
      </c>
      <c r="E14" s="27">
        <v>43189</v>
      </c>
      <c r="F14" s="26" t="s">
        <v>332</v>
      </c>
      <c r="G14" s="26" t="s">
        <v>659</v>
      </c>
      <c r="H14" s="26" t="s">
        <v>660</v>
      </c>
      <c r="I14" s="26" t="s">
        <v>646</v>
      </c>
      <c r="J14" s="26" t="s">
        <v>27</v>
      </c>
      <c r="K14" s="31">
        <v>12626.39</v>
      </c>
      <c r="L14" s="28">
        <v>0</v>
      </c>
      <c r="M14" s="28">
        <v>12626.39</v>
      </c>
      <c r="N14" s="26"/>
      <c r="O14" t="s">
        <v>659</v>
      </c>
      <c r="P14" s="8" t="s">
        <v>39</v>
      </c>
      <c r="Q14" s="8"/>
      <c r="R14" s="9">
        <v>43160</v>
      </c>
      <c r="S14" s="9">
        <v>43160</v>
      </c>
      <c r="T14" s="8">
        <v>3</v>
      </c>
      <c r="U14" s="8" t="str">
        <f t="shared" si="1"/>
        <v>March</v>
      </c>
      <c r="V14">
        <f t="shared" si="2"/>
        <v>3</v>
      </c>
      <c r="W14" s="8" t="str">
        <f t="shared" si="3"/>
        <v>March</v>
      </c>
    </row>
    <row r="15" spans="1:23" x14ac:dyDescent="0.55000000000000004">
      <c r="A15" t="str">
        <f t="shared" si="0"/>
        <v>MarchMarchHong Kong - DCL KY</v>
      </c>
      <c r="B15" s="3" t="s">
        <v>20</v>
      </c>
      <c r="C15" s="26" t="s">
        <v>241</v>
      </c>
      <c r="D15" s="26" t="s">
        <v>661</v>
      </c>
      <c r="E15" s="27">
        <v>43189</v>
      </c>
      <c r="F15" s="26" t="s">
        <v>332</v>
      </c>
      <c r="G15" s="26" t="s">
        <v>662</v>
      </c>
      <c r="H15" s="26" t="s">
        <v>663</v>
      </c>
      <c r="I15" s="26" t="s">
        <v>646</v>
      </c>
      <c r="J15" s="26" t="s">
        <v>27</v>
      </c>
      <c r="K15" s="31">
        <v>20178.599999999999</v>
      </c>
      <c r="L15" s="28">
        <v>0</v>
      </c>
      <c r="M15" s="28">
        <v>20178.599999999999</v>
      </c>
      <c r="N15" s="26"/>
      <c r="O15" t="s">
        <v>662</v>
      </c>
      <c r="P15" s="8" t="s">
        <v>39</v>
      </c>
      <c r="Q15" s="8"/>
      <c r="R15" s="9">
        <v>43160</v>
      </c>
      <c r="S15" s="9">
        <v>43160</v>
      </c>
      <c r="T15" s="8">
        <v>3</v>
      </c>
      <c r="U15" s="8" t="str">
        <f t="shared" si="1"/>
        <v>March</v>
      </c>
      <c r="V15">
        <f t="shared" si="2"/>
        <v>3</v>
      </c>
      <c r="W15" s="8" t="str">
        <f t="shared" si="3"/>
        <v>March</v>
      </c>
    </row>
    <row r="16" spans="1:23" x14ac:dyDescent="0.55000000000000004">
      <c r="A16" t="str">
        <f t="shared" si="0"/>
        <v>MarchMarchChina - DCL KY</v>
      </c>
      <c r="B16" s="3" t="s">
        <v>20</v>
      </c>
      <c r="C16" s="26" t="s">
        <v>241</v>
      </c>
      <c r="D16" s="26" t="s">
        <v>664</v>
      </c>
      <c r="E16" s="27">
        <v>43189</v>
      </c>
      <c r="F16" s="26" t="s">
        <v>332</v>
      </c>
      <c r="G16" s="26" t="s">
        <v>665</v>
      </c>
      <c r="H16" s="26" t="s">
        <v>666</v>
      </c>
      <c r="I16" s="26" t="s">
        <v>646</v>
      </c>
      <c r="J16" s="26" t="s">
        <v>27</v>
      </c>
      <c r="K16" s="31">
        <v>566.25</v>
      </c>
      <c r="L16" s="28">
        <v>0</v>
      </c>
      <c r="M16" s="28">
        <v>566.25</v>
      </c>
      <c r="N16" s="26"/>
      <c r="O16" t="s">
        <v>665</v>
      </c>
      <c r="P16" s="8" t="s">
        <v>82</v>
      </c>
      <c r="Q16" s="8"/>
      <c r="R16" s="9">
        <v>43160</v>
      </c>
      <c r="S16" s="9">
        <v>43160</v>
      </c>
      <c r="T16" s="8">
        <v>3</v>
      </c>
      <c r="U16" s="8" t="str">
        <f t="shared" si="1"/>
        <v>March</v>
      </c>
      <c r="V16">
        <f t="shared" si="2"/>
        <v>3</v>
      </c>
      <c r="W16" s="8" t="str">
        <f t="shared" si="3"/>
        <v>March</v>
      </c>
    </row>
    <row r="17" spans="1:23" x14ac:dyDescent="0.55000000000000004">
      <c r="A17" t="str">
        <f t="shared" si="0"/>
        <v>MarchMarchHong Kong - DCL KY</v>
      </c>
      <c r="B17" s="3" t="s">
        <v>20</v>
      </c>
      <c r="C17" s="26" t="s">
        <v>241</v>
      </c>
      <c r="D17" s="26" t="s">
        <v>667</v>
      </c>
      <c r="E17" s="27">
        <v>43189</v>
      </c>
      <c r="F17" s="26" t="s">
        <v>332</v>
      </c>
      <c r="G17" s="26" t="s">
        <v>659</v>
      </c>
      <c r="H17" s="26" t="s">
        <v>668</v>
      </c>
      <c r="I17" s="26" t="s">
        <v>646</v>
      </c>
      <c r="J17" s="26" t="s">
        <v>27</v>
      </c>
      <c r="K17" s="31">
        <v>22131.759999999998</v>
      </c>
      <c r="L17" s="28">
        <v>0</v>
      </c>
      <c r="M17" s="28">
        <v>22131.759999999998</v>
      </c>
      <c r="N17" s="26"/>
      <c r="O17" t="s">
        <v>659</v>
      </c>
      <c r="P17" s="8" t="s">
        <v>39</v>
      </c>
      <c r="Q17" s="8"/>
      <c r="R17" s="9">
        <v>43160</v>
      </c>
      <c r="S17" s="9">
        <v>43160</v>
      </c>
      <c r="T17" s="8">
        <v>3</v>
      </c>
      <c r="U17" s="8" t="str">
        <f t="shared" si="1"/>
        <v>March</v>
      </c>
      <c r="V17">
        <f t="shared" si="2"/>
        <v>3</v>
      </c>
      <c r="W17" s="8" t="str">
        <f t="shared" si="3"/>
        <v>March</v>
      </c>
    </row>
    <row r="18" spans="1:23" x14ac:dyDescent="0.55000000000000004">
      <c r="A18" t="str">
        <f t="shared" si="0"/>
        <v>MarchMarchChina - DCL KY</v>
      </c>
      <c r="B18" s="3" t="s">
        <v>20</v>
      </c>
      <c r="C18" s="26" t="s">
        <v>241</v>
      </c>
      <c r="D18" s="26" t="s">
        <v>669</v>
      </c>
      <c r="E18" s="27">
        <v>43189</v>
      </c>
      <c r="F18" s="26" t="s">
        <v>332</v>
      </c>
      <c r="G18" s="26" t="s">
        <v>665</v>
      </c>
      <c r="H18" s="26" t="s">
        <v>670</v>
      </c>
      <c r="I18" s="26" t="s">
        <v>646</v>
      </c>
      <c r="J18" s="26" t="s">
        <v>27</v>
      </c>
      <c r="K18" s="31">
        <v>29986.6</v>
      </c>
      <c r="L18" s="28">
        <v>0</v>
      </c>
      <c r="M18" s="28">
        <v>29986.6</v>
      </c>
      <c r="N18" s="26"/>
      <c r="O18" t="s">
        <v>665</v>
      </c>
      <c r="P18" s="8" t="s">
        <v>82</v>
      </c>
      <c r="Q18" s="8"/>
      <c r="R18" s="9">
        <v>43160</v>
      </c>
      <c r="S18" s="9">
        <v>43160</v>
      </c>
      <c r="T18" s="8">
        <v>3</v>
      </c>
      <c r="U18" s="8" t="str">
        <f t="shared" si="1"/>
        <v>March</v>
      </c>
      <c r="V18">
        <f t="shared" si="2"/>
        <v>3</v>
      </c>
      <c r="W18" s="8" t="str">
        <f t="shared" si="3"/>
        <v>March</v>
      </c>
    </row>
    <row r="19" spans="1:23" x14ac:dyDescent="0.55000000000000004">
      <c r="A19" t="str">
        <f t="shared" si="0"/>
        <v>MarchMarchChina - DCL KY</v>
      </c>
      <c r="B19" s="3" t="s">
        <v>20</v>
      </c>
      <c r="C19" s="26" t="s">
        <v>241</v>
      </c>
      <c r="D19" s="26" t="s">
        <v>671</v>
      </c>
      <c r="E19" s="27">
        <v>43189</v>
      </c>
      <c r="F19" s="26" t="s">
        <v>332</v>
      </c>
      <c r="G19" s="26" t="s">
        <v>654</v>
      </c>
      <c r="H19" s="26" t="s">
        <v>672</v>
      </c>
      <c r="I19" s="26" t="s">
        <v>646</v>
      </c>
      <c r="J19" s="26" t="s">
        <v>27</v>
      </c>
      <c r="K19" s="31">
        <v>570.29999999999995</v>
      </c>
      <c r="L19" s="28">
        <v>0</v>
      </c>
      <c r="M19" s="28">
        <v>570.29999999999995</v>
      </c>
      <c r="N19" s="26"/>
      <c r="O19" t="s">
        <v>654</v>
      </c>
      <c r="P19" s="8" t="s">
        <v>82</v>
      </c>
      <c r="Q19" s="8"/>
      <c r="R19" s="9">
        <v>43160</v>
      </c>
      <c r="S19" s="9">
        <v>43160</v>
      </c>
      <c r="T19" s="8">
        <v>3</v>
      </c>
      <c r="U19" s="8" t="str">
        <f t="shared" si="1"/>
        <v>March</v>
      </c>
      <c r="V19">
        <f t="shared" si="2"/>
        <v>3</v>
      </c>
      <c r="W19" s="8" t="str">
        <f t="shared" si="3"/>
        <v>March</v>
      </c>
    </row>
    <row r="20" spans="1:23" x14ac:dyDescent="0.55000000000000004">
      <c r="A20" t="str">
        <f t="shared" si="0"/>
        <v>MarchMarchHong Kong - DECI NC</v>
      </c>
      <c r="B20" s="3" t="s">
        <v>20</v>
      </c>
      <c r="C20" s="26" t="s">
        <v>241</v>
      </c>
      <c r="D20" s="26" t="s">
        <v>673</v>
      </c>
      <c r="E20" s="27">
        <v>43189</v>
      </c>
      <c r="F20" s="26" t="s">
        <v>332</v>
      </c>
      <c r="G20" s="26" t="s">
        <v>674</v>
      </c>
      <c r="H20" s="26" t="s">
        <v>675</v>
      </c>
      <c r="I20" s="26" t="s">
        <v>646</v>
      </c>
      <c r="J20" s="26" t="s">
        <v>27</v>
      </c>
      <c r="K20" s="31">
        <v>5275.15</v>
      </c>
      <c r="L20" s="28">
        <v>0</v>
      </c>
      <c r="M20" s="28">
        <v>5275.15</v>
      </c>
      <c r="N20" s="26"/>
      <c r="O20" t="s">
        <v>674</v>
      </c>
      <c r="P20" s="8" t="s">
        <v>92</v>
      </c>
      <c r="Q20" s="8"/>
      <c r="R20" s="9">
        <v>43160</v>
      </c>
      <c r="S20" s="9">
        <v>43160</v>
      </c>
      <c r="T20" s="8">
        <v>3</v>
      </c>
      <c r="U20" s="8" t="str">
        <f t="shared" si="1"/>
        <v>March</v>
      </c>
      <c r="V20">
        <f t="shared" si="2"/>
        <v>3</v>
      </c>
      <c r="W20" s="8" t="str">
        <f t="shared" si="3"/>
        <v>March</v>
      </c>
    </row>
    <row r="21" spans="1:23" x14ac:dyDescent="0.55000000000000004">
      <c r="A21" t="str">
        <f t="shared" si="0"/>
        <v>MarchMarchHong Kong - DECI NC</v>
      </c>
      <c r="B21" s="3" t="s">
        <v>20</v>
      </c>
      <c r="C21" s="26" t="s">
        <v>241</v>
      </c>
      <c r="D21" s="26" t="s">
        <v>676</v>
      </c>
      <c r="E21" s="27">
        <v>43189</v>
      </c>
      <c r="F21" s="26" t="s">
        <v>332</v>
      </c>
      <c r="G21" s="26" t="s">
        <v>651</v>
      </c>
      <c r="H21" s="26" t="s">
        <v>677</v>
      </c>
      <c r="I21" s="26" t="s">
        <v>646</v>
      </c>
      <c r="J21" s="26" t="s">
        <v>27</v>
      </c>
      <c r="K21" s="31">
        <v>10771.91</v>
      </c>
      <c r="L21" s="28">
        <v>0</v>
      </c>
      <c r="M21" s="28">
        <v>10771.91</v>
      </c>
      <c r="N21" s="26"/>
      <c r="O21" t="s">
        <v>651</v>
      </c>
      <c r="P21" s="8" t="s">
        <v>92</v>
      </c>
      <c r="Q21" s="8"/>
      <c r="R21" s="9">
        <v>43160</v>
      </c>
      <c r="S21" s="9">
        <v>43160</v>
      </c>
      <c r="T21" s="8">
        <v>3</v>
      </c>
      <c r="U21" s="8" t="str">
        <f t="shared" si="1"/>
        <v>March</v>
      </c>
      <c r="V21">
        <f t="shared" si="2"/>
        <v>3</v>
      </c>
      <c r="W21" s="8" t="str">
        <f t="shared" si="3"/>
        <v>March</v>
      </c>
    </row>
    <row r="22" spans="1:23" x14ac:dyDescent="0.55000000000000004">
      <c r="A22" t="str">
        <f t="shared" si="0"/>
        <v>MarchMarchChina - DCL KY</v>
      </c>
      <c r="B22" s="3" t="s">
        <v>20</v>
      </c>
      <c r="C22" s="26" t="s">
        <v>241</v>
      </c>
      <c r="D22" s="26" t="s">
        <v>678</v>
      </c>
      <c r="E22" s="27">
        <v>43189</v>
      </c>
      <c r="F22" s="26" t="s">
        <v>332</v>
      </c>
      <c r="G22" s="26" t="s">
        <v>679</v>
      </c>
      <c r="H22" s="26" t="s">
        <v>680</v>
      </c>
      <c r="I22" s="26" t="s">
        <v>646</v>
      </c>
      <c r="J22" s="26" t="s">
        <v>27</v>
      </c>
      <c r="K22" s="31">
        <v>849.45</v>
      </c>
      <c r="L22" s="28">
        <v>0</v>
      </c>
      <c r="M22" s="28">
        <v>849.45</v>
      </c>
      <c r="N22" s="26"/>
      <c r="O22" t="s">
        <v>679</v>
      </c>
      <c r="P22" s="8" t="s">
        <v>82</v>
      </c>
      <c r="Q22" s="8"/>
      <c r="R22" s="9">
        <v>43160</v>
      </c>
      <c r="S22" s="9">
        <v>43160</v>
      </c>
      <c r="T22" s="8">
        <v>3</v>
      </c>
      <c r="U22" s="8" t="str">
        <f t="shared" si="1"/>
        <v>March</v>
      </c>
      <c r="V22">
        <f t="shared" si="2"/>
        <v>3</v>
      </c>
      <c r="W22" s="8" t="str">
        <f t="shared" si="3"/>
        <v>March</v>
      </c>
    </row>
    <row r="23" spans="1:23" x14ac:dyDescent="0.55000000000000004">
      <c r="A23" t="str">
        <f t="shared" si="0"/>
        <v>AprilAprilHong Kong - DECI NC</v>
      </c>
      <c r="B23" s="3" t="s">
        <v>20</v>
      </c>
      <c r="C23" s="4" t="s">
        <v>150</v>
      </c>
      <c r="D23" s="4" t="s">
        <v>160</v>
      </c>
      <c r="E23" s="5">
        <v>43194</v>
      </c>
      <c r="F23" s="4" t="s">
        <v>23</v>
      </c>
      <c r="G23" s="4" t="s">
        <v>161</v>
      </c>
      <c r="H23" s="13">
        <v>1010008</v>
      </c>
      <c r="I23" s="4" t="s">
        <v>154</v>
      </c>
      <c r="J23" s="4" t="s">
        <v>27</v>
      </c>
      <c r="K23" s="6">
        <v>30</v>
      </c>
      <c r="L23" s="6">
        <v>0</v>
      </c>
      <c r="M23" s="6">
        <v>30</v>
      </c>
      <c r="N23" s="4"/>
      <c r="O23" s="3" t="s">
        <v>161</v>
      </c>
      <c r="P23" s="3" t="s">
        <v>92</v>
      </c>
      <c r="Q23" s="3" t="s">
        <v>162</v>
      </c>
      <c r="R23" s="9">
        <v>43191</v>
      </c>
      <c r="S23" s="9">
        <v>43191</v>
      </c>
      <c r="T23" s="8">
        <v>4</v>
      </c>
      <c r="U23" s="8" t="str">
        <f t="shared" si="1"/>
        <v>April</v>
      </c>
      <c r="V23">
        <f t="shared" si="2"/>
        <v>4</v>
      </c>
      <c r="W23" s="8" t="str">
        <f t="shared" si="3"/>
        <v>April</v>
      </c>
    </row>
    <row r="24" spans="1:23" x14ac:dyDescent="0.55000000000000004">
      <c r="A24" t="str">
        <f t="shared" si="0"/>
        <v>AprilAprilHong Kong - DCL KY</v>
      </c>
      <c r="B24" s="3" t="s">
        <v>20</v>
      </c>
      <c r="C24" s="4" t="s">
        <v>150</v>
      </c>
      <c r="D24" s="4" t="s">
        <v>163</v>
      </c>
      <c r="E24" s="5">
        <v>43196</v>
      </c>
      <c r="F24" s="4" t="s">
        <v>23</v>
      </c>
      <c r="G24" s="4" t="s">
        <v>20</v>
      </c>
      <c r="H24" s="4" t="s">
        <v>164</v>
      </c>
      <c r="I24" s="4" t="s">
        <v>154</v>
      </c>
      <c r="J24" s="4" t="s">
        <v>27</v>
      </c>
      <c r="K24" s="6">
        <v>132</v>
      </c>
      <c r="L24" s="6">
        <v>0</v>
      </c>
      <c r="M24" s="6">
        <v>132</v>
      </c>
      <c r="N24" s="4"/>
      <c r="O24" s="3" t="s">
        <v>161</v>
      </c>
      <c r="P24" s="3" t="s">
        <v>39</v>
      </c>
      <c r="Q24" s="3" t="s">
        <v>165</v>
      </c>
      <c r="R24" s="9">
        <v>43191</v>
      </c>
      <c r="S24" s="9">
        <v>43191</v>
      </c>
      <c r="T24" s="8">
        <v>4</v>
      </c>
      <c r="U24" s="8" t="str">
        <f t="shared" si="1"/>
        <v>April</v>
      </c>
      <c r="V24">
        <f t="shared" si="2"/>
        <v>4</v>
      </c>
      <c r="W24" s="8" t="str">
        <f t="shared" si="3"/>
        <v>April</v>
      </c>
    </row>
    <row r="25" spans="1:23" x14ac:dyDescent="0.55000000000000004">
      <c r="A25" t="str">
        <f t="shared" si="0"/>
        <v>AprilAprilHong Kong - DCL KY</v>
      </c>
      <c r="B25" s="3" t="s">
        <v>20</v>
      </c>
      <c r="C25" s="4" t="s">
        <v>150</v>
      </c>
      <c r="D25" s="4" t="s">
        <v>166</v>
      </c>
      <c r="E25" s="5">
        <v>43196</v>
      </c>
      <c r="F25" s="4" t="s">
        <v>23</v>
      </c>
      <c r="G25" s="4" t="s">
        <v>161</v>
      </c>
      <c r="H25" s="4" t="s">
        <v>167</v>
      </c>
      <c r="I25" s="4" t="s">
        <v>154</v>
      </c>
      <c r="J25" s="4" t="s">
        <v>27</v>
      </c>
      <c r="K25" s="6">
        <v>48</v>
      </c>
      <c r="L25" s="6">
        <v>0</v>
      </c>
      <c r="M25" s="6">
        <v>48</v>
      </c>
      <c r="N25" s="4"/>
      <c r="O25" s="3" t="s">
        <v>161</v>
      </c>
      <c r="P25" s="3" t="s">
        <v>39</v>
      </c>
      <c r="Q25" s="3" t="s">
        <v>168</v>
      </c>
      <c r="R25" s="9">
        <v>43191</v>
      </c>
      <c r="S25" s="9">
        <v>43191</v>
      </c>
      <c r="T25" s="8">
        <v>4</v>
      </c>
      <c r="U25" s="8" t="str">
        <f t="shared" si="1"/>
        <v>April</v>
      </c>
      <c r="V25">
        <f t="shared" si="2"/>
        <v>4</v>
      </c>
      <c r="W25" s="8" t="str">
        <f t="shared" si="3"/>
        <v>April</v>
      </c>
    </row>
    <row r="26" spans="1:23" x14ac:dyDescent="0.55000000000000004">
      <c r="A26" t="str">
        <f t="shared" si="0"/>
        <v>AprilAprilAFG NC - DCL KY</v>
      </c>
      <c r="B26" s="3" t="s">
        <v>20</v>
      </c>
      <c r="C26" s="4" t="s">
        <v>150</v>
      </c>
      <c r="D26" s="4" t="s">
        <v>169</v>
      </c>
      <c r="E26" s="5">
        <v>43199</v>
      </c>
      <c r="F26" s="4" t="s">
        <v>23</v>
      </c>
      <c r="G26" s="4" t="s">
        <v>170</v>
      </c>
      <c r="H26" s="4" t="s">
        <v>171</v>
      </c>
      <c r="I26" s="4" t="s">
        <v>154</v>
      </c>
      <c r="J26" s="4" t="s">
        <v>172</v>
      </c>
      <c r="K26" s="6">
        <v>1675</v>
      </c>
      <c r="L26" s="6">
        <v>0</v>
      </c>
      <c r="M26" s="6">
        <v>1675</v>
      </c>
      <c r="N26" s="4"/>
      <c r="O26" s="36" t="s">
        <v>170</v>
      </c>
      <c r="P26" s="36" t="s">
        <v>173</v>
      </c>
      <c r="Q26" s="3" t="s">
        <v>174</v>
      </c>
      <c r="R26" s="9">
        <v>43191</v>
      </c>
      <c r="S26" s="9">
        <v>43191</v>
      </c>
      <c r="T26" s="8">
        <v>4</v>
      </c>
      <c r="U26" s="8" t="str">
        <f t="shared" si="1"/>
        <v>April</v>
      </c>
      <c r="V26">
        <f t="shared" si="2"/>
        <v>4</v>
      </c>
      <c r="W26" s="8" t="str">
        <f t="shared" si="3"/>
        <v>April</v>
      </c>
    </row>
    <row r="27" spans="1:23" x14ac:dyDescent="0.55000000000000004">
      <c r="A27" t="str">
        <f t="shared" si="0"/>
        <v>AprilAprilDECI NC - DCL KY</v>
      </c>
      <c r="B27" s="3" t="s">
        <v>20</v>
      </c>
      <c r="C27" s="4" t="s">
        <v>150</v>
      </c>
      <c r="D27" s="4" t="s">
        <v>175</v>
      </c>
      <c r="E27" s="5">
        <v>43202</v>
      </c>
      <c r="F27" s="4" t="s">
        <v>23</v>
      </c>
      <c r="G27" s="4" t="s">
        <v>176</v>
      </c>
      <c r="H27" s="4" t="s">
        <v>177</v>
      </c>
      <c r="I27" s="4" t="s">
        <v>154</v>
      </c>
      <c r="J27" s="4" t="s">
        <v>172</v>
      </c>
      <c r="K27" s="6">
        <v>1450</v>
      </c>
      <c r="L27" s="6">
        <v>0</v>
      </c>
      <c r="M27" s="6">
        <v>1450</v>
      </c>
      <c r="N27" s="4"/>
      <c r="O27" s="36" t="s">
        <v>176</v>
      </c>
      <c r="P27" s="36" t="s">
        <v>178</v>
      </c>
      <c r="Q27" s="3" t="s">
        <v>179</v>
      </c>
      <c r="R27" s="9">
        <v>43191</v>
      </c>
      <c r="S27" s="9">
        <v>43191</v>
      </c>
      <c r="T27" s="8">
        <v>4</v>
      </c>
      <c r="U27" s="8" t="str">
        <f t="shared" si="1"/>
        <v>April</v>
      </c>
      <c r="V27">
        <f t="shared" si="2"/>
        <v>4</v>
      </c>
      <c r="W27" s="8" t="str">
        <f t="shared" si="3"/>
        <v>April</v>
      </c>
    </row>
    <row r="28" spans="1:23" x14ac:dyDescent="0.55000000000000004">
      <c r="A28" t="str">
        <f t="shared" si="0"/>
        <v>AprilAprilHong Kong - DECI NC</v>
      </c>
      <c r="B28" s="3" t="s">
        <v>20</v>
      </c>
      <c r="C28" s="4" t="s">
        <v>150</v>
      </c>
      <c r="D28" s="4" t="s">
        <v>180</v>
      </c>
      <c r="E28" s="5">
        <v>43204</v>
      </c>
      <c r="F28" s="4" t="s">
        <v>23</v>
      </c>
      <c r="G28" s="4" t="s">
        <v>161</v>
      </c>
      <c r="H28" s="4" t="s">
        <v>181</v>
      </c>
      <c r="I28" s="4" t="s">
        <v>154</v>
      </c>
      <c r="J28" s="4" t="s">
        <v>27</v>
      </c>
      <c r="K28" s="6">
        <v>45</v>
      </c>
      <c r="L28" s="6">
        <v>0</v>
      </c>
      <c r="M28" s="6">
        <v>45</v>
      </c>
      <c r="N28" s="4"/>
      <c r="O28" s="3" t="s">
        <v>161</v>
      </c>
      <c r="P28" s="3" t="s">
        <v>92</v>
      </c>
      <c r="Q28" s="3" t="s">
        <v>182</v>
      </c>
      <c r="R28" s="9">
        <v>43191</v>
      </c>
      <c r="S28" s="9">
        <v>43191</v>
      </c>
      <c r="T28" s="8">
        <v>4</v>
      </c>
      <c r="U28" s="8" t="str">
        <f t="shared" si="1"/>
        <v>April</v>
      </c>
      <c r="V28">
        <f t="shared" si="2"/>
        <v>4</v>
      </c>
      <c r="W28" s="8" t="str">
        <f t="shared" si="3"/>
        <v>April</v>
      </c>
    </row>
    <row r="29" spans="1:23" x14ac:dyDescent="0.55000000000000004">
      <c r="A29" t="str">
        <f t="shared" si="0"/>
        <v>AprilAprilAFG NC - DCL KY</v>
      </c>
      <c r="B29" s="3" t="s">
        <v>20</v>
      </c>
      <c r="C29" s="26" t="s">
        <v>150</v>
      </c>
      <c r="D29" s="26" t="s">
        <v>346</v>
      </c>
      <c r="E29" s="27">
        <v>43214</v>
      </c>
      <c r="F29" s="26" t="s">
        <v>332</v>
      </c>
      <c r="G29" s="26" t="s">
        <v>347</v>
      </c>
      <c r="H29" s="26" t="s">
        <v>348</v>
      </c>
      <c r="I29" s="26" t="s">
        <v>154</v>
      </c>
      <c r="J29" s="26" t="s">
        <v>172</v>
      </c>
      <c r="K29" s="28">
        <v>3100</v>
      </c>
      <c r="L29" s="28">
        <v>0</v>
      </c>
      <c r="M29" s="28">
        <v>3100</v>
      </c>
      <c r="N29" s="26"/>
      <c r="O29" s="8" t="s">
        <v>347</v>
      </c>
      <c r="P29" s="8" t="s">
        <v>173</v>
      </c>
      <c r="Q29" s="8"/>
      <c r="R29" s="9">
        <v>43191</v>
      </c>
      <c r="S29" s="9">
        <v>43191</v>
      </c>
      <c r="T29" s="8">
        <v>4</v>
      </c>
      <c r="U29" s="8" t="str">
        <f t="shared" si="1"/>
        <v>April</v>
      </c>
      <c r="V29">
        <f t="shared" si="2"/>
        <v>4</v>
      </c>
      <c r="W29" s="8" t="str">
        <f t="shared" si="3"/>
        <v>April</v>
      </c>
    </row>
    <row r="30" spans="1:23" x14ac:dyDescent="0.55000000000000004">
      <c r="A30" t="str">
        <f t="shared" si="0"/>
        <v>AprilAprilAFG NC - DCL KY</v>
      </c>
      <c r="B30" s="3" t="s">
        <v>20</v>
      </c>
      <c r="C30" s="26" t="s">
        <v>150</v>
      </c>
      <c r="D30" s="26" t="s">
        <v>349</v>
      </c>
      <c r="E30" s="27">
        <v>43216</v>
      </c>
      <c r="F30" s="26" t="s">
        <v>332</v>
      </c>
      <c r="G30" s="26" t="s">
        <v>350</v>
      </c>
      <c r="H30" s="26" t="s">
        <v>351</v>
      </c>
      <c r="I30" s="26" t="s">
        <v>154</v>
      </c>
      <c r="J30" s="26" t="s">
        <v>172</v>
      </c>
      <c r="K30" s="28">
        <v>4650</v>
      </c>
      <c r="L30" s="28">
        <v>0</v>
      </c>
      <c r="M30" s="28">
        <v>4650</v>
      </c>
      <c r="N30" s="26"/>
      <c r="O30" s="8" t="s">
        <v>350</v>
      </c>
      <c r="P30" s="8" t="s">
        <v>173</v>
      </c>
      <c r="Q30" s="8"/>
      <c r="R30" s="9">
        <v>43191</v>
      </c>
      <c r="S30" s="9">
        <v>43191</v>
      </c>
      <c r="T30" s="8">
        <v>4</v>
      </c>
      <c r="U30" s="8" t="str">
        <f t="shared" si="1"/>
        <v>April</v>
      </c>
      <c r="V30">
        <f t="shared" si="2"/>
        <v>4</v>
      </c>
      <c r="W30" s="8" t="str">
        <f t="shared" si="3"/>
        <v>April</v>
      </c>
    </row>
    <row r="31" spans="1:23" x14ac:dyDescent="0.55000000000000004">
      <c r="A31" t="str">
        <f t="shared" si="0"/>
        <v>AprilAprilAFG NC - DCL KY</v>
      </c>
      <c r="B31" s="3" t="s">
        <v>20</v>
      </c>
      <c r="C31" s="26" t="s">
        <v>150</v>
      </c>
      <c r="D31" s="26" t="s">
        <v>352</v>
      </c>
      <c r="E31" s="27">
        <v>43216</v>
      </c>
      <c r="F31" s="26" t="s">
        <v>332</v>
      </c>
      <c r="G31" s="26" t="s">
        <v>350</v>
      </c>
      <c r="H31" s="26" t="s">
        <v>353</v>
      </c>
      <c r="I31" s="26" t="s">
        <v>154</v>
      </c>
      <c r="J31" s="26" t="s">
        <v>172</v>
      </c>
      <c r="K31" s="28">
        <v>4650</v>
      </c>
      <c r="L31" s="28">
        <v>0</v>
      </c>
      <c r="M31" s="28">
        <v>4650</v>
      </c>
      <c r="N31" s="26"/>
      <c r="O31" s="8" t="s">
        <v>350</v>
      </c>
      <c r="P31" s="8" t="s">
        <v>173</v>
      </c>
      <c r="Q31" s="8"/>
      <c r="R31" s="9">
        <v>43191</v>
      </c>
      <c r="S31" s="9">
        <v>43191</v>
      </c>
      <c r="T31" s="8">
        <v>4</v>
      </c>
      <c r="U31" s="8" t="str">
        <f t="shared" si="1"/>
        <v>April</v>
      </c>
      <c r="V31">
        <f t="shared" si="2"/>
        <v>4</v>
      </c>
      <c r="W31" s="8" t="str">
        <f t="shared" si="3"/>
        <v>April</v>
      </c>
    </row>
    <row r="32" spans="1:23" x14ac:dyDescent="0.55000000000000004">
      <c r="A32" t="str">
        <f t="shared" si="0"/>
        <v>AprilAprilAFG NC - DCL KY</v>
      </c>
      <c r="B32" s="3" t="s">
        <v>20</v>
      </c>
      <c r="C32" s="26" t="s">
        <v>150</v>
      </c>
      <c r="D32" s="26" t="s">
        <v>354</v>
      </c>
      <c r="E32" s="27">
        <v>43216</v>
      </c>
      <c r="F32" s="26" t="s">
        <v>332</v>
      </c>
      <c r="G32" s="26" t="s">
        <v>355</v>
      </c>
      <c r="H32" s="26" t="s">
        <v>356</v>
      </c>
      <c r="I32" s="26" t="s">
        <v>154</v>
      </c>
      <c r="J32" s="26" t="s">
        <v>172</v>
      </c>
      <c r="K32" s="28">
        <v>1675</v>
      </c>
      <c r="L32" s="28">
        <v>0</v>
      </c>
      <c r="M32" s="28">
        <v>1675</v>
      </c>
      <c r="N32" s="26"/>
      <c r="O32" s="8" t="s">
        <v>355</v>
      </c>
      <c r="P32" s="8" t="s">
        <v>173</v>
      </c>
      <c r="Q32" s="8"/>
      <c r="R32" s="9">
        <v>43191</v>
      </c>
      <c r="S32" s="9">
        <v>43191</v>
      </c>
      <c r="T32" s="8">
        <v>4</v>
      </c>
      <c r="U32" s="8" t="str">
        <f t="shared" si="1"/>
        <v>April</v>
      </c>
      <c r="V32">
        <f t="shared" si="2"/>
        <v>4</v>
      </c>
      <c r="W32" s="8" t="str">
        <f t="shared" si="3"/>
        <v>April</v>
      </c>
    </row>
    <row r="33" spans="1:23" x14ac:dyDescent="0.55000000000000004">
      <c r="A33" t="str">
        <f t="shared" si="0"/>
        <v>AprilAprilAFG NC - DCL KY</v>
      </c>
      <c r="B33" s="3" t="s">
        <v>20</v>
      </c>
      <c r="C33" s="26" t="s">
        <v>150</v>
      </c>
      <c r="D33" s="26" t="s">
        <v>357</v>
      </c>
      <c r="E33" s="27">
        <v>43217</v>
      </c>
      <c r="F33" s="26" t="s">
        <v>332</v>
      </c>
      <c r="G33" s="26" t="s">
        <v>358</v>
      </c>
      <c r="H33" s="26" t="s">
        <v>359</v>
      </c>
      <c r="I33" s="26" t="s">
        <v>154</v>
      </c>
      <c r="J33" s="26" t="s">
        <v>172</v>
      </c>
      <c r="K33" s="28">
        <v>1675</v>
      </c>
      <c r="L33" s="28">
        <v>0</v>
      </c>
      <c r="M33" s="28">
        <v>1675</v>
      </c>
      <c r="N33" s="26"/>
      <c r="O33" s="8" t="s">
        <v>358</v>
      </c>
      <c r="P33" s="8" t="s">
        <v>173</v>
      </c>
      <c r="Q33" s="8"/>
      <c r="R33" s="9">
        <v>43191</v>
      </c>
      <c r="S33" s="9">
        <v>43191</v>
      </c>
      <c r="T33" s="8">
        <v>4</v>
      </c>
      <c r="U33" s="8" t="str">
        <f t="shared" si="1"/>
        <v>April</v>
      </c>
      <c r="V33">
        <f t="shared" si="2"/>
        <v>4</v>
      </c>
      <c r="W33" s="8" t="str">
        <f t="shared" si="3"/>
        <v>April</v>
      </c>
    </row>
    <row r="34" spans="1:23" x14ac:dyDescent="0.55000000000000004">
      <c r="A34" t="str">
        <f t="shared" si="0"/>
        <v>AprilAprilAFG NC - DCL KY</v>
      </c>
      <c r="B34" s="3" t="s">
        <v>20</v>
      </c>
      <c r="C34" s="26" t="s">
        <v>150</v>
      </c>
      <c r="D34" s="26" t="s">
        <v>360</v>
      </c>
      <c r="E34" s="27">
        <v>43217</v>
      </c>
      <c r="F34" s="26" t="s">
        <v>332</v>
      </c>
      <c r="G34" s="26" t="s">
        <v>361</v>
      </c>
      <c r="H34" s="26" t="s">
        <v>362</v>
      </c>
      <c r="I34" s="26" t="s">
        <v>154</v>
      </c>
      <c r="J34" s="26" t="s">
        <v>172</v>
      </c>
      <c r="K34" s="28">
        <v>1675</v>
      </c>
      <c r="L34" s="28">
        <v>0</v>
      </c>
      <c r="M34" s="28">
        <v>1675</v>
      </c>
      <c r="N34" s="26"/>
      <c r="O34" s="8" t="s">
        <v>361</v>
      </c>
      <c r="P34" s="8" t="s">
        <v>173</v>
      </c>
      <c r="Q34" s="8"/>
      <c r="R34" s="9">
        <v>43191</v>
      </c>
      <c r="S34" s="9">
        <v>43191</v>
      </c>
      <c r="T34" s="8">
        <v>4</v>
      </c>
      <c r="U34" s="8" t="str">
        <f t="shared" ref="U34:U65" si="4">IF(T34=6,"June",IF(T34=5,"May",IF(T34=4,"April",IF(T34=3,"March",0))))</f>
        <v>April</v>
      </c>
      <c r="V34">
        <f t="shared" si="2"/>
        <v>4</v>
      </c>
      <c r="W34" s="8" t="str">
        <f t="shared" si="3"/>
        <v>April</v>
      </c>
    </row>
    <row r="35" spans="1:23" x14ac:dyDescent="0.55000000000000004">
      <c r="A35" t="str">
        <f t="shared" si="0"/>
        <v>AprilAprilAFG NC - DCL KY</v>
      </c>
      <c r="B35" s="3" t="s">
        <v>20</v>
      </c>
      <c r="C35" s="26" t="s">
        <v>150</v>
      </c>
      <c r="D35" s="26" t="s">
        <v>363</v>
      </c>
      <c r="E35" s="27">
        <v>43217</v>
      </c>
      <c r="F35" s="26" t="s">
        <v>332</v>
      </c>
      <c r="G35" s="26" t="s">
        <v>364</v>
      </c>
      <c r="H35" s="26" t="s">
        <v>365</v>
      </c>
      <c r="I35" s="26" t="s">
        <v>154</v>
      </c>
      <c r="J35" s="26" t="s">
        <v>172</v>
      </c>
      <c r="K35" s="28">
        <v>1675</v>
      </c>
      <c r="L35" s="28">
        <v>0</v>
      </c>
      <c r="M35" s="28">
        <v>1675</v>
      </c>
      <c r="N35" s="26"/>
      <c r="O35" s="8" t="s">
        <v>364</v>
      </c>
      <c r="P35" s="8" t="s">
        <v>173</v>
      </c>
      <c r="Q35" s="8"/>
      <c r="R35" s="9">
        <v>43191</v>
      </c>
      <c r="S35" s="9">
        <v>43191</v>
      </c>
      <c r="T35" s="8">
        <v>4</v>
      </c>
      <c r="U35" s="8" t="str">
        <f t="shared" si="4"/>
        <v>April</v>
      </c>
      <c r="V35">
        <f t="shared" si="2"/>
        <v>4</v>
      </c>
      <c r="W35" s="8" t="str">
        <f t="shared" si="3"/>
        <v>April</v>
      </c>
    </row>
    <row r="36" spans="1:23" x14ac:dyDescent="0.55000000000000004">
      <c r="A36" t="str">
        <f t="shared" si="0"/>
        <v>AprilAprilAFG NC - DCL KY</v>
      </c>
      <c r="B36" s="3" t="s">
        <v>20</v>
      </c>
      <c r="C36" s="26" t="s">
        <v>150</v>
      </c>
      <c r="D36" s="26" t="s">
        <v>366</v>
      </c>
      <c r="E36" s="27">
        <v>43217</v>
      </c>
      <c r="F36" s="26" t="s">
        <v>332</v>
      </c>
      <c r="G36" s="26" t="s">
        <v>367</v>
      </c>
      <c r="H36" s="26" t="s">
        <v>368</v>
      </c>
      <c r="I36" s="26" t="s">
        <v>154</v>
      </c>
      <c r="J36" s="26" t="s">
        <v>172</v>
      </c>
      <c r="K36" s="28">
        <v>1675</v>
      </c>
      <c r="L36" s="28">
        <v>0</v>
      </c>
      <c r="M36" s="28">
        <v>1675</v>
      </c>
      <c r="N36" s="26"/>
      <c r="O36" s="8" t="s">
        <v>367</v>
      </c>
      <c r="P36" s="8" t="s">
        <v>173</v>
      </c>
      <c r="Q36" s="8"/>
      <c r="R36" s="9">
        <v>43191</v>
      </c>
      <c r="S36" s="9">
        <v>43191</v>
      </c>
      <c r="T36" s="8">
        <v>4</v>
      </c>
      <c r="U36" s="8" t="str">
        <f t="shared" si="4"/>
        <v>April</v>
      </c>
      <c r="V36">
        <f t="shared" si="2"/>
        <v>4</v>
      </c>
      <c r="W36" s="8" t="str">
        <f t="shared" si="3"/>
        <v>April</v>
      </c>
    </row>
    <row r="37" spans="1:23" x14ac:dyDescent="0.55000000000000004">
      <c r="A37" t="str">
        <f t="shared" si="0"/>
        <v>AprilAprilAFG NC - DCL KY</v>
      </c>
      <c r="B37" s="3" t="s">
        <v>20</v>
      </c>
      <c r="C37" s="26" t="s">
        <v>150</v>
      </c>
      <c r="D37" s="26" t="s">
        <v>369</v>
      </c>
      <c r="E37" s="27">
        <v>43220</v>
      </c>
      <c r="F37" s="26" t="s">
        <v>332</v>
      </c>
      <c r="G37" s="26" t="s">
        <v>370</v>
      </c>
      <c r="H37" s="26" t="s">
        <v>371</v>
      </c>
      <c r="I37" s="26" t="s">
        <v>154</v>
      </c>
      <c r="J37" s="26" t="s">
        <v>172</v>
      </c>
      <c r="K37" s="28">
        <v>3100</v>
      </c>
      <c r="L37" s="28">
        <v>0</v>
      </c>
      <c r="M37" s="28">
        <v>3100</v>
      </c>
      <c r="N37" s="26"/>
      <c r="O37" s="8" t="s">
        <v>370</v>
      </c>
      <c r="P37" s="8" t="s">
        <v>173</v>
      </c>
      <c r="Q37" s="8"/>
      <c r="R37" s="9">
        <v>43191</v>
      </c>
      <c r="S37" s="9">
        <v>43191</v>
      </c>
      <c r="T37" s="8">
        <v>4</v>
      </c>
      <c r="U37" s="8" t="str">
        <f t="shared" si="4"/>
        <v>April</v>
      </c>
      <c r="V37">
        <f t="shared" si="2"/>
        <v>4</v>
      </c>
      <c r="W37" s="8" t="str">
        <f t="shared" si="3"/>
        <v>April</v>
      </c>
    </row>
    <row r="38" spans="1:23" x14ac:dyDescent="0.55000000000000004">
      <c r="A38" t="str">
        <f t="shared" si="0"/>
        <v>AprilAprilAFG NC - DCL KY</v>
      </c>
      <c r="B38" s="3" t="s">
        <v>20</v>
      </c>
      <c r="C38" s="26" t="s">
        <v>150</v>
      </c>
      <c r="D38" s="26" t="s">
        <v>372</v>
      </c>
      <c r="E38" s="27">
        <v>43220</v>
      </c>
      <c r="F38" s="26" t="s">
        <v>332</v>
      </c>
      <c r="G38" s="26" t="s">
        <v>373</v>
      </c>
      <c r="H38" s="26" t="s">
        <v>374</v>
      </c>
      <c r="I38" s="26" t="s">
        <v>154</v>
      </c>
      <c r="J38" s="26" t="s">
        <v>172</v>
      </c>
      <c r="K38" s="28">
        <v>3100</v>
      </c>
      <c r="L38" s="28">
        <v>0</v>
      </c>
      <c r="M38" s="28">
        <v>3100</v>
      </c>
      <c r="N38" s="26"/>
      <c r="O38" s="8" t="s">
        <v>373</v>
      </c>
      <c r="P38" s="8" t="s">
        <v>173</v>
      </c>
      <c r="Q38" s="8"/>
      <c r="R38" s="9">
        <v>43191</v>
      </c>
      <c r="S38" s="9">
        <v>43191</v>
      </c>
      <c r="T38" s="8">
        <v>4</v>
      </c>
      <c r="U38" s="8" t="str">
        <f t="shared" si="4"/>
        <v>April</v>
      </c>
      <c r="V38">
        <f t="shared" si="2"/>
        <v>4</v>
      </c>
      <c r="W38" s="8" t="str">
        <f t="shared" si="3"/>
        <v>April</v>
      </c>
    </row>
    <row r="39" spans="1:23" x14ac:dyDescent="0.55000000000000004">
      <c r="A39" t="str">
        <f t="shared" si="0"/>
        <v>AprilAprilAFG NC - DCL KY</v>
      </c>
      <c r="B39" s="3" t="s">
        <v>20</v>
      </c>
      <c r="C39" s="26" t="s">
        <v>150</v>
      </c>
      <c r="D39" s="26" t="s">
        <v>375</v>
      </c>
      <c r="E39" s="27">
        <v>43220</v>
      </c>
      <c r="F39" s="26" t="s">
        <v>332</v>
      </c>
      <c r="G39" s="26" t="s">
        <v>376</v>
      </c>
      <c r="H39" s="26" t="s">
        <v>377</v>
      </c>
      <c r="I39" s="26" t="s">
        <v>154</v>
      </c>
      <c r="J39" s="26" t="s">
        <v>172</v>
      </c>
      <c r="K39" s="28">
        <v>4650</v>
      </c>
      <c r="L39" s="28">
        <v>0</v>
      </c>
      <c r="M39" s="28">
        <v>4650</v>
      </c>
      <c r="N39" s="26"/>
      <c r="O39" s="8" t="s">
        <v>376</v>
      </c>
      <c r="P39" s="8" t="s">
        <v>173</v>
      </c>
      <c r="Q39" s="8"/>
      <c r="R39" s="9">
        <v>43191</v>
      </c>
      <c r="S39" s="9">
        <v>43191</v>
      </c>
      <c r="T39" s="8">
        <v>4</v>
      </c>
      <c r="U39" s="8" t="str">
        <f t="shared" si="4"/>
        <v>April</v>
      </c>
      <c r="V39">
        <f t="shared" si="2"/>
        <v>4</v>
      </c>
      <c r="W39" s="8" t="str">
        <f t="shared" si="3"/>
        <v>April</v>
      </c>
    </row>
    <row r="40" spans="1:23" x14ac:dyDescent="0.55000000000000004">
      <c r="A40" t="str">
        <f t="shared" si="0"/>
        <v>AprilAprilHong Kong - DCL KY</v>
      </c>
      <c r="B40" s="3" t="s">
        <v>20</v>
      </c>
      <c r="C40" s="26" t="s">
        <v>241</v>
      </c>
      <c r="D40" s="26" t="s">
        <v>681</v>
      </c>
      <c r="E40" s="27">
        <v>43195</v>
      </c>
      <c r="F40" s="26" t="s">
        <v>332</v>
      </c>
      <c r="G40" s="26" t="s">
        <v>682</v>
      </c>
      <c r="H40" s="26" t="s">
        <v>683</v>
      </c>
      <c r="I40" s="26" t="s">
        <v>646</v>
      </c>
      <c r="J40" s="26" t="s">
        <v>27</v>
      </c>
      <c r="K40" s="31">
        <v>22773.46</v>
      </c>
      <c r="L40" s="28">
        <v>0</v>
      </c>
      <c r="M40" s="28">
        <v>22773.46</v>
      </c>
      <c r="N40" s="26"/>
      <c r="O40" t="s">
        <v>682</v>
      </c>
      <c r="P40" s="8" t="s">
        <v>39</v>
      </c>
      <c r="Q40" s="8"/>
      <c r="R40" s="9">
        <v>43191</v>
      </c>
      <c r="S40" s="9">
        <v>43191</v>
      </c>
      <c r="T40" s="8">
        <v>4</v>
      </c>
      <c r="U40" s="8" t="str">
        <f t="shared" si="4"/>
        <v>April</v>
      </c>
      <c r="V40">
        <f t="shared" si="2"/>
        <v>4</v>
      </c>
      <c r="W40" s="8" t="str">
        <f t="shared" si="3"/>
        <v>April</v>
      </c>
    </row>
    <row r="41" spans="1:23" x14ac:dyDescent="0.55000000000000004">
      <c r="A41" t="str">
        <f t="shared" si="0"/>
        <v>AprilAprilHong Kong - Phillips WI</v>
      </c>
      <c r="B41" s="3" t="s">
        <v>20</v>
      </c>
      <c r="C41" s="26" t="s">
        <v>241</v>
      </c>
      <c r="D41" s="26" t="s">
        <v>684</v>
      </c>
      <c r="E41" s="27">
        <v>43195</v>
      </c>
      <c r="F41" s="26" t="s">
        <v>332</v>
      </c>
      <c r="G41" s="26" t="s">
        <v>685</v>
      </c>
      <c r="H41" s="26" t="s">
        <v>686</v>
      </c>
      <c r="I41" s="26" t="s">
        <v>646</v>
      </c>
      <c r="J41" s="26" t="s">
        <v>27</v>
      </c>
      <c r="K41" s="31">
        <v>18457.07</v>
      </c>
      <c r="L41" s="28">
        <v>0</v>
      </c>
      <c r="M41" s="28">
        <v>18457.07</v>
      </c>
      <c r="N41" s="26"/>
      <c r="O41" t="s">
        <v>685</v>
      </c>
      <c r="P41" s="8" t="s">
        <v>65</v>
      </c>
      <c r="Q41" s="8"/>
      <c r="R41" s="9">
        <v>43191</v>
      </c>
      <c r="S41" s="9">
        <v>43191</v>
      </c>
      <c r="T41" s="8">
        <v>4</v>
      </c>
      <c r="U41" s="8" t="str">
        <f t="shared" si="4"/>
        <v>April</v>
      </c>
      <c r="V41">
        <f t="shared" si="2"/>
        <v>4</v>
      </c>
      <c r="W41" s="8" t="str">
        <f t="shared" si="3"/>
        <v>April</v>
      </c>
    </row>
    <row r="42" spans="1:23" x14ac:dyDescent="0.55000000000000004">
      <c r="A42" t="str">
        <f t="shared" si="0"/>
        <v>AprilAprilChina - DECI NC</v>
      </c>
      <c r="B42" s="3" t="s">
        <v>20</v>
      </c>
      <c r="C42" s="26" t="s">
        <v>241</v>
      </c>
      <c r="D42" s="26" t="s">
        <v>688</v>
      </c>
      <c r="E42" s="27">
        <v>43195</v>
      </c>
      <c r="F42" s="26" t="s">
        <v>332</v>
      </c>
      <c r="G42" s="26" t="s">
        <v>689</v>
      </c>
      <c r="H42" s="26" t="s">
        <v>690</v>
      </c>
      <c r="I42" s="26" t="s">
        <v>646</v>
      </c>
      <c r="J42" s="26" t="s">
        <v>27</v>
      </c>
      <c r="K42" s="31">
        <v>21747.58</v>
      </c>
      <c r="L42" s="28">
        <v>0</v>
      </c>
      <c r="M42" s="28">
        <v>21747.58</v>
      </c>
      <c r="N42" s="26"/>
      <c r="O42" t="s">
        <v>689</v>
      </c>
      <c r="P42" s="8" t="s">
        <v>97</v>
      </c>
      <c r="Q42" s="8"/>
      <c r="R42" s="9">
        <v>43191</v>
      </c>
      <c r="S42" s="9">
        <v>43191</v>
      </c>
      <c r="T42" s="8">
        <v>4</v>
      </c>
      <c r="U42" s="8" t="str">
        <f t="shared" si="4"/>
        <v>April</v>
      </c>
      <c r="V42">
        <f t="shared" si="2"/>
        <v>4</v>
      </c>
      <c r="W42" s="8" t="str">
        <f t="shared" si="3"/>
        <v>April</v>
      </c>
    </row>
    <row r="43" spans="1:23" x14ac:dyDescent="0.55000000000000004">
      <c r="A43" t="str">
        <f t="shared" si="0"/>
        <v>AprilAprilChina - DECI NC</v>
      </c>
      <c r="B43" s="3" t="s">
        <v>20</v>
      </c>
      <c r="C43" s="26" t="s">
        <v>241</v>
      </c>
      <c r="D43" s="26" t="s">
        <v>691</v>
      </c>
      <c r="E43" s="27">
        <v>43200</v>
      </c>
      <c r="F43" s="26" t="s">
        <v>332</v>
      </c>
      <c r="G43" s="26" t="s">
        <v>692</v>
      </c>
      <c r="H43" s="26" t="s">
        <v>693</v>
      </c>
      <c r="I43" s="26" t="s">
        <v>646</v>
      </c>
      <c r="J43" s="26" t="s">
        <v>27</v>
      </c>
      <c r="K43" s="31">
        <v>11359.39</v>
      </c>
      <c r="L43" s="28">
        <v>0</v>
      </c>
      <c r="M43" s="28">
        <v>11359.39</v>
      </c>
      <c r="N43" s="26"/>
      <c r="O43" t="s">
        <v>692</v>
      </c>
      <c r="P43" s="8" t="s">
        <v>97</v>
      </c>
      <c r="Q43" s="8"/>
      <c r="R43" s="9">
        <v>43191</v>
      </c>
      <c r="S43" s="9">
        <v>43191</v>
      </c>
      <c r="T43" s="8">
        <v>4</v>
      </c>
      <c r="U43" s="8" t="str">
        <f t="shared" si="4"/>
        <v>April</v>
      </c>
      <c r="V43">
        <f t="shared" si="2"/>
        <v>4</v>
      </c>
      <c r="W43" s="8" t="str">
        <f t="shared" si="3"/>
        <v>April</v>
      </c>
    </row>
    <row r="44" spans="1:23" x14ac:dyDescent="0.55000000000000004">
      <c r="A44" t="str">
        <f t="shared" si="0"/>
        <v>AprilAprilHong Kong - DCL KY</v>
      </c>
      <c r="B44" s="3" t="s">
        <v>20</v>
      </c>
      <c r="C44" s="26" t="s">
        <v>241</v>
      </c>
      <c r="D44" s="26" t="s">
        <v>694</v>
      </c>
      <c r="E44" s="27">
        <v>43200</v>
      </c>
      <c r="F44" s="26" t="s">
        <v>332</v>
      </c>
      <c r="G44" s="26" t="s">
        <v>695</v>
      </c>
      <c r="H44" s="26" t="s">
        <v>696</v>
      </c>
      <c r="I44" s="26" t="s">
        <v>646</v>
      </c>
      <c r="J44" s="26" t="s">
        <v>27</v>
      </c>
      <c r="K44" s="31">
        <v>2974.8</v>
      </c>
      <c r="L44" s="28">
        <v>0</v>
      </c>
      <c r="M44" s="28">
        <v>2974.8</v>
      </c>
      <c r="N44" s="26"/>
      <c r="O44" t="s">
        <v>695</v>
      </c>
      <c r="P44" s="8" t="s">
        <v>39</v>
      </c>
      <c r="Q44" s="8"/>
      <c r="R44" s="9">
        <v>43191</v>
      </c>
      <c r="S44" s="9">
        <v>43191</v>
      </c>
      <c r="T44" s="8">
        <v>4</v>
      </c>
      <c r="U44" s="8" t="str">
        <f t="shared" si="4"/>
        <v>April</v>
      </c>
      <c r="V44">
        <f t="shared" si="2"/>
        <v>4</v>
      </c>
      <c r="W44" s="8" t="str">
        <f t="shared" si="3"/>
        <v>April</v>
      </c>
    </row>
    <row r="45" spans="1:23" x14ac:dyDescent="0.55000000000000004">
      <c r="A45" t="str">
        <f t="shared" si="0"/>
        <v>AprilAprilHong Kong - DECI NC</v>
      </c>
      <c r="B45" s="3" t="s">
        <v>20</v>
      </c>
      <c r="C45" s="26" t="s">
        <v>241</v>
      </c>
      <c r="D45" s="26" t="s">
        <v>697</v>
      </c>
      <c r="E45" s="27">
        <v>43200</v>
      </c>
      <c r="F45" s="26" t="s">
        <v>332</v>
      </c>
      <c r="G45" s="26" t="s">
        <v>698</v>
      </c>
      <c r="H45" s="26" t="s">
        <v>699</v>
      </c>
      <c r="I45" s="26" t="s">
        <v>646</v>
      </c>
      <c r="J45" s="26" t="s">
        <v>27</v>
      </c>
      <c r="K45" s="31">
        <v>8437.25</v>
      </c>
      <c r="L45" s="28">
        <v>0</v>
      </c>
      <c r="M45" s="28">
        <v>8437.25</v>
      </c>
      <c r="N45" s="26"/>
      <c r="O45" t="s">
        <v>698</v>
      </c>
      <c r="P45" s="8" t="s">
        <v>92</v>
      </c>
      <c r="Q45" s="8"/>
      <c r="R45" s="9">
        <v>43191</v>
      </c>
      <c r="S45" s="9">
        <v>43191</v>
      </c>
      <c r="T45" s="8">
        <v>4</v>
      </c>
      <c r="U45" s="8" t="str">
        <f t="shared" si="4"/>
        <v>April</v>
      </c>
      <c r="V45">
        <f t="shared" si="2"/>
        <v>4</v>
      </c>
      <c r="W45" s="8" t="str">
        <f t="shared" si="3"/>
        <v>April</v>
      </c>
    </row>
    <row r="46" spans="1:23" x14ac:dyDescent="0.55000000000000004">
      <c r="A46" t="str">
        <f t="shared" si="0"/>
        <v>AprilAprilHong Kong - DECI NC</v>
      </c>
      <c r="B46" s="3" t="s">
        <v>20</v>
      </c>
      <c r="C46" s="26" t="s">
        <v>241</v>
      </c>
      <c r="D46" s="26" t="s">
        <v>700</v>
      </c>
      <c r="E46" s="27">
        <v>43200</v>
      </c>
      <c r="F46" s="26" t="s">
        <v>332</v>
      </c>
      <c r="G46" s="26" t="s">
        <v>698</v>
      </c>
      <c r="H46" s="26" t="s">
        <v>701</v>
      </c>
      <c r="I46" s="26" t="s">
        <v>646</v>
      </c>
      <c r="J46" s="26" t="s">
        <v>27</v>
      </c>
      <c r="K46" s="31">
        <v>3499.33</v>
      </c>
      <c r="L46" s="28">
        <v>0</v>
      </c>
      <c r="M46" s="28">
        <v>3499.33</v>
      </c>
      <c r="N46" s="26"/>
      <c r="O46" t="s">
        <v>698</v>
      </c>
      <c r="P46" s="8" t="s">
        <v>92</v>
      </c>
      <c r="Q46" s="8"/>
      <c r="R46" s="9">
        <v>43191</v>
      </c>
      <c r="S46" s="9">
        <v>43191</v>
      </c>
      <c r="T46" s="8">
        <v>4</v>
      </c>
      <c r="U46" s="8" t="str">
        <f t="shared" si="4"/>
        <v>April</v>
      </c>
      <c r="V46">
        <f t="shared" si="2"/>
        <v>4</v>
      </c>
      <c r="W46" s="8" t="str">
        <f t="shared" si="3"/>
        <v>April</v>
      </c>
    </row>
    <row r="47" spans="1:23" x14ac:dyDescent="0.55000000000000004">
      <c r="A47" t="str">
        <f t="shared" si="0"/>
        <v>AprilAprilHong Kong - DCL KY</v>
      </c>
      <c r="B47" s="3" t="s">
        <v>20</v>
      </c>
      <c r="C47" s="26" t="s">
        <v>241</v>
      </c>
      <c r="D47" s="26" t="s">
        <v>702</v>
      </c>
      <c r="E47" s="27">
        <v>43200</v>
      </c>
      <c r="F47" s="26" t="s">
        <v>332</v>
      </c>
      <c r="G47" s="26" t="s">
        <v>703</v>
      </c>
      <c r="H47" s="26" t="s">
        <v>704</v>
      </c>
      <c r="I47" s="26" t="s">
        <v>646</v>
      </c>
      <c r="J47" s="26" t="s">
        <v>27</v>
      </c>
      <c r="K47" s="31">
        <v>5524.27</v>
      </c>
      <c r="L47" s="28">
        <v>0</v>
      </c>
      <c r="M47" s="28">
        <v>5524.27</v>
      </c>
      <c r="N47" s="26"/>
      <c r="O47" t="s">
        <v>703</v>
      </c>
      <c r="P47" s="8" t="s">
        <v>39</v>
      </c>
      <c r="Q47" s="8"/>
      <c r="R47" s="9">
        <v>43191</v>
      </c>
      <c r="S47" s="9">
        <v>43191</v>
      </c>
      <c r="T47" s="8">
        <v>4</v>
      </c>
      <c r="U47" s="8" t="str">
        <f t="shared" si="4"/>
        <v>April</v>
      </c>
      <c r="V47">
        <f t="shared" si="2"/>
        <v>4</v>
      </c>
      <c r="W47" s="8" t="str">
        <f t="shared" si="3"/>
        <v>April</v>
      </c>
    </row>
    <row r="48" spans="1:23" x14ac:dyDescent="0.55000000000000004">
      <c r="A48" t="str">
        <f t="shared" si="0"/>
        <v>AprilAprilHong Kong - DCL KY</v>
      </c>
      <c r="B48" s="3" t="s">
        <v>20</v>
      </c>
      <c r="C48" s="26" t="s">
        <v>241</v>
      </c>
      <c r="D48" s="26" t="s">
        <v>705</v>
      </c>
      <c r="E48" s="27">
        <v>43200</v>
      </c>
      <c r="F48" s="26" t="s">
        <v>332</v>
      </c>
      <c r="G48" s="26" t="s">
        <v>706</v>
      </c>
      <c r="H48" s="26" t="s">
        <v>707</v>
      </c>
      <c r="I48" s="26" t="s">
        <v>646</v>
      </c>
      <c r="J48" s="26" t="s">
        <v>27</v>
      </c>
      <c r="K48" s="31">
        <v>41455</v>
      </c>
      <c r="L48" s="28">
        <v>0</v>
      </c>
      <c r="M48" s="28">
        <v>41455</v>
      </c>
      <c r="N48" s="26"/>
      <c r="O48" t="s">
        <v>706</v>
      </c>
      <c r="P48" s="8" t="s">
        <v>39</v>
      </c>
      <c r="Q48" s="8"/>
      <c r="R48" s="9">
        <v>43191</v>
      </c>
      <c r="S48" s="9">
        <v>43191</v>
      </c>
      <c r="T48" s="8">
        <v>4</v>
      </c>
      <c r="U48" s="8" t="str">
        <f t="shared" si="4"/>
        <v>April</v>
      </c>
      <c r="V48">
        <f t="shared" si="2"/>
        <v>4</v>
      </c>
      <c r="W48" s="8" t="str">
        <f t="shared" si="3"/>
        <v>April</v>
      </c>
    </row>
    <row r="49" spans="1:23" x14ac:dyDescent="0.55000000000000004">
      <c r="A49" t="str">
        <f t="shared" si="0"/>
        <v>AprilAprilChina - DECI NC</v>
      </c>
      <c r="B49" s="3" t="s">
        <v>20</v>
      </c>
      <c r="C49" s="26" t="s">
        <v>241</v>
      </c>
      <c r="D49" s="26" t="s">
        <v>708</v>
      </c>
      <c r="E49" s="27">
        <v>43200</v>
      </c>
      <c r="F49" s="26" t="s">
        <v>332</v>
      </c>
      <c r="G49" s="26" t="s">
        <v>689</v>
      </c>
      <c r="H49" s="26" t="s">
        <v>709</v>
      </c>
      <c r="I49" s="26" t="s">
        <v>646</v>
      </c>
      <c r="J49" s="26" t="s">
        <v>27</v>
      </c>
      <c r="K49" s="31">
        <v>21776.25</v>
      </c>
      <c r="L49" s="28">
        <v>0</v>
      </c>
      <c r="M49" s="28">
        <v>21776.25</v>
      </c>
      <c r="N49" s="26"/>
      <c r="O49" t="s">
        <v>689</v>
      </c>
      <c r="P49" s="8" t="s">
        <v>97</v>
      </c>
      <c r="Q49" s="8"/>
      <c r="R49" s="9">
        <v>43191</v>
      </c>
      <c r="S49" s="9">
        <v>43191</v>
      </c>
      <c r="T49" s="8">
        <v>4</v>
      </c>
      <c r="U49" s="8" t="str">
        <f t="shared" si="4"/>
        <v>April</v>
      </c>
      <c r="V49">
        <f t="shared" si="2"/>
        <v>4</v>
      </c>
      <c r="W49" s="8" t="str">
        <f t="shared" si="3"/>
        <v>April</v>
      </c>
    </row>
    <row r="50" spans="1:23" x14ac:dyDescent="0.55000000000000004">
      <c r="A50" t="str">
        <f t="shared" si="0"/>
        <v>AprilAprilChina - DECI NC</v>
      </c>
      <c r="B50" s="3" t="s">
        <v>20</v>
      </c>
      <c r="C50" s="26" t="s">
        <v>241</v>
      </c>
      <c r="D50" s="26" t="s">
        <v>710</v>
      </c>
      <c r="E50" s="27">
        <v>43200</v>
      </c>
      <c r="F50" s="26" t="s">
        <v>332</v>
      </c>
      <c r="G50" s="26" t="s">
        <v>692</v>
      </c>
      <c r="H50" s="26" t="s">
        <v>711</v>
      </c>
      <c r="I50" s="26" t="s">
        <v>646</v>
      </c>
      <c r="J50" s="26" t="s">
        <v>27</v>
      </c>
      <c r="K50" s="31">
        <v>27069.54</v>
      </c>
      <c r="L50" s="28">
        <v>0</v>
      </c>
      <c r="M50" s="28">
        <v>27069.54</v>
      </c>
      <c r="N50" s="26"/>
      <c r="O50" t="s">
        <v>692</v>
      </c>
      <c r="P50" s="8" t="s">
        <v>97</v>
      </c>
      <c r="Q50" s="8"/>
      <c r="R50" s="9">
        <v>43191</v>
      </c>
      <c r="S50" s="9">
        <v>43191</v>
      </c>
      <c r="T50" s="8">
        <v>4</v>
      </c>
      <c r="U50" s="8" t="str">
        <f t="shared" si="4"/>
        <v>April</v>
      </c>
      <c r="V50">
        <f t="shared" si="2"/>
        <v>4</v>
      </c>
      <c r="W50" s="8" t="str">
        <f t="shared" si="3"/>
        <v>April</v>
      </c>
    </row>
    <row r="51" spans="1:23" x14ac:dyDescent="0.55000000000000004">
      <c r="A51" t="str">
        <f t="shared" si="0"/>
        <v>AprilAprilHong Kong - DECI NC</v>
      </c>
      <c r="B51" s="3" t="s">
        <v>20</v>
      </c>
      <c r="C51" s="26" t="s">
        <v>241</v>
      </c>
      <c r="D51" s="26" t="s">
        <v>712</v>
      </c>
      <c r="E51" s="27">
        <v>43200</v>
      </c>
      <c r="F51" s="26" t="s">
        <v>332</v>
      </c>
      <c r="G51" s="26" t="s">
        <v>698</v>
      </c>
      <c r="H51" s="26" t="s">
        <v>713</v>
      </c>
      <c r="I51" s="26" t="s">
        <v>646</v>
      </c>
      <c r="J51" s="26" t="s">
        <v>27</v>
      </c>
      <c r="K51" s="31">
        <v>12564.9</v>
      </c>
      <c r="L51" s="28">
        <v>0</v>
      </c>
      <c r="M51" s="28">
        <v>12564.9</v>
      </c>
      <c r="N51" s="26"/>
      <c r="O51" t="s">
        <v>698</v>
      </c>
      <c r="P51" s="8" t="s">
        <v>92</v>
      </c>
      <c r="Q51" s="8"/>
      <c r="R51" s="9">
        <v>43191</v>
      </c>
      <c r="S51" s="9">
        <v>43191</v>
      </c>
      <c r="T51" s="8">
        <v>4</v>
      </c>
      <c r="U51" s="8" t="str">
        <f t="shared" si="4"/>
        <v>April</v>
      </c>
      <c r="V51">
        <f t="shared" si="2"/>
        <v>4</v>
      </c>
      <c r="W51" s="8" t="str">
        <f t="shared" si="3"/>
        <v>April</v>
      </c>
    </row>
    <row r="52" spans="1:23" x14ac:dyDescent="0.55000000000000004">
      <c r="A52" t="str">
        <f t="shared" si="0"/>
        <v>AprilAprilChina - DCL KY</v>
      </c>
      <c r="B52" s="3" t="s">
        <v>20</v>
      </c>
      <c r="C52" s="26" t="s">
        <v>241</v>
      </c>
      <c r="D52" s="26" t="s">
        <v>714</v>
      </c>
      <c r="E52" s="27">
        <v>43200</v>
      </c>
      <c r="F52" s="26" t="s">
        <v>332</v>
      </c>
      <c r="G52" s="26" t="s">
        <v>715</v>
      </c>
      <c r="H52" s="26" t="s">
        <v>716</v>
      </c>
      <c r="I52" s="26" t="s">
        <v>646</v>
      </c>
      <c r="J52" s="26" t="s">
        <v>27</v>
      </c>
      <c r="K52" s="31">
        <v>27284.99</v>
      </c>
      <c r="L52" s="28">
        <v>0</v>
      </c>
      <c r="M52" s="28">
        <v>27284.99</v>
      </c>
      <c r="N52" s="26"/>
      <c r="O52" s="37" t="s">
        <v>715</v>
      </c>
      <c r="P52" s="35" t="s">
        <v>82</v>
      </c>
      <c r="Q52" s="8"/>
      <c r="R52" s="9">
        <v>43191</v>
      </c>
      <c r="S52" s="9">
        <v>43191</v>
      </c>
      <c r="T52" s="8">
        <v>4</v>
      </c>
      <c r="U52" s="8" t="str">
        <f t="shared" si="4"/>
        <v>April</v>
      </c>
      <c r="V52">
        <f t="shared" si="2"/>
        <v>4</v>
      </c>
      <c r="W52" s="8" t="str">
        <f t="shared" si="3"/>
        <v>April</v>
      </c>
    </row>
    <row r="53" spans="1:23" x14ac:dyDescent="0.55000000000000004">
      <c r="A53" t="str">
        <f t="shared" si="0"/>
        <v>AprilAprilChina - DCL KY</v>
      </c>
      <c r="B53" s="3" t="s">
        <v>20</v>
      </c>
      <c r="C53" s="26" t="s">
        <v>241</v>
      </c>
      <c r="D53" s="26" t="s">
        <v>717</v>
      </c>
      <c r="E53" s="27">
        <v>43206</v>
      </c>
      <c r="F53" s="26" t="s">
        <v>332</v>
      </c>
      <c r="G53" s="26" t="s">
        <v>718</v>
      </c>
      <c r="H53" s="26" t="s">
        <v>719</v>
      </c>
      <c r="I53" s="26" t="s">
        <v>646</v>
      </c>
      <c r="J53" s="26" t="s">
        <v>27</v>
      </c>
      <c r="K53" s="31">
        <v>9857.26</v>
      </c>
      <c r="L53" s="28">
        <v>0</v>
      </c>
      <c r="M53" s="28">
        <v>9857.26</v>
      </c>
      <c r="N53" s="26"/>
      <c r="O53" s="37" t="s">
        <v>718</v>
      </c>
      <c r="P53" s="35" t="s">
        <v>82</v>
      </c>
      <c r="Q53" s="8"/>
      <c r="R53" s="9">
        <v>43191</v>
      </c>
      <c r="S53" s="9">
        <v>43191</v>
      </c>
      <c r="T53" s="8">
        <v>4</v>
      </c>
      <c r="U53" s="8" t="str">
        <f t="shared" si="4"/>
        <v>April</v>
      </c>
      <c r="V53">
        <f t="shared" si="2"/>
        <v>4</v>
      </c>
      <c r="W53" s="8" t="str">
        <f t="shared" si="3"/>
        <v>April</v>
      </c>
    </row>
    <row r="54" spans="1:23" x14ac:dyDescent="0.55000000000000004">
      <c r="A54" t="str">
        <f t="shared" si="0"/>
        <v>AprilAprilHong Kong - DCL KY</v>
      </c>
      <c r="B54" s="3" t="s">
        <v>20</v>
      </c>
      <c r="C54" s="26" t="s">
        <v>241</v>
      </c>
      <c r="D54" s="26" t="s">
        <v>720</v>
      </c>
      <c r="E54" s="27">
        <v>43206</v>
      </c>
      <c r="F54" s="26" t="s">
        <v>332</v>
      </c>
      <c r="G54" s="26" t="s">
        <v>721</v>
      </c>
      <c r="H54" s="26" t="s">
        <v>722</v>
      </c>
      <c r="I54" s="26" t="s">
        <v>646</v>
      </c>
      <c r="J54" s="26" t="s">
        <v>27</v>
      </c>
      <c r="K54" s="31">
        <v>24380.83</v>
      </c>
      <c r="L54" s="28">
        <v>0</v>
      </c>
      <c r="M54" s="28">
        <v>24380.83</v>
      </c>
      <c r="N54" s="26"/>
      <c r="O54" t="s">
        <v>721</v>
      </c>
      <c r="P54" s="8" t="s">
        <v>39</v>
      </c>
      <c r="Q54" s="8"/>
      <c r="R54" s="9">
        <v>43191</v>
      </c>
      <c r="S54" s="9">
        <v>43191</v>
      </c>
      <c r="T54" s="8">
        <v>4</v>
      </c>
      <c r="U54" s="8" t="str">
        <f t="shared" si="4"/>
        <v>April</v>
      </c>
      <c r="V54">
        <f t="shared" si="2"/>
        <v>4</v>
      </c>
      <c r="W54" s="8" t="str">
        <f t="shared" si="3"/>
        <v>April</v>
      </c>
    </row>
    <row r="55" spans="1:23" x14ac:dyDescent="0.55000000000000004">
      <c r="A55" t="str">
        <f t="shared" si="0"/>
        <v>AprilAprilHong Kong - DCL KY</v>
      </c>
      <c r="B55" s="3" t="s">
        <v>20</v>
      </c>
      <c r="C55" s="26" t="s">
        <v>241</v>
      </c>
      <c r="D55" s="26" t="s">
        <v>723</v>
      </c>
      <c r="E55" s="27">
        <v>43206</v>
      </c>
      <c r="F55" s="26" t="s">
        <v>332</v>
      </c>
      <c r="G55" s="26" t="s">
        <v>724</v>
      </c>
      <c r="H55" s="26" t="s">
        <v>725</v>
      </c>
      <c r="I55" s="26" t="s">
        <v>646</v>
      </c>
      <c r="J55" s="26" t="s">
        <v>27</v>
      </c>
      <c r="K55" s="31">
        <v>8973.2800000000007</v>
      </c>
      <c r="L55" s="28">
        <v>0</v>
      </c>
      <c r="M55" s="28">
        <v>8973.2800000000007</v>
      </c>
      <c r="N55" s="26"/>
      <c r="O55" t="s">
        <v>724</v>
      </c>
      <c r="P55" s="8" t="s">
        <v>39</v>
      </c>
      <c r="Q55" s="8"/>
      <c r="R55" s="9">
        <v>43191</v>
      </c>
      <c r="S55" s="9">
        <v>43191</v>
      </c>
      <c r="T55" s="8">
        <v>4</v>
      </c>
      <c r="U55" s="8" t="str">
        <f t="shared" si="4"/>
        <v>April</v>
      </c>
      <c r="V55">
        <f t="shared" si="2"/>
        <v>4</v>
      </c>
      <c r="W55" s="8" t="str">
        <f t="shared" si="3"/>
        <v>April</v>
      </c>
    </row>
    <row r="56" spans="1:23" x14ac:dyDescent="0.55000000000000004">
      <c r="A56" t="str">
        <f t="shared" si="0"/>
        <v>AprilAprilHong Kong - DCL KY</v>
      </c>
      <c r="B56" s="3" t="s">
        <v>20</v>
      </c>
      <c r="C56" s="26" t="s">
        <v>241</v>
      </c>
      <c r="D56" s="26" t="s">
        <v>726</v>
      </c>
      <c r="E56" s="27">
        <v>43206</v>
      </c>
      <c r="F56" s="26" t="s">
        <v>332</v>
      </c>
      <c r="G56" s="26" t="s">
        <v>727</v>
      </c>
      <c r="H56" s="26" t="s">
        <v>728</v>
      </c>
      <c r="I56" s="26" t="s">
        <v>646</v>
      </c>
      <c r="J56" s="26" t="s">
        <v>27</v>
      </c>
      <c r="K56" s="31">
        <v>4020.61</v>
      </c>
      <c r="L56" s="28">
        <v>0</v>
      </c>
      <c r="M56" s="28">
        <v>4020.61</v>
      </c>
      <c r="N56" s="26"/>
      <c r="O56" t="s">
        <v>727</v>
      </c>
      <c r="P56" s="8" t="s">
        <v>39</v>
      </c>
      <c r="Q56" s="8"/>
      <c r="R56" s="9">
        <v>43191</v>
      </c>
      <c r="S56" s="9">
        <v>43191</v>
      </c>
      <c r="T56" s="8">
        <v>4</v>
      </c>
      <c r="U56" s="8" t="str">
        <f t="shared" si="4"/>
        <v>April</v>
      </c>
      <c r="V56">
        <f t="shared" si="2"/>
        <v>4</v>
      </c>
      <c r="W56" s="8" t="str">
        <f t="shared" si="3"/>
        <v>April</v>
      </c>
    </row>
    <row r="57" spans="1:23" x14ac:dyDescent="0.55000000000000004">
      <c r="A57" t="str">
        <f t="shared" si="0"/>
        <v>AprilAprilHong Kong - DCL KY</v>
      </c>
      <c r="B57" s="3" t="s">
        <v>20</v>
      </c>
      <c r="C57" s="26" t="s">
        <v>241</v>
      </c>
      <c r="D57" s="26" t="s">
        <v>729</v>
      </c>
      <c r="E57" s="27">
        <v>43206</v>
      </c>
      <c r="F57" s="26" t="s">
        <v>332</v>
      </c>
      <c r="G57" s="26" t="s">
        <v>730</v>
      </c>
      <c r="H57" s="26" t="s">
        <v>731</v>
      </c>
      <c r="I57" s="26" t="s">
        <v>646</v>
      </c>
      <c r="J57" s="26" t="s">
        <v>27</v>
      </c>
      <c r="K57" s="31">
        <v>4831.8900000000003</v>
      </c>
      <c r="L57" s="28">
        <v>0</v>
      </c>
      <c r="M57" s="28">
        <v>4831.8900000000003</v>
      </c>
      <c r="N57" s="26"/>
      <c r="O57" t="s">
        <v>730</v>
      </c>
      <c r="P57" s="8" t="s">
        <v>39</v>
      </c>
      <c r="Q57" s="8"/>
      <c r="R57" s="9">
        <v>43191</v>
      </c>
      <c r="S57" s="9">
        <v>43191</v>
      </c>
      <c r="T57" s="8">
        <v>4</v>
      </c>
      <c r="U57" s="8" t="str">
        <f t="shared" si="4"/>
        <v>April</v>
      </c>
      <c r="V57">
        <f t="shared" si="2"/>
        <v>4</v>
      </c>
      <c r="W57" s="8" t="str">
        <f t="shared" si="3"/>
        <v>April</v>
      </c>
    </row>
    <row r="58" spans="1:23" x14ac:dyDescent="0.55000000000000004">
      <c r="A58" t="str">
        <f t="shared" si="0"/>
        <v>AprilAprilHong Kong - DCL KY</v>
      </c>
      <c r="B58" s="3" t="s">
        <v>20</v>
      </c>
      <c r="C58" s="26" t="s">
        <v>241</v>
      </c>
      <c r="D58" s="26" t="s">
        <v>732</v>
      </c>
      <c r="E58" s="27">
        <v>43206</v>
      </c>
      <c r="F58" s="26" t="s">
        <v>332</v>
      </c>
      <c r="G58" s="26" t="s">
        <v>730</v>
      </c>
      <c r="H58" s="26" t="s">
        <v>733</v>
      </c>
      <c r="I58" s="26" t="s">
        <v>646</v>
      </c>
      <c r="J58" s="26" t="s">
        <v>27</v>
      </c>
      <c r="K58" s="31">
        <v>2068.1999999999998</v>
      </c>
      <c r="L58" s="28">
        <v>0</v>
      </c>
      <c r="M58" s="28">
        <v>2068.1999999999998</v>
      </c>
      <c r="N58" s="26"/>
      <c r="O58" t="s">
        <v>730</v>
      </c>
      <c r="P58" s="8" t="s">
        <v>39</v>
      </c>
      <c r="Q58" s="8"/>
      <c r="R58" s="9">
        <v>43191</v>
      </c>
      <c r="S58" s="9">
        <v>43191</v>
      </c>
      <c r="T58" s="8">
        <v>4</v>
      </c>
      <c r="U58" s="8" t="str">
        <f t="shared" si="4"/>
        <v>April</v>
      </c>
      <c r="V58">
        <f t="shared" si="2"/>
        <v>4</v>
      </c>
      <c r="W58" s="8" t="str">
        <f t="shared" si="3"/>
        <v>April</v>
      </c>
    </row>
    <row r="59" spans="1:23" x14ac:dyDescent="0.55000000000000004">
      <c r="A59" t="str">
        <f t="shared" si="0"/>
        <v>AprilAprilChina - DCL KY</v>
      </c>
      <c r="B59" s="3" t="s">
        <v>20</v>
      </c>
      <c r="C59" s="26" t="s">
        <v>241</v>
      </c>
      <c r="D59" s="26" t="s">
        <v>734</v>
      </c>
      <c r="E59" s="27">
        <v>43206</v>
      </c>
      <c r="F59" s="26" t="s">
        <v>332</v>
      </c>
      <c r="G59" s="26" t="s">
        <v>735</v>
      </c>
      <c r="H59" s="26" t="s">
        <v>736</v>
      </c>
      <c r="I59" s="26" t="s">
        <v>646</v>
      </c>
      <c r="J59" s="26" t="s">
        <v>27</v>
      </c>
      <c r="K59" s="31">
        <v>24923.06</v>
      </c>
      <c r="L59" s="28">
        <v>0</v>
      </c>
      <c r="M59" s="28">
        <v>24923.06</v>
      </c>
      <c r="N59" s="26"/>
      <c r="O59" t="s">
        <v>735</v>
      </c>
      <c r="P59" s="8" t="s">
        <v>82</v>
      </c>
      <c r="Q59" s="8"/>
      <c r="R59" s="9">
        <v>43191</v>
      </c>
      <c r="S59" s="9">
        <v>43191</v>
      </c>
      <c r="T59" s="8">
        <v>4</v>
      </c>
      <c r="U59" s="8" t="str">
        <f t="shared" si="4"/>
        <v>April</v>
      </c>
      <c r="V59">
        <f t="shared" si="2"/>
        <v>4</v>
      </c>
      <c r="W59" s="8" t="str">
        <f t="shared" si="3"/>
        <v>April</v>
      </c>
    </row>
    <row r="60" spans="1:23" x14ac:dyDescent="0.55000000000000004">
      <c r="A60" t="str">
        <f t="shared" si="0"/>
        <v>AprilAprilChina - DECI NC</v>
      </c>
      <c r="B60" s="3" t="s">
        <v>20</v>
      </c>
      <c r="C60" s="26" t="s">
        <v>241</v>
      </c>
      <c r="D60" s="26" t="s">
        <v>737</v>
      </c>
      <c r="E60" s="27">
        <v>43206</v>
      </c>
      <c r="F60" s="26" t="s">
        <v>332</v>
      </c>
      <c r="G60" s="26" t="s">
        <v>692</v>
      </c>
      <c r="H60" s="26" t="s">
        <v>738</v>
      </c>
      <c r="I60" s="26" t="s">
        <v>646</v>
      </c>
      <c r="J60" s="26" t="s">
        <v>27</v>
      </c>
      <c r="K60" s="31">
        <v>6083.1</v>
      </c>
      <c r="L60" s="28">
        <v>0</v>
      </c>
      <c r="M60" s="28">
        <v>6083.1</v>
      </c>
      <c r="N60" s="26"/>
      <c r="O60" t="s">
        <v>692</v>
      </c>
      <c r="P60" s="8" t="s">
        <v>97</v>
      </c>
      <c r="Q60" s="8"/>
      <c r="R60" s="9">
        <v>43191</v>
      </c>
      <c r="S60" s="9">
        <v>43191</v>
      </c>
      <c r="T60" s="8">
        <v>4</v>
      </c>
      <c r="U60" s="8" t="str">
        <f t="shared" si="4"/>
        <v>April</v>
      </c>
      <c r="V60">
        <f t="shared" si="2"/>
        <v>4</v>
      </c>
      <c r="W60" s="8" t="str">
        <f t="shared" si="3"/>
        <v>April</v>
      </c>
    </row>
    <row r="61" spans="1:23" x14ac:dyDescent="0.55000000000000004">
      <c r="A61" t="str">
        <f t="shared" si="0"/>
        <v>AprilAprilChina - DECI NC</v>
      </c>
      <c r="B61" s="3" t="s">
        <v>20</v>
      </c>
      <c r="C61" s="26" t="s">
        <v>241</v>
      </c>
      <c r="D61" s="26" t="s">
        <v>739</v>
      </c>
      <c r="E61" s="27">
        <v>43206</v>
      </c>
      <c r="F61" s="26" t="s">
        <v>332</v>
      </c>
      <c r="G61" s="26" t="s">
        <v>740</v>
      </c>
      <c r="H61" s="26" t="s">
        <v>741</v>
      </c>
      <c r="I61" s="26" t="s">
        <v>646</v>
      </c>
      <c r="J61" s="26" t="s">
        <v>27</v>
      </c>
      <c r="K61" s="31">
        <v>32244.75</v>
      </c>
      <c r="L61" s="28">
        <v>0</v>
      </c>
      <c r="M61" s="28">
        <v>32244.75</v>
      </c>
      <c r="N61" s="26"/>
      <c r="O61" t="s">
        <v>740</v>
      </c>
      <c r="P61" s="8" t="s">
        <v>97</v>
      </c>
      <c r="Q61" s="8"/>
      <c r="R61" s="9">
        <v>43191</v>
      </c>
      <c r="S61" s="9">
        <v>43191</v>
      </c>
      <c r="T61" s="8">
        <v>4</v>
      </c>
      <c r="U61" s="8" t="str">
        <f t="shared" si="4"/>
        <v>April</v>
      </c>
      <c r="V61">
        <f t="shared" si="2"/>
        <v>4</v>
      </c>
      <c r="W61" s="8" t="str">
        <f t="shared" si="3"/>
        <v>April</v>
      </c>
    </row>
    <row r="62" spans="1:23" x14ac:dyDescent="0.55000000000000004">
      <c r="A62" t="str">
        <f t="shared" si="0"/>
        <v>AprilAprilHong Kong - DECI NC</v>
      </c>
      <c r="B62" s="3" t="s">
        <v>20</v>
      </c>
      <c r="C62" s="26" t="s">
        <v>241</v>
      </c>
      <c r="D62" s="26" t="s">
        <v>742</v>
      </c>
      <c r="E62" s="27">
        <v>43214</v>
      </c>
      <c r="F62" s="26" t="s">
        <v>332</v>
      </c>
      <c r="G62" s="26" t="s">
        <v>743</v>
      </c>
      <c r="H62" s="26" t="s">
        <v>744</v>
      </c>
      <c r="I62" s="26" t="s">
        <v>646</v>
      </c>
      <c r="J62" s="26" t="s">
        <v>27</v>
      </c>
      <c r="K62" s="31">
        <v>6470.94</v>
      </c>
      <c r="L62" s="28">
        <v>0</v>
      </c>
      <c r="M62" s="28">
        <v>6470.94</v>
      </c>
      <c r="N62" s="26"/>
      <c r="O62" t="s">
        <v>743</v>
      </c>
      <c r="P62" s="8" t="s">
        <v>92</v>
      </c>
      <c r="Q62" s="8"/>
      <c r="R62" s="9">
        <v>43191</v>
      </c>
      <c r="S62" s="9">
        <v>43191</v>
      </c>
      <c r="T62" s="8">
        <v>4</v>
      </c>
      <c r="U62" s="8" t="str">
        <f t="shared" si="4"/>
        <v>April</v>
      </c>
      <c r="V62">
        <f t="shared" si="2"/>
        <v>4</v>
      </c>
      <c r="W62" s="8" t="str">
        <f t="shared" si="3"/>
        <v>April</v>
      </c>
    </row>
    <row r="63" spans="1:23" x14ac:dyDescent="0.55000000000000004">
      <c r="A63" t="str">
        <f t="shared" si="0"/>
        <v>AprilAprilChina - DECI NC</v>
      </c>
      <c r="B63" s="3" t="s">
        <v>20</v>
      </c>
      <c r="C63" s="26" t="s">
        <v>241</v>
      </c>
      <c r="D63" s="26" t="s">
        <v>745</v>
      </c>
      <c r="E63" s="27">
        <v>43214</v>
      </c>
      <c r="F63" s="26" t="s">
        <v>332</v>
      </c>
      <c r="G63" s="26" t="s">
        <v>746</v>
      </c>
      <c r="H63" s="26" t="s">
        <v>747</v>
      </c>
      <c r="I63" s="26" t="s">
        <v>646</v>
      </c>
      <c r="J63" s="26" t="s">
        <v>27</v>
      </c>
      <c r="K63" s="31">
        <v>16670.330000000002</v>
      </c>
      <c r="L63" s="28">
        <v>0</v>
      </c>
      <c r="M63" s="28">
        <v>16670.330000000002</v>
      </c>
      <c r="N63" s="26"/>
      <c r="O63" t="s">
        <v>746</v>
      </c>
      <c r="P63" s="8" t="s">
        <v>97</v>
      </c>
      <c r="Q63" s="8"/>
      <c r="R63" s="9">
        <v>43191</v>
      </c>
      <c r="S63" s="9">
        <v>43191</v>
      </c>
      <c r="T63" s="8">
        <v>4</v>
      </c>
      <c r="U63" s="8" t="str">
        <f t="shared" si="4"/>
        <v>April</v>
      </c>
      <c r="V63">
        <f t="shared" si="2"/>
        <v>4</v>
      </c>
      <c r="W63" s="8" t="str">
        <f t="shared" si="3"/>
        <v>April</v>
      </c>
    </row>
    <row r="64" spans="1:23" x14ac:dyDescent="0.55000000000000004">
      <c r="A64" t="str">
        <f t="shared" si="0"/>
        <v>AprilAprilHong Kong - DECI NC</v>
      </c>
      <c r="B64" s="3" t="s">
        <v>20</v>
      </c>
      <c r="C64" s="26" t="s">
        <v>241</v>
      </c>
      <c r="D64" s="26" t="s">
        <v>748</v>
      </c>
      <c r="E64" s="27">
        <v>43214</v>
      </c>
      <c r="F64" s="26" t="s">
        <v>332</v>
      </c>
      <c r="G64" s="26" t="s">
        <v>749</v>
      </c>
      <c r="H64" s="26" t="s">
        <v>750</v>
      </c>
      <c r="I64" s="26" t="s">
        <v>646</v>
      </c>
      <c r="J64" s="26" t="s">
        <v>27</v>
      </c>
      <c r="K64" s="31">
        <v>11373.11</v>
      </c>
      <c r="L64" s="28">
        <v>0</v>
      </c>
      <c r="M64" s="28">
        <v>11373.11</v>
      </c>
      <c r="N64" s="26"/>
      <c r="O64" t="s">
        <v>749</v>
      </c>
      <c r="P64" s="8" t="s">
        <v>92</v>
      </c>
      <c r="Q64" s="8"/>
      <c r="R64" s="9">
        <v>43191</v>
      </c>
      <c r="S64" s="9">
        <v>43191</v>
      </c>
      <c r="T64" s="8">
        <v>4</v>
      </c>
      <c r="U64" s="8" t="str">
        <f t="shared" si="4"/>
        <v>April</v>
      </c>
      <c r="V64">
        <f t="shared" si="2"/>
        <v>4</v>
      </c>
      <c r="W64" s="8" t="str">
        <f t="shared" si="3"/>
        <v>April</v>
      </c>
    </row>
    <row r="65" spans="1:23" x14ac:dyDescent="0.55000000000000004">
      <c r="A65" t="str">
        <f t="shared" si="0"/>
        <v>AprilAprilChina - DCL KY</v>
      </c>
      <c r="B65" s="3" t="s">
        <v>20</v>
      </c>
      <c r="C65" s="26" t="s">
        <v>241</v>
      </c>
      <c r="D65" s="26" t="s">
        <v>751</v>
      </c>
      <c r="E65" s="27">
        <v>43214</v>
      </c>
      <c r="F65" s="26" t="s">
        <v>332</v>
      </c>
      <c r="G65" s="26" t="s">
        <v>752</v>
      </c>
      <c r="H65" s="26" t="s">
        <v>753</v>
      </c>
      <c r="I65" s="26" t="s">
        <v>646</v>
      </c>
      <c r="J65" s="26" t="s">
        <v>27</v>
      </c>
      <c r="K65" s="31">
        <v>24775.32</v>
      </c>
      <c r="L65" s="28">
        <v>0</v>
      </c>
      <c r="M65" s="28">
        <v>24775.32</v>
      </c>
      <c r="N65" s="26"/>
      <c r="O65" t="s">
        <v>752</v>
      </c>
      <c r="P65" s="8" t="s">
        <v>82</v>
      </c>
      <c r="Q65" s="8"/>
      <c r="R65" s="9">
        <v>43191</v>
      </c>
      <c r="S65" s="9">
        <v>43191</v>
      </c>
      <c r="T65" s="8">
        <v>4</v>
      </c>
      <c r="U65" s="8" t="str">
        <f t="shared" si="4"/>
        <v>April</v>
      </c>
      <c r="V65">
        <f t="shared" si="2"/>
        <v>4</v>
      </c>
      <c r="W65" s="8" t="str">
        <f t="shared" si="3"/>
        <v>April</v>
      </c>
    </row>
    <row r="66" spans="1:23" x14ac:dyDescent="0.55000000000000004">
      <c r="A66" t="str">
        <f t="shared" si="0"/>
        <v>AprilAprilHong Kong - Flex IL</v>
      </c>
      <c r="B66" s="3" t="s">
        <v>20</v>
      </c>
      <c r="C66" s="26" t="s">
        <v>241</v>
      </c>
      <c r="D66" s="26" t="s">
        <v>754</v>
      </c>
      <c r="E66" s="27">
        <v>43214</v>
      </c>
      <c r="F66" s="26" t="s">
        <v>332</v>
      </c>
      <c r="G66" s="26" t="s">
        <v>755</v>
      </c>
      <c r="H66" s="26" t="s">
        <v>756</v>
      </c>
      <c r="I66" s="26" t="s">
        <v>646</v>
      </c>
      <c r="J66" s="26" t="s">
        <v>27</v>
      </c>
      <c r="K66" s="31">
        <v>3903.36</v>
      </c>
      <c r="L66" s="28">
        <v>0</v>
      </c>
      <c r="M66" s="28">
        <v>3903.36</v>
      </c>
      <c r="N66" s="26"/>
      <c r="O66" t="s">
        <v>755</v>
      </c>
      <c r="P66" s="8" t="s">
        <v>111</v>
      </c>
      <c r="Q66" s="8"/>
      <c r="R66" s="9">
        <v>43191</v>
      </c>
      <c r="S66" s="9">
        <v>43191</v>
      </c>
      <c r="T66" s="8">
        <v>4</v>
      </c>
      <c r="U66" s="8" t="str">
        <f t="shared" ref="U66:U82" si="5">IF(T66=6,"June",IF(T66=5,"May",IF(T66=4,"April",IF(T66=3,"March",0))))</f>
        <v>April</v>
      </c>
      <c r="V66">
        <f t="shared" si="2"/>
        <v>4</v>
      </c>
      <c r="W66" s="8" t="str">
        <f t="shared" si="3"/>
        <v>April</v>
      </c>
    </row>
    <row r="67" spans="1:23" x14ac:dyDescent="0.55000000000000004">
      <c r="A67" t="str">
        <f t="shared" ref="A67:A130" si="6">U67&amp;W67&amp;P67</f>
        <v>AprilAprilChina - DECI NC</v>
      </c>
      <c r="B67" s="3" t="s">
        <v>20</v>
      </c>
      <c r="C67" s="26" t="s">
        <v>241</v>
      </c>
      <c r="D67" s="26" t="s">
        <v>757</v>
      </c>
      <c r="E67" s="27">
        <v>43214</v>
      </c>
      <c r="F67" s="26" t="s">
        <v>332</v>
      </c>
      <c r="G67" s="26" t="s">
        <v>746</v>
      </c>
      <c r="H67" s="26" t="s">
        <v>758</v>
      </c>
      <c r="I67" s="26" t="s">
        <v>646</v>
      </c>
      <c r="J67" s="26" t="s">
        <v>27</v>
      </c>
      <c r="K67" s="31">
        <v>32179.18</v>
      </c>
      <c r="L67" s="28">
        <v>0</v>
      </c>
      <c r="M67" s="28">
        <v>32179.18</v>
      </c>
      <c r="N67" s="26"/>
      <c r="O67" t="s">
        <v>746</v>
      </c>
      <c r="P67" s="8" t="s">
        <v>97</v>
      </c>
      <c r="Q67" s="8"/>
      <c r="R67" s="9">
        <v>43191</v>
      </c>
      <c r="S67" s="9">
        <v>43191</v>
      </c>
      <c r="T67" s="8">
        <v>4</v>
      </c>
      <c r="U67" s="8" t="str">
        <f t="shared" si="5"/>
        <v>April</v>
      </c>
      <c r="V67">
        <f t="shared" ref="V67:V130" si="7">MONTH(S67)</f>
        <v>4</v>
      </c>
      <c r="W67" s="8" t="str">
        <f t="shared" ref="W67:W130" si="8">IF(V67=6,"June",IF(V67=5,"May",IF(V67=4,"April",IF(V67=3,"March",IF(V67=7,"July",IF(V67=2,"February",0))))))</f>
        <v>April</v>
      </c>
    </row>
    <row r="68" spans="1:23" x14ac:dyDescent="0.55000000000000004">
      <c r="A68" t="str">
        <f t="shared" si="6"/>
        <v>AprilAprilHong Kong - DECI NC</v>
      </c>
      <c r="B68" s="3" t="s">
        <v>20</v>
      </c>
      <c r="C68" s="26" t="s">
        <v>241</v>
      </c>
      <c r="D68" s="26" t="s">
        <v>759</v>
      </c>
      <c r="E68" s="27">
        <v>43214</v>
      </c>
      <c r="F68" s="26" t="s">
        <v>332</v>
      </c>
      <c r="G68" s="26" t="s">
        <v>760</v>
      </c>
      <c r="H68" s="26" t="s">
        <v>761</v>
      </c>
      <c r="I68" s="26" t="s">
        <v>646</v>
      </c>
      <c r="J68" s="26" t="s">
        <v>27</v>
      </c>
      <c r="K68" s="31">
        <v>9563.8700000000008</v>
      </c>
      <c r="L68" s="28">
        <v>0</v>
      </c>
      <c r="M68" s="28">
        <v>9563.8700000000008</v>
      </c>
      <c r="N68" s="26"/>
      <c r="O68" t="s">
        <v>760</v>
      </c>
      <c r="P68" s="8" t="s">
        <v>92</v>
      </c>
      <c r="Q68" s="8"/>
      <c r="R68" s="9">
        <v>43191</v>
      </c>
      <c r="S68" s="9">
        <v>43191</v>
      </c>
      <c r="T68" s="8">
        <v>4</v>
      </c>
      <c r="U68" s="8" t="str">
        <f t="shared" si="5"/>
        <v>April</v>
      </c>
      <c r="V68">
        <f t="shared" si="7"/>
        <v>4</v>
      </c>
      <c r="W68" s="8" t="str">
        <f t="shared" si="8"/>
        <v>April</v>
      </c>
    </row>
    <row r="69" spans="1:23" x14ac:dyDescent="0.55000000000000004">
      <c r="A69" t="str">
        <f t="shared" si="6"/>
        <v>AprilAprilHong Kong - DECI NC</v>
      </c>
      <c r="B69" s="3" t="s">
        <v>20</v>
      </c>
      <c r="C69" s="26" t="s">
        <v>241</v>
      </c>
      <c r="D69" s="26" t="s">
        <v>762</v>
      </c>
      <c r="E69" s="27">
        <v>43214</v>
      </c>
      <c r="F69" s="26" t="s">
        <v>332</v>
      </c>
      <c r="G69" s="26" t="s">
        <v>760</v>
      </c>
      <c r="H69" s="26" t="s">
        <v>763</v>
      </c>
      <c r="I69" s="26" t="s">
        <v>646</v>
      </c>
      <c r="J69" s="26" t="s">
        <v>27</v>
      </c>
      <c r="K69" s="31">
        <v>16566.87</v>
      </c>
      <c r="L69" s="28">
        <v>0</v>
      </c>
      <c r="M69" s="28">
        <v>16566.87</v>
      </c>
      <c r="N69" s="26"/>
      <c r="O69" t="s">
        <v>760</v>
      </c>
      <c r="P69" s="8" t="s">
        <v>92</v>
      </c>
      <c r="Q69" s="8"/>
      <c r="R69" s="9">
        <v>43191</v>
      </c>
      <c r="S69" s="9">
        <v>43191</v>
      </c>
      <c r="T69" s="8">
        <v>4</v>
      </c>
      <c r="U69" s="8" t="str">
        <f t="shared" si="5"/>
        <v>April</v>
      </c>
      <c r="V69">
        <f t="shared" si="7"/>
        <v>4</v>
      </c>
      <c r="W69" s="8" t="str">
        <f t="shared" si="8"/>
        <v>April</v>
      </c>
    </row>
    <row r="70" spans="1:23" x14ac:dyDescent="0.55000000000000004">
      <c r="A70" t="str">
        <f t="shared" si="6"/>
        <v>AprilAprilHong Kong - DECI NC</v>
      </c>
      <c r="B70" s="3" t="s">
        <v>20</v>
      </c>
      <c r="C70" s="26" t="s">
        <v>241</v>
      </c>
      <c r="D70" s="26" t="s">
        <v>764</v>
      </c>
      <c r="E70" s="27">
        <v>43214</v>
      </c>
      <c r="F70" s="26" t="s">
        <v>332</v>
      </c>
      <c r="G70" s="26" t="s">
        <v>765</v>
      </c>
      <c r="H70" s="26" t="s">
        <v>766</v>
      </c>
      <c r="I70" s="26" t="s">
        <v>646</v>
      </c>
      <c r="J70" s="26" t="s">
        <v>27</v>
      </c>
      <c r="K70" s="31">
        <v>8641.7099999999991</v>
      </c>
      <c r="L70" s="28">
        <v>0</v>
      </c>
      <c r="M70" s="28">
        <v>8641.7099999999991</v>
      </c>
      <c r="N70" s="26"/>
      <c r="O70" t="s">
        <v>765</v>
      </c>
      <c r="P70" s="8" t="s">
        <v>92</v>
      </c>
      <c r="Q70" s="8"/>
      <c r="R70" s="9">
        <v>43191</v>
      </c>
      <c r="S70" s="9">
        <v>43191</v>
      </c>
      <c r="T70" s="8">
        <v>4</v>
      </c>
      <c r="U70" s="8" t="str">
        <f t="shared" si="5"/>
        <v>April</v>
      </c>
      <c r="V70">
        <f t="shared" si="7"/>
        <v>4</v>
      </c>
      <c r="W70" s="8" t="str">
        <f t="shared" si="8"/>
        <v>April</v>
      </c>
    </row>
    <row r="71" spans="1:23" x14ac:dyDescent="0.55000000000000004">
      <c r="A71" t="str">
        <f t="shared" si="6"/>
        <v>AprilAprilHong Kong - DECI NC</v>
      </c>
      <c r="B71" s="3" t="s">
        <v>20</v>
      </c>
      <c r="C71" s="26" t="s">
        <v>241</v>
      </c>
      <c r="D71" s="26" t="s">
        <v>767</v>
      </c>
      <c r="E71" s="27">
        <v>43214</v>
      </c>
      <c r="F71" s="26" t="s">
        <v>332</v>
      </c>
      <c r="G71" s="26" t="s">
        <v>765</v>
      </c>
      <c r="H71" s="26" t="s">
        <v>768</v>
      </c>
      <c r="I71" s="26" t="s">
        <v>646</v>
      </c>
      <c r="J71" s="26" t="s">
        <v>27</v>
      </c>
      <c r="K71" s="31">
        <v>15738.3</v>
      </c>
      <c r="L71" s="28">
        <v>0</v>
      </c>
      <c r="M71" s="28">
        <v>15738.3</v>
      </c>
      <c r="N71" s="26"/>
      <c r="O71" t="s">
        <v>765</v>
      </c>
      <c r="P71" s="8" t="s">
        <v>92</v>
      </c>
      <c r="Q71" s="8"/>
      <c r="R71" s="9">
        <v>43191</v>
      </c>
      <c r="S71" s="9">
        <v>43191</v>
      </c>
      <c r="T71" s="8">
        <v>4</v>
      </c>
      <c r="U71" s="8" t="str">
        <f t="shared" si="5"/>
        <v>April</v>
      </c>
      <c r="V71">
        <f t="shared" si="7"/>
        <v>4</v>
      </c>
      <c r="W71" s="8" t="str">
        <f t="shared" si="8"/>
        <v>April</v>
      </c>
    </row>
    <row r="72" spans="1:23" x14ac:dyDescent="0.55000000000000004">
      <c r="A72" t="str">
        <f t="shared" si="6"/>
        <v>AprilAprilHong Kong - DCL KY</v>
      </c>
      <c r="B72" s="3" t="s">
        <v>20</v>
      </c>
      <c r="C72" s="26" t="s">
        <v>241</v>
      </c>
      <c r="D72" s="26" t="s">
        <v>769</v>
      </c>
      <c r="E72" s="27">
        <v>43214</v>
      </c>
      <c r="F72" s="26" t="s">
        <v>332</v>
      </c>
      <c r="G72" s="26" t="s">
        <v>770</v>
      </c>
      <c r="H72" s="26" t="s">
        <v>771</v>
      </c>
      <c r="I72" s="26" t="s">
        <v>646</v>
      </c>
      <c r="J72" s="26" t="s">
        <v>27</v>
      </c>
      <c r="K72" s="31">
        <v>13045.21</v>
      </c>
      <c r="L72" s="28">
        <v>0</v>
      </c>
      <c r="M72" s="28">
        <v>13045.21</v>
      </c>
      <c r="N72" s="26"/>
      <c r="O72" t="s">
        <v>770</v>
      </c>
      <c r="P72" s="8" t="s">
        <v>39</v>
      </c>
      <c r="Q72" s="8"/>
      <c r="R72" s="9">
        <v>43191</v>
      </c>
      <c r="S72" s="9">
        <v>43191</v>
      </c>
      <c r="T72" s="8">
        <v>4</v>
      </c>
      <c r="U72" s="8" t="str">
        <f t="shared" si="5"/>
        <v>April</v>
      </c>
      <c r="V72">
        <f t="shared" si="7"/>
        <v>4</v>
      </c>
      <c r="W72" s="8" t="str">
        <f t="shared" si="8"/>
        <v>April</v>
      </c>
    </row>
    <row r="73" spans="1:23" x14ac:dyDescent="0.55000000000000004">
      <c r="A73" t="str">
        <f t="shared" si="6"/>
        <v>AprilAprilHong Kong - DECI NC</v>
      </c>
      <c r="B73" s="3" t="s">
        <v>20</v>
      </c>
      <c r="C73" s="26" t="s">
        <v>241</v>
      </c>
      <c r="D73" s="26" t="s">
        <v>772</v>
      </c>
      <c r="E73" s="27">
        <v>43214</v>
      </c>
      <c r="F73" s="26" t="s">
        <v>332</v>
      </c>
      <c r="G73" s="26" t="s">
        <v>749</v>
      </c>
      <c r="H73" s="26" t="s">
        <v>773</v>
      </c>
      <c r="I73" s="26" t="s">
        <v>646</v>
      </c>
      <c r="J73" s="26" t="s">
        <v>27</v>
      </c>
      <c r="K73" s="31">
        <v>20551.78</v>
      </c>
      <c r="L73" s="28">
        <v>0</v>
      </c>
      <c r="M73" s="28">
        <v>20551.78</v>
      </c>
      <c r="N73" s="26"/>
      <c r="O73" t="s">
        <v>749</v>
      </c>
      <c r="P73" s="8" t="s">
        <v>92</v>
      </c>
      <c r="Q73" s="8"/>
      <c r="R73" s="9">
        <v>43191</v>
      </c>
      <c r="S73" s="9">
        <v>43191</v>
      </c>
      <c r="T73" s="8">
        <v>4</v>
      </c>
      <c r="U73" s="8" t="str">
        <f t="shared" si="5"/>
        <v>April</v>
      </c>
      <c r="V73">
        <f t="shared" si="7"/>
        <v>4</v>
      </c>
      <c r="W73" s="8" t="str">
        <f t="shared" si="8"/>
        <v>April</v>
      </c>
    </row>
    <row r="74" spans="1:23" x14ac:dyDescent="0.55000000000000004">
      <c r="A74" t="str">
        <f t="shared" si="6"/>
        <v>AprilAprilChina - DCL KY</v>
      </c>
      <c r="B74" s="3" t="s">
        <v>20</v>
      </c>
      <c r="C74" s="26" t="s">
        <v>241</v>
      </c>
      <c r="D74" s="26" t="s">
        <v>774</v>
      </c>
      <c r="E74" s="27">
        <v>43214</v>
      </c>
      <c r="F74" s="26" t="s">
        <v>332</v>
      </c>
      <c r="G74" s="26" t="s">
        <v>775</v>
      </c>
      <c r="H74" s="26" t="s">
        <v>776</v>
      </c>
      <c r="I74" s="26" t="s">
        <v>646</v>
      </c>
      <c r="J74" s="26" t="s">
        <v>27</v>
      </c>
      <c r="K74" s="31">
        <v>10191.59</v>
      </c>
      <c r="L74" s="28">
        <v>0</v>
      </c>
      <c r="M74" s="28">
        <v>10191.59</v>
      </c>
      <c r="N74" s="26"/>
      <c r="O74" t="s">
        <v>775</v>
      </c>
      <c r="P74" s="8" t="s">
        <v>82</v>
      </c>
      <c r="Q74" s="8"/>
      <c r="R74" s="9">
        <v>43191</v>
      </c>
      <c r="S74" s="9">
        <v>43191</v>
      </c>
      <c r="T74" s="8">
        <v>4</v>
      </c>
      <c r="U74" s="8" t="str">
        <f t="shared" si="5"/>
        <v>April</v>
      </c>
      <c r="V74">
        <f t="shared" si="7"/>
        <v>4</v>
      </c>
      <c r="W74" s="8" t="str">
        <f t="shared" si="8"/>
        <v>April</v>
      </c>
    </row>
    <row r="75" spans="1:23" x14ac:dyDescent="0.55000000000000004">
      <c r="A75" t="str">
        <f t="shared" si="6"/>
        <v>AprilAprilHong Kong - DCL KY</v>
      </c>
      <c r="B75" s="3" t="s">
        <v>20</v>
      </c>
      <c r="C75" s="26" t="s">
        <v>241</v>
      </c>
      <c r="D75" s="26" t="s">
        <v>777</v>
      </c>
      <c r="E75" s="27">
        <v>43214</v>
      </c>
      <c r="F75" s="26" t="s">
        <v>332</v>
      </c>
      <c r="G75" s="26" t="s">
        <v>778</v>
      </c>
      <c r="H75" s="26" t="s">
        <v>779</v>
      </c>
      <c r="I75" s="26" t="s">
        <v>646</v>
      </c>
      <c r="J75" s="26" t="s">
        <v>27</v>
      </c>
      <c r="K75" s="31">
        <v>15403.66</v>
      </c>
      <c r="L75" s="28">
        <v>0</v>
      </c>
      <c r="M75" s="28">
        <v>15403.66</v>
      </c>
      <c r="N75" s="26"/>
      <c r="O75" t="s">
        <v>778</v>
      </c>
      <c r="P75" s="8" t="s">
        <v>39</v>
      </c>
      <c r="Q75" s="8"/>
      <c r="R75" s="9">
        <v>43191</v>
      </c>
      <c r="S75" s="9">
        <v>43191</v>
      </c>
      <c r="T75" s="8">
        <v>4</v>
      </c>
      <c r="U75" s="8" t="str">
        <f t="shared" si="5"/>
        <v>April</v>
      </c>
      <c r="V75">
        <f t="shared" si="7"/>
        <v>4</v>
      </c>
      <c r="W75" s="8" t="str">
        <f t="shared" si="8"/>
        <v>April</v>
      </c>
    </row>
    <row r="76" spans="1:23" x14ac:dyDescent="0.55000000000000004">
      <c r="A76" t="str">
        <f t="shared" si="6"/>
        <v>AprilAprilChina - DCL KY</v>
      </c>
      <c r="B76" s="3" t="s">
        <v>20</v>
      </c>
      <c r="C76" s="26" t="s">
        <v>241</v>
      </c>
      <c r="D76" s="26" t="s">
        <v>780</v>
      </c>
      <c r="E76" s="27">
        <v>43214</v>
      </c>
      <c r="F76" s="26" t="s">
        <v>332</v>
      </c>
      <c r="G76" s="26" t="s">
        <v>781</v>
      </c>
      <c r="H76" s="26" t="s">
        <v>782</v>
      </c>
      <c r="I76" s="26" t="s">
        <v>646</v>
      </c>
      <c r="J76" s="26" t="s">
        <v>27</v>
      </c>
      <c r="K76" s="31">
        <v>18761.95</v>
      </c>
      <c r="L76" s="28">
        <v>0</v>
      </c>
      <c r="M76" s="28">
        <v>18761.95</v>
      </c>
      <c r="N76" s="26"/>
      <c r="O76" t="s">
        <v>781</v>
      </c>
      <c r="P76" s="8" t="s">
        <v>82</v>
      </c>
      <c r="Q76" s="8"/>
      <c r="R76" s="9">
        <v>43191</v>
      </c>
      <c r="S76" s="9">
        <v>43191</v>
      </c>
      <c r="T76" s="8">
        <v>4</v>
      </c>
      <c r="U76" s="8" t="str">
        <f t="shared" si="5"/>
        <v>April</v>
      </c>
      <c r="V76">
        <f t="shared" si="7"/>
        <v>4</v>
      </c>
      <c r="W76" s="8" t="str">
        <f t="shared" si="8"/>
        <v>April</v>
      </c>
    </row>
    <row r="77" spans="1:23" x14ac:dyDescent="0.55000000000000004">
      <c r="A77" t="str">
        <f t="shared" si="6"/>
        <v>AprilAprilHong Kong - DECI NC</v>
      </c>
      <c r="B77" s="3" t="s">
        <v>20</v>
      </c>
      <c r="C77" s="26" t="s">
        <v>241</v>
      </c>
      <c r="D77" s="26" t="s">
        <v>783</v>
      </c>
      <c r="E77" s="27">
        <v>43216</v>
      </c>
      <c r="F77" s="26" t="s">
        <v>332</v>
      </c>
      <c r="G77" s="26" t="s">
        <v>749</v>
      </c>
      <c r="H77" s="26" t="s">
        <v>784</v>
      </c>
      <c r="I77" s="26" t="s">
        <v>646</v>
      </c>
      <c r="J77" s="26" t="s">
        <v>27</v>
      </c>
      <c r="K77" s="31">
        <v>12609.53</v>
      </c>
      <c r="L77" s="28">
        <v>0</v>
      </c>
      <c r="M77" s="28">
        <v>12609.53</v>
      </c>
      <c r="N77" s="26"/>
      <c r="O77" t="s">
        <v>749</v>
      </c>
      <c r="P77" s="8" t="s">
        <v>92</v>
      </c>
      <c r="Q77" s="8"/>
      <c r="R77" s="9">
        <v>43191</v>
      </c>
      <c r="S77" s="9">
        <v>43191</v>
      </c>
      <c r="T77" s="8">
        <v>4</v>
      </c>
      <c r="U77" s="8" t="str">
        <f t="shared" si="5"/>
        <v>April</v>
      </c>
      <c r="V77">
        <f t="shared" si="7"/>
        <v>4</v>
      </c>
      <c r="W77" s="8" t="str">
        <f t="shared" si="8"/>
        <v>April</v>
      </c>
    </row>
    <row r="78" spans="1:23" x14ac:dyDescent="0.55000000000000004">
      <c r="A78" t="str">
        <f t="shared" si="6"/>
        <v>AprilAprilChina - San Francisco</v>
      </c>
      <c r="B78" s="3" t="s">
        <v>20</v>
      </c>
      <c r="C78" s="26" t="s">
        <v>241</v>
      </c>
      <c r="D78" s="26" t="s">
        <v>785</v>
      </c>
      <c r="E78" s="27">
        <v>43216</v>
      </c>
      <c r="F78" s="26" t="s">
        <v>332</v>
      </c>
      <c r="G78" s="26" t="s">
        <v>786</v>
      </c>
      <c r="H78" s="26" t="s">
        <v>787</v>
      </c>
      <c r="I78" s="26" t="s">
        <v>646</v>
      </c>
      <c r="J78" s="26" t="s">
        <v>27</v>
      </c>
      <c r="K78" s="31">
        <v>1766.46</v>
      </c>
      <c r="L78" s="28">
        <v>0</v>
      </c>
      <c r="M78" s="28">
        <v>1766.46</v>
      </c>
      <c r="N78" s="26"/>
      <c r="O78" t="s">
        <v>786</v>
      </c>
      <c r="P78" s="8" t="s">
        <v>1077</v>
      </c>
      <c r="Q78" s="8"/>
      <c r="R78" s="9">
        <v>43191</v>
      </c>
      <c r="S78" s="9">
        <v>43191</v>
      </c>
      <c r="T78" s="8">
        <v>4</v>
      </c>
      <c r="U78" s="8" t="str">
        <f t="shared" si="5"/>
        <v>April</v>
      </c>
      <c r="V78">
        <f t="shared" si="7"/>
        <v>4</v>
      </c>
      <c r="W78" s="8" t="str">
        <f t="shared" si="8"/>
        <v>April</v>
      </c>
    </row>
    <row r="79" spans="1:23" x14ac:dyDescent="0.55000000000000004">
      <c r="A79" t="str">
        <f t="shared" si="6"/>
        <v>AprilAprilChina - DCL KY</v>
      </c>
      <c r="B79" s="3" t="s">
        <v>20</v>
      </c>
      <c r="C79" s="26" t="s">
        <v>241</v>
      </c>
      <c r="D79" s="26" t="s">
        <v>789</v>
      </c>
      <c r="E79" s="27">
        <v>43216</v>
      </c>
      <c r="F79" s="26" t="s">
        <v>332</v>
      </c>
      <c r="G79" s="26" t="s">
        <v>790</v>
      </c>
      <c r="H79" s="26" t="s">
        <v>791</v>
      </c>
      <c r="I79" s="26" t="s">
        <v>646</v>
      </c>
      <c r="J79" s="26" t="s">
        <v>27</v>
      </c>
      <c r="K79" s="31">
        <v>40485.040000000001</v>
      </c>
      <c r="L79" s="28">
        <v>0</v>
      </c>
      <c r="M79" s="28">
        <v>40485.040000000001</v>
      </c>
      <c r="N79" s="26"/>
      <c r="O79" t="s">
        <v>790</v>
      </c>
      <c r="P79" s="8" t="s">
        <v>82</v>
      </c>
      <c r="Q79" s="8"/>
      <c r="R79" s="9">
        <v>43191</v>
      </c>
      <c r="S79" s="9">
        <v>43191</v>
      </c>
      <c r="T79" s="8">
        <v>4</v>
      </c>
      <c r="U79" s="8" t="str">
        <f t="shared" si="5"/>
        <v>April</v>
      </c>
      <c r="V79">
        <f t="shared" si="7"/>
        <v>4</v>
      </c>
      <c r="W79" s="8" t="str">
        <f t="shared" si="8"/>
        <v>April</v>
      </c>
    </row>
    <row r="80" spans="1:23" x14ac:dyDescent="0.55000000000000004">
      <c r="A80" t="str">
        <f t="shared" si="6"/>
        <v>AprilAprilChina - DECI NC</v>
      </c>
      <c r="B80" s="3" t="s">
        <v>20</v>
      </c>
      <c r="C80" s="26" t="s">
        <v>241</v>
      </c>
      <c r="D80" s="26" t="s">
        <v>792</v>
      </c>
      <c r="E80" s="27">
        <v>43216</v>
      </c>
      <c r="F80" s="26" t="s">
        <v>332</v>
      </c>
      <c r="G80" s="26" t="s">
        <v>793</v>
      </c>
      <c r="H80" s="26" t="s">
        <v>794</v>
      </c>
      <c r="I80" s="26" t="s">
        <v>646</v>
      </c>
      <c r="J80" s="26" t="s">
        <v>27</v>
      </c>
      <c r="K80" s="31">
        <v>21807.88</v>
      </c>
      <c r="L80" s="28">
        <v>0</v>
      </c>
      <c r="M80" s="28">
        <v>21807.88</v>
      </c>
      <c r="N80" s="26"/>
      <c r="O80" t="s">
        <v>793</v>
      </c>
      <c r="P80" s="8" t="s">
        <v>97</v>
      </c>
      <c r="Q80" s="8"/>
      <c r="R80" s="9">
        <v>43191</v>
      </c>
      <c r="S80" s="9">
        <v>43191</v>
      </c>
      <c r="T80" s="8">
        <v>4</v>
      </c>
      <c r="U80" s="8" t="str">
        <f t="shared" si="5"/>
        <v>April</v>
      </c>
      <c r="V80">
        <f t="shared" si="7"/>
        <v>4</v>
      </c>
      <c r="W80" s="8" t="str">
        <f t="shared" si="8"/>
        <v>April</v>
      </c>
    </row>
    <row r="81" spans="1:23" x14ac:dyDescent="0.55000000000000004">
      <c r="A81" t="str">
        <f t="shared" si="6"/>
        <v>AprilAprilChina - DECI NC</v>
      </c>
      <c r="B81" s="3" t="s">
        <v>20</v>
      </c>
      <c r="C81" s="26" t="s">
        <v>241</v>
      </c>
      <c r="D81" s="26" t="s">
        <v>795</v>
      </c>
      <c r="E81" s="27">
        <v>43217</v>
      </c>
      <c r="F81" s="26" t="s">
        <v>332</v>
      </c>
      <c r="G81" s="26" t="s">
        <v>793</v>
      </c>
      <c r="H81" s="26" t="s">
        <v>796</v>
      </c>
      <c r="I81" s="26" t="s">
        <v>646</v>
      </c>
      <c r="J81" s="26" t="s">
        <v>27</v>
      </c>
      <c r="K81" s="31">
        <v>15458.87</v>
      </c>
      <c r="L81" s="28">
        <v>0</v>
      </c>
      <c r="M81" s="28">
        <v>15458.87</v>
      </c>
      <c r="N81" s="26"/>
      <c r="O81" t="s">
        <v>793</v>
      </c>
      <c r="P81" s="8" t="s">
        <v>97</v>
      </c>
      <c r="Q81" s="8"/>
      <c r="R81" s="9">
        <v>43191</v>
      </c>
      <c r="S81" s="9">
        <v>43191</v>
      </c>
      <c r="T81" s="8">
        <v>4</v>
      </c>
      <c r="U81" s="8" t="str">
        <f t="shared" si="5"/>
        <v>April</v>
      </c>
      <c r="V81">
        <f t="shared" si="7"/>
        <v>4</v>
      </c>
      <c r="W81" s="8" t="str">
        <f t="shared" si="8"/>
        <v>April</v>
      </c>
    </row>
    <row r="82" spans="1:23" x14ac:dyDescent="0.55000000000000004">
      <c r="A82" t="str">
        <f t="shared" si="6"/>
        <v>AprilAprilChina - DECI NC</v>
      </c>
      <c r="B82" s="3" t="s">
        <v>20</v>
      </c>
      <c r="C82" s="26" t="s">
        <v>241</v>
      </c>
      <c r="D82" s="26" t="s">
        <v>797</v>
      </c>
      <c r="E82" s="27">
        <v>43217</v>
      </c>
      <c r="F82" s="26" t="s">
        <v>332</v>
      </c>
      <c r="G82" s="26" t="s">
        <v>793</v>
      </c>
      <c r="H82" s="26" t="s">
        <v>798</v>
      </c>
      <c r="I82" s="26" t="s">
        <v>646</v>
      </c>
      <c r="J82" s="26" t="s">
        <v>27</v>
      </c>
      <c r="K82" s="31">
        <v>17882.41</v>
      </c>
      <c r="L82" s="28">
        <v>0</v>
      </c>
      <c r="M82" s="28">
        <v>17882.41</v>
      </c>
      <c r="N82" s="26"/>
      <c r="O82" t="s">
        <v>793</v>
      </c>
      <c r="P82" s="8" t="s">
        <v>97</v>
      </c>
      <c r="Q82" s="8"/>
      <c r="R82" s="9">
        <v>43191</v>
      </c>
      <c r="S82" s="9">
        <v>43191</v>
      </c>
      <c r="T82" s="8">
        <v>4</v>
      </c>
      <c r="U82" s="8" t="str">
        <f t="shared" si="5"/>
        <v>April</v>
      </c>
      <c r="V82">
        <f t="shared" si="7"/>
        <v>4</v>
      </c>
      <c r="W82" s="8" t="str">
        <f t="shared" si="8"/>
        <v>April</v>
      </c>
    </row>
    <row r="83" spans="1:23" x14ac:dyDescent="0.55000000000000004">
      <c r="A83" t="str">
        <f t="shared" si="6"/>
        <v>AprilAprilChina - DECI NC</v>
      </c>
      <c r="B83" s="3" t="s">
        <v>20</v>
      </c>
      <c r="C83" s="4" t="s">
        <v>150</v>
      </c>
      <c r="D83" s="4" t="s">
        <v>795</v>
      </c>
      <c r="E83" s="5">
        <v>43217</v>
      </c>
      <c r="F83" s="4" t="s">
        <v>842</v>
      </c>
      <c r="G83" s="4" t="s">
        <v>793</v>
      </c>
      <c r="H83" s="4" t="s">
        <v>796</v>
      </c>
      <c r="I83" s="4" t="s">
        <v>646</v>
      </c>
      <c r="J83" s="4" t="s">
        <v>27</v>
      </c>
      <c r="K83" s="32">
        <v>15458.87</v>
      </c>
      <c r="L83" s="6">
        <v>0</v>
      </c>
      <c r="M83" s="6">
        <v>15458.87</v>
      </c>
      <c r="N83" s="6"/>
      <c r="O83" s="33" t="s">
        <v>793</v>
      </c>
      <c r="P83" s="3" t="s">
        <v>97</v>
      </c>
      <c r="Q83" s="8"/>
      <c r="R83" s="8"/>
      <c r="S83" s="9">
        <v>43191</v>
      </c>
      <c r="T83" s="8">
        <v>4</v>
      </c>
      <c r="U83" s="8" t="str">
        <f t="shared" ref="U83:U92" si="9">IF(T83=6,"June",IF(T83=5,"May",IF(T83=4,"April",IF(T83=3,"March",IF(T83=7,"July",0)))))</f>
        <v>April</v>
      </c>
      <c r="V83">
        <f t="shared" si="7"/>
        <v>4</v>
      </c>
      <c r="W83" s="8" t="str">
        <f t="shared" si="8"/>
        <v>April</v>
      </c>
    </row>
    <row r="84" spans="1:23" x14ac:dyDescent="0.55000000000000004">
      <c r="A84" t="str">
        <f t="shared" si="6"/>
        <v>AprilAprilChina - DECI NC</v>
      </c>
      <c r="B84" s="3" t="s">
        <v>20</v>
      </c>
      <c r="C84" s="4" t="s">
        <v>150</v>
      </c>
      <c r="D84" s="4" t="s">
        <v>797</v>
      </c>
      <c r="E84" s="5">
        <v>43217</v>
      </c>
      <c r="F84" s="4" t="s">
        <v>842</v>
      </c>
      <c r="G84" s="4" t="s">
        <v>793</v>
      </c>
      <c r="H84" s="4" t="s">
        <v>798</v>
      </c>
      <c r="I84" s="4" t="s">
        <v>646</v>
      </c>
      <c r="J84" s="4" t="s">
        <v>27</v>
      </c>
      <c r="K84" s="32">
        <v>17882.41</v>
      </c>
      <c r="L84" s="6">
        <v>0</v>
      </c>
      <c r="M84" s="6">
        <v>17882.41</v>
      </c>
      <c r="N84" s="6"/>
      <c r="O84" s="33" t="s">
        <v>793</v>
      </c>
      <c r="P84" s="3" t="s">
        <v>97</v>
      </c>
      <c r="Q84" s="8"/>
      <c r="R84" s="8"/>
      <c r="S84" s="9">
        <v>43191</v>
      </c>
      <c r="T84" s="8">
        <v>4</v>
      </c>
      <c r="U84" s="8" t="str">
        <f t="shared" si="9"/>
        <v>April</v>
      </c>
      <c r="V84">
        <f t="shared" si="7"/>
        <v>4</v>
      </c>
      <c r="W84" s="8" t="str">
        <f t="shared" si="8"/>
        <v>April</v>
      </c>
    </row>
    <row r="85" spans="1:23" x14ac:dyDescent="0.55000000000000004">
      <c r="A85" t="str">
        <f t="shared" si="6"/>
        <v>AprilAprilHong Kong - DECI NC</v>
      </c>
      <c r="B85" s="3" t="s">
        <v>20</v>
      </c>
      <c r="C85" s="4" t="s">
        <v>150</v>
      </c>
      <c r="D85" s="4" t="s">
        <v>783</v>
      </c>
      <c r="E85" s="5">
        <v>43216</v>
      </c>
      <c r="F85" s="4" t="s">
        <v>842</v>
      </c>
      <c r="G85" s="4" t="s">
        <v>749</v>
      </c>
      <c r="H85" s="4" t="s">
        <v>784</v>
      </c>
      <c r="I85" s="4" t="s">
        <v>646</v>
      </c>
      <c r="J85" s="4" t="s">
        <v>27</v>
      </c>
      <c r="K85" s="32">
        <v>12609.53</v>
      </c>
      <c r="L85" s="6">
        <v>0</v>
      </c>
      <c r="M85" s="6">
        <v>12609.53</v>
      </c>
      <c r="N85" s="6"/>
      <c r="O85" s="33" t="s">
        <v>749</v>
      </c>
      <c r="P85" t="s">
        <v>92</v>
      </c>
      <c r="Q85" s="8"/>
      <c r="R85" s="8"/>
      <c r="S85" s="9">
        <v>43191</v>
      </c>
      <c r="T85" s="8">
        <v>4</v>
      </c>
      <c r="U85" s="8" t="str">
        <f t="shared" si="9"/>
        <v>April</v>
      </c>
      <c r="V85">
        <f t="shared" si="7"/>
        <v>4</v>
      </c>
      <c r="W85" s="8" t="str">
        <f t="shared" si="8"/>
        <v>April</v>
      </c>
    </row>
    <row r="86" spans="1:23" x14ac:dyDescent="0.55000000000000004">
      <c r="A86" t="str">
        <f t="shared" si="6"/>
        <v>AprilAprilChina - San Francisco</v>
      </c>
      <c r="B86" s="3" t="s">
        <v>20</v>
      </c>
      <c r="C86" s="4" t="s">
        <v>150</v>
      </c>
      <c r="D86" s="4" t="s">
        <v>785</v>
      </c>
      <c r="E86" s="5">
        <v>43216</v>
      </c>
      <c r="F86" s="4" t="s">
        <v>842</v>
      </c>
      <c r="G86" s="4" t="s">
        <v>786</v>
      </c>
      <c r="H86" s="4" t="s">
        <v>787</v>
      </c>
      <c r="I86" s="4" t="s">
        <v>646</v>
      </c>
      <c r="J86" s="4" t="s">
        <v>27</v>
      </c>
      <c r="K86" s="32">
        <v>1766.46</v>
      </c>
      <c r="L86" s="6">
        <v>0</v>
      </c>
      <c r="M86" s="6">
        <v>1766.46</v>
      </c>
      <c r="N86" s="6"/>
      <c r="O86" s="33" t="s">
        <v>786</v>
      </c>
      <c r="P86" s="3" t="s">
        <v>1077</v>
      </c>
      <c r="Q86" s="8"/>
      <c r="R86" s="8"/>
      <c r="S86" s="9">
        <v>43191</v>
      </c>
      <c r="T86" s="8">
        <v>4</v>
      </c>
      <c r="U86" s="8" t="str">
        <f t="shared" si="9"/>
        <v>April</v>
      </c>
      <c r="V86">
        <f t="shared" si="7"/>
        <v>4</v>
      </c>
      <c r="W86" s="8" t="str">
        <f t="shared" si="8"/>
        <v>April</v>
      </c>
    </row>
    <row r="87" spans="1:23" x14ac:dyDescent="0.55000000000000004">
      <c r="A87" t="str">
        <f t="shared" si="6"/>
        <v>AprilAprilChina - DCL KY</v>
      </c>
      <c r="B87" s="3" t="s">
        <v>20</v>
      </c>
      <c r="C87" s="4" t="s">
        <v>150</v>
      </c>
      <c r="D87" s="4" t="s">
        <v>789</v>
      </c>
      <c r="E87" s="5">
        <v>43216</v>
      </c>
      <c r="F87" s="4" t="s">
        <v>842</v>
      </c>
      <c r="G87" s="4" t="s">
        <v>790</v>
      </c>
      <c r="H87" s="4" t="s">
        <v>791</v>
      </c>
      <c r="I87" s="4" t="s">
        <v>646</v>
      </c>
      <c r="J87" s="4" t="s">
        <v>27</v>
      </c>
      <c r="K87" s="32">
        <v>40485.040000000001</v>
      </c>
      <c r="L87" s="6">
        <v>0</v>
      </c>
      <c r="M87" s="6">
        <v>40485.040000000001</v>
      </c>
      <c r="N87" s="6"/>
      <c r="O87" s="33" t="s">
        <v>790</v>
      </c>
      <c r="P87" s="3" t="s">
        <v>82</v>
      </c>
      <c r="Q87" s="8"/>
      <c r="R87" s="8"/>
      <c r="S87" s="9">
        <v>43191</v>
      </c>
      <c r="T87" s="8">
        <v>4</v>
      </c>
      <c r="U87" s="8" t="str">
        <f t="shared" si="9"/>
        <v>April</v>
      </c>
      <c r="V87">
        <f t="shared" si="7"/>
        <v>4</v>
      </c>
      <c r="W87" s="8" t="str">
        <f t="shared" si="8"/>
        <v>April</v>
      </c>
    </row>
    <row r="88" spans="1:23" x14ac:dyDescent="0.55000000000000004">
      <c r="A88" t="str">
        <f t="shared" si="6"/>
        <v>AprilAprilChina - DECI NC</v>
      </c>
      <c r="B88" s="3" t="s">
        <v>20</v>
      </c>
      <c r="C88" s="4" t="s">
        <v>150</v>
      </c>
      <c r="D88" s="4" t="s">
        <v>792</v>
      </c>
      <c r="E88" s="5">
        <v>43216</v>
      </c>
      <c r="F88" s="4" t="s">
        <v>842</v>
      </c>
      <c r="G88" s="4" t="s">
        <v>793</v>
      </c>
      <c r="H88" s="4" t="s">
        <v>794</v>
      </c>
      <c r="I88" s="4" t="s">
        <v>646</v>
      </c>
      <c r="J88" s="4" t="s">
        <v>27</v>
      </c>
      <c r="K88" s="32">
        <v>21807.88</v>
      </c>
      <c r="L88" s="6">
        <v>0</v>
      </c>
      <c r="M88" s="6">
        <v>21807.88</v>
      </c>
      <c r="N88" s="6"/>
      <c r="O88" s="33" t="s">
        <v>793</v>
      </c>
      <c r="P88" s="3" t="s">
        <v>97</v>
      </c>
      <c r="Q88" s="8"/>
      <c r="R88" s="8"/>
      <c r="S88" s="9">
        <v>43191</v>
      </c>
      <c r="T88" s="8">
        <v>4</v>
      </c>
      <c r="U88" s="8" t="str">
        <f t="shared" si="9"/>
        <v>April</v>
      </c>
      <c r="V88">
        <f t="shared" si="7"/>
        <v>4</v>
      </c>
      <c r="W88" s="8" t="str">
        <f t="shared" si="8"/>
        <v>April</v>
      </c>
    </row>
    <row r="89" spans="1:23" x14ac:dyDescent="0.55000000000000004">
      <c r="A89" t="str">
        <f t="shared" si="6"/>
        <v>AprilAprilHong Kong - DCL KY</v>
      </c>
      <c r="B89" s="3" t="s">
        <v>20</v>
      </c>
      <c r="C89" s="4" t="s">
        <v>150</v>
      </c>
      <c r="D89" s="4" t="s">
        <v>777</v>
      </c>
      <c r="E89" s="5">
        <v>43214</v>
      </c>
      <c r="F89" s="4" t="s">
        <v>842</v>
      </c>
      <c r="G89" s="4" t="s">
        <v>778</v>
      </c>
      <c r="H89" s="4" t="s">
        <v>779</v>
      </c>
      <c r="I89" s="4" t="s">
        <v>646</v>
      </c>
      <c r="J89" s="4" t="s">
        <v>27</v>
      </c>
      <c r="K89" s="32">
        <v>15403.66</v>
      </c>
      <c r="L89" s="6">
        <v>0</v>
      </c>
      <c r="M89" s="6">
        <v>15403.66</v>
      </c>
      <c r="N89" s="6"/>
      <c r="O89" s="33" t="s">
        <v>778</v>
      </c>
      <c r="P89" t="s">
        <v>39</v>
      </c>
      <c r="Q89" s="8"/>
      <c r="R89" s="8"/>
      <c r="S89" s="9">
        <v>43191</v>
      </c>
      <c r="T89" s="8">
        <v>4</v>
      </c>
      <c r="U89" s="8" t="str">
        <f t="shared" si="9"/>
        <v>April</v>
      </c>
      <c r="V89">
        <f t="shared" si="7"/>
        <v>4</v>
      </c>
      <c r="W89" s="8" t="str">
        <f t="shared" si="8"/>
        <v>April</v>
      </c>
    </row>
    <row r="90" spans="1:23" x14ac:dyDescent="0.55000000000000004">
      <c r="A90" t="str">
        <f t="shared" si="6"/>
        <v>AprilAprilChina - DCL KY</v>
      </c>
      <c r="B90" s="3" t="s">
        <v>20</v>
      </c>
      <c r="C90" s="4" t="s">
        <v>150</v>
      </c>
      <c r="D90" s="4" t="s">
        <v>780</v>
      </c>
      <c r="E90" s="5">
        <v>43214</v>
      </c>
      <c r="F90" s="4" t="s">
        <v>842</v>
      </c>
      <c r="G90" s="4" t="s">
        <v>781</v>
      </c>
      <c r="H90" s="4" t="s">
        <v>782</v>
      </c>
      <c r="I90" s="4" t="s">
        <v>646</v>
      </c>
      <c r="J90" s="4" t="s">
        <v>27</v>
      </c>
      <c r="K90" s="32">
        <v>18761.95</v>
      </c>
      <c r="L90" s="6">
        <v>0</v>
      </c>
      <c r="M90" s="6">
        <v>18761.95</v>
      </c>
      <c r="N90" s="6"/>
      <c r="O90" s="33" t="s">
        <v>781</v>
      </c>
      <c r="P90" s="3" t="s">
        <v>82</v>
      </c>
      <c r="Q90" s="8"/>
      <c r="R90" s="8"/>
      <c r="S90" s="9">
        <v>43191</v>
      </c>
      <c r="T90" s="8">
        <v>4</v>
      </c>
      <c r="U90" s="8" t="str">
        <f t="shared" si="9"/>
        <v>April</v>
      </c>
      <c r="V90">
        <f t="shared" si="7"/>
        <v>4</v>
      </c>
      <c r="W90" s="8" t="str">
        <f t="shared" si="8"/>
        <v>April</v>
      </c>
    </row>
    <row r="91" spans="1:23" x14ac:dyDescent="0.55000000000000004">
      <c r="A91" t="str">
        <f t="shared" si="6"/>
        <v>AprilAprilHong Kong - DCL KY</v>
      </c>
      <c r="B91" s="3" t="s">
        <v>20</v>
      </c>
      <c r="C91" s="4" t="s">
        <v>150</v>
      </c>
      <c r="D91" s="4" t="s">
        <v>1078</v>
      </c>
      <c r="E91" s="5">
        <v>43200</v>
      </c>
      <c r="F91" s="4" t="s">
        <v>842</v>
      </c>
      <c r="G91" s="4" t="s">
        <v>703</v>
      </c>
      <c r="H91" s="4" t="s">
        <v>1079</v>
      </c>
      <c r="I91" s="4" t="s">
        <v>646</v>
      </c>
      <c r="J91" s="4" t="s">
        <v>27</v>
      </c>
      <c r="K91" s="32">
        <v>5217.04</v>
      </c>
      <c r="L91" s="6">
        <v>0</v>
      </c>
      <c r="M91" s="6">
        <v>5217.04</v>
      </c>
      <c r="N91" s="6"/>
      <c r="O91" s="33" t="s">
        <v>703</v>
      </c>
      <c r="P91" t="s">
        <v>39</v>
      </c>
      <c r="Q91" s="8"/>
      <c r="R91" s="8"/>
      <c r="S91" s="9">
        <v>43191</v>
      </c>
      <c r="T91" s="8">
        <v>4</v>
      </c>
      <c r="U91" s="8" t="str">
        <f t="shared" si="9"/>
        <v>April</v>
      </c>
      <c r="V91">
        <f t="shared" si="7"/>
        <v>4</v>
      </c>
      <c r="W91" s="8" t="str">
        <f t="shared" si="8"/>
        <v>April</v>
      </c>
    </row>
    <row r="92" spans="1:23" x14ac:dyDescent="0.55000000000000004">
      <c r="A92" t="str">
        <f t="shared" si="6"/>
        <v>AprilAprilChina - DECI NC</v>
      </c>
      <c r="B92" s="3" t="s">
        <v>20</v>
      </c>
      <c r="C92" s="4" t="s">
        <v>150</v>
      </c>
      <c r="D92" s="4" t="s">
        <v>688</v>
      </c>
      <c r="E92" s="5">
        <v>43195</v>
      </c>
      <c r="F92" s="4" t="s">
        <v>842</v>
      </c>
      <c r="G92" s="4" t="s">
        <v>689</v>
      </c>
      <c r="H92" s="4" t="s">
        <v>690</v>
      </c>
      <c r="I92" s="4" t="s">
        <v>646</v>
      </c>
      <c r="J92" s="4" t="s">
        <v>27</v>
      </c>
      <c r="K92" s="32">
        <v>21747.58</v>
      </c>
      <c r="L92" s="6">
        <v>0</v>
      </c>
      <c r="M92" s="6">
        <v>21747.58</v>
      </c>
      <c r="N92" s="6"/>
      <c r="O92" s="33" t="s">
        <v>689</v>
      </c>
      <c r="P92" s="3" t="s">
        <v>97</v>
      </c>
      <c r="Q92" s="8"/>
      <c r="R92" s="8"/>
      <c r="S92" s="9">
        <v>43191</v>
      </c>
      <c r="T92" s="8">
        <v>4</v>
      </c>
      <c r="U92" s="8" t="str">
        <f t="shared" si="9"/>
        <v>April</v>
      </c>
      <c r="V92">
        <f t="shared" si="7"/>
        <v>4</v>
      </c>
      <c r="W92" s="8" t="str">
        <f t="shared" si="8"/>
        <v>April</v>
      </c>
    </row>
    <row r="93" spans="1:23" x14ac:dyDescent="0.55000000000000004">
      <c r="A93" t="str">
        <f t="shared" si="6"/>
        <v>MayMayChicago IL - Phillips WI</v>
      </c>
      <c r="B93" s="3" t="s">
        <v>20</v>
      </c>
      <c r="C93" s="4" t="s">
        <v>150</v>
      </c>
      <c r="D93" s="4" t="s">
        <v>183</v>
      </c>
      <c r="E93" s="5">
        <v>43224</v>
      </c>
      <c r="F93" s="4" t="s">
        <v>23</v>
      </c>
      <c r="G93" s="4" t="s">
        <v>184</v>
      </c>
      <c r="H93" s="4" t="s">
        <v>185</v>
      </c>
      <c r="I93" s="4" t="s">
        <v>154</v>
      </c>
      <c r="J93" s="4" t="s">
        <v>27</v>
      </c>
      <c r="K93" s="6">
        <v>378.67</v>
      </c>
      <c r="L93" s="6">
        <v>0</v>
      </c>
      <c r="M93" s="6">
        <v>378.67</v>
      </c>
      <c r="N93" s="4"/>
      <c r="O93" s="3" t="s">
        <v>186</v>
      </c>
      <c r="P93" s="8" t="s">
        <v>187</v>
      </c>
      <c r="Q93" s="10">
        <v>90924544</v>
      </c>
      <c r="R93" s="9">
        <v>43221</v>
      </c>
      <c r="S93" s="9">
        <v>43221</v>
      </c>
      <c r="T93" s="8">
        <v>5</v>
      </c>
      <c r="U93" s="8" t="str">
        <f t="shared" ref="U93:U124" si="10">IF(T93=6,"June",IF(T93=5,"May",IF(T93=4,"April",IF(T93=3,"March",0))))</f>
        <v>May</v>
      </c>
      <c r="V93">
        <f t="shared" si="7"/>
        <v>5</v>
      </c>
      <c r="W93" s="8" t="str">
        <f t="shared" si="8"/>
        <v>May</v>
      </c>
    </row>
    <row r="94" spans="1:23" x14ac:dyDescent="0.55000000000000004">
      <c r="A94" t="str">
        <f t="shared" si="6"/>
        <v>MayMayHong Kong - DCL KY</v>
      </c>
      <c r="B94" s="3" t="s">
        <v>20</v>
      </c>
      <c r="C94" s="4" t="s">
        <v>150</v>
      </c>
      <c r="D94" s="4" t="s">
        <v>188</v>
      </c>
      <c r="E94" s="5">
        <v>43225</v>
      </c>
      <c r="F94" s="4" t="s">
        <v>23</v>
      </c>
      <c r="G94" s="4" t="s">
        <v>161</v>
      </c>
      <c r="H94" s="4" t="s">
        <v>189</v>
      </c>
      <c r="I94" s="4" t="s">
        <v>154</v>
      </c>
      <c r="J94" s="4" t="s">
        <v>27</v>
      </c>
      <c r="K94" s="6">
        <v>48</v>
      </c>
      <c r="L94" s="6">
        <v>0</v>
      </c>
      <c r="M94" s="6">
        <v>48</v>
      </c>
      <c r="N94" s="4"/>
      <c r="O94" s="3" t="s">
        <v>161</v>
      </c>
      <c r="P94" s="3" t="s">
        <v>39</v>
      </c>
      <c r="Q94" s="8" t="s">
        <v>190</v>
      </c>
      <c r="R94" s="9">
        <v>43221</v>
      </c>
      <c r="S94" s="9">
        <v>43221</v>
      </c>
      <c r="T94" s="8">
        <v>5</v>
      </c>
      <c r="U94" s="8" t="str">
        <f t="shared" si="10"/>
        <v>May</v>
      </c>
      <c r="V94">
        <f t="shared" si="7"/>
        <v>5</v>
      </c>
      <c r="W94" s="8" t="str">
        <f t="shared" si="8"/>
        <v>May</v>
      </c>
    </row>
    <row r="95" spans="1:23" x14ac:dyDescent="0.55000000000000004">
      <c r="A95" t="str">
        <f t="shared" si="6"/>
        <v>MayMayHong Kong - Phillips WI</v>
      </c>
      <c r="B95" s="3" t="s">
        <v>20</v>
      </c>
      <c r="C95" s="4" t="s">
        <v>150</v>
      </c>
      <c r="D95" s="4" t="s">
        <v>191</v>
      </c>
      <c r="E95" s="5">
        <v>43225</v>
      </c>
      <c r="F95" s="4" t="s">
        <v>23</v>
      </c>
      <c r="G95" s="4" t="s">
        <v>161</v>
      </c>
      <c r="H95" s="4" t="s">
        <v>192</v>
      </c>
      <c r="I95" s="4" t="s">
        <v>154</v>
      </c>
      <c r="J95" s="4" t="s">
        <v>27</v>
      </c>
      <c r="K95" s="6">
        <v>72</v>
      </c>
      <c r="L95" s="6">
        <v>0</v>
      </c>
      <c r="M95" s="6">
        <v>72</v>
      </c>
      <c r="N95" s="4"/>
      <c r="O95" s="3" t="s">
        <v>161</v>
      </c>
      <c r="P95" s="3" t="s">
        <v>65</v>
      </c>
      <c r="Q95" s="8" t="s">
        <v>193</v>
      </c>
      <c r="R95" s="9">
        <v>43221</v>
      </c>
      <c r="S95" s="9">
        <v>43221</v>
      </c>
      <c r="T95" s="8">
        <v>5</v>
      </c>
      <c r="U95" s="8" t="str">
        <f t="shared" si="10"/>
        <v>May</v>
      </c>
      <c r="V95">
        <f t="shared" si="7"/>
        <v>5</v>
      </c>
      <c r="W95" s="8" t="str">
        <f t="shared" si="8"/>
        <v>May</v>
      </c>
    </row>
    <row r="96" spans="1:23" x14ac:dyDescent="0.55000000000000004">
      <c r="A96" t="str">
        <f t="shared" si="6"/>
        <v>MayMayHong Kong - DECI NC</v>
      </c>
      <c r="B96" s="3" t="s">
        <v>20</v>
      </c>
      <c r="C96" s="4" t="s">
        <v>150</v>
      </c>
      <c r="D96" s="4" t="s">
        <v>194</v>
      </c>
      <c r="E96" s="5">
        <v>43231</v>
      </c>
      <c r="F96" s="4" t="s">
        <v>23</v>
      </c>
      <c r="G96" s="4" t="s">
        <v>195</v>
      </c>
      <c r="H96" s="4" t="s">
        <v>196</v>
      </c>
      <c r="I96" s="4" t="s">
        <v>154</v>
      </c>
      <c r="J96" s="4" t="s">
        <v>197</v>
      </c>
      <c r="K96" s="6">
        <v>48</v>
      </c>
      <c r="L96" s="6">
        <v>0</v>
      </c>
      <c r="M96" s="6">
        <v>48</v>
      </c>
      <c r="N96" s="4"/>
      <c r="O96" s="3" t="s">
        <v>161</v>
      </c>
      <c r="P96" s="3" t="s">
        <v>92</v>
      </c>
      <c r="Q96" s="3" t="s">
        <v>198</v>
      </c>
      <c r="R96" s="9">
        <v>43221</v>
      </c>
      <c r="S96" s="9">
        <v>43221</v>
      </c>
      <c r="T96" s="8">
        <v>5</v>
      </c>
      <c r="U96" s="8" t="str">
        <f t="shared" si="10"/>
        <v>May</v>
      </c>
      <c r="V96">
        <f t="shared" si="7"/>
        <v>5</v>
      </c>
      <c r="W96" s="8" t="str">
        <f t="shared" si="8"/>
        <v>May</v>
      </c>
    </row>
    <row r="97" spans="1:23" x14ac:dyDescent="0.55000000000000004">
      <c r="A97" t="str">
        <f t="shared" si="6"/>
        <v>MayMayHong Kong - DCL KY</v>
      </c>
      <c r="B97" s="3" t="s">
        <v>20</v>
      </c>
      <c r="C97" s="4" t="s">
        <v>150</v>
      </c>
      <c r="D97" s="4" t="s">
        <v>199</v>
      </c>
      <c r="E97" s="5">
        <v>43235</v>
      </c>
      <c r="F97" s="4" t="s">
        <v>23</v>
      </c>
      <c r="G97" s="4" t="s">
        <v>161</v>
      </c>
      <c r="H97" s="4" t="s">
        <v>200</v>
      </c>
      <c r="I97" s="4" t="s">
        <v>154</v>
      </c>
      <c r="J97" s="4" t="s">
        <v>27</v>
      </c>
      <c r="K97" s="6">
        <v>96</v>
      </c>
      <c r="L97" s="6">
        <v>0</v>
      </c>
      <c r="M97" s="6">
        <v>96</v>
      </c>
      <c r="N97" s="4"/>
      <c r="O97" s="3" t="s">
        <v>161</v>
      </c>
      <c r="P97" s="3" t="s">
        <v>39</v>
      </c>
      <c r="Q97" s="8" t="s">
        <v>201</v>
      </c>
      <c r="R97" s="9">
        <v>43221</v>
      </c>
      <c r="S97" s="9">
        <v>43221</v>
      </c>
      <c r="T97" s="8">
        <v>5</v>
      </c>
      <c r="U97" s="8" t="str">
        <f t="shared" si="10"/>
        <v>May</v>
      </c>
      <c r="V97">
        <f t="shared" si="7"/>
        <v>5</v>
      </c>
      <c r="W97" s="8" t="str">
        <f t="shared" si="8"/>
        <v>May</v>
      </c>
    </row>
    <row r="98" spans="1:23" x14ac:dyDescent="0.55000000000000004">
      <c r="A98" t="str">
        <f t="shared" si="6"/>
        <v>MayMayHong Kong - DCL KY</v>
      </c>
      <c r="B98" s="3" t="s">
        <v>20</v>
      </c>
      <c r="C98" s="4" t="s">
        <v>150</v>
      </c>
      <c r="D98" s="4" t="s">
        <v>202</v>
      </c>
      <c r="E98" s="5">
        <v>43245</v>
      </c>
      <c r="F98" s="4" t="s">
        <v>23</v>
      </c>
      <c r="G98" s="4" t="s">
        <v>161</v>
      </c>
      <c r="H98" s="4" t="s">
        <v>203</v>
      </c>
      <c r="I98" s="4" t="s">
        <v>154</v>
      </c>
      <c r="J98" s="4" t="s">
        <v>27</v>
      </c>
      <c r="K98" s="6">
        <v>60</v>
      </c>
      <c r="L98" s="6">
        <v>0</v>
      </c>
      <c r="M98" s="6">
        <v>60</v>
      </c>
      <c r="N98" s="4"/>
      <c r="O98" s="3" t="s">
        <v>161</v>
      </c>
      <c r="P98" s="3" t="s">
        <v>39</v>
      </c>
      <c r="Q98" s="8" t="s">
        <v>204</v>
      </c>
      <c r="R98" s="9">
        <v>43221</v>
      </c>
      <c r="S98" s="9">
        <v>43221</v>
      </c>
      <c r="T98" s="8">
        <v>5</v>
      </c>
      <c r="U98" s="8" t="str">
        <f t="shared" si="10"/>
        <v>May</v>
      </c>
      <c r="V98">
        <f t="shared" si="7"/>
        <v>5</v>
      </c>
      <c r="W98" s="8" t="str">
        <f t="shared" si="8"/>
        <v>May</v>
      </c>
    </row>
    <row r="99" spans="1:23" x14ac:dyDescent="0.55000000000000004">
      <c r="A99" t="str">
        <f t="shared" si="6"/>
        <v>MayMayHong Kong - Phillips WI</v>
      </c>
      <c r="B99" s="3" t="s">
        <v>20</v>
      </c>
      <c r="C99" s="4" t="s">
        <v>150</v>
      </c>
      <c r="D99" s="4" t="s">
        <v>205</v>
      </c>
      <c r="E99" s="5">
        <v>43245</v>
      </c>
      <c r="F99" s="4" t="s">
        <v>23</v>
      </c>
      <c r="G99" s="4" t="s">
        <v>161</v>
      </c>
      <c r="H99" s="4" t="s">
        <v>206</v>
      </c>
      <c r="I99" s="4" t="s">
        <v>154</v>
      </c>
      <c r="J99" s="4" t="s">
        <v>27</v>
      </c>
      <c r="K99" s="6">
        <v>36</v>
      </c>
      <c r="L99" s="6">
        <v>0</v>
      </c>
      <c r="M99" s="6">
        <v>36</v>
      </c>
      <c r="N99" s="4"/>
      <c r="O99" s="3" t="s">
        <v>161</v>
      </c>
      <c r="P99" s="3" t="s">
        <v>65</v>
      </c>
      <c r="Q99" s="8" t="s">
        <v>207</v>
      </c>
      <c r="R99" s="9">
        <v>43221</v>
      </c>
      <c r="S99" s="9">
        <v>43221</v>
      </c>
      <c r="T99" s="8">
        <v>5</v>
      </c>
      <c r="U99" s="8" t="str">
        <f t="shared" si="10"/>
        <v>May</v>
      </c>
      <c r="V99">
        <f t="shared" si="7"/>
        <v>5</v>
      </c>
      <c r="W99" s="8" t="str">
        <f t="shared" si="8"/>
        <v>May</v>
      </c>
    </row>
    <row r="100" spans="1:23" x14ac:dyDescent="0.55000000000000004">
      <c r="A100" t="str">
        <f t="shared" si="6"/>
        <v>MayMayHong Kong - DCL KY</v>
      </c>
      <c r="B100" s="3" t="s">
        <v>20</v>
      </c>
      <c r="C100" s="4" t="s">
        <v>150</v>
      </c>
      <c r="D100" s="4" t="s">
        <v>208</v>
      </c>
      <c r="E100" s="5">
        <v>43245</v>
      </c>
      <c r="F100" s="4" t="s">
        <v>23</v>
      </c>
      <c r="G100" s="4" t="s">
        <v>161</v>
      </c>
      <c r="H100" s="4" t="s">
        <v>209</v>
      </c>
      <c r="I100" s="4" t="s">
        <v>154</v>
      </c>
      <c r="J100" s="4" t="s">
        <v>27</v>
      </c>
      <c r="K100" s="6">
        <v>72</v>
      </c>
      <c r="L100" s="6">
        <v>0</v>
      </c>
      <c r="M100" s="6">
        <v>72</v>
      </c>
      <c r="N100" s="4"/>
      <c r="O100" s="3" t="s">
        <v>161</v>
      </c>
      <c r="P100" s="3" t="s">
        <v>39</v>
      </c>
      <c r="Q100" s="3" t="s">
        <v>210</v>
      </c>
      <c r="R100" s="9">
        <v>43221</v>
      </c>
      <c r="S100" s="9">
        <v>43221</v>
      </c>
      <c r="T100" s="8">
        <v>5</v>
      </c>
      <c r="U100" s="8" t="str">
        <f t="shared" si="10"/>
        <v>May</v>
      </c>
      <c r="V100">
        <f t="shared" si="7"/>
        <v>5</v>
      </c>
      <c r="W100" s="8" t="str">
        <f t="shared" si="8"/>
        <v>May</v>
      </c>
    </row>
    <row r="101" spans="1:23" x14ac:dyDescent="0.55000000000000004">
      <c r="A101" t="str">
        <f t="shared" si="6"/>
        <v>MayMayHong Kong - Phillips WI</v>
      </c>
      <c r="B101" s="3" t="s">
        <v>20</v>
      </c>
      <c r="C101" s="4" t="s">
        <v>150</v>
      </c>
      <c r="D101" s="4" t="s">
        <v>211</v>
      </c>
      <c r="E101" s="5">
        <v>43245</v>
      </c>
      <c r="F101" s="4" t="s">
        <v>23</v>
      </c>
      <c r="G101" s="4" t="s">
        <v>161</v>
      </c>
      <c r="H101" s="4" t="s">
        <v>212</v>
      </c>
      <c r="I101" s="4" t="s">
        <v>154</v>
      </c>
      <c r="J101" s="4" t="s">
        <v>27</v>
      </c>
      <c r="K101" s="6">
        <v>36</v>
      </c>
      <c r="L101" s="6">
        <v>0</v>
      </c>
      <c r="M101" s="6">
        <v>36</v>
      </c>
      <c r="N101" s="4"/>
      <c r="O101" s="3" t="s">
        <v>161</v>
      </c>
      <c r="P101" s="3" t="s">
        <v>65</v>
      </c>
      <c r="Q101" s="8" t="s">
        <v>213</v>
      </c>
      <c r="R101" s="9">
        <v>43221</v>
      </c>
      <c r="S101" s="9">
        <v>43221</v>
      </c>
      <c r="T101" s="8">
        <v>5</v>
      </c>
      <c r="U101" s="8" t="str">
        <f t="shared" si="10"/>
        <v>May</v>
      </c>
      <c r="V101">
        <f t="shared" si="7"/>
        <v>5</v>
      </c>
      <c r="W101" s="8" t="str">
        <f t="shared" si="8"/>
        <v>May</v>
      </c>
    </row>
    <row r="102" spans="1:23" x14ac:dyDescent="0.55000000000000004">
      <c r="A102" t="str">
        <f t="shared" si="6"/>
        <v>MayMayAFG Suzho - DECI NC</v>
      </c>
      <c r="B102" s="3" t="s">
        <v>20</v>
      </c>
      <c r="C102" s="4" t="s">
        <v>241</v>
      </c>
      <c r="D102" s="4" t="s">
        <v>242</v>
      </c>
      <c r="E102" s="5">
        <v>43230</v>
      </c>
      <c r="F102" s="4" t="s">
        <v>23</v>
      </c>
      <c r="G102" s="4" t="s">
        <v>243</v>
      </c>
      <c r="H102" s="4" t="s">
        <v>244</v>
      </c>
      <c r="I102" s="4" t="s">
        <v>154</v>
      </c>
      <c r="J102" s="4" t="s">
        <v>27</v>
      </c>
      <c r="K102" s="6">
        <v>6065.83</v>
      </c>
      <c r="L102" s="6">
        <v>0</v>
      </c>
      <c r="M102" s="6">
        <v>6065.83</v>
      </c>
      <c r="N102" s="4"/>
      <c r="O102" s="3"/>
      <c r="P102" s="3" t="s">
        <v>245</v>
      </c>
      <c r="Q102" s="8" t="s">
        <v>246</v>
      </c>
      <c r="R102" s="9">
        <v>43191</v>
      </c>
      <c r="S102" s="9">
        <v>43221</v>
      </c>
      <c r="T102" s="8">
        <v>5</v>
      </c>
      <c r="U102" s="8" t="str">
        <f t="shared" si="10"/>
        <v>May</v>
      </c>
      <c r="V102">
        <f t="shared" si="7"/>
        <v>5</v>
      </c>
      <c r="W102" s="8" t="str">
        <f t="shared" si="8"/>
        <v>May</v>
      </c>
    </row>
    <row r="103" spans="1:23" x14ac:dyDescent="0.55000000000000004">
      <c r="A103" t="str">
        <f t="shared" si="6"/>
        <v>MayMayAFG Suzho - DCL KY</v>
      </c>
      <c r="B103" s="3" t="s">
        <v>20</v>
      </c>
      <c r="C103" s="4" t="s">
        <v>241</v>
      </c>
      <c r="D103" s="4" t="s">
        <v>242</v>
      </c>
      <c r="E103" s="5">
        <v>43239</v>
      </c>
      <c r="F103" s="4" t="s">
        <v>23</v>
      </c>
      <c r="G103" s="4" t="s">
        <v>243</v>
      </c>
      <c r="H103" s="4" t="s">
        <v>244</v>
      </c>
      <c r="I103" s="4" t="s">
        <v>154</v>
      </c>
      <c r="J103" s="4" t="s">
        <v>27</v>
      </c>
      <c r="K103" s="6">
        <v>73190.63</v>
      </c>
      <c r="L103" s="6">
        <v>0</v>
      </c>
      <c r="M103" s="6">
        <v>73190.63</v>
      </c>
      <c r="N103" s="4"/>
      <c r="O103" s="3"/>
      <c r="P103" s="3" t="s">
        <v>247</v>
      </c>
      <c r="Q103" s="8" t="s">
        <v>248</v>
      </c>
      <c r="R103" s="9">
        <v>43221</v>
      </c>
      <c r="S103" s="9">
        <v>43221</v>
      </c>
      <c r="T103" s="8">
        <v>5</v>
      </c>
      <c r="U103" s="8" t="str">
        <f t="shared" si="10"/>
        <v>May</v>
      </c>
      <c r="V103">
        <f t="shared" si="7"/>
        <v>5</v>
      </c>
      <c r="W103" s="8" t="str">
        <f t="shared" si="8"/>
        <v>May</v>
      </c>
    </row>
    <row r="104" spans="1:23" x14ac:dyDescent="0.55000000000000004">
      <c r="A104" t="str">
        <f t="shared" si="6"/>
        <v>MayMayAFG Suzho - DCL KY</v>
      </c>
      <c r="B104" s="3" t="s">
        <v>20</v>
      </c>
      <c r="C104" s="4" t="s">
        <v>241</v>
      </c>
      <c r="D104" s="4" t="s">
        <v>242</v>
      </c>
      <c r="E104" s="5">
        <v>43246</v>
      </c>
      <c r="F104" s="4" t="s">
        <v>23</v>
      </c>
      <c r="G104" s="4" t="s">
        <v>243</v>
      </c>
      <c r="H104" s="4" t="s">
        <v>244</v>
      </c>
      <c r="I104" s="4" t="s">
        <v>154</v>
      </c>
      <c r="J104" s="4" t="s">
        <v>27</v>
      </c>
      <c r="K104" s="6">
        <v>9984.5300000000007</v>
      </c>
      <c r="L104" s="6">
        <v>0</v>
      </c>
      <c r="M104" s="6">
        <v>9984.5300000000007</v>
      </c>
      <c r="N104" s="4"/>
      <c r="O104" s="3"/>
      <c r="P104" s="3" t="s">
        <v>247</v>
      </c>
      <c r="Q104" s="8" t="s">
        <v>249</v>
      </c>
      <c r="R104" s="9">
        <v>43221</v>
      </c>
      <c r="S104" s="9">
        <v>43221</v>
      </c>
      <c r="T104" s="8">
        <v>5</v>
      </c>
      <c r="U104" s="8" t="str">
        <f t="shared" si="10"/>
        <v>May</v>
      </c>
      <c r="V104">
        <f t="shared" si="7"/>
        <v>5</v>
      </c>
      <c r="W104" s="8" t="str">
        <f t="shared" si="8"/>
        <v>May</v>
      </c>
    </row>
    <row r="105" spans="1:23" x14ac:dyDescent="0.55000000000000004">
      <c r="A105" t="str">
        <f t="shared" si="6"/>
        <v>MayMayHong Kong - DECI NC</v>
      </c>
      <c r="B105" s="3" t="s">
        <v>20</v>
      </c>
      <c r="C105" s="4" t="s">
        <v>241</v>
      </c>
      <c r="D105" s="4" t="s">
        <v>242</v>
      </c>
      <c r="E105" s="5">
        <v>43246</v>
      </c>
      <c r="F105" s="4" t="s">
        <v>23</v>
      </c>
      <c r="G105" s="4" t="s">
        <v>243</v>
      </c>
      <c r="H105" s="4" t="s">
        <v>244</v>
      </c>
      <c r="I105" s="4" t="s">
        <v>154</v>
      </c>
      <c r="J105" s="4" t="s">
        <v>27</v>
      </c>
      <c r="K105" s="6">
        <v>7102.8</v>
      </c>
      <c r="L105" s="6">
        <v>0</v>
      </c>
      <c r="M105" s="6">
        <v>7102.8</v>
      </c>
      <c r="N105" s="4"/>
      <c r="O105" s="3"/>
      <c r="P105" s="3" t="s">
        <v>92</v>
      </c>
      <c r="Q105" s="8" t="s">
        <v>250</v>
      </c>
      <c r="R105" s="9">
        <v>43221</v>
      </c>
      <c r="S105" s="9">
        <v>43221</v>
      </c>
      <c r="T105" s="8">
        <v>5</v>
      </c>
      <c r="U105" s="8" t="str">
        <f t="shared" si="10"/>
        <v>May</v>
      </c>
      <c r="V105">
        <f t="shared" si="7"/>
        <v>5</v>
      </c>
      <c r="W105" s="8" t="str">
        <f t="shared" si="8"/>
        <v>May</v>
      </c>
    </row>
    <row r="106" spans="1:23" x14ac:dyDescent="0.55000000000000004">
      <c r="A106" t="str">
        <f t="shared" si="6"/>
        <v>MayMayAFG Suzho - DECI NC</v>
      </c>
      <c r="B106" s="3" t="s">
        <v>20</v>
      </c>
      <c r="C106" s="4" t="s">
        <v>241</v>
      </c>
      <c r="D106" s="4" t="s">
        <v>242</v>
      </c>
      <c r="E106" s="5">
        <v>43246</v>
      </c>
      <c r="F106" s="4" t="s">
        <v>23</v>
      </c>
      <c r="G106" s="4" t="s">
        <v>243</v>
      </c>
      <c r="H106" s="4" t="s">
        <v>244</v>
      </c>
      <c r="I106" s="4" t="s">
        <v>154</v>
      </c>
      <c r="J106" s="4" t="s">
        <v>27</v>
      </c>
      <c r="K106" s="6">
        <v>57591.86</v>
      </c>
      <c r="L106" s="6">
        <v>0</v>
      </c>
      <c r="M106" s="6">
        <v>57591.86</v>
      </c>
      <c r="N106" s="4"/>
      <c r="O106" s="3"/>
      <c r="P106" s="3" t="s">
        <v>245</v>
      </c>
      <c r="Q106" s="8" t="s">
        <v>251</v>
      </c>
      <c r="R106" s="9">
        <v>43221</v>
      </c>
      <c r="S106" s="9">
        <v>43221</v>
      </c>
      <c r="T106" s="8">
        <v>5</v>
      </c>
      <c r="U106" s="8" t="str">
        <f t="shared" si="10"/>
        <v>May</v>
      </c>
      <c r="V106">
        <f t="shared" si="7"/>
        <v>5</v>
      </c>
      <c r="W106" s="8" t="str">
        <f t="shared" si="8"/>
        <v>May</v>
      </c>
    </row>
    <row r="107" spans="1:23" x14ac:dyDescent="0.55000000000000004">
      <c r="A107" t="str">
        <f t="shared" si="6"/>
        <v>MayMayAFG Suzho - DCL KY</v>
      </c>
      <c r="B107" s="3" t="s">
        <v>20</v>
      </c>
      <c r="C107" s="4" t="s">
        <v>241</v>
      </c>
      <c r="D107" s="4" t="s">
        <v>242</v>
      </c>
      <c r="E107" s="5">
        <v>43246</v>
      </c>
      <c r="F107" s="4" t="s">
        <v>23</v>
      </c>
      <c r="G107" s="4" t="s">
        <v>243</v>
      </c>
      <c r="H107" s="4" t="s">
        <v>244</v>
      </c>
      <c r="I107" s="4" t="s">
        <v>154</v>
      </c>
      <c r="J107" s="4" t="s">
        <v>27</v>
      </c>
      <c r="K107" s="6">
        <v>18009.23</v>
      </c>
      <c r="L107" s="6">
        <v>0</v>
      </c>
      <c r="M107" s="6">
        <v>18009.23</v>
      </c>
      <c r="N107" s="4"/>
      <c r="O107" s="3"/>
      <c r="P107" s="3" t="s">
        <v>247</v>
      </c>
      <c r="Q107" s="8" t="s">
        <v>252</v>
      </c>
      <c r="R107" s="9">
        <v>43221</v>
      </c>
      <c r="S107" s="9">
        <v>43221</v>
      </c>
      <c r="T107" s="8">
        <v>5</v>
      </c>
      <c r="U107" s="8" t="str">
        <f t="shared" si="10"/>
        <v>May</v>
      </c>
      <c r="V107">
        <f t="shared" si="7"/>
        <v>5</v>
      </c>
      <c r="W107" s="8" t="str">
        <f t="shared" si="8"/>
        <v>May</v>
      </c>
    </row>
    <row r="108" spans="1:23" x14ac:dyDescent="0.55000000000000004">
      <c r="A108" t="str">
        <f t="shared" si="6"/>
        <v>MayMayAFG Suzho - DECI NC</v>
      </c>
      <c r="B108" s="3" t="s">
        <v>20</v>
      </c>
      <c r="C108" s="4" t="s">
        <v>241</v>
      </c>
      <c r="D108" s="4" t="s">
        <v>242</v>
      </c>
      <c r="E108" s="5">
        <v>43246</v>
      </c>
      <c r="F108" s="4" t="s">
        <v>23</v>
      </c>
      <c r="G108" s="4" t="s">
        <v>243</v>
      </c>
      <c r="H108" s="4" t="s">
        <v>244</v>
      </c>
      <c r="I108" s="4" t="s">
        <v>154</v>
      </c>
      <c r="J108" s="4" t="s">
        <v>27</v>
      </c>
      <c r="K108" s="6">
        <v>49366.27</v>
      </c>
      <c r="L108" s="6">
        <v>0</v>
      </c>
      <c r="M108" s="6">
        <v>49366.27</v>
      </c>
      <c r="N108" s="4"/>
      <c r="O108" s="3"/>
      <c r="P108" s="3" t="s">
        <v>245</v>
      </c>
      <c r="Q108" s="8" t="s">
        <v>253</v>
      </c>
      <c r="R108" s="9">
        <v>43221</v>
      </c>
      <c r="S108" s="9">
        <v>43221</v>
      </c>
      <c r="T108" s="8">
        <v>5</v>
      </c>
      <c r="U108" s="8" t="str">
        <f t="shared" si="10"/>
        <v>May</v>
      </c>
      <c r="V108">
        <f t="shared" si="7"/>
        <v>5</v>
      </c>
      <c r="W108" s="8" t="str">
        <f t="shared" si="8"/>
        <v>May</v>
      </c>
    </row>
    <row r="109" spans="1:23" x14ac:dyDescent="0.55000000000000004">
      <c r="A109" t="str">
        <f t="shared" si="6"/>
        <v>MayMayDCL KY - Canada</v>
      </c>
      <c r="B109" s="3" t="s">
        <v>20</v>
      </c>
      <c r="C109" s="4" t="s">
        <v>241</v>
      </c>
      <c r="D109" s="4" t="s">
        <v>242</v>
      </c>
      <c r="E109" s="5">
        <v>43246</v>
      </c>
      <c r="F109" s="4" t="s">
        <v>23</v>
      </c>
      <c r="G109" s="4" t="s">
        <v>243</v>
      </c>
      <c r="H109" s="4" t="s">
        <v>244</v>
      </c>
      <c r="I109" s="4" t="s">
        <v>154</v>
      </c>
      <c r="J109" s="4" t="s">
        <v>27</v>
      </c>
      <c r="K109" s="6">
        <v>3781.09</v>
      </c>
      <c r="L109" s="6">
        <v>0</v>
      </c>
      <c r="M109" s="6">
        <v>3781.09</v>
      </c>
      <c r="N109" s="4"/>
      <c r="O109" s="3"/>
      <c r="P109" s="3" t="s">
        <v>1086</v>
      </c>
      <c r="Q109" s="8" t="s">
        <v>255</v>
      </c>
      <c r="R109" s="9">
        <v>43221</v>
      </c>
      <c r="S109" s="9">
        <v>43221</v>
      </c>
      <c r="T109" s="8">
        <v>5</v>
      </c>
      <c r="U109" s="8" t="str">
        <f t="shared" si="10"/>
        <v>May</v>
      </c>
      <c r="V109">
        <f t="shared" si="7"/>
        <v>5</v>
      </c>
      <c r="W109" s="8" t="str">
        <f t="shared" si="8"/>
        <v>May</v>
      </c>
    </row>
    <row r="110" spans="1:23" x14ac:dyDescent="0.55000000000000004">
      <c r="A110" t="str">
        <f t="shared" si="6"/>
        <v>MayMayHong Kong - Phillips WI</v>
      </c>
      <c r="B110" s="3" t="s">
        <v>20</v>
      </c>
      <c r="C110" s="4" t="s">
        <v>241</v>
      </c>
      <c r="D110" s="4" t="s">
        <v>242</v>
      </c>
      <c r="E110" s="5">
        <v>43246</v>
      </c>
      <c r="F110" s="4" t="s">
        <v>23</v>
      </c>
      <c r="G110" s="4" t="s">
        <v>243</v>
      </c>
      <c r="H110" s="4" t="s">
        <v>244</v>
      </c>
      <c r="I110" s="4" t="s">
        <v>154</v>
      </c>
      <c r="J110" s="4" t="s">
        <v>27</v>
      </c>
      <c r="K110" s="6">
        <v>16928.59</v>
      </c>
      <c r="L110" s="6">
        <v>0</v>
      </c>
      <c r="M110" s="6">
        <v>16928.59</v>
      </c>
      <c r="N110" s="4"/>
      <c r="O110" s="3"/>
      <c r="P110" s="3" t="s">
        <v>65</v>
      </c>
      <c r="Q110" s="8" t="s">
        <v>256</v>
      </c>
      <c r="R110" s="9">
        <v>43221</v>
      </c>
      <c r="S110" s="9">
        <v>43221</v>
      </c>
      <c r="T110" s="8">
        <v>5</v>
      </c>
      <c r="U110" s="8" t="str">
        <f t="shared" si="10"/>
        <v>May</v>
      </c>
      <c r="V110">
        <f t="shared" si="7"/>
        <v>5</v>
      </c>
      <c r="W110" s="8" t="str">
        <f t="shared" si="8"/>
        <v>May</v>
      </c>
    </row>
    <row r="111" spans="1:23" x14ac:dyDescent="0.55000000000000004">
      <c r="A111" t="str">
        <f t="shared" si="6"/>
        <v>MayMayHong Kong - Phillips WI</v>
      </c>
      <c r="B111" s="3" t="s">
        <v>20</v>
      </c>
      <c r="C111" s="4" t="s">
        <v>241</v>
      </c>
      <c r="D111" s="4" t="s">
        <v>242</v>
      </c>
      <c r="E111" s="5">
        <v>43246</v>
      </c>
      <c r="F111" s="4" t="s">
        <v>23</v>
      </c>
      <c r="G111" s="4" t="s">
        <v>243</v>
      </c>
      <c r="H111" s="4" t="s">
        <v>244</v>
      </c>
      <c r="I111" s="4" t="s">
        <v>154</v>
      </c>
      <c r="J111" s="4" t="s">
        <v>27</v>
      </c>
      <c r="K111" s="6">
        <v>9461.81</v>
      </c>
      <c r="L111" s="6">
        <v>0</v>
      </c>
      <c r="M111" s="6">
        <v>9461.81</v>
      </c>
      <c r="N111" s="4"/>
      <c r="O111" s="3"/>
      <c r="P111" s="3" t="s">
        <v>65</v>
      </c>
      <c r="Q111" s="8" t="s">
        <v>258</v>
      </c>
      <c r="R111" s="9">
        <v>43221</v>
      </c>
      <c r="S111" s="9">
        <v>43221</v>
      </c>
      <c r="T111" s="8">
        <v>5</v>
      </c>
      <c r="U111" s="8" t="str">
        <f t="shared" si="10"/>
        <v>May</v>
      </c>
      <c r="V111">
        <f t="shared" si="7"/>
        <v>5</v>
      </c>
      <c r="W111" s="8" t="str">
        <f t="shared" si="8"/>
        <v>May</v>
      </c>
    </row>
    <row r="112" spans="1:23" x14ac:dyDescent="0.55000000000000004">
      <c r="A112" t="str">
        <f t="shared" si="6"/>
        <v>MayMayHong Kong - DCL KY</v>
      </c>
      <c r="B112" s="3" t="s">
        <v>20</v>
      </c>
      <c r="C112" s="4" t="s">
        <v>241</v>
      </c>
      <c r="D112" s="4" t="s">
        <v>242</v>
      </c>
      <c r="E112" s="5">
        <v>43246</v>
      </c>
      <c r="F112" s="4" t="s">
        <v>23</v>
      </c>
      <c r="G112" s="4" t="s">
        <v>243</v>
      </c>
      <c r="H112" s="4" t="s">
        <v>244</v>
      </c>
      <c r="I112" s="4" t="s">
        <v>154</v>
      </c>
      <c r="J112" s="4" t="s">
        <v>27</v>
      </c>
      <c r="K112" s="6">
        <v>1522.23</v>
      </c>
      <c r="L112" s="6">
        <v>0</v>
      </c>
      <c r="M112" s="6">
        <v>1522.23</v>
      </c>
      <c r="N112" s="4"/>
      <c r="O112" s="3"/>
      <c r="P112" s="3" t="s">
        <v>39</v>
      </c>
      <c r="Q112" s="8" t="s">
        <v>259</v>
      </c>
      <c r="R112" s="9">
        <v>43221</v>
      </c>
      <c r="S112" s="9">
        <v>43221</v>
      </c>
      <c r="T112" s="8">
        <v>5</v>
      </c>
      <c r="U112" s="8" t="str">
        <f t="shared" si="10"/>
        <v>May</v>
      </c>
      <c r="V112">
        <f t="shared" si="7"/>
        <v>5</v>
      </c>
      <c r="W112" s="8" t="str">
        <f t="shared" si="8"/>
        <v>May</v>
      </c>
    </row>
    <row r="113" spans="1:23" x14ac:dyDescent="0.55000000000000004">
      <c r="A113" t="str">
        <f t="shared" si="6"/>
        <v>MayMayAFG Suzho - Flex IL</v>
      </c>
      <c r="B113" s="3" t="s">
        <v>20</v>
      </c>
      <c r="C113" s="4" t="s">
        <v>241</v>
      </c>
      <c r="D113" s="4" t="s">
        <v>242</v>
      </c>
      <c r="E113" s="5">
        <v>43246</v>
      </c>
      <c r="F113" s="4" t="s">
        <v>23</v>
      </c>
      <c r="G113" s="4" t="s">
        <v>243</v>
      </c>
      <c r="H113" s="4" t="s">
        <v>244</v>
      </c>
      <c r="I113" s="4" t="s">
        <v>154</v>
      </c>
      <c r="J113" s="4" t="s">
        <v>27</v>
      </c>
      <c r="K113" s="6">
        <v>5079.68</v>
      </c>
      <c r="L113" s="6">
        <v>0</v>
      </c>
      <c r="M113" s="6">
        <v>5079.68</v>
      </c>
      <c r="N113" s="4"/>
      <c r="O113" s="3"/>
      <c r="P113" s="3" t="s">
        <v>260</v>
      </c>
      <c r="Q113" s="8" t="s">
        <v>261</v>
      </c>
      <c r="R113" s="9">
        <v>43221</v>
      </c>
      <c r="S113" s="9">
        <v>43221</v>
      </c>
      <c r="T113" s="8">
        <v>5</v>
      </c>
      <c r="U113" s="8" t="str">
        <f t="shared" si="10"/>
        <v>May</v>
      </c>
      <c r="V113">
        <f t="shared" si="7"/>
        <v>5</v>
      </c>
      <c r="W113" s="8" t="str">
        <f t="shared" si="8"/>
        <v>May</v>
      </c>
    </row>
    <row r="114" spans="1:23" x14ac:dyDescent="0.55000000000000004">
      <c r="A114" t="str">
        <f t="shared" si="6"/>
        <v>MayMayAFG NC - Canada</v>
      </c>
      <c r="B114" s="3" t="s">
        <v>20</v>
      </c>
      <c r="C114" s="4" t="s">
        <v>241</v>
      </c>
      <c r="D114" s="4" t="s">
        <v>242</v>
      </c>
      <c r="E114" s="5">
        <v>43246</v>
      </c>
      <c r="F114" s="4" t="s">
        <v>23</v>
      </c>
      <c r="G114" s="4" t="s">
        <v>243</v>
      </c>
      <c r="H114" s="4" t="s">
        <v>244</v>
      </c>
      <c r="I114" s="4" t="s">
        <v>154</v>
      </c>
      <c r="J114" s="4" t="s">
        <v>27</v>
      </c>
      <c r="K114" s="6">
        <v>427.41</v>
      </c>
      <c r="L114" s="6">
        <v>0</v>
      </c>
      <c r="M114" s="6">
        <v>427.41</v>
      </c>
      <c r="N114" s="4"/>
      <c r="O114" s="3"/>
      <c r="P114" s="8" t="s">
        <v>1085</v>
      </c>
      <c r="Q114" s="8" t="s">
        <v>263</v>
      </c>
      <c r="R114" s="9">
        <v>43221</v>
      </c>
      <c r="S114" s="9">
        <v>43221</v>
      </c>
      <c r="T114" s="8">
        <v>5</v>
      </c>
      <c r="U114" s="8" t="str">
        <f t="shared" si="10"/>
        <v>May</v>
      </c>
      <c r="V114">
        <f t="shared" si="7"/>
        <v>5</v>
      </c>
      <c r="W114" s="8" t="str">
        <f t="shared" si="8"/>
        <v>May</v>
      </c>
    </row>
    <row r="115" spans="1:23" x14ac:dyDescent="0.55000000000000004">
      <c r="A115" t="str">
        <f t="shared" si="6"/>
        <v>MayMayAFG NC - DCL KY</v>
      </c>
      <c r="B115" s="3" t="s">
        <v>20</v>
      </c>
      <c r="C115" s="4" t="s">
        <v>241</v>
      </c>
      <c r="D115" s="4" t="s">
        <v>267</v>
      </c>
      <c r="E115" s="5">
        <v>43237</v>
      </c>
      <c r="F115" s="4" t="s">
        <v>23</v>
      </c>
      <c r="G115" s="4" t="s">
        <v>268</v>
      </c>
      <c r="H115" s="4" t="s">
        <v>269</v>
      </c>
      <c r="I115" s="4" t="s">
        <v>154</v>
      </c>
      <c r="J115" s="4" t="s">
        <v>172</v>
      </c>
      <c r="K115" s="6">
        <v>-4650</v>
      </c>
      <c r="L115" s="6">
        <v>0</v>
      </c>
      <c r="M115" s="6">
        <v>-4650</v>
      </c>
      <c r="N115" s="4"/>
      <c r="O115" s="3"/>
      <c r="P115" s="3" t="s">
        <v>173</v>
      </c>
      <c r="Q115" s="8" t="s">
        <v>297</v>
      </c>
      <c r="R115" s="9">
        <v>43221</v>
      </c>
      <c r="S115" s="9">
        <v>43221</v>
      </c>
      <c r="T115" s="8">
        <v>5</v>
      </c>
      <c r="U115" s="8" t="str">
        <f t="shared" si="10"/>
        <v>May</v>
      </c>
      <c r="V115">
        <f t="shared" si="7"/>
        <v>5</v>
      </c>
      <c r="W115" s="8" t="str">
        <f t="shared" si="8"/>
        <v>May</v>
      </c>
    </row>
    <row r="116" spans="1:23" x14ac:dyDescent="0.55000000000000004">
      <c r="A116" t="str">
        <f t="shared" si="6"/>
        <v>MayMayPhillips WI - DCL KY</v>
      </c>
      <c r="B116" s="3" t="s">
        <v>20</v>
      </c>
      <c r="C116" s="4" t="s">
        <v>241</v>
      </c>
      <c r="D116" s="4" t="s">
        <v>267</v>
      </c>
      <c r="E116" s="5">
        <v>43242</v>
      </c>
      <c r="F116" s="4" t="s">
        <v>23</v>
      </c>
      <c r="G116" s="4" t="s">
        <v>268</v>
      </c>
      <c r="H116" s="4" t="s">
        <v>269</v>
      </c>
      <c r="I116" s="4" t="s">
        <v>154</v>
      </c>
      <c r="J116" s="4" t="s">
        <v>172</v>
      </c>
      <c r="K116" s="6">
        <v>-1368.64</v>
      </c>
      <c r="L116" s="6">
        <v>0</v>
      </c>
      <c r="M116" s="6">
        <v>-1368.64</v>
      </c>
      <c r="N116" s="4"/>
      <c r="O116" s="3"/>
      <c r="P116" s="3" t="s">
        <v>29</v>
      </c>
      <c r="Q116" s="8" t="s">
        <v>298</v>
      </c>
      <c r="R116" s="9">
        <v>43221</v>
      </c>
      <c r="S116" s="9">
        <v>43221</v>
      </c>
      <c r="T116" s="8">
        <v>5</v>
      </c>
      <c r="U116" s="8" t="str">
        <f t="shared" si="10"/>
        <v>May</v>
      </c>
      <c r="V116">
        <f t="shared" si="7"/>
        <v>5</v>
      </c>
      <c r="W116" s="8" t="str">
        <f t="shared" si="8"/>
        <v>May</v>
      </c>
    </row>
    <row r="117" spans="1:23" x14ac:dyDescent="0.55000000000000004">
      <c r="A117" t="str">
        <f t="shared" si="6"/>
        <v>MayMayAFG NC - DCL KY</v>
      </c>
      <c r="B117" s="3" t="s">
        <v>20</v>
      </c>
      <c r="C117" s="4" t="s">
        <v>241</v>
      </c>
      <c r="D117" s="4" t="s">
        <v>267</v>
      </c>
      <c r="E117" s="5">
        <v>43242</v>
      </c>
      <c r="F117" s="4" t="s">
        <v>23</v>
      </c>
      <c r="G117" s="4" t="s">
        <v>268</v>
      </c>
      <c r="H117" s="4" t="s">
        <v>269</v>
      </c>
      <c r="I117" s="4" t="s">
        <v>154</v>
      </c>
      <c r="J117" s="4" t="s">
        <v>172</v>
      </c>
      <c r="K117" s="6">
        <v>-3100</v>
      </c>
      <c r="L117" s="6">
        <v>0</v>
      </c>
      <c r="M117" s="6">
        <v>-3100</v>
      </c>
      <c r="N117" s="4"/>
      <c r="O117" s="3"/>
      <c r="P117" s="3" t="s">
        <v>173</v>
      </c>
      <c r="Q117" s="8" t="s">
        <v>299</v>
      </c>
      <c r="R117" s="9">
        <v>43221</v>
      </c>
      <c r="S117" s="9">
        <v>43221</v>
      </c>
      <c r="T117" s="8">
        <v>5</v>
      </c>
      <c r="U117" s="8" t="str">
        <f t="shared" si="10"/>
        <v>May</v>
      </c>
      <c r="V117">
        <f t="shared" si="7"/>
        <v>5</v>
      </c>
      <c r="W117" s="8" t="str">
        <f t="shared" si="8"/>
        <v>May</v>
      </c>
    </row>
    <row r="118" spans="1:23" x14ac:dyDescent="0.55000000000000004">
      <c r="A118" t="str">
        <f t="shared" si="6"/>
        <v>MayMayPhillips WI - DCL KY</v>
      </c>
      <c r="B118" s="3" t="s">
        <v>20</v>
      </c>
      <c r="C118" s="4" t="s">
        <v>241</v>
      </c>
      <c r="D118" s="4" t="s">
        <v>267</v>
      </c>
      <c r="E118" s="5">
        <v>43244</v>
      </c>
      <c r="F118" s="4" t="s">
        <v>23</v>
      </c>
      <c r="G118" s="4" t="s">
        <v>268</v>
      </c>
      <c r="H118" s="4" t="s">
        <v>269</v>
      </c>
      <c r="I118" s="4" t="s">
        <v>154</v>
      </c>
      <c r="J118" s="4" t="s">
        <v>172</v>
      </c>
      <c r="K118" s="6">
        <v>-5825</v>
      </c>
      <c r="L118" s="6">
        <v>0</v>
      </c>
      <c r="M118" s="6">
        <v>-5825</v>
      </c>
      <c r="N118" s="4"/>
      <c r="O118" s="3"/>
      <c r="P118" s="3" t="s">
        <v>29</v>
      </c>
      <c r="Q118" s="8" t="s">
        <v>300</v>
      </c>
      <c r="R118" s="9">
        <v>43221</v>
      </c>
      <c r="S118" s="9">
        <v>43221</v>
      </c>
      <c r="T118" s="8">
        <v>5</v>
      </c>
      <c r="U118" s="8" t="str">
        <f t="shared" si="10"/>
        <v>May</v>
      </c>
      <c r="V118">
        <f t="shared" si="7"/>
        <v>5</v>
      </c>
      <c r="W118" s="8" t="str">
        <f t="shared" si="8"/>
        <v>May</v>
      </c>
    </row>
    <row r="119" spans="1:23" x14ac:dyDescent="0.55000000000000004">
      <c r="A119" t="str">
        <f t="shared" si="6"/>
        <v>MayMayHong Kong - DECI NC</v>
      </c>
      <c r="B119" s="3" t="s">
        <v>20</v>
      </c>
      <c r="C119" s="26" t="s">
        <v>150</v>
      </c>
      <c r="D119" s="26" t="s">
        <v>378</v>
      </c>
      <c r="E119" s="27">
        <v>43223</v>
      </c>
      <c r="F119" s="26" t="s">
        <v>332</v>
      </c>
      <c r="G119" s="26" t="s">
        <v>161</v>
      </c>
      <c r="H119" s="26" t="s">
        <v>379</v>
      </c>
      <c r="I119" s="26" t="s">
        <v>154</v>
      </c>
      <c r="J119" s="26" t="s">
        <v>27</v>
      </c>
      <c r="K119" s="28">
        <v>60</v>
      </c>
      <c r="L119" s="28">
        <v>0</v>
      </c>
      <c r="M119" s="28">
        <v>60</v>
      </c>
      <c r="N119" s="26"/>
      <c r="O119" s="8" t="s">
        <v>161</v>
      </c>
      <c r="P119" s="8" t="s">
        <v>92</v>
      </c>
      <c r="Q119" s="8" t="s">
        <v>380</v>
      </c>
      <c r="R119" s="9">
        <v>43221</v>
      </c>
      <c r="S119" s="9">
        <v>43221</v>
      </c>
      <c r="T119" s="8">
        <v>5</v>
      </c>
      <c r="U119" s="8" t="str">
        <f t="shared" si="10"/>
        <v>May</v>
      </c>
      <c r="V119">
        <f t="shared" si="7"/>
        <v>5</v>
      </c>
      <c r="W119" s="8" t="str">
        <f t="shared" si="8"/>
        <v>May</v>
      </c>
    </row>
    <row r="120" spans="1:23" x14ac:dyDescent="0.55000000000000004">
      <c r="A120" t="str">
        <f t="shared" si="6"/>
        <v>MayMayChina - Flex IL</v>
      </c>
      <c r="B120" s="3" t="s">
        <v>20</v>
      </c>
      <c r="C120" s="26" t="s">
        <v>150</v>
      </c>
      <c r="D120" s="26" t="s">
        <v>381</v>
      </c>
      <c r="E120" s="27">
        <v>43223</v>
      </c>
      <c r="F120" s="26" t="s">
        <v>332</v>
      </c>
      <c r="G120" s="26" t="s">
        <v>382</v>
      </c>
      <c r="H120" s="26" t="s">
        <v>383</v>
      </c>
      <c r="I120" s="26" t="s">
        <v>154</v>
      </c>
      <c r="J120" s="26" t="s">
        <v>172</v>
      </c>
      <c r="K120" s="28">
        <v>1250</v>
      </c>
      <c r="L120" s="28">
        <v>0</v>
      </c>
      <c r="M120" s="28">
        <v>1250</v>
      </c>
      <c r="N120" s="26"/>
      <c r="O120" s="8" t="s">
        <v>382</v>
      </c>
      <c r="P120" s="3" t="s">
        <v>886</v>
      </c>
      <c r="Q120" s="8"/>
      <c r="R120" s="9">
        <v>43221</v>
      </c>
      <c r="S120" s="9">
        <v>43221</v>
      </c>
      <c r="T120" s="8">
        <v>5</v>
      </c>
      <c r="U120" s="8" t="str">
        <f t="shared" si="10"/>
        <v>May</v>
      </c>
      <c r="V120">
        <f t="shared" si="7"/>
        <v>5</v>
      </c>
      <c r="W120" s="8" t="str">
        <f t="shared" si="8"/>
        <v>May</v>
      </c>
    </row>
    <row r="121" spans="1:23" x14ac:dyDescent="0.55000000000000004">
      <c r="A121" t="str">
        <f t="shared" si="6"/>
        <v>MayMayHong Kong - AFG NC</v>
      </c>
      <c r="B121" s="3" t="s">
        <v>20</v>
      </c>
      <c r="C121" s="26" t="s">
        <v>150</v>
      </c>
      <c r="D121" s="26" t="s">
        <v>385</v>
      </c>
      <c r="E121" s="27">
        <v>43231</v>
      </c>
      <c r="F121" s="26" t="s">
        <v>332</v>
      </c>
      <c r="G121" s="26" t="s">
        <v>161</v>
      </c>
      <c r="H121" s="26" t="s">
        <v>386</v>
      </c>
      <c r="I121" s="26" t="s">
        <v>154</v>
      </c>
      <c r="J121" s="26" t="s">
        <v>27</v>
      </c>
      <c r="K121" s="28">
        <v>48</v>
      </c>
      <c r="L121" s="28">
        <v>0</v>
      </c>
      <c r="M121" s="28">
        <v>48</v>
      </c>
      <c r="N121" s="26"/>
      <c r="O121" s="8" t="s">
        <v>161</v>
      </c>
      <c r="P121" s="8" t="s">
        <v>334</v>
      </c>
      <c r="Q121" s="8"/>
      <c r="R121" s="9">
        <v>43221</v>
      </c>
      <c r="S121" s="9">
        <v>43221</v>
      </c>
      <c r="T121" s="8">
        <v>5</v>
      </c>
      <c r="U121" s="8" t="str">
        <f t="shared" si="10"/>
        <v>May</v>
      </c>
      <c r="V121">
        <f t="shared" si="7"/>
        <v>5</v>
      </c>
      <c r="W121" s="8" t="str">
        <f t="shared" si="8"/>
        <v>May</v>
      </c>
    </row>
    <row r="122" spans="1:23" x14ac:dyDescent="0.55000000000000004">
      <c r="A122" t="str">
        <f t="shared" si="6"/>
        <v>MayMayHong Kong - AFG NC</v>
      </c>
      <c r="B122" s="3" t="s">
        <v>20</v>
      </c>
      <c r="C122" s="26" t="s">
        <v>150</v>
      </c>
      <c r="D122" s="26" t="s">
        <v>387</v>
      </c>
      <c r="E122" s="27">
        <v>43231</v>
      </c>
      <c r="F122" s="26" t="s">
        <v>332</v>
      </c>
      <c r="G122" s="26" t="s">
        <v>161</v>
      </c>
      <c r="H122" s="26" t="s">
        <v>388</v>
      </c>
      <c r="I122" s="26" t="s">
        <v>154</v>
      </c>
      <c r="J122" s="26" t="s">
        <v>27</v>
      </c>
      <c r="K122" s="28">
        <v>60</v>
      </c>
      <c r="L122" s="28">
        <v>0</v>
      </c>
      <c r="M122" s="28">
        <v>60</v>
      </c>
      <c r="N122" s="26"/>
      <c r="O122" s="8" t="s">
        <v>161</v>
      </c>
      <c r="P122" s="8" t="s">
        <v>334</v>
      </c>
      <c r="Q122" s="8"/>
      <c r="R122" s="9">
        <v>43221</v>
      </c>
      <c r="S122" s="9">
        <v>43221</v>
      </c>
      <c r="T122" s="8">
        <v>5</v>
      </c>
      <c r="U122" s="8" t="str">
        <f t="shared" si="10"/>
        <v>May</v>
      </c>
      <c r="V122">
        <f t="shared" si="7"/>
        <v>5</v>
      </c>
      <c r="W122" s="8" t="str">
        <f t="shared" si="8"/>
        <v>May</v>
      </c>
    </row>
    <row r="123" spans="1:23" x14ac:dyDescent="0.55000000000000004">
      <c r="A123" t="str">
        <f t="shared" si="6"/>
        <v>MayMayHong Kong - AFG NC</v>
      </c>
      <c r="B123" s="3" t="s">
        <v>20</v>
      </c>
      <c r="C123" s="26" t="s">
        <v>150</v>
      </c>
      <c r="D123" s="26" t="s">
        <v>389</v>
      </c>
      <c r="E123" s="27">
        <v>43231</v>
      </c>
      <c r="F123" s="26" t="s">
        <v>332</v>
      </c>
      <c r="G123" s="26" t="s">
        <v>161</v>
      </c>
      <c r="H123" s="26" t="s">
        <v>390</v>
      </c>
      <c r="I123" s="26" t="s">
        <v>154</v>
      </c>
      <c r="J123" s="26" t="s">
        <v>27</v>
      </c>
      <c r="K123" s="28">
        <v>60</v>
      </c>
      <c r="L123" s="28">
        <v>0</v>
      </c>
      <c r="M123" s="28">
        <v>60</v>
      </c>
      <c r="N123" s="26"/>
      <c r="O123" s="8" t="s">
        <v>161</v>
      </c>
      <c r="P123" s="8" t="s">
        <v>334</v>
      </c>
      <c r="Q123" s="8"/>
      <c r="R123" s="9">
        <v>43221</v>
      </c>
      <c r="S123" s="9">
        <v>43221</v>
      </c>
      <c r="T123" s="8">
        <v>5</v>
      </c>
      <c r="U123" s="8" t="str">
        <f t="shared" si="10"/>
        <v>May</v>
      </c>
      <c r="V123">
        <f t="shared" si="7"/>
        <v>5</v>
      </c>
      <c r="W123" s="8" t="str">
        <f t="shared" si="8"/>
        <v>May</v>
      </c>
    </row>
    <row r="124" spans="1:23" x14ac:dyDescent="0.55000000000000004">
      <c r="A124" t="str">
        <f t="shared" si="6"/>
        <v>MayMayDECI NC - DCL KY</v>
      </c>
      <c r="B124" s="3" t="s">
        <v>20</v>
      </c>
      <c r="C124" s="26" t="s">
        <v>150</v>
      </c>
      <c r="D124" s="26" t="s">
        <v>391</v>
      </c>
      <c r="E124" s="27">
        <v>43234</v>
      </c>
      <c r="F124" s="26" t="s">
        <v>332</v>
      </c>
      <c r="G124" s="26" t="s">
        <v>392</v>
      </c>
      <c r="H124" s="26" t="s">
        <v>393</v>
      </c>
      <c r="I124" s="26" t="s">
        <v>154</v>
      </c>
      <c r="J124" s="26" t="s">
        <v>172</v>
      </c>
      <c r="K124" s="28">
        <v>1725</v>
      </c>
      <c r="L124" s="28">
        <v>0</v>
      </c>
      <c r="M124" s="28">
        <v>1725</v>
      </c>
      <c r="N124" s="26"/>
      <c r="O124" s="8" t="s">
        <v>392</v>
      </c>
      <c r="P124" s="8" t="s">
        <v>178</v>
      </c>
      <c r="Q124" s="8"/>
      <c r="R124" s="9">
        <v>43221</v>
      </c>
      <c r="S124" s="9">
        <v>43221</v>
      </c>
      <c r="T124" s="8">
        <v>5</v>
      </c>
      <c r="U124" s="8" t="str">
        <f t="shared" si="10"/>
        <v>May</v>
      </c>
      <c r="V124">
        <f t="shared" si="7"/>
        <v>5</v>
      </c>
      <c r="W124" s="8" t="str">
        <f t="shared" si="8"/>
        <v>May</v>
      </c>
    </row>
    <row r="125" spans="1:23" x14ac:dyDescent="0.55000000000000004">
      <c r="A125" t="str">
        <f t="shared" si="6"/>
        <v>MayMayAFG NC - DCL KY</v>
      </c>
      <c r="B125" s="3" t="s">
        <v>20</v>
      </c>
      <c r="C125" s="26" t="s">
        <v>150</v>
      </c>
      <c r="D125" s="26" t="s">
        <v>394</v>
      </c>
      <c r="E125" s="27">
        <v>43234</v>
      </c>
      <c r="F125" s="26" t="s">
        <v>332</v>
      </c>
      <c r="G125" s="26" t="s">
        <v>395</v>
      </c>
      <c r="H125" s="26" t="s">
        <v>396</v>
      </c>
      <c r="I125" s="26" t="s">
        <v>154</v>
      </c>
      <c r="J125" s="26" t="s">
        <v>172</v>
      </c>
      <c r="K125" s="28">
        <v>4650</v>
      </c>
      <c r="L125" s="28">
        <v>0</v>
      </c>
      <c r="M125" s="28">
        <v>4650</v>
      </c>
      <c r="N125" s="26"/>
      <c r="O125" s="8" t="s">
        <v>395</v>
      </c>
      <c r="P125" s="8" t="s">
        <v>173</v>
      </c>
      <c r="Q125" s="8"/>
      <c r="R125" s="9">
        <v>43221</v>
      </c>
      <c r="S125" s="9">
        <v>43221</v>
      </c>
      <c r="T125" s="8">
        <v>5</v>
      </c>
      <c r="U125" s="8" t="str">
        <f t="shared" ref="U125:U156" si="11">IF(T125=6,"June",IF(T125=5,"May",IF(T125=4,"April",IF(T125=3,"March",0))))</f>
        <v>May</v>
      </c>
      <c r="V125">
        <f t="shared" si="7"/>
        <v>5</v>
      </c>
      <c r="W125" s="8" t="str">
        <f t="shared" si="8"/>
        <v>May</v>
      </c>
    </row>
    <row r="126" spans="1:23" x14ac:dyDescent="0.55000000000000004">
      <c r="A126" t="str">
        <f t="shared" si="6"/>
        <v>MayMayAFG NC - DCL KY</v>
      </c>
      <c r="B126" s="3" t="s">
        <v>20</v>
      </c>
      <c r="C126" s="26" t="s">
        <v>150</v>
      </c>
      <c r="D126" s="26" t="s">
        <v>397</v>
      </c>
      <c r="E126" s="27">
        <v>43234</v>
      </c>
      <c r="F126" s="26" t="s">
        <v>332</v>
      </c>
      <c r="G126" s="26" t="s">
        <v>398</v>
      </c>
      <c r="H126" s="26" t="s">
        <v>399</v>
      </c>
      <c r="I126" s="26" t="s">
        <v>154</v>
      </c>
      <c r="J126" s="26" t="s">
        <v>172</v>
      </c>
      <c r="K126" s="28">
        <v>1550</v>
      </c>
      <c r="L126" s="28">
        <v>0</v>
      </c>
      <c r="M126" s="28">
        <v>1550</v>
      </c>
      <c r="N126" s="26"/>
      <c r="O126" s="8" t="s">
        <v>398</v>
      </c>
      <c r="P126" s="8" t="s">
        <v>173</v>
      </c>
      <c r="Q126" s="8"/>
      <c r="R126" s="9">
        <v>43221</v>
      </c>
      <c r="S126" s="9">
        <v>43221</v>
      </c>
      <c r="T126" s="8">
        <v>5</v>
      </c>
      <c r="U126" s="8" t="str">
        <f t="shared" si="11"/>
        <v>May</v>
      </c>
      <c r="V126">
        <f t="shared" si="7"/>
        <v>5</v>
      </c>
      <c r="W126" s="8" t="str">
        <f t="shared" si="8"/>
        <v>May</v>
      </c>
    </row>
    <row r="127" spans="1:23" x14ac:dyDescent="0.55000000000000004">
      <c r="A127" t="str">
        <f t="shared" si="6"/>
        <v>MayMayAFG NC - DCL KY</v>
      </c>
      <c r="B127" s="3" t="s">
        <v>20</v>
      </c>
      <c r="C127" s="26" t="s">
        <v>150</v>
      </c>
      <c r="D127" s="26" t="s">
        <v>400</v>
      </c>
      <c r="E127" s="27">
        <v>43234</v>
      </c>
      <c r="F127" s="26" t="s">
        <v>332</v>
      </c>
      <c r="G127" s="26" t="s">
        <v>401</v>
      </c>
      <c r="H127" s="26" t="s">
        <v>402</v>
      </c>
      <c r="I127" s="26" t="s">
        <v>154</v>
      </c>
      <c r="J127" s="26" t="s">
        <v>172</v>
      </c>
      <c r="K127" s="28">
        <v>3100</v>
      </c>
      <c r="L127" s="28">
        <v>0</v>
      </c>
      <c r="M127" s="28">
        <v>3100</v>
      </c>
      <c r="N127" s="26"/>
      <c r="O127" s="8" t="s">
        <v>401</v>
      </c>
      <c r="P127" s="8" t="s">
        <v>173</v>
      </c>
      <c r="Q127" s="8"/>
      <c r="R127" s="9">
        <v>43221</v>
      </c>
      <c r="S127" s="9">
        <v>43221</v>
      </c>
      <c r="T127" s="8">
        <v>5</v>
      </c>
      <c r="U127" s="8" t="str">
        <f t="shared" si="11"/>
        <v>May</v>
      </c>
      <c r="V127">
        <f t="shared" si="7"/>
        <v>5</v>
      </c>
      <c r="W127" s="8" t="str">
        <f t="shared" si="8"/>
        <v>May</v>
      </c>
    </row>
    <row r="128" spans="1:23" x14ac:dyDescent="0.55000000000000004">
      <c r="A128" t="str">
        <f t="shared" si="6"/>
        <v>MayMayAFG NC - DCL KY</v>
      </c>
      <c r="B128" s="3" t="s">
        <v>20</v>
      </c>
      <c r="C128" s="26" t="s">
        <v>150</v>
      </c>
      <c r="D128" s="26" t="s">
        <v>403</v>
      </c>
      <c r="E128" s="27">
        <v>43234</v>
      </c>
      <c r="F128" s="26" t="s">
        <v>332</v>
      </c>
      <c r="G128" s="26" t="s">
        <v>404</v>
      </c>
      <c r="H128" s="26" t="s">
        <v>405</v>
      </c>
      <c r="I128" s="26" t="s">
        <v>154</v>
      </c>
      <c r="J128" s="26" t="s">
        <v>172</v>
      </c>
      <c r="K128" s="28">
        <v>3100</v>
      </c>
      <c r="L128" s="28">
        <v>0</v>
      </c>
      <c r="M128" s="28">
        <v>3100</v>
      </c>
      <c r="N128" s="26"/>
      <c r="O128" s="8" t="s">
        <v>404</v>
      </c>
      <c r="P128" s="8" t="s">
        <v>173</v>
      </c>
      <c r="Q128" s="8"/>
      <c r="R128" s="9">
        <v>43221</v>
      </c>
      <c r="S128" s="9">
        <v>43221</v>
      </c>
      <c r="T128" s="8">
        <v>5</v>
      </c>
      <c r="U128" s="8" t="str">
        <f t="shared" si="11"/>
        <v>May</v>
      </c>
      <c r="V128">
        <f t="shared" si="7"/>
        <v>5</v>
      </c>
      <c r="W128" s="8" t="str">
        <f t="shared" si="8"/>
        <v>May</v>
      </c>
    </row>
    <row r="129" spans="1:23" x14ac:dyDescent="0.55000000000000004">
      <c r="A129" t="str">
        <f t="shared" si="6"/>
        <v>MayMayAFG NC - DCL KY</v>
      </c>
      <c r="B129" s="3" t="s">
        <v>20</v>
      </c>
      <c r="C129" s="26" t="s">
        <v>150</v>
      </c>
      <c r="D129" s="26" t="s">
        <v>406</v>
      </c>
      <c r="E129" s="27">
        <v>43234</v>
      </c>
      <c r="F129" s="26" t="s">
        <v>332</v>
      </c>
      <c r="G129" s="26" t="s">
        <v>407</v>
      </c>
      <c r="H129" s="26" t="s">
        <v>408</v>
      </c>
      <c r="I129" s="26" t="s">
        <v>154</v>
      </c>
      <c r="J129" s="26" t="s">
        <v>172</v>
      </c>
      <c r="K129" s="28">
        <v>3100</v>
      </c>
      <c r="L129" s="28">
        <v>0</v>
      </c>
      <c r="M129" s="28">
        <v>3100</v>
      </c>
      <c r="N129" s="26"/>
      <c r="O129" s="8" t="s">
        <v>407</v>
      </c>
      <c r="P129" s="8" t="s">
        <v>173</v>
      </c>
      <c r="Q129" s="8"/>
      <c r="R129" s="9">
        <v>43221</v>
      </c>
      <c r="S129" s="9">
        <v>43221</v>
      </c>
      <c r="T129" s="8">
        <v>5</v>
      </c>
      <c r="U129" s="8" t="str">
        <f t="shared" si="11"/>
        <v>May</v>
      </c>
      <c r="V129">
        <f t="shared" si="7"/>
        <v>5</v>
      </c>
      <c r="W129" s="8" t="str">
        <f t="shared" si="8"/>
        <v>May</v>
      </c>
    </row>
    <row r="130" spans="1:23" x14ac:dyDescent="0.55000000000000004">
      <c r="A130" t="str">
        <f t="shared" si="6"/>
        <v>MayMayAFG NC - DCL KY</v>
      </c>
      <c r="B130" s="3" t="s">
        <v>20</v>
      </c>
      <c r="C130" s="26" t="s">
        <v>150</v>
      </c>
      <c r="D130" s="26" t="s">
        <v>409</v>
      </c>
      <c r="E130" s="27">
        <v>43234</v>
      </c>
      <c r="F130" s="26" t="s">
        <v>332</v>
      </c>
      <c r="G130" s="26" t="s">
        <v>410</v>
      </c>
      <c r="H130" s="26" t="s">
        <v>411</v>
      </c>
      <c r="I130" s="26" t="s">
        <v>154</v>
      </c>
      <c r="J130" s="26" t="s">
        <v>172</v>
      </c>
      <c r="K130" s="28">
        <v>3100</v>
      </c>
      <c r="L130" s="28">
        <v>0</v>
      </c>
      <c r="M130" s="28">
        <v>3100</v>
      </c>
      <c r="N130" s="26"/>
      <c r="O130" s="8" t="s">
        <v>410</v>
      </c>
      <c r="P130" s="8" t="s">
        <v>173</v>
      </c>
      <c r="Q130" s="8"/>
      <c r="R130" s="9">
        <v>43221</v>
      </c>
      <c r="S130" s="9">
        <v>43221</v>
      </c>
      <c r="T130" s="8">
        <v>5</v>
      </c>
      <c r="U130" s="8" t="str">
        <f t="shared" si="11"/>
        <v>May</v>
      </c>
      <c r="V130">
        <f t="shared" si="7"/>
        <v>5</v>
      </c>
      <c r="W130" s="8" t="str">
        <f t="shared" si="8"/>
        <v>May</v>
      </c>
    </row>
    <row r="131" spans="1:23" x14ac:dyDescent="0.55000000000000004">
      <c r="A131" t="str">
        <f t="shared" ref="A131:A194" si="12">U131&amp;W131&amp;P131</f>
        <v>MayMayAFG NC - DCL KY</v>
      </c>
      <c r="B131" s="3" t="s">
        <v>20</v>
      </c>
      <c r="C131" s="26" t="s">
        <v>150</v>
      </c>
      <c r="D131" s="26" t="s">
        <v>412</v>
      </c>
      <c r="E131" s="27">
        <v>43234</v>
      </c>
      <c r="F131" s="26" t="s">
        <v>332</v>
      </c>
      <c r="G131" s="26" t="s">
        <v>413</v>
      </c>
      <c r="H131" s="26" t="s">
        <v>414</v>
      </c>
      <c r="I131" s="26" t="s">
        <v>154</v>
      </c>
      <c r="J131" s="26" t="s">
        <v>172</v>
      </c>
      <c r="K131" s="28">
        <v>4650</v>
      </c>
      <c r="L131" s="28">
        <v>0</v>
      </c>
      <c r="M131" s="28">
        <v>4650</v>
      </c>
      <c r="N131" s="26"/>
      <c r="O131" s="8" t="s">
        <v>413</v>
      </c>
      <c r="P131" s="8" t="s">
        <v>173</v>
      </c>
      <c r="Q131" s="8"/>
      <c r="R131" s="9">
        <v>43221</v>
      </c>
      <c r="S131" s="9">
        <v>43221</v>
      </c>
      <c r="T131" s="8">
        <v>5</v>
      </c>
      <c r="U131" s="8" t="str">
        <f t="shared" si="11"/>
        <v>May</v>
      </c>
      <c r="V131">
        <f t="shared" ref="V131:V194" si="13">MONTH(S131)</f>
        <v>5</v>
      </c>
      <c r="W131" s="8" t="str">
        <f t="shared" ref="W131:W194" si="14">IF(V131=6,"June",IF(V131=5,"May",IF(V131=4,"April",IF(V131=3,"March",IF(V131=7,"July",IF(V131=2,"February",0))))))</f>
        <v>May</v>
      </c>
    </row>
    <row r="132" spans="1:23" x14ac:dyDescent="0.55000000000000004">
      <c r="A132" t="str">
        <f t="shared" si="12"/>
        <v>MayMayDECI NC - DCL KY</v>
      </c>
      <c r="B132" s="3" t="s">
        <v>20</v>
      </c>
      <c r="C132" s="26" t="s">
        <v>150</v>
      </c>
      <c r="D132" s="26" t="s">
        <v>415</v>
      </c>
      <c r="E132" s="27">
        <v>43234</v>
      </c>
      <c r="F132" s="26" t="s">
        <v>332</v>
      </c>
      <c r="G132" s="26" t="s">
        <v>392</v>
      </c>
      <c r="H132" s="26" t="s">
        <v>416</v>
      </c>
      <c r="I132" s="26" t="s">
        <v>154</v>
      </c>
      <c r="J132" s="26" t="s">
        <v>172</v>
      </c>
      <c r="K132" s="28">
        <v>3275</v>
      </c>
      <c r="L132" s="28">
        <v>0</v>
      </c>
      <c r="M132" s="28">
        <v>3275</v>
      </c>
      <c r="N132" s="26"/>
      <c r="O132" s="8" t="s">
        <v>392</v>
      </c>
      <c r="P132" s="8" t="s">
        <v>178</v>
      </c>
      <c r="Q132" s="8"/>
      <c r="R132" s="9">
        <v>43221</v>
      </c>
      <c r="S132" s="9">
        <v>43221</v>
      </c>
      <c r="T132" s="8">
        <v>5</v>
      </c>
      <c r="U132" s="8" t="str">
        <f t="shared" si="11"/>
        <v>May</v>
      </c>
      <c r="V132">
        <f t="shared" si="13"/>
        <v>5</v>
      </c>
      <c r="W132" s="8" t="str">
        <f t="shared" si="14"/>
        <v>May</v>
      </c>
    </row>
    <row r="133" spans="1:23" x14ac:dyDescent="0.55000000000000004">
      <c r="A133" t="str">
        <f t="shared" si="12"/>
        <v>MayMayDECI NC - DCL KY</v>
      </c>
      <c r="B133" s="3" t="s">
        <v>20</v>
      </c>
      <c r="C133" s="26" t="s">
        <v>150</v>
      </c>
      <c r="D133" s="26" t="s">
        <v>417</v>
      </c>
      <c r="E133" s="27">
        <v>43236</v>
      </c>
      <c r="F133" s="26" t="s">
        <v>332</v>
      </c>
      <c r="G133" s="26" t="s">
        <v>418</v>
      </c>
      <c r="H133" s="26" t="s">
        <v>419</v>
      </c>
      <c r="I133" s="26" t="s">
        <v>154</v>
      </c>
      <c r="J133" s="26" t="s">
        <v>172</v>
      </c>
      <c r="K133" s="28">
        <v>1550</v>
      </c>
      <c r="L133" s="28">
        <v>0</v>
      </c>
      <c r="M133" s="28">
        <v>1550</v>
      </c>
      <c r="N133" s="26"/>
      <c r="O133" s="8" t="s">
        <v>418</v>
      </c>
      <c r="P133" s="8" t="s">
        <v>178</v>
      </c>
      <c r="Q133" s="8"/>
      <c r="R133" s="9">
        <v>43221</v>
      </c>
      <c r="S133" s="9">
        <v>43221</v>
      </c>
      <c r="T133" s="8">
        <v>5</v>
      </c>
      <c r="U133" s="8" t="str">
        <f t="shared" si="11"/>
        <v>May</v>
      </c>
      <c r="V133">
        <f t="shared" si="13"/>
        <v>5</v>
      </c>
      <c r="W133" s="8" t="str">
        <f t="shared" si="14"/>
        <v>May</v>
      </c>
    </row>
    <row r="134" spans="1:23" x14ac:dyDescent="0.55000000000000004">
      <c r="A134" t="str">
        <f t="shared" si="12"/>
        <v>MayMayAFG NC - DCL KY</v>
      </c>
      <c r="B134" s="3" t="s">
        <v>20</v>
      </c>
      <c r="C134" s="26" t="s">
        <v>150</v>
      </c>
      <c r="D134" s="26" t="s">
        <v>420</v>
      </c>
      <c r="E134" s="27">
        <v>43236</v>
      </c>
      <c r="F134" s="26" t="s">
        <v>332</v>
      </c>
      <c r="G134" s="26" t="s">
        <v>421</v>
      </c>
      <c r="H134" s="26" t="s">
        <v>422</v>
      </c>
      <c r="I134" s="26" t="s">
        <v>154</v>
      </c>
      <c r="J134" s="26" t="s">
        <v>172</v>
      </c>
      <c r="K134" s="28">
        <v>1550</v>
      </c>
      <c r="L134" s="28">
        <v>0</v>
      </c>
      <c r="M134" s="28">
        <v>1550</v>
      </c>
      <c r="N134" s="26"/>
      <c r="O134" s="8" t="s">
        <v>421</v>
      </c>
      <c r="P134" s="8" t="s">
        <v>173</v>
      </c>
      <c r="Q134" s="8"/>
      <c r="R134" s="9">
        <v>43221</v>
      </c>
      <c r="S134" s="9">
        <v>43221</v>
      </c>
      <c r="T134" s="8">
        <v>5</v>
      </c>
      <c r="U134" s="8" t="str">
        <f t="shared" si="11"/>
        <v>May</v>
      </c>
      <c r="V134">
        <f t="shared" si="13"/>
        <v>5</v>
      </c>
      <c r="W134" s="8" t="str">
        <f t="shared" si="14"/>
        <v>May</v>
      </c>
    </row>
    <row r="135" spans="1:23" x14ac:dyDescent="0.55000000000000004">
      <c r="A135" t="str">
        <f t="shared" si="12"/>
        <v>MayMayAFG NC - DCL KY</v>
      </c>
      <c r="B135" s="3" t="s">
        <v>20</v>
      </c>
      <c r="C135" s="26" t="s">
        <v>150</v>
      </c>
      <c r="D135" s="26" t="s">
        <v>423</v>
      </c>
      <c r="E135" s="27">
        <v>43237</v>
      </c>
      <c r="F135" s="26" t="s">
        <v>332</v>
      </c>
      <c r="G135" s="26" t="s">
        <v>424</v>
      </c>
      <c r="H135" s="26" t="s">
        <v>425</v>
      </c>
      <c r="I135" s="26" t="s">
        <v>154</v>
      </c>
      <c r="J135" s="26" t="s">
        <v>172</v>
      </c>
      <c r="K135" s="28">
        <v>3100</v>
      </c>
      <c r="L135" s="28">
        <v>0</v>
      </c>
      <c r="M135" s="28">
        <v>3100</v>
      </c>
      <c r="N135" s="26"/>
      <c r="O135" s="8" t="s">
        <v>424</v>
      </c>
      <c r="P135" s="8" t="s">
        <v>173</v>
      </c>
      <c r="Q135" s="8"/>
      <c r="R135" s="9">
        <v>43221</v>
      </c>
      <c r="S135" s="9">
        <v>43221</v>
      </c>
      <c r="T135" s="8">
        <v>5</v>
      </c>
      <c r="U135" s="8" t="str">
        <f t="shared" si="11"/>
        <v>May</v>
      </c>
      <c r="V135">
        <f t="shared" si="13"/>
        <v>5</v>
      </c>
      <c r="W135" s="8" t="str">
        <f t="shared" si="14"/>
        <v>May</v>
      </c>
    </row>
    <row r="136" spans="1:23" x14ac:dyDescent="0.55000000000000004">
      <c r="A136" t="str">
        <f t="shared" si="12"/>
        <v>MayMayAFG NC - DCL KY</v>
      </c>
      <c r="B136" s="3" t="s">
        <v>20</v>
      </c>
      <c r="C136" s="26" t="s">
        <v>150</v>
      </c>
      <c r="D136" s="26" t="s">
        <v>426</v>
      </c>
      <c r="E136" s="27">
        <v>43237</v>
      </c>
      <c r="F136" s="26" t="s">
        <v>332</v>
      </c>
      <c r="G136" s="26" t="s">
        <v>427</v>
      </c>
      <c r="H136" s="26" t="s">
        <v>428</v>
      </c>
      <c r="I136" s="26" t="s">
        <v>154</v>
      </c>
      <c r="J136" s="26" t="s">
        <v>172</v>
      </c>
      <c r="K136" s="28">
        <v>3100</v>
      </c>
      <c r="L136" s="28">
        <v>0</v>
      </c>
      <c r="M136" s="28">
        <v>3100</v>
      </c>
      <c r="N136" s="26"/>
      <c r="O136" s="8" t="s">
        <v>427</v>
      </c>
      <c r="P136" s="8" t="s">
        <v>173</v>
      </c>
      <c r="Q136" s="8"/>
      <c r="R136" s="9">
        <v>43221</v>
      </c>
      <c r="S136" s="9">
        <v>43221</v>
      </c>
      <c r="T136" s="8">
        <v>5</v>
      </c>
      <c r="U136" s="8" t="str">
        <f t="shared" si="11"/>
        <v>May</v>
      </c>
      <c r="V136">
        <f t="shared" si="13"/>
        <v>5</v>
      </c>
      <c r="W136" s="8" t="str">
        <f t="shared" si="14"/>
        <v>May</v>
      </c>
    </row>
    <row r="137" spans="1:23" x14ac:dyDescent="0.55000000000000004">
      <c r="A137" t="str">
        <f t="shared" si="12"/>
        <v>MayMayAFG NC - DCL KY</v>
      </c>
      <c r="B137" s="3" t="s">
        <v>20</v>
      </c>
      <c r="C137" s="26" t="s">
        <v>150</v>
      </c>
      <c r="D137" s="26" t="s">
        <v>429</v>
      </c>
      <c r="E137" s="27">
        <v>43237</v>
      </c>
      <c r="F137" s="26" t="s">
        <v>332</v>
      </c>
      <c r="G137" s="26" t="s">
        <v>413</v>
      </c>
      <c r="H137" s="26" t="s">
        <v>430</v>
      </c>
      <c r="I137" s="26" t="s">
        <v>154</v>
      </c>
      <c r="J137" s="26" t="s">
        <v>172</v>
      </c>
      <c r="K137" s="28">
        <v>3100</v>
      </c>
      <c r="L137" s="28">
        <v>0</v>
      </c>
      <c r="M137" s="28">
        <v>3100</v>
      </c>
      <c r="N137" s="26"/>
      <c r="O137" s="8" t="s">
        <v>413</v>
      </c>
      <c r="P137" s="8" t="s">
        <v>173</v>
      </c>
      <c r="Q137" s="8"/>
      <c r="R137" s="9">
        <v>43221</v>
      </c>
      <c r="S137" s="9">
        <v>43221</v>
      </c>
      <c r="T137" s="8">
        <v>5</v>
      </c>
      <c r="U137" s="8" t="str">
        <f t="shared" si="11"/>
        <v>May</v>
      </c>
      <c r="V137">
        <f t="shared" si="13"/>
        <v>5</v>
      </c>
      <c r="W137" s="8" t="str">
        <f t="shared" si="14"/>
        <v>May</v>
      </c>
    </row>
    <row r="138" spans="1:23" x14ac:dyDescent="0.55000000000000004">
      <c r="A138" t="str">
        <f t="shared" si="12"/>
        <v>MayAprilSan Francisco - Canada</v>
      </c>
      <c r="B138" s="3" t="s">
        <v>20</v>
      </c>
      <c r="C138" s="26" t="s">
        <v>150</v>
      </c>
      <c r="D138" s="26" t="s">
        <v>431</v>
      </c>
      <c r="E138" s="27">
        <v>43237</v>
      </c>
      <c r="F138" s="26" t="s">
        <v>332</v>
      </c>
      <c r="G138" s="26" t="s">
        <v>432</v>
      </c>
      <c r="H138" s="26" t="s">
        <v>433</v>
      </c>
      <c r="I138" s="26" t="s">
        <v>154</v>
      </c>
      <c r="J138" s="26" t="s">
        <v>434</v>
      </c>
      <c r="K138" s="28">
        <v>180</v>
      </c>
      <c r="L138" s="28">
        <v>0</v>
      </c>
      <c r="M138" s="28">
        <v>180</v>
      </c>
      <c r="N138" s="26"/>
      <c r="O138" s="8" t="s">
        <v>432</v>
      </c>
      <c r="P138" s="8" t="s">
        <v>435</v>
      </c>
      <c r="Q138" s="8"/>
      <c r="R138" s="9">
        <v>43191</v>
      </c>
      <c r="S138" s="9">
        <v>43191</v>
      </c>
      <c r="T138" s="8">
        <v>5</v>
      </c>
      <c r="U138" s="8" t="str">
        <f t="shared" si="11"/>
        <v>May</v>
      </c>
      <c r="V138">
        <f t="shared" si="13"/>
        <v>4</v>
      </c>
      <c r="W138" s="8" t="str">
        <f t="shared" si="14"/>
        <v>April</v>
      </c>
    </row>
    <row r="139" spans="1:23" x14ac:dyDescent="0.55000000000000004">
      <c r="A139" t="str">
        <f t="shared" si="12"/>
        <v>MayMayAFG NC - DCL KY</v>
      </c>
      <c r="B139" s="3" t="s">
        <v>20</v>
      </c>
      <c r="C139" s="26" t="s">
        <v>150</v>
      </c>
      <c r="D139" s="26" t="s">
        <v>436</v>
      </c>
      <c r="E139" s="27">
        <v>43238</v>
      </c>
      <c r="F139" s="26" t="s">
        <v>332</v>
      </c>
      <c r="G139" s="26" t="s">
        <v>437</v>
      </c>
      <c r="H139" s="26" t="s">
        <v>438</v>
      </c>
      <c r="I139" s="26" t="s">
        <v>154</v>
      </c>
      <c r="J139" s="26" t="s">
        <v>172</v>
      </c>
      <c r="K139" s="28">
        <v>3100</v>
      </c>
      <c r="L139" s="28">
        <v>0</v>
      </c>
      <c r="M139" s="28">
        <v>3100</v>
      </c>
      <c r="N139" s="26"/>
      <c r="O139" s="8" t="s">
        <v>437</v>
      </c>
      <c r="P139" s="8" t="s">
        <v>173</v>
      </c>
      <c r="Q139" s="8"/>
      <c r="R139" s="9">
        <v>43221</v>
      </c>
      <c r="S139" s="9">
        <v>43221</v>
      </c>
      <c r="T139" s="8">
        <v>5</v>
      </c>
      <c r="U139" s="8" t="str">
        <f t="shared" si="11"/>
        <v>May</v>
      </c>
      <c r="V139">
        <f t="shared" si="13"/>
        <v>5</v>
      </c>
      <c r="W139" s="8" t="str">
        <f t="shared" si="14"/>
        <v>May</v>
      </c>
    </row>
    <row r="140" spans="1:23" x14ac:dyDescent="0.55000000000000004">
      <c r="A140" t="str">
        <f t="shared" si="12"/>
        <v>MayMayHong Kong - AFG NC</v>
      </c>
      <c r="B140" s="3" t="s">
        <v>20</v>
      </c>
      <c r="C140" s="26" t="s">
        <v>150</v>
      </c>
      <c r="D140" s="26" t="s">
        <v>439</v>
      </c>
      <c r="E140" s="27">
        <v>43238</v>
      </c>
      <c r="F140" s="26" t="s">
        <v>332</v>
      </c>
      <c r="G140" s="26" t="s">
        <v>161</v>
      </c>
      <c r="H140" s="26" t="s">
        <v>440</v>
      </c>
      <c r="I140" s="26" t="s">
        <v>154</v>
      </c>
      <c r="J140" s="26" t="s">
        <v>27</v>
      </c>
      <c r="K140" s="28">
        <v>60</v>
      </c>
      <c r="L140" s="28">
        <v>0</v>
      </c>
      <c r="M140" s="28">
        <v>60</v>
      </c>
      <c r="N140" s="26"/>
      <c r="O140" s="8" t="s">
        <v>161</v>
      </c>
      <c r="P140" s="8" t="s">
        <v>334</v>
      </c>
      <c r="Q140" s="8"/>
      <c r="R140" s="9">
        <v>43221</v>
      </c>
      <c r="S140" s="9">
        <v>43221</v>
      </c>
      <c r="T140" s="8">
        <v>5</v>
      </c>
      <c r="U140" s="8" t="str">
        <f t="shared" si="11"/>
        <v>May</v>
      </c>
      <c r="V140">
        <f t="shared" si="13"/>
        <v>5</v>
      </c>
      <c r="W140" s="8" t="str">
        <f t="shared" si="14"/>
        <v>May</v>
      </c>
    </row>
    <row r="141" spans="1:23" x14ac:dyDescent="0.55000000000000004">
      <c r="A141" t="str">
        <f t="shared" si="12"/>
        <v>MayMayHong Kong - AFG NC</v>
      </c>
      <c r="B141" s="3" t="s">
        <v>20</v>
      </c>
      <c r="C141" s="26" t="s">
        <v>150</v>
      </c>
      <c r="D141" s="26" t="s">
        <v>441</v>
      </c>
      <c r="E141" s="27">
        <v>43238</v>
      </c>
      <c r="F141" s="26" t="s">
        <v>332</v>
      </c>
      <c r="G141" s="26" t="s">
        <v>161</v>
      </c>
      <c r="H141" s="26" t="s">
        <v>442</v>
      </c>
      <c r="I141" s="26" t="s">
        <v>154</v>
      </c>
      <c r="J141" s="26" t="s">
        <v>27</v>
      </c>
      <c r="K141" s="28">
        <v>12</v>
      </c>
      <c r="L141" s="28">
        <v>0</v>
      </c>
      <c r="M141" s="28">
        <v>12</v>
      </c>
      <c r="N141" s="26"/>
      <c r="O141" s="8" t="s">
        <v>161</v>
      </c>
      <c r="P141" s="8" t="s">
        <v>334</v>
      </c>
      <c r="Q141" s="8"/>
      <c r="R141" s="9">
        <v>43221</v>
      </c>
      <c r="S141" s="9">
        <v>43221</v>
      </c>
      <c r="T141" s="8">
        <v>5</v>
      </c>
      <c r="U141" s="8" t="str">
        <f t="shared" si="11"/>
        <v>May</v>
      </c>
      <c r="V141">
        <f t="shared" si="13"/>
        <v>5</v>
      </c>
      <c r="W141" s="8" t="str">
        <f t="shared" si="14"/>
        <v>May</v>
      </c>
    </row>
    <row r="142" spans="1:23" x14ac:dyDescent="0.55000000000000004">
      <c r="A142" t="str">
        <f t="shared" si="12"/>
        <v>MayMayHong Kong - AFG NC</v>
      </c>
      <c r="B142" s="3" t="s">
        <v>20</v>
      </c>
      <c r="C142" s="26" t="s">
        <v>150</v>
      </c>
      <c r="D142" s="26" t="s">
        <v>443</v>
      </c>
      <c r="E142" s="27">
        <v>43238</v>
      </c>
      <c r="F142" s="26" t="s">
        <v>332</v>
      </c>
      <c r="G142" s="26" t="s">
        <v>161</v>
      </c>
      <c r="H142" s="26" t="s">
        <v>444</v>
      </c>
      <c r="I142" s="26" t="s">
        <v>154</v>
      </c>
      <c r="J142" s="26" t="s">
        <v>27</v>
      </c>
      <c r="K142" s="28">
        <v>48</v>
      </c>
      <c r="L142" s="28">
        <v>0</v>
      </c>
      <c r="M142" s="28">
        <v>48</v>
      </c>
      <c r="N142" s="26"/>
      <c r="O142" s="8" t="s">
        <v>161</v>
      </c>
      <c r="P142" s="8" t="s">
        <v>334</v>
      </c>
      <c r="Q142" s="8"/>
      <c r="R142" s="9">
        <v>43221</v>
      </c>
      <c r="S142" s="9">
        <v>43221</v>
      </c>
      <c r="T142" s="8">
        <v>5</v>
      </c>
      <c r="U142" s="8" t="str">
        <f t="shared" si="11"/>
        <v>May</v>
      </c>
      <c r="V142">
        <f t="shared" si="13"/>
        <v>5</v>
      </c>
      <c r="W142" s="8" t="str">
        <f t="shared" si="14"/>
        <v>May</v>
      </c>
    </row>
    <row r="143" spans="1:23" x14ac:dyDescent="0.55000000000000004">
      <c r="A143" t="str">
        <f t="shared" si="12"/>
        <v>MayMayHong Kong - AFG NC</v>
      </c>
      <c r="B143" s="3" t="s">
        <v>20</v>
      </c>
      <c r="C143" s="26" t="s">
        <v>150</v>
      </c>
      <c r="D143" s="26" t="s">
        <v>445</v>
      </c>
      <c r="E143" s="27">
        <v>43238</v>
      </c>
      <c r="F143" s="26" t="s">
        <v>332</v>
      </c>
      <c r="G143" s="26" t="s">
        <v>161</v>
      </c>
      <c r="H143" s="26" t="s">
        <v>446</v>
      </c>
      <c r="I143" s="26" t="s">
        <v>154</v>
      </c>
      <c r="J143" s="26" t="s">
        <v>27</v>
      </c>
      <c r="K143" s="28">
        <v>96</v>
      </c>
      <c r="L143" s="28">
        <v>0</v>
      </c>
      <c r="M143" s="28">
        <v>96</v>
      </c>
      <c r="N143" s="26"/>
      <c r="O143" s="8" t="s">
        <v>161</v>
      </c>
      <c r="P143" s="8" t="s">
        <v>334</v>
      </c>
      <c r="Q143" s="8"/>
      <c r="R143" s="9">
        <v>43221</v>
      </c>
      <c r="S143" s="9">
        <v>43221</v>
      </c>
      <c r="T143" s="8">
        <v>5</v>
      </c>
      <c r="U143" s="8" t="str">
        <f t="shared" si="11"/>
        <v>May</v>
      </c>
      <c r="V143">
        <f t="shared" si="13"/>
        <v>5</v>
      </c>
      <c r="W143" s="8" t="str">
        <f t="shared" si="14"/>
        <v>May</v>
      </c>
    </row>
    <row r="144" spans="1:23" x14ac:dyDescent="0.55000000000000004">
      <c r="A144" t="str">
        <f t="shared" si="12"/>
        <v>MayAprilHong Kong - DECI NC</v>
      </c>
      <c r="B144" s="3" t="s">
        <v>20</v>
      </c>
      <c r="C144" s="26" t="s">
        <v>21</v>
      </c>
      <c r="D144" s="26" t="s">
        <v>447</v>
      </c>
      <c r="E144" s="27">
        <v>43222</v>
      </c>
      <c r="F144" s="26" t="s">
        <v>332</v>
      </c>
      <c r="G144" s="26" t="s">
        <v>47</v>
      </c>
      <c r="H144" s="26" t="s">
        <v>448</v>
      </c>
      <c r="I144" s="26" t="s">
        <v>26</v>
      </c>
      <c r="J144" s="26" t="s">
        <v>27</v>
      </c>
      <c r="K144" s="28">
        <v>791.13</v>
      </c>
      <c r="L144" s="28">
        <v>0</v>
      </c>
      <c r="M144" s="28">
        <v>791.13</v>
      </c>
      <c r="N144" s="29" t="s">
        <v>449</v>
      </c>
      <c r="O144" s="8" t="s">
        <v>450</v>
      </c>
      <c r="P144" s="8" t="s">
        <v>92</v>
      </c>
      <c r="Q144" s="8" t="s">
        <v>451</v>
      </c>
      <c r="R144" s="9">
        <v>43191</v>
      </c>
      <c r="S144" s="9">
        <v>43191</v>
      </c>
      <c r="T144" s="8">
        <v>5</v>
      </c>
      <c r="U144" s="8" t="str">
        <f t="shared" si="11"/>
        <v>May</v>
      </c>
      <c r="V144">
        <f t="shared" si="13"/>
        <v>4</v>
      </c>
      <c r="W144" s="8" t="str">
        <f t="shared" si="14"/>
        <v>April</v>
      </c>
    </row>
    <row r="145" spans="1:23" x14ac:dyDescent="0.55000000000000004">
      <c r="A145" t="str">
        <f t="shared" si="12"/>
        <v>MayAprilHong Kong - DECI NC</v>
      </c>
      <c r="B145" s="3" t="s">
        <v>20</v>
      </c>
      <c r="C145" s="26" t="s">
        <v>21</v>
      </c>
      <c r="D145" s="26" t="s">
        <v>447</v>
      </c>
      <c r="E145" s="27">
        <v>43222</v>
      </c>
      <c r="F145" s="26" t="s">
        <v>332</v>
      </c>
      <c r="G145" s="26" t="s">
        <v>47</v>
      </c>
      <c r="H145" s="26" t="s">
        <v>448</v>
      </c>
      <c r="I145" s="26" t="s">
        <v>26</v>
      </c>
      <c r="J145" s="26" t="s">
        <v>27</v>
      </c>
      <c r="K145" s="28">
        <v>9945.58</v>
      </c>
      <c r="L145" s="28">
        <v>0</v>
      </c>
      <c r="M145" s="28">
        <v>9945.58</v>
      </c>
      <c r="N145" s="29" t="s">
        <v>449</v>
      </c>
      <c r="O145" s="8" t="s">
        <v>450</v>
      </c>
      <c r="P145" s="8" t="s">
        <v>92</v>
      </c>
      <c r="Q145" s="8" t="s">
        <v>451</v>
      </c>
      <c r="R145" s="9">
        <v>43191</v>
      </c>
      <c r="S145" s="9">
        <v>43191</v>
      </c>
      <c r="T145" s="8">
        <v>5</v>
      </c>
      <c r="U145" s="8" t="str">
        <f t="shared" si="11"/>
        <v>May</v>
      </c>
      <c r="V145">
        <f t="shared" si="13"/>
        <v>4</v>
      </c>
      <c r="W145" s="8" t="str">
        <f t="shared" si="14"/>
        <v>April</v>
      </c>
    </row>
    <row r="146" spans="1:23" x14ac:dyDescent="0.55000000000000004">
      <c r="A146" t="str">
        <f t="shared" si="12"/>
        <v>MayAprilHong Kong - DECI NC</v>
      </c>
      <c r="B146" s="3" t="s">
        <v>20</v>
      </c>
      <c r="C146" s="26" t="s">
        <v>21</v>
      </c>
      <c r="D146" s="26" t="s">
        <v>447</v>
      </c>
      <c r="E146" s="27">
        <v>43222</v>
      </c>
      <c r="F146" s="26" t="s">
        <v>332</v>
      </c>
      <c r="G146" s="26" t="s">
        <v>47</v>
      </c>
      <c r="H146" s="26" t="s">
        <v>448</v>
      </c>
      <c r="I146" s="26" t="s">
        <v>26</v>
      </c>
      <c r="J146" s="26" t="s">
        <v>27</v>
      </c>
      <c r="K146" s="28">
        <v>59.33</v>
      </c>
      <c r="L146" s="28">
        <v>0</v>
      </c>
      <c r="M146" s="28">
        <v>59.33</v>
      </c>
      <c r="N146" s="29" t="s">
        <v>449</v>
      </c>
      <c r="O146" s="8" t="s">
        <v>450</v>
      </c>
      <c r="P146" s="8" t="s">
        <v>92</v>
      </c>
      <c r="Q146" s="8" t="s">
        <v>451</v>
      </c>
      <c r="R146" s="9">
        <v>43191</v>
      </c>
      <c r="S146" s="9">
        <v>43191</v>
      </c>
      <c r="T146" s="8">
        <v>5</v>
      </c>
      <c r="U146" s="8" t="str">
        <f t="shared" si="11"/>
        <v>May</v>
      </c>
      <c r="V146">
        <f t="shared" si="13"/>
        <v>4</v>
      </c>
      <c r="W146" s="8" t="str">
        <f t="shared" si="14"/>
        <v>April</v>
      </c>
    </row>
    <row r="147" spans="1:23" x14ac:dyDescent="0.55000000000000004">
      <c r="A147" t="str">
        <f t="shared" si="12"/>
        <v>MayAprilHong Kong - Phillips WI</v>
      </c>
      <c r="B147" s="3" t="s">
        <v>20</v>
      </c>
      <c r="C147" s="26" t="s">
        <v>21</v>
      </c>
      <c r="D147" s="26" t="s">
        <v>452</v>
      </c>
      <c r="E147" s="27">
        <v>43222</v>
      </c>
      <c r="F147" s="26" t="s">
        <v>332</v>
      </c>
      <c r="G147" s="26" t="s">
        <v>85</v>
      </c>
      <c r="H147" s="26" t="s">
        <v>453</v>
      </c>
      <c r="I147" s="26" t="s">
        <v>26</v>
      </c>
      <c r="J147" s="26" t="s">
        <v>27</v>
      </c>
      <c r="K147" s="28">
        <v>6205.66</v>
      </c>
      <c r="L147" s="28">
        <v>0</v>
      </c>
      <c r="M147" s="28">
        <v>6205.66</v>
      </c>
      <c r="N147" s="29" t="s">
        <v>454</v>
      </c>
      <c r="O147" s="8" t="s">
        <v>455</v>
      </c>
      <c r="P147" s="8" t="s">
        <v>65</v>
      </c>
      <c r="Q147" s="8" t="s">
        <v>456</v>
      </c>
      <c r="R147" s="9">
        <v>43191</v>
      </c>
      <c r="S147" s="9">
        <v>43191</v>
      </c>
      <c r="T147" s="8">
        <v>5</v>
      </c>
      <c r="U147" s="8" t="str">
        <f t="shared" si="11"/>
        <v>May</v>
      </c>
      <c r="V147">
        <f t="shared" si="13"/>
        <v>4</v>
      </c>
      <c r="W147" s="8" t="str">
        <f t="shared" si="14"/>
        <v>April</v>
      </c>
    </row>
    <row r="148" spans="1:23" x14ac:dyDescent="0.55000000000000004">
      <c r="A148" t="str">
        <f t="shared" si="12"/>
        <v>MayAprilHong Kong - DCL KY</v>
      </c>
      <c r="B148" s="3" t="s">
        <v>20</v>
      </c>
      <c r="C148" s="26" t="s">
        <v>21</v>
      </c>
      <c r="D148" s="26" t="s">
        <v>457</v>
      </c>
      <c r="E148" s="27">
        <v>43222</v>
      </c>
      <c r="F148" s="26" t="s">
        <v>332</v>
      </c>
      <c r="G148" s="26" t="s">
        <v>78</v>
      </c>
      <c r="H148" s="26" t="s">
        <v>458</v>
      </c>
      <c r="I148" s="26" t="s">
        <v>26</v>
      </c>
      <c r="J148" s="26" t="s">
        <v>27</v>
      </c>
      <c r="K148" s="28">
        <v>3875.53</v>
      </c>
      <c r="L148" s="28">
        <v>0</v>
      </c>
      <c r="M148" s="28">
        <v>3875.53</v>
      </c>
      <c r="N148" s="29" t="s">
        <v>459</v>
      </c>
      <c r="O148" s="8" t="s">
        <v>460</v>
      </c>
      <c r="P148" s="8" t="s">
        <v>39</v>
      </c>
      <c r="Q148" s="8" t="s">
        <v>461</v>
      </c>
      <c r="R148" s="9">
        <v>43191</v>
      </c>
      <c r="S148" s="9">
        <v>43191</v>
      </c>
      <c r="T148" s="8">
        <v>5</v>
      </c>
      <c r="U148" s="8" t="str">
        <f t="shared" si="11"/>
        <v>May</v>
      </c>
      <c r="V148">
        <f t="shared" si="13"/>
        <v>4</v>
      </c>
      <c r="W148" s="8" t="str">
        <f t="shared" si="14"/>
        <v>April</v>
      </c>
    </row>
    <row r="149" spans="1:23" x14ac:dyDescent="0.55000000000000004">
      <c r="A149" t="str">
        <f t="shared" si="12"/>
        <v>MayAprilChina - DCL KY</v>
      </c>
      <c r="B149" s="3" t="s">
        <v>20</v>
      </c>
      <c r="C149" s="26" t="s">
        <v>21</v>
      </c>
      <c r="D149" s="26" t="s">
        <v>462</v>
      </c>
      <c r="E149" s="27">
        <v>43222</v>
      </c>
      <c r="F149" s="26" t="s">
        <v>332</v>
      </c>
      <c r="G149" s="26" t="s">
        <v>36</v>
      </c>
      <c r="H149" s="26" t="s">
        <v>463</v>
      </c>
      <c r="I149" s="26" t="s">
        <v>26</v>
      </c>
      <c r="J149" s="26" t="s">
        <v>27</v>
      </c>
      <c r="K149" s="28">
        <v>2863.12</v>
      </c>
      <c r="L149" s="28">
        <v>0</v>
      </c>
      <c r="M149" s="28">
        <v>2863.12</v>
      </c>
      <c r="N149" s="29" t="s">
        <v>464</v>
      </c>
      <c r="O149" s="8" t="s">
        <v>465</v>
      </c>
      <c r="P149" s="8" t="s">
        <v>82</v>
      </c>
      <c r="Q149" s="8"/>
      <c r="R149" s="9">
        <v>43191</v>
      </c>
      <c r="S149" s="9">
        <v>43191</v>
      </c>
      <c r="T149" s="8">
        <v>5</v>
      </c>
      <c r="U149" s="8" t="str">
        <f t="shared" si="11"/>
        <v>May</v>
      </c>
      <c r="V149">
        <f t="shared" si="13"/>
        <v>4</v>
      </c>
      <c r="W149" s="8" t="str">
        <f t="shared" si="14"/>
        <v>April</v>
      </c>
    </row>
    <row r="150" spans="1:23" x14ac:dyDescent="0.55000000000000004">
      <c r="A150" t="str">
        <f t="shared" si="12"/>
        <v>MayAprilHong Kong - Phillips WI</v>
      </c>
      <c r="B150" s="3" t="s">
        <v>20</v>
      </c>
      <c r="C150" s="26" t="s">
        <v>21</v>
      </c>
      <c r="D150" s="26" t="s">
        <v>466</v>
      </c>
      <c r="E150" s="27">
        <v>43222</v>
      </c>
      <c r="F150" s="26" t="s">
        <v>332</v>
      </c>
      <c r="G150" s="26" t="s">
        <v>85</v>
      </c>
      <c r="H150" s="26" t="s">
        <v>467</v>
      </c>
      <c r="I150" s="26" t="s">
        <v>26</v>
      </c>
      <c r="J150" s="26" t="s">
        <v>27</v>
      </c>
      <c r="K150" s="28">
        <v>13785.41</v>
      </c>
      <c r="L150" s="28">
        <v>0</v>
      </c>
      <c r="M150" s="28">
        <v>13785.41</v>
      </c>
      <c r="N150" s="29" t="s">
        <v>468</v>
      </c>
      <c r="O150" s="8" t="s">
        <v>469</v>
      </c>
      <c r="P150" s="8" t="s">
        <v>65</v>
      </c>
      <c r="Q150" s="8"/>
      <c r="R150" s="9">
        <v>43191</v>
      </c>
      <c r="S150" s="9">
        <v>43191</v>
      </c>
      <c r="T150" s="8">
        <v>5</v>
      </c>
      <c r="U150" s="8" t="str">
        <f t="shared" si="11"/>
        <v>May</v>
      </c>
      <c r="V150">
        <f t="shared" si="13"/>
        <v>4</v>
      </c>
      <c r="W150" s="8" t="str">
        <f t="shared" si="14"/>
        <v>April</v>
      </c>
    </row>
    <row r="151" spans="1:23" x14ac:dyDescent="0.55000000000000004">
      <c r="A151" t="str">
        <f t="shared" si="12"/>
        <v>MayAprilHong Kong - DCL KY</v>
      </c>
      <c r="B151" s="3" t="s">
        <v>20</v>
      </c>
      <c r="C151" s="26" t="s">
        <v>21</v>
      </c>
      <c r="D151" s="26" t="s">
        <v>470</v>
      </c>
      <c r="E151" s="27">
        <v>43222</v>
      </c>
      <c r="F151" s="26" t="s">
        <v>332</v>
      </c>
      <c r="G151" s="26" t="s">
        <v>78</v>
      </c>
      <c r="H151" s="26" t="s">
        <v>471</v>
      </c>
      <c r="I151" s="26" t="s">
        <v>26</v>
      </c>
      <c r="J151" s="26" t="s">
        <v>27</v>
      </c>
      <c r="K151" s="28">
        <v>12411.51</v>
      </c>
      <c r="L151" s="28">
        <v>0</v>
      </c>
      <c r="M151" s="28">
        <v>12411.51</v>
      </c>
      <c r="N151" s="29" t="s">
        <v>472</v>
      </c>
      <c r="O151" s="8" t="s">
        <v>473</v>
      </c>
      <c r="P151" s="8" t="s">
        <v>39</v>
      </c>
      <c r="Q151" s="8"/>
      <c r="R151" s="9">
        <v>43191</v>
      </c>
      <c r="S151" s="9">
        <v>43191</v>
      </c>
      <c r="T151" s="8">
        <v>5</v>
      </c>
      <c r="U151" s="8" t="str">
        <f t="shared" si="11"/>
        <v>May</v>
      </c>
      <c r="V151">
        <f t="shared" si="13"/>
        <v>4</v>
      </c>
      <c r="W151" s="8" t="str">
        <f t="shared" si="14"/>
        <v>April</v>
      </c>
    </row>
    <row r="152" spans="1:23" x14ac:dyDescent="0.55000000000000004">
      <c r="A152" t="str">
        <f t="shared" si="12"/>
        <v>MayAprilHong Kong - DECI NC</v>
      </c>
      <c r="B152" s="3" t="s">
        <v>20</v>
      </c>
      <c r="C152" s="26" t="s">
        <v>21</v>
      </c>
      <c r="D152" s="26" t="s">
        <v>474</v>
      </c>
      <c r="E152" s="27">
        <v>43222</v>
      </c>
      <c r="F152" s="26" t="s">
        <v>332</v>
      </c>
      <c r="G152" s="26" t="s">
        <v>47</v>
      </c>
      <c r="H152" s="26" t="s">
        <v>475</v>
      </c>
      <c r="I152" s="26" t="s">
        <v>26</v>
      </c>
      <c r="J152" s="26" t="s">
        <v>27</v>
      </c>
      <c r="K152" s="28">
        <v>9374.31</v>
      </c>
      <c r="L152" s="28">
        <v>0</v>
      </c>
      <c r="M152" s="28">
        <v>9374.31</v>
      </c>
      <c r="N152" s="29" t="s">
        <v>476</v>
      </c>
      <c r="O152" s="8" t="s">
        <v>450</v>
      </c>
      <c r="P152" s="8" t="s">
        <v>92</v>
      </c>
      <c r="Q152" s="8"/>
      <c r="R152" s="9">
        <v>43191</v>
      </c>
      <c r="S152" s="9">
        <v>43191</v>
      </c>
      <c r="T152" s="8">
        <v>5</v>
      </c>
      <c r="U152" s="8" t="str">
        <f t="shared" si="11"/>
        <v>May</v>
      </c>
      <c r="V152">
        <f t="shared" si="13"/>
        <v>4</v>
      </c>
      <c r="W152" s="8" t="str">
        <f t="shared" si="14"/>
        <v>April</v>
      </c>
    </row>
    <row r="153" spans="1:23" x14ac:dyDescent="0.55000000000000004">
      <c r="A153" t="str">
        <f t="shared" si="12"/>
        <v>MayAprilChina - DCL KY</v>
      </c>
      <c r="B153" s="3" t="s">
        <v>20</v>
      </c>
      <c r="C153" s="26" t="s">
        <v>21</v>
      </c>
      <c r="D153" s="26" t="s">
        <v>477</v>
      </c>
      <c r="E153" s="27">
        <v>43222</v>
      </c>
      <c r="F153" s="26" t="s">
        <v>332</v>
      </c>
      <c r="G153" s="26" t="s">
        <v>36</v>
      </c>
      <c r="H153" s="26" t="s">
        <v>478</v>
      </c>
      <c r="I153" s="26" t="s">
        <v>26</v>
      </c>
      <c r="J153" s="26" t="s">
        <v>27</v>
      </c>
      <c r="K153" s="28">
        <v>38343.42</v>
      </c>
      <c r="L153" s="28">
        <v>0</v>
      </c>
      <c r="M153" s="28">
        <v>38343.42</v>
      </c>
      <c r="N153" s="29" t="s">
        <v>479</v>
      </c>
      <c r="O153" s="8" t="s">
        <v>480</v>
      </c>
      <c r="P153" s="8" t="s">
        <v>82</v>
      </c>
      <c r="Q153" s="8"/>
      <c r="R153" s="9">
        <v>43191</v>
      </c>
      <c r="S153" s="9">
        <v>43191</v>
      </c>
      <c r="T153" s="8">
        <v>5</v>
      </c>
      <c r="U153" s="8" t="str">
        <f t="shared" si="11"/>
        <v>May</v>
      </c>
      <c r="V153">
        <f t="shared" si="13"/>
        <v>4</v>
      </c>
      <c r="W153" s="8" t="str">
        <f t="shared" si="14"/>
        <v>April</v>
      </c>
    </row>
    <row r="154" spans="1:23" x14ac:dyDescent="0.55000000000000004">
      <c r="A154" t="str">
        <f t="shared" si="12"/>
        <v>MayAprilHong Kong - DECI NC</v>
      </c>
      <c r="B154" s="3" t="s">
        <v>20</v>
      </c>
      <c r="C154" s="26" t="s">
        <v>21</v>
      </c>
      <c r="D154" s="26" t="s">
        <v>481</v>
      </c>
      <c r="E154" s="27">
        <v>43222</v>
      </c>
      <c r="F154" s="26" t="s">
        <v>332</v>
      </c>
      <c r="G154" s="26" t="s">
        <v>47</v>
      </c>
      <c r="H154" s="26" t="s">
        <v>482</v>
      </c>
      <c r="I154" s="26" t="s">
        <v>26</v>
      </c>
      <c r="J154" s="26" t="s">
        <v>27</v>
      </c>
      <c r="K154" s="28">
        <v>74.64</v>
      </c>
      <c r="L154" s="28">
        <v>0</v>
      </c>
      <c r="M154" s="28">
        <v>74.64</v>
      </c>
      <c r="N154" s="29" t="s">
        <v>483</v>
      </c>
      <c r="O154" s="8" t="s">
        <v>450</v>
      </c>
      <c r="P154" s="8" t="s">
        <v>92</v>
      </c>
      <c r="Q154" s="8"/>
      <c r="R154" s="9">
        <v>43191</v>
      </c>
      <c r="S154" s="9">
        <v>43191</v>
      </c>
      <c r="T154" s="8">
        <v>5</v>
      </c>
      <c r="U154" s="8" t="str">
        <f t="shared" si="11"/>
        <v>May</v>
      </c>
      <c r="V154">
        <f t="shared" si="13"/>
        <v>4</v>
      </c>
      <c r="W154" s="8" t="str">
        <f t="shared" si="14"/>
        <v>April</v>
      </c>
    </row>
    <row r="155" spans="1:23" x14ac:dyDescent="0.55000000000000004">
      <c r="A155" t="str">
        <f t="shared" si="12"/>
        <v>MayAprilHong Kong - DECI NC</v>
      </c>
      <c r="B155" s="3" t="s">
        <v>20</v>
      </c>
      <c r="C155" s="26" t="s">
        <v>21</v>
      </c>
      <c r="D155" s="26" t="s">
        <v>481</v>
      </c>
      <c r="E155" s="27">
        <v>43222</v>
      </c>
      <c r="F155" s="26" t="s">
        <v>332</v>
      </c>
      <c r="G155" s="26" t="s">
        <v>47</v>
      </c>
      <c r="H155" s="26" t="s">
        <v>482</v>
      </c>
      <c r="I155" s="26" t="s">
        <v>26</v>
      </c>
      <c r="J155" s="26" t="s">
        <v>27</v>
      </c>
      <c r="K155" s="28">
        <v>10744.32</v>
      </c>
      <c r="L155" s="28">
        <v>0</v>
      </c>
      <c r="M155" s="28">
        <v>10744.32</v>
      </c>
      <c r="N155" s="29" t="s">
        <v>483</v>
      </c>
      <c r="O155" s="8" t="s">
        <v>450</v>
      </c>
      <c r="P155" s="8" t="s">
        <v>92</v>
      </c>
      <c r="Q155" s="8"/>
      <c r="R155" s="9">
        <v>43191</v>
      </c>
      <c r="S155" s="9">
        <v>43191</v>
      </c>
      <c r="T155" s="8">
        <v>5</v>
      </c>
      <c r="U155" s="8" t="str">
        <f t="shared" si="11"/>
        <v>May</v>
      </c>
      <c r="V155">
        <f t="shared" si="13"/>
        <v>4</v>
      </c>
      <c r="W155" s="8" t="str">
        <f t="shared" si="14"/>
        <v>April</v>
      </c>
    </row>
    <row r="156" spans="1:23" x14ac:dyDescent="0.55000000000000004">
      <c r="A156" t="str">
        <f t="shared" si="12"/>
        <v>MayAprilChina - DCL KY</v>
      </c>
      <c r="B156" s="3" t="s">
        <v>20</v>
      </c>
      <c r="C156" s="26" t="s">
        <v>21</v>
      </c>
      <c r="D156" s="26" t="s">
        <v>484</v>
      </c>
      <c r="E156" s="27">
        <v>43222</v>
      </c>
      <c r="F156" s="26" t="s">
        <v>332</v>
      </c>
      <c r="G156" s="26" t="s">
        <v>36</v>
      </c>
      <c r="H156" s="26" t="s">
        <v>485</v>
      </c>
      <c r="I156" s="26" t="s">
        <v>26</v>
      </c>
      <c r="J156" s="26" t="s">
        <v>27</v>
      </c>
      <c r="K156" s="28">
        <v>29221.5</v>
      </c>
      <c r="L156" s="28">
        <v>0</v>
      </c>
      <c r="M156" s="28">
        <v>29221.5</v>
      </c>
      <c r="N156" s="29" t="s">
        <v>486</v>
      </c>
      <c r="O156" s="8" t="s">
        <v>487</v>
      </c>
      <c r="P156" s="8" t="s">
        <v>82</v>
      </c>
      <c r="Q156" s="8"/>
      <c r="R156" s="9">
        <v>43191</v>
      </c>
      <c r="S156" s="9">
        <v>43191</v>
      </c>
      <c r="T156" s="8">
        <v>5</v>
      </c>
      <c r="U156" s="8" t="str">
        <f t="shared" si="11"/>
        <v>May</v>
      </c>
      <c r="V156">
        <f t="shared" si="13"/>
        <v>4</v>
      </c>
      <c r="W156" s="8" t="str">
        <f t="shared" si="14"/>
        <v>April</v>
      </c>
    </row>
    <row r="157" spans="1:23" x14ac:dyDescent="0.55000000000000004">
      <c r="A157" t="str">
        <f t="shared" si="12"/>
        <v>MayAprilChina - DCL KY</v>
      </c>
      <c r="B157" s="3" t="s">
        <v>20</v>
      </c>
      <c r="C157" s="26" t="s">
        <v>21</v>
      </c>
      <c r="D157" s="26" t="s">
        <v>488</v>
      </c>
      <c r="E157" s="27">
        <v>43222</v>
      </c>
      <c r="F157" s="26" t="s">
        <v>332</v>
      </c>
      <c r="G157" s="26" t="s">
        <v>36</v>
      </c>
      <c r="H157" s="26" t="s">
        <v>489</v>
      </c>
      <c r="I157" s="26" t="s">
        <v>26</v>
      </c>
      <c r="J157" s="26" t="s">
        <v>27</v>
      </c>
      <c r="K157" s="28">
        <v>23144.15</v>
      </c>
      <c r="L157" s="28">
        <v>0</v>
      </c>
      <c r="M157" s="28">
        <v>23144.15</v>
      </c>
      <c r="N157" s="29" t="s">
        <v>490</v>
      </c>
      <c r="O157" s="8" t="s">
        <v>491</v>
      </c>
      <c r="P157" s="8" t="s">
        <v>82</v>
      </c>
      <c r="Q157" s="8"/>
      <c r="R157" s="9">
        <v>43191</v>
      </c>
      <c r="S157" s="9">
        <v>43191</v>
      </c>
      <c r="T157" s="8">
        <v>5</v>
      </c>
      <c r="U157" s="8" t="str">
        <f t="shared" ref="U157:U188" si="15">IF(T157=6,"June",IF(T157=5,"May",IF(T157=4,"April",IF(T157=3,"March",0))))</f>
        <v>May</v>
      </c>
      <c r="V157">
        <f t="shared" si="13"/>
        <v>4</v>
      </c>
      <c r="W157" s="8" t="str">
        <f t="shared" si="14"/>
        <v>April</v>
      </c>
    </row>
    <row r="158" spans="1:23" x14ac:dyDescent="0.55000000000000004">
      <c r="A158" t="str">
        <f t="shared" si="12"/>
        <v>MayAprilHong Kong - DCL KY</v>
      </c>
      <c r="B158" s="3" t="s">
        <v>20</v>
      </c>
      <c r="C158" s="26" t="s">
        <v>21</v>
      </c>
      <c r="D158" s="26" t="s">
        <v>492</v>
      </c>
      <c r="E158" s="27">
        <v>43222</v>
      </c>
      <c r="F158" s="26" t="s">
        <v>332</v>
      </c>
      <c r="G158" s="26" t="s">
        <v>36</v>
      </c>
      <c r="H158" s="26" t="s">
        <v>493</v>
      </c>
      <c r="I158" s="26" t="s">
        <v>26</v>
      </c>
      <c r="J158" s="26" t="s">
        <v>27</v>
      </c>
      <c r="K158" s="28">
        <v>3536.71</v>
      </c>
      <c r="L158" s="28">
        <v>0</v>
      </c>
      <c r="M158" s="28">
        <v>3536.71</v>
      </c>
      <c r="N158" s="29" t="s">
        <v>494</v>
      </c>
      <c r="O158" s="8" t="s">
        <v>495</v>
      </c>
      <c r="P158" s="8" t="s">
        <v>39</v>
      </c>
      <c r="Q158" s="8"/>
      <c r="R158" s="9">
        <v>43191</v>
      </c>
      <c r="S158" s="9">
        <v>43191</v>
      </c>
      <c r="T158" s="8">
        <v>5</v>
      </c>
      <c r="U158" s="8" t="str">
        <f t="shared" si="15"/>
        <v>May</v>
      </c>
      <c r="V158">
        <f t="shared" si="13"/>
        <v>4</v>
      </c>
      <c r="W158" s="8" t="str">
        <f t="shared" si="14"/>
        <v>April</v>
      </c>
    </row>
    <row r="159" spans="1:23" x14ac:dyDescent="0.55000000000000004">
      <c r="A159" t="str">
        <f t="shared" si="12"/>
        <v>MayAprilHong Kong - DECI NC</v>
      </c>
      <c r="B159" s="3" t="s">
        <v>20</v>
      </c>
      <c r="C159" s="26" t="s">
        <v>21</v>
      </c>
      <c r="D159" s="26" t="s">
        <v>496</v>
      </c>
      <c r="E159" s="27">
        <v>43222</v>
      </c>
      <c r="F159" s="26" t="s">
        <v>332</v>
      </c>
      <c r="G159" s="26" t="s">
        <v>47</v>
      </c>
      <c r="H159" s="26" t="s">
        <v>497</v>
      </c>
      <c r="I159" s="26" t="s">
        <v>26</v>
      </c>
      <c r="J159" s="26" t="s">
        <v>27</v>
      </c>
      <c r="K159" s="28">
        <v>13035.37</v>
      </c>
      <c r="L159" s="28">
        <v>0</v>
      </c>
      <c r="M159" s="28">
        <v>13035.37</v>
      </c>
      <c r="N159" s="29" t="s">
        <v>498</v>
      </c>
      <c r="O159" s="8" t="s">
        <v>499</v>
      </c>
      <c r="P159" s="8" t="s">
        <v>92</v>
      </c>
      <c r="Q159" s="8" t="s">
        <v>500</v>
      </c>
      <c r="R159" s="9">
        <v>43191</v>
      </c>
      <c r="S159" s="9">
        <v>43191</v>
      </c>
      <c r="T159" s="8">
        <v>5</v>
      </c>
      <c r="U159" s="8" t="str">
        <f t="shared" si="15"/>
        <v>May</v>
      </c>
      <c r="V159">
        <f t="shared" si="13"/>
        <v>4</v>
      </c>
      <c r="W159" s="8" t="str">
        <f t="shared" si="14"/>
        <v>April</v>
      </c>
    </row>
    <row r="160" spans="1:23" x14ac:dyDescent="0.55000000000000004">
      <c r="A160" t="str">
        <f t="shared" si="12"/>
        <v>MayAprilHong Kong - DECI NC</v>
      </c>
      <c r="B160" s="3" t="s">
        <v>20</v>
      </c>
      <c r="C160" s="26" t="s">
        <v>21</v>
      </c>
      <c r="D160" s="26" t="s">
        <v>496</v>
      </c>
      <c r="E160" s="27">
        <v>43222</v>
      </c>
      <c r="F160" s="26" t="s">
        <v>332</v>
      </c>
      <c r="G160" s="26" t="s">
        <v>47</v>
      </c>
      <c r="H160" s="26" t="s">
        <v>497</v>
      </c>
      <c r="I160" s="26" t="s">
        <v>26</v>
      </c>
      <c r="J160" s="26" t="s">
        <v>27</v>
      </c>
      <c r="K160" s="28">
        <v>2673.92</v>
      </c>
      <c r="L160" s="28">
        <v>0</v>
      </c>
      <c r="M160" s="28">
        <v>2673.92</v>
      </c>
      <c r="N160" s="29" t="s">
        <v>498</v>
      </c>
      <c r="O160" s="8" t="s">
        <v>499</v>
      </c>
      <c r="P160" s="8" t="s">
        <v>92</v>
      </c>
      <c r="Q160" s="8" t="s">
        <v>500</v>
      </c>
      <c r="R160" s="9">
        <v>43191</v>
      </c>
      <c r="S160" s="9">
        <v>43191</v>
      </c>
      <c r="T160" s="8">
        <v>5</v>
      </c>
      <c r="U160" s="8" t="str">
        <f t="shared" si="15"/>
        <v>May</v>
      </c>
      <c r="V160">
        <f t="shared" si="13"/>
        <v>4</v>
      </c>
      <c r="W160" s="8" t="str">
        <f t="shared" si="14"/>
        <v>April</v>
      </c>
    </row>
    <row r="161" spans="1:23" x14ac:dyDescent="0.55000000000000004">
      <c r="A161" t="str">
        <f t="shared" si="12"/>
        <v>MayAprilChina - DECI NC</v>
      </c>
      <c r="B161" s="3" t="s">
        <v>20</v>
      </c>
      <c r="C161" s="26" t="s">
        <v>21</v>
      </c>
      <c r="D161" s="26" t="s">
        <v>501</v>
      </c>
      <c r="E161" s="27">
        <v>43222</v>
      </c>
      <c r="F161" s="26" t="s">
        <v>332</v>
      </c>
      <c r="G161" s="26" t="s">
        <v>47</v>
      </c>
      <c r="H161" s="26" t="s">
        <v>502</v>
      </c>
      <c r="I161" s="26" t="s">
        <v>26</v>
      </c>
      <c r="J161" s="26" t="s">
        <v>27</v>
      </c>
      <c r="K161" s="28">
        <v>22858.28</v>
      </c>
      <c r="L161" s="28">
        <v>0</v>
      </c>
      <c r="M161" s="28">
        <v>22858.28</v>
      </c>
      <c r="N161" s="29" t="s">
        <v>503</v>
      </c>
      <c r="O161" s="8" t="s">
        <v>504</v>
      </c>
      <c r="P161" s="8" t="s">
        <v>97</v>
      </c>
      <c r="Q161" s="8"/>
      <c r="R161" s="9">
        <v>43191</v>
      </c>
      <c r="S161" s="9">
        <v>43191</v>
      </c>
      <c r="T161" s="8">
        <v>5</v>
      </c>
      <c r="U161" s="8" t="str">
        <f t="shared" si="15"/>
        <v>May</v>
      </c>
      <c r="V161">
        <f t="shared" si="13"/>
        <v>4</v>
      </c>
      <c r="W161" s="8" t="str">
        <f t="shared" si="14"/>
        <v>April</v>
      </c>
    </row>
    <row r="162" spans="1:23" x14ac:dyDescent="0.55000000000000004">
      <c r="A162" t="str">
        <f t="shared" si="12"/>
        <v>MayAprilChina - DCL KY</v>
      </c>
      <c r="B162" s="3" t="s">
        <v>20</v>
      </c>
      <c r="C162" s="26" t="s">
        <v>21</v>
      </c>
      <c r="D162" s="26" t="s">
        <v>505</v>
      </c>
      <c r="E162" s="27">
        <v>43222</v>
      </c>
      <c r="F162" s="26" t="s">
        <v>332</v>
      </c>
      <c r="G162" s="26" t="s">
        <v>36</v>
      </c>
      <c r="H162" s="26" t="s">
        <v>506</v>
      </c>
      <c r="I162" s="26" t="s">
        <v>26</v>
      </c>
      <c r="J162" s="26" t="s">
        <v>27</v>
      </c>
      <c r="K162" s="28">
        <v>25067.64</v>
      </c>
      <c r="L162" s="28">
        <v>0</v>
      </c>
      <c r="M162" s="28">
        <v>25067.64</v>
      </c>
      <c r="N162" s="29" t="s">
        <v>507</v>
      </c>
      <c r="O162" s="8" t="s">
        <v>508</v>
      </c>
      <c r="P162" s="8" t="s">
        <v>82</v>
      </c>
      <c r="Q162" s="8"/>
      <c r="R162" s="9">
        <v>43191</v>
      </c>
      <c r="S162" s="9">
        <v>43191</v>
      </c>
      <c r="T162" s="8">
        <v>5</v>
      </c>
      <c r="U162" s="8" t="str">
        <f t="shared" si="15"/>
        <v>May</v>
      </c>
      <c r="V162">
        <f t="shared" si="13"/>
        <v>4</v>
      </c>
      <c r="W162" s="8" t="str">
        <f t="shared" si="14"/>
        <v>April</v>
      </c>
    </row>
    <row r="163" spans="1:23" x14ac:dyDescent="0.55000000000000004">
      <c r="A163" t="str">
        <f t="shared" si="12"/>
        <v>MayAprilHong Kong - DCL KY</v>
      </c>
      <c r="B163" s="3" t="s">
        <v>20</v>
      </c>
      <c r="C163" s="26" t="s">
        <v>21</v>
      </c>
      <c r="D163" s="26" t="s">
        <v>509</v>
      </c>
      <c r="E163" s="27">
        <v>43222</v>
      </c>
      <c r="F163" s="26" t="s">
        <v>332</v>
      </c>
      <c r="G163" s="26" t="s">
        <v>36</v>
      </c>
      <c r="H163" s="26" t="s">
        <v>510</v>
      </c>
      <c r="I163" s="26" t="s">
        <v>26</v>
      </c>
      <c r="J163" s="26" t="s">
        <v>27</v>
      </c>
      <c r="K163" s="28">
        <v>2626.48</v>
      </c>
      <c r="L163" s="28">
        <v>0</v>
      </c>
      <c r="M163" s="28">
        <v>2626.48</v>
      </c>
      <c r="N163" s="29" t="s">
        <v>511</v>
      </c>
      <c r="O163" s="8" t="s">
        <v>512</v>
      </c>
      <c r="P163" s="8" t="s">
        <v>39</v>
      </c>
      <c r="Q163" s="8"/>
      <c r="R163" s="9">
        <v>43191</v>
      </c>
      <c r="S163" s="9">
        <v>43191</v>
      </c>
      <c r="T163" s="8">
        <v>5</v>
      </c>
      <c r="U163" s="8" t="str">
        <f t="shared" si="15"/>
        <v>May</v>
      </c>
      <c r="V163">
        <f t="shared" si="13"/>
        <v>4</v>
      </c>
      <c r="W163" s="8" t="str">
        <f t="shared" si="14"/>
        <v>April</v>
      </c>
    </row>
    <row r="164" spans="1:23" x14ac:dyDescent="0.55000000000000004">
      <c r="A164" t="str">
        <f t="shared" si="12"/>
        <v>MayAprilChina - DECI NC</v>
      </c>
      <c r="B164" s="3" t="s">
        <v>20</v>
      </c>
      <c r="C164" s="26" t="s">
        <v>21</v>
      </c>
      <c r="D164" s="26" t="s">
        <v>513</v>
      </c>
      <c r="E164" s="27">
        <v>43227</v>
      </c>
      <c r="F164" s="26" t="s">
        <v>332</v>
      </c>
      <c r="G164" s="26" t="s">
        <v>47</v>
      </c>
      <c r="H164" s="26" t="s">
        <v>514</v>
      </c>
      <c r="I164" s="26" t="s">
        <v>26</v>
      </c>
      <c r="J164" s="26" t="s">
        <v>27</v>
      </c>
      <c r="K164" s="28">
        <v>12159.81</v>
      </c>
      <c r="L164" s="28">
        <v>0</v>
      </c>
      <c r="M164" s="28">
        <v>12159.81</v>
      </c>
      <c r="N164" s="29" t="s">
        <v>515</v>
      </c>
      <c r="O164" s="8" t="s">
        <v>516</v>
      </c>
      <c r="P164" s="8" t="s">
        <v>97</v>
      </c>
      <c r="Q164" s="8"/>
      <c r="R164" s="9">
        <v>43191</v>
      </c>
      <c r="S164" s="9">
        <v>43191</v>
      </c>
      <c r="T164" s="8">
        <v>5</v>
      </c>
      <c r="U164" s="8" t="str">
        <f t="shared" si="15"/>
        <v>May</v>
      </c>
      <c r="V164">
        <f t="shared" si="13"/>
        <v>4</v>
      </c>
      <c r="W164" s="8" t="str">
        <f t="shared" si="14"/>
        <v>April</v>
      </c>
    </row>
    <row r="165" spans="1:23" x14ac:dyDescent="0.55000000000000004">
      <c r="A165" t="str">
        <f t="shared" si="12"/>
        <v>MayAprilHong Kong - DCL KY</v>
      </c>
      <c r="B165" s="3" t="s">
        <v>20</v>
      </c>
      <c r="C165" s="26" t="s">
        <v>21</v>
      </c>
      <c r="D165" s="26" t="s">
        <v>517</v>
      </c>
      <c r="E165" s="27">
        <v>43227</v>
      </c>
      <c r="F165" s="26" t="s">
        <v>332</v>
      </c>
      <c r="G165" s="26" t="s">
        <v>78</v>
      </c>
      <c r="H165" s="26" t="s">
        <v>518</v>
      </c>
      <c r="I165" s="26" t="s">
        <v>26</v>
      </c>
      <c r="J165" s="26" t="s">
        <v>27</v>
      </c>
      <c r="K165" s="28">
        <v>3831.01</v>
      </c>
      <c r="L165" s="28">
        <v>0</v>
      </c>
      <c r="M165" s="28">
        <v>3831.01</v>
      </c>
      <c r="N165" s="29" t="s">
        <v>519</v>
      </c>
      <c r="O165" s="8" t="s">
        <v>520</v>
      </c>
      <c r="P165" s="8" t="s">
        <v>39</v>
      </c>
      <c r="Q165" s="8" t="s">
        <v>521</v>
      </c>
      <c r="R165" s="9">
        <v>43191</v>
      </c>
      <c r="S165" s="9">
        <v>43191</v>
      </c>
      <c r="T165" s="8">
        <v>5</v>
      </c>
      <c r="U165" s="8" t="str">
        <f t="shared" si="15"/>
        <v>May</v>
      </c>
      <c r="V165">
        <f t="shared" si="13"/>
        <v>4</v>
      </c>
      <c r="W165" s="8" t="str">
        <f t="shared" si="14"/>
        <v>April</v>
      </c>
    </row>
    <row r="166" spans="1:23" x14ac:dyDescent="0.55000000000000004">
      <c r="A166" t="str">
        <f t="shared" si="12"/>
        <v>MayAprilChina - DCL KY</v>
      </c>
      <c r="B166" s="3" t="s">
        <v>20</v>
      </c>
      <c r="C166" s="26" t="s">
        <v>21</v>
      </c>
      <c r="D166" s="26" t="s">
        <v>522</v>
      </c>
      <c r="E166" s="27">
        <v>43227</v>
      </c>
      <c r="F166" s="26" t="s">
        <v>332</v>
      </c>
      <c r="G166" s="26" t="s">
        <v>36</v>
      </c>
      <c r="H166" s="26" t="s">
        <v>523</v>
      </c>
      <c r="I166" s="26" t="s">
        <v>26</v>
      </c>
      <c r="J166" s="26" t="s">
        <v>27</v>
      </c>
      <c r="K166" s="28">
        <v>71306.759999999995</v>
      </c>
      <c r="L166" s="28">
        <v>0</v>
      </c>
      <c r="M166" s="28">
        <v>71306.759999999995</v>
      </c>
      <c r="N166" s="29" t="s">
        <v>524</v>
      </c>
      <c r="O166" s="8" t="s">
        <v>525</v>
      </c>
      <c r="P166" s="8" t="s">
        <v>82</v>
      </c>
      <c r="Q166" s="8" t="s">
        <v>526</v>
      </c>
      <c r="R166" s="9">
        <v>43191</v>
      </c>
      <c r="S166" s="9">
        <v>43191</v>
      </c>
      <c r="T166" s="8">
        <v>5</v>
      </c>
      <c r="U166" s="8" t="str">
        <f t="shared" si="15"/>
        <v>May</v>
      </c>
      <c r="V166">
        <f t="shared" si="13"/>
        <v>4</v>
      </c>
      <c r="W166" s="8" t="str">
        <f t="shared" si="14"/>
        <v>April</v>
      </c>
    </row>
    <row r="167" spans="1:23" x14ac:dyDescent="0.55000000000000004">
      <c r="A167" t="str">
        <f t="shared" si="12"/>
        <v>MayAprilHong Kong - DCL KY</v>
      </c>
      <c r="B167" s="3" t="s">
        <v>20</v>
      </c>
      <c r="C167" s="26" t="s">
        <v>21</v>
      </c>
      <c r="D167" s="26" t="s">
        <v>527</v>
      </c>
      <c r="E167" s="27">
        <v>43227</v>
      </c>
      <c r="F167" s="26" t="s">
        <v>332</v>
      </c>
      <c r="G167" s="26" t="s">
        <v>78</v>
      </c>
      <c r="H167" s="26" t="s">
        <v>528</v>
      </c>
      <c r="I167" s="26" t="s">
        <v>26</v>
      </c>
      <c r="J167" s="26" t="s">
        <v>27</v>
      </c>
      <c r="K167" s="28">
        <v>5505.69</v>
      </c>
      <c r="L167" s="28">
        <v>0</v>
      </c>
      <c r="M167" s="28">
        <v>5505.69</v>
      </c>
      <c r="N167" s="29" t="s">
        <v>529</v>
      </c>
      <c r="O167" s="8" t="s">
        <v>520</v>
      </c>
      <c r="P167" s="8" t="s">
        <v>39</v>
      </c>
      <c r="Q167" s="8" t="s">
        <v>530</v>
      </c>
      <c r="R167" s="9">
        <v>43191</v>
      </c>
      <c r="S167" s="9">
        <v>43191</v>
      </c>
      <c r="T167" s="8">
        <v>5</v>
      </c>
      <c r="U167" s="8" t="str">
        <f t="shared" si="15"/>
        <v>May</v>
      </c>
      <c r="V167">
        <f t="shared" si="13"/>
        <v>4</v>
      </c>
      <c r="W167" s="8" t="str">
        <f t="shared" si="14"/>
        <v>April</v>
      </c>
    </row>
    <row r="168" spans="1:23" x14ac:dyDescent="0.55000000000000004">
      <c r="A168" t="str">
        <f t="shared" si="12"/>
        <v>MayAprilHong Kong - DCL KY</v>
      </c>
      <c r="B168" s="3" t="s">
        <v>20</v>
      </c>
      <c r="C168" s="26" t="s">
        <v>21</v>
      </c>
      <c r="D168" s="26" t="s">
        <v>527</v>
      </c>
      <c r="E168" s="27">
        <v>43227</v>
      </c>
      <c r="F168" s="26" t="s">
        <v>332</v>
      </c>
      <c r="G168" s="26" t="s">
        <v>78</v>
      </c>
      <c r="H168" s="26" t="s">
        <v>528</v>
      </c>
      <c r="I168" s="26" t="s">
        <v>26</v>
      </c>
      <c r="J168" s="26" t="s">
        <v>27</v>
      </c>
      <c r="K168" s="28">
        <v>105.88</v>
      </c>
      <c r="L168" s="28">
        <v>0</v>
      </c>
      <c r="M168" s="28">
        <v>105.88</v>
      </c>
      <c r="N168" s="29" t="s">
        <v>529</v>
      </c>
      <c r="O168" s="8" t="s">
        <v>520</v>
      </c>
      <c r="P168" s="8" t="s">
        <v>39</v>
      </c>
      <c r="Q168" s="8" t="s">
        <v>530</v>
      </c>
      <c r="R168" s="9">
        <v>43191</v>
      </c>
      <c r="S168" s="9">
        <v>43191</v>
      </c>
      <c r="T168" s="8">
        <v>5</v>
      </c>
      <c r="U168" s="8" t="str">
        <f t="shared" si="15"/>
        <v>May</v>
      </c>
      <c r="V168">
        <f t="shared" si="13"/>
        <v>4</v>
      </c>
      <c r="W168" s="8" t="str">
        <f t="shared" si="14"/>
        <v>April</v>
      </c>
    </row>
    <row r="169" spans="1:23" x14ac:dyDescent="0.55000000000000004">
      <c r="A169" t="str">
        <f t="shared" si="12"/>
        <v>MayMayChina - DCL KY</v>
      </c>
      <c r="B169" s="3" t="s">
        <v>20</v>
      </c>
      <c r="C169" s="26" t="s">
        <v>21</v>
      </c>
      <c r="D169" s="26" t="s">
        <v>531</v>
      </c>
      <c r="E169" s="27">
        <v>43227</v>
      </c>
      <c r="F169" s="26" t="s">
        <v>332</v>
      </c>
      <c r="G169" s="26" t="s">
        <v>36</v>
      </c>
      <c r="H169" s="26" t="s">
        <v>532</v>
      </c>
      <c r="I169" s="26" t="s">
        <v>26</v>
      </c>
      <c r="J169" s="26" t="s">
        <v>27</v>
      </c>
      <c r="K169" s="28">
        <v>72328.75</v>
      </c>
      <c r="L169" s="28">
        <v>0</v>
      </c>
      <c r="M169" s="28">
        <v>72328.75</v>
      </c>
      <c r="N169" s="29" t="s">
        <v>533</v>
      </c>
      <c r="O169" s="8" t="s">
        <v>534</v>
      </c>
      <c r="P169" s="8" t="s">
        <v>82</v>
      </c>
      <c r="Q169" s="8" t="s">
        <v>535</v>
      </c>
      <c r="R169" s="9">
        <v>43221</v>
      </c>
      <c r="S169" s="9">
        <v>43221</v>
      </c>
      <c r="T169" s="8">
        <v>5</v>
      </c>
      <c r="U169" s="8" t="str">
        <f t="shared" si="15"/>
        <v>May</v>
      </c>
      <c r="V169">
        <f t="shared" si="13"/>
        <v>5</v>
      </c>
      <c r="W169" s="8" t="str">
        <f t="shared" si="14"/>
        <v>May</v>
      </c>
    </row>
    <row r="170" spans="1:23" x14ac:dyDescent="0.55000000000000004">
      <c r="A170" t="str">
        <f t="shared" si="12"/>
        <v>MayAprilChina - DCL KY</v>
      </c>
      <c r="B170" s="3" t="s">
        <v>20</v>
      </c>
      <c r="C170" s="26" t="s">
        <v>21</v>
      </c>
      <c r="D170" s="26" t="s">
        <v>536</v>
      </c>
      <c r="E170" s="27">
        <v>43227</v>
      </c>
      <c r="F170" s="26" t="s">
        <v>332</v>
      </c>
      <c r="G170" s="26" t="s">
        <v>36</v>
      </c>
      <c r="H170" s="26" t="s">
        <v>537</v>
      </c>
      <c r="I170" s="26" t="s">
        <v>26</v>
      </c>
      <c r="J170" s="26" t="s">
        <v>27</v>
      </c>
      <c r="K170" s="28">
        <v>1442.55</v>
      </c>
      <c r="L170" s="28">
        <v>0</v>
      </c>
      <c r="M170" s="28">
        <v>1442.55</v>
      </c>
      <c r="N170" s="29" t="s">
        <v>538</v>
      </c>
      <c r="O170" s="8" t="s">
        <v>525</v>
      </c>
      <c r="P170" s="8" t="s">
        <v>82</v>
      </c>
      <c r="Q170" s="8" t="s">
        <v>539</v>
      </c>
      <c r="R170" s="9">
        <v>43191</v>
      </c>
      <c r="S170" s="9">
        <v>43191</v>
      </c>
      <c r="T170" s="8">
        <v>5</v>
      </c>
      <c r="U170" s="8" t="str">
        <f t="shared" si="15"/>
        <v>May</v>
      </c>
      <c r="V170">
        <f t="shared" si="13"/>
        <v>4</v>
      </c>
      <c r="W170" s="8" t="str">
        <f t="shared" si="14"/>
        <v>April</v>
      </c>
    </row>
    <row r="171" spans="1:23" x14ac:dyDescent="0.55000000000000004">
      <c r="A171" t="str">
        <f t="shared" si="12"/>
        <v>MayAprilHong Kong - Phillips WI</v>
      </c>
      <c r="B171" s="3" t="s">
        <v>20</v>
      </c>
      <c r="C171" s="26" t="s">
        <v>21</v>
      </c>
      <c r="D171" s="26" t="s">
        <v>540</v>
      </c>
      <c r="E171" s="27">
        <v>43227</v>
      </c>
      <c r="F171" s="26" t="s">
        <v>332</v>
      </c>
      <c r="G171" s="26" t="s">
        <v>85</v>
      </c>
      <c r="H171" s="26" t="s">
        <v>541</v>
      </c>
      <c r="I171" s="26" t="s">
        <v>26</v>
      </c>
      <c r="J171" s="26" t="s">
        <v>27</v>
      </c>
      <c r="K171" s="28">
        <v>6131.46</v>
      </c>
      <c r="L171" s="28">
        <v>0</v>
      </c>
      <c r="M171" s="28">
        <v>6131.46</v>
      </c>
      <c r="N171" s="29" t="s">
        <v>542</v>
      </c>
      <c r="O171" s="8" t="s">
        <v>543</v>
      </c>
      <c r="P171" s="8" t="s">
        <v>65</v>
      </c>
      <c r="Q171" s="8" t="s">
        <v>544</v>
      </c>
      <c r="R171" s="9">
        <v>43191</v>
      </c>
      <c r="S171" s="9">
        <v>43191</v>
      </c>
      <c r="T171" s="8">
        <v>5</v>
      </c>
      <c r="U171" s="8" t="str">
        <f t="shared" si="15"/>
        <v>May</v>
      </c>
      <c r="V171">
        <f t="shared" si="13"/>
        <v>4</v>
      </c>
      <c r="W171" s="8" t="str">
        <f t="shared" si="14"/>
        <v>April</v>
      </c>
    </row>
    <row r="172" spans="1:23" x14ac:dyDescent="0.55000000000000004">
      <c r="A172" t="str">
        <f t="shared" si="12"/>
        <v>MayAprilHong Kong - Phillips WI</v>
      </c>
      <c r="B172" s="3" t="s">
        <v>20</v>
      </c>
      <c r="C172" s="26" t="s">
        <v>21</v>
      </c>
      <c r="D172" s="26" t="s">
        <v>545</v>
      </c>
      <c r="E172" s="27">
        <v>43227</v>
      </c>
      <c r="F172" s="26" t="s">
        <v>332</v>
      </c>
      <c r="G172" s="26" t="s">
        <v>85</v>
      </c>
      <c r="H172" s="26" t="s">
        <v>546</v>
      </c>
      <c r="I172" s="26" t="s">
        <v>26</v>
      </c>
      <c r="J172" s="26" t="s">
        <v>27</v>
      </c>
      <c r="K172" s="28">
        <v>20079.22</v>
      </c>
      <c r="L172" s="28">
        <v>0</v>
      </c>
      <c r="M172" s="28">
        <v>20079.22</v>
      </c>
      <c r="N172" s="29" t="s">
        <v>547</v>
      </c>
      <c r="O172" s="8" t="s">
        <v>548</v>
      </c>
      <c r="P172" s="8" t="s">
        <v>65</v>
      </c>
      <c r="Q172" s="8" t="s">
        <v>549</v>
      </c>
      <c r="R172" s="9">
        <v>43191</v>
      </c>
      <c r="S172" s="9">
        <v>43191</v>
      </c>
      <c r="T172" s="8">
        <v>5</v>
      </c>
      <c r="U172" s="8" t="str">
        <f t="shared" si="15"/>
        <v>May</v>
      </c>
      <c r="V172">
        <f t="shared" si="13"/>
        <v>4</v>
      </c>
      <c r="W172" s="8" t="str">
        <f t="shared" si="14"/>
        <v>April</v>
      </c>
    </row>
    <row r="173" spans="1:23" x14ac:dyDescent="0.55000000000000004">
      <c r="A173" t="str">
        <f t="shared" si="12"/>
        <v>MayAprilChina - DCL KY</v>
      </c>
      <c r="B173" s="3" t="s">
        <v>20</v>
      </c>
      <c r="C173" s="26" t="s">
        <v>21</v>
      </c>
      <c r="D173" s="26" t="s">
        <v>550</v>
      </c>
      <c r="E173" s="27">
        <v>43227</v>
      </c>
      <c r="F173" s="26" t="s">
        <v>332</v>
      </c>
      <c r="G173" s="26" t="s">
        <v>36</v>
      </c>
      <c r="H173" s="26" t="s">
        <v>551</v>
      </c>
      <c r="I173" s="26" t="s">
        <v>26</v>
      </c>
      <c r="J173" s="26" t="s">
        <v>27</v>
      </c>
      <c r="K173" s="28">
        <v>65</v>
      </c>
      <c r="L173" s="28">
        <v>0</v>
      </c>
      <c r="M173" s="28">
        <v>65</v>
      </c>
      <c r="N173" s="29" t="s">
        <v>552</v>
      </c>
      <c r="O173" s="8" t="s">
        <v>487</v>
      </c>
      <c r="P173" s="8" t="s">
        <v>82</v>
      </c>
      <c r="Q173" s="8"/>
      <c r="R173" s="9">
        <v>43191</v>
      </c>
      <c r="S173" s="9">
        <v>43191</v>
      </c>
      <c r="T173" s="8">
        <v>5</v>
      </c>
      <c r="U173" s="8" t="str">
        <f t="shared" si="15"/>
        <v>May</v>
      </c>
      <c r="V173">
        <f t="shared" si="13"/>
        <v>4</v>
      </c>
      <c r="W173" s="8" t="str">
        <f t="shared" si="14"/>
        <v>April</v>
      </c>
    </row>
    <row r="174" spans="1:23" x14ac:dyDescent="0.55000000000000004">
      <c r="A174" t="str">
        <f t="shared" si="12"/>
        <v>MayAprilChina - DECI NC</v>
      </c>
      <c r="B174" s="3" t="s">
        <v>20</v>
      </c>
      <c r="C174" s="26" t="s">
        <v>21</v>
      </c>
      <c r="D174" s="26" t="s">
        <v>553</v>
      </c>
      <c r="E174" s="27">
        <v>43228</v>
      </c>
      <c r="F174" s="26" t="s">
        <v>332</v>
      </c>
      <c r="G174" s="26" t="s">
        <v>47</v>
      </c>
      <c r="H174" s="26" t="s">
        <v>554</v>
      </c>
      <c r="I174" s="26" t="s">
        <v>26</v>
      </c>
      <c r="J174" s="26" t="s">
        <v>27</v>
      </c>
      <c r="K174" s="28">
        <v>43216.07</v>
      </c>
      <c r="L174" s="28">
        <v>0</v>
      </c>
      <c r="M174" s="28">
        <v>43216.07</v>
      </c>
      <c r="N174" s="29" t="s">
        <v>555</v>
      </c>
      <c r="O174" s="8" t="s">
        <v>556</v>
      </c>
      <c r="P174" s="8" t="s">
        <v>97</v>
      </c>
      <c r="Q174" s="8"/>
      <c r="R174" s="9">
        <v>43191</v>
      </c>
      <c r="S174" s="9">
        <v>43191</v>
      </c>
      <c r="T174" s="8">
        <v>5</v>
      </c>
      <c r="U174" s="8" t="str">
        <f t="shared" si="15"/>
        <v>May</v>
      </c>
      <c r="V174">
        <f t="shared" si="13"/>
        <v>4</v>
      </c>
      <c r="W174" s="8" t="str">
        <f t="shared" si="14"/>
        <v>April</v>
      </c>
    </row>
    <row r="175" spans="1:23" x14ac:dyDescent="0.55000000000000004">
      <c r="A175" t="str">
        <f t="shared" si="12"/>
        <v>MayAprilHong Kong - DECI NC</v>
      </c>
      <c r="B175" s="3" t="s">
        <v>20</v>
      </c>
      <c r="C175" s="26" t="s">
        <v>21</v>
      </c>
      <c r="D175" s="26" t="s">
        <v>557</v>
      </c>
      <c r="E175" s="27">
        <v>43228</v>
      </c>
      <c r="F175" s="26" t="s">
        <v>332</v>
      </c>
      <c r="G175" s="26" t="s">
        <v>47</v>
      </c>
      <c r="H175" s="26" t="s">
        <v>558</v>
      </c>
      <c r="I175" s="26" t="s">
        <v>26</v>
      </c>
      <c r="J175" s="26" t="s">
        <v>27</v>
      </c>
      <c r="K175" s="28">
        <v>12744.23</v>
      </c>
      <c r="L175" s="28">
        <v>0</v>
      </c>
      <c r="M175" s="28">
        <v>12744.23</v>
      </c>
      <c r="N175" s="29" t="s">
        <v>559</v>
      </c>
      <c r="O175" s="8" t="s">
        <v>560</v>
      </c>
      <c r="P175" s="8" t="s">
        <v>92</v>
      </c>
      <c r="Q175" s="8"/>
      <c r="R175" s="9">
        <v>43191</v>
      </c>
      <c r="S175" s="9">
        <v>43191</v>
      </c>
      <c r="T175" s="8">
        <v>5</v>
      </c>
      <c r="U175" s="8" t="str">
        <f t="shared" si="15"/>
        <v>May</v>
      </c>
      <c r="V175">
        <f t="shared" si="13"/>
        <v>4</v>
      </c>
      <c r="W175" s="8" t="str">
        <f t="shared" si="14"/>
        <v>April</v>
      </c>
    </row>
    <row r="176" spans="1:23" x14ac:dyDescent="0.55000000000000004">
      <c r="A176" t="str">
        <f t="shared" si="12"/>
        <v>MayAprilHong Kong - DECI NC</v>
      </c>
      <c r="B176" s="3" t="s">
        <v>20</v>
      </c>
      <c r="C176" s="26" t="s">
        <v>21</v>
      </c>
      <c r="D176" s="26" t="s">
        <v>557</v>
      </c>
      <c r="E176" s="27">
        <v>43228</v>
      </c>
      <c r="F176" s="26" t="s">
        <v>332</v>
      </c>
      <c r="G176" s="26" t="s">
        <v>47</v>
      </c>
      <c r="H176" s="26" t="s">
        <v>558</v>
      </c>
      <c r="I176" s="26" t="s">
        <v>26</v>
      </c>
      <c r="J176" s="26" t="s">
        <v>27</v>
      </c>
      <c r="K176" s="28">
        <v>505.72</v>
      </c>
      <c r="L176" s="28">
        <v>0</v>
      </c>
      <c r="M176" s="28">
        <v>505.72</v>
      </c>
      <c r="N176" s="29" t="s">
        <v>559</v>
      </c>
      <c r="O176" s="8" t="s">
        <v>560</v>
      </c>
      <c r="P176" s="8" t="s">
        <v>92</v>
      </c>
      <c r="Q176" s="8"/>
      <c r="R176" s="9">
        <v>43191</v>
      </c>
      <c r="S176" s="9">
        <v>43191</v>
      </c>
      <c r="T176" s="8">
        <v>5</v>
      </c>
      <c r="U176" s="8" t="str">
        <f t="shared" si="15"/>
        <v>May</v>
      </c>
      <c r="V176">
        <f t="shared" si="13"/>
        <v>4</v>
      </c>
      <c r="W176" s="8" t="str">
        <f t="shared" si="14"/>
        <v>April</v>
      </c>
    </row>
    <row r="177" spans="1:23" x14ac:dyDescent="0.55000000000000004">
      <c r="A177" t="str">
        <f t="shared" si="12"/>
        <v>MayAprilHong Kong - DECI NC</v>
      </c>
      <c r="B177" s="3" t="s">
        <v>20</v>
      </c>
      <c r="C177" s="26" t="s">
        <v>21</v>
      </c>
      <c r="D177" s="26" t="s">
        <v>561</v>
      </c>
      <c r="E177" s="27">
        <v>43229</v>
      </c>
      <c r="F177" s="26" t="s">
        <v>332</v>
      </c>
      <c r="G177" s="26" t="s">
        <v>47</v>
      </c>
      <c r="H177" s="26" t="s">
        <v>562</v>
      </c>
      <c r="I177" s="26" t="s">
        <v>26</v>
      </c>
      <c r="J177" s="26" t="s">
        <v>27</v>
      </c>
      <c r="K177" s="28">
        <v>9102.51</v>
      </c>
      <c r="L177" s="28">
        <v>0</v>
      </c>
      <c r="M177" s="28">
        <v>9102.51</v>
      </c>
      <c r="N177" s="29" t="s">
        <v>563</v>
      </c>
      <c r="O177" s="8" t="s">
        <v>564</v>
      </c>
      <c r="P177" s="8" t="s">
        <v>92</v>
      </c>
      <c r="Q177" s="8" t="s">
        <v>565</v>
      </c>
      <c r="R177" s="9">
        <v>43191</v>
      </c>
      <c r="S177" s="9">
        <v>43191</v>
      </c>
      <c r="T177" s="8">
        <v>5</v>
      </c>
      <c r="U177" s="8" t="str">
        <f t="shared" si="15"/>
        <v>May</v>
      </c>
      <c r="V177">
        <f t="shared" si="13"/>
        <v>4</v>
      </c>
      <c r="W177" s="8" t="str">
        <f t="shared" si="14"/>
        <v>April</v>
      </c>
    </row>
    <row r="178" spans="1:23" x14ac:dyDescent="0.55000000000000004">
      <c r="A178" t="str">
        <f t="shared" si="12"/>
        <v>MayAprilHong Kong - DECI NC</v>
      </c>
      <c r="B178" s="3" t="s">
        <v>20</v>
      </c>
      <c r="C178" s="26" t="s">
        <v>21</v>
      </c>
      <c r="D178" s="26" t="s">
        <v>561</v>
      </c>
      <c r="E178" s="27">
        <v>43229</v>
      </c>
      <c r="F178" s="26" t="s">
        <v>332</v>
      </c>
      <c r="G178" s="26" t="s">
        <v>47</v>
      </c>
      <c r="H178" s="26" t="s">
        <v>562</v>
      </c>
      <c r="I178" s="26" t="s">
        <v>26</v>
      </c>
      <c r="J178" s="26" t="s">
        <v>27</v>
      </c>
      <c r="K178" s="28">
        <v>1456.4</v>
      </c>
      <c r="L178" s="28">
        <v>0</v>
      </c>
      <c r="M178" s="28">
        <v>1456.4</v>
      </c>
      <c r="N178" s="29" t="s">
        <v>563</v>
      </c>
      <c r="O178" s="8" t="s">
        <v>564</v>
      </c>
      <c r="P178" s="8" t="s">
        <v>92</v>
      </c>
      <c r="Q178" s="8" t="s">
        <v>565</v>
      </c>
      <c r="R178" s="9">
        <v>43191</v>
      </c>
      <c r="S178" s="9">
        <v>43191</v>
      </c>
      <c r="T178" s="8">
        <v>5</v>
      </c>
      <c r="U178" s="8" t="str">
        <f t="shared" si="15"/>
        <v>May</v>
      </c>
      <c r="V178">
        <f t="shared" si="13"/>
        <v>4</v>
      </c>
      <c r="W178" s="8" t="str">
        <f t="shared" si="14"/>
        <v>April</v>
      </c>
    </row>
    <row r="179" spans="1:23" x14ac:dyDescent="0.55000000000000004">
      <c r="A179" t="str">
        <f t="shared" si="12"/>
        <v>MayMayChina - DCL KY</v>
      </c>
      <c r="B179" s="3" t="s">
        <v>20</v>
      </c>
      <c r="C179" s="26" t="s">
        <v>21</v>
      </c>
      <c r="D179" s="26" t="s">
        <v>566</v>
      </c>
      <c r="E179" s="27">
        <v>43230</v>
      </c>
      <c r="F179" s="26" t="s">
        <v>332</v>
      </c>
      <c r="G179" s="26" t="s">
        <v>36</v>
      </c>
      <c r="H179" s="26" t="s">
        <v>567</v>
      </c>
      <c r="I179" s="26" t="s">
        <v>26</v>
      </c>
      <c r="J179" s="26" t="s">
        <v>27</v>
      </c>
      <c r="K179" s="28">
        <v>11965.12</v>
      </c>
      <c r="L179" s="28">
        <v>0</v>
      </c>
      <c r="M179" s="28">
        <v>11965.12</v>
      </c>
      <c r="N179" s="29" t="s">
        <v>568</v>
      </c>
      <c r="O179" s="8" t="s">
        <v>569</v>
      </c>
      <c r="P179" s="8" t="s">
        <v>82</v>
      </c>
      <c r="Q179" s="8" t="s">
        <v>570</v>
      </c>
      <c r="R179" s="9">
        <v>43226</v>
      </c>
      <c r="S179" s="9">
        <v>43226</v>
      </c>
      <c r="T179" s="8">
        <v>5</v>
      </c>
      <c r="U179" s="8" t="str">
        <f t="shared" si="15"/>
        <v>May</v>
      </c>
      <c r="V179">
        <f t="shared" si="13"/>
        <v>5</v>
      </c>
      <c r="W179" s="8" t="str">
        <f t="shared" si="14"/>
        <v>May</v>
      </c>
    </row>
    <row r="180" spans="1:23" x14ac:dyDescent="0.55000000000000004">
      <c r="A180" t="str">
        <f t="shared" si="12"/>
        <v>MayMayHong Kong - Phillips WI</v>
      </c>
      <c r="B180" s="3" t="s">
        <v>20</v>
      </c>
      <c r="C180" s="26" t="s">
        <v>21</v>
      </c>
      <c r="D180" s="26" t="s">
        <v>571</v>
      </c>
      <c r="E180" s="27">
        <v>43230</v>
      </c>
      <c r="F180" s="26" t="s">
        <v>332</v>
      </c>
      <c r="G180" s="26" t="s">
        <v>85</v>
      </c>
      <c r="H180" s="26" t="s">
        <v>572</v>
      </c>
      <c r="I180" s="26" t="s">
        <v>26</v>
      </c>
      <c r="J180" s="26" t="s">
        <v>27</v>
      </c>
      <c r="K180" s="28">
        <v>13489.41</v>
      </c>
      <c r="L180" s="28">
        <v>0</v>
      </c>
      <c r="M180" s="28">
        <v>13489.41</v>
      </c>
      <c r="N180" s="29" t="s">
        <v>573</v>
      </c>
      <c r="O180" s="8" t="s">
        <v>574</v>
      </c>
      <c r="P180" s="8" t="s">
        <v>65</v>
      </c>
      <c r="Q180" s="8" t="s">
        <v>575</v>
      </c>
      <c r="R180" s="9">
        <v>43221</v>
      </c>
      <c r="S180" s="9">
        <v>43221</v>
      </c>
      <c r="T180" s="8">
        <v>5</v>
      </c>
      <c r="U180" s="8" t="str">
        <f t="shared" si="15"/>
        <v>May</v>
      </c>
      <c r="V180">
        <f t="shared" si="13"/>
        <v>5</v>
      </c>
      <c r="W180" s="8" t="str">
        <f t="shared" si="14"/>
        <v>May</v>
      </c>
    </row>
    <row r="181" spans="1:23" x14ac:dyDescent="0.55000000000000004">
      <c r="A181" t="str">
        <f t="shared" si="12"/>
        <v>MayMayHong Kong - Phillips WI</v>
      </c>
      <c r="B181" s="3" t="s">
        <v>20</v>
      </c>
      <c r="C181" s="26" t="s">
        <v>21</v>
      </c>
      <c r="D181" s="26" t="s">
        <v>576</v>
      </c>
      <c r="E181" s="27">
        <v>43230</v>
      </c>
      <c r="F181" s="26" t="s">
        <v>332</v>
      </c>
      <c r="G181" s="26" t="s">
        <v>85</v>
      </c>
      <c r="H181" s="26" t="s">
        <v>577</v>
      </c>
      <c r="I181" s="26" t="s">
        <v>26</v>
      </c>
      <c r="J181" s="26" t="s">
        <v>27</v>
      </c>
      <c r="K181" s="28">
        <v>10336.94</v>
      </c>
      <c r="L181" s="28">
        <v>0</v>
      </c>
      <c r="M181" s="28">
        <v>10336.94</v>
      </c>
      <c r="N181" s="29" t="s">
        <v>578</v>
      </c>
      <c r="O181" s="8" t="s">
        <v>574</v>
      </c>
      <c r="P181" s="8" t="s">
        <v>65</v>
      </c>
      <c r="Q181" s="8" t="s">
        <v>579</v>
      </c>
      <c r="R181" s="9">
        <v>43221</v>
      </c>
      <c r="S181" s="9">
        <v>43221</v>
      </c>
      <c r="T181" s="8">
        <v>5</v>
      </c>
      <c r="U181" s="8" t="str">
        <f t="shared" si="15"/>
        <v>May</v>
      </c>
      <c r="V181">
        <f t="shared" si="13"/>
        <v>5</v>
      </c>
      <c r="W181" s="8" t="str">
        <f t="shared" si="14"/>
        <v>May</v>
      </c>
    </row>
    <row r="182" spans="1:23" x14ac:dyDescent="0.55000000000000004">
      <c r="A182" t="str">
        <f t="shared" si="12"/>
        <v>MayMayHong Kong - Phillips WI</v>
      </c>
      <c r="B182" s="3" t="s">
        <v>20</v>
      </c>
      <c r="C182" s="26" t="s">
        <v>21</v>
      </c>
      <c r="D182" s="26" t="s">
        <v>576</v>
      </c>
      <c r="E182" s="27">
        <v>43230</v>
      </c>
      <c r="F182" s="26" t="s">
        <v>332</v>
      </c>
      <c r="G182" s="26" t="s">
        <v>85</v>
      </c>
      <c r="H182" s="26" t="s">
        <v>577</v>
      </c>
      <c r="I182" s="26" t="s">
        <v>26</v>
      </c>
      <c r="J182" s="26" t="s">
        <v>27</v>
      </c>
      <c r="K182" s="28">
        <v>2558.98</v>
      </c>
      <c r="L182" s="28">
        <v>0</v>
      </c>
      <c r="M182" s="28">
        <v>2558.98</v>
      </c>
      <c r="N182" s="29" t="s">
        <v>578</v>
      </c>
      <c r="O182" s="8" t="s">
        <v>574</v>
      </c>
      <c r="P182" s="8" t="s">
        <v>65</v>
      </c>
      <c r="Q182" s="8" t="s">
        <v>579</v>
      </c>
      <c r="R182" s="9">
        <v>43221</v>
      </c>
      <c r="S182" s="9">
        <v>43221</v>
      </c>
      <c r="T182" s="8">
        <v>5</v>
      </c>
      <c r="U182" s="8" t="str">
        <f t="shared" si="15"/>
        <v>May</v>
      </c>
      <c r="V182">
        <f t="shared" si="13"/>
        <v>5</v>
      </c>
      <c r="W182" s="8" t="str">
        <f t="shared" si="14"/>
        <v>May</v>
      </c>
    </row>
    <row r="183" spans="1:23" x14ac:dyDescent="0.55000000000000004">
      <c r="A183" t="str">
        <f t="shared" si="12"/>
        <v>MayMayChina - DCL KY</v>
      </c>
      <c r="B183" s="3" t="s">
        <v>20</v>
      </c>
      <c r="C183" s="26" t="s">
        <v>21</v>
      </c>
      <c r="D183" s="26" t="s">
        <v>580</v>
      </c>
      <c r="E183" s="27">
        <v>43230</v>
      </c>
      <c r="F183" s="26" t="s">
        <v>332</v>
      </c>
      <c r="G183" s="26" t="s">
        <v>36</v>
      </c>
      <c r="H183" s="26" t="s">
        <v>581</v>
      </c>
      <c r="I183" s="26" t="s">
        <v>26</v>
      </c>
      <c r="J183" s="26" t="s">
        <v>27</v>
      </c>
      <c r="K183" s="28">
        <v>2107.84</v>
      </c>
      <c r="L183" s="28">
        <v>0</v>
      </c>
      <c r="M183" s="28">
        <v>2107.84</v>
      </c>
      <c r="N183" s="29" t="s">
        <v>582</v>
      </c>
      <c r="O183" s="8" t="s">
        <v>583</v>
      </c>
      <c r="P183" s="8" t="s">
        <v>82</v>
      </c>
      <c r="Q183" s="8" t="s">
        <v>584</v>
      </c>
      <c r="R183" s="9">
        <v>43221</v>
      </c>
      <c r="S183" s="9">
        <v>43221</v>
      </c>
      <c r="T183" s="8">
        <v>5</v>
      </c>
      <c r="U183" s="8" t="str">
        <f t="shared" si="15"/>
        <v>May</v>
      </c>
      <c r="V183">
        <f t="shared" si="13"/>
        <v>5</v>
      </c>
      <c r="W183" s="8" t="str">
        <f t="shared" si="14"/>
        <v>May</v>
      </c>
    </row>
    <row r="184" spans="1:23" x14ac:dyDescent="0.55000000000000004">
      <c r="A184" t="str">
        <f t="shared" si="12"/>
        <v>MayMayChina - DCL KY</v>
      </c>
      <c r="B184" s="3" t="s">
        <v>20</v>
      </c>
      <c r="C184" s="26" t="s">
        <v>21</v>
      </c>
      <c r="D184" s="26" t="s">
        <v>580</v>
      </c>
      <c r="E184" s="27">
        <v>43230</v>
      </c>
      <c r="F184" s="26" t="s">
        <v>332</v>
      </c>
      <c r="G184" s="26" t="s">
        <v>36</v>
      </c>
      <c r="H184" s="26" t="s">
        <v>581</v>
      </c>
      <c r="I184" s="26" t="s">
        <v>26</v>
      </c>
      <c r="J184" s="26" t="s">
        <v>27</v>
      </c>
      <c r="K184" s="28">
        <v>27016.42</v>
      </c>
      <c r="L184" s="28">
        <v>0</v>
      </c>
      <c r="M184" s="28">
        <v>27016.42</v>
      </c>
      <c r="N184" s="29" t="s">
        <v>582</v>
      </c>
      <c r="O184" s="8" t="s">
        <v>583</v>
      </c>
      <c r="P184" s="8" t="s">
        <v>82</v>
      </c>
      <c r="Q184" s="8" t="s">
        <v>584</v>
      </c>
      <c r="R184" s="9">
        <v>43221</v>
      </c>
      <c r="S184" s="9">
        <v>43221</v>
      </c>
      <c r="T184" s="8">
        <v>5</v>
      </c>
      <c r="U184" s="8" t="str">
        <f t="shared" si="15"/>
        <v>May</v>
      </c>
      <c r="V184">
        <f t="shared" si="13"/>
        <v>5</v>
      </c>
      <c r="W184" s="8" t="str">
        <f t="shared" si="14"/>
        <v>May</v>
      </c>
    </row>
    <row r="185" spans="1:23" x14ac:dyDescent="0.55000000000000004">
      <c r="A185" t="str">
        <f t="shared" si="12"/>
        <v>MayMayHong Kong - DCL KY</v>
      </c>
      <c r="B185" s="3" t="s">
        <v>20</v>
      </c>
      <c r="C185" s="26" t="s">
        <v>21</v>
      </c>
      <c r="D185" s="26" t="s">
        <v>585</v>
      </c>
      <c r="E185" s="27">
        <v>43231</v>
      </c>
      <c r="F185" s="26" t="s">
        <v>332</v>
      </c>
      <c r="G185" s="26" t="s">
        <v>62</v>
      </c>
      <c r="H185" s="26" t="s">
        <v>586</v>
      </c>
      <c r="I185" s="26" t="s">
        <v>26</v>
      </c>
      <c r="J185" s="26" t="s">
        <v>27</v>
      </c>
      <c r="K185" s="28">
        <v>907.83</v>
      </c>
      <c r="L185" s="28">
        <v>0</v>
      </c>
      <c r="M185" s="28">
        <v>907.83</v>
      </c>
      <c r="N185" s="29" t="s">
        <v>587</v>
      </c>
      <c r="O185" s="8" t="s">
        <v>588</v>
      </c>
      <c r="P185" s="8" t="s">
        <v>39</v>
      </c>
      <c r="Q185" s="8" t="s">
        <v>589</v>
      </c>
      <c r="R185" s="9">
        <v>43221</v>
      </c>
      <c r="S185" s="9">
        <v>43221</v>
      </c>
      <c r="T185" s="8">
        <v>5</v>
      </c>
      <c r="U185" s="8" t="str">
        <f t="shared" si="15"/>
        <v>May</v>
      </c>
      <c r="V185">
        <f t="shared" si="13"/>
        <v>5</v>
      </c>
      <c r="W185" s="8" t="str">
        <f t="shared" si="14"/>
        <v>May</v>
      </c>
    </row>
    <row r="186" spans="1:23" x14ac:dyDescent="0.55000000000000004">
      <c r="A186" t="str">
        <f t="shared" si="12"/>
        <v>MayMayHong Kong - DCL KY</v>
      </c>
      <c r="B186" s="3" t="s">
        <v>20</v>
      </c>
      <c r="C186" s="26" t="s">
        <v>21</v>
      </c>
      <c r="D186" s="26" t="s">
        <v>585</v>
      </c>
      <c r="E186" s="27">
        <v>43231</v>
      </c>
      <c r="F186" s="26" t="s">
        <v>332</v>
      </c>
      <c r="G186" s="26" t="s">
        <v>62</v>
      </c>
      <c r="H186" s="26" t="s">
        <v>586</v>
      </c>
      <c r="I186" s="26" t="s">
        <v>26</v>
      </c>
      <c r="J186" s="26" t="s">
        <v>27</v>
      </c>
      <c r="K186" s="28">
        <v>5212.66</v>
      </c>
      <c r="L186" s="28">
        <v>0</v>
      </c>
      <c r="M186" s="28">
        <v>5212.66</v>
      </c>
      <c r="N186" s="29" t="s">
        <v>587</v>
      </c>
      <c r="O186" s="8" t="s">
        <v>588</v>
      </c>
      <c r="P186" s="8" t="s">
        <v>39</v>
      </c>
      <c r="Q186" s="8" t="s">
        <v>589</v>
      </c>
      <c r="R186" s="9">
        <v>43221</v>
      </c>
      <c r="S186" s="9">
        <v>43221</v>
      </c>
      <c r="T186" s="8">
        <v>5</v>
      </c>
      <c r="U186" s="8" t="str">
        <f t="shared" si="15"/>
        <v>May</v>
      </c>
      <c r="V186">
        <f t="shared" si="13"/>
        <v>5</v>
      </c>
      <c r="W186" s="8" t="str">
        <f t="shared" si="14"/>
        <v>May</v>
      </c>
    </row>
    <row r="187" spans="1:23" x14ac:dyDescent="0.55000000000000004">
      <c r="A187" t="str">
        <f t="shared" si="12"/>
        <v>MayMayChina - DECI NC</v>
      </c>
      <c r="B187" s="3" t="s">
        <v>20</v>
      </c>
      <c r="C187" s="26" t="s">
        <v>21</v>
      </c>
      <c r="D187" s="26" t="s">
        <v>590</v>
      </c>
      <c r="E187" s="27">
        <v>43231</v>
      </c>
      <c r="F187" s="26" t="s">
        <v>332</v>
      </c>
      <c r="G187" s="26" t="s">
        <v>47</v>
      </c>
      <c r="H187" s="26" t="s">
        <v>591</v>
      </c>
      <c r="I187" s="26" t="s">
        <v>26</v>
      </c>
      <c r="J187" s="26" t="s">
        <v>27</v>
      </c>
      <c r="K187" s="28">
        <v>4075.43</v>
      </c>
      <c r="L187" s="28">
        <v>0</v>
      </c>
      <c r="M187" s="28">
        <v>4075.43</v>
      </c>
      <c r="N187" s="29" t="s">
        <v>592</v>
      </c>
      <c r="O187" s="8" t="s">
        <v>593</v>
      </c>
      <c r="P187" s="8" t="s">
        <v>97</v>
      </c>
      <c r="Q187" s="8" t="s">
        <v>594</v>
      </c>
      <c r="R187" s="9">
        <v>43221</v>
      </c>
      <c r="S187" s="9">
        <v>43221</v>
      </c>
      <c r="T187" s="8">
        <v>5</v>
      </c>
      <c r="U187" s="8" t="str">
        <f t="shared" si="15"/>
        <v>May</v>
      </c>
      <c r="V187">
        <f t="shared" si="13"/>
        <v>5</v>
      </c>
      <c r="W187" s="8" t="str">
        <f t="shared" si="14"/>
        <v>May</v>
      </c>
    </row>
    <row r="188" spans="1:23" x14ac:dyDescent="0.55000000000000004">
      <c r="A188" t="str">
        <f t="shared" si="12"/>
        <v>MayMayChina - DECI NC</v>
      </c>
      <c r="B188" s="3" t="s">
        <v>20</v>
      </c>
      <c r="C188" s="26" t="s">
        <v>21</v>
      </c>
      <c r="D188" s="26" t="s">
        <v>590</v>
      </c>
      <c r="E188" s="27">
        <v>43231</v>
      </c>
      <c r="F188" s="26" t="s">
        <v>332</v>
      </c>
      <c r="G188" s="26" t="s">
        <v>47</v>
      </c>
      <c r="H188" s="26" t="s">
        <v>591</v>
      </c>
      <c r="I188" s="26" t="s">
        <v>26</v>
      </c>
      <c r="J188" s="26" t="s">
        <v>27</v>
      </c>
      <c r="K188" s="28">
        <v>1722.46</v>
      </c>
      <c r="L188" s="28">
        <v>0</v>
      </c>
      <c r="M188" s="28">
        <v>1722.46</v>
      </c>
      <c r="N188" s="29" t="s">
        <v>592</v>
      </c>
      <c r="O188" s="8" t="s">
        <v>593</v>
      </c>
      <c r="P188" s="8" t="s">
        <v>97</v>
      </c>
      <c r="Q188" s="8" t="s">
        <v>594</v>
      </c>
      <c r="R188" s="9">
        <v>43221</v>
      </c>
      <c r="S188" s="9">
        <v>43221</v>
      </c>
      <c r="T188" s="8">
        <v>5</v>
      </c>
      <c r="U188" s="8" t="str">
        <f t="shared" si="15"/>
        <v>May</v>
      </c>
      <c r="V188">
        <f t="shared" si="13"/>
        <v>5</v>
      </c>
      <c r="W188" s="8" t="str">
        <f t="shared" si="14"/>
        <v>May</v>
      </c>
    </row>
    <row r="189" spans="1:23" x14ac:dyDescent="0.55000000000000004">
      <c r="A189" t="str">
        <f t="shared" si="12"/>
        <v>MayAprilChina - DCL KY</v>
      </c>
      <c r="B189" s="3" t="s">
        <v>20</v>
      </c>
      <c r="C189" s="26" t="s">
        <v>21</v>
      </c>
      <c r="D189" s="26" t="s">
        <v>595</v>
      </c>
      <c r="E189" s="27">
        <v>43231</v>
      </c>
      <c r="F189" s="26" t="s">
        <v>332</v>
      </c>
      <c r="G189" s="26" t="s">
        <v>36</v>
      </c>
      <c r="H189" s="26" t="s">
        <v>596</v>
      </c>
      <c r="I189" s="26" t="s">
        <v>26</v>
      </c>
      <c r="J189" s="26" t="s">
        <v>27</v>
      </c>
      <c r="K189" s="28">
        <v>292.5</v>
      </c>
      <c r="L189" s="28">
        <v>0</v>
      </c>
      <c r="M189" s="28">
        <v>292.5</v>
      </c>
      <c r="N189" s="29" t="s">
        <v>597</v>
      </c>
      <c r="O189" s="8" t="s">
        <v>480</v>
      </c>
      <c r="P189" s="8" t="s">
        <v>82</v>
      </c>
      <c r="Q189" s="8" t="s">
        <v>598</v>
      </c>
      <c r="R189" s="9">
        <v>43191</v>
      </c>
      <c r="S189" s="9">
        <v>43191</v>
      </c>
      <c r="T189" s="8">
        <v>5</v>
      </c>
      <c r="U189" s="8" t="str">
        <f t="shared" ref="U189:U220" si="16">IF(T189=6,"June",IF(T189=5,"May",IF(T189=4,"April",IF(T189=3,"March",0))))</f>
        <v>May</v>
      </c>
      <c r="V189">
        <f t="shared" si="13"/>
        <v>4</v>
      </c>
      <c r="W189" s="8" t="str">
        <f t="shared" si="14"/>
        <v>April</v>
      </c>
    </row>
    <row r="190" spans="1:23" x14ac:dyDescent="0.55000000000000004">
      <c r="A190" t="str">
        <f t="shared" si="12"/>
        <v>MayMayChina - DECI NC</v>
      </c>
      <c r="B190" s="3" t="s">
        <v>20</v>
      </c>
      <c r="C190" s="26" t="s">
        <v>21</v>
      </c>
      <c r="D190" s="26" t="s">
        <v>599</v>
      </c>
      <c r="E190" s="27">
        <v>43231</v>
      </c>
      <c r="F190" s="26" t="s">
        <v>332</v>
      </c>
      <c r="G190" s="26" t="s">
        <v>47</v>
      </c>
      <c r="H190" s="26" t="s">
        <v>600</v>
      </c>
      <c r="I190" s="26" t="s">
        <v>26</v>
      </c>
      <c r="J190" s="26" t="s">
        <v>27</v>
      </c>
      <c r="K190" s="28">
        <v>41977.52</v>
      </c>
      <c r="L190" s="28">
        <v>0</v>
      </c>
      <c r="M190" s="28">
        <v>41977.52</v>
      </c>
      <c r="N190" s="29" t="s">
        <v>601</v>
      </c>
      <c r="O190" s="8" t="s">
        <v>593</v>
      </c>
      <c r="P190" s="8" t="s">
        <v>97</v>
      </c>
      <c r="Q190" s="8" t="s">
        <v>602</v>
      </c>
      <c r="R190" s="9">
        <v>43221</v>
      </c>
      <c r="S190" s="9">
        <v>43221</v>
      </c>
      <c r="T190" s="8">
        <v>5</v>
      </c>
      <c r="U190" s="8" t="str">
        <f t="shared" si="16"/>
        <v>May</v>
      </c>
      <c r="V190">
        <f t="shared" si="13"/>
        <v>5</v>
      </c>
      <c r="W190" s="8" t="str">
        <f t="shared" si="14"/>
        <v>May</v>
      </c>
    </row>
    <row r="191" spans="1:23" x14ac:dyDescent="0.55000000000000004">
      <c r="A191" t="str">
        <f t="shared" si="12"/>
        <v>MayMayChina - DECI NC</v>
      </c>
      <c r="B191" s="3" t="s">
        <v>20</v>
      </c>
      <c r="C191" s="26" t="s">
        <v>21</v>
      </c>
      <c r="D191" s="26" t="s">
        <v>599</v>
      </c>
      <c r="E191" s="27">
        <v>43231</v>
      </c>
      <c r="F191" s="26" t="s">
        <v>332</v>
      </c>
      <c r="G191" s="26" t="s">
        <v>47</v>
      </c>
      <c r="H191" s="26" t="s">
        <v>600</v>
      </c>
      <c r="I191" s="26" t="s">
        <v>26</v>
      </c>
      <c r="J191" s="26" t="s">
        <v>27</v>
      </c>
      <c r="K191" s="28">
        <v>1354.11</v>
      </c>
      <c r="L191" s="28">
        <v>0</v>
      </c>
      <c r="M191" s="28">
        <v>1354.11</v>
      </c>
      <c r="N191" s="29" t="s">
        <v>601</v>
      </c>
      <c r="O191" s="8" t="s">
        <v>593</v>
      </c>
      <c r="P191" s="8" t="s">
        <v>97</v>
      </c>
      <c r="Q191" s="8" t="s">
        <v>602</v>
      </c>
      <c r="R191" s="9">
        <v>43221</v>
      </c>
      <c r="S191" s="9">
        <v>43221</v>
      </c>
      <c r="T191" s="8">
        <v>5</v>
      </c>
      <c r="U191" s="8" t="str">
        <f t="shared" si="16"/>
        <v>May</v>
      </c>
      <c r="V191">
        <f t="shared" si="13"/>
        <v>5</v>
      </c>
      <c r="W191" s="8" t="str">
        <f t="shared" si="14"/>
        <v>May</v>
      </c>
    </row>
    <row r="192" spans="1:23" x14ac:dyDescent="0.55000000000000004">
      <c r="A192" t="str">
        <f t="shared" si="12"/>
        <v>MayMayHong Kong - DECI NC</v>
      </c>
      <c r="B192" s="3" t="s">
        <v>20</v>
      </c>
      <c r="C192" s="26" t="s">
        <v>21</v>
      </c>
      <c r="D192" s="26" t="s">
        <v>603</v>
      </c>
      <c r="E192" s="27">
        <v>43231</v>
      </c>
      <c r="F192" s="26" t="s">
        <v>332</v>
      </c>
      <c r="G192" s="26" t="s">
        <v>47</v>
      </c>
      <c r="H192" s="26" t="s">
        <v>604</v>
      </c>
      <c r="I192" s="26" t="s">
        <v>26</v>
      </c>
      <c r="J192" s="26" t="s">
        <v>27</v>
      </c>
      <c r="K192" s="28">
        <v>62.36</v>
      </c>
      <c r="L192" s="28">
        <v>0</v>
      </c>
      <c r="M192" s="28">
        <v>62.36</v>
      </c>
      <c r="N192" s="29" t="s">
        <v>605</v>
      </c>
      <c r="O192" s="8" t="s">
        <v>606</v>
      </c>
      <c r="P192" s="8" t="s">
        <v>92</v>
      </c>
      <c r="Q192" s="8"/>
      <c r="R192" s="9">
        <v>43221</v>
      </c>
      <c r="S192" s="9">
        <v>43221</v>
      </c>
      <c r="T192" s="8">
        <v>5</v>
      </c>
      <c r="U192" s="8" t="str">
        <f t="shared" si="16"/>
        <v>May</v>
      </c>
      <c r="V192">
        <f t="shared" si="13"/>
        <v>5</v>
      </c>
      <c r="W192" s="8" t="str">
        <f t="shared" si="14"/>
        <v>May</v>
      </c>
    </row>
    <row r="193" spans="1:23" x14ac:dyDescent="0.55000000000000004">
      <c r="A193" t="str">
        <f t="shared" si="12"/>
        <v>MayMayHong Kong - DECI NC</v>
      </c>
      <c r="B193" s="3" t="s">
        <v>20</v>
      </c>
      <c r="C193" s="26" t="s">
        <v>21</v>
      </c>
      <c r="D193" s="26" t="s">
        <v>603</v>
      </c>
      <c r="E193" s="27">
        <v>43231</v>
      </c>
      <c r="F193" s="26" t="s">
        <v>332</v>
      </c>
      <c r="G193" s="26" t="s">
        <v>47</v>
      </c>
      <c r="H193" s="26" t="s">
        <v>604</v>
      </c>
      <c r="I193" s="26" t="s">
        <v>26</v>
      </c>
      <c r="J193" s="26" t="s">
        <v>27</v>
      </c>
      <c r="K193" s="28">
        <v>8527.9500000000007</v>
      </c>
      <c r="L193" s="28">
        <v>0</v>
      </c>
      <c r="M193" s="28">
        <v>8527.9500000000007</v>
      </c>
      <c r="N193" s="29" t="s">
        <v>605</v>
      </c>
      <c r="O193" s="8" t="s">
        <v>606</v>
      </c>
      <c r="P193" s="8" t="s">
        <v>92</v>
      </c>
      <c r="Q193" s="8"/>
      <c r="R193" s="9">
        <v>43221</v>
      </c>
      <c r="S193" s="9">
        <v>43221</v>
      </c>
      <c r="T193" s="8">
        <v>5</v>
      </c>
      <c r="U193" s="8" t="str">
        <f t="shared" si="16"/>
        <v>May</v>
      </c>
      <c r="V193">
        <f t="shared" si="13"/>
        <v>5</v>
      </c>
      <c r="W193" s="8" t="str">
        <f t="shared" si="14"/>
        <v>May</v>
      </c>
    </row>
    <row r="194" spans="1:23" x14ac:dyDescent="0.55000000000000004">
      <c r="A194" t="str">
        <f t="shared" si="12"/>
        <v>MayAprilSan Francisco - Canada</v>
      </c>
      <c r="B194" s="3" t="s">
        <v>20</v>
      </c>
      <c r="C194" s="26" t="s">
        <v>21</v>
      </c>
      <c r="D194" s="26" t="s">
        <v>607</v>
      </c>
      <c r="E194" s="27">
        <v>43237</v>
      </c>
      <c r="F194" s="26" t="s">
        <v>332</v>
      </c>
      <c r="G194" s="26" t="s">
        <v>47</v>
      </c>
      <c r="H194" s="26" t="s">
        <v>608</v>
      </c>
      <c r="I194" s="26" t="s">
        <v>26</v>
      </c>
      <c r="J194" s="26" t="s">
        <v>27</v>
      </c>
      <c r="K194" s="28">
        <v>181.25</v>
      </c>
      <c r="L194" s="28">
        <v>0</v>
      </c>
      <c r="M194" s="28">
        <v>181.25</v>
      </c>
      <c r="N194" s="29" t="s">
        <v>609</v>
      </c>
      <c r="O194" s="8" t="s">
        <v>610</v>
      </c>
      <c r="P194" s="8" t="s">
        <v>435</v>
      </c>
      <c r="Q194" s="8" t="s">
        <v>611</v>
      </c>
      <c r="R194" s="9">
        <v>43191</v>
      </c>
      <c r="S194" s="9">
        <v>43191</v>
      </c>
      <c r="T194" s="8">
        <v>5</v>
      </c>
      <c r="U194" s="8" t="str">
        <f t="shared" si="16"/>
        <v>May</v>
      </c>
      <c r="V194">
        <f t="shared" si="13"/>
        <v>4</v>
      </c>
      <c r="W194" s="8" t="str">
        <f t="shared" si="14"/>
        <v>April</v>
      </c>
    </row>
    <row r="195" spans="1:23" x14ac:dyDescent="0.55000000000000004">
      <c r="A195" t="str">
        <f t="shared" ref="A195:A258" si="17">U195&amp;W195&amp;P195</f>
        <v>MayMayHong Kong - Phillips WI</v>
      </c>
      <c r="B195" s="3" t="s">
        <v>20</v>
      </c>
      <c r="C195" s="26" t="s">
        <v>21</v>
      </c>
      <c r="D195" s="26" t="s">
        <v>612</v>
      </c>
      <c r="E195" s="27">
        <v>43238</v>
      </c>
      <c r="F195" s="26" t="s">
        <v>332</v>
      </c>
      <c r="G195" s="26" t="s">
        <v>85</v>
      </c>
      <c r="H195" s="26" t="s">
        <v>613</v>
      </c>
      <c r="I195" s="26" t="s">
        <v>26</v>
      </c>
      <c r="J195" s="26" t="s">
        <v>27</v>
      </c>
      <c r="K195" s="28">
        <v>7128.67</v>
      </c>
      <c r="L195" s="28">
        <v>0</v>
      </c>
      <c r="M195" s="28">
        <v>7128.67</v>
      </c>
      <c r="N195" s="29" t="s">
        <v>614</v>
      </c>
      <c r="O195" s="8" t="s">
        <v>615</v>
      </c>
      <c r="P195" s="8" t="s">
        <v>65</v>
      </c>
      <c r="Q195" s="8"/>
      <c r="R195" s="9">
        <v>43221</v>
      </c>
      <c r="S195" s="9">
        <v>43221</v>
      </c>
      <c r="T195" s="8">
        <v>5</v>
      </c>
      <c r="U195" s="8" t="str">
        <f t="shared" si="16"/>
        <v>May</v>
      </c>
      <c r="V195">
        <f t="shared" ref="V195:V258" si="18">MONTH(S195)</f>
        <v>5</v>
      </c>
      <c r="W195" s="8" t="str">
        <f t="shared" ref="W195:W258" si="19">IF(V195=6,"June",IF(V195=5,"May",IF(V195=4,"April",IF(V195=3,"March",IF(V195=7,"July",IF(V195=2,"February",0))))))</f>
        <v>May</v>
      </c>
    </row>
    <row r="196" spans="1:23" x14ac:dyDescent="0.55000000000000004">
      <c r="A196" t="str">
        <f t="shared" si="17"/>
        <v>MayMayHong Kong - Flex IL</v>
      </c>
      <c r="B196" s="3" t="s">
        <v>20</v>
      </c>
      <c r="C196" s="26" t="s">
        <v>21</v>
      </c>
      <c r="D196" s="26" t="s">
        <v>616</v>
      </c>
      <c r="E196" s="27">
        <v>43238</v>
      </c>
      <c r="F196" s="26" t="s">
        <v>332</v>
      </c>
      <c r="G196" s="26" t="s">
        <v>104</v>
      </c>
      <c r="H196" s="26" t="s">
        <v>617</v>
      </c>
      <c r="I196" s="26" t="s">
        <v>26</v>
      </c>
      <c r="J196" s="26" t="s">
        <v>27</v>
      </c>
      <c r="K196" s="28">
        <v>9580.94</v>
      </c>
      <c r="L196" s="28">
        <v>0</v>
      </c>
      <c r="M196" s="28">
        <v>9580.94</v>
      </c>
      <c r="N196" s="29" t="s">
        <v>618</v>
      </c>
      <c r="O196" s="8" t="s">
        <v>619</v>
      </c>
      <c r="P196" s="8" t="s">
        <v>111</v>
      </c>
      <c r="Q196" s="8"/>
      <c r="R196" s="9">
        <v>43221</v>
      </c>
      <c r="S196" s="9">
        <v>43221</v>
      </c>
      <c r="T196" s="8">
        <v>5</v>
      </c>
      <c r="U196" s="8" t="str">
        <f t="shared" si="16"/>
        <v>May</v>
      </c>
      <c r="V196">
        <f t="shared" si="18"/>
        <v>5</v>
      </c>
      <c r="W196" s="8" t="str">
        <f t="shared" si="19"/>
        <v>May</v>
      </c>
    </row>
    <row r="197" spans="1:23" x14ac:dyDescent="0.55000000000000004">
      <c r="A197" t="str">
        <f t="shared" si="17"/>
        <v>MayMayHong Kong - Phillips WI</v>
      </c>
      <c r="B197" s="3" t="s">
        <v>20</v>
      </c>
      <c r="C197" s="26" t="s">
        <v>21</v>
      </c>
      <c r="D197" s="26" t="s">
        <v>620</v>
      </c>
      <c r="E197" s="27">
        <v>43238</v>
      </c>
      <c r="F197" s="26" t="s">
        <v>332</v>
      </c>
      <c r="G197" s="26" t="s">
        <v>85</v>
      </c>
      <c r="H197" s="26" t="s">
        <v>621</v>
      </c>
      <c r="I197" s="26" t="s">
        <v>26</v>
      </c>
      <c r="J197" s="26" t="s">
        <v>27</v>
      </c>
      <c r="K197" s="28">
        <v>11236.45</v>
      </c>
      <c r="L197" s="28">
        <v>0</v>
      </c>
      <c r="M197" s="28">
        <v>11236.45</v>
      </c>
      <c r="N197" s="29" t="s">
        <v>622</v>
      </c>
      <c r="O197" s="8" t="s">
        <v>623</v>
      </c>
      <c r="P197" s="8" t="s">
        <v>65</v>
      </c>
      <c r="Q197" s="8" t="s">
        <v>624</v>
      </c>
      <c r="R197" s="9">
        <v>43221</v>
      </c>
      <c r="S197" s="9">
        <v>43221</v>
      </c>
      <c r="T197" s="8">
        <v>5</v>
      </c>
      <c r="U197" s="8" t="str">
        <f t="shared" si="16"/>
        <v>May</v>
      </c>
      <c r="V197">
        <f t="shared" si="18"/>
        <v>5</v>
      </c>
      <c r="W197" s="8" t="str">
        <f t="shared" si="19"/>
        <v>May</v>
      </c>
    </row>
    <row r="198" spans="1:23" x14ac:dyDescent="0.55000000000000004">
      <c r="A198" t="str">
        <f t="shared" si="17"/>
        <v>MayMayHong Kong - DECI NC</v>
      </c>
      <c r="B198" s="3" t="s">
        <v>20</v>
      </c>
      <c r="C198" s="26" t="s">
        <v>21</v>
      </c>
      <c r="D198" s="26" t="s">
        <v>625</v>
      </c>
      <c r="E198" s="27">
        <v>43238</v>
      </c>
      <c r="F198" s="26" t="s">
        <v>332</v>
      </c>
      <c r="G198" s="26" t="s">
        <v>47</v>
      </c>
      <c r="H198" s="26" t="s">
        <v>626</v>
      </c>
      <c r="I198" s="26" t="s">
        <v>26</v>
      </c>
      <c r="J198" s="26" t="s">
        <v>27</v>
      </c>
      <c r="K198" s="28">
        <v>89.07</v>
      </c>
      <c r="L198" s="28">
        <v>0</v>
      </c>
      <c r="M198" s="28">
        <v>89.07</v>
      </c>
      <c r="N198" s="29" t="s">
        <v>627</v>
      </c>
      <c r="O198" s="8" t="s">
        <v>628</v>
      </c>
      <c r="P198" s="8" t="s">
        <v>92</v>
      </c>
      <c r="Q198" s="8"/>
      <c r="R198" s="9">
        <v>43221</v>
      </c>
      <c r="S198" s="9">
        <v>43221</v>
      </c>
      <c r="T198" s="8">
        <v>5</v>
      </c>
      <c r="U198" s="8" t="str">
        <f t="shared" si="16"/>
        <v>May</v>
      </c>
      <c r="V198">
        <f t="shared" si="18"/>
        <v>5</v>
      </c>
      <c r="W198" s="8" t="str">
        <f t="shared" si="19"/>
        <v>May</v>
      </c>
    </row>
    <row r="199" spans="1:23" x14ac:dyDescent="0.55000000000000004">
      <c r="A199" t="str">
        <f t="shared" si="17"/>
        <v>MayMayHong Kong - DECI NC</v>
      </c>
      <c r="B199" s="3" t="s">
        <v>20</v>
      </c>
      <c r="C199" s="26" t="s">
        <v>21</v>
      </c>
      <c r="D199" s="26" t="s">
        <v>625</v>
      </c>
      <c r="E199" s="27">
        <v>43238</v>
      </c>
      <c r="F199" s="26" t="s">
        <v>332</v>
      </c>
      <c r="G199" s="26" t="s">
        <v>47</v>
      </c>
      <c r="H199" s="26" t="s">
        <v>626</v>
      </c>
      <c r="I199" s="26" t="s">
        <v>26</v>
      </c>
      <c r="J199" s="26" t="s">
        <v>27</v>
      </c>
      <c r="K199" s="28">
        <v>12181.19</v>
      </c>
      <c r="L199" s="28">
        <v>0</v>
      </c>
      <c r="M199" s="28">
        <v>12181.19</v>
      </c>
      <c r="N199" s="29" t="s">
        <v>627</v>
      </c>
      <c r="O199" s="8" t="s">
        <v>628</v>
      </c>
      <c r="P199" s="8" t="s">
        <v>92</v>
      </c>
      <c r="Q199" s="8"/>
      <c r="R199" s="9">
        <v>43221</v>
      </c>
      <c r="S199" s="9">
        <v>43221</v>
      </c>
      <c r="T199" s="8">
        <v>5</v>
      </c>
      <c r="U199" s="8" t="str">
        <f t="shared" si="16"/>
        <v>May</v>
      </c>
      <c r="V199">
        <f t="shared" si="18"/>
        <v>5</v>
      </c>
      <c r="W199" s="8" t="str">
        <f t="shared" si="19"/>
        <v>May</v>
      </c>
    </row>
    <row r="200" spans="1:23" x14ac:dyDescent="0.55000000000000004">
      <c r="A200" t="str">
        <f t="shared" si="17"/>
        <v>MayMayChina - DECI NC</v>
      </c>
      <c r="B200" s="3" t="s">
        <v>20</v>
      </c>
      <c r="C200" s="26" t="s">
        <v>21</v>
      </c>
      <c r="D200" s="26" t="s">
        <v>629</v>
      </c>
      <c r="E200" s="27">
        <v>43238</v>
      </c>
      <c r="F200" s="26" t="s">
        <v>332</v>
      </c>
      <c r="G200" s="26" t="s">
        <v>47</v>
      </c>
      <c r="H200" s="26" t="s">
        <v>630</v>
      </c>
      <c r="I200" s="26" t="s">
        <v>26</v>
      </c>
      <c r="J200" s="26" t="s">
        <v>27</v>
      </c>
      <c r="K200" s="28">
        <v>7039.96</v>
      </c>
      <c r="L200" s="28">
        <v>0</v>
      </c>
      <c r="M200" s="28">
        <v>7039.96</v>
      </c>
      <c r="N200" s="29" t="s">
        <v>631</v>
      </c>
      <c r="O200" s="8" t="s">
        <v>632</v>
      </c>
      <c r="P200" s="8" t="s">
        <v>97</v>
      </c>
      <c r="Q200" s="8" t="s">
        <v>633</v>
      </c>
      <c r="R200" s="9">
        <v>43221</v>
      </c>
      <c r="S200" s="9">
        <v>43221</v>
      </c>
      <c r="T200" s="8">
        <v>5</v>
      </c>
      <c r="U200" s="8" t="str">
        <f t="shared" si="16"/>
        <v>May</v>
      </c>
      <c r="V200">
        <f t="shared" si="18"/>
        <v>5</v>
      </c>
      <c r="W200" s="8" t="str">
        <f t="shared" si="19"/>
        <v>May</v>
      </c>
    </row>
    <row r="201" spans="1:23" x14ac:dyDescent="0.55000000000000004">
      <c r="A201" t="str">
        <f t="shared" si="17"/>
        <v>MayMayChina - DECI NC</v>
      </c>
      <c r="B201" s="3" t="s">
        <v>20</v>
      </c>
      <c r="C201" s="26" t="s">
        <v>21</v>
      </c>
      <c r="D201" s="26" t="s">
        <v>629</v>
      </c>
      <c r="E201" s="27">
        <v>43238</v>
      </c>
      <c r="F201" s="26" t="s">
        <v>332</v>
      </c>
      <c r="G201" s="26" t="s">
        <v>47</v>
      </c>
      <c r="H201" s="26" t="s">
        <v>630</v>
      </c>
      <c r="I201" s="26" t="s">
        <v>26</v>
      </c>
      <c r="J201" s="26" t="s">
        <v>27</v>
      </c>
      <c r="K201" s="28">
        <v>40673.599999999999</v>
      </c>
      <c r="L201" s="28">
        <v>0</v>
      </c>
      <c r="M201" s="28">
        <v>40673.599999999999</v>
      </c>
      <c r="N201" s="29" t="s">
        <v>631</v>
      </c>
      <c r="O201" s="8" t="s">
        <v>632</v>
      </c>
      <c r="P201" s="8" t="s">
        <v>97</v>
      </c>
      <c r="Q201" s="8" t="s">
        <v>633</v>
      </c>
      <c r="R201" s="9">
        <v>43221</v>
      </c>
      <c r="S201" s="9">
        <v>43221</v>
      </c>
      <c r="T201" s="8">
        <v>5</v>
      </c>
      <c r="U201" s="8" t="str">
        <f t="shared" si="16"/>
        <v>May</v>
      </c>
      <c r="V201">
        <f t="shared" si="18"/>
        <v>5</v>
      </c>
      <c r="W201" s="8" t="str">
        <f t="shared" si="19"/>
        <v>May</v>
      </c>
    </row>
    <row r="202" spans="1:23" x14ac:dyDescent="0.55000000000000004">
      <c r="A202" t="str">
        <f t="shared" si="17"/>
        <v>MayMayChina - DCL KY</v>
      </c>
      <c r="B202" s="3" t="s">
        <v>20</v>
      </c>
      <c r="C202" s="26" t="s">
        <v>21</v>
      </c>
      <c r="D202" s="26" t="s">
        <v>634</v>
      </c>
      <c r="E202" s="27">
        <v>43238</v>
      </c>
      <c r="F202" s="26" t="s">
        <v>332</v>
      </c>
      <c r="G202" s="26" t="s">
        <v>36</v>
      </c>
      <c r="H202" s="26" t="s">
        <v>635</v>
      </c>
      <c r="I202" s="26" t="s">
        <v>26</v>
      </c>
      <c r="J202" s="26" t="s">
        <v>27</v>
      </c>
      <c r="K202" s="28">
        <v>18897.03</v>
      </c>
      <c r="L202" s="28">
        <v>0</v>
      </c>
      <c r="M202" s="28">
        <v>18897.03</v>
      </c>
      <c r="N202" s="29" t="s">
        <v>636</v>
      </c>
      <c r="O202" s="8" t="s">
        <v>637</v>
      </c>
      <c r="P202" s="8" t="s">
        <v>82</v>
      </c>
      <c r="Q202" s="8"/>
      <c r="R202" s="9">
        <v>43221</v>
      </c>
      <c r="S202" s="9">
        <v>43221</v>
      </c>
      <c r="T202" s="8">
        <v>5</v>
      </c>
      <c r="U202" s="8" t="str">
        <f t="shared" si="16"/>
        <v>May</v>
      </c>
      <c r="V202">
        <f t="shared" si="18"/>
        <v>5</v>
      </c>
      <c r="W202" s="8" t="str">
        <f t="shared" si="19"/>
        <v>May</v>
      </c>
    </row>
    <row r="203" spans="1:23" x14ac:dyDescent="0.55000000000000004">
      <c r="A203" t="str">
        <f t="shared" si="17"/>
        <v>MayMayChina - DCL KY</v>
      </c>
      <c r="B203" s="3" t="s">
        <v>20</v>
      </c>
      <c r="C203" s="26" t="s">
        <v>21</v>
      </c>
      <c r="D203" s="26" t="s">
        <v>634</v>
      </c>
      <c r="E203" s="27">
        <v>43238</v>
      </c>
      <c r="F203" s="26" t="s">
        <v>332</v>
      </c>
      <c r="G203" s="26" t="s">
        <v>36</v>
      </c>
      <c r="H203" s="26" t="s">
        <v>635</v>
      </c>
      <c r="I203" s="26" t="s">
        <v>26</v>
      </c>
      <c r="J203" s="26" t="s">
        <v>27</v>
      </c>
      <c r="K203" s="28">
        <v>4112.25</v>
      </c>
      <c r="L203" s="28">
        <v>0</v>
      </c>
      <c r="M203" s="28">
        <v>4112.25</v>
      </c>
      <c r="N203" s="29" t="s">
        <v>636</v>
      </c>
      <c r="O203" s="8" t="s">
        <v>637</v>
      </c>
      <c r="P203" s="8" t="s">
        <v>82</v>
      </c>
      <c r="Q203" s="8"/>
      <c r="R203" s="9">
        <v>43221</v>
      </c>
      <c r="S203" s="9">
        <v>43221</v>
      </c>
      <c r="T203" s="8">
        <v>5</v>
      </c>
      <c r="U203" s="8" t="str">
        <f t="shared" si="16"/>
        <v>May</v>
      </c>
      <c r="V203">
        <f t="shared" si="18"/>
        <v>5</v>
      </c>
      <c r="W203" s="8" t="str">
        <f t="shared" si="19"/>
        <v>May</v>
      </c>
    </row>
    <row r="204" spans="1:23" x14ac:dyDescent="0.55000000000000004">
      <c r="A204" t="str">
        <f t="shared" si="17"/>
        <v>MayMayHong Kong - DECI NC</v>
      </c>
      <c r="B204" s="3" t="s">
        <v>20</v>
      </c>
      <c r="C204" s="26" t="s">
        <v>21</v>
      </c>
      <c r="D204" s="26" t="s">
        <v>638</v>
      </c>
      <c r="E204" s="27">
        <v>43243</v>
      </c>
      <c r="F204" s="26" t="s">
        <v>332</v>
      </c>
      <c r="G204" s="26" t="s">
        <v>47</v>
      </c>
      <c r="H204" s="26" t="s">
        <v>639</v>
      </c>
      <c r="I204" s="26" t="s">
        <v>26</v>
      </c>
      <c r="J204" s="26" t="s">
        <v>27</v>
      </c>
      <c r="K204" s="28">
        <v>9951.08</v>
      </c>
      <c r="L204" s="28">
        <v>0</v>
      </c>
      <c r="M204" s="28">
        <v>9951.08</v>
      </c>
      <c r="N204" s="29" t="s">
        <v>640</v>
      </c>
      <c r="O204" s="8" t="s">
        <v>606</v>
      </c>
      <c r="P204" s="8" t="s">
        <v>92</v>
      </c>
      <c r="Q204" s="8" t="s">
        <v>641</v>
      </c>
      <c r="R204" s="9">
        <v>43221</v>
      </c>
      <c r="S204" s="9">
        <v>43221</v>
      </c>
      <c r="T204" s="8">
        <v>5</v>
      </c>
      <c r="U204" s="8" t="str">
        <f t="shared" si="16"/>
        <v>May</v>
      </c>
      <c r="V204">
        <f t="shared" si="18"/>
        <v>5</v>
      </c>
      <c r="W204" s="8" t="str">
        <f t="shared" si="19"/>
        <v>May</v>
      </c>
    </row>
    <row r="205" spans="1:23" x14ac:dyDescent="0.55000000000000004">
      <c r="A205" t="str">
        <f t="shared" si="17"/>
        <v>MayMayHong Kong - DECI NC</v>
      </c>
      <c r="B205" s="3" t="s">
        <v>20</v>
      </c>
      <c r="C205" s="26" t="s">
        <v>21</v>
      </c>
      <c r="D205" s="26" t="s">
        <v>638</v>
      </c>
      <c r="E205" s="27">
        <v>43243</v>
      </c>
      <c r="F205" s="26" t="s">
        <v>332</v>
      </c>
      <c r="G205" s="26" t="s">
        <v>47</v>
      </c>
      <c r="H205" s="26" t="s">
        <v>639</v>
      </c>
      <c r="I205" s="26" t="s">
        <v>26</v>
      </c>
      <c r="J205" s="26" t="s">
        <v>27</v>
      </c>
      <c r="K205" s="28">
        <v>4569.37</v>
      </c>
      <c r="L205" s="28">
        <v>0</v>
      </c>
      <c r="M205" s="28">
        <v>4569.37</v>
      </c>
      <c r="N205" s="29" t="s">
        <v>640</v>
      </c>
      <c r="O205" s="8" t="s">
        <v>606</v>
      </c>
      <c r="P205" s="8" t="s">
        <v>92</v>
      </c>
      <c r="Q205" s="8" t="s">
        <v>641</v>
      </c>
      <c r="R205" s="9">
        <v>43221</v>
      </c>
      <c r="S205" s="9">
        <v>43221</v>
      </c>
      <c r="T205" s="8">
        <v>5</v>
      </c>
      <c r="U205" s="8" t="str">
        <f t="shared" si="16"/>
        <v>May</v>
      </c>
      <c r="V205">
        <f t="shared" si="18"/>
        <v>5</v>
      </c>
      <c r="W205" s="8" t="str">
        <f t="shared" si="19"/>
        <v>May</v>
      </c>
    </row>
    <row r="206" spans="1:23" x14ac:dyDescent="0.55000000000000004">
      <c r="A206" t="str">
        <f t="shared" si="17"/>
        <v>MayMayHong Kong - DECI NC</v>
      </c>
      <c r="B206" s="3" t="s">
        <v>20</v>
      </c>
      <c r="C206" s="26" t="s">
        <v>21</v>
      </c>
      <c r="D206" s="26" t="s">
        <v>638</v>
      </c>
      <c r="E206" s="27">
        <v>43243</v>
      </c>
      <c r="F206" s="26" t="s">
        <v>332</v>
      </c>
      <c r="G206" s="26" t="s">
        <v>47</v>
      </c>
      <c r="H206" s="26" t="s">
        <v>639</v>
      </c>
      <c r="I206" s="26" t="s">
        <v>26</v>
      </c>
      <c r="J206" s="26" t="s">
        <v>27</v>
      </c>
      <c r="K206" s="28">
        <v>1763.78</v>
      </c>
      <c r="L206" s="28">
        <v>0</v>
      </c>
      <c r="M206" s="28">
        <v>1763.78</v>
      </c>
      <c r="N206" s="29" t="s">
        <v>640</v>
      </c>
      <c r="O206" s="8" t="s">
        <v>606</v>
      </c>
      <c r="P206" s="8" t="s">
        <v>92</v>
      </c>
      <c r="Q206" s="8" t="s">
        <v>641</v>
      </c>
      <c r="R206" s="9">
        <v>43221</v>
      </c>
      <c r="S206" s="9">
        <v>43221</v>
      </c>
      <c r="T206" s="8">
        <v>5</v>
      </c>
      <c r="U206" s="8" t="str">
        <f t="shared" si="16"/>
        <v>May</v>
      </c>
      <c r="V206">
        <f t="shared" si="18"/>
        <v>5</v>
      </c>
      <c r="W206" s="8" t="str">
        <f t="shared" si="19"/>
        <v>May</v>
      </c>
    </row>
    <row r="207" spans="1:23" x14ac:dyDescent="0.55000000000000004">
      <c r="A207" t="str">
        <f t="shared" si="17"/>
        <v>MayMayAFG Suzho - DECI NC</v>
      </c>
      <c r="B207" s="3" t="s">
        <v>20</v>
      </c>
      <c r="C207" s="26" t="s">
        <v>241</v>
      </c>
      <c r="D207" s="26"/>
      <c r="E207" s="27">
        <v>43230</v>
      </c>
      <c r="F207" s="26" t="s">
        <v>332</v>
      </c>
      <c r="G207" s="26" t="s">
        <v>800</v>
      </c>
      <c r="H207" s="26"/>
      <c r="I207" s="26"/>
      <c r="J207" s="26"/>
      <c r="K207" s="28">
        <v>-6065.83</v>
      </c>
      <c r="L207" s="28">
        <v>0</v>
      </c>
      <c r="M207" s="28">
        <v>-6065.83</v>
      </c>
      <c r="N207" s="29"/>
      <c r="O207" s="8" t="s">
        <v>799</v>
      </c>
      <c r="P207" s="8" t="s">
        <v>245</v>
      </c>
      <c r="Q207" s="8" t="s">
        <v>246</v>
      </c>
      <c r="R207" s="9">
        <v>43191</v>
      </c>
      <c r="S207" s="9">
        <v>43221</v>
      </c>
      <c r="T207" s="8">
        <v>5</v>
      </c>
      <c r="U207" s="8" t="str">
        <f t="shared" si="16"/>
        <v>May</v>
      </c>
      <c r="V207">
        <f t="shared" si="18"/>
        <v>5</v>
      </c>
      <c r="W207" s="8" t="str">
        <f t="shared" si="19"/>
        <v>May</v>
      </c>
    </row>
    <row r="208" spans="1:23" x14ac:dyDescent="0.55000000000000004">
      <c r="A208" t="str">
        <f t="shared" si="17"/>
        <v>MayMayAFG Suzho - DCL KY</v>
      </c>
      <c r="B208" s="3" t="s">
        <v>20</v>
      </c>
      <c r="C208" s="26" t="s">
        <v>241</v>
      </c>
      <c r="D208" s="26"/>
      <c r="E208" s="27">
        <v>43239</v>
      </c>
      <c r="F208" s="26" t="s">
        <v>332</v>
      </c>
      <c r="G208" s="26" t="s">
        <v>800</v>
      </c>
      <c r="H208" s="26"/>
      <c r="I208" s="26"/>
      <c r="J208" s="26"/>
      <c r="K208" s="28">
        <v>-73190.63</v>
      </c>
      <c r="L208" s="28">
        <v>0</v>
      </c>
      <c r="M208" s="28">
        <v>-73190.63</v>
      </c>
      <c r="N208" s="29"/>
      <c r="O208" s="8" t="s">
        <v>801</v>
      </c>
      <c r="P208" s="8" t="s">
        <v>247</v>
      </c>
      <c r="Q208" s="8" t="s">
        <v>248</v>
      </c>
      <c r="R208" s="9">
        <v>43221</v>
      </c>
      <c r="S208" s="9">
        <v>43221</v>
      </c>
      <c r="T208" s="8">
        <v>5</v>
      </c>
      <c r="U208" s="8" t="str">
        <f t="shared" si="16"/>
        <v>May</v>
      </c>
      <c r="V208">
        <f t="shared" si="18"/>
        <v>5</v>
      </c>
      <c r="W208" s="8" t="str">
        <f t="shared" si="19"/>
        <v>May</v>
      </c>
    </row>
    <row r="209" spans="1:23" x14ac:dyDescent="0.55000000000000004">
      <c r="A209" t="str">
        <f t="shared" si="17"/>
        <v>MayMayAFG Suzho - DCL KY</v>
      </c>
      <c r="B209" s="3" t="s">
        <v>20</v>
      </c>
      <c r="C209" s="26" t="s">
        <v>241</v>
      </c>
      <c r="D209" s="26"/>
      <c r="E209" s="27">
        <v>43246</v>
      </c>
      <c r="F209" s="26" t="s">
        <v>332</v>
      </c>
      <c r="G209" s="26" t="s">
        <v>800</v>
      </c>
      <c r="H209" s="26"/>
      <c r="I209" s="26"/>
      <c r="J209" s="26"/>
      <c r="K209" s="28">
        <v>-9984.5300000000007</v>
      </c>
      <c r="L209" s="28">
        <v>0</v>
      </c>
      <c r="M209" s="28">
        <v>-9984.5300000000007</v>
      </c>
      <c r="N209" s="29"/>
      <c r="O209" s="8" t="s">
        <v>802</v>
      </c>
      <c r="P209" s="8" t="s">
        <v>247</v>
      </c>
      <c r="Q209" s="8" t="s">
        <v>249</v>
      </c>
      <c r="R209" s="9">
        <v>43221</v>
      </c>
      <c r="S209" s="9">
        <v>43221</v>
      </c>
      <c r="T209" s="8">
        <v>5</v>
      </c>
      <c r="U209" s="8" t="str">
        <f t="shared" si="16"/>
        <v>May</v>
      </c>
      <c r="V209">
        <f t="shared" si="18"/>
        <v>5</v>
      </c>
      <c r="W209" s="8" t="str">
        <f t="shared" si="19"/>
        <v>May</v>
      </c>
    </row>
    <row r="210" spans="1:23" x14ac:dyDescent="0.55000000000000004">
      <c r="A210" t="str">
        <f t="shared" si="17"/>
        <v>MayMayHong Kong - DECI NC</v>
      </c>
      <c r="B210" s="3" t="s">
        <v>20</v>
      </c>
      <c r="C210" s="26" t="s">
        <v>241</v>
      </c>
      <c r="D210" s="26"/>
      <c r="E210" s="27">
        <v>43246</v>
      </c>
      <c r="F210" s="26" t="s">
        <v>332</v>
      </c>
      <c r="G210" s="26" t="s">
        <v>800</v>
      </c>
      <c r="H210" s="26"/>
      <c r="I210" s="26"/>
      <c r="J210" s="26"/>
      <c r="K210" s="28">
        <v>-7102.8</v>
      </c>
      <c r="L210" s="28">
        <v>0</v>
      </c>
      <c r="M210" s="28">
        <v>-7102.8</v>
      </c>
      <c r="N210" s="29"/>
      <c r="O210" s="8" t="s">
        <v>803</v>
      </c>
      <c r="P210" s="8" t="s">
        <v>92</v>
      </c>
      <c r="Q210" s="8" t="s">
        <v>250</v>
      </c>
      <c r="R210" s="9">
        <v>43221</v>
      </c>
      <c r="S210" s="9">
        <v>43221</v>
      </c>
      <c r="T210" s="8">
        <v>5</v>
      </c>
      <c r="U210" s="8" t="str">
        <f t="shared" si="16"/>
        <v>May</v>
      </c>
      <c r="V210">
        <f t="shared" si="18"/>
        <v>5</v>
      </c>
      <c r="W210" s="8" t="str">
        <f t="shared" si="19"/>
        <v>May</v>
      </c>
    </row>
    <row r="211" spans="1:23" x14ac:dyDescent="0.55000000000000004">
      <c r="A211" t="str">
        <f t="shared" si="17"/>
        <v>MayMayAFG Suzho - DECI NC</v>
      </c>
      <c r="B211" s="3" t="s">
        <v>20</v>
      </c>
      <c r="C211" s="26" t="s">
        <v>241</v>
      </c>
      <c r="D211" s="26"/>
      <c r="E211" s="27">
        <v>43246</v>
      </c>
      <c r="F211" s="26" t="s">
        <v>332</v>
      </c>
      <c r="G211" s="26" t="s">
        <v>800</v>
      </c>
      <c r="H211" s="26"/>
      <c r="I211" s="26"/>
      <c r="J211" s="26"/>
      <c r="K211" s="28">
        <v>-57591.86</v>
      </c>
      <c r="L211" s="28">
        <v>0</v>
      </c>
      <c r="M211" s="28">
        <v>-57591.86</v>
      </c>
      <c r="N211" s="29"/>
      <c r="O211" s="8" t="s">
        <v>804</v>
      </c>
      <c r="P211" s="8" t="s">
        <v>245</v>
      </c>
      <c r="Q211" s="8" t="s">
        <v>251</v>
      </c>
      <c r="R211" s="9">
        <v>43221</v>
      </c>
      <c r="S211" s="9">
        <v>43221</v>
      </c>
      <c r="T211" s="8">
        <v>5</v>
      </c>
      <c r="U211" s="8" t="str">
        <f t="shared" si="16"/>
        <v>May</v>
      </c>
      <c r="V211">
        <f t="shared" si="18"/>
        <v>5</v>
      </c>
      <c r="W211" s="8" t="str">
        <f t="shared" si="19"/>
        <v>May</v>
      </c>
    </row>
    <row r="212" spans="1:23" x14ac:dyDescent="0.55000000000000004">
      <c r="A212" t="str">
        <f t="shared" si="17"/>
        <v>MayMayAFG Suzho - DCL KY</v>
      </c>
      <c r="B212" s="3" t="s">
        <v>20</v>
      </c>
      <c r="C212" s="26" t="s">
        <v>241</v>
      </c>
      <c r="D212" s="26"/>
      <c r="E212" s="27">
        <v>43246</v>
      </c>
      <c r="F212" s="26" t="s">
        <v>332</v>
      </c>
      <c r="G212" s="26" t="s">
        <v>800</v>
      </c>
      <c r="H212" s="26"/>
      <c r="I212" s="26"/>
      <c r="J212" s="26"/>
      <c r="K212" s="28">
        <v>-18009.23</v>
      </c>
      <c r="L212" s="28">
        <v>0</v>
      </c>
      <c r="M212" s="28">
        <v>-18009.23</v>
      </c>
      <c r="N212" s="29"/>
      <c r="O212" s="8" t="s">
        <v>805</v>
      </c>
      <c r="P212" s="8" t="s">
        <v>247</v>
      </c>
      <c r="Q212" s="8" t="s">
        <v>252</v>
      </c>
      <c r="R212" s="9">
        <v>43221</v>
      </c>
      <c r="S212" s="9">
        <v>43221</v>
      </c>
      <c r="T212" s="8">
        <v>5</v>
      </c>
      <c r="U212" s="8" t="str">
        <f t="shared" si="16"/>
        <v>May</v>
      </c>
      <c r="V212">
        <f t="shared" si="18"/>
        <v>5</v>
      </c>
      <c r="W212" s="8" t="str">
        <f t="shared" si="19"/>
        <v>May</v>
      </c>
    </row>
    <row r="213" spans="1:23" x14ac:dyDescent="0.55000000000000004">
      <c r="A213" t="str">
        <f t="shared" si="17"/>
        <v>MayMayAFG Suzho - DECI NC</v>
      </c>
      <c r="B213" s="3" t="s">
        <v>20</v>
      </c>
      <c r="C213" s="26" t="s">
        <v>241</v>
      </c>
      <c r="D213" s="26"/>
      <c r="E213" s="27">
        <v>43246</v>
      </c>
      <c r="F213" s="26" t="s">
        <v>332</v>
      </c>
      <c r="G213" s="26" t="s">
        <v>800</v>
      </c>
      <c r="H213" s="26"/>
      <c r="I213" s="26"/>
      <c r="J213" s="26"/>
      <c r="K213" s="28">
        <v>-49366.27</v>
      </c>
      <c r="L213" s="28">
        <v>0</v>
      </c>
      <c r="M213" s="28">
        <v>-49366.27</v>
      </c>
      <c r="N213" s="29"/>
      <c r="O213" s="8" t="s">
        <v>806</v>
      </c>
      <c r="P213" s="8" t="s">
        <v>245</v>
      </c>
      <c r="Q213" s="8" t="s">
        <v>253</v>
      </c>
      <c r="R213" s="9">
        <v>43221</v>
      </c>
      <c r="S213" s="9">
        <v>43221</v>
      </c>
      <c r="T213" s="8">
        <v>5</v>
      </c>
      <c r="U213" s="8" t="str">
        <f t="shared" si="16"/>
        <v>May</v>
      </c>
      <c r="V213">
        <f t="shared" si="18"/>
        <v>5</v>
      </c>
      <c r="W213" s="8" t="str">
        <f t="shared" si="19"/>
        <v>May</v>
      </c>
    </row>
    <row r="214" spans="1:23" x14ac:dyDescent="0.55000000000000004">
      <c r="A214" t="str">
        <f t="shared" si="17"/>
        <v>MayMayDCL KY - Canada</v>
      </c>
      <c r="B214" s="3" t="s">
        <v>20</v>
      </c>
      <c r="C214" s="26" t="s">
        <v>241</v>
      </c>
      <c r="D214" s="26"/>
      <c r="E214" s="27">
        <v>43246</v>
      </c>
      <c r="F214" s="26" t="s">
        <v>332</v>
      </c>
      <c r="G214" s="26" t="s">
        <v>800</v>
      </c>
      <c r="H214" s="26"/>
      <c r="I214" s="26"/>
      <c r="J214" s="26"/>
      <c r="K214" s="28">
        <v>-3781.09</v>
      </c>
      <c r="L214" s="28">
        <v>0</v>
      </c>
      <c r="M214" s="28">
        <v>-3781.09</v>
      </c>
      <c r="N214" s="29"/>
      <c r="O214" s="8" t="s">
        <v>808</v>
      </c>
      <c r="P214" s="3" t="s">
        <v>1086</v>
      </c>
      <c r="Q214" s="8" t="s">
        <v>255</v>
      </c>
      <c r="R214" s="9">
        <v>43221</v>
      </c>
      <c r="S214" s="9">
        <v>43221</v>
      </c>
      <c r="T214" s="8">
        <v>5</v>
      </c>
      <c r="U214" s="8" t="str">
        <f t="shared" si="16"/>
        <v>May</v>
      </c>
      <c r="V214">
        <f t="shared" si="18"/>
        <v>5</v>
      </c>
      <c r="W214" s="8" t="str">
        <f t="shared" si="19"/>
        <v>May</v>
      </c>
    </row>
    <row r="215" spans="1:23" x14ac:dyDescent="0.55000000000000004">
      <c r="A215" t="str">
        <f t="shared" si="17"/>
        <v>MayMayHong Kong - Phillips WI</v>
      </c>
      <c r="B215" s="3" t="s">
        <v>20</v>
      </c>
      <c r="C215" s="26" t="s">
        <v>241</v>
      </c>
      <c r="D215" s="26"/>
      <c r="E215" s="27">
        <v>43246</v>
      </c>
      <c r="F215" s="26" t="s">
        <v>332</v>
      </c>
      <c r="G215" s="26" t="s">
        <v>800</v>
      </c>
      <c r="H215" s="26"/>
      <c r="I215" s="26"/>
      <c r="J215" s="26"/>
      <c r="K215" s="28">
        <v>-16928.59</v>
      </c>
      <c r="L215" s="28">
        <v>0</v>
      </c>
      <c r="M215" s="28">
        <v>-16928.59</v>
      </c>
      <c r="N215" s="29"/>
      <c r="O215" s="8" t="s">
        <v>809</v>
      </c>
      <c r="P215" s="8" t="s">
        <v>65</v>
      </c>
      <c r="Q215" s="8" t="s">
        <v>256</v>
      </c>
      <c r="R215" s="9">
        <v>43221</v>
      </c>
      <c r="S215" s="9">
        <v>43221</v>
      </c>
      <c r="T215" s="8">
        <v>5</v>
      </c>
      <c r="U215" s="8" t="str">
        <f t="shared" si="16"/>
        <v>May</v>
      </c>
      <c r="V215">
        <f t="shared" si="18"/>
        <v>5</v>
      </c>
      <c r="W215" s="8" t="str">
        <f t="shared" si="19"/>
        <v>May</v>
      </c>
    </row>
    <row r="216" spans="1:23" x14ac:dyDescent="0.55000000000000004">
      <c r="A216" t="str">
        <f t="shared" si="17"/>
        <v>MayMayHong Kong - Phillips WI</v>
      </c>
      <c r="B216" s="3" t="s">
        <v>20</v>
      </c>
      <c r="C216" s="26" t="s">
        <v>241</v>
      </c>
      <c r="D216" s="26"/>
      <c r="E216" s="27">
        <v>43246</v>
      </c>
      <c r="F216" s="26" t="s">
        <v>332</v>
      </c>
      <c r="G216" s="26" t="s">
        <v>800</v>
      </c>
      <c r="H216" s="26"/>
      <c r="I216" s="26"/>
      <c r="J216" s="26"/>
      <c r="K216" s="28">
        <v>-9461.81</v>
      </c>
      <c r="L216" s="28">
        <v>0</v>
      </c>
      <c r="M216" s="28">
        <v>-9461.81</v>
      </c>
      <c r="N216" s="29"/>
      <c r="O216" s="8" t="s">
        <v>811</v>
      </c>
      <c r="P216" s="8" t="s">
        <v>65</v>
      </c>
      <c r="Q216" s="8" t="s">
        <v>258</v>
      </c>
      <c r="R216" s="9">
        <v>43221</v>
      </c>
      <c r="S216" s="9">
        <v>43221</v>
      </c>
      <c r="T216" s="8">
        <v>5</v>
      </c>
      <c r="U216" s="8" t="str">
        <f t="shared" si="16"/>
        <v>May</v>
      </c>
      <c r="V216">
        <f t="shared" si="18"/>
        <v>5</v>
      </c>
      <c r="W216" s="8" t="str">
        <f t="shared" si="19"/>
        <v>May</v>
      </c>
    </row>
    <row r="217" spans="1:23" x14ac:dyDescent="0.55000000000000004">
      <c r="A217" t="str">
        <f t="shared" si="17"/>
        <v>MayMayHong Kong - DCL KY</v>
      </c>
      <c r="B217" s="3" t="s">
        <v>20</v>
      </c>
      <c r="C217" s="26" t="s">
        <v>241</v>
      </c>
      <c r="D217" s="26"/>
      <c r="E217" s="27">
        <v>43246</v>
      </c>
      <c r="F217" s="26" t="s">
        <v>332</v>
      </c>
      <c r="G217" s="26" t="s">
        <v>800</v>
      </c>
      <c r="H217" s="26"/>
      <c r="I217" s="26"/>
      <c r="J217" s="26"/>
      <c r="K217" s="28">
        <v>-1522.23</v>
      </c>
      <c r="L217" s="28">
        <v>0</v>
      </c>
      <c r="M217" s="28">
        <v>-1522.23</v>
      </c>
      <c r="N217" s="29"/>
      <c r="O217" s="8" t="s">
        <v>812</v>
      </c>
      <c r="P217" s="8" t="s">
        <v>39</v>
      </c>
      <c r="Q217" s="8" t="s">
        <v>259</v>
      </c>
      <c r="R217" s="9">
        <v>43221</v>
      </c>
      <c r="S217" s="9">
        <v>43221</v>
      </c>
      <c r="T217" s="8">
        <v>5</v>
      </c>
      <c r="U217" s="8" t="str">
        <f t="shared" si="16"/>
        <v>May</v>
      </c>
      <c r="V217">
        <f t="shared" si="18"/>
        <v>5</v>
      </c>
      <c r="W217" s="8" t="str">
        <f t="shared" si="19"/>
        <v>May</v>
      </c>
    </row>
    <row r="218" spans="1:23" x14ac:dyDescent="0.55000000000000004">
      <c r="A218" t="str">
        <f t="shared" si="17"/>
        <v>MayMayAFG Suzho - Flex IL</v>
      </c>
      <c r="B218" s="3" t="s">
        <v>20</v>
      </c>
      <c r="C218" s="26" t="s">
        <v>241</v>
      </c>
      <c r="D218" s="26"/>
      <c r="E218" s="27">
        <v>43246</v>
      </c>
      <c r="F218" s="26" t="s">
        <v>332</v>
      </c>
      <c r="G218" s="26" t="s">
        <v>800</v>
      </c>
      <c r="H218" s="26"/>
      <c r="I218" s="26"/>
      <c r="J218" s="26"/>
      <c r="K218" s="28">
        <v>-5079.68</v>
      </c>
      <c r="L218" s="28">
        <v>0</v>
      </c>
      <c r="M218" s="28">
        <v>-5079.68</v>
      </c>
      <c r="N218" s="29"/>
      <c r="O218" s="8" t="s">
        <v>818</v>
      </c>
      <c r="P218" s="8" t="s">
        <v>260</v>
      </c>
      <c r="Q218" s="8" t="s">
        <v>261</v>
      </c>
      <c r="R218" s="9">
        <v>43221</v>
      </c>
      <c r="S218" s="9">
        <v>43221</v>
      </c>
      <c r="T218" s="8">
        <v>5</v>
      </c>
      <c r="U218" s="8" t="str">
        <f t="shared" si="16"/>
        <v>May</v>
      </c>
      <c r="V218">
        <f t="shared" si="18"/>
        <v>5</v>
      </c>
      <c r="W218" s="8" t="str">
        <f t="shared" si="19"/>
        <v>May</v>
      </c>
    </row>
    <row r="219" spans="1:23" x14ac:dyDescent="0.55000000000000004">
      <c r="A219" t="str">
        <f t="shared" si="17"/>
        <v>MayMayAFG NC - Canada</v>
      </c>
      <c r="B219" s="3" t="s">
        <v>20</v>
      </c>
      <c r="C219" s="26" t="s">
        <v>241</v>
      </c>
      <c r="D219" s="26"/>
      <c r="E219" s="27">
        <v>43246</v>
      </c>
      <c r="F219" s="26" t="s">
        <v>332</v>
      </c>
      <c r="G219" s="26" t="s">
        <v>800</v>
      </c>
      <c r="H219" s="26"/>
      <c r="I219" s="26"/>
      <c r="J219" s="26"/>
      <c r="K219" s="28">
        <v>-427.41</v>
      </c>
      <c r="L219" s="28">
        <v>0</v>
      </c>
      <c r="M219" s="28">
        <v>-427.41</v>
      </c>
      <c r="N219" s="29"/>
      <c r="O219" s="8" t="s">
        <v>821</v>
      </c>
      <c r="P219" s="8" t="s">
        <v>1085</v>
      </c>
      <c r="Q219" s="8" t="s">
        <v>263</v>
      </c>
      <c r="R219" s="9">
        <v>43221</v>
      </c>
      <c r="S219" s="9">
        <v>43221</v>
      </c>
      <c r="T219" s="8">
        <v>5</v>
      </c>
      <c r="U219" s="8" t="str">
        <f t="shared" si="16"/>
        <v>May</v>
      </c>
      <c r="V219">
        <f t="shared" si="18"/>
        <v>5</v>
      </c>
      <c r="W219" s="8" t="str">
        <f t="shared" si="19"/>
        <v>May</v>
      </c>
    </row>
    <row r="220" spans="1:23" x14ac:dyDescent="0.55000000000000004">
      <c r="A220" t="str">
        <f t="shared" si="17"/>
        <v>MayMayAFG NC - DCL KY</v>
      </c>
      <c r="B220" s="3" t="s">
        <v>20</v>
      </c>
      <c r="C220" s="26" t="s">
        <v>241</v>
      </c>
      <c r="D220" s="26"/>
      <c r="E220" s="27">
        <v>43250</v>
      </c>
      <c r="F220" s="26" t="s">
        <v>332</v>
      </c>
      <c r="G220" s="26"/>
      <c r="H220" s="26"/>
      <c r="I220" s="26"/>
      <c r="J220" s="26"/>
      <c r="K220" s="28">
        <v>1550</v>
      </c>
      <c r="L220" s="28">
        <v>1</v>
      </c>
      <c r="M220" s="28">
        <v>1549</v>
      </c>
      <c r="N220" s="29"/>
      <c r="O220" s="8"/>
      <c r="P220" s="8" t="s">
        <v>173</v>
      </c>
      <c r="Q220" s="8" t="s">
        <v>826</v>
      </c>
      <c r="R220" s="9">
        <v>43221</v>
      </c>
      <c r="S220" s="9">
        <v>43221</v>
      </c>
      <c r="T220" s="8">
        <v>5</v>
      </c>
      <c r="U220" s="8" t="str">
        <f t="shared" si="16"/>
        <v>May</v>
      </c>
      <c r="V220">
        <f t="shared" si="18"/>
        <v>5</v>
      </c>
      <c r="W220" s="8" t="str">
        <f t="shared" si="19"/>
        <v>May</v>
      </c>
    </row>
    <row r="221" spans="1:23" x14ac:dyDescent="0.55000000000000004">
      <c r="A221" t="str">
        <f t="shared" si="17"/>
        <v>MayMayAFG NC - DCL KY</v>
      </c>
      <c r="B221" s="3" t="s">
        <v>20</v>
      </c>
      <c r="C221" s="26" t="s">
        <v>241</v>
      </c>
      <c r="D221" s="26"/>
      <c r="E221" s="27">
        <v>43250</v>
      </c>
      <c r="F221" s="26" t="s">
        <v>332</v>
      </c>
      <c r="G221" s="26"/>
      <c r="H221" s="26"/>
      <c r="I221" s="26"/>
      <c r="J221" s="26"/>
      <c r="K221" s="28">
        <v>5350</v>
      </c>
      <c r="L221" s="28">
        <v>2</v>
      </c>
      <c r="M221" s="28">
        <v>5348</v>
      </c>
      <c r="N221" s="29"/>
      <c r="O221" s="8"/>
      <c r="P221" s="8" t="s">
        <v>173</v>
      </c>
      <c r="Q221" s="8" t="s">
        <v>827</v>
      </c>
      <c r="R221" s="9">
        <v>43221</v>
      </c>
      <c r="S221" s="9">
        <v>43221</v>
      </c>
      <c r="T221" s="8">
        <v>5</v>
      </c>
      <c r="U221" s="8" t="str">
        <f t="shared" ref="U221:U235" si="20">IF(T221=6,"June",IF(T221=5,"May",IF(T221=4,"April",IF(T221=3,"March",0))))</f>
        <v>May</v>
      </c>
      <c r="V221">
        <f t="shared" si="18"/>
        <v>5</v>
      </c>
      <c r="W221" s="8" t="str">
        <f t="shared" si="19"/>
        <v>May</v>
      </c>
    </row>
    <row r="222" spans="1:23" x14ac:dyDescent="0.55000000000000004">
      <c r="A222" t="str">
        <f t="shared" si="17"/>
        <v>MayMayAFG NC - DCL KY</v>
      </c>
      <c r="B222" s="3" t="s">
        <v>20</v>
      </c>
      <c r="C222" s="26" t="s">
        <v>241</v>
      </c>
      <c r="D222" s="26"/>
      <c r="E222" s="27">
        <v>43250</v>
      </c>
      <c r="F222" s="26" t="s">
        <v>332</v>
      </c>
      <c r="G222" s="26"/>
      <c r="H222" s="26"/>
      <c r="I222" s="26"/>
      <c r="J222" s="26"/>
      <c r="K222" s="28">
        <v>3100</v>
      </c>
      <c r="L222" s="28">
        <v>3</v>
      </c>
      <c r="M222" s="28">
        <v>3097</v>
      </c>
      <c r="N222" s="29"/>
      <c r="O222" s="8"/>
      <c r="P222" s="8" t="s">
        <v>173</v>
      </c>
      <c r="Q222" s="8" t="s">
        <v>828</v>
      </c>
      <c r="R222" s="9">
        <v>43221</v>
      </c>
      <c r="S222" s="9">
        <v>43221</v>
      </c>
      <c r="T222" s="8">
        <v>5</v>
      </c>
      <c r="U222" s="8" t="str">
        <f t="shared" si="20"/>
        <v>May</v>
      </c>
      <c r="V222">
        <f t="shared" si="18"/>
        <v>5</v>
      </c>
      <c r="W222" s="8" t="str">
        <f t="shared" si="19"/>
        <v>May</v>
      </c>
    </row>
    <row r="223" spans="1:23" x14ac:dyDescent="0.55000000000000004">
      <c r="A223" t="str">
        <f t="shared" si="17"/>
        <v>MayMayAFG NC - DCL KY</v>
      </c>
      <c r="B223" s="3" t="s">
        <v>20</v>
      </c>
      <c r="C223" s="26" t="s">
        <v>241</v>
      </c>
      <c r="D223" s="26"/>
      <c r="E223" s="27">
        <v>43250</v>
      </c>
      <c r="F223" s="26" t="s">
        <v>332</v>
      </c>
      <c r="G223" s="26"/>
      <c r="H223" s="26"/>
      <c r="I223" s="26"/>
      <c r="J223" s="26"/>
      <c r="K223" s="28">
        <v>8275</v>
      </c>
      <c r="L223" s="28">
        <v>4</v>
      </c>
      <c r="M223" s="28">
        <v>8271</v>
      </c>
      <c r="N223" s="29"/>
      <c r="O223" s="8"/>
      <c r="P223" s="8" t="s">
        <v>173</v>
      </c>
      <c r="Q223" s="8" t="s">
        <v>829</v>
      </c>
      <c r="R223" s="9">
        <v>43221</v>
      </c>
      <c r="S223" s="9">
        <v>43221</v>
      </c>
      <c r="T223" s="8">
        <v>5</v>
      </c>
      <c r="U223" s="8" t="str">
        <f t="shared" si="20"/>
        <v>May</v>
      </c>
      <c r="V223">
        <f t="shared" si="18"/>
        <v>5</v>
      </c>
      <c r="W223" s="8" t="str">
        <f t="shared" si="19"/>
        <v>May</v>
      </c>
    </row>
    <row r="224" spans="1:23" x14ac:dyDescent="0.55000000000000004">
      <c r="A224" t="str">
        <f t="shared" si="17"/>
        <v>MayMayAFG NC - DCL KY</v>
      </c>
      <c r="B224" s="3" t="s">
        <v>20</v>
      </c>
      <c r="C224" s="26" t="s">
        <v>241</v>
      </c>
      <c r="D224" s="26"/>
      <c r="E224" s="27">
        <v>43250</v>
      </c>
      <c r="F224" s="26" t="s">
        <v>332</v>
      </c>
      <c r="G224" s="26"/>
      <c r="H224" s="26"/>
      <c r="I224" s="26"/>
      <c r="J224" s="26"/>
      <c r="K224" s="28">
        <v>11200</v>
      </c>
      <c r="L224" s="28">
        <v>5</v>
      </c>
      <c r="M224" s="28">
        <v>11195</v>
      </c>
      <c r="N224" s="29"/>
      <c r="O224" s="8"/>
      <c r="P224" s="8" t="s">
        <v>173</v>
      </c>
      <c r="Q224" s="8" t="s">
        <v>830</v>
      </c>
      <c r="R224" s="9">
        <v>43221</v>
      </c>
      <c r="S224" s="9">
        <v>43221</v>
      </c>
      <c r="T224" s="8">
        <v>5</v>
      </c>
      <c r="U224" s="8" t="str">
        <f t="shared" si="20"/>
        <v>May</v>
      </c>
      <c r="V224">
        <f t="shared" si="18"/>
        <v>5</v>
      </c>
      <c r="W224" s="8" t="str">
        <f t="shared" si="19"/>
        <v>May</v>
      </c>
    </row>
    <row r="225" spans="1:23" x14ac:dyDescent="0.55000000000000004">
      <c r="A225" t="str">
        <f t="shared" si="17"/>
        <v>MayMayAFG NC - DCL KY</v>
      </c>
      <c r="B225" s="3" t="s">
        <v>20</v>
      </c>
      <c r="C225" s="26" t="s">
        <v>241</v>
      </c>
      <c r="D225" s="26"/>
      <c r="E225" s="27">
        <v>43251</v>
      </c>
      <c r="F225" s="26" t="s">
        <v>332</v>
      </c>
      <c r="G225" s="26"/>
      <c r="H225" s="26"/>
      <c r="I225" s="26"/>
      <c r="J225" s="26"/>
      <c r="K225" s="28">
        <v>9650</v>
      </c>
      <c r="L225" s="28">
        <v>6</v>
      </c>
      <c r="M225" s="28">
        <v>9644</v>
      </c>
      <c r="N225" s="29"/>
      <c r="O225" s="8"/>
      <c r="P225" s="8" t="s">
        <v>173</v>
      </c>
      <c r="Q225" s="8" t="s">
        <v>831</v>
      </c>
      <c r="R225" s="9">
        <v>43221</v>
      </c>
      <c r="S225" s="9">
        <v>43221</v>
      </c>
      <c r="T225" s="8">
        <v>5</v>
      </c>
      <c r="U225" s="8" t="str">
        <f t="shared" si="20"/>
        <v>May</v>
      </c>
      <c r="V225">
        <f t="shared" si="18"/>
        <v>5</v>
      </c>
      <c r="W225" s="8" t="str">
        <f t="shared" si="19"/>
        <v>May</v>
      </c>
    </row>
    <row r="226" spans="1:23" x14ac:dyDescent="0.55000000000000004">
      <c r="A226" t="str">
        <f t="shared" si="17"/>
        <v>MayMayAFG NC - DCL KY</v>
      </c>
      <c r="B226" s="3" t="s">
        <v>20</v>
      </c>
      <c r="C226" s="26" t="s">
        <v>241</v>
      </c>
      <c r="D226" s="26"/>
      <c r="E226" s="27">
        <v>43237</v>
      </c>
      <c r="F226" s="26" t="s">
        <v>332</v>
      </c>
      <c r="G226" s="26"/>
      <c r="H226" s="26"/>
      <c r="I226" s="26"/>
      <c r="J226" s="26"/>
      <c r="K226" s="28">
        <v>4650</v>
      </c>
      <c r="L226" s="28">
        <v>7</v>
      </c>
      <c r="M226" s="28">
        <v>4643</v>
      </c>
      <c r="N226" s="29"/>
      <c r="O226" s="8"/>
      <c r="P226" s="8" t="s">
        <v>173</v>
      </c>
      <c r="Q226" s="8" t="s">
        <v>297</v>
      </c>
      <c r="R226" s="9">
        <v>43221</v>
      </c>
      <c r="S226" s="9">
        <v>43221</v>
      </c>
      <c r="T226" s="8">
        <v>5</v>
      </c>
      <c r="U226" s="8" t="str">
        <f t="shared" si="20"/>
        <v>May</v>
      </c>
      <c r="V226">
        <f t="shared" si="18"/>
        <v>5</v>
      </c>
      <c r="W226" s="8" t="str">
        <f t="shared" si="19"/>
        <v>May</v>
      </c>
    </row>
    <row r="227" spans="1:23" x14ac:dyDescent="0.55000000000000004">
      <c r="A227" t="str">
        <f t="shared" si="17"/>
        <v>MayMayPhillips WI - DCL KY</v>
      </c>
      <c r="B227" s="3" t="s">
        <v>20</v>
      </c>
      <c r="C227" s="26" t="s">
        <v>241</v>
      </c>
      <c r="D227" s="26"/>
      <c r="E227" s="27">
        <v>43242</v>
      </c>
      <c r="F227" s="26" t="s">
        <v>332</v>
      </c>
      <c r="G227" s="26"/>
      <c r="H227" s="26"/>
      <c r="I227" s="26"/>
      <c r="J227" s="26"/>
      <c r="K227" s="28">
        <v>1368.64</v>
      </c>
      <c r="L227" s="28">
        <v>8</v>
      </c>
      <c r="M227" s="28">
        <v>1360.64</v>
      </c>
      <c r="N227" s="29"/>
      <c r="O227" s="8"/>
      <c r="P227" s="8" t="s">
        <v>29</v>
      </c>
      <c r="Q227" s="8" t="s">
        <v>298</v>
      </c>
      <c r="R227" s="9">
        <v>43221</v>
      </c>
      <c r="S227" s="9">
        <v>43221</v>
      </c>
      <c r="T227" s="8">
        <v>5</v>
      </c>
      <c r="U227" s="8" t="str">
        <f t="shared" si="20"/>
        <v>May</v>
      </c>
      <c r="V227">
        <f t="shared" si="18"/>
        <v>5</v>
      </c>
      <c r="W227" s="8" t="str">
        <f t="shared" si="19"/>
        <v>May</v>
      </c>
    </row>
    <row r="228" spans="1:23" x14ac:dyDescent="0.55000000000000004">
      <c r="A228" t="str">
        <f t="shared" si="17"/>
        <v>MayMayAFG NC - Phillips WI</v>
      </c>
      <c r="B228" s="3" t="s">
        <v>20</v>
      </c>
      <c r="C228" s="26" t="s">
        <v>241</v>
      </c>
      <c r="D228" s="26"/>
      <c r="E228" s="27">
        <v>43242</v>
      </c>
      <c r="F228" s="26" t="s">
        <v>332</v>
      </c>
      <c r="G228" s="26"/>
      <c r="H228" s="26"/>
      <c r="I228" s="26"/>
      <c r="J228" s="26"/>
      <c r="K228" s="28">
        <v>1775</v>
      </c>
      <c r="L228" s="28">
        <v>9</v>
      </c>
      <c r="M228" s="28">
        <v>1766</v>
      </c>
      <c r="N228" s="29"/>
      <c r="O228" s="8"/>
      <c r="P228" s="8" t="s">
        <v>833</v>
      </c>
      <c r="Q228" s="8" t="s">
        <v>832</v>
      </c>
      <c r="R228" s="9">
        <v>43221</v>
      </c>
      <c r="S228" s="9">
        <v>43221</v>
      </c>
      <c r="T228" s="8">
        <v>5</v>
      </c>
      <c r="U228" s="8" t="str">
        <f t="shared" si="20"/>
        <v>May</v>
      </c>
      <c r="V228">
        <f t="shared" si="18"/>
        <v>5</v>
      </c>
      <c r="W228" s="8" t="str">
        <f t="shared" si="19"/>
        <v>May</v>
      </c>
    </row>
    <row r="229" spans="1:23" x14ac:dyDescent="0.55000000000000004">
      <c r="A229" t="str">
        <f t="shared" si="17"/>
        <v>MayMayAFG NC - DCL KY</v>
      </c>
      <c r="B229" s="3" t="s">
        <v>20</v>
      </c>
      <c r="C229" s="26" t="s">
        <v>241</v>
      </c>
      <c r="D229" s="26"/>
      <c r="E229" s="27">
        <v>43242</v>
      </c>
      <c r="F229" s="26" t="s">
        <v>332</v>
      </c>
      <c r="G229" s="26"/>
      <c r="H229" s="26"/>
      <c r="I229" s="26"/>
      <c r="J229" s="26"/>
      <c r="K229" s="28">
        <v>3100</v>
      </c>
      <c r="L229" s="28">
        <v>10</v>
      </c>
      <c r="M229" s="28">
        <v>3090</v>
      </c>
      <c r="N229" s="29"/>
      <c r="O229" s="8"/>
      <c r="P229" s="8" t="s">
        <v>173</v>
      </c>
      <c r="Q229" s="8" t="s">
        <v>299</v>
      </c>
      <c r="R229" s="9">
        <v>43221</v>
      </c>
      <c r="S229" s="9">
        <v>43221</v>
      </c>
      <c r="T229" s="8">
        <v>5</v>
      </c>
      <c r="U229" s="8" t="str">
        <f t="shared" si="20"/>
        <v>May</v>
      </c>
      <c r="V229">
        <f t="shared" si="18"/>
        <v>5</v>
      </c>
      <c r="W229" s="8" t="str">
        <f t="shared" si="19"/>
        <v>May</v>
      </c>
    </row>
    <row r="230" spans="1:23" x14ac:dyDescent="0.55000000000000004">
      <c r="A230" t="str">
        <f t="shared" si="17"/>
        <v>MayMayAFG NC - DCL KY</v>
      </c>
      <c r="B230" s="3" t="s">
        <v>20</v>
      </c>
      <c r="C230" s="26" t="s">
        <v>241</v>
      </c>
      <c r="D230" s="26"/>
      <c r="E230" s="27">
        <v>43244</v>
      </c>
      <c r="F230" s="26" t="s">
        <v>332</v>
      </c>
      <c r="G230" s="26"/>
      <c r="H230" s="26"/>
      <c r="I230" s="26"/>
      <c r="J230" s="26"/>
      <c r="K230" s="28">
        <v>1550</v>
      </c>
      <c r="L230" s="28">
        <v>11</v>
      </c>
      <c r="M230" s="28">
        <v>1539</v>
      </c>
      <c r="N230" s="29"/>
      <c r="O230" s="8"/>
      <c r="P230" s="8" t="s">
        <v>173</v>
      </c>
      <c r="Q230" s="8" t="s">
        <v>834</v>
      </c>
      <c r="R230" s="9">
        <v>43221</v>
      </c>
      <c r="S230" s="9">
        <v>43221</v>
      </c>
      <c r="T230" s="8">
        <v>5</v>
      </c>
      <c r="U230" s="8" t="str">
        <f t="shared" si="20"/>
        <v>May</v>
      </c>
      <c r="V230">
        <f t="shared" si="18"/>
        <v>5</v>
      </c>
      <c r="W230" s="8" t="str">
        <f t="shared" si="19"/>
        <v>May</v>
      </c>
    </row>
    <row r="231" spans="1:23" x14ac:dyDescent="0.55000000000000004">
      <c r="A231" t="str">
        <f t="shared" si="17"/>
        <v>MayMayAFG NC - DCL KY</v>
      </c>
      <c r="B231" s="3" t="s">
        <v>20</v>
      </c>
      <c r="C231" s="26" t="s">
        <v>241</v>
      </c>
      <c r="D231" s="26"/>
      <c r="E231" s="27">
        <v>43244</v>
      </c>
      <c r="F231" s="26" t="s">
        <v>332</v>
      </c>
      <c r="G231" s="26"/>
      <c r="H231" s="26"/>
      <c r="I231" s="26"/>
      <c r="J231" s="26"/>
      <c r="K231" s="28">
        <v>3100</v>
      </c>
      <c r="L231" s="28">
        <v>12</v>
      </c>
      <c r="M231" s="28">
        <v>3088</v>
      </c>
      <c r="N231" s="29"/>
      <c r="O231" s="8"/>
      <c r="P231" s="8" t="s">
        <v>173</v>
      </c>
      <c r="Q231" s="8" t="s">
        <v>835</v>
      </c>
      <c r="R231" s="9">
        <v>43221</v>
      </c>
      <c r="S231" s="9">
        <v>43221</v>
      </c>
      <c r="T231" s="8">
        <v>5</v>
      </c>
      <c r="U231" s="8" t="str">
        <f t="shared" si="20"/>
        <v>May</v>
      </c>
      <c r="V231">
        <f t="shared" si="18"/>
        <v>5</v>
      </c>
      <c r="W231" s="8" t="str">
        <f t="shared" si="19"/>
        <v>May</v>
      </c>
    </row>
    <row r="232" spans="1:23" x14ac:dyDescent="0.55000000000000004">
      <c r="A232" t="str">
        <f t="shared" si="17"/>
        <v>MayMayAFG NC - DCL KY</v>
      </c>
      <c r="B232" s="3" t="s">
        <v>20</v>
      </c>
      <c r="C232" s="26" t="s">
        <v>241</v>
      </c>
      <c r="D232" s="26"/>
      <c r="E232" s="27">
        <v>43244</v>
      </c>
      <c r="F232" s="26" t="s">
        <v>332</v>
      </c>
      <c r="G232" s="26"/>
      <c r="H232" s="26"/>
      <c r="I232" s="26"/>
      <c r="J232" s="26"/>
      <c r="K232" s="28">
        <v>4650</v>
      </c>
      <c r="L232" s="28">
        <v>13</v>
      </c>
      <c r="M232" s="28">
        <v>4637</v>
      </c>
      <c r="N232" s="29"/>
      <c r="O232" s="8"/>
      <c r="P232" s="8" t="s">
        <v>173</v>
      </c>
      <c r="Q232" s="8" t="s">
        <v>836</v>
      </c>
      <c r="R232" s="9">
        <v>43221</v>
      </c>
      <c r="S232" s="9">
        <v>43221</v>
      </c>
      <c r="T232" s="8">
        <v>5</v>
      </c>
      <c r="U232" s="8" t="str">
        <f t="shared" si="20"/>
        <v>May</v>
      </c>
      <c r="V232">
        <f t="shared" si="18"/>
        <v>5</v>
      </c>
      <c r="W232" s="8" t="str">
        <f t="shared" si="19"/>
        <v>May</v>
      </c>
    </row>
    <row r="233" spans="1:23" x14ac:dyDescent="0.55000000000000004">
      <c r="A233" t="str">
        <f t="shared" si="17"/>
        <v>MayMayAFG NC - DCL KY</v>
      </c>
      <c r="B233" s="3" t="s">
        <v>20</v>
      </c>
      <c r="C233" s="26" t="s">
        <v>241</v>
      </c>
      <c r="D233" s="26"/>
      <c r="E233" s="27">
        <v>43244</v>
      </c>
      <c r="F233" s="26" t="s">
        <v>332</v>
      </c>
      <c r="G233" s="26"/>
      <c r="H233" s="26"/>
      <c r="I233" s="26"/>
      <c r="J233" s="26"/>
      <c r="K233" s="28">
        <v>4650</v>
      </c>
      <c r="L233" s="28">
        <v>14</v>
      </c>
      <c r="M233" s="28">
        <v>4636</v>
      </c>
      <c r="N233" s="29"/>
      <c r="O233" s="8"/>
      <c r="P233" s="8" t="s">
        <v>173</v>
      </c>
      <c r="Q233" s="8" t="s">
        <v>837</v>
      </c>
      <c r="R233" s="9">
        <v>43221</v>
      </c>
      <c r="S233" s="9">
        <v>43221</v>
      </c>
      <c r="T233" s="8">
        <v>5</v>
      </c>
      <c r="U233" s="8" t="str">
        <f t="shared" si="20"/>
        <v>May</v>
      </c>
      <c r="V233">
        <f t="shared" si="18"/>
        <v>5</v>
      </c>
      <c r="W233" s="8" t="str">
        <f t="shared" si="19"/>
        <v>May</v>
      </c>
    </row>
    <row r="234" spans="1:23" x14ac:dyDescent="0.55000000000000004">
      <c r="A234" t="str">
        <f t="shared" si="17"/>
        <v>MayMayPhillips WI - DCL KY</v>
      </c>
      <c r="B234" s="3" t="s">
        <v>20</v>
      </c>
      <c r="C234" s="26" t="s">
        <v>241</v>
      </c>
      <c r="D234" s="26"/>
      <c r="E234" s="27">
        <v>43244</v>
      </c>
      <c r="F234" s="26" t="s">
        <v>332</v>
      </c>
      <c r="G234" s="26"/>
      <c r="H234" s="26"/>
      <c r="I234" s="26"/>
      <c r="J234" s="26"/>
      <c r="K234" s="28">
        <v>5825</v>
      </c>
      <c r="L234" s="28">
        <v>15</v>
      </c>
      <c r="M234" s="28">
        <v>5810</v>
      </c>
      <c r="N234" s="29"/>
      <c r="O234" s="8"/>
      <c r="P234" s="8" t="s">
        <v>29</v>
      </c>
      <c r="Q234" s="8" t="s">
        <v>300</v>
      </c>
      <c r="R234" s="9">
        <v>43221</v>
      </c>
      <c r="S234" s="9">
        <v>43221</v>
      </c>
      <c r="T234" s="8">
        <v>5</v>
      </c>
      <c r="U234" s="8" t="str">
        <f t="shared" si="20"/>
        <v>May</v>
      </c>
      <c r="V234">
        <f t="shared" si="18"/>
        <v>5</v>
      </c>
      <c r="W234" s="8" t="str">
        <f t="shared" si="19"/>
        <v>May</v>
      </c>
    </row>
    <row r="235" spans="1:23" x14ac:dyDescent="0.55000000000000004">
      <c r="A235" t="str">
        <f t="shared" si="17"/>
        <v>MayMayDECI NC - DCL KY</v>
      </c>
      <c r="B235" s="3" t="s">
        <v>20</v>
      </c>
      <c r="C235" s="26" t="s">
        <v>241</v>
      </c>
      <c r="D235" s="26"/>
      <c r="E235" s="27">
        <v>43244</v>
      </c>
      <c r="F235" s="26" t="s">
        <v>332</v>
      </c>
      <c r="G235" s="26"/>
      <c r="H235" s="26"/>
      <c r="I235" s="26"/>
      <c r="J235" s="26"/>
      <c r="K235" s="28">
        <v>12300</v>
      </c>
      <c r="L235" s="28">
        <v>16</v>
      </c>
      <c r="M235" s="28">
        <v>12284</v>
      </c>
      <c r="N235" s="29"/>
      <c r="O235" s="8"/>
      <c r="P235" s="8" t="s">
        <v>178</v>
      </c>
      <c r="Q235" s="8" t="s">
        <v>838</v>
      </c>
      <c r="R235" s="9">
        <v>43221</v>
      </c>
      <c r="S235" s="9">
        <v>43221</v>
      </c>
      <c r="T235" s="8">
        <v>5</v>
      </c>
      <c r="U235" s="8" t="str">
        <f t="shared" si="20"/>
        <v>May</v>
      </c>
      <c r="V235">
        <f t="shared" si="18"/>
        <v>5</v>
      </c>
      <c r="W235" s="8" t="str">
        <f t="shared" si="19"/>
        <v>May</v>
      </c>
    </row>
    <row r="236" spans="1:23" x14ac:dyDescent="0.55000000000000004">
      <c r="A236" t="str">
        <f t="shared" si="17"/>
        <v>MayMayHong Kong - DECI NC</v>
      </c>
      <c r="B236" s="3" t="s">
        <v>20</v>
      </c>
      <c r="C236" s="4" t="s">
        <v>150</v>
      </c>
      <c r="D236" s="4" t="s">
        <v>841</v>
      </c>
      <c r="E236" s="5">
        <v>43225</v>
      </c>
      <c r="F236" s="4" t="s">
        <v>842</v>
      </c>
      <c r="G236" s="4" t="s">
        <v>843</v>
      </c>
      <c r="H236" s="4" t="s">
        <v>844</v>
      </c>
      <c r="I236" s="4" t="s">
        <v>154</v>
      </c>
      <c r="J236" s="4" t="s">
        <v>27</v>
      </c>
      <c r="K236" s="6">
        <v>30</v>
      </c>
      <c r="L236" s="6">
        <v>0</v>
      </c>
      <c r="M236" s="6">
        <v>30</v>
      </c>
      <c r="N236" s="6"/>
      <c r="O236" s="33" t="s">
        <v>843</v>
      </c>
      <c r="P236" s="3" t="s">
        <v>92</v>
      </c>
      <c r="Q236" s="8"/>
      <c r="R236" s="8"/>
      <c r="S236" s="9">
        <v>43221</v>
      </c>
      <c r="T236" s="8">
        <v>5</v>
      </c>
      <c r="U236" s="8" t="str">
        <f t="shared" ref="U236:U272" si="21">IF(T236=6,"June",IF(T236=5,"May",IF(T236=4,"April",IF(T236=3,"March",IF(T236=7,"July",0)))))</f>
        <v>May</v>
      </c>
      <c r="V236">
        <f t="shared" si="18"/>
        <v>5</v>
      </c>
      <c r="W236" s="8" t="str">
        <f t="shared" si="19"/>
        <v>May</v>
      </c>
    </row>
    <row r="237" spans="1:23" x14ac:dyDescent="0.55000000000000004">
      <c r="A237" t="str">
        <f t="shared" si="17"/>
        <v>MayMayHong Kong - DECI NC</v>
      </c>
      <c r="B237" s="3" t="s">
        <v>20</v>
      </c>
      <c r="C237" s="4" t="s">
        <v>150</v>
      </c>
      <c r="D237" s="4" t="s">
        <v>845</v>
      </c>
      <c r="E237" s="5">
        <v>43228</v>
      </c>
      <c r="F237" s="4" t="s">
        <v>842</v>
      </c>
      <c r="G237" s="4" t="s">
        <v>161</v>
      </c>
      <c r="H237" s="4" t="s">
        <v>846</v>
      </c>
      <c r="I237" s="4" t="s">
        <v>154</v>
      </c>
      <c r="J237" s="4" t="s">
        <v>27</v>
      </c>
      <c r="K237" s="6">
        <v>45</v>
      </c>
      <c r="L237" s="6">
        <v>0</v>
      </c>
      <c r="M237" s="6">
        <v>45</v>
      </c>
      <c r="N237" s="6"/>
      <c r="O237" s="33" t="s">
        <v>161</v>
      </c>
      <c r="P237" s="3" t="s">
        <v>92</v>
      </c>
      <c r="Q237" s="8"/>
      <c r="R237" s="8"/>
      <c r="S237" s="9">
        <v>43221</v>
      </c>
      <c r="T237" s="8">
        <v>5</v>
      </c>
      <c r="U237" s="8" t="str">
        <f t="shared" si="21"/>
        <v>May</v>
      </c>
      <c r="V237">
        <f t="shared" si="18"/>
        <v>5</v>
      </c>
      <c r="W237" s="8" t="str">
        <f t="shared" si="19"/>
        <v>May</v>
      </c>
    </row>
    <row r="238" spans="1:23" x14ac:dyDescent="0.55000000000000004">
      <c r="A238" t="str">
        <f t="shared" si="17"/>
        <v>MayMayAFG NC - DCL KY</v>
      </c>
      <c r="B238" s="3" t="s">
        <v>20</v>
      </c>
      <c r="C238" s="4" t="s">
        <v>150</v>
      </c>
      <c r="D238" s="4" t="s">
        <v>847</v>
      </c>
      <c r="E238" s="5">
        <v>43244</v>
      </c>
      <c r="F238" s="4" t="s">
        <v>842</v>
      </c>
      <c r="G238" s="4" t="s">
        <v>848</v>
      </c>
      <c r="H238" s="4" t="s">
        <v>849</v>
      </c>
      <c r="I238" s="4" t="s">
        <v>154</v>
      </c>
      <c r="J238" s="4" t="s">
        <v>27</v>
      </c>
      <c r="K238" s="6">
        <v>12300</v>
      </c>
      <c r="L238" s="6">
        <v>0</v>
      </c>
      <c r="M238" s="6">
        <v>12300</v>
      </c>
      <c r="N238" s="6"/>
      <c r="O238" s="33" t="s">
        <v>848</v>
      </c>
      <c r="P238" t="s">
        <v>173</v>
      </c>
      <c r="Q238" s="8"/>
      <c r="R238" s="8"/>
      <c r="S238" s="9">
        <v>43221</v>
      </c>
      <c r="T238" s="8">
        <v>5</v>
      </c>
      <c r="U238" s="8" t="str">
        <f t="shared" si="21"/>
        <v>May</v>
      </c>
      <c r="V238">
        <f t="shared" si="18"/>
        <v>5</v>
      </c>
      <c r="W238" s="8" t="str">
        <f t="shared" si="19"/>
        <v>May</v>
      </c>
    </row>
    <row r="239" spans="1:23" x14ac:dyDescent="0.55000000000000004">
      <c r="A239" t="str">
        <f t="shared" si="17"/>
        <v>MayMayAFG NC - DCL KY</v>
      </c>
      <c r="B239" s="3" t="s">
        <v>20</v>
      </c>
      <c r="C239" s="4" t="s">
        <v>150</v>
      </c>
      <c r="D239" s="4" t="s">
        <v>850</v>
      </c>
      <c r="E239" s="5">
        <v>43244</v>
      </c>
      <c r="F239" s="4" t="s">
        <v>842</v>
      </c>
      <c r="G239" s="4" t="s">
        <v>851</v>
      </c>
      <c r="H239" s="4" t="s">
        <v>852</v>
      </c>
      <c r="I239" s="4" t="s">
        <v>154</v>
      </c>
      <c r="J239" s="4" t="s">
        <v>27</v>
      </c>
      <c r="K239" s="6">
        <v>4650</v>
      </c>
      <c r="L239" s="6">
        <v>0</v>
      </c>
      <c r="M239" s="6">
        <v>4650</v>
      </c>
      <c r="N239" s="6"/>
      <c r="O239" s="33" t="s">
        <v>851</v>
      </c>
      <c r="P239" t="s">
        <v>173</v>
      </c>
      <c r="Q239" s="8"/>
      <c r="R239" s="8"/>
      <c r="S239" s="9">
        <v>43221</v>
      </c>
      <c r="T239" s="8">
        <v>5</v>
      </c>
      <c r="U239" s="8" t="str">
        <f t="shared" si="21"/>
        <v>May</v>
      </c>
      <c r="V239">
        <f t="shared" si="18"/>
        <v>5</v>
      </c>
      <c r="W239" s="8" t="str">
        <f t="shared" si="19"/>
        <v>May</v>
      </c>
    </row>
    <row r="240" spans="1:23" x14ac:dyDescent="0.55000000000000004">
      <c r="A240" t="str">
        <f t="shared" si="17"/>
        <v>MayMayAFG NC - DCL KY</v>
      </c>
      <c r="B240" s="3" t="s">
        <v>20</v>
      </c>
      <c r="C240" s="4" t="s">
        <v>150</v>
      </c>
      <c r="D240" s="4" t="s">
        <v>853</v>
      </c>
      <c r="E240" s="5">
        <v>43244</v>
      </c>
      <c r="F240" s="4" t="s">
        <v>842</v>
      </c>
      <c r="G240" s="4" t="s">
        <v>854</v>
      </c>
      <c r="H240" s="4" t="s">
        <v>855</v>
      </c>
      <c r="I240" s="4" t="s">
        <v>154</v>
      </c>
      <c r="J240" s="4" t="s">
        <v>27</v>
      </c>
      <c r="K240" s="6">
        <v>3100</v>
      </c>
      <c r="L240" s="6">
        <v>0</v>
      </c>
      <c r="M240" s="6">
        <v>3100</v>
      </c>
      <c r="N240" s="6"/>
      <c r="O240" s="33" t="s">
        <v>854</v>
      </c>
      <c r="P240" t="s">
        <v>173</v>
      </c>
      <c r="Q240" s="8"/>
      <c r="R240" s="8"/>
      <c r="S240" s="9">
        <v>43221</v>
      </c>
      <c r="T240" s="8">
        <v>5</v>
      </c>
      <c r="U240" s="8" t="str">
        <f t="shared" si="21"/>
        <v>May</v>
      </c>
      <c r="V240">
        <f t="shared" si="18"/>
        <v>5</v>
      </c>
      <c r="W240" s="8" t="str">
        <f t="shared" si="19"/>
        <v>May</v>
      </c>
    </row>
    <row r="241" spans="1:23" x14ac:dyDescent="0.55000000000000004">
      <c r="A241" t="str">
        <f t="shared" si="17"/>
        <v>MayMayAFG NC - DCL KY</v>
      </c>
      <c r="B241" s="3" t="s">
        <v>20</v>
      </c>
      <c r="C241" s="4" t="s">
        <v>150</v>
      </c>
      <c r="D241" s="4" t="s">
        <v>856</v>
      </c>
      <c r="E241" s="5">
        <v>43244</v>
      </c>
      <c r="F241" s="4" t="s">
        <v>842</v>
      </c>
      <c r="G241" s="4" t="s">
        <v>857</v>
      </c>
      <c r="H241" s="4" t="s">
        <v>858</v>
      </c>
      <c r="I241" s="4" t="s">
        <v>154</v>
      </c>
      <c r="J241" s="4" t="s">
        <v>27</v>
      </c>
      <c r="K241" s="6">
        <v>4650</v>
      </c>
      <c r="L241" s="6">
        <v>0</v>
      </c>
      <c r="M241" s="6">
        <v>4650</v>
      </c>
      <c r="N241" s="6"/>
      <c r="O241" s="33" t="s">
        <v>857</v>
      </c>
      <c r="P241" t="s">
        <v>173</v>
      </c>
      <c r="Q241" s="8"/>
      <c r="R241" s="8"/>
      <c r="S241" s="9">
        <v>43221</v>
      </c>
      <c r="T241" s="8">
        <v>5</v>
      </c>
      <c r="U241" s="8" t="str">
        <f t="shared" si="21"/>
        <v>May</v>
      </c>
      <c r="V241">
        <f t="shared" si="18"/>
        <v>5</v>
      </c>
      <c r="W241" s="8" t="str">
        <f t="shared" si="19"/>
        <v>May</v>
      </c>
    </row>
    <row r="242" spans="1:23" x14ac:dyDescent="0.55000000000000004">
      <c r="A242" t="str">
        <f t="shared" si="17"/>
        <v>MayMayAFG NC - DCL KY</v>
      </c>
      <c r="B242" s="3" t="s">
        <v>20</v>
      </c>
      <c r="C242" s="4" t="s">
        <v>150</v>
      </c>
      <c r="D242" s="4" t="s">
        <v>859</v>
      </c>
      <c r="E242" s="5">
        <v>43244</v>
      </c>
      <c r="F242" s="4" t="s">
        <v>842</v>
      </c>
      <c r="G242" s="4" t="s">
        <v>860</v>
      </c>
      <c r="H242" s="4" t="s">
        <v>861</v>
      </c>
      <c r="I242" s="4" t="s">
        <v>154</v>
      </c>
      <c r="J242" s="4" t="s">
        <v>27</v>
      </c>
      <c r="K242" s="6">
        <v>1550</v>
      </c>
      <c r="L242" s="6">
        <v>0</v>
      </c>
      <c r="M242" s="6">
        <v>1550</v>
      </c>
      <c r="N242" s="6"/>
      <c r="O242" s="33" t="s">
        <v>860</v>
      </c>
      <c r="P242" t="s">
        <v>173</v>
      </c>
      <c r="Q242" s="8"/>
      <c r="R242" s="8"/>
      <c r="S242" s="9">
        <v>43221</v>
      </c>
      <c r="T242" s="8">
        <v>5</v>
      </c>
      <c r="U242" s="8" t="str">
        <f t="shared" si="21"/>
        <v>May</v>
      </c>
      <c r="V242">
        <f t="shared" si="18"/>
        <v>5</v>
      </c>
      <c r="W242" s="8" t="str">
        <f t="shared" si="19"/>
        <v>May</v>
      </c>
    </row>
    <row r="243" spans="1:23" x14ac:dyDescent="0.55000000000000004">
      <c r="A243" t="str">
        <f t="shared" si="17"/>
        <v>MayMayDCL KY - Canada</v>
      </c>
      <c r="B243" s="3" t="s">
        <v>20</v>
      </c>
      <c r="C243" s="4" t="s">
        <v>150</v>
      </c>
      <c r="D243" s="4" t="s">
        <v>862</v>
      </c>
      <c r="E243" s="5">
        <v>43245</v>
      </c>
      <c r="F243" s="4" t="s">
        <v>842</v>
      </c>
      <c r="G243" s="4" t="s">
        <v>863</v>
      </c>
      <c r="H243" s="4" t="s">
        <v>864</v>
      </c>
      <c r="I243" s="4" t="s">
        <v>154</v>
      </c>
      <c r="J243" s="4" t="s">
        <v>27</v>
      </c>
      <c r="K243" s="6">
        <v>3781.09</v>
      </c>
      <c r="L243" s="6">
        <v>0</v>
      </c>
      <c r="M243" s="6">
        <v>3781.09</v>
      </c>
      <c r="N243" s="6"/>
      <c r="O243" s="33" t="s">
        <v>863</v>
      </c>
      <c r="P243" s="3" t="s">
        <v>1086</v>
      </c>
      <c r="Q243" s="8"/>
      <c r="R243" s="8"/>
      <c r="S243" s="9">
        <v>43221</v>
      </c>
      <c r="T243" s="8">
        <v>5</v>
      </c>
      <c r="U243" s="8" t="str">
        <f t="shared" si="21"/>
        <v>May</v>
      </c>
      <c r="V243">
        <f t="shared" si="18"/>
        <v>5</v>
      </c>
      <c r="W243" s="8" t="str">
        <f t="shared" si="19"/>
        <v>May</v>
      </c>
    </row>
    <row r="244" spans="1:23" x14ac:dyDescent="0.55000000000000004">
      <c r="A244" t="str">
        <f t="shared" si="17"/>
        <v>MayMayAFG NC - DCL KY</v>
      </c>
      <c r="B244" s="3" t="s">
        <v>20</v>
      </c>
      <c r="C244" s="4" t="s">
        <v>150</v>
      </c>
      <c r="D244" s="4" t="s">
        <v>866</v>
      </c>
      <c r="E244" s="5">
        <v>43250</v>
      </c>
      <c r="F244" s="4" t="s">
        <v>842</v>
      </c>
      <c r="G244" s="4" t="s">
        <v>867</v>
      </c>
      <c r="H244" s="4" t="s">
        <v>868</v>
      </c>
      <c r="I244" s="4" t="s">
        <v>154</v>
      </c>
      <c r="J244" s="4" t="s">
        <v>27</v>
      </c>
      <c r="K244" s="6">
        <v>1550</v>
      </c>
      <c r="L244" s="6">
        <v>0</v>
      </c>
      <c r="M244" s="6">
        <v>1550</v>
      </c>
      <c r="N244" s="6"/>
      <c r="O244" s="33" t="s">
        <v>867</v>
      </c>
      <c r="P244" t="s">
        <v>173</v>
      </c>
      <c r="Q244" s="8"/>
      <c r="R244" s="8"/>
      <c r="S244" s="9">
        <v>43221</v>
      </c>
      <c r="T244" s="8">
        <v>5</v>
      </c>
      <c r="U244" s="8" t="str">
        <f t="shared" si="21"/>
        <v>May</v>
      </c>
      <c r="V244">
        <f t="shared" si="18"/>
        <v>5</v>
      </c>
      <c r="W244" s="8" t="str">
        <f t="shared" si="19"/>
        <v>May</v>
      </c>
    </row>
    <row r="245" spans="1:23" x14ac:dyDescent="0.55000000000000004">
      <c r="A245" t="str">
        <f t="shared" si="17"/>
        <v>MayMayAFG NC - DCL KY</v>
      </c>
      <c r="B245" s="3" t="s">
        <v>20</v>
      </c>
      <c r="C245" s="4" t="s">
        <v>150</v>
      </c>
      <c r="D245" s="4" t="s">
        <v>869</v>
      </c>
      <c r="E245" s="5">
        <v>43250</v>
      </c>
      <c r="F245" s="4" t="s">
        <v>842</v>
      </c>
      <c r="G245" s="4" t="s">
        <v>870</v>
      </c>
      <c r="H245" s="4" t="s">
        <v>871</v>
      </c>
      <c r="I245" s="4" t="s">
        <v>154</v>
      </c>
      <c r="J245" s="4" t="s">
        <v>27</v>
      </c>
      <c r="K245" s="6">
        <v>11200</v>
      </c>
      <c r="L245" s="6">
        <v>0</v>
      </c>
      <c r="M245" s="6">
        <v>11200</v>
      </c>
      <c r="N245" s="6"/>
      <c r="O245" s="33" t="s">
        <v>870</v>
      </c>
      <c r="P245" t="s">
        <v>173</v>
      </c>
      <c r="Q245" s="8"/>
      <c r="R245" s="8"/>
      <c r="S245" s="9">
        <v>43221</v>
      </c>
      <c r="T245" s="8">
        <v>5</v>
      </c>
      <c r="U245" s="8" t="str">
        <f t="shared" si="21"/>
        <v>May</v>
      </c>
      <c r="V245">
        <f t="shared" si="18"/>
        <v>5</v>
      </c>
      <c r="W245" s="8" t="str">
        <f t="shared" si="19"/>
        <v>May</v>
      </c>
    </row>
    <row r="246" spans="1:23" x14ac:dyDescent="0.55000000000000004">
      <c r="A246" t="str">
        <f t="shared" si="17"/>
        <v>MayMayAFG NC - DCL KY</v>
      </c>
      <c r="B246" s="3" t="s">
        <v>20</v>
      </c>
      <c r="C246" s="4" t="s">
        <v>150</v>
      </c>
      <c r="D246" s="4" t="s">
        <v>872</v>
      </c>
      <c r="E246" s="5">
        <v>43250</v>
      </c>
      <c r="F246" s="4" t="s">
        <v>842</v>
      </c>
      <c r="G246" s="4" t="s">
        <v>873</v>
      </c>
      <c r="H246" s="4" t="s">
        <v>874</v>
      </c>
      <c r="I246" s="4" t="s">
        <v>154</v>
      </c>
      <c r="J246" s="4" t="s">
        <v>27</v>
      </c>
      <c r="K246" s="6">
        <v>3100</v>
      </c>
      <c r="L246" s="6">
        <v>0</v>
      </c>
      <c r="M246" s="6">
        <v>3100</v>
      </c>
      <c r="N246" s="6"/>
      <c r="O246" s="33" t="s">
        <v>873</v>
      </c>
      <c r="P246" t="s">
        <v>173</v>
      </c>
      <c r="Q246" s="8"/>
      <c r="R246" s="8"/>
      <c r="S246" s="9">
        <v>43221</v>
      </c>
      <c r="T246" s="8">
        <v>5</v>
      </c>
      <c r="U246" s="8" t="str">
        <f t="shared" si="21"/>
        <v>May</v>
      </c>
      <c r="V246">
        <f t="shared" si="18"/>
        <v>5</v>
      </c>
      <c r="W246" s="8" t="str">
        <f t="shared" si="19"/>
        <v>May</v>
      </c>
    </row>
    <row r="247" spans="1:23" x14ac:dyDescent="0.55000000000000004">
      <c r="A247" t="str">
        <f t="shared" si="17"/>
        <v>MayMayAFG NC - DCL KY</v>
      </c>
      <c r="B247" s="3" t="s">
        <v>20</v>
      </c>
      <c r="C247" s="4" t="s">
        <v>150</v>
      </c>
      <c r="D247" s="4" t="s">
        <v>875</v>
      </c>
      <c r="E247" s="5">
        <v>43250</v>
      </c>
      <c r="F247" s="4" t="s">
        <v>842</v>
      </c>
      <c r="G247" s="4" t="s">
        <v>876</v>
      </c>
      <c r="H247" s="4" t="s">
        <v>877</v>
      </c>
      <c r="I247" s="4" t="s">
        <v>154</v>
      </c>
      <c r="J247" s="4" t="s">
        <v>27</v>
      </c>
      <c r="K247" s="6">
        <v>8275</v>
      </c>
      <c r="L247" s="6">
        <v>0</v>
      </c>
      <c r="M247" s="6">
        <v>8275</v>
      </c>
      <c r="N247" s="6"/>
      <c r="O247" s="33" t="s">
        <v>876</v>
      </c>
      <c r="P247" t="s">
        <v>173</v>
      </c>
      <c r="Q247" s="8"/>
      <c r="R247" s="8"/>
      <c r="S247" s="9">
        <v>43221</v>
      </c>
      <c r="T247" s="8">
        <v>5</v>
      </c>
      <c r="U247" s="8" t="str">
        <f t="shared" si="21"/>
        <v>May</v>
      </c>
      <c r="V247">
        <f t="shared" si="18"/>
        <v>5</v>
      </c>
      <c r="W247" s="8" t="str">
        <f t="shared" si="19"/>
        <v>May</v>
      </c>
    </row>
    <row r="248" spans="1:23" x14ac:dyDescent="0.55000000000000004">
      <c r="A248" t="str">
        <f t="shared" si="17"/>
        <v>MayMayAFG NC - DCL KY</v>
      </c>
      <c r="B248" s="3" t="s">
        <v>20</v>
      </c>
      <c r="C248" s="4" t="s">
        <v>150</v>
      </c>
      <c r="D248" s="4" t="s">
        <v>878</v>
      </c>
      <c r="E248" s="5">
        <v>43250</v>
      </c>
      <c r="F248" s="4" t="s">
        <v>842</v>
      </c>
      <c r="G248" s="4" t="s">
        <v>867</v>
      </c>
      <c r="H248" s="4" t="s">
        <v>879</v>
      </c>
      <c r="I248" s="4" t="s">
        <v>154</v>
      </c>
      <c r="J248" s="4" t="s">
        <v>27</v>
      </c>
      <c r="K248" s="6">
        <v>5350</v>
      </c>
      <c r="L248" s="6">
        <v>0</v>
      </c>
      <c r="M248" s="6">
        <v>5350</v>
      </c>
      <c r="N248" s="6"/>
      <c r="O248" s="33" t="s">
        <v>867</v>
      </c>
      <c r="P248" t="s">
        <v>173</v>
      </c>
      <c r="Q248" s="8"/>
      <c r="R248" s="8"/>
      <c r="S248" s="9">
        <v>43221</v>
      </c>
      <c r="T248" s="8">
        <v>5</v>
      </c>
      <c r="U248" s="8" t="str">
        <f t="shared" si="21"/>
        <v>May</v>
      </c>
      <c r="V248">
        <f t="shared" si="18"/>
        <v>5</v>
      </c>
      <c r="W248" s="8" t="str">
        <f t="shared" si="19"/>
        <v>May</v>
      </c>
    </row>
    <row r="249" spans="1:23" x14ac:dyDescent="0.55000000000000004">
      <c r="A249" t="str">
        <f t="shared" si="17"/>
        <v>MayMayAFG NC - DCL KY</v>
      </c>
      <c r="B249" s="3" t="s">
        <v>20</v>
      </c>
      <c r="C249" s="4" t="s">
        <v>150</v>
      </c>
      <c r="D249" s="4" t="s">
        <v>880</v>
      </c>
      <c r="E249" s="5">
        <v>43251</v>
      </c>
      <c r="F249" s="4" t="s">
        <v>842</v>
      </c>
      <c r="G249" s="4" t="s">
        <v>881</v>
      </c>
      <c r="H249" s="4" t="s">
        <v>882</v>
      </c>
      <c r="I249" s="4" t="s">
        <v>154</v>
      </c>
      <c r="J249" s="4" t="s">
        <v>27</v>
      </c>
      <c r="K249" s="6">
        <v>9650</v>
      </c>
      <c r="L249" s="6">
        <v>0</v>
      </c>
      <c r="M249" s="6">
        <v>9650</v>
      </c>
      <c r="N249" s="6"/>
      <c r="O249" s="33" t="s">
        <v>881</v>
      </c>
      <c r="P249" t="s">
        <v>173</v>
      </c>
      <c r="Q249" s="8"/>
      <c r="R249" s="8"/>
      <c r="S249" s="9">
        <v>43221</v>
      </c>
      <c r="T249" s="8">
        <v>5</v>
      </c>
      <c r="U249" s="8" t="str">
        <f t="shared" si="21"/>
        <v>May</v>
      </c>
      <c r="V249">
        <f t="shared" si="18"/>
        <v>5</v>
      </c>
      <c r="W249" s="8" t="str">
        <f t="shared" si="19"/>
        <v>May</v>
      </c>
    </row>
    <row r="250" spans="1:23" x14ac:dyDescent="0.55000000000000004">
      <c r="A250" t="str">
        <f t="shared" si="17"/>
        <v>MayMayChina - DCL KY</v>
      </c>
      <c r="B250" s="3" t="s">
        <v>20</v>
      </c>
      <c r="C250" s="4" t="s">
        <v>150</v>
      </c>
      <c r="D250" s="4" t="s">
        <v>987</v>
      </c>
      <c r="E250" s="5">
        <v>43245</v>
      </c>
      <c r="F250" s="4" t="s">
        <v>842</v>
      </c>
      <c r="G250" s="4" t="s">
        <v>988</v>
      </c>
      <c r="H250" s="4" t="s">
        <v>989</v>
      </c>
      <c r="I250" s="4" t="s">
        <v>646</v>
      </c>
      <c r="J250" s="4" t="s">
        <v>27</v>
      </c>
      <c r="K250" s="32">
        <v>9984.5300000000007</v>
      </c>
      <c r="L250" s="6">
        <v>0</v>
      </c>
      <c r="M250" s="6">
        <v>9984.5300000000007</v>
      </c>
      <c r="N250" s="6"/>
      <c r="O250" s="33" t="s">
        <v>988</v>
      </c>
      <c r="P250" t="s">
        <v>82</v>
      </c>
      <c r="Q250" s="8"/>
      <c r="R250" s="8"/>
      <c r="S250" s="9">
        <v>43221</v>
      </c>
      <c r="T250" s="8">
        <v>5</v>
      </c>
      <c r="U250" s="8" t="str">
        <f t="shared" si="21"/>
        <v>May</v>
      </c>
      <c r="V250">
        <f t="shared" si="18"/>
        <v>5</v>
      </c>
      <c r="W250" s="8" t="str">
        <f t="shared" si="19"/>
        <v>May</v>
      </c>
    </row>
    <row r="251" spans="1:23" x14ac:dyDescent="0.55000000000000004">
      <c r="A251" t="str">
        <f t="shared" si="17"/>
        <v>MayMayChina - DCL KY</v>
      </c>
      <c r="B251" s="3" t="s">
        <v>20</v>
      </c>
      <c r="C251" s="4" t="s">
        <v>150</v>
      </c>
      <c r="D251" s="4" t="s">
        <v>990</v>
      </c>
      <c r="E251" s="5">
        <v>43245</v>
      </c>
      <c r="F251" s="4" t="s">
        <v>842</v>
      </c>
      <c r="G251" s="4" t="s">
        <v>988</v>
      </c>
      <c r="H251" s="4" t="s">
        <v>991</v>
      </c>
      <c r="I251" s="4" t="s">
        <v>646</v>
      </c>
      <c r="J251" s="4" t="s">
        <v>27</v>
      </c>
      <c r="K251" s="32">
        <v>18009.23</v>
      </c>
      <c r="L251" s="6">
        <v>0</v>
      </c>
      <c r="M251" s="6">
        <v>18009.23</v>
      </c>
      <c r="N251" s="6"/>
      <c r="O251" s="33" t="s">
        <v>988</v>
      </c>
      <c r="P251" t="s">
        <v>82</v>
      </c>
      <c r="Q251" s="8"/>
      <c r="R251" s="8"/>
      <c r="S251" s="9">
        <v>43221</v>
      </c>
      <c r="T251" s="8">
        <v>5</v>
      </c>
      <c r="U251" s="8" t="str">
        <f t="shared" si="21"/>
        <v>May</v>
      </c>
      <c r="V251">
        <f t="shared" si="18"/>
        <v>5</v>
      </c>
      <c r="W251" s="8" t="str">
        <f t="shared" si="19"/>
        <v>May</v>
      </c>
    </row>
    <row r="252" spans="1:23" x14ac:dyDescent="0.55000000000000004">
      <c r="A252" t="str">
        <f t="shared" si="17"/>
        <v>MayMayHong Kong - DCL KY</v>
      </c>
      <c r="B252" s="3" t="s">
        <v>20</v>
      </c>
      <c r="C252" s="4" t="s">
        <v>150</v>
      </c>
      <c r="D252" s="4" t="s">
        <v>1050</v>
      </c>
      <c r="E252" s="5">
        <v>43245</v>
      </c>
      <c r="F252" s="4" t="s">
        <v>842</v>
      </c>
      <c r="G252" s="4" t="s">
        <v>1051</v>
      </c>
      <c r="H252" s="4" t="s">
        <v>1052</v>
      </c>
      <c r="I252" s="4" t="s">
        <v>646</v>
      </c>
      <c r="J252" s="4" t="s">
        <v>27</v>
      </c>
      <c r="K252" s="32">
        <v>1522.23</v>
      </c>
      <c r="L252" s="6">
        <v>0</v>
      </c>
      <c r="M252" s="6">
        <v>1522.23</v>
      </c>
      <c r="N252" s="6"/>
      <c r="O252" s="33" t="s">
        <v>1051</v>
      </c>
      <c r="P252" s="3" t="s">
        <v>39</v>
      </c>
      <c r="Q252" s="8"/>
      <c r="R252" s="8"/>
      <c r="S252" s="9">
        <v>43221</v>
      </c>
      <c r="T252" s="8">
        <v>5</v>
      </c>
      <c r="U252" s="8" t="str">
        <f t="shared" si="21"/>
        <v>May</v>
      </c>
      <c r="V252">
        <f t="shared" si="18"/>
        <v>5</v>
      </c>
      <c r="W252" s="8" t="str">
        <f t="shared" si="19"/>
        <v>May</v>
      </c>
    </row>
    <row r="253" spans="1:23" x14ac:dyDescent="0.55000000000000004">
      <c r="A253" t="str">
        <f t="shared" si="17"/>
        <v>MayMayHong Kong - Phillips WI</v>
      </c>
      <c r="B253" s="3" t="s">
        <v>20</v>
      </c>
      <c r="C253" s="4" t="s">
        <v>150</v>
      </c>
      <c r="D253" s="4" t="s">
        <v>1053</v>
      </c>
      <c r="E253" s="5">
        <v>43245</v>
      </c>
      <c r="F253" s="4" t="s">
        <v>842</v>
      </c>
      <c r="G253" s="4" t="s">
        <v>1054</v>
      </c>
      <c r="H253" s="4" t="s">
        <v>1055</v>
      </c>
      <c r="I253" s="4" t="s">
        <v>646</v>
      </c>
      <c r="J253" s="4" t="s">
        <v>27</v>
      </c>
      <c r="K253" s="32">
        <v>9461.81</v>
      </c>
      <c r="L253" s="6">
        <v>0</v>
      </c>
      <c r="M253" s="6">
        <v>9461.81</v>
      </c>
      <c r="N253" s="6"/>
      <c r="O253" s="33" t="s">
        <v>1054</v>
      </c>
      <c r="P253" s="3" t="s">
        <v>65</v>
      </c>
      <c r="Q253" s="8"/>
      <c r="R253" s="8"/>
      <c r="S253" s="9">
        <v>43221</v>
      </c>
      <c r="T253" s="8">
        <v>5</v>
      </c>
      <c r="U253" s="8" t="str">
        <f t="shared" si="21"/>
        <v>May</v>
      </c>
      <c r="V253">
        <f t="shared" si="18"/>
        <v>5</v>
      </c>
      <c r="W253" s="8" t="str">
        <f t="shared" si="19"/>
        <v>May</v>
      </c>
    </row>
    <row r="254" spans="1:23" x14ac:dyDescent="0.55000000000000004">
      <c r="A254" t="str">
        <f t="shared" si="17"/>
        <v>MayMayHong Kong - Phillips WI</v>
      </c>
      <c r="B254" s="3" t="s">
        <v>20</v>
      </c>
      <c r="C254" s="4" t="s">
        <v>150</v>
      </c>
      <c r="D254" s="4" t="s">
        <v>1056</v>
      </c>
      <c r="E254" s="5">
        <v>43245</v>
      </c>
      <c r="F254" s="4" t="s">
        <v>842</v>
      </c>
      <c r="G254" s="4" t="s">
        <v>1057</v>
      </c>
      <c r="H254" s="4" t="s">
        <v>1058</v>
      </c>
      <c r="I254" s="4" t="s">
        <v>646</v>
      </c>
      <c r="J254" s="4" t="s">
        <v>27</v>
      </c>
      <c r="K254" s="32">
        <v>16928.59</v>
      </c>
      <c r="L254" s="6">
        <v>0</v>
      </c>
      <c r="M254" s="6">
        <v>16928.59</v>
      </c>
      <c r="N254" s="6"/>
      <c r="O254" s="33" t="s">
        <v>1057</v>
      </c>
      <c r="P254" s="3" t="s">
        <v>65</v>
      </c>
      <c r="Q254" s="8"/>
      <c r="R254" s="8"/>
      <c r="S254" s="9">
        <v>43221</v>
      </c>
      <c r="T254" s="8">
        <v>5</v>
      </c>
      <c r="U254" s="8" t="str">
        <f t="shared" si="21"/>
        <v>May</v>
      </c>
      <c r="V254">
        <f t="shared" si="18"/>
        <v>5</v>
      </c>
      <c r="W254" s="8" t="str">
        <f t="shared" si="19"/>
        <v>May</v>
      </c>
    </row>
    <row r="255" spans="1:23" x14ac:dyDescent="0.55000000000000004">
      <c r="A255" t="str">
        <f t="shared" si="17"/>
        <v>MayMayChina - DECI NC</v>
      </c>
      <c r="B255" s="3" t="s">
        <v>20</v>
      </c>
      <c r="C255" s="4" t="s">
        <v>150</v>
      </c>
      <c r="D255" s="4" t="s">
        <v>1059</v>
      </c>
      <c r="E255" s="5">
        <v>43245</v>
      </c>
      <c r="F255" s="4" t="s">
        <v>842</v>
      </c>
      <c r="G255" s="4" t="s">
        <v>1060</v>
      </c>
      <c r="H255" s="4" t="s">
        <v>1061</v>
      </c>
      <c r="I255" s="4" t="s">
        <v>646</v>
      </c>
      <c r="J255" s="4" t="s">
        <v>27</v>
      </c>
      <c r="K255" s="32">
        <v>57591.86</v>
      </c>
      <c r="L255" s="6">
        <v>0</v>
      </c>
      <c r="M255" s="6">
        <v>57591.86</v>
      </c>
      <c r="N255" s="6"/>
      <c r="O255" s="33" t="s">
        <v>1060</v>
      </c>
      <c r="P255" s="3" t="s">
        <v>97</v>
      </c>
      <c r="Q255" s="8"/>
      <c r="R255" s="8"/>
      <c r="S255" s="9">
        <v>43221</v>
      </c>
      <c r="T255" s="8">
        <v>5</v>
      </c>
      <c r="U255" s="8" t="str">
        <f t="shared" si="21"/>
        <v>May</v>
      </c>
      <c r="V255">
        <f t="shared" si="18"/>
        <v>5</v>
      </c>
      <c r="W255" s="8" t="str">
        <f t="shared" si="19"/>
        <v>May</v>
      </c>
    </row>
    <row r="256" spans="1:23" x14ac:dyDescent="0.55000000000000004">
      <c r="A256" t="str">
        <f t="shared" si="17"/>
        <v>MayMayHong Kong - Flex IL</v>
      </c>
      <c r="B256" s="3" t="s">
        <v>20</v>
      </c>
      <c r="C256" s="4" t="s">
        <v>150</v>
      </c>
      <c r="D256" s="4" t="s">
        <v>1062</v>
      </c>
      <c r="E256" s="5">
        <v>43245</v>
      </c>
      <c r="F256" s="4" t="s">
        <v>842</v>
      </c>
      <c r="G256" s="4" t="s">
        <v>1063</v>
      </c>
      <c r="H256" s="4" t="s">
        <v>1064</v>
      </c>
      <c r="I256" s="4" t="s">
        <v>646</v>
      </c>
      <c r="J256" s="4" t="s">
        <v>27</v>
      </c>
      <c r="K256" s="32">
        <v>5079.68</v>
      </c>
      <c r="L256" s="6">
        <v>0</v>
      </c>
      <c r="M256" s="6">
        <v>5079.68</v>
      </c>
      <c r="N256" s="6"/>
      <c r="O256" s="33" t="s">
        <v>1063</v>
      </c>
      <c r="P256" t="s">
        <v>111</v>
      </c>
      <c r="Q256" s="8"/>
      <c r="R256" s="8"/>
      <c r="S256" s="9">
        <v>43221</v>
      </c>
      <c r="T256" s="8">
        <v>5</v>
      </c>
      <c r="U256" s="8" t="str">
        <f t="shared" si="21"/>
        <v>May</v>
      </c>
      <c r="V256">
        <f t="shared" si="18"/>
        <v>5</v>
      </c>
      <c r="W256" s="8" t="str">
        <f t="shared" si="19"/>
        <v>May</v>
      </c>
    </row>
    <row r="257" spans="1:23" x14ac:dyDescent="0.55000000000000004">
      <c r="A257" t="str">
        <f t="shared" si="17"/>
        <v>MayMayPhillips WI - DCL KY</v>
      </c>
      <c r="B257" s="3" t="s">
        <v>20</v>
      </c>
      <c r="C257" s="4" t="s">
        <v>150</v>
      </c>
      <c r="D257" s="4" t="s">
        <v>1065</v>
      </c>
      <c r="E257" s="5">
        <v>43244</v>
      </c>
      <c r="F257" s="4" t="s">
        <v>842</v>
      </c>
      <c r="G257" s="4" t="s">
        <v>1066</v>
      </c>
      <c r="H257" s="4" t="s">
        <v>1067</v>
      </c>
      <c r="I257" s="4" t="s">
        <v>646</v>
      </c>
      <c r="J257" s="4" t="s">
        <v>27</v>
      </c>
      <c r="K257" s="32">
        <v>5825</v>
      </c>
      <c r="L257" s="6">
        <v>0</v>
      </c>
      <c r="M257" s="6">
        <v>5825</v>
      </c>
      <c r="N257" s="6"/>
      <c r="O257" s="33" t="s">
        <v>1066</v>
      </c>
      <c r="P257" t="s">
        <v>29</v>
      </c>
      <c r="Q257" s="8"/>
      <c r="R257" s="8"/>
      <c r="S257" s="9">
        <v>43221</v>
      </c>
      <c r="T257" s="8">
        <v>5</v>
      </c>
      <c r="U257" s="8" t="str">
        <f t="shared" si="21"/>
        <v>May</v>
      </c>
      <c r="V257">
        <f t="shared" si="18"/>
        <v>5</v>
      </c>
      <c r="W257" s="8" t="str">
        <f t="shared" si="19"/>
        <v>May</v>
      </c>
    </row>
    <row r="258" spans="1:23" x14ac:dyDescent="0.55000000000000004">
      <c r="A258" t="str">
        <f t="shared" si="17"/>
        <v>MayMayAFG NC - DCL KY</v>
      </c>
      <c r="B258" s="3" t="s">
        <v>20</v>
      </c>
      <c r="C258" s="4" t="s">
        <v>150</v>
      </c>
      <c r="D258" s="4" t="s">
        <v>1068</v>
      </c>
      <c r="E258" s="5">
        <v>43242</v>
      </c>
      <c r="F258" s="4" t="s">
        <v>842</v>
      </c>
      <c r="G258" s="4" t="s">
        <v>1069</v>
      </c>
      <c r="H258" s="4" t="s">
        <v>1070</v>
      </c>
      <c r="I258" s="4" t="s">
        <v>646</v>
      </c>
      <c r="J258" s="4" t="s">
        <v>27</v>
      </c>
      <c r="K258" s="32">
        <v>1368.64</v>
      </c>
      <c r="L258" s="6">
        <v>0</v>
      </c>
      <c r="M258" s="6">
        <v>1368.64</v>
      </c>
      <c r="N258" s="6"/>
      <c r="O258" s="33" t="s">
        <v>1069</v>
      </c>
      <c r="P258" t="s">
        <v>173</v>
      </c>
      <c r="Q258" s="8"/>
      <c r="R258" s="8"/>
      <c r="S258" s="9">
        <v>43221</v>
      </c>
      <c r="T258" s="8">
        <v>5</v>
      </c>
      <c r="U258" s="8" t="str">
        <f t="shared" si="21"/>
        <v>May</v>
      </c>
      <c r="V258">
        <f t="shared" si="18"/>
        <v>5</v>
      </c>
      <c r="W258" s="8" t="str">
        <f t="shared" si="19"/>
        <v>May</v>
      </c>
    </row>
    <row r="259" spans="1:23" x14ac:dyDescent="0.55000000000000004">
      <c r="A259" t="str">
        <f t="shared" ref="A259:A322" si="22">U259&amp;W259&amp;P259</f>
        <v>MayMayShanghai - DCL KY</v>
      </c>
      <c r="B259" s="3" t="s">
        <v>20</v>
      </c>
      <c r="C259" s="4" t="s">
        <v>150</v>
      </c>
      <c r="D259" s="4" t="s">
        <v>1071</v>
      </c>
      <c r="E259" s="5">
        <v>43238</v>
      </c>
      <c r="F259" s="4" t="s">
        <v>842</v>
      </c>
      <c r="G259" s="4" t="s">
        <v>1072</v>
      </c>
      <c r="H259" s="4" t="s">
        <v>1073</v>
      </c>
      <c r="I259" s="4" t="s">
        <v>646</v>
      </c>
      <c r="J259" s="4" t="s">
        <v>27</v>
      </c>
      <c r="K259" s="32">
        <v>73190.63</v>
      </c>
      <c r="L259" s="6">
        <v>0</v>
      </c>
      <c r="M259" s="6">
        <v>73190.63</v>
      </c>
      <c r="N259" s="6"/>
      <c r="O259" s="33" t="s">
        <v>1072</v>
      </c>
      <c r="P259" s="3" t="s">
        <v>44</v>
      </c>
      <c r="Q259" s="8"/>
      <c r="R259" s="8"/>
      <c r="S259" s="9">
        <v>43221</v>
      </c>
      <c r="T259" s="8">
        <v>5</v>
      </c>
      <c r="U259" s="8" t="str">
        <f t="shared" si="21"/>
        <v>May</v>
      </c>
      <c r="V259">
        <f t="shared" ref="V259:V322" si="23">MONTH(S259)</f>
        <v>5</v>
      </c>
      <c r="W259" s="8" t="str">
        <f t="shared" ref="W259:W322" si="24">IF(V259=6,"June",IF(V259=5,"May",IF(V259=4,"April",IF(V259=3,"March",IF(V259=7,"July",IF(V259=2,"February",0))))))</f>
        <v>May</v>
      </c>
    </row>
    <row r="260" spans="1:23" x14ac:dyDescent="0.55000000000000004">
      <c r="A260" t="str">
        <f t="shared" si="22"/>
        <v>MayMayAFG NC - DCL KY</v>
      </c>
      <c r="B260" s="3" t="s">
        <v>20</v>
      </c>
      <c r="C260" s="4" t="s">
        <v>150</v>
      </c>
      <c r="D260" s="4" t="s">
        <v>1075</v>
      </c>
      <c r="E260" s="5">
        <v>43237</v>
      </c>
      <c r="F260" s="4" t="s">
        <v>842</v>
      </c>
      <c r="G260" s="4" t="s">
        <v>427</v>
      </c>
      <c r="H260" s="4" t="s">
        <v>1076</v>
      </c>
      <c r="I260" s="4" t="s">
        <v>646</v>
      </c>
      <c r="J260" s="4" t="s">
        <v>27</v>
      </c>
      <c r="K260" s="32">
        <v>4650</v>
      </c>
      <c r="L260" s="6">
        <v>0</v>
      </c>
      <c r="M260" s="6">
        <v>4650</v>
      </c>
      <c r="N260" s="6"/>
      <c r="O260" s="33" t="s">
        <v>427</v>
      </c>
      <c r="P260" t="s">
        <v>173</v>
      </c>
      <c r="Q260" s="8"/>
      <c r="R260" s="8"/>
      <c r="S260" s="9">
        <v>43221</v>
      </c>
      <c r="T260" s="8">
        <v>5</v>
      </c>
      <c r="U260" s="8" t="str">
        <f t="shared" si="21"/>
        <v>May</v>
      </c>
      <c r="V260">
        <f t="shared" si="23"/>
        <v>5</v>
      </c>
      <c r="W260" s="8" t="str">
        <f t="shared" si="24"/>
        <v>May</v>
      </c>
    </row>
    <row r="261" spans="1:23" x14ac:dyDescent="0.55000000000000004">
      <c r="A261" t="str">
        <f t="shared" si="22"/>
        <v>MayMayAFG NC - DCL KY</v>
      </c>
      <c r="B261" s="3" t="s">
        <v>20</v>
      </c>
      <c r="C261" s="4" t="s">
        <v>241</v>
      </c>
      <c r="D261" s="4" t="s">
        <v>267</v>
      </c>
      <c r="E261" s="5">
        <v>43244</v>
      </c>
      <c r="F261" s="4" t="s">
        <v>842</v>
      </c>
      <c r="G261" s="4" t="s">
        <v>268</v>
      </c>
      <c r="H261" s="4" t="s">
        <v>269</v>
      </c>
      <c r="I261" s="4" t="s">
        <v>154</v>
      </c>
      <c r="J261" s="4" t="s">
        <v>172</v>
      </c>
      <c r="K261" s="6">
        <v>0</v>
      </c>
      <c r="L261" s="6">
        <v>1550</v>
      </c>
      <c r="M261" s="6">
        <v>-1550</v>
      </c>
      <c r="N261" s="6"/>
      <c r="O261" s="33"/>
      <c r="P261" s="8" t="s">
        <v>173</v>
      </c>
      <c r="Q261" s="8" t="s">
        <v>834</v>
      </c>
      <c r="R261" s="9">
        <v>43221</v>
      </c>
      <c r="S261" s="9">
        <v>43221</v>
      </c>
      <c r="T261" s="8">
        <v>5</v>
      </c>
      <c r="U261" s="8" t="str">
        <f t="shared" si="21"/>
        <v>May</v>
      </c>
      <c r="V261">
        <f t="shared" si="23"/>
        <v>5</v>
      </c>
      <c r="W261" s="8" t="str">
        <f t="shared" si="24"/>
        <v>May</v>
      </c>
    </row>
    <row r="262" spans="1:23" x14ac:dyDescent="0.55000000000000004">
      <c r="A262" t="str">
        <f t="shared" si="22"/>
        <v>MayMayAFG NC - DCL KY</v>
      </c>
      <c r="B262" s="3" t="s">
        <v>20</v>
      </c>
      <c r="C262" s="4" t="s">
        <v>241</v>
      </c>
      <c r="D262" s="4" t="s">
        <v>267</v>
      </c>
      <c r="E262" s="5">
        <v>43250</v>
      </c>
      <c r="F262" s="4" t="s">
        <v>842</v>
      </c>
      <c r="G262" s="4" t="s">
        <v>268</v>
      </c>
      <c r="H262" s="4" t="s">
        <v>269</v>
      </c>
      <c r="I262" s="4" t="s">
        <v>154</v>
      </c>
      <c r="J262" s="4" t="s">
        <v>172</v>
      </c>
      <c r="K262" s="6">
        <v>0</v>
      </c>
      <c r="L262" s="6">
        <v>1550</v>
      </c>
      <c r="M262" s="6">
        <v>-1550</v>
      </c>
      <c r="N262" s="6"/>
      <c r="O262" s="33"/>
      <c r="P262" s="8" t="s">
        <v>173</v>
      </c>
      <c r="Q262" s="8" t="s">
        <v>826</v>
      </c>
      <c r="R262" s="9">
        <v>43221</v>
      </c>
      <c r="S262" s="9">
        <v>43221</v>
      </c>
      <c r="T262" s="8">
        <v>5</v>
      </c>
      <c r="U262" s="8" t="str">
        <f t="shared" si="21"/>
        <v>May</v>
      </c>
      <c r="V262">
        <f t="shared" si="23"/>
        <v>5</v>
      </c>
      <c r="W262" s="8" t="str">
        <f t="shared" si="24"/>
        <v>May</v>
      </c>
    </row>
    <row r="263" spans="1:23" x14ac:dyDescent="0.55000000000000004">
      <c r="A263" t="str">
        <f t="shared" si="22"/>
        <v>MayMayAFG NC - Phillips WI</v>
      </c>
      <c r="B263" s="3" t="s">
        <v>20</v>
      </c>
      <c r="C263" s="4" t="s">
        <v>241</v>
      </c>
      <c r="D263" s="4" t="s">
        <v>267</v>
      </c>
      <c r="E263" s="5">
        <v>43242</v>
      </c>
      <c r="F263" s="4" t="s">
        <v>842</v>
      </c>
      <c r="G263" s="4" t="s">
        <v>268</v>
      </c>
      <c r="H263" s="4" t="s">
        <v>269</v>
      </c>
      <c r="I263" s="4" t="s">
        <v>154</v>
      </c>
      <c r="J263" s="4" t="s">
        <v>172</v>
      </c>
      <c r="K263" s="6">
        <v>0</v>
      </c>
      <c r="L263" s="6">
        <v>1775</v>
      </c>
      <c r="M263" s="6">
        <v>-1775</v>
      </c>
      <c r="N263" s="6"/>
      <c r="O263" s="33"/>
      <c r="P263" s="8" t="s">
        <v>833</v>
      </c>
      <c r="Q263" s="8" t="s">
        <v>832</v>
      </c>
      <c r="R263" s="9">
        <v>43221</v>
      </c>
      <c r="S263" s="9">
        <v>43221</v>
      </c>
      <c r="T263" s="8">
        <v>5</v>
      </c>
      <c r="U263" s="8" t="str">
        <f t="shared" si="21"/>
        <v>May</v>
      </c>
      <c r="V263">
        <f t="shared" si="23"/>
        <v>5</v>
      </c>
      <c r="W263" s="8" t="str">
        <f t="shared" si="24"/>
        <v>May</v>
      </c>
    </row>
    <row r="264" spans="1:23" x14ac:dyDescent="0.55000000000000004">
      <c r="A264" t="str">
        <f t="shared" si="22"/>
        <v>MayMayAFG NC - DCL KY</v>
      </c>
      <c r="B264" s="3" t="s">
        <v>20</v>
      </c>
      <c r="C264" s="4" t="s">
        <v>241</v>
      </c>
      <c r="D264" s="4" t="s">
        <v>267</v>
      </c>
      <c r="E264" s="5">
        <v>43244</v>
      </c>
      <c r="F264" s="4" t="s">
        <v>842</v>
      </c>
      <c r="G264" s="4" t="s">
        <v>268</v>
      </c>
      <c r="H264" s="4" t="s">
        <v>269</v>
      </c>
      <c r="I264" s="4" t="s">
        <v>154</v>
      </c>
      <c r="J264" s="4" t="s">
        <v>172</v>
      </c>
      <c r="K264" s="6">
        <v>0</v>
      </c>
      <c r="L264" s="6">
        <v>3100</v>
      </c>
      <c r="M264" s="6">
        <v>-3100</v>
      </c>
      <c r="N264" s="6"/>
      <c r="O264" s="33"/>
      <c r="P264" s="8" t="s">
        <v>173</v>
      </c>
      <c r="Q264" s="8" t="s">
        <v>835</v>
      </c>
      <c r="R264" s="9">
        <v>43221</v>
      </c>
      <c r="S264" s="9">
        <v>43221</v>
      </c>
      <c r="T264" s="8">
        <v>5</v>
      </c>
      <c r="U264" s="8" t="str">
        <f t="shared" si="21"/>
        <v>May</v>
      </c>
      <c r="V264">
        <f t="shared" si="23"/>
        <v>5</v>
      </c>
      <c r="W264" s="8" t="str">
        <f t="shared" si="24"/>
        <v>May</v>
      </c>
    </row>
    <row r="265" spans="1:23" x14ac:dyDescent="0.55000000000000004">
      <c r="A265" t="str">
        <f t="shared" si="22"/>
        <v>MayMayAFG NC - DCL KY</v>
      </c>
      <c r="B265" s="3" t="s">
        <v>20</v>
      </c>
      <c r="C265" s="4" t="s">
        <v>241</v>
      </c>
      <c r="D265" s="4" t="s">
        <v>267</v>
      </c>
      <c r="E265" s="5">
        <v>43250</v>
      </c>
      <c r="F265" s="4" t="s">
        <v>842</v>
      </c>
      <c r="G265" s="4" t="s">
        <v>268</v>
      </c>
      <c r="H265" s="4" t="s">
        <v>269</v>
      </c>
      <c r="I265" s="4" t="s">
        <v>154</v>
      </c>
      <c r="J265" s="4" t="s">
        <v>172</v>
      </c>
      <c r="K265" s="6">
        <v>0</v>
      </c>
      <c r="L265" s="6">
        <v>3100</v>
      </c>
      <c r="M265" s="6">
        <v>-3100</v>
      </c>
      <c r="N265" s="6"/>
      <c r="O265" s="33"/>
      <c r="P265" s="8" t="s">
        <v>173</v>
      </c>
      <c r="Q265" s="8" t="s">
        <v>828</v>
      </c>
      <c r="R265" s="9">
        <v>43221</v>
      </c>
      <c r="S265" s="9">
        <v>43221</v>
      </c>
      <c r="T265" s="8">
        <v>5</v>
      </c>
      <c r="U265" s="8" t="str">
        <f t="shared" si="21"/>
        <v>May</v>
      </c>
      <c r="V265">
        <f t="shared" si="23"/>
        <v>5</v>
      </c>
      <c r="W265" s="8" t="str">
        <f t="shared" si="24"/>
        <v>May</v>
      </c>
    </row>
    <row r="266" spans="1:23" x14ac:dyDescent="0.55000000000000004">
      <c r="A266" t="str">
        <f t="shared" si="22"/>
        <v>MayMayAFG NC - DCL KY</v>
      </c>
      <c r="B266" s="3" t="s">
        <v>20</v>
      </c>
      <c r="C266" s="4" t="s">
        <v>241</v>
      </c>
      <c r="D266" s="4" t="s">
        <v>267</v>
      </c>
      <c r="E266" s="5">
        <v>43244</v>
      </c>
      <c r="F266" s="4" t="s">
        <v>842</v>
      </c>
      <c r="G266" s="4" t="s">
        <v>268</v>
      </c>
      <c r="H266" s="4" t="s">
        <v>269</v>
      </c>
      <c r="I266" s="4" t="s">
        <v>154</v>
      </c>
      <c r="J266" s="4" t="s">
        <v>172</v>
      </c>
      <c r="K266" s="6">
        <v>0</v>
      </c>
      <c r="L266" s="6">
        <v>4650</v>
      </c>
      <c r="M266" s="6">
        <v>-4650</v>
      </c>
      <c r="N266" s="6"/>
      <c r="O266" s="33"/>
      <c r="P266" s="8" t="s">
        <v>173</v>
      </c>
      <c r="Q266" s="8" t="s">
        <v>836</v>
      </c>
      <c r="R266" s="9">
        <v>43221</v>
      </c>
      <c r="S266" s="9">
        <v>43221</v>
      </c>
      <c r="T266" s="8">
        <v>5</v>
      </c>
      <c r="U266" s="8" t="str">
        <f t="shared" si="21"/>
        <v>May</v>
      </c>
      <c r="V266">
        <f t="shared" si="23"/>
        <v>5</v>
      </c>
      <c r="W266" s="8" t="str">
        <f t="shared" si="24"/>
        <v>May</v>
      </c>
    </row>
    <row r="267" spans="1:23" x14ac:dyDescent="0.55000000000000004">
      <c r="A267" t="str">
        <f t="shared" si="22"/>
        <v>MayMayAFG NC - DCL KY</v>
      </c>
      <c r="B267" s="3" t="s">
        <v>20</v>
      </c>
      <c r="C267" s="4" t="s">
        <v>241</v>
      </c>
      <c r="D267" s="4" t="s">
        <v>267</v>
      </c>
      <c r="E267" s="5">
        <v>43244</v>
      </c>
      <c r="F267" s="4" t="s">
        <v>842</v>
      </c>
      <c r="G267" s="4" t="s">
        <v>268</v>
      </c>
      <c r="H267" s="4" t="s">
        <v>269</v>
      </c>
      <c r="I267" s="4" t="s">
        <v>154</v>
      </c>
      <c r="J267" s="4" t="s">
        <v>172</v>
      </c>
      <c r="K267" s="6">
        <v>0</v>
      </c>
      <c r="L267" s="6">
        <v>4650</v>
      </c>
      <c r="M267" s="6">
        <v>-4650</v>
      </c>
      <c r="N267" s="6"/>
      <c r="O267" s="33"/>
      <c r="P267" s="8" t="s">
        <v>173</v>
      </c>
      <c r="Q267" s="8" t="s">
        <v>837</v>
      </c>
      <c r="R267" s="9">
        <v>43221</v>
      </c>
      <c r="S267" s="9">
        <v>43221</v>
      </c>
      <c r="T267" s="8">
        <v>5</v>
      </c>
      <c r="U267" s="8" t="str">
        <f t="shared" si="21"/>
        <v>May</v>
      </c>
      <c r="V267">
        <f t="shared" si="23"/>
        <v>5</v>
      </c>
      <c r="W267" s="8" t="str">
        <f t="shared" si="24"/>
        <v>May</v>
      </c>
    </row>
    <row r="268" spans="1:23" x14ac:dyDescent="0.55000000000000004">
      <c r="A268" t="str">
        <f t="shared" si="22"/>
        <v>MayMayAFG NC - DCL KY</v>
      </c>
      <c r="B268" s="3" t="s">
        <v>20</v>
      </c>
      <c r="C268" s="4" t="s">
        <v>241</v>
      </c>
      <c r="D268" s="4" t="s">
        <v>267</v>
      </c>
      <c r="E268" s="5">
        <v>43250</v>
      </c>
      <c r="F268" s="4" t="s">
        <v>842</v>
      </c>
      <c r="G268" s="4" t="s">
        <v>268</v>
      </c>
      <c r="H268" s="4" t="s">
        <v>269</v>
      </c>
      <c r="I268" s="4" t="s">
        <v>154</v>
      </c>
      <c r="J268" s="4" t="s">
        <v>172</v>
      </c>
      <c r="K268" s="6">
        <v>0</v>
      </c>
      <c r="L268" s="6">
        <v>5350</v>
      </c>
      <c r="M268" s="6">
        <v>-5350</v>
      </c>
      <c r="N268" s="6"/>
      <c r="O268" s="33"/>
      <c r="P268" s="8" t="s">
        <v>173</v>
      </c>
      <c r="Q268" s="8" t="s">
        <v>827</v>
      </c>
      <c r="R268" s="9">
        <v>43221</v>
      </c>
      <c r="S268" s="9">
        <v>43221</v>
      </c>
      <c r="T268" s="8">
        <v>5</v>
      </c>
      <c r="U268" s="8" t="str">
        <f t="shared" si="21"/>
        <v>May</v>
      </c>
      <c r="V268">
        <f t="shared" si="23"/>
        <v>5</v>
      </c>
      <c r="W268" s="8" t="str">
        <f t="shared" si="24"/>
        <v>May</v>
      </c>
    </row>
    <row r="269" spans="1:23" x14ac:dyDescent="0.55000000000000004">
      <c r="A269" t="str">
        <f t="shared" si="22"/>
        <v>MayMayAFG NC - DCL KY</v>
      </c>
      <c r="B269" s="3" t="s">
        <v>20</v>
      </c>
      <c r="C269" s="4" t="s">
        <v>241</v>
      </c>
      <c r="D269" s="4" t="s">
        <v>267</v>
      </c>
      <c r="E269" s="5">
        <v>43250</v>
      </c>
      <c r="F269" s="4" t="s">
        <v>842</v>
      </c>
      <c r="G269" s="4" t="s">
        <v>268</v>
      </c>
      <c r="H269" s="4" t="s">
        <v>269</v>
      </c>
      <c r="I269" s="4" t="s">
        <v>154</v>
      </c>
      <c r="J269" s="4" t="s">
        <v>172</v>
      </c>
      <c r="K269" s="6">
        <v>0</v>
      </c>
      <c r="L269" s="6">
        <v>8275</v>
      </c>
      <c r="M269" s="6">
        <v>-8275</v>
      </c>
      <c r="N269" s="6"/>
      <c r="O269" s="33"/>
      <c r="P269" s="8" t="s">
        <v>173</v>
      </c>
      <c r="Q269" s="8" t="s">
        <v>829</v>
      </c>
      <c r="R269" s="9">
        <v>43221</v>
      </c>
      <c r="S269" s="9">
        <v>43221</v>
      </c>
      <c r="T269" s="8">
        <v>5</v>
      </c>
      <c r="U269" s="8" t="str">
        <f t="shared" si="21"/>
        <v>May</v>
      </c>
      <c r="V269">
        <f t="shared" si="23"/>
        <v>5</v>
      </c>
      <c r="W269" s="8" t="str">
        <f t="shared" si="24"/>
        <v>May</v>
      </c>
    </row>
    <row r="270" spans="1:23" x14ac:dyDescent="0.55000000000000004">
      <c r="A270" t="str">
        <f t="shared" si="22"/>
        <v>MayMayAFG NC - DCL KY</v>
      </c>
      <c r="B270" s="3" t="s">
        <v>20</v>
      </c>
      <c r="C270" s="4" t="s">
        <v>241</v>
      </c>
      <c r="D270" s="4" t="s">
        <v>267</v>
      </c>
      <c r="E270" s="5">
        <v>43251</v>
      </c>
      <c r="F270" s="4" t="s">
        <v>842</v>
      </c>
      <c r="G270" s="4" t="s">
        <v>268</v>
      </c>
      <c r="H270" s="4" t="s">
        <v>269</v>
      </c>
      <c r="I270" s="4" t="s">
        <v>154</v>
      </c>
      <c r="J270" s="4" t="s">
        <v>172</v>
      </c>
      <c r="K270" s="6">
        <v>0</v>
      </c>
      <c r="L270" s="6">
        <v>9650</v>
      </c>
      <c r="M270" s="6">
        <v>-9650</v>
      </c>
      <c r="N270" s="6"/>
      <c r="O270" s="33"/>
      <c r="P270" s="8" t="s">
        <v>173</v>
      </c>
      <c r="Q270" s="8" t="s">
        <v>831</v>
      </c>
      <c r="R270" s="9">
        <v>43221</v>
      </c>
      <c r="S270" s="9">
        <v>43221</v>
      </c>
      <c r="T270" s="8">
        <v>5</v>
      </c>
      <c r="U270" s="8" t="str">
        <f t="shared" si="21"/>
        <v>May</v>
      </c>
      <c r="V270">
        <f t="shared" si="23"/>
        <v>5</v>
      </c>
      <c r="W270" s="8" t="str">
        <f t="shared" si="24"/>
        <v>May</v>
      </c>
    </row>
    <row r="271" spans="1:23" x14ac:dyDescent="0.55000000000000004">
      <c r="A271" t="str">
        <f t="shared" si="22"/>
        <v>MayMayAFG NC - DCL KY</v>
      </c>
      <c r="B271" s="3" t="s">
        <v>20</v>
      </c>
      <c r="C271" s="4" t="s">
        <v>241</v>
      </c>
      <c r="D271" s="4" t="s">
        <v>267</v>
      </c>
      <c r="E271" s="5">
        <v>43250</v>
      </c>
      <c r="F271" s="4" t="s">
        <v>842</v>
      </c>
      <c r="G271" s="4" t="s">
        <v>268</v>
      </c>
      <c r="H271" s="4" t="s">
        <v>269</v>
      </c>
      <c r="I271" s="4" t="s">
        <v>154</v>
      </c>
      <c r="J271" s="4" t="s">
        <v>172</v>
      </c>
      <c r="K271" s="6">
        <v>0</v>
      </c>
      <c r="L271" s="6">
        <v>11200</v>
      </c>
      <c r="M271" s="6">
        <v>-11200</v>
      </c>
      <c r="N271" s="6"/>
      <c r="O271" s="33"/>
      <c r="P271" s="8" t="s">
        <v>173</v>
      </c>
      <c r="Q271" s="8" t="s">
        <v>830</v>
      </c>
      <c r="R271" s="9">
        <v>43221</v>
      </c>
      <c r="S271" s="9">
        <v>43221</v>
      </c>
      <c r="T271" s="8">
        <v>5</v>
      </c>
      <c r="U271" s="8" t="str">
        <f t="shared" si="21"/>
        <v>May</v>
      </c>
      <c r="V271">
        <f t="shared" si="23"/>
        <v>5</v>
      </c>
      <c r="W271" s="8" t="str">
        <f t="shared" si="24"/>
        <v>May</v>
      </c>
    </row>
    <row r="272" spans="1:23" x14ac:dyDescent="0.55000000000000004">
      <c r="A272" t="str">
        <f t="shared" si="22"/>
        <v>MayMayDECI NC - DCL KY</v>
      </c>
      <c r="B272" s="3" t="s">
        <v>20</v>
      </c>
      <c r="C272" s="4" t="s">
        <v>241</v>
      </c>
      <c r="D272" s="4" t="s">
        <v>267</v>
      </c>
      <c r="E272" s="5">
        <v>43244</v>
      </c>
      <c r="F272" s="4" t="s">
        <v>842</v>
      </c>
      <c r="G272" s="4" t="s">
        <v>268</v>
      </c>
      <c r="H272" s="4" t="s">
        <v>269</v>
      </c>
      <c r="I272" s="4" t="s">
        <v>154</v>
      </c>
      <c r="J272" s="4" t="s">
        <v>172</v>
      </c>
      <c r="K272" s="6">
        <v>0</v>
      </c>
      <c r="L272" s="6">
        <v>12300</v>
      </c>
      <c r="M272" s="6">
        <v>-12300</v>
      </c>
      <c r="N272" s="6"/>
      <c r="O272" s="33"/>
      <c r="P272" s="8" t="s">
        <v>178</v>
      </c>
      <c r="Q272" s="8" t="s">
        <v>838</v>
      </c>
      <c r="R272" s="9">
        <v>43221</v>
      </c>
      <c r="S272" s="9">
        <v>43221</v>
      </c>
      <c r="T272" s="8">
        <v>5</v>
      </c>
      <c r="U272" s="8" t="str">
        <f t="shared" si="21"/>
        <v>May</v>
      </c>
      <c r="V272">
        <f t="shared" si="23"/>
        <v>5</v>
      </c>
      <c r="W272" s="8" t="str">
        <f t="shared" si="24"/>
        <v>May</v>
      </c>
    </row>
    <row r="273" spans="1:23" x14ac:dyDescent="0.55000000000000004">
      <c r="A273" t="str">
        <f t="shared" si="22"/>
        <v>JuneMayPhillips WI - DCL KY</v>
      </c>
      <c r="B273" s="3" t="s">
        <v>20</v>
      </c>
      <c r="C273" s="4" t="s">
        <v>21</v>
      </c>
      <c r="D273" s="4" t="s">
        <v>22</v>
      </c>
      <c r="E273" s="5">
        <v>43255</v>
      </c>
      <c r="F273" s="4" t="s">
        <v>23</v>
      </c>
      <c r="G273" s="4" t="s">
        <v>24</v>
      </c>
      <c r="H273" s="4" t="s">
        <v>25</v>
      </c>
      <c r="I273" s="4" t="s">
        <v>26</v>
      </c>
      <c r="J273" s="4" t="s">
        <v>27</v>
      </c>
      <c r="K273" s="6">
        <v>195.69</v>
      </c>
      <c r="L273" s="6">
        <v>0</v>
      </c>
      <c r="M273" s="6">
        <v>195.69</v>
      </c>
      <c r="N273" s="7" t="s">
        <v>992</v>
      </c>
      <c r="O273" s="8" t="s">
        <v>28</v>
      </c>
      <c r="P273" s="8" t="s">
        <v>29</v>
      </c>
      <c r="Q273" s="8" t="s">
        <v>30</v>
      </c>
      <c r="R273" s="9">
        <v>43221</v>
      </c>
      <c r="S273" s="9">
        <v>43221</v>
      </c>
      <c r="T273" s="8">
        <v>6</v>
      </c>
      <c r="U273" s="8" t="str">
        <f t="shared" ref="U273:U304" si="25">IF(T273=6,"June",IF(T273=5,"May",IF(T273=4,"April",IF(T273=3,"March",0))))</f>
        <v>June</v>
      </c>
      <c r="V273">
        <f t="shared" si="23"/>
        <v>5</v>
      </c>
      <c r="W273" s="8" t="str">
        <f t="shared" si="24"/>
        <v>May</v>
      </c>
    </row>
    <row r="274" spans="1:23" x14ac:dyDescent="0.55000000000000004">
      <c r="A274" t="str">
        <f t="shared" si="22"/>
        <v>JuneMayPhillips WI - DCL KY</v>
      </c>
      <c r="B274" s="3" t="s">
        <v>20</v>
      </c>
      <c r="C274" s="4" t="s">
        <v>21</v>
      </c>
      <c r="D274" s="4" t="s">
        <v>22</v>
      </c>
      <c r="E274" s="5">
        <v>43255</v>
      </c>
      <c r="F274" s="4" t="s">
        <v>23</v>
      </c>
      <c r="G274" s="4" t="s">
        <v>31</v>
      </c>
      <c r="H274" s="4" t="s">
        <v>25</v>
      </c>
      <c r="I274" s="4" t="s">
        <v>26</v>
      </c>
      <c r="J274" s="4" t="s">
        <v>27</v>
      </c>
      <c r="K274" s="6">
        <v>315.25</v>
      </c>
      <c r="L274" s="6">
        <v>0</v>
      </c>
      <c r="M274" s="6">
        <v>315.25</v>
      </c>
      <c r="N274" s="7" t="s">
        <v>992</v>
      </c>
      <c r="O274" s="8" t="s">
        <v>28</v>
      </c>
      <c r="P274" s="8" t="s">
        <v>29</v>
      </c>
      <c r="Q274" s="8" t="s">
        <v>30</v>
      </c>
      <c r="R274" s="9">
        <v>43221</v>
      </c>
      <c r="S274" s="9">
        <v>43221</v>
      </c>
      <c r="T274" s="8">
        <v>6</v>
      </c>
      <c r="U274" s="8" t="str">
        <f t="shared" si="25"/>
        <v>June</v>
      </c>
      <c r="V274">
        <f t="shared" si="23"/>
        <v>5</v>
      </c>
      <c r="W274" s="8" t="str">
        <f t="shared" si="24"/>
        <v>May</v>
      </c>
    </row>
    <row r="275" spans="1:23" x14ac:dyDescent="0.55000000000000004">
      <c r="A275" t="str">
        <f t="shared" si="22"/>
        <v>JuneMayPhillips WI - DCL KY</v>
      </c>
      <c r="B275" s="3" t="s">
        <v>20</v>
      </c>
      <c r="C275" s="4" t="s">
        <v>21</v>
      </c>
      <c r="D275" s="4" t="s">
        <v>22</v>
      </c>
      <c r="E275" s="5">
        <v>43255</v>
      </c>
      <c r="F275" s="4" t="s">
        <v>23</v>
      </c>
      <c r="G275" s="4" t="s">
        <v>32</v>
      </c>
      <c r="H275" s="4" t="s">
        <v>25</v>
      </c>
      <c r="I275" s="4" t="s">
        <v>26</v>
      </c>
      <c r="J275" s="4" t="s">
        <v>33</v>
      </c>
      <c r="K275" s="6">
        <v>10.44</v>
      </c>
      <c r="L275" s="6">
        <v>0</v>
      </c>
      <c r="M275" s="6">
        <v>10.44</v>
      </c>
      <c r="N275" s="7" t="s">
        <v>992</v>
      </c>
      <c r="O275" s="8" t="s">
        <v>28</v>
      </c>
      <c r="P275" s="8" t="s">
        <v>29</v>
      </c>
      <c r="Q275" s="8" t="s">
        <v>30</v>
      </c>
      <c r="R275" s="9">
        <v>43221</v>
      </c>
      <c r="S275" s="9">
        <v>43221</v>
      </c>
      <c r="T275" s="8">
        <v>6</v>
      </c>
      <c r="U275" s="8" t="str">
        <f t="shared" si="25"/>
        <v>June</v>
      </c>
      <c r="V275">
        <f t="shared" si="23"/>
        <v>5</v>
      </c>
      <c r="W275" s="8" t="str">
        <f t="shared" si="24"/>
        <v>May</v>
      </c>
    </row>
    <row r="276" spans="1:23" x14ac:dyDescent="0.55000000000000004">
      <c r="A276" t="str">
        <f t="shared" si="22"/>
        <v>JuneMayPhillips WI - DCL KY</v>
      </c>
      <c r="B276" s="3" t="s">
        <v>20</v>
      </c>
      <c r="C276" s="4" t="s">
        <v>21</v>
      </c>
      <c r="D276" s="4" t="s">
        <v>22</v>
      </c>
      <c r="E276" s="5">
        <v>43255</v>
      </c>
      <c r="F276" s="4" t="s">
        <v>23</v>
      </c>
      <c r="G276" s="4" t="s">
        <v>24</v>
      </c>
      <c r="H276" s="4" t="s">
        <v>25</v>
      </c>
      <c r="I276" s="4" t="s">
        <v>26</v>
      </c>
      <c r="J276" s="4" t="s">
        <v>27</v>
      </c>
      <c r="K276" s="6">
        <v>538.89</v>
      </c>
      <c r="L276" s="6">
        <v>0</v>
      </c>
      <c r="M276" s="6">
        <v>538.89</v>
      </c>
      <c r="N276" s="7" t="s">
        <v>992</v>
      </c>
      <c r="O276" s="8" t="s">
        <v>28</v>
      </c>
      <c r="P276" s="8" t="s">
        <v>29</v>
      </c>
      <c r="Q276" s="8" t="s">
        <v>30</v>
      </c>
      <c r="R276" s="9">
        <v>43221</v>
      </c>
      <c r="S276" s="9">
        <v>43221</v>
      </c>
      <c r="T276" s="8">
        <v>6</v>
      </c>
      <c r="U276" s="8" t="str">
        <f t="shared" si="25"/>
        <v>June</v>
      </c>
      <c r="V276">
        <f t="shared" si="23"/>
        <v>5</v>
      </c>
      <c r="W276" s="8" t="str">
        <f t="shared" si="24"/>
        <v>May</v>
      </c>
    </row>
    <row r="277" spans="1:23" x14ac:dyDescent="0.55000000000000004">
      <c r="A277" t="str">
        <f t="shared" si="22"/>
        <v>JuneMayPhillips WI - DCL KY</v>
      </c>
      <c r="B277" s="3" t="s">
        <v>20</v>
      </c>
      <c r="C277" s="4" t="s">
        <v>21</v>
      </c>
      <c r="D277" s="4" t="s">
        <v>22</v>
      </c>
      <c r="E277" s="5">
        <v>43255</v>
      </c>
      <c r="F277" s="4" t="s">
        <v>23</v>
      </c>
      <c r="G277" s="4" t="s">
        <v>31</v>
      </c>
      <c r="H277" s="4" t="s">
        <v>25</v>
      </c>
      <c r="I277" s="4" t="s">
        <v>26</v>
      </c>
      <c r="J277" s="4" t="s">
        <v>27</v>
      </c>
      <c r="K277" s="6">
        <v>943.06</v>
      </c>
      <c r="L277" s="6">
        <v>0</v>
      </c>
      <c r="M277" s="6">
        <v>943.06</v>
      </c>
      <c r="N277" s="7" t="s">
        <v>992</v>
      </c>
      <c r="O277" s="8" t="s">
        <v>28</v>
      </c>
      <c r="P277" s="8" t="s">
        <v>29</v>
      </c>
      <c r="Q277" s="8" t="s">
        <v>30</v>
      </c>
      <c r="R277" s="9">
        <v>43221</v>
      </c>
      <c r="S277" s="9">
        <v>43221</v>
      </c>
      <c r="T277" s="8">
        <v>6</v>
      </c>
      <c r="U277" s="8" t="str">
        <f t="shared" si="25"/>
        <v>June</v>
      </c>
      <c r="V277">
        <f t="shared" si="23"/>
        <v>5</v>
      </c>
      <c r="W277" s="8" t="str">
        <f t="shared" si="24"/>
        <v>May</v>
      </c>
    </row>
    <row r="278" spans="1:23" x14ac:dyDescent="0.55000000000000004">
      <c r="A278" t="str">
        <f t="shared" si="22"/>
        <v>JuneMayPhillips WI - DCL KY</v>
      </c>
      <c r="B278" s="3" t="s">
        <v>20</v>
      </c>
      <c r="C278" s="4" t="s">
        <v>21</v>
      </c>
      <c r="D278" s="4" t="s">
        <v>22</v>
      </c>
      <c r="E278" s="5">
        <v>43255</v>
      </c>
      <c r="F278" s="4" t="s">
        <v>23</v>
      </c>
      <c r="G278" s="4" t="s">
        <v>34</v>
      </c>
      <c r="H278" s="4" t="s">
        <v>25</v>
      </c>
      <c r="I278" s="4" t="s">
        <v>26</v>
      </c>
      <c r="J278" s="4" t="s">
        <v>27</v>
      </c>
      <c r="K278" s="6">
        <v>3579.03</v>
      </c>
      <c r="L278" s="6">
        <v>0</v>
      </c>
      <c r="M278" s="6">
        <v>3579.03</v>
      </c>
      <c r="N278" s="7" t="s">
        <v>992</v>
      </c>
      <c r="O278" s="8" t="s">
        <v>28</v>
      </c>
      <c r="P278" s="8" t="s">
        <v>29</v>
      </c>
      <c r="Q278" s="8" t="s">
        <v>30</v>
      </c>
      <c r="R278" s="9">
        <v>43221</v>
      </c>
      <c r="S278" s="9">
        <v>43221</v>
      </c>
      <c r="T278" s="8">
        <v>6</v>
      </c>
      <c r="U278" s="8" t="str">
        <f t="shared" si="25"/>
        <v>June</v>
      </c>
      <c r="V278">
        <f t="shared" si="23"/>
        <v>5</v>
      </c>
      <c r="W278" s="8" t="str">
        <f t="shared" si="24"/>
        <v>May</v>
      </c>
    </row>
    <row r="279" spans="1:23" x14ac:dyDescent="0.55000000000000004">
      <c r="A279" t="str">
        <f t="shared" si="22"/>
        <v>JuneMayHong Kong - DCL KY</v>
      </c>
      <c r="B279" s="3" t="s">
        <v>20</v>
      </c>
      <c r="C279" s="4" t="s">
        <v>21</v>
      </c>
      <c r="D279" s="4" t="s">
        <v>35</v>
      </c>
      <c r="E279" s="5">
        <v>43256</v>
      </c>
      <c r="F279" s="4" t="s">
        <v>23</v>
      </c>
      <c r="G279" s="4" t="s">
        <v>36</v>
      </c>
      <c r="H279" s="4" t="s">
        <v>37</v>
      </c>
      <c r="I279" s="4" t="s">
        <v>26</v>
      </c>
      <c r="J279" s="4" t="s">
        <v>27</v>
      </c>
      <c r="K279" s="6">
        <v>8147.9</v>
      </c>
      <c r="L279" s="6">
        <v>0</v>
      </c>
      <c r="M279" s="6">
        <v>8147.9</v>
      </c>
      <c r="N279" s="7" t="s">
        <v>1087</v>
      </c>
      <c r="O279" s="8" t="s">
        <v>38</v>
      </c>
      <c r="P279" s="8" t="s">
        <v>39</v>
      </c>
      <c r="Q279" s="8" t="s">
        <v>40</v>
      </c>
      <c r="R279" s="9">
        <v>43221</v>
      </c>
      <c r="S279" s="9">
        <v>43221</v>
      </c>
      <c r="T279" s="8">
        <v>6</v>
      </c>
      <c r="U279" s="8" t="str">
        <f t="shared" si="25"/>
        <v>June</v>
      </c>
      <c r="V279">
        <f t="shared" si="23"/>
        <v>5</v>
      </c>
      <c r="W279" s="8" t="str">
        <f t="shared" si="24"/>
        <v>May</v>
      </c>
    </row>
    <row r="280" spans="1:23" x14ac:dyDescent="0.55000000000000004">
      <c r="A280" t="str">
        <f t="shared" si="22"/>
        <v>JuneMayHong Kong - DCL KY</v>
      </c>
      <c r="B280" s="3" t="s">
        <v>20</v>
      </c>
      <c r="C280" s="4" t="s">
        <v>21</v>
      </c>
      <c r="D280" s="4" t="s">
        <v>35</v>
      </c>
      <c r="E280" s="5">
        <v>43256</v>
      </c>
      <c r="F280" s="4" t="s">
        <v>23</v>
      </c>
      <c r="G280" s="4" t="s">
        <v>36</v>
      </c>
      <c r="H280" s="4" t="s">
        <v>37</v>
      </c>
      <c r="I280" s="4" t="s">
        <v>26</v>
      </c>
      <c r="J280" s="4" t="s">
        <v>27</v>
      </c>
      <c r="K280" s="6">
        <v>1527.73</v>
      </c>
      <c r="L280" s="6">
        <v>0</v>
      </c>
      <c r="M280" s="6">
        <v>1527.73</v>
      </c>
      <c r="N280" s="7" t="s">
        <v>1087</v>
      </c>
      <c r="O280" s="8" t="s">
        <v>38</v>
      </c>
      <c r="P280" s="8" t="s">
        <v>39</v>
      </c>
      <c r="Q280" s="8" t="s">
        <v>40</v>
      </c>
      <c r="R280" s="9">
        <v>43221</v>
      </c>
      <c r="S280" s="9">
        <v>43221</v>
      </c>
      <c r="T280" s="8">
        <v>6</v>
      </c>
      <c r="U280" s="8" t="str">
        <f t="shared" si="25"/>
        <v>June</v>
      </c>
      <c r="V280">
        <f t="shared" si="23"/>
        <v>5</v>
      </c>
      <c r="W280" s="8" t="str">
        <f t="shared" si="24"/>
        <v>May</v>
      </c>
    </row>
    <row r="281" spans="1:23" x14ac:dyDescent="0.55000000000000004">
      <c r="A281" t="str">
        <f t="shared" si="22"/>
        <v>JuneMayHong Kong - DCL KY</v>
      </c>
      <c r="B281" s="3" t="s">
        <v>20</v>
      </c>
      <c r="C281" s="4" t="s">
        <v>21</v>
      </c>
      <c r="D281" s="4" t="s">
        <v>35</v>
      </c>
      <c r="E281" s="5">
        <v>43256</v>
      </c>
      <c r="F281" s="4" t="s">
        <v>23</v>
      </c>
      <c r="G281" s="4" t="s">
        <v>36</v>
      </c>
      <c r="H281" s="4" t="s">
        <v>37</v>
      </c>
      <c r="I281" s="4" t="s">
        <v>26</v>
      </c>
      <c r="J281" s="4" t="s">
        <v>27</v>
      </c>
      <c r="K281" s="6">
        <v>1320.85</v>
      </c>
      <c r="L281" s="6">
        <v>0</v>
      </c>
      <c r="M281" s="6">
        <v>1320.85</v>
      </c>
      <c r="N281" s="7" t="s">
        <v>1087</v>
      </c>
      <c r="O281" s="8" t="s">
        <v>38</v>
      </c>
      <c r="P281" s="8" t="s">
        <v>39</v>
      </c>
      <c r="Q281" s="8" t="s">
        <v>40</v>
      </c>
      <c r="R281" s="9">
        <v>43221</v>
      </c>
      <c r="S281" s="9">
        <v>43221</v>
      </c>
      <c r="T281" s="8">
        <v>6</v>
      </c>
      <c r="U281" s="8" t="str">
        <f t="shared" si="25"/>
        <v>June</v>
      </c>
      <c r="V281">
        <f t="shared" si="23"/>
        <v>5</v>
      </c>
      <c r="W281" s="8" t="str">
        <f t="shared" si="24"/>
        <v>May</v>
      </c>
    </row>
    <row r="282" spans="1:23" x14ac:dyDescent="0.55000000000000004">
      <c r="A282" t="str">
        <f t="shared" si="22"/>
        <v>JuneMayShanghai - DCL KY</v>
      </c>
      <c r="B282" s="3" t="s">
        <v>20</v>
      </c>
      <c r="C282" s="4" t="s">
        <v>21</v>
      </c>
      <c r="D282" s="4" t="s">
        <v>41</v>
      </c>
      <c r="E282" s="5">
        <v>43256</v>
      </c>
      <c r="F282" s="4" t="s">
        <v>23</v>
      </c>
      <c r="G282" s="4" t="s">
        <v>36</v>
      </c>
      <c r="H282" s="4" t="s">
        <v>42</v>
      </c>
      <c r="I282" s="4" t="s">
        <v>26</v>
      </c>
      <c r="J282" s="4" t="s">
        <v>27</v>
      </c>
      <c r="K282" s="6">
        <v>9825.7099999999991</v>
      </c>
      <c r="L282" s="6">
        <v>0</v>
      </c>
      <c r="M282" s="6">
        <v>9825.7099999999991</v>
      </c>
      <c r="N282" s="7" t="s">
        <v>1088</v>
      </c>
      <c r="O282" s="8" t="s">
        <v>43</v>
      </c>
      <c r="P282" s="8" t="s">
        <v>44</v>
      </c>
      <c r="Q282" s="8" t="s">
        <v>45</v>
      </c>
      <c r="R282" s="9">
        <v>43221</v>
      </c>
      <c r="S282" s="9">
        <v>43221</v>
      </c>
      <c r="T282" s="8">
        <v>6</v>
      </c>
      <c r="U282" s="8" t="str">
        <f t="shared" si="25"/>
        <v>June</v>
      </c>
      <c r="V282">
        <f t="shared" si="23"/>
        <v>5</v>
      </c>
      <c r="W282" s="8" t="str">
        <f t="shared" si="24"/>
        <v>May</v>
      </c>
    </row>
    <row r="283" spans="1:23" x14ac:dyDescent="0.55000000000000004">
      <c r="A283" t="str">
        <f t="shared" si="22"/>
        <v>JuneMayShanghai - DECI NC</v>
      </c>
      <c r="B283" s="3" t="s">
        <v>20</v>
      </c>
      <c r="C283" s="4" t="s">
        <v>21</v>
      </c>
      <c r="D283" s="4" t="s">
        <v>46</v>
      </c>
      <c r="E283" s="5">
        <v>43256</v>
      </c>
      <c r="F283" s="4" t="s">
        <v>23</v>
      </c>
      <c r="G283" s="4" t="s">
        <v>47</v>
      </c>
      <c r="H283" s="4" t="s">
        <v>48</v>
      </c>
      <c r="I283" s="4" t="s">
        <v>26</v>
      </c>
      <c r="J283" s="4" t="s">
        <v>27</v>
      </c>
      <c r="K283" s="6">
        <v>42574.46</v>
      </c>
      <c r="L283" s="6">
        <v>0</v>
      </c>
      <c r="M283" s="6">
        <v>42574.46</v>
      </c>
      <c r="N283" s="7" t="s">
        <v>1089</v>
      </c>
      <c r="O283" s="8" t="s">
        <v>49</v>
      </c>
      <c r="P283" s="8" t="s">
        <v>50</v>
      </c>
      <c r="Q283" s="8" t="s">
        <v>51</v>
      </c>
      <c r="R283" s="9">
        <v>43221</v>
      </c>
      <c r="S283" s="9">
        <v>43221</v>
      </c>
      <c r="T283" s="8">
        <v>6</v>
      </c>
      <c r="U283" s="8" t="str">
        <f t="shared" si="25"/>
        <v>June</v>
      </c>
      <c r="V283">
        <f t="shared" si="23"/>
        <v>5</v>
      </c>
      <c r="W283" s="8" t="str">
        <f t="shared" si="24"/>
        <v>May</v>
      </c>
    </row>
    <row r="284" spans="1:23" x14ac:dyDescent="0.55000000000000004">
      <c r="A284" t="str">
        <f t="shared" si="22"/>
        <v>JuneMayShanghai - DECI NC</v>
      </c>
      <c r="B284" s="3" t="s">
        <v>20</v>
      </c>
      <c r="C284" s="4" t="s">
        <v>21</v>
      </c>
      <c r="D284" s="4" t="s">
        <v>46</v>
      </c>
      <c r="E284" s="5">
        <v>43256</v>
      </c>
      <c r="F284" s="4" t="s">
        <v>23</v>
      </c>
      <c r="G284" s="4" t="s">
        <v>47</v>
      </c>
      <c r="H284" s="4" t="s">
        <v>48</v>
      </c>
      <c r="I284" s="4" t="s">
        <v>26</v>
      </c>
      <c r="J284" s="4" t="s">
        <v>27</v>
      </c>
      <c r="K284" s="6">
        <v>8676.33</v>
      </c>
      <c r="L284" s="6">
        <v>0</v>
      </c>
      <c r="M284" s="6">
        <v>8676.33</v>
      </c>
      <c r="N284" s="7" t="s">
        <v>1089</v>
      </c>
      <c r="O284" s="8" t="s">
        <v>49</v>
      </c>
      <c r="P284" s="8" t="s">
        <v>50</v>
      </c>
      <c r="Q284" s="8" t="s">
        <v>51</v>
      </c>
      <c r="R284" s="9">
        <v>43221</v>
      </c>
      <c r="S284" s="9">
        <v>43221</v>
      </c>
      <c r="T284" s="8">
        <v>6</v>
      </c>
      <c r="U284" s="8" t="str">
        <f t="shared" si="25"/>
        <v>June</v>
      </c>
      <c r="V284">
        <f t="shared" si="23"/>
        <v>5</v>
      </c>
      <c r="W284" s="8" t="str">
        <f t="shared" si="24"/>
        <v>May</v>
      </c>
    </row>
    <row r="285" spans="1:23" x14ac:dyDescent="0.55000000000000004">
      <c r="A285" t="str">
        <f t="shared" si="22"/>
        <v>JuneMayShanghai - DCL KY</v>
      </c>
      <c r="B285" s="3" t="s">
        <v>20</v>
      </c>
      <c r="C285" s="4" t="s">
        <v>21</v>
      </c>
      <c r="D285" s="4" t="s">
        <v>52</v>
      </c>
      <c r="E285" s="5">
        <v>43256</v>
      </c>
      <c r="F285" s="4" t="s">
        <v>23</v>
      </c>
      <c r="G285" s="4" t="s">
        <v>36</v>
      </c>
      <c r="H285" s="4" t="s">
        <v>53</v>
      </c>
      <c r="I285" s="4" t="s">
        <v>26</v>
      </c>
      <c r="J285" s="4" t="s">
        <v>27</v>
      </c>
      <c r="K285" s="6">
        <v>47100.97</v>
      </c>
      <c r="L285" s="6">
        <v>0</v>
      </c>
      <c r="M285" s="6">
        <v>47100.97</v>
      </c>
      <c r="N285" s="7" t="s">
        <v>1090</v>
      </c>
      <c r="O285" s="8" t="s">
        <v>54</v>
      </c>
      <c r="P285" s="8" t="s">
        <v>44</v>
      </c>
      <c r="Q285" s="8" t="s">
        <v>55</v>
      </c>
      <c r="R285" s="9">
        <v>43221</v>
      </c>
      <c r="S285" s="9">
        <v>43221</v>
      </c>
      <c r="T285" s="8">
        <v>6</v>
      </c>
      <c r="U285" s="8" t="str">
        <f t="shared" si="25"/>
        <v>June</v>
      </c>
      <c r="V285">
        <f t="shared" si="23"/>
        <v>5</v>
      </c>
      <c r="W285" s="8" t="str">
        <f t="shared" si="24"/>
        <v>May</v>
      </c>
    </row>
    <row r="286" spans="1:23" x14ac:dyDescent="0.55000000000000004">
      <c r="A286" t="str">
        <f t="shared" si="22"/>
        <v>JuneMayHong Kong - DCL KY</v>
      </c>
      <c r="B286" s="3" t="s">
        <v>20</v>
      </c>
      <c r="C286" s="4" t="s">
        <v>21</v>
      </c>
      <c r="D286" s="4" t="s">
        <v>56</v>
      </c>
      <c r="E286" s="5">
        <v>43256</v>
      </c>
      <c r="F286" s="4" t="s">
        <v>23</v>
      </c>
      <c r="G286" s="4" t="s">
        <v>57</v>
      </c>
      <c r="H286" s="4" t="s">
        <v>58</v>
      </c>
      <c r="I286" s="4" t="s">
        <v>26</v>
      </c>
      <c r="J286" s="4" t="s">
        <v>27</v>
      </c>
      <c r="K286" s="6">
        <v>1903.53</v>
      </c>
      <c r="L286" s="6">
        <v>0</v>
      </c>
      <c r="M286" s="6">
        <v>1903.53</v>
      </c>
      <c r="N286" s="7" t="s">
        <v>1091</v>
      </c>
      <c r="O286" s="8" t="s">
        <v>59</v>
      </c>
      <c r="P286" s="8" t="s">
        <v>39</v>
      </c>
      <c r="Q286" s="8" t="s">
        <v>60</v>
      </c>
      <c r="R286" s="9">
        <v>43191</v>
      </c>
      <c r="S286" s="9">
        <v>43221</v>
      </c>
      <c r="T286" s="8">
        <v>6</v>
      </c>
      <c r="U286" s="8" t="str">
        <f t="shared" si="25"/>
        <v>June</v>
      </c>
      <c r="V286">
        <f t="shared" si="23"/>
        <v>5</v>
      </c>
      <c r="W286" s="8" t="str">
        <f t="shared" si="24"/>
        <v>May</v>
      </c>
    </row>
    <row r="287" spans="1:23" x14ac:dyDescent="0.55000000000000004">
      <c r="A287" t="str">
        <f t="shared" si="22"/>
        <v>JuneMayHong Kong - DCL KY</v>
      </c>
      <c r="B287" s="3" t="s">
        <v>20</v>
      </c>
      <c r="C287" s="4" t="s">
        <v>21</v>
      </c>
      <c r="D287" s="4" t="s">
        <v>56</v>
      </c>
      <c r="E287" s="5">
        <v>43256</v>
      </c>
      <c r="F287" s="4" t="s">
        <v>23</v>
      </c>
      <c r="G287" s="4" t="s">
        <v>57</v>
      </c>
      <c r="H287" s="4" t="s">
        <v>58</v>
      </c>
      <c r="I287" s="4" t="s">
        <v>26</v>
      </c>
      <c r="J287" s="4" t="s">
        <v>27</v>
      </c>
      <c r="K287" s="6">
        <v>3074.03</v>
      </c>
      <c r="L287" s="6">
        <v>0</v>
      </c>
      <c r="M287" s="6">
        <v>3074.03</v>
      </c>
      <c r="N287" s="7" t="s">
        <v>1091</v>
      </c>
      <c r="O287" s="8" t="s">
        <v>59</v>
      </c>
      <c r="P287" s="8" t="s">
        <v>39</v>
      </c>
      <c r="Q287" s="8" t="s">
        <v>60</v>
      </c>
      <c r="R287" s="9">
        <v>43191</v>
      </c>
      <c r="S287" s="9">
        <v>43221</v>
      </c>
      <c r="T287" s="8">
        <v>6</v>
      </c>
      <c r="U287" s="8" t="str">
        <f t="shared" si="25"/>
        <v>June</v>
      </c>
      <c r="V287">
        <f t="shared" si="23"/>
        <v>5</v>
      </c>
      <c r="W287" s="8" t="str">
        <f t="shared" si="24"/>
        <v>May</v>
      </c>
    </row>
    <row r="288" spans="1:23" x14ac:dyDescent="0.55000000000000004">
      <c r="A288" t="str">
        <f t="shared" si="22"/>
        <v>JuneMayHong Kong - Phillips WI</v>
      </c>
      <c r="B288" s="3" t="s">
        <v>20</v>
      </c>
      <c r="C288" s="4" t="s">
        <v>21</v>
      </c>
      <c r="D288" s="4" t="s">
        <v>61</v>
      </c>
      <c r="E288" s="5">
        <v>43256</v>
      </c>
      <c r="F288" s="4" t="s">
        <v>23</v>
      </c>
      <c r="G288" s="4" t="s">
        <v>62</v>
      </c>
      <c r="H288" s="4" t="s">
        <v>63</v>
      </c>
      <c r="I288" s="4" t="s">
        <v>26</v>
      </c>
      <c r="J288" s="4" t="s">
        <v>27</v>
      </c>
      <c r="K288" s="6">
        <v>5448.75</v>
      </c>
      <c r="L288" s="6">
        <v>0</v>
      </c>
      <c r="M288" s="6">
        <v>5448.75</v>
      </c>
      <c r="N288" s="7" t="s">
        <v>1092</v>
      </c>
      <c r="O288" s="8" t="s">
        <v>64</v>
      </c>
      <c r="P288" s="8" t="s">
        <v>65</v>
      </c>
      <c r="Q288" s="8" t="s">
        <v>30</v>
      </c>
      <c r="R288" s="9">
        <v>43221</v>
      </c>
      <c r="S288" s="9">
        <v>43221</v>
      </c>
      <c r="T288" s="8">
        <v>6</v>
      </c>
      <c r="U288" s="8" t="str">
        <f t="shared" si="25"/>
        <v>June</v>
      </c>
      <c r="V288">
        <f t="shared" si="23"/>
        <v>5</v>
      </c>
      <c r="W288" s="8" t="str">
        <f t="shared" si="24"/>
        <v>May</v>
      </c>
    </row>
    <row r="289" spans="1:23" x14ac:dyDescent="0.55000000000000004">
      <c r="A289" t="str">
        <f t="shared" si="22"/>
        <v>JuneMayShanghai - DECI NC</v>
      </c>
      <c r="B289" s="3" t="s">
        <v>20</v>
      </c>
      <c r="C289" s="4" t="s">
        <v>21</v>
      </c>
      <c r="D289" s="4" t="s">
        <v>66</v>
      </c>
      <c r="E289" s="5">
        <v>43256</v>
      </c>
      <c r="F289" s="4" t="s">
        <v>23</v>
      </c>
      <c r="G289" s="4" t="s">
        <v>47</v>
      </c>
      <c r="H289" s="4" t="s">
        <v>67</v>
      </c>
      <c r="I289" s="4" t="s">
        <v>26</v>
      </c>
      <c r="J289" s="4" t="s">
        <v>27</v>
      </c>
      <c r="K289" s="6">
        <v>21099.89</v>
      </c>
      <c r="L289" s="6">
        <v>0</v>
      </c>
      <c r="M289" s="6">
        <v>21099.89</v>
      </c>
      <c r="N289" s="7" t="s">
        <v>1093</v>
      </c>
      <c r="O289" s="8" t="s">
        <v>68</v>
      </c>
      <c r="P289" s="8" t="s">
        <v>50</v>
      </c>
      <c r="Q289" s="8" t="s">
        <v>69</v>
      </c>
      <c r="R289" s="9">
        <v>43221</v>
      </c>
      <c r="S289" s="9">
        <v>43221</v>
      </c>
      <c r="T289" s="8">
        <v>6</v>
      </c>
      <c r="U289" s="8" t="str">
        <f t="shared" si="25"/>
        <v>June</v>
      </c>
      <c r="V289">
        <f t="shared" si="23"/>
        <v>5</v>
      </c>
      <c r="W289" s="8" t="str">
        <f t="shared" si="24"/>
        <v>May</v>
      </c>
    </row>
    <row r="290" spans="1:23" x14ac:dyDescent="0.55000000000000004">
      <c r="A290" t="str">
        <f t="shared" si="22"/>
        <v>JuneMayShanghai - DECI NC</v>
      </c>
      <c r="B290" s="3" t="s">
        <v>20</v>
      </c>
      <c r="C290" s="4" t="s">
        <v>21</v>
      </c>
      <c r="D290" s="4" t="s">
        <v>70</v>
      </c>
      <c r="E290" s="5">
        <v>43256</v>
      </c>
      <c r="F290" s="4" t="s">
        <v>23</v>
      </c>
      <c r="G290" s="4" t="s">
        <v>47</v>
      </c>
      <c r="H290" s="4" t="s">
        <v>71</v>
      </c>
      <c r="I290" s="4" t="s">
        <v>26</v>
      </c>
      <c r="J290" s="4" t="s">
        <v>27</v>
      </c>
      <c r="K290" s="6">
        <v>7126.15</v>
      </c>
      <c r="L290" s="6">
        <v>0</v>
      </c>
      <c r="M290" s="6">
        <v>7126.15</v>
      </c>
      <c r="N290" s="7" t="s">
        <v>1094</v>
      </c>
      <c r="O290" s="8" t="s">
        <v>72</v>
      </c>
      <c r="P290" s="8" t="s">
        <v>50</v>
      </c>
      <c r="Q290" s="8" t="s">
        <v>73</v>
      </c>
      <c r="R290" s="9">
        <v>43221</v>
      </c>
      <c r="S290" s="9">
        <v>43221</v>
      </c>
      <c r="T290" s="8">
        <v>6</v>
      </c>
      <c r="U290" s="8" t="str">
        <f t="shared" si="25"/>
        <v>June</v>
      </c>
      <c r="V290">
        <f t="shared" si="23"/>
        <v>5</v>
      </c>
      <c r="W290" s="8" t="str">
        <f t="shared" si="24"/>
        <v>May</v>
      </c>
    </row>
    <row r="291" spans="1:23" x14ac:dyDescent="0.55000000000000004">
      <c r="A291" t="str">
        <f t="shared" si="22"/>
        <v>JuneMayShanghai - DECI NC</v>
      </c>
      <c r="B291" s="3" t="s">
        <v>20</v>
      </c>
      <c r="C291" s="4" t="s">
        <v>21</v>
      </c>
      <c r="D291" s="4" t="s">
        <v>70</v>
      </c>
      <c r="E291" s="5">
        <v>43256</v>
      </c>
      <c r="F291" s="4" t="s">
        <v>23</v>
      </c>
      <c r="G291" s="4" t="s">
        <v>47</v>
      </c>
      <c r="H291" s="4" t="s">
        <v>71</v>
      </c>
      <c r="I291" s="4" t="s">
        <v>26</v>
      </c>
      <c r="J291" s="4" t="s">
        <v>27</v>
      </c>
      <c r="K291" s="6">
        <v>64348.04</v>
      </c>
      <c r="L291" s="6">
        <v>0</v>
      </c>
      <c r="M291" s="6">
        <v>64348.04</v>
      </c>
      <c r="N291" s="7" t="s">
        <v>1094</v>
      </c>
      <c r="O291" s="8" t="s">
        <v>72</v>
      </c>
      <c r="P291" s="8" t="s">
        <v>50</v>
      </c>
      <c r="Q291" s="8" t="s">
        <v>73</v>
      </c>
      <c r="R291" s="9">
        <v>43221</v>
      </c>
      <c r="S291" s="9">
        <v>43221</v>
      </c>
      <c r="T291" s="8">
        <v>6</v>
      </c>
      <c r="U291" s="8" t="str">
        <f t="shared" si="25"/>
        <v>June</v>
      </c>
      <c r="V291">
        <f t="shared" si="23"/>
        <v>5</v>
      </c>
      <c r="W291" s="8" t="str">
        <f t="shared" si="24"/>
        <v>May</v>
      </c>
    </row>
    <row r="292" spans="1:23" x14ac:dyDescent="0.55000000000000004">
      <c r="A292" t="str">
        <f t="shared" si="22"/>
        <v>JuneMayHong Kong - DCL KY</v>
      </c>
      <c r="B292" s="3" t="s">
        <v>20</v>
      </c>
      <c r="C292" s="4" t="s">
        <v>21</v>
      </c>
      <c r="D292" s="4" t="s">
        <v>74</v>
      </c>
      <c r="E292" s="5">
        <v>43256</v>
      </c>
      <c r="F292" s="4" t="s">
        <v>23</v>
      </c>
      <c r="G292" s="4" t="s">
        <v>62</v>
      </c>
      <c r="H292" s="4" t="s">
        <v>75</v>
      </c>
      <c r="I292" s="4" t="s">
        <v>26</v>
      </c>
      <c r="J292" s="4" t="s">
        <v>27</v>
      </c>
      <c r="K292" s="6">
        <v>3101.81</v>
      </c>
      <c r="L292" s="6">
        <v>0</v>
      </c>
      <c r="M292" s="6">
        <v>3101.81</v>
      </c>
      <c r="N292" s="7" t="s">
        <v>1095</v>
      </c>
      <c r="O292" s="8" t="s">
        <v>76</v>
      </c>
      <c r="P292" s="8" t="s">
        <v>39</v>
      </c>
      <c r="Q292" s="8" t="s">
        <v>77</v>
      </c>
      <c r="R292" s="9">
        <v>43221</v>
      </c>
      <c r="S292" s="9">
        <v>43221</v>
      </c>
      <c r="T292" s="8">
        <v>6</v>
      </c>
      <c r="U292" s="8" t="str">
        <f t="shared" si="25"/>
        <v>June</v>
      </c>
      <c r="V292">
        <f t="shared" si="23"/>
        <v>5</v>
      </c>
      <c r="W292" s="8" t="str">
        <f t="shared" si="24"/>
        <v>May</v>
      </c>
    </row>
    <row r="293" spans="1:23" x14ac:dyDescent="0.55000000000000004">
      <c r="A293" t="str">
        <f t="shared" si="22"/>
        <v>JuneMayHong Kong - DCL KY</v>
      </c>
      <c r="B293" s="3" t="s">
        <v>20</v>
      </c>
      <c r="C293" s="4" t="s">
        <v>21</v>
      </c>
      <c r="D293" s="4" t="s">
        <v>74</v>
      </c>
      <c r="E293" s="5">
        <v>43256</v>
      </c>
      <c r="F293" s="4" t="s">
        <v>23</v>
      </c>
      <c r="G293" s="4" t="s">
        <v>78</v>
      </c>
      <c r="H293" s="4" t="s">
        <v>75</v>
      </c>
      <c r="I293" s="4" t="s">
        <v>26</v>
      </c>
      <c r="J293" s="4" t="s">
        <v>27</v>
      </c>
      <c r="K293" s="6">
        <v>9844.8700000000008</v>
      </c>
      <c r="L293" s="6">
        <v>0</v>
      </c>
      <c r="M293" s="6">
        <v>9844.8700000000008</v>
      </c>
      <c r="N293" s="7" t="s">
        <v>1095</v>
      </c>
      <c r="O293" s="8" t="s">
        <v>76</v>
      </c>
      <c r="P293" s="8" t="s">
        <v>39</v>
      </c>
      <c r="Q293" s="8" t="s">
        <v>77</v>
      </c>
      <c r="R293" s="9">
        <v>43221</v>
      </c>
      <c r="S293" s="9">
        <v>43221</v>
      </c>
      <c r="T293" s="8">
        <v>6</v>
      </c>
      <c r="U293" s="8" t="str">
        <f t="shared" si="25"/>
        <v>June</v>
      </c>
      <c r="V293">
        <f t="shared" si="23"/>
        <v>5</v>
      </c>
      <c r="W293" s="8" t="str">
        <f t="shared" si="24"/>
        <v>May</v>
      </c>
    </row>
    <row r="294" spans="1:23" x14ac:dyDescent="0.55000000000000004">
      <c r="A294" t="str">
        <f t="shared" si="22"/>
        <v>JuneMayChina - DCL KY</v>
      </c>
      <c r="B294" s="3" t="s">
        <v>20</v>
      </c>
      <c r="C294" s="4" t="s">
        <v>21</v>
      </c>
      <c r="D294" s="4" t="s">
        <v>79</v>
      </c>
      <c r="E294" s="5">
        <v>43256</v>
      </c>
      <c r="F294" s="4" t="s">
        <v>23</v>
      </c>
      <c r="G294" s="4" t="s">
        <v>36</v>
      </c>
      <c r="H294" s="4" t="s">
        <v>80</v>
      </c>
      <c r="I294" s="4" t="s">
        <v>26</v>
      </c>
      <c r="J294" s="4" t="s">
        <v>27</v>
      </c>
      <c r="K294" s="6">
        <v>42961.93</v>
      </c>
      <c r="L294" s="6">
        <v>0</v>
      </c>
      <c r="M294" s="6">
        <v>42961.93</v>
      </c>
      <c r="N294" s="7" t="s">
        <v>994</v>
      </c>
      <c r="O294" s="8" t="s">
        <v>81</v>
      </c>
      <c r="P294" s="8" t="s">
        <v>82</v>
      </c>
      <c r="Q294" s="8" t="s">
        <v>83</v>
      </c>
      <c r="R294" s="9">
        <v>43221</v>
      </c>
      <c r="S294" s="9">
        <v>43221</v>
      </c>
      <c r="T294" s="8">
        <v>6</v>
      </c>
      <c r="U294" s="8" t="str">
        <f t="shared" si="25"/>
        <v>June</v>
      </c>
      <c r="V294">
        <f t="shared" si="23"/>
        <v>5</v>
      </c>
      <c r="W294" s="8" t="str">
        <f t="shared" si="24"/>
        <v>May</v>
      </c>
    </row>
    <row r="295" spans="1:23" x14ac:dyDescent="0.55000000000000004">
      <c r="A295" t="str">
        <f t="shared" si="22"/>
        <v>JuneJuneHong Kong - DCL KY</v>
      </c>
      <c r="B295" s="3" t="s">
        <v>20</v>
      </c>
      <c r="C295" s="4" t="s">
        <v>21</v>
      </c>
      <c r="D295" s="4" t="s">
        <v>84</v>
      </c>
      <c r="E295" s="5">
        <v>43259</v>
      </c>
      <c r="F295" s="4" t="s">
        <v>23</v>
      </c>
      <c r="G295" s="4" t="s">
        <v>85</v>
      </c>
      <c r="H295" s="4" t="s">
        <v>86</v>
      </c>
      <c r="I295" s="4" t="s">
        <v>26</v>
      </c>
      <c r="J295" s="4" t="s">
        <v>27</v>
      </c>
      <c r="K295" s="6">
        <v>8068.57</v>
      </c>
      <c r="L295" s="6">
        <v>0</v>
      </c>
      <c r="M295" s="6">
        <v>8068.57</v>
      </c>
      <c r="N295" s="7" t="s">
        <v>1096</v>
      </c>
      <c r="O295" s="8" t="s">
        <v>87</v>
      </c>
      <c r="P295" s="8" t="s">
        <v>39</v>
      </c>
      <c r="Q295" s="8" t="s">
        <v>88</v>
      </c>
      <c r="R295" s="9">
        <v>43252</v>
      </c>
      <c r="S295" s="9">
        <v>43252</v>
      </c>
      <c r="T295" s="8">
        <v>6</v>
      </c>
      <c r="U295" s="8" t="str">
        <f t="shared" si="25"/>
        <v>June</v>
      </c>
      <c r="V295">
        <f t="shared" si="23"/>
        <v>6</v>
      </c>
      <c r="W295" s="8" t="str">
        <f t="shared" si="24"/>
        <v>June</v>
      </c>
    </row>
    <row r="296" spans="1:23" x14ac:dyDescent="0.55000000000000004">
      <c r="A296" t="str">
        <f t="shared" si="22"/>
        <v>JuneMayHong Kong - DECI NC</v>
      </c>
      <c r="B296" s="3" t="s">
        <v>20</v>
      </c>
      <c r="C296" s="4" t="s">
        <v>21</v>
      </c>
      <c r="D296" s="4" t="s">
        <v>89</v>
      </c>
      <c r="E296" s="5">
        <v>43262</v>
      </c>
      <c r="F296" s="4" t="s">
        <v>23</v>
      </c>
      <c r="G296" s="4" t="s">
        <v>47</v>
      </c>
      <c r="H296" s="4" t="s">
        <v>90</v>
      </c>
      <c r="I296" s="4" t="s">
        <v>26</v>
      </c>
      <c r="J296" s="4" t="s">
        <v>27</v>
      </c>
      <c r="K296" s="6">
        <v>4876.29</v>
      </c>
      <c r="L296" s="6">
        <v>0</v>
      </c>
      <c r="M296" s="6">
        <v>4876.29</v>
      </c>
      <c r="N296" s="7" t="s">
        <v>999</v>
      </c>
      <c r="O296" s="8" t="s">
        <v>91</v>
      </c>
      <c r="P296" s="8" t="s">
        <v>92</v>
      </c>
      <c r="Q296" s="8" t="s">
        <v>93</v>
      </c>
      <c r="R296" s="9">
        <v>43221</v>
      </c>
      <c r="S296" s="9">
        <v>43221</v>
      </c>
      <c r="T296" s="8">
        <v>6</v>
      </c>
      <c r="U296" s="8" t="str">
        <f t="shared" si="25"/>
        <v>June</v>
      </c>
      <c r="V296">
        <f t="shared" si="23"/>
        <v>5</v>
      </c>
      <c r="W296" s="8" t="str">
        <f t="shared" si="24"/>
        <v>May</v>
      </c>
    </row>
    <row r="297" spans="1:23" x14ac:dyDescent="0.55000000000000004">
      <c r="A297" t="str">
        <f t="shared" si="22"/>
        <v>JuneMayHong Kong - DECI NC</v>
      </c>
      <c r="B297" s="3" t="s">
        <v>20</v>
      </c>
      <c r="C297" s="4" t="s">
        <v>21</v>
      </c>
      <c r="D297" s="4" t="s">
        <v>89</v>
      </c>
      <c r="E297" s="5">
        <v>43262</v>
      </c>
      <c r="F297" s="4" t="s">
        <v>23</v>
      </c>
      <c r="G297" s="4" t="s">
        <v>47</v>
      </c>
      <c r="H297" s="4" t="s">
        <v>90</v>
      </c>
      <c r="I297" s="4" t="s">
        <v>26</v>
      </c>
      <c r="J297" s="4" t="s">
        <v>27</v>
      </c>
      <c r="K297" s="6">
        <v>2249.4</v>
      </c>
      <c r="L297" s="6">
        <v>0</v>
      </c>
      <c r="M297" s="6">
        <v>2249.4</v>
      </c>
      <c r="N297" s="7" t="s">
        <v>999</v>
      </c>
      <c r="O297" s="8" t="s">
        <v>91</v>
      </c>
      <c r="P297" s="8" t="s">
        <v>92</v>
      </c>
      <c r="Q297" s="8" t="s">
        <v>93</v>
      </c>
      <c r="R297" s="9">
        <v>43221</v>
      </c>
      <c r="S297" s="9">
        <v>43221</v>
      </c>
      <c r="T297" s="8">
        <v>6</v>
      </c>
      <c r="U297" s="8" t="str">
        <f t="shared" si="25"/>
        <v>June</v>
      </c>
      <c r="V297">
        <f t="shared" si="23"/>
        <v>5</v>
      </c>
      <c r="W297" s="8" t="str">
        <f t="shared" si="24"/>
        <v>May</v>
      </c>
    </row>
    <row r="298" spans="1:23" x14ac:dyDescent="0.55000000000000004">
      <c r="A298" t="str">
        <f t="shared" si="22"/>
        <v>JuneMayHong Kong - DECI NC</v>
      </c>
      <c r="B298" s="3" t="s">
        <v>20</v>
      </c>
      <c r="C298" s="4" t="s">
        <v>21</v>
      </c>
      <c r="D298" s="4" t="s">
        <v>89</v>
      </c>
      <c r="E298" s="5">
        <v>43262</v>
      </c>
      <c r="F298" s="4" t="s">
        <v>23</v>
      </c>
      <c r="G298" s="4" t="s">
        <v>47</v>
      </c>
      <c r="H298" s="4" t="s">
        <v>90</v>
      </c>
      <c r="I298" s="4" t="s">
        <v>26</v>
      </c>
      <c r="J298" s="4" t="s">
        <v>27</v>
      </c>
      <c r="K298" s="6">
        <v>23.12</v>
      </c>
      <c r="L298" s="6">
        <v>0</v>
      </c>
      <c r="M298" s="6">
        <v>23.12</v>
      </c>
      <c r="N298" s="7" t="s">
        <v>999</v>
      </c>
      <c r="O298" s="8" t="s">
        <v>91</v>
      </c>
      <c r="P298" s="8" t="s">
        <v>92</v>
      </c>
      <c r="Q298" s="8" t="s">
        <v>93</v>
      </c>
      <c r="R298" s="9">
        <v>43221</v>
      </c>
      <c r="S298" s="9">
        <v>43221</v>
      </c>
      <c r="T298" s="8">
        <v>6</v>
      </c>
      <c r="U298" s="8" t="str">
        <f t="shared" si="25"/>
        <v>June</v>
      </c>
      <c r="V298">
        <f t="shared" si="23"/>
        <v>5</v>
      </c>
      <c r="W298" s="8" t="str">
        <f t="shared" si="24"/>
        <v>May</v>
      </c>
    </row>
    <row r="299" spans="1:23" x14ac:dyDescent="0.55000000000000004">
      <c r="A299" t="str">
        <f t="shared" si="22"/>
        <v>JuneMayChina - DECI NC</v>
      </c>
      <c r="B299" s="3" t="s">
        <v>20</v>
      </c>
      <c r="C299" s="4" t="s">
        <v>21</v>
      </c>
      <c r="D299" s="4" t="s">
        <v>94</v>
      </c>
      <c r="E299" s="5">
        <v>43262</v>
      </c>
      <c r="F299" s="4" t="s">
        <v>23</v>
      </c>
      <c r="G299" s="4" t="s">
        <v>47</v>
      </c>
      <c r="H299" s="4" t="s">
        <v>95</v>
      </c>
      <c r="I299" s="4" t="s">
        <v>26</v>
      </c>
      <c r="J299" s="4" t="s">
        <v>27</v>
      </c>
      <c r="K299" s="6">
        <v>52338.18</v>
      </c>
      <c r="L299" s="6">
        <v>0</v>
      </c>
      <c r="M299" s="6">
        <v>52338.18</v>
      </c>
      <c r="N299" s="7" t="s">
        <v>1001</v>
      </c>
      <c r="O299" s="8" t="s">
        <v>96</v>
      </c>
      <c r="P299" s="8" t="s">
        <v>97</v>
      </c>
      <c r="Q299" s="8" t="s">
        <v>98</v>
      </c>
      <c r="R299" s="9">
        <v>43221</v>
      </c>
      <c r="S299" s="9">
        <v>43221</v>
      </c>
      <c r="T299" s="8">
        <v>6</v>
      </c>
      <c r="U299" s="8" t="str">
        <f t="shared" si="25"/>
        <v>June</v>
      </c>
      <c r="V299">
        <f t="shared" si="23"/>
        <v>5</v>
      </c>
      <c r="W299" s="8" t="str">
        <f t="shared" si="24"/>
        <v>May</v>
      </c>
    </row>
    <row r="300" spans="1:23" x14ac:dyDescent="0.55000000000000004">
      <c r="A300" t="str">
        <f t="shared" si="22"/>
        <v>JuneJuneChina - DCL KY</v>
      </c>
      <c r="B300" s="3" t="s">
        <v>20</v>
      </c>
      <c r="C300" s="4" t="s">
        <v>21</v>
      </c>
      <c r="D300" s="4" t="s">
        <v>99</v>
      </c>
      <c r="E300" s="5">
        <v>43263</v>
      </c>
      <c r="F300" s="4" t="s">
        <v>23</v>
      </c>
      <c r="G300" s="4" t="s">
        <v>47</v>
      </c>
      <c r="H300" s="4" t="s">
        <v>100</v>
      </c>
      <c r="I300" s="4" t="s">
        <v>26</v>
      </c>
      <c r="J300" s="4" t="s">
        <v>27</v>
      </c>
      <c r="K300" s="6">
        <v>11245.77</v>
      </c>
      <c r="L300" s="6">
        <v>0</v>
      </c>
      <c r="M300" s="6">
        <v>11245.77</v>
      </c>
      <c r="N300" s="7" t="s">
        <v>1006</v>
      </c>
      <c r="O300" s="8" t="s">
        <v>101</v>
      </c>
      <c r="P300" s="8" t="s">
        <v>82</v>
      </c>
      <c r="Q300" s="8" t="s">
        <v>102</v>
      </c>
      <c r="R300" s="9">
        <v>43269</v>
      </c>
      <c r="S300" s="9">
        <v>43252</v>
      </c>
      <c r="T300" s="8">
        <v>6</v>
      </c>
      <c r="U300" s="8" t="str">
        <f t="shared" si="25"/>
        <v>June</v>
      </c>
      <c r="V300">
        <f t="shared" si="23"/>
        <v>6</v>
      </c>
      <c r="W300" s="8" t="str">
        <f t="shared" si="24"/>
        <v>June</v>
      </c>
    </row>
    <row r="301" spans="1:23" x14ac:dyDescent="0.55000000000000004">
      <c r="A301" t="str">
        <f t="shared" si="22"/>
        <v>JuneJuneHong Kong - DCL KY</v>
      </c>
      <c r="B301" s="3" t="s">
        <v>20</v>
      </c>
      <c r="C301" s="4" t="s">
        <v>21</v>
      </c>
      <c r="D301" s="4" t="s">
        <v>103</v>
      </c>
      <c r="E301" s="5">
        <v>43263</v>
      </c>
      <c r="F301" s="4" t="s">
        <v>23</v>
      </c>
      <c r="G301" s="4" t="s">
        <v>104</v>
      </c>
      <c r="H301" s="4" t="s">
        <v>105</v>
      </c>
      <c r="I301" s="4" t="s">
        <v>26</v>
      </c>
      <c r="J301" s="4" t="s">
        <v>27</v>
      </c>
      <c r="K301" s="6">
        <v>7429.4</v>
      </c>
      <c r="L301" s="6">
        <v>0</v>
      </c>
      <c r="M301" s="6">
        <v>7429.4</v>
      </c>
      <c r="N301" s="7" t="s">
        <v>1008</v>
      </c>
      <c r="O301" s="8" t="s">
        <v>106</v>
      </c>
      <c r="P301" s="8" t="s">
        <v>39</v>
      </c>
      <c r="Q301" s="8" t="s">
        <v>107</v>
      </c>
      <c r="R301" s="9">
        <v>43269</v>
      </c>
      <c r="S301" s="9">
        <v>43252</v>
      </c>
      <c r="T301" s="8">
        <v>6</v>
      </c>
      <c r="U301" s="8" t="str">
        <f t="shared" si="25"/>
        <v>June</v>
      </c>
      <c r="V301">
        <f t="shared" si="23"/>
        <v>6</v>
      </c>
      <c r="W301" s="8" t="str">
        <f t="shared" si="24"/>
        <v>June</v>
      </c>
    </row>
    <row r="302" spans="1:23" x14ac:dyDescent="0.55000000000000004">
      <c r="A302" t="str">
        <f t="shared" si="22"/>
        <v>JuneJuneHong Kong - Flex IL</v>
      </c>
      <c r="B302" s="3" t="s">
        <v>20</v>
      </c>
      <c r="C302" s="4" t="s">
        <v>21</v>
      </c>
      <c r="D302" s="4" t="s">
        <v>108</v>
      </c>
      <c r="E302" s="5">
        <v>43264</v>
      </c>
      <c r="F302" s="4" t="s">
        <v>23</v>
      </c>
      <c r="G302" s="4" t="s">
        <v>104</v>
      </c>
      <c r="H302" s="4" t="s">
        <v>109</v>
      </c>
      <c r="I302" s="4" t="s">
        <v>26</v>
      </c>
      <c r="J302" s="4" t="s">
        <v>27</v>
      </c>
      <c r="K302" s="6">
        <v>1923.54</v>
      </c>
      <c r="L302" s="6">
        <v>0</v>
      </c>
      <c r="M302" s="6">
        <v>1923.54</v>
      </c>
      <c r="N302" s="7" t="s">
        <v>1010</v>
      </c>
      <c r="O302" s="8" t="s">
        <v>110</v>
      </c>
      <c r="P302" s="8" t="s">
        <v>111</v>
      </c>
      <c r="Q302" s="8" t="s">
        <v>112</v>
      </c>
      <c r="R302" s="9">
        <v>43269</v>
      </c>
      <c r="S302" s="9">
        <v>43252</v>
      </c>
      <c r="T302" s="8">
        <v>6</v>
      </c>
      <c r="U302" s="8" t="str">
        <f t="shared" si="25"/>
        <v>June</v>
      </c>
      <c r="V302">
        <f t="shared" si="23"/>
        <v>6</v>
      </c>
      <c r="W302" s="8" t="str">
        <f t="shared" si="24"/>
        <v>June</v>
      </c>
    </row>
    <row r="303" spans="1:23" x14ac:dyDescent="0.55000000000000004">
      <c r="A303" t="str">
        <f t="shared" si="22"/>
        <v>JuneJuneHong Kong - Flex IL</v>
      </c>
      <c r="B303" s="3" t="s">
        <v>20</v>
      </c>
      <c r="C303" s="4" t="s">
        <v>21</v>
      </c>
      <c r="D303" s="4" t="s">
        <v>108</v>
      </c>
      <c r="E303" s="5">
        <v>43264</v>
      </c>
      <c r="F303" s="4" t="s">
        <v>23</v>
      </c>
      <c r="G303" s="4" t="s">
        <v>104</v>
      </c>
      <c r="H303" s="4" t="s">
        <v>109</v>
      </c>
      <c r="I303" s="4" t="s">
        <v>26</v>
      </c>
      <c r="J303" s="4" t="s">
        <v>27</v>
      </c>
      <c r="K303" s="6">
        <v>5877.47</v>
      </c>
      <c r="L303" s="6">
        <v>0</v>
      </c>
      <c r="M303" s="6">
        <v>5877.47</v>
      </c>
      <c r="N303" s="7" t="s">
        <v>1010</v>
      </c>
      <c r="O303" s="8" t="s">
        <v>110</v>
      </c>
      <c r="P303" s="8" t="s">
        <v>111</v>
      </c>
      <c r="Q303" s="8" t="s">
        <v>112</v>
      </c>
      <c r="R303" s="9">
        <v>43269</v>
      </c>
      <c r="S303" s="9">
        <v>43252</v>
      </c>
      <c r="T303" s="8">
        <v>6</v>
      </c>
      <c r="U303" s="8" t="str">
        <f t="shared" si="25"/>
        <v>June</v>
      </c>
      <c r="V303">
        <f t="shared" si="23"/>
        <v>6</v>
      </c>
      <c r="W303" s="8" t="str">
        <f t="shared" si="24"/>
        <v>June</v>
      </c>
    </row>
    <row r="304" spans="1:23" x14ac:dyDescent="0.55000000000000004">
      <c r="A304" t="str">
        <f t="shared" si="22"/>
        <v>JuneJuneHong Kong - Flex IL</v>
      </c>
      <c r="B304" s="3" t="s">
        <v>20</v>
      </c>
      <c r="C304" s="4" t="s">
        <v>21</v>
      </c>
      <c r="D304" s="4" t="s">
        <v>108</v>
      </c>
      <c r="E304" s="5">
        <v>43264</v>
      </c>
      <c r="F304" s="4" t="s">
        <v>23</v>
      </c>
      <c r="G304" s="4" t="s">
        <v>104</v>
      </c>
      <c r="H304" s="4" t="s">
        <v>109</v>
      </c>
      <c r="I304" s="4" t="s">
        <v>26</v>
      </c>
      <c r="J304" s="4" t="s">
        <v>27</v>
      </c>
      <c r="K304" s="6">
        <v>2208.5</v>
      </c>
      <c r="L304" s="6">
        <v>0</v>
      </c>
      <c r="M304" s="6">
        <v>2208.5</v>
      </c>
      <c r="N304" s="7" t="s">
        <v>1010</v>
      </c>
      <c r="O304" s="8" t="s">
        <v>110</v>
      </c>
      <c r="P304" s="8" t="s">
        <v>111</v>
      </c>
      <c r="Q304" s="8" t="s">
        <v>112</v>
      </c>
      <c r="R304" s="9">
        <v>43269</v>
      </c>
      <c r="S304" s="9">
        <v>43252</v>
      </c>
      <c r="T304" s="8">
        <v>6</v>
      </c>
      <c r="U304" s="8" t="str">
        <f t="shared" si="25"/>
        <v>June</v>
      </c>
      <c r="V304">
        <f t="shared" si="23"/>
        <v>6</v>
      </c>
      <c r="W304" s="8" t="str">
        <f t="shared" si="24"/>
        <v>June</v>
      </c>
    </row>
    <row r="305" spans="1:23" x14ac:dyDescent="0.55000000000000004">
      <c r="A305" t="str">
        <f t="shared" si="22"/>
        <v>JuneJuneHong Kong - Phillips WI</v>
      </c>
      <c r="B305" s="3" t="s">
        <v>20</v>
      </c>
      <c r="C305" s="4" t="s">
        <v>21</v>
      </c>
      <c r="D305" s="4" t="s">
        <v>113</v>
      </c>
      <c r="E305" s="5">
        <v>43264</v>
      </c>
      <c r="F305" s="4" t="s">
        <v>23</v>
      </c>
      <c r="G305" s="4" t="s">
        <v>85</v>
      </c>
      <c r="H305" s="4" t="s">
        <v>114</v>
      </c>
      <c r="I305" s="4" t="s">
        <v>26</v>
      </c>
      <c r="J305" s="4" t="s">
        <v>27</v>
      </c>
      <c r="K305" s="6">
        <v>2066.12</v>
      </c>
      <c r="L305" s="6">
        <v>0</v>
      </c>
      <c r="M305" s="6">
        <v>2066.12</v>
      </c>
      <c r="N305" s="7" t="s">
        <v>1012</v>
      </c>
      <c r="O305" s="8" t="s">
        <v>115</v>
      </c>
      <c r="P305" s="8" t="s">
        <v>65</v>
      </c>
      <c r="Q305" s="8" t="s">
        <v>116</v>
      </c>
      <c r="R305" s="9">
        <v>43269</v>
      </c>
      <c r="S305" s="9">
        <v>43252</v>
      </c>
      <c r="T305" s="8">
        <v>6</v>
      </c>
      <c r="U305" s="8" t="str">
        <f t="shared" ref="U305:U336" si="26">IF(T305=6,"June",IF(T305=5,"May",IF(T305=4,"April",IF(T305=3,"March",0))))</f>
        <v>June</v>
      </c>
      <c r="V305">
        <f t="shared" si="23"/>
        <v>6</v>
      </c>
      <c r="W305" s="8" t="str">
        <f t="shared" si="24"/>
        <v>June</v>
      </c>
    </row>
    <row r="306" spans="1:23" x14ac:dyDescent="0.55000000000000004">
      <c r="A306" t="str">
        <f t="shared" si="22"/>
        <v>JuneJuneHong Kong - Phillips WI</v>
      </c>
      <c r="B306" s="3" t="s">
        <v>20</v>
      </c>
      <c r="C306" s="4" t="s">
        <v>21</v>
      </c>
      <c r="D306" s="4" t="s">
        <v>113</v>
      </c>
      <c r="E306" s="5">
        <v>43264</v>
      </c>
      <c r="F306" s="4" t="s">
        <v>23</v>
      </c>
      <c r="G306" s="4" t="s">
        <v>85</v>
      </c>
      <c r="H306" s="4" t="s">
        <v>114</v>
      </c>
      <c r="I306" s="4" t="s">
        <v>26</v>
      </c>
      <c r="J306" s="4" t="s">
        <v>27</v>
      </c>
      <c r="K306" s="6">
        <v>688.71</v>
      </c>
      <c r="L306" s="6">
        <v>0</v>
      </c>
      <c r="M306" s="6">
        <v>688.71</v>
      </c>
      <c r="N306" s="7" t="s">
        <v>1012</v>
      </c>
      <c r="O306" s="8" t="s">
        <v>115</v>
      </c>
      <c r="P306" s="8" t="s">
        <v>65</v>
      </c>
      <c r="Q306" s="8" t="s">
        <v>116</v>
      </c>
      <c r="R306" s="9">
        <v>43269</v>
      </c>
      <c r="S306" s="9">
        <v>43252</v>
      </c>
      <c r="T306" s="8">
        <v>6</v>
      </c>
      <c r="U306" s="8" t="str">
        <f t="shared" si="26"/>
        <v>June</v>
      </c>
      <c r="V306">
        <f t="shared" si="23"/>
        <v>6</v>
      </c>
      <c r="W306" s="8" t="str">
        <f t="shared" si="24"/>
        <v>June</v>
      </c>
    </row>
    <row r="307" spans="1:23" x14ac:dyDescent="0.55000000000000004">
      <c r="A307" t="str">
        <f t="shared" si="22"/>
        <v>JuneJuneHong Kong - Phillips WI</v>
      </c>
      <c r="B307" s="3" t="s">
        <v>20</v>
      </c>
      <c r="C307" s="4" t="s">
        <v>21</v>
      </c>
      <c r="D307" s="4" t="s">
        <v>117</v>
      </c>
      <c r="E307" s="5">
        <v>43267</v>
      </c>
      <c r="F307" s="4" t="s">
        <v>23</v>
      </c>
      <c r="G307" s="4" t="s">
        <v>85</v>
      </c>
      <c r="H307" s="4" t="s">
        <v>118</v>
      </c>
      <c r="I307" s="4" t="s">
        <v>26</v>
      </c>
      <c r="J307" s="4" t="s">
        <v>27</v>
      </c>
      <c r="K307" s="6">
        <v>7507.9</v>
      </c>
      <c r="L307" s="6">
        <v>0</v>
      </c>
      <c r="M307" s="6">
        <v>7507.9</v>
      </c>
      <c r="N307" s="7" t="s">
        <v>1014</v>
      </c>
      <c r="O307" s="8" t="s">
        <v>119</v>
      </c>
      <c r="P307" s="8" t="s">
        <v>65</v>
      </c>
      <c r="Q307" s="8" t="s">
        <v>120</v>
      </c>
      <c r="R307" s="9">
        <v>43269</v>
      </c>
      <c r="S307" s="9">
        <v>43252</v>
      </c>
      <c r="T307" s="8">
        <v>6</v>
      </c>
      <c r="U307" s="8" t="str">
        <f t="shared" si="26"/>
        <v>June</v>
      </c>
      <c r="V307">
        <f t="shared" si="23"/>
        <v>6</v>
      </c>
      <c r="W307" s="8" t="str">
        <f t="shared" si="24"/>
        <v>June</v>
      </c>
    </row>
    <row r="308" spans="1:23" x14ac:dyDescent="0.55000000000000004">
      <c r="A308" t="str">
        <f t="shared" si="22"/>
        <v>JuneJuneChina - DECI NC</v>
      </c>
      <c r="B308" s="3" t="s">
        <v>20</v>
      </c>
      <c r="C308" s="4" t="s">
        <v>21</v>
      </c>
      <c r="D308" s="4" t="s">
        <v>121</v>
      </c>
      <c r="E308" s="5">
        <v>43273</v>
      </c>
      <c r="F308" s="4" t="s">
        <v>23</v>
      </c>
      <c r="G308" s="4" t="s">
        <v>47</v>
      </c>
      <c r="H308" s="4" t="s">
        <v>122</v>
      </c>
      <c r="I308" s="4" t="s">
        <v>26</v>
      </c>
      <c r="J308" s="4" t="s">
        <v>27</v>
      </c>
      <c r="K308" s="6">
        <v>51914.86</v>
      </c>
      <c r="L308" s="6">
        <v>0</v>
      </c>
      <c r="M308" s="6">
        <v>51914.86</v>
      </c>
      <c r="N308" s="7" t="s">
        <v>1019</v>
      </c>
      <c r="O308" s="8" t="s">
        <v>123</v>
      </c>
      <c r="P308" s="8" t="s">
        <v>97</v>
      </c>
      <c r="Q308" s="8" t="s">
        <v>124</v>
      </c>
      <c r="R308" s="9">
        <v>43252</v>
      </c>
      <c r="S308" s="9">
        <v>43252</v>
      </c>
      <c r="T308" s="8">
        <v>6</v>
      </c>
      <c r="U308" s="8" t="str">
        <f t="shared" si="26"/>
        <v>June</v>
      </c>
      <c r="V308">
        <f t="shared" si="23"/>
        <v>6</v>
      </c>
      <c r="W308" s="8" t="str">
        <f t="shared" si="24"/>
        <v>June</v>
      </c>
    </row>
    <row r="309" spans="1:23" x14ac:dyDescent="0.55000000000000004">
      <c r="A309" t="str">
        <f t="shared" si="22"/>
        <v>JuneJuneTaiwan - DCL KY</v>
      </c>
      <c r="B309" s="3" t="s">
        <v>20</v>
      </c>
      <c r="C309" s="4" t="s">
        <v>21</v>
      </c>
      <c r="D309" s="4" t="s">
        <v>125</v>
      </c>
      <c r="E309" s="5">
        <v>43273</v>
      </c>
      <c r="F309" s="4" t="s">
        <v>23</v>
      </c>
      <c r="G309" s="4" t="s">
        <v>36</v>
      </c>
      <c r="H309" s="4" t="s">
        <v>126</v>
      </c>
      <c r="I309" s="4" t="s">
        <v>26</v>
      </c>
      <c r="J309" s="4" t="s">
        <v>27</v>
      </c>
      <c r="K309" s="6">
        <v>3801.38</v>
      </c>
      <c r="L309" s="6">
        <v>0</v>
      </c>
      <c r="M309" s="6">
        <v>3801.38</v>
      </c>
      <c r="N309" s="7" t="s">
        <v>1021</v>
      </c>
      <c r="O309" s="8" t="s">
        <v>127</v>
      </c>
      <c r="P309" s="8" t="s">
        <v>128</v>
      </c>
      <c r="Q309" s="8" t="s">
        <v>129</v>
      </c>
      <c r="R309" s="9">
        <v>43252</v>
      </c>
      <c r="S309" s="9">
        <v>43252</v>
      </c>
      <c r="T309" s="8">
        <v>6</v>
      </c>
      <c r="U309" s="8" t="str">
        <f t="shared" si="26"/>
        <v>June</v>
      </c>
      <c r="V309">
        <f t="shared" si="23"/>
        <v>6</v>
      </c>
      <c r="W309" s="8" t="str">
        <f t="shared" si="24"/>
        <v>June</v>
      </c>
    </row>
    <row r="310" spans="1:23" x14ac:dyDescent="0.55000000000000004">
      <c r="A310" t="str">
        <f t="shared" si="22"/>
        <v>JuneJuneHong Kong - Flex IL</v>
      </c>
      <c r="B310" s="3" t="s">
        <v>20</v>
      </c>
      <c r="C310" s="4" t="s">
        <v>21</v>
      </c>
      <c r="D310" s="4" t="s">
        <v>130</v>
      </c>
      <c r="E310" s="5">
        <v>43273</v>
      </c>
      <c r="F310" s="4" t="s">
        <v>23</v>
      </c>
      <c r="G310" s="4" t="s">
        <v>104</v>
      </c>
      <c r="H310" s="4" t="s">
        <v>131</v>
      </c>
      <c r="I310" s="4" t="s">
        <v>26</v>
      </c>
      <c r="J310" s="4" t="s">
        <v>27</v>
      </c>
      <c r="K310" s="6">
        <v>21363.3</v>
      </c>
      <c r="L310" s="6">
        <v>0</v>
      </c>
      <c r="M310" s="6">
        <v>21363.3</v>
      </c>
      <c r="N310" s="7" t="s">
        <v>1023</v>
      </c>
      <c r="O310" s="8" t="s">
        <v>132</v>
      </c>
      <c r="P310" s="8" t="s">
        <v>111</v>
      </c>
      <c r="Q310" s="8" t="s">
        <v>133</v>
      </c>
      <c r="R310" s="9">
        <v>43252</v>
      </c>
      <c r="S310" s="9">
        <v>43252</v>
      </c>
      <c r="T310" s="8">
        <v>6</v>
      </c>
      <c r="U310" s="8" t="str">
        <f t="shared" si="26"/>
        <v>June</v>
      </c>
      <c r="V310">
        <f t="shared" si="23"/>
        <v>6</v>
      </c>
      <c r="W310" s="8" t="str">
        <f t="shared" si="24"/>
        <v>June</v>
      </c>
    </row>
    <row r="311" spans="1:23" x14ac:dyDescent="0.55000000000000004">
      <c r="A311" t="str">
        <f t="shared" si="22"/>
        <v>JuneJuneHong Kong - Flex IL</v>
      </c>
      <c r="B311" s="3" t="s">
        <v>20</v>
      </c>
      <c r="C311" s="4" t="s">
        <v>21</v>
      </c>
      <c r="D311" s="4" t="s">
        <v>130</v>
      </c>
      <c r="E311" s="5">
        <v>43273</v>
      </c>
      <c r="F311" s="4" t="s">
        <v>23</v>
      </c>
      <c r="G311" s="4" t="s">
        <v>104</v>
      </c>
      <c r="H311" s="4" t="s">
        <v>131</v>
      </c>
      <c r="I311" s="4" t="s">
        <v>26</v>
      </c>
      <c r="J311" s="4" t="s">
        <v>27</v>
      </c>
      <c r="K311" s="6">
        <v>2105.7600000000002</v>
      </c>
      <c r="L311" s="6">
        <v>0</v>
      </c>
      <c r="M311" s="6">
        <v>2105.7600000000002</v>
      </c>
      <c r="N311" s="7" t="s">
        <v>1023</v>
      </c>
      <c r="O311" s="8" t="s">
        <v>132</v>
      </c>
      <c r="P311" s="8" t="s">
        <v>111</v>
      </c>
      <c r="Q311" s="8" t="s">
        <v>133</v>
      </c>
      <c r="R311" s="9">
        <v>43252</v>
      </c>
      <c r="S311" s="9">
        <v>43252</v>
      </c>
      <c r="T311" s="8">
        <v>6</v>
      </c>
      <c r="U311" s="8" t="str">
        <f t="shared" si="26"/>
        <v>June</v>
      </c>
      <c r="V311">
        <f t="shared" si="23"/>
        <v>6</v>
      </c>
      <c r="W311" s="8" t="str">
        <f t="shared" si="24"/>
        <v>June</v>
      </c>
    </row>
    <row r="312" spans="1:23" x14ac:dyDescent="0.55000000000000004">
      <c r="A312" t="str">
        <f t="shared" si="22"/>
        <v>JuneJuneChina - DECI NC</v>
      </c>
      <c r="B312" s="3" t="s">
        <v>20</v>
      </c>
      <c r="C312" s="4" t="s">
        <v>21</v>
      </c>
      <c r="D312" s="4" t="s">
        <v>134</v>
      </c>
      <c r="E312" s="5">
        <v>43273</v>
      </c>
      <c r="F312" s="4" t="s">
        <v>23</v>
      </c>
      <c r="G312" s="4" t="s">
        <v>47</v>
      </c>
      <c r="H312" s="4" t="s">
        <v>135</v>
      </c>
      <c r="I312" s="4" t="s">
        <v>26</v>
      </c>
      <c r="J312" s="4" t="s">
        <v>27</v>
      </c>
      <c r="K312" s="6">
        <v>336.84</v>
      </c>
      <c r="L312" s="6">
        <v>0</v>
      </c>
      <c r="M312" s="6">
        <v>336.84</v>
      </c>
      <c r="N312" s="7" t="s">
        <v>1025</v>
      </c>
      <c r="O312" s="8" t="s">
        <v>136</v>
      </c>
      <c r="P312" s="8" t="s">
        <v>97</v>
      </c>
      <c r="Q312" s="8" t="s">
        <v>137</v>
      </c>
      <c r="R312" s="9">
        <v>43252</v>
      </c>
      <c r="S312" s="9">
        <v>43252</v>
      </c>
      <c r="T312" s="8">
        <v>6</v>
      </c>
      <c r="U312" s="8" t="str">
        <f t="shared" si="26"/>
        <v>June</v>
      </c>
      <c r="V312">
        <f t="shared" si="23"/>
        <v>6</v>
      </c>
      <c r="W312" s="8" t="str">
        <f t="shared" si="24"/>
        <v>June</v>
      </c>
    </row>
    <row r="313" spans="1:23" x14ac:dyDescent="0.55000000000000004">
      <c r="A313" t="str">
        <f t="shared" si="22"/>
        <v>JuneJuneChina - DECI NC</v>
      </c>
      <c r="B313" s="3" t="s">
        <v>20</v>
      </c>
      <c r="C313" s="4" t="s">
        <v>21</v>
      </c>
      <c r="D313" s="4" t="s">
        <v>134</v>
      </c>
      <c r="E313" s="5">
        <v>43273</v>
      </c>
      <c r="F313" s="4" t="s">
        <v>23</v>
      </c>
      <c r="G313" s="4" t="s">
        <v>47</v>
      </c>
      <c r="H313" s="4" t="s">
        <v>135</v>
      </c>
      <c r="I313" s="4" t="s">
        <v>26</v>
      </c>
      <c r="J313" s="4" t="s">
        <v>27</v>
      </c>
      <c r="K313" s="6">
        <v>1280.01</v>
      </c>
      <c r="L313" s="6">
        <v>0</v>
      </c>
      <c r="M313" s="6">
        <v>1280.01</v>
      </c>
      <c r="N313" s="7" t="s">
        <v>1025</v>
      </c>
      <c r="O313" s="8" t="s">
        <v>136</v>
      </c>
      <c r="P313" s="8" t="s">
        <v>97</v>
      </c>
      <c r="Q313" s="8" t="s">
        <v>137</v>
      </c>
      <c r="R313" s="9">
        <v>43252</v>
      </c>
      <c r="S313" s="9">
        <v>43252</v>
      </c>
      <c r="T313" s="8">
        <v>6</v>
      </c>
      <c r="U313" s="8" t="str">
        <f t="shared" si="26"/>
        <v>June</v>
      </c>
      <c r="V313">
        <f t="shared" si="23"/>
        <v>6</v>
      </c>
      <c r="W313" s="8" t="str">
        <f t="shared" si="24"/>
        <v>June</v>
      </c>
    </row>
    <row r="314" spans="1:23" x14ac:dyDescent="0.55000000000000004">
      <c r="A314" t="str">
        <f t="shared" si="22"/>
        <v>JuneJuneHong Kong - Flex IL</v>
      </c>
      <c r="B314" s="3" t="s">
        <v>20</v>
      </c>
      <c r="C314" s="4" t="s">
        <v>21</v>
      </c>
      <c r="D314" s="4" t="s">
        <v>138</v>
      </c>
      <c r="E314" s="5">
        <v>43273</v>
      </c>
      <c r="F314" s="4" t="s">
        <v>23</v>
      </c>
      <c r="G314" s="4" t="s">
        <v>104</v>
      </c>
      <c r="H314" s="4" t="s">
        <v>139</v>
      </c>
      <c r="I314" s="4" t="s">
        <v>26</v>
      </c>
      <c r="J314" s="4" t="s">
        <v>27</v>
      </c>
      <c r="K314" s="6">
        <v>8964.3700000000008</v>
      </c>
      <c r="L314" s="6">
        <v>0</v>
      </c>
      <c r="M314" s="6">
        <v>8964.3700000000008</v>
      </c>
      <c r="N314" s="7" t="s">
        <v>1027</v>
      </c>
      <c r="O314" s="8" t="s">
        <v>140</v>
      </c>
      <c r="P314" s="8" t="s">
        <v>111</v>
      </c>
      <c r="Q314" s="8" t="s">
        <v>141</v>
      </c>
      <c r="R314" s="9">
        <v>43252</v>
      </c>
      <c r="S314" s="9">
        <v>43252</v>
      </c>
      <c r="T314" s="8">
        <v>6</v>
      </c>
      <c r="U314" s="8" t="str">
        <f t="shared" si="26"/>
        <v>June</v>
      </c>
      <c r="V314">
        <f t="shared" si="23"/>
        <v>6</v>
      </c>
      <c r="W314" s="8" t="str">
        <f t="shared" si="24"/>
        <v>June</v>
      </c>
    </row>
    <row r="315" spans="1:23" x14ac:dyDescent="0.55000000000000004">
      <c r="A315" t="str">
        <f t="shared" si="22"/>
        <v>JuneJuneChina - DECI NC</v>
      </c>
      <c r="B315" s="3" t="s">
        <v>20</v>
      </c>
      <c r="C315" s="4" t="s">
        <v>21</v>
      </c>
      <c r="D315" s="4" t="s">
        <v>142</v>
      </c>
      <c r="E315" s="5">
        <v>43273</v>
      </c>
      <c r="F315" s="4" t="s">
        <v>23</v>
      </c>
      <c r="G315" s="4" t="s">
        <v>47</v>
      </c>
      <c r="H315" s="4" t="s">
        <v>143</v>
      </c>
      <c r="I315" s="4" t="s">
        <v>26</v>
      </c>
      <c r="J315" s="4" t="s">
        <v>27</v>
      </c>
      <c r="K315" s="6">
        <v>7264.62</v>
      </c>
      <c r="L315" s="6">
        <v>0</v>
      </c>
      <c r="M315" s="6">
        <v>7264.62</v>
      </c>
      <c r="N315" s="7" t="s">
        <v>1029</v>
      </c>
      <c r="O315" s="8" t="s">
        <v>144</v>
      </c>
      <c r="P315" s="8" t="s">
        <v>97</v>
      </c>
      <c r="Q315" s="8" t="s">
        <v>145</v>
      </c>
      <c r="R315" s="9">
        <v>43252</v>
      </c>
      <c r="S315" s="9">
        <v>43252</v>
      </c>
      <c r="T315" s="8">
        <v>6</v>
      </c>
      <c r="U315" s="8" t="str">
        <f t="shared" si="26"/>
        <v>June</v>
      </c>
      <c r="V315">
        <f t="shared" si="23"/>
        <v>6</v>
      </c>
      <c r="W315" s="8" t="str">
        <f t="shared" si="24"/>
        <v>June</v>
      </c>
    </row>
    <row r="316" spans="1:23" x14ac:dyDescent="0.55000000000000004">
      <c r="A316" t="str">
        <f t="shared" si="22"/>
        <v>JuneAprilHong Kong - DCL KY</v>
      </c>
      <c r="B316" s="3" t="s">
        <v>20</v>
      </c>
      <c r="C316" s="4" t="s">
        <v>21</v>
      </c>
      <c r="D316" s="4" t="s">
        <v>146</v>
      </c>
      <c r="E316" s="5">
        <v>43273</v>
      </c>
      <c r="F316" s="4" t="s">
        <v>23</v>
      </c>
      <c r="G316" s="4" t="s">
        <v>57</v>
      </c>
      <c r="H316" s="4" t="s">
        <v>147</v>
      </c>
      <c r="I316" s="4" t="s">
        <v>26</v>
      </c>
      <c r="J316" s="4" t="s">
        <v>27</v>
      </c>
      <c r="K316" s="6">
        <v>40.020000000000003</v>
      </c>
      <c r="L316" s="6">
        <v>0</v>
      </c>
      <c r="M316" s="6">
        <v>40.020000000000003</v>
      </c>
      <c r="N316" s="7" t="s">
        <v>1031</v>
      </c>
      <c r="O316" s="8" t="s">
        <v>148</v>
      </c>
      <c r="P316" s="8" t="s">
        <v>39</v>
      </c>
      <c r="Q316" s="8" t="s">
        <v>149</v>
      </c>
      <c r="R316" s="9">
        <v>43191</v>
      </c>
      <c r="S316" s="9">
        <v>43191</v>
      </c>
      <c r="T316" s="8">
        <v>6</v>
      </c>
      <c r="U316" s="8" t="str">
        <f t="shared" si="26"/>
        <v>June</v>
      </c>
      <c r="V316">
        <f t="shared" si="23"/>
        <v>4</v>
      </c>
      <c r="W316" s="8" t="str">
        <f t="shared" si="24"/>
        <v>April</v>
      </c>
    </row>
    <row r="317" spans="1:23" x14ac:dyDescent="0.55000000000000004">
      <c r="A317" t="str">
        <f t="shared" si="22"/>
        <v>JuneAprilHong Kong - DCL KY</v>
      </c>
      <c r="B317" s="3" t="s">
        <v>20</v>
      </c>
      <c r="C317" s="4" t="s">
        <v>21</v>
      </c>
      <c r="D317" s="4" t="s">
        <v>146</v>
      </c>
      <c r="E317" s="5">
        <v>43273</v>
      </c>
      <c r="F317" s="4" t="s">
        <v>23</v>
      </c>
      <c r="G317" s="4" t="s">
        <v>57</v>
      </c>
      <c r="H317" s="4" t="s">
        <v>147</v>
      </c>
      <c r="I317" s="4" t="s">
        <v>26</v>
      </c>
      <c r="J317" s="4" t="s">
        <v>27</v>
      </c>
      <c r="K317" s="6">
        <v>4202.32</v>
      </c>
      <c r="L317" s="6">
        <v>0</v>
      </c>
      <c r="M317" s="6">
        <v>4202.32</v>
      </c>
      <c r="N317" s="7" t="s">
        <v>1031</v>
      </c>
      <c r="O317" s="8" t="s">
        <v>148</v>
      </c>
      <c r="P317" s="8" t="s">
        <v>39</v>
      </c>
      <c r="Q317" s="8" t="s">
        <v>149</v>
      </c>
      <c r="R317" s="9">
        <v>43191</v>
      </c>
      <c r="S317" s="9">
        <v>43191</v>
      </c>
      <c r="T317" s="8">
        <v>6</v>
      </c>
      <c r="U317" s="8" t="str">
        <f t="shared" si="26"/>
        <v>June</v>
      </c>
      <c r="V317">
        <f t="shared" si="23"/>
        <v>4</v>
      </c>
      <c r="W317" s="8" t="str">
        <f t="shared" si="24"/>
        <v>April</v>
      </c>
    </row>
    <row r="318" spans="1:23" x14ac:dyDescent="0.55000000000000004">
      <c r="A318" t="str">
        <f t="shared" si="22"/>
        <v>JuneJuneHong Kong - DCL KY</v>
      </c>
      <c r="B318" s="3" t="s">
        <v>20</v>
      </c>
      <c r="C318" s="4" t="s">
        <v>150</v>
      </c>
      <c r="D318" s="4" t="s">
        <v>214</v>
      </c>
      <c r="E318" s="5">
        <v>43252</v>
      </c>
      <c r="F318" s="4" t="s">
        <v>23</v>
      </c>
      <c r="G318" s="4" t="s">
        <v>20</v>
      </c>
      <c r="H318" s="4" t="s">
        <v>215</v>
      </c>
      <c r="I318" s="4" t="s">
        <v>154</v>
      </c>
      <c r="J318" s="4" t="s">
        <v>27</v>
      </c>
      <c r="K318" s="6">
        <v>48</v>
      </c>
      <c r="L318" s="6">
        <v>0</v>
      </c>
      <c r="M318" s="6">
        <v>48</v>
      </c>
      <c r="N318" s="4"/>
      <c r="O318" s="3" t="s">
        <v>161</v>
      </c>
      <c r="P318" s="3" t="s">
        <v>39</v>
      </c>
      <c r="Q318" s="8" t="s">
        <v>216</v>
      </c>
      <c r="R318" s="9">
        <v>43252</v>
      </c>
      <c r="S318" s="9">
        <v>43252</v>
      </c>
      <c r="T318" s="8">
        <v>6</v>
      </c>
      <c r="U318" s="8" t="str">
        <f t="shared" si="26"/>
        <v>June</v>
      </c>
      <c r="V318">
        <f t="shared" si="23"/>
        <v>6</v>
      </c>
      <c r="W318" s="8" t="str">
        <f t="shared" si="24"/>
        <v>June</v>
      </c>
    </row>
    <row r="319" spans="1:23" x14ac:dyDescent="0.55000000000000004">
      <c r="A319" t="str">
        <f t="shared" si="22"/>
        <v>JuneJuneHong Kong - Phillips WI</v>
      </c>
      <c r="B319" s="3" t="s">
        <v>20</v>
      </c>
      <c r="C319" s="4" t="s">
        <v>150</v>
      </c>
      <c r="D319" s="4" t="s">
        <v>217</v>
      </c>
      <c r="E319" s="5">
        <v>43252</v>
      </c>
      <c r="F319" s="4" t="s">
        <v>23</v>
      </c>
      <c r="G319" s="4" t="s">
        <v>161</v>
      </c>
      <c r="H319" s="4" t="s">
        <v>218</v>
      </c>
      <c r="I319" s="4" t="s">
        <v>154</v>
      </c>
      <c r="J319" s="4" t="s">
        <v>27</v>
      </c>
      <c r="K319" s="6">
        <v>12</v>
      </c>
      <c r="L319" s="6">
        <v>0</v>
      </c>
      <c r="M319" s="6">
        <v>12</v>
      </c>
      <c r="N319" s="4"/>
      <c r="O319" s="3" t="s">
        <v>161</v>
      </c>
      <c r="P319" s="3" t="s">
        <v>65</v>
      </c>
      <c r="Q319" s="8" t="s">
        <v>219</v>
      </c>
      <c r="R319" s="9">
        <v>43252</v>
      </c>
      <c r="S319" s="9">
        <v>43252</v>
      </c>
      <c r="T319" s="8">
        <v>6</v>
      </c>
      <c r="U319" s="8" t="str">
        <f t="shared" si="26"/>
        <v>June</v>
      </c>
      <c r="V319">
        <f t="shared" si="23"/>
        <v>6</v>
      </c>
      <c r="W319" s="8" t="str">
        <f t="shared" si="24"/>
        <v>June</v>
      </c>
    </row>
    <row r="320" spans="1:23" x14ac:dyDescent="0.55000000000000004">
      <c r="A320" t="str">
        <f t="shared" si="22"/>
        <v>JuneJuneHong Kong - Flex IL</v>
      </c>
      <c r="B320" s="3" t="s">
        <v>20</v>
      </c>
      <c r="C320" s="4" t="s">
        <v>150</v>
      </c>
      <c r="D320" s="4" t="s">
        <v>220</v>
      </c>
      <c r="E320" s="5">
        <v>43253</v>
      </c>
      <c r="F320" s="4" t="s">
        <v>23</v>
      </c>
      <c r="G320" s="4" t="s">
        <v>161</v>
      </c>
      <c r="H320" s="4" t="s">
        <v>221</v>
      </c>
      <c r="I320" s="4" t="s">
        <v>154</v>
      </c>
      <c r="J320" s="4" t="s">
        <v>27</v>
      </c>
      <c r="K320" s="6">
        <v>36</v>
      </c>
      <c r="L320" s="6">
        <v>0</v>
      </c>
      <c r="M320" s="6">
        <v>36</v>
      </c>
      <c r="N320" s="4"/>
      <c r="O320" s="3" t="s">
        <v>161</v>
      </c>
      <c r="P320" s="3" t="s">
        <v>111</v>
      </c>
      <c r="Q320" s="8" t="s">
        <v>222</v>
      </c>
      <c r="R320" s="9">
        <v>43252</v>
      </c>
      <c r="S320" s="9">
        <v>43252</v>
      </c>
      <c r="T320" s="8">
        <v>6</v>
      </c>
      <c r="U320" s="8" t="str">
        <f t="shared" si="26"/>
        <v>June</v>
      </c>
      <c r="V320">
        <f t="shared" si="23"/>
        <v>6</v>
      </c>
      <c r="W320" s="8" t="str">
        <f t="shared" si="24"/>
        <v>June</v>
      </c>
    </row>
    <row r="321" spans="1:23" x14ac:dyDescent="0.55000000000000004">
      <c r="A321" t="str">
        <f t="shared" si="22"/>
        <v>JuneJuneHong Kong - Phillips WI</v>
      </c>
      <c r="B321" s="3" t="s">
        <v>20</v>
      </c>
      <c r="C321" s="4" t="s">
        <v>150</v>
      </c>
      <c r="D321" s="4" t="s">
        <v>223</v>
      </c>
      <c r="E321" s="5">
        <v>43253</v>
      </c>
      <c r="F321" s="4" t="s">
        <v>23</v>
      </c>
      <c r="G321" s="4" t="s">
        <v>161</v>
      </c>
      <c r="H321" s="4" t="s">
        <v>224</v>
      </c>
      <c r="I321" s="4" t="s">
        <v>154</v>
      </c>
      <c r="J321" s="4" t="s">
        <v>27</v>
      </c>
      <c r="K321" s="6">
        <v>48</v>
      </c>
      <c r="L321" s="6">
        <v>0</v>
      </c>
      <c r="M321" s="6">
        <v>48</v>
      </c>
      <c r="N321" s="4"/>
      <c r="O321" s="3" t="s">
        <v>161</v>
      </c>
      <c r="P321" s="3" t="s">
        <v>65</v>
      </c>
      <c r="Q321" s="8" t="s">
        <v>225</v>
      </c>
      <c r="R321" s="9">
        <v>43252</v>
      </c>
      <c r="S321" s="9">
        <v>43252</v>
      </c>
      <c r="T321" s="8">
        <v>6</v>
      </c>
      <c r="U321" s="8" t="str">
        <f t="shared" si="26"/>
        <v>June</v>
      </c>
      <c r="V321">
        <f t="shared" si="23"/>
        <v>6</v>
      </c>
      <c r="W321" s="8" t="str">
        <f t="shared" si="24"/>
        <v>June</v>
      </c>
    </row>
    <row r="322" spans="1:23" x14ac:dyDescent="0.55000000000000004">
      <c r="A322" t="str">
        <f t="shared" si="22"/>
        <v>JuneJuneHong Kong - Flex IL</v>
      </c>
      <c r="B322" s="3" t="s">
        <v>20</v>
      </c>
      <c r="C322" s="4" t="s">
        <v>150</v>
      </c>
      <c r="D322" s="4" t="s">
        <v>226</v>
      </c>
      <c r="E322" s="5">
        <v>43259</v>
      </c>
      <c r="F322" s="4" t="s">
        <v>23</v>
      </c>
      <c r="G322" s="4" t="s">
        <v>161</v>
      </c>
      <c r="H322" s="4" t="s">
        <v>227</v>
      </c>
      <c r="I322" s="4" t="s">
        <v>154</v>
      </c>
      <c r="J322" s="4" t="s">
        <v>27</v>
      </c>
      <c r="K322" s="6">
        <v>132</v>
      </c>
      <c r="L322" s="6">
        <v>0</v>
      </c>
      <c r="M322" s="6">
        <v>132</v>
      </c>
      <c r="N322" s="4"/>
      <c r="O322" s="3" t="s">
        <v>161</v>
      </c>
      <c r="P322" s="3" t="s">
        <v>111</v>
      </c>
      <c r="Q322" s="8" t="s">
        <v>228</v>
      </c>
      <c r="R322" s="9">
        <v>43252</v>
      </c>
      <c r="S322" s="9">
        <v>43252</v>
      </c>
      <c r="T322" s="8">
        <v>6</v>
      </c>
      <c r="U322" s="8" t="str">
        <f t="shared" si="26"/>
        <v>June</v>
      </c>
      <c r="V322">
        <f t="shared" si="23"/>
        <v>6</v>
      </c>
      <c r="W322" s="8" t="str">
        <f t="shared" si="24"/>
        <v>June</v>
      </c>
    </row>
    <row r="323" spans="1:23" x14ac:dyDescent="0.55000000000000004">
      <c r="A323" t="str">
        <f t="shared" ref="A323:A386" si="27">U323&amp;W323&amp;P323</f>
        <v>JuneJuneHong Kong - Flex IL</v>
      </c>
      <c r="B323" s="3" t="s">
        <v>20</v>
      </c>
      <c r="C323" s="4" t="s">
        <v>150</v>
      </c>
      <c r="D323" s="4" t="s">
        <v>229</v>
      </c>
      <c r="E323" s="5">
        <v>43259</v>
      </c>
      <c r="F323" s="4" t="s">
        <v>23</v>
      </c>
      <c r="G323" s="4" t="s">
        <v>161</v>
      </c>
      <c r="H323" s="4" t="s">
        <v>230</v>
      </c>
      <c r="I323" s="4" t="s">
        <v>154</v>
      </c>
      <c r="J323" s="4" t="s">
        <v>27</v>
      </c>
      <c r="K323" s="6">
        <v>48</v>
      </c>
      <c r="L323" s="6">
        <v>0</v>
      </c>
      <c r="M323" s="6">
        <v>48</v>
      </c>
      <c r="N323" s="4"/>
      <c r="O323" s="3" t="s">
        <v>161</v>
      </c>
      <c r="P323" s="3" t="s">
        <v>111</v>
      </c>
      <c r="Q323" s="8" t="s">
        <v>231</v>
      </c>
      <c r="R323" s="9">
        <v>43252</v>
      </c>
      <c r="S323" s="9">
        <v>43252</v>
      </c>
      <c r="T323" s="8">
        <v>6</v>
      </c>
      <c r="U323" s="8" t="str">
        <f t="shared" si="26"/>
        <v>June</v>
      </c>
      <c r="V323">
        <f t="shared" ref="V323:V386" si="28">MONTH(S323)</f>
        <v>6</v>
      </c>
      <c r="W323" s="8" t="str">
        <f t="shared" ref="W323:W386" si="29">IF(V323=6,"June",IF(V323=5,"May",IF(V323=4,"April",IF(V323=3,"March",IF(V323=7,"July",IF(V323=2,"February",0))))))</f>
        <v>June</v>
      </c>
    </row>
    <row r="324" spans="1:23" x14ac:dyDescent="0.55000000000000004">
      <c r="A324" t="str">
        <f t="shared" si="27"/>
        <v>JuneJuneHong Kong - Phillips WI</v>
      </c>
      <c r="B324" s="3" t="s">
        <v>20</v>
      </c>
      <c r="C324" s="4" t="s">
        <v>150</v>
      </c>
      <c r="D324" s="4" t="s">
        <v>232</v>
      </c>
      <c r="E324" s="5">
        <v>43266</v>
      </c>
      <c r="F324" s="4" t="s">
        <v>23</v>
      </c>
      <c r="G324" s="4" t="s">
        <v>161</v>
      </c>
      <c r="H324" s="4" t="s">
        <v>233</v>
      </c>
      <c r="I324" s="4" t="s">
        <v>154</v>
      </c>
      <c r="J324" s="4" t="s">
        <v>27</v>
      </c>
      <c r="K324" s="6">
        <v>60</v>
      </c>
      <c r="L324" s="6">
        <v>0</v>
      </c>
      <c r="M324" s="6">
        <v>60</v>
      </c>
      <c r="N324" s="4"/>
      <c r="O324" s="3" t="s">
        <v>161</v>
      </c>
      <c r="P324" s="3" t="s">
        <v>65</v>
      </c>
      <c r="Q324" s="8" t="s">
        <v>234</v>
      </c>
      <c r="R324" s="9">
        <v>43252</v>
      </c>
      <c r="S324" s="9">
        <v>43252</v>
      </c>
      <c r="T324" s="8">
        <v>6</v>
      </c>
      <c r="U324" s="8" t="str">
        <f t="shared" si="26"/>
        <v>June</v>
      </c>
      <c r="V324">
        <f t="shared" si="28"/>
        <v>6</v>
      </c>
      <c r="W324" s="8" t="str">
        <f t="shared" si="29"/>
        <v>June</v>
      </c>
    </row>
    <row r="325" spans="1:23" x14ac:dyDescent="0.55000000000000004">
      <c r="A325" t="str">
        <f t="shared" si="27"/>
        <v>JuneJuneHong Kong - Flex IL</v>
      </c>
      <c r="B325" s="3" t="s">
        <v>20</v>
      </c>
      <c r="C325" s="4" t="s">
        <v>150</v>
      </c>
      <c r="D325" s="4" t="s">
        <v>235</v>
      </c>
      <c r="E325" s="5">
        <v>43266</v>
      </c>
      <c r="F325" s="4" t="s">
        <v>23</v>
      </c>
      <c r="G325" s="4" t="s">
        <v>161</v>
      </c>
      <c r="H325" s="4" t="s">
        <v>236</v>
      </c>
      <c r="I325" s="4" t="s">
        <v>154</v>
      </c>
      <c r="J325" s="4" t="s">
        <v>27</v>
      </c>
      <c r="K325" s="6">
        <v>84</v>
      </c>
      <c r="L325" s="6">
        <v>0</v>
      </c>
      <c r="M325" s="6">
        <v>84</v>
      </c>
      <c r="N325" s="4"/>
      <c r="O325" s="3" t="s">
        <v>161</v>
      </c>
      <c r="P325" s="3" t="s">
        <v>111</v>
      </c>
      <c r="Q325" s="8" t="s">
        <v>237</v>
      </c>
      <c r="R325" s="9">
        <v>43252</v>
      </c>
      <c r="S325" s="9">
        <v>43252</v>
      </c>
      <c r="T325" s="8">
        <v>6</v>
      </c>
      <c r="U325" s="8" t="str">
        <f t="shared" si="26"/>
        <v>June</v>
      </c>
      <c r="V325">
        <f t="shared" si="28"/>
        <v>6</v>
      </c>
      <c r="W325" s="8" t="str">
        <f t="shared" si="29"/>
        <v>June</v>
      </c>
    </row>
    <row r="326" spans="1:23" x14ac:dyDescent="0.55000000000000004">
      <c r="A326" t="str">
        <f t="shared" si="27"/>
        <v>JuneJuneHong Kong - Flex IL</v>
      </c>
      <c r="B326" s="3" t="s">
        <v>20</v>
      </c>
      <c r="C326" s="4" t="s">
        <v>150</v>
      </c>
      <c r="D326" s="4" t="s">
        <v>238</v>
      </c>
      <c r="E326" s="5">
        <v>43266</v>
      </c>
      <c r="F326" s="4" t="s">
        <v>23</v>
      </c>
      <c r="G326" s="4" t="s">
        <v>161</v>
      </c>
      <c r="H326" s="4" t="s">
        <v>239</v>
      </c>
      <c r="I326" s="4" t="s">
        <v>154</v>
      </c>
      <c r="J326" s="4" t="s">
        <v>27</v>
      </c>
      <c r="K326" s="6">
        <v>48</v>
      </c>
      <c r="L326" s="6">
        <v>0</v>
      </c>
      <c r="M326" s="6">
        <v>48</v>
      </c>
      <c r="N326" s="4"/>
      <c r="O326" s="3" t="s">
        <v>161</v>
      </c>
      <c r="P326" s="3" t="s">
        <v>111</v>
      </c>
      <c r="Q326" s="8" t="s">
        <v>240</v>
      </c>
      <c r="R326" s="9">
        <v>43252</v>
      </c>
      <c r="S326" s="9">
        <v>43252</v>
      </c>
      <c r="T326" s="8">
        <v>6</v>
      </c>
      <c r="U326" s="8" t="str">
        <f t="shared" si="26"/>
        <v>June</v>
      </c>
      <c r="V326">
        <f t="shared" si="28"/>
        <v>6</v>
      </c>
      <c r="W326" s="8" t="str">
        <f t="shared" si="29"/>
        <v>June</v>
      </c>
    </row>
    <row r="327" spans="1:23" x14ac:dyDescent="0.55000000000000004">
      <c r="A327" t="str">
        <f t="shared" si="27"/>
        <v>JuneMayAFG Suzho - DECI NC</v>
      </c>
      <c r="B327" s="3" t="s">
        <v>20</v>
      </c>
      <c r="C327" s="4" t="s">
        <v>241</v>
      </c>
      <c r="D327" s="4" t="s">
        <v>242</v>
      </c>
      <c r="E327" s="5">
        <v>43263</v>
      </c>
      <c r="F327" s="4" t="s">
        <v>23</v>
      </c>
      <c r="G327" s="4" t="s">
        <v>243</v>
      </c>
      <c r="H327" s="4" t="s">
        <v>244</v>
      </c>
      <c r="I327" s="4" t="s">
        <v>154</v>
      </c>
      <c r="J327" s="4" t="s">
        <v>27</v>
      </c>
      <c r="K327" s="6">
        <v>52338.18</v>
      </c>
      <c r="L327" s="6">
        <v>0</v>
      </c>
      <c r="M327" s="6">
        <v>52338.18</v>
      </c>
      <c r="N327" s="4"/>
      <c r="O327" s="3"/>
      <c r="P327" s="3" t="s">
        <v>245</v>
      </c>
      <c r="Q327" s="8" t="s">
        <v>98</v>
      </c>
      <c r="R327" s="9">
        <v>43221</v>
      </c>
      <c r="S327" s="9">
        <v>43221</v>
      </c>
      <c r="T327" s="8">
        <v>6</v>
      </c>
      <c r="U327" s="8" t="str">
        <f t="shared" si="26"/>
        <v>June</v>
      </c>
      <c r="V327">
        <f t="shared" si="28"/>
        <v>5</v>
      </c>
      <c r="W327" s="8" t="str">
        <f t="shared" si="29"/>
        <v>May</v>
      </c>
    </row>
    <row r="328" spans="1:23" x14ac:dyDescent="0.55000000000000004">
      <c r="A328" t="str">
        <f t="shared" si="27"/>
        <v>JuneMayHong Kong - DECI NC</v>
      </c>
      <c r="B328" s="3" t="s">
        <v>20</v>
      </c>
      <c r="C328" s="4" t="s">
        <v>241</v>
      </c>
      <c r="D328" s="4" t="s">
        <v>242</v>
      </c>
      <c r="E328" s="5">
        <v>43263</v>
      </c>
      <c r="F328" s="4" t="s">
        <v>23</v>
      </c>
      <c r="G328" s="4" t="s">
        <v>243</v>
      </c>
      <c r="H328" s="4" t="s">
        <v>244</v>
      </c>
      <c r="I328" s="4" t="s">
        <v>154</v>
      </c>
      <c r="J328" s="4" t="s">
        <v>27</v>
      </c>
      <c r="K328" s="6">
        <v>7412.97</v>
      </c>
      <c r="L328" s="6">
        <v>0</v>
      </c>
      <c r="M328" s="6">
        <v>7412.97</v>
      </c>
      <c r="N328" s="4"/>
      <c r="O328" s="3"/>
      <c r="P328" s="3" t="s">
        <v>92</v>
      </c>
      <c r="Q328" s="8" t="s">
        <v>257</v>
      </c>
      <c r="R328" s="9">
        <v>43221</v>
      </c>
      <c r="S328" s="9">
        <v>43221</v>
      </c>
      <c r="T328" s="8">
        <v>6</v>
      </c>
      <c r="U328" s="8" t="str">
        <f t="shared" si="26"/>
        <v>June</v>
      </c>
      <c r="V328">
        <f t="shared" si="28"/>
        <v>5</v>
      </c>
      <c r="W328" s="8" t="str">
        <f t="shared" si="29"/>
        <v>May</v>
      </c>
    </row>
    <row r="329" spans="1:23" x14ac:dyDescent="0.55000000000000004">
      <c r="A329" t="str">
        <f t="shared" si="27"/>
        <v>JuneMayHong Kong - DECI NC</v>
      </c>
      <c r="B329" s="3" t="s">
        <v>20</v>
      </c>
      <c r="C329" s="4" t="s">
        <v>241</v>
      </c>
      <c r="D329" s="4" t="s">
        <v>242</v>
      </c>
      <c r="E329" s="5">
        <v>43263</v>
      </c>
      <c r="F329" s="4" t="s">
        <v>23</v>
      </c>
      <c r="G329" s="4" t="s">
        <v>243</v>
      </c>
      <c r="H329" s="4" t="s">
        <v>244</v>
      </c>
      <c r="I329" s="4" t="s">
        <v>154</v>
      </c>
      <c r="J329" s="4" t="s">
        <v>27</v>
      </c>
      <c r="K329" s="6">
        <v>7148.81</v>
      </c>
      <c r="L329" s="6">
        <v>0</v>
      </c>
      <c r="M329" s="6">
        <v>7148.81</v>
      </c>
      <c r="N329" s="4"/>
      <c r="O329" s="3"/>
      <c r="P329" s="3" t="s">
        <v>92</v>
      </c>
      <c r="Q329" s="8" t="s">
        <v>93</v>
      </c>
      <c r="R329" s="9">
        <v>43221</v>
      </c>
      <c r="S329" s="9">
        <v>43221</v>
      </c>
      <c r="T329" s="8">
        <v>6</v>
      </c>
      <c r="U329" s="8" t="str">
        <f t="shared" si="26"/>
        <v>June</v>
      </c>
      <c r="V329">
        <f t="shared" si="28"/>
        <v>5</v>
      </c>
      <c r="W329" s="8" t="str">
        <f t="shared" si="29"/>
        <v>May</v>
      </c>
    </row>
    <row r="330" spans="1:23" x14ac:dyDescent="0.55000000000000004">
      <c r="A330" t="str">
        <f t="shared" si="27"/>
        <v>JuneMayAFG Suzho - DECI NC</v>
      </c>
      <c r="B330" s="3" t="s">
        <v>20</v>
      </c>
      <c r="C330" s="4" t="s">
        <v>241</v>
      </c>
      <c r="D330" s="4" t="s">
        <v>242</v>
      </c>
      <c r="E330" s="5">
        <v>43256</v>
      </c>
      <c r="F330" s="4" t="s">
        <v>23</v>
      </c>
      <c r="G330" s="4" t="s">
        <v>243</v>
      </c>
      <c r="H330" s="4" t="s">
        <v>244</v>
      </c>
      <c r="I330" s="4" t="s">
        <v>154</v>
      </c>
      <c r="J330" s="4" t="s">
        <v>27</v>
      </c>
      <c r="K330" s="6">
        <v>51250.79</v>
      </c>
      <c r="L330" s="6">
        <v>0</v>
      </c>
      <c r="M330" s="6">
        <v>51250.79</v>
      </c>
      <c r="N330" s="4"/>
      <c r="O330" s="3"/>
      <c r="P330" s="3" t="s">
        <v>245</v>
      </c>
      <c r="Q330" s="8" t="s">
        <v>51</v>
      </c>
      <c r="R330" s="9">
        <v>43221</v>
      </c>
      <c r="S330" s="9">
        <v>43221</v>
      </c>
      <c r="T330" s="8">
        <v>6</v>
      </c>
      <c r="U330" s="8" t="str">
        <f t="shared" si="26"/>
        <v>June</v>
      </c>
      <c r="V330">
        <f t="shared" si="28"/>
        <v>5</v>
      </c>
      <c r="W330" s="8" t="str">
        <f t="shared" si="29"/>
        <v>May</v>
      </c>
    </row>
    <row r="331" spans="1:23" x14ac:dyDescent="0.55000000000000004">
      <c r="A331" t="str">
        <f t="shared" si="27"/>
        <v>JuneMayAFG Suzho - DECI NC</v>
      </c>
      <c r="B331" s="3" t="s">
        <v>20</v>
      </c>
      <c r="C331" s="4" t="s">
        <v>241</v>
      </c>
      <c r="D331" s="4" t="s">
        <v>242</v>
      </c>
      <c r="E331" s="5">
        <v>43256</v>
      </c>
      <c r="F331" s="4" t="s">
        <v>23</v>
      </c>
      <c r="G331" s="4" t="s">
        <v>243</v>
      </c>
      <c r="H331" s="4" t="s">
        <v>244</v>
      </c>
      <c r="I331" s="4" t="s">
        <v>154</v>
      </c>
      <c r="J331" s="4" t="s">
        <v>27</v>
      </c>
      <c r="K331" s="6">
        <v>71474.19</v>
      </c>
      <c r="L331" s="6">
        <v>0</v>
      </c>
      <c r="M331" s="6">
        <v>71474.19</v>
      </c>
      <c r="N331" s="4"/>
      <c r="O331" s="3"/>
      <c r="P331" s="3" t="s">
        <v>245</v>
      </c>
      <c r="Q331" s="8" t="s">
        <v>73</v>
      </c>
      <c r="R331" s="9">
        <v>43221</v>
      </c>
      <c r="S331" s="9">
        <v>43221</v>
      </c>
      <c r="T331" s="8">
        <v>6</v>
      </c>
      <c r="U331" s="8" t="str">
        <f t="shared" si="26"/>
        <v>June</v>
      </c>
      <c r="V331">
        <f t="shared" si="28"/>
        <v>5</v>
      </c>
      <c r="W331" s="8" t="str">
        <f t="shared" si="29"/>
        <v>May</v>
      </c>
    </row>
    <row r="332" spans="1:23" x14ac:dyDescent="0.55000000000000004">
      <c r="A332" t="str">
        <f t="shared" si="27"/>
        <v>JuneMayAFG Suzho - DCL KY</v>
      </c>
      <c r="B332" s="3" t="s">
        <v>20</v>
      </c>
      <c r="C332" s="4" t="s">
        <v>241</v>
      </c>
      <c r="D332" s="4" t="s">
        <v>242</v>
      </c>
      <c r="E332" s="5">
        <v>43256</v>
      </c>
      <c r="F332" s="4" t="s">
        <v>23</v>
      </c>
      <c r="G332" s="4" t="s">
        <v>243</v>
      </c>
      <c r="H332" s="4" t="s">
        <v>244</v>
      </c>
      <c r="I332" s="4" t="s">
        <v>154</v>
      </c>
      <c r="J332" s="4" t="s">
        <v>27</v>
      </c>
      <c r="K332" s="6">
        <v>9825.7099999999991</v>
      </c>
      <c r="L332" s="6">
        <v>0</v>
      </c>
      <c r="M332" s="6">
        <v>9825.7099999999991</v>
      </c>
      <c r="N332" s="4"/>
      <c r="O332" s="34"/>
      <c r="P332" s="3" t="s">
        <v>247</v>
      </c>
      <c r="Q332" s="8" t="s">
        <v>45</v>
      </c>
      <c r="R332" s="9">
        <v>43221</v>
      </c>
      <c r="S332" s="9">
        <v>43221</v>
      </c>
      <c r="T332" s="8">
        <v>6</v>
      </c>
      <c r="U332" s="8" t="str">
        <f t="shared" si="26"/>
        <v>June</v>
      </c>
      <c r="V332">
        <f t="shared" si="28"/>
        <v>5</v>
      </c>
      <c r="W332" s="8" t="str">
        <f t="shared" si="29"/>
        <v>May</v>
      </c>
    </row>
    <row r="333" spans="1:23" x14ac:dyDescent="0.55000000000000004">
      <c r="A333" t="str">
        <f t="shared" si="27"/>
        <v>JuneMayAFG Suzho - DCL KY</v>
      </c>
      <c r="B333" s="3" t="s">
        <v>20</v>
      </c>
      <c r="C333" s="4" t="s">
        <v>241</v>
      </c>
      <c r="D333" s="4" t="s">
        <v>242</v>
      </c>
      <c r="E333" s="5">
        <v>43256</v>
      </c>
      <c r="F333" s="4" t="s">
        <v>23</v>
      </c>
      <c r="G333" s="4" t="s">
        <v>243</v>
      </c>
      <c r="H333" s="4" t="s">
        <v>244</v>
      </c>
      <c r="I333" s="4" t="s">
        <v>154</v>
      </c>
      <c r="J333" s="4" t="s">
        <v>27</v>
      </c>
      <c r="K333" s="6">
        <v>47100.97</v>
      </c>
      <c r="L333" s="6">
        <v>0</v>
      </c>
      <c r="M333" s="6">
        <v>47100.97</v>
      </c>
      <c r="N333" s="4"/>
      <c r="O333" s="34"/>
      <c r="P333" s="3" t="s">
        <v>247</v>
      </c>
      <c r="Q333" s="8" t="s">
        <v>55</v>
      </c>
      <c r="R333" s="9">
        <v>43221</v>
      </c>
      <c r="S333" s="9">
        <v>43221</v>
      </c>
      <c r="T333" s="8">
        <v>6</v>
      </c>
      <c r="U333" s="8" t="str">
        <f t="shared" si="26"/>
        <v>June</v>
      </c>
      <c r="V333">
        <f t="shared" si="28"/>
        <v>5</v>
      </c>
      <c r="W333" s="8" t="str">
        <f t="shared" si="29"/>
        <v>May</v>
      </c>
    </row>
    <row r="334" spans="1:23" x14ac:dyDescent="0.55000000000000004">
      <c r="A334" t="str">
        <f t="shared" si="27"/>
        <v>JuneMayHong Kong - DCL KY</v>
      </c>
      <c r="B334" s="3" t="s">
        <v>20</v>
      </c>
      <c r="C334" s="4" t="s">
        <v>241</v>
      </c>
      <c r="D334" s="4" t="s">
        <v>242</v>
      </c>
      <c r="E334" s="5">
        <v>43256</v>
      </c>
      <c r="F334" s="4" t="s">
        <v>23</v>
      </c>
      <c r="G334" s="4" t="s">
        <v>243</v>
      </c>
      <c r="H334" s="4" t="s">
        <v>244</v>
      </c>
      <c r="I334" s="4" t="s">
        <v>154</v>
      </c>
      <c r="J334" s="4" t="s">
        <v>27</v>
      </c>
      <c r="K334" s="6">
        <v>10996.48</v>
      </c>
      <c r="L334" s="6">
        <v>0</v>
      </c>
      <c r="M334" s="6">
        <v>10996.48</v>
      </c>
      <c r="N334" s="4"/>
      <c r="O334" s="34"/>
      <c r="P334" s="3" t="s">
        <v>39</v>
      </c>
      <c r="Q334" s="8" t="s">
        <v>40</v>
      </c>
      <c r="R334" s="9">
        <v>43221</v>
      </c>
      <c r="S334" s="9">
        <v>43221</v>
      </c>
      <c r="T334" s="8">
        <v>6</v>
      </c>
      <c r="U334" s="8" t="str">
        <f t="shared" si="26"/>
        <v>June</v>
      </c>
      <c r="V334">
        <f t="shared" si="28"/>
        <v>5</v>
      </c>
      <c r="W334" s="8" t="str">
        <f t="shared" si="29"/>
        <v>May</v>
      </c>
    </row>
    <row r="335" spans="1:23" x14ac:dyDescent="0.55000000000000004">
      <c r="A335" t="str">
        <f t="shared" si="27"/>
        <v>JuneMayHong Kong - DCL KY</v>
      </c>
      <c r="B335" s="3" t="s">
        <v>20</v>
      </c>
      <c r="C335" s="4" t="s">
        <v>241</v>
      </c>
      <c r="D335" s="4" t="s">
        <v>242</v>
      </c>
      <c r="E335" s="5">
        <v>43256</v>
      </c>
      <c r="F335" s="4" t="s">
        <v>23</v>
      </c>
      <c r="G335" s="4" t="s">
        <v>243</v>
      </c>
      <c r="H335" s="4" t="s">
        <v>244</v>
      </c>
      <c r="I335" s="4" t="s">
        <v>154</v>
      </c>
      <c r="J335" s="4" t="s">
        <v>27</v>
      </c>
      <c r="K335" s="6">
        <v>12946.68</v>
      </c>
      <c r="L335" s="6">
        <v>0</v>
      </c>
      <c r="M335" s="6">
        <v>12946.68</v>
      </c>
      <c r="N335" s="4"/>
      <c r="O335" s="34"/>
      <c r="P335" s="3" t="s">
        <v>39</v>
      </c>
      <c r="Q335" s="8" t="s">
        <v>77</v>
      </c>
      <c r="R335" s="9">
        <v>43221</v>
      </c>
      <c r="S335" s="9">
        <v>43221</v>
      </c>
      <c r="T335" s="8">
        <v>6</v>
      </c>
      <c r="U335" s="8" t="str">
        <f t="shared" si="26"/>
        <v>June</v>
      </c>
      <c r="V335">
        <f t="shared" si="28"/>
        <v>5</v>
      </c>
      <c r="W335" s="8" t="str">
        <f t="shared" si="29"/>
        <v>May</v>
      </c>
    </row>
    <row r="336" spans="1:23" x14ac:dyDescent="0.55000000000000004">
      <c r="A336" t="str">
        <f t="shared" si="27"/>
        <v>JuneMayAFG Suzho - Flex IL</v>
      </c>
      <c r="B336" s="3" t="s">
        <v>20</v>
      </c>
      <c r="C336" s="4" t="s">
        <v>241</v>
      </c>
      <c r="D336" s="4" t="s">
        <v>242</v>
      </c>
      <c r="E336" s="5">
        <v>43256</v>
      </c>
      <c r="F336" s="4" t="s">
        <v>23</v>
      </c>
      <c r="G336" s="4" t="s">
        <v>243</v>
      </c>
      <c r="H336" s="4" t="s">
        <v>244</v>
      </c>
      <c r="I336" s="4" t="s">
        <v>154</v>
      </c>
      <c r="J336" s="4" t="s">
        <v>27</v>
      </c>
      <c r="K336" s="6">
        <v>6553.57</v>
      </c>
      <c r="L336" s="6">
        <v>0</v>
      </c>
      <c r="M336" s="6">
        <v>6553.57</v>
      </c>
      <c r="N336" s="4"/>
      <c r="O336" s="34"/>
      <c r="P336" s="3" t="s">
        <v>260</v>
      </c>
      <c r="Q336" s="8" t="s">
        <v>264</v>
      </c>
      <c r="R336" s="9">
        <v>43221</v>
      </c>
      <c r="S336" s="9">
        <v>43221</v>
      </c>
      <c r="T336" s="8">
        <v>6</v>
      </c>
      <c r="U336" s="8" t="str">
        <f t="shared" si="26"/>
        <v>June</v>
      </c>
      <c r="V336">
        <f t="shared" si="28"/>
        <v>5</v>
      </c>
      <c r="W336" s="8" t="str">
        <f t="shared" si="29"/>
        <v>May</v>
      </c>
    </row>
    <row r="337" spans="1:23" x14ac:dyDescent="0.55000000000000004">
      <c r="A337" t="str">
        <f t="shared" si="27"/>
        <v>JuneMayAFG Suzho - Flex IL</v>
      </c>
      <c r="B337" s="3" t="s">
        <v>20</v>
      </c>
      <c r="C337" s="4" t="s">
        <v>241</v>
      </c>
      <c r="D337" s="4" t="s">
        <v>242</v>
      </c>
      <c r="E337" s="5">
        <v>43256</v>
      </c>
      <c r="F337" s="4" t="s">
        <v>23</v>
      </c>
      <c r="G337" s="4" t="s">
        <v>243</v>
      </c>
      <c r="H337" s="4" t="s">
        <v>244</v>
      </c>
      <c r="I337" s="4" t="s">
        <v>154</v>
      </c>
      <c r="J337" s="4" t="s">
        <v>27</v>
      </c>
      <c r="K337" s="6">
        <v>4350.2299999999996</v>
      </c>
      <c r="L337" s="6">
        <v>0</v>
      </c>
      <c r="M337" s="6">
        <v>4350.2299999999996</v>
      </c>
      <c r="N337" s="4"/>
      <c r="O337" s="34"/>
      <c r="P337" s="3" t="s">
        <v>260</v>
      </c>
      <c r="Q337" s="8" t="s">
        <v>265</v>
      </c>
      <c r="R337" s="9">
        <v>43221</v>
      </c>
      <c r="S337" s="9">
        <v>43221</v>
      </c>
      <c r="T337" s="8">
        <v>6</v>
      </c>
      <c r="U337" s="8" t="str">
        <f t="shared" ref="U337:U368" si="30">IF(T337=6,"June",IF(T337=5,"May",IF(T337=4,"April",IF(T337=3,"March",0))))</f>
        <v>June</v>
      </c>
      <c r="V337">
        <f t="shared" si="28"/>
        <v>5</v>
      </c>
      <c r="W337" s="8" t="str">
        <f t="shared" si="29"/>
        <v>May</v>
      </c>
    </row>
    <row r="338" spans="1:23" x14ac:dyDescent="0.55000000000000004">
      <c r="A338" t="str">
        <f t="shared" si="27"/>
        <v>JuneMayAFG Suzho - Flex IL</v>
      </c>
      <c r="B338" s="3" t="s">
        <v>20</v>
      </c>
      <c r="C338" s="4" t="s">
        <v>241</v>
      </c>
      <c r="D338" s="4" t="s">
        <v>242</v>
      </c>
      <c r="E338" s="5">
        <v>43256</v>
      </c>
      <c r="F338" s="4" t="s">
        <v>23</v>
      </c>
      <c r="G338" s="4" t="s">
        <v>243</v>
      </c>
      <c r="H338" s="4" t="s">
        <v>244</v>
      </c>
      <c r="I338" s="4" t="s">
        <v>154</v>
      </c>
      <c r="J338" s="4" t="s">
        <v>27</v>
      </c>
      <c r="K338" s="6">
        <v>2881.33</v>
      </c>
      <c r="L338" s="6">
        <v>0</v>
      </c>
      <c r="M338" s="6">
        <v>2881.33</v>
      </c>
      <c r="N338" s="4"/>
      <c r="O338" s="34"/>
      <c r="P338" s="3" t="s">
        <v>260</v>
      </c>
      <c r="Q338" s="8" t="s">
        <v>266</v>
      </c>
      <c r="R338" s="9">
        <v>43221</v>
      </c>
      <c r="S338" s="9">
        <v>43221</v>
      </c>
      <c r="T338" s="8">
        <v>6</v>
      </c>
      <c r="U338" s="8" t="str">
        <f t="shared" si="30"/>
        <v>June</v>
      </c>
      <c r="V338">
        <f t="shared" si="28"/>
        <v>5</v>
      </c>
      <c r="W338" s="8" t="str">
        <f t="shared" si="29"/>
        <v>May</v>
      </c>
    </row>
    <row r="339" spans="1:23" x14ac:dyDescent="0.55000000000000004">
      <c r="A339" t="str">
        <f t="shared" si="27"/>
        <v>JuneJuneAFG NC - DCL KY</v>
      </c>
      <c r="B339" s="3" t="s">
        <v>20</v>
      </c>
      <c r="C339" s="4" t="s">
        <v>241</v>
      </c>
      <c r="D339" s="4" t="s">
        <v>267</v>
      </c>
      <c r="E339" s="5">
        <v>43257</v>
      </c>
      <c r="F339" s="4" t="s">
        <v>23</v>
      </c>
      <c r="G339" s="4" t="s">
        <v>268</v>
      </c>
      <c r="H339" s="4" t="s">
        <v>269</v>
      </c>
      <c r="I339" s="4" t="s">
        <v>154</v>
      </c>
      <c r="J339" s="4" t="s">
        <v>172</v>
      </c>
      <c r="K339" s="6">
        <v>3100</v>
      </c>
      <c r="L339" s="6">
        <v>0</v>
      </c>
      <c r="M339" s="6">
        <v>3100</v>
      </c>
      <c r="N339" s="4"/>
      <c r="O339" s="34"/>
      <c r="P339" s="3" t="s">
        <v>173</v>
      </c>
      <c r="Q339" s="8" t="s">
        <v>270</v>
      </c>
      <c r="R339" s="9">
        <v>43252</v>
      </c>
      <c r="S339" s="9">
        <v>43252</v>
      </c>
      <c r="T339" s="8">
        <v>6</v>
      </c>
      <c r="U339" s="8" t="str">
        <f t="shared" si="30"/>
        <v>June</v>
      </c>
      <c r="V339">
        <f t="shared" si="28"/>
        <v>6</v>
      </c>
      <c r="W339" s="8" t="str">
        <f t="shared" si="29"/>
        <v>June</v>
      </c>
    </row>
    <row r="340" spans="1:23" x14ac:dyDescent="0.55000000000000004">
      <c r="A340" t="str">
        <f t="shared" si="27"/>
        <v>JuneJuneAFG NC - DCL KY</v>
      </c>
      <c r="B340" s="3" t="s">
        <v>20</v>
      </c>
      <c r="C340" s="4" t="s">
        <v>241</v>
      </c>
      <c r="D340" s="4" t="s">
        <v>267</v>
      </c>
      <c r="E340" s="5">
        <v>43257</v>
      </c>
      <c r="F340" s="4" t="s">
        <v>23</v>
      </c>
      <c r="G340" s="4" t="s">
        <v>268</v>
      </c>
      <c r="H340" s="4" t="s">
        <v>269</v>
      </c>
      <c r="I340" s="4" t="s">
        <v>154</v>
      </c>
      <c r="J340" s="4" t="s">
        <v>172</v>
      </c>
      <c r="K340" s="6">
        <v>3100</v>
      </c>
      <c r="L340" s="6">
        <v>0</v>
      </c>
      <c r="M340" s="6">
        <v>3100</v>
      </c>
      <c r="N340" s="4"/>
      <c r="O340" s="34"/>
      <c r="P340" s="3" t="s">
        <v>173</v>
      </c>
      <c r="Q340" s="8" t="s">
        <v>271</v>
      </c>
      <c r="R340" s="9">
        <v>43252</v>
      </c>
      <c r="S340" s="9">
        <v>43252</v>
      </c>
      <c r="T340" s="8">
        <v>6</v>
      </c>
      <c r="U340" s="8" t="str">
        <f t="shared" si="30"/>
        <v>June</v>
      </c>
      <c r="V340">
        <f t="shared" si="28"/>
        <v>6</v>
      </c>
      <c r="W340" s="8" t="str">
        <f t="shared" si="29"/>
        <v>June</v>
      </c>
    </row>
    <row r="341" spans="1:23" x14ac:dyDescent="0.55000000000000004">
      <c r="A341" t="str">
        <f t="shared" si="27"/>
        <v>JuneJuneAFG NC - DCL KY</v>
      </c>
      <c r="B341" s="3" t="s">
        <v>20</v>
      </c>
      <c r="C341" s="4" t="s">
        <v>241</v>
      </c>
      <c r="D341" s="4" t="s">
        <v>267</v>
      </c>
      <c r="E341" s="5">
        <v>43257</v>
      </c>
      <c r="F341" s="4" t="s">
        <v>23</v>
      </c>
      <c r="G341" s="4" t="s">
        <v>268</v>
      </c>
      <c r="H341" s="4" t="s">
        <v>269</v>
      </c>
      <c r="I341" s="4" t="s">
        <v>154</v>
      </c>
      <c r="J341" s="4" t="s">
        <v>172</v>
      </c>
      <c r="K341" s="6">
        <v>3100</v>
      </c>
      <c r="L341" s="6">
        <v>0</v>
      </c>
      <c r="M341" s="6">
        <v>3100</v>
      </c>
      <c r="N341" s="4"/>
      <c r="O341" s="34"/>
      <c r="P341" s="3" t="s">
        <v>173</v>
      </c>
      <c r="Q341" s="8" t="s">
        <v>272</v>
      </c>
      <c r="R341" s="9">
        <v>43252</v>
      </c>
      <c r="S341" s="9">
        <v>43252</v>
      </c>
      <c r="T341" s="8">
        <v>6</v>
      </c>
      <c r="U341" s="8" t="str">
        <f t="shared" si="30"/>
        <v>June</v>
      </c>
      <c r="V341">
        <f t="shared" si="28"/>
        <v>6</v>
      </c>
      <c r="W341" s="8" t="str">
        <f t="shared" si="29"/>
        <v>June</v>
      </c>
    </row>
    <row r="342" spans="1:23" x14ac:dyDescent="0.55000000000000004">
      <c r="A342" t="str">
        <f t="shared" si="27"/>
        <v>JuneJuneAFG NC - DCL KY</v>
      </c>
      <c r="B342" s="3" t="s">
        <v>20</v>
      </c>
      <c r="C342" s="4" t="s">
        <v>241</v>
      </c>
      <c r="D342" s="4" t="s">
        <v>267</v>
      </c>
      <c r="E342" s="5">
        <v>43257</v>
      </c>
      <c r="F342" s="4" t="s">
        <v>23</v>
      </c>
      <c r="G342" s="4" t="s">
        <v>268</v>
      </c>
      <c r="H342" s="4" t="s">
        <v>269</v>
      </c>
      <c r="I342" s="4" t="s">
        <v>154</v>
      </c>
      <c r="J342" s="4" t="s">
        <v>172</v>
      </c>
      <c r="K342" s="6">
        <v>6000</v>
      </c>
      <c r="L342" s="6">
        <v>0</v>
      </c>
      <c r="M342" s="6">
        <v>6000</v>
      </c>
      <c r="N342" s="4"/>
      <c r="O342" s="34"/>
      <c r="P342" s="3" t="s">
        <v>173</v>
      </c>
      <c r="Q342" s="8" t="s">
        <v>273</v>
      </c>
      <c r="R342" s="9">
        <v>43252</v>
      </c>
      <c r="S342" s="9">
        <v>43252</v>
      </c>
      <c r="T342" s="8">
        <v>6</v>
      </c>
      <c r="U342" s="8" t="str">
        <f t="shared" si="30"/>
        <v>June</v>
      </c>
      <c r="V342">
        <f t="shared" si="28"/>
        <v>6</v>
      </c>
      <c r="W342" s="8" t="str">
        <f t="shared" si="29"/>
        <v>June</v>
      </c>
    </row>
    <row r="343" spans="1:23" x14ac:dyDescent="0.55000000000000004">
      <c r="A343" t="str">
        <f t="shared" si="27"/>
        <v>JuneJuneAFG NC - DCL KY</v>
      </c>
      <c r="B343" s="3" t="s">
        <v>20</v>
      </c>
      <c r="C343" s="4" t="s">
        <v>241</v>
      </c>
      <c r="D343" s="4" t="s">
        <v>267</v>
      </c>
      <c r="E343" s="5">
        <v>43264</v>
      </c>
      <c r="F343" s="4" t="s">
        <v>23</v>
      </c>
      <c r="G343" s="4" t="s">
        <v>268</v>
      </c>
      <c r="H343" s="4" t="s">
        <v>269</v>
      </c>
      <c r="I343" s="4" t="s">
        <v>154</v>
      </c>
      <c r="J343" s="4" t="s">
        <v>172</v>
      </c>
      <c r="K343" s="6">
        <v>1550</v>
      </c>
      <c r="L343" s="6">
        <v>0</v>
      </c>
      <c r="M343" s="6">
        <v>1550</v>
      </c>
      <c r="N343" s="4"/>
      <c r="O343" s="34"/>
      <c r="P343" s="3" t="s">
        <v>173</v>
      </c>
      <c r="Q343" s="8" t="s">
        <v>274</v>
      </c>
      <c r="R343" s="9">
        <v>43252</v>
      </c>
      <c r="S343" s="9">
        <v>43252</v>
      </c>
      <c r="T343" s="8">
        <v>6</v>
      </c>
      <c r="U343" s="8" t="str">
        <f t="shared" si="30"/>
        <v>June</v>
      </c>
      <c r="V343">
        <f t="shared" si="28"/>
        <v>6</v>
      </c>
      <c r="W343" s="8" t="str">
        <f t="shared" si="29"/>
        <v>June</v>
      </c>
    </row>
    <row r="344" spans="1:23" x14ac:dyDescent="0.55000000000000004">
      <c r="A344" t="str">
        <f t="shared" si="27"/>
        <v>JuneJuneAFG NC - DCL KY</v>
      </c>
      <c r="B344" s="3" t="s">
        <v>20</v>
      </c>
      <c r="C344" s="4" t="s">
        <v>241</v>
      </c>
      <c r="D344" s="4" t="s">
        <v>267</v>
      </c>
      <c r="E344" s="5">
        <v>43262</v>
      </c>
      <c r="F344" s="4" t="s">
        <v>23</v>
      </c>
      <c r="G344" s="4" t="s">
        <v>268</v>
      </c>
      <c r="H344" s="4" t="s">
        <v>269</v>
      </c>
      <c r="I344" s="4" t="s">
        <v>154</v>
      </c>
      <c r="J344" s="4" t="s">
        <v>172</v>
      </c>
      <c r="K344" s="6">
        <v>3100</v>
      </c>
      <c r="L344" s="6">
        <v>0</v>
      </c>
      <c r="M344" s="6">
        <v>3100</v>
      </c>
      <c r="N344" s="4"/>
      <c r="O344" s="34"/>
      <c r="P344" s="3" t="s">
        <v>173</v>
      </c>
      <c r="Q344" s="8" t="s">
        <v>275</v>
      </c>
      <c r="R344" s="9">
        <v>43252</v>
      </c>
      <c r="S344" s="9">
        <v>43252</v>
      </c>
      <c r="T344" s="8">
        <v>6</v>
      </c>
      <c r="U344" s="8" t="str">
        <f t="shared" si="30"/>
        <v>June</v>
      </c>
      <c r="V344">
        <f t="shared" si="28"/>
        <v>6</v>
      </c>
      <c r="W344" s="8" t="str">
        <f t="shared" si="29"/>
        <v>June</v>
      </c>
    </row>
    <row r="345" spans="1:23" x14ac:dyDescent="0.55000000000000004">
      <c r="A345" t="str">
        <f t="shared" si="27"/>
        <v>JuneJuneAFG NC - DCL KY</v>
      </c>
      <c r="B345" s="3" t="s">
        <v>20</v>
      </c>
      <c r="C345" s="4" t="s">
        <v>241</v>
      </c>
      <c r="D345" s="4" t="s">
        <v>267</v>
      </c>
      <c r="E345" s="5">
        <v>43262</v>
      </c>
      <c r="F345" s="4" t="s">
        <v>23</v>
      </c>
      <c r="G345" s="4" t="s">
        <v>268</v>
      </c>
      <c r="H345" s="4" t="s">
        <v>269</v>
      </c>
      <c r="I345" s="4" t="s">
        <v>154</v>
      </c>
      <c r="J345" s="4" t="s">
        <v>172</v>
      </c>
      <c r="K345" s="6">
        <v>3100</v>
      </c>
      <c r="L345" s="6">
        <v>0</v>
      </c>
      <c r="M345" s="6">
        <v>3100</v>
      </c>
      <c r="N345" s="4"/>
      <c r="O345" s="34"/>
      <c r="P345" s="3" t="s">
        <v>173</v>
      </c>
      <c r="Q345" s="8" t="s">
        <v>276</v>
      </c>
      <c r="R345" s="9">
        <v>43252</v>
      </c>
      <c r="S345" s="9">
        <v>43252</v>
      </c>
      <c r="T345" s="8">
        <v>6</v>
      </c>
      <c r="U345" s="8" t="str">
        <f t="shared" si="30"/>
        <v>June</v>
      </c>
      <c r="V345">
        <f t="shared" si="28"/>
        <v>6</v>
      </c>
      <c r="W345" s="8" t="str">
        <f t="shared" si="29"/>
        <v>June</v>
      </c>
    </row>
    <row r="346" spans="1:23" x14ac:dyDescent="0.55000000000000004">
      <c r="A346" t="str">
        <f t="shared" si="27"/>
        <v>JuneJuneAFG NC - DCL KY</v>
      </c>
      <c r="B346" s="3" t="s">
        <v>20</v>
      </c>
      <c r="C346" s="4" t="s">
        <v>241</v>
      </c>
      <c r="D346" s="4" t="s">
        <v>267</v>
      </c>
      <c r="E346" s="5">
        <v>43262</v>
      </c>
      <c r="F346" s="4" t="s">
        <v>23</v>
      </c>
      <c r="G346" s="4" t="s">
        <v>268</v>
      </c>
      <c r="H346" s="4" t="s">
        <v>269</v>
      </c>
      <c r="I346" s="4" t="s">
        <v>154</v>
      </c>
      <c r="J346" s="4" t="s">
        <v>172</v>
      </c>
      <c r="K346" s="6">
        <v>4650</v>
      </c>
      <c r="L346" s="6">
        <v>0</v>
      </c>
      <c r="M346" s="6">
        <v>4650</v>
      </c>
      <c r="N346" s="4"/>
      <c r="O346" s="34"/>
      <c r="P346" s="3" t="s">
        <v>173</v>
      </c>
      <c r="Q346" s="8" t="s">
        <v>277</v>
      </c>
      <c r="R346" s="9">
        <v>43252</v>
      </c>
      <c r="S346" s="9">
        <v>43252</v>
      </c>
      <c r="T346" s="8">
        <v>6</v>
      </c>
      <c r="U346" s="8" t="str">
        <f t="shared" si="30"/>
        <v>June</v>
      </c>
      <c r="V346">
        <f t="shared" si="28"/>
        <v>6</v>
      </c>
      <c r="W346" s="8" t="str">
        <f t="shared" si="29"/>
        <v>June</v>
      </c>
    </row>
    <row r="347" spans="1:23" x14ac:dyDescent="0.55000000000000004">
      <c r="A347" t="str">
        <f t="shared" si="27"/>
        <v>JuneJuneAFG NC - DCL KY</v>
      </c>
      <c r="B347" s="3" t="s">
        <v>20</v>
      </c>
      <c r="C347" s="4" t="s">
        <v>241</v>
      </c>
      <c r="D347" s="4" t="s">
        <v>267</v>
      </c>
      <c r="E347" s="5">
        <v>43263</v>
      </c>
      <c r="F347" s="4" t="s">
        <v>23</v>
      </c>
      <c r="G347" s="4" t="s">
        <v>268</v>
      </c>
      <c r="H347" s="4" t="s">
        <v>269</v>
      </c>
      <c r="I347" s="4" t="s">
        <v>154</v>
      </c>
      <c r="J347" s="4" t="s">
        <v>172</v>
      </c>
      <c r="K347" s="6">
        <v>4650</v>
      </c>
      <c r="L347" s="6">
        <v>0</v>
      </c>
      <c r="M347" s="6">
        <v>4650</v>
      </c>
      <c r="N347" s="4"/>
      <c r="O347" s="34"/>
      <c r="P347" s="3" t="s">
        <v>173</v>
      </c>
      <c r="Q347" s="8" t="s">
        <v>278</v>
      </c>
      <c r="R347" s="9">
        <v>43252</v>
      </c>
      <c r="S347" s="9">
        <v>43252</v>
      </c>
      <c r="T347" s="8">
        <v>6</v>
      </c>
      <c r="U347" s="8" t="str">
        <f t="shared" si="30"/>
        <v>June</v>
      </c>
      <c r="V347">
        <f t="shared" si="28"/>
        <v>6</v>
      </c>
      <c r="W347" s="8" t="str">
        <f t="shared" si="29"/>
        <v>June</v>
      </c>
    </row>
    <row r="348" spans="1:23" x14ac:dyDescent="0.55000000000000004">
      <c r="A348" t="str">
        <f t="shared" si="27"/>
        <v>JuneJuneAFG NC - DCL KY</v>
      </c>
      <c r="B348" s="3" t="s">
        <v>20</v>
      </c>
      <c r="C348" s="4" t="s">
        <v>241</v>
      </c>
      <c r="D348" s="4" t="s">
        <v>267</v>
      </c>
      <c r="E348" s="5">
        <v>43264</v>
      </c>
      <c r="F348" s="4" t="s">
        <v>23</v>
      </c>
      <c r="G348" s="4" t="s">
        <v>268</v>
      </c>
      <c r="H348" s="4" t="s">
        <v>269</v>
      </c>
      <c r="I348" s="4" t="s">
        <v>154</v>
      </c>
      <c r="J348" s="4" t="s">
        <v>172</v>
      </c>
      <c r="K348" s="6">
        <v>3100</v>
      </c>
      <c r="L348" s="6">
        <v>0</v>
      </c>
      <c r="M348" s="6">
        <v>3100</v>
      </c>
      <c r="N348" s="4"/>
      <c r="O348" s="34"/>
      <c r="P348" s="3" t="s">
        <v>173</v>
      </c>
      <c r="Q348" s="8" t="s">
        <v>279</v>
      </c>
      <c r="R348" s="9">
        <v>43252</v>
      </c>
      <c r="S348" s="9">
        <v>43252</v>
      </c>
      <c r="T348" s="8">
        <v>6</v>
      </c>
      <c r="U348" s="8" t="str">
        <f t="shared" si="30"/>
        <v>June</v>
      </c>
      <c r="V348">
        <f t="shared" si="28"/>
        <v>6</v>
      </c>
      <c r="W348" s="8" t="str">
        <f t="shared" si="29"/>
        <v>June</v>
      </c>
    </row>
    <row r="349" spans="1:23" x14ac:dyDescent="0.55000000000000004">
      <c r="A349" t="str">
        <f t="shared" si="27"/>
        <v>JuneJunePhillips WI - DCL KY</v>
      </c>
      <c r="B349" s="3" t="s">
        <v>20</v>
      </c>
      <c r="C349" s="4" t="s">
        <v>241</v>
      </c>
      <c r="D349" s="4" t="s">
        <v>267</v>
      </c>
      <c r="E349" s="5">
        <v>43264</v>
      </c>
      <c r="F349" s="4" t="s">
        <v>23</v>
      </c>
      <c r="G349" s="4" t="s">
        <v>268</v>
      </c>
      <c r="H349" s="4" t="s">
        <v>269</v>
      </c>
      <c r="I349" s="4" t="s">
        <v>154</v>
      </c>
      <c r="J349" s="4" t="s">
        <v>172</v>
      </c>
      <c r="K349" s="6">
        <v>541.87</v>
      </c>
      <c r="L349" s="6">
        <v>0</v>
      </c>
      <c r="M349" s="6">
        <v>541.87</v>
      </c>
      <c r="N349" s="4"/>
      <c r="O349" s="34"/>
      <c r="P349" s="3" t="s">
        <v>29</v>
      </c>
      <c r="Q349" s="8" t="s">
        <v>280</v>
      </c>
      <c r="R349" s="9">
        <v>43252</v>
      </c>
      <c r="S349" s="9">
        <v>43252</v>
      </c>
      <c r="T349" s="8">
        <v>6</v>
      </c>
      <c r="U349" s="8" t="str">
        <f t="shared" si="30"/>
        <v>June</v>
      </c>
      <c r="V349">
        <f t="shared" si="28"/>
        <v>6</v>
      </c>
      <c r="W349" s="8" t="str">
        <f t="shared" si="29"/>
        <v>June</v>
      </c>
    </row>
    <row r="350" spans="1:23" x14ac:dyDescent="0.55000000000000004">
      <c r="A350" t="str">
        <f t="shared" si="27"/>
        <v>JuneJuneAFG NC - DCL KY</v>
      </c>
      <c r="B350" s="3" t="s">
        <v>20</v>
      </c>
      <c r="C350" s="4" t="s">
        <v>241</v>
      </c>
      <c r="D350" s="4" t="s">
        <v>267</v>
      </c>
      <c r="E350" s="5">
        <v>43269</v>
      </c>
      <c r="F350" s="4" t="s">
        <v>23</v>
      </c>
      <c r="G350" s="4" t="s">
        <v>268</v>
      </c>
      <c r="H350" s="4" t="s">
        <v>269</v>
      </c>
      <c r="I350" s="4" t="s">
        <v>154</v>
      </c>
      <c r="J350" s="4" t="s">
        <v>172</v>
      </c>
      <c r="K350" s="6">
        <v>3100</v>
      </c>
      <c r="L350" s="6">
        <v>0</v>
      </c>
      <c r="M350" s="6">
        <v>3100</v>
      </c>
      <c r="N350" s="4"/>
      <c r="O350" s="34"/>
      <c r="P350" s="3" t="s">
        <v>173</v>
      </c>
      <c r="Q350" s="8" t="s">
        <v>281</v>
      </c>
      <c r="R350" s="9">
        <v>43252</v>
      </c>
      <c r="S350" s="9">
        <v>43252</v>
      </c>
      <c r="T350" s="8">
        <v>6</v>
      </c>
      <c r="U350" s="8" t="str">
        <f t="shared" si="30"/>
        <v>June</v>
      </c>
      <c r="V350">
        <f t="shared" si="28"/>
        <v>6</v>
      </c>
      <c r="W350" s="8" t="str">
        <f t="shared" si="29"/>
        <v>June</v>
      </c>
    </row>
    <row r="351" spans="1:23" x14ac:dyDescent="0.55000000000000004">
      <c r="A351" t="str">
        <f t="shared" si="27"/>
        <v>JuneJuneAFG NC - DCL KY</v>
      </c>
      <c r="B351" s="3" t="s">
        <v>20</v>
      </c>
      <c r="C351" s="4" t="s">
        <v>241</v>
      </c>
      <c r="D351" s="4" t="s">
        <v>267</v>
      </c>
      <c r="E351" s="5">
        <v>43270</v>
      </c>
      <c r="F351" s="4" t="s">
        <v>23</v>
      </c>
      <c r="G351" s="4" t="s">
        <v>268</v>
      </c>
      <c r="H351" s="4" t="s">
        <v>269</v>
      </c>
      <c r="I351" s="4" t="s">
        <v>154</v>
      </c>
      <c r="J351" s="4" t="s">
        <v>172</v>
      </c>
      <c r="K351" s="6">
        <v>7150</v>
      </c>
      <c r="L351" s="6">
        <v>0</v>
      </c>
      <c r="M351" s="6">
        <v>7150</v>
      </c>
      <c r="N351" s="4"/>
      <c r="O351" s="34"/>
      <c r="P351" s="3" t="s">
        <v>173</v>
      </c>
      <c r="Q351" s="8" t="s">
        <v>282</v>
      </c>
      <c r="R351" s="9">
        <v>43252</v>
      </c>
      <c r="S351" s="9">
        <v>43252</v>
      </c>
      <c r="T351" s="8">
        <v>6</v>
      </c>
      <c r="U351" s="8" t="str">
        <f t="shared" si="30"/>
        <v>June</v>
      </c>
      <c r="V351">
        <f t="shared" si="28"/>
        <v>6</v>
      </c>
      <c r="W351" s="8" t="str">
        <f t="shared" si="29"/>
        <v>June</v>
      </c>
    </row>
    <row r="352" spans="1:23" x14ac:dyDescent="0.55000000000000004">
      <c r="A352" t="str">
        <f t="shared" si="27"/>
        <v>JuneJuneDECI NC - DCL KY</v>
      </c>
      <c r="B352" s="3" t="s">
        <v>20</v>
      </c>
      <c r="C352" s="4" t="s">
        <v>241</v>
      </c>
      <c r="D352" s="4" t="s">
        <v>267</v>
      </c>
      <c r="E352" s="5">
        <v>43270</v>
      </c>
      <c r="F352" s="4" t="s">
        <v>23</v>
      </c>
      <c r="G352" s="4" t="s">
        <v>268</v>
      </c>
      <c r="H352" s="4" t="s">
        <v>269</v>
      </c>
      <c r="I352" s="4" t="s">
        <v>154</v>
      </c>
      <c r="J352" s="4" t="s">
        <v>172</v>
      </c>
      <c r="K352" s="6">
        <v>7150</v>
      </c>
      <c r="L352" s="6">
        <v>0</v>
      </c>
      <c r="M352" s="6">
        <v>7150</v>
      </c>
      <c r="N352" s="4"/>
      <c r="O352" s="34"/>
      <c r="P352" s="3" t="s">
        <v>178</v>
      </c>
      <c r="Q352" s="8" t="s">
        <v>283</v>
      </c>
      <c r="R352" s="9">
        <v>43252</v>
      </c>
      <c r="S352" s="9">
        <v>43252</v>
      </c>
      <c r="T352" s="8">
        <v>6</v>
      </c>
      <c r="U352" s="8" t="str">
        <f t="shared" si="30"/>
        <v>June</v>
      </c>
      <c r="V352">
        <f t="shared" si="28"/>
        <v>6</v>
      </c>
      <c r="W352" s="8" t="str">
        <f t="shared" si="29"/>
        <v>June</v>
      </c>
    </row>
    <row r="353" spans="1:23" x14ac:dyDescent="0.55000000000000004">
      <c r="A353" t="str">
        <f t="shared" si="27"/>
        <v>JuneJuneAFG NC - DCL KY</v>
      </c>
      <c r="B353" s="3" t="s">
        <v>20</v>
      </c>
      <c r="C353" s="4" t="s">
        <v>241</v>
      </c>
      <c r="D353" s="4" t="s">
        <v>267</v>
      </c>
      <c r="E353" s="5">
        <v>43270</v>
      </c>
      <c r="F353" s="4" t="s">
        <v>23</v>
      </c>
      <c r="G353" s="4" t="s">
        <v>268</v>
      </c>
      <c r="H353" s="4" t="s">
        <v>269</v>
      </c>
      <c r="I353" s="4" t="s">
        <v>154</v>
      </c>
      <c r="J353" s="4" t="s">
        <v>172</v>
      </c>
      <c r="K353" s="6">
        <v>3100</v>
      </c>
      <c r="L353" s="6">
        <v>0</v>
      </c>
      <c r="M353" s="6">
        <v>3100</v>
      </c>
      <c r="N353" s="4"/>
      <c r="O353" s="34"/>
      <c r="P353" s="3" t="s">
        <v>173</v>
      </c>
      <c r="Q353" s="8" t="s">
        <v>284</v>
      </c>
      <c r="R353" s="9">
        <v>43252</v>
      </c>
      <c r="S353" s="9">
        <v>43252</v>
      </c>
      <c r="T353" s="8">
        <v>6</v>
      </c>
      <c r="U353" s="8" t="str">
        <f t="shared" si="30"/>
        <v>June</v>
      </c>
      <c r="V353">
        <f t="shared" si="28"/>
        <v>6</v>
      </c>
      <c r="W353" s="8" t="str">
        <f t="shared" si="29"/>
        <v>June</v>
      </c>
    </row>
    <row r="354" spans="1:23" x14ac:dyDescent="0.55000000000000004">
      <c r="A354" t="str">
        <f t="shared" si="27"/>
        <v>JuneJuneDECI NC - DCL KY</v>
      </c>
      <c r="B354" s="3" t="s">
        <v>20</v>
      </c>
      <c r="C354" s="4" t="s">
        <v>241</v>
      </c>
      <c r="D354" s="4" t="s">
        <v>267</v>
      </c>
      <c r="E354" s="5">
        <v>43270</v>
      </c>
      <c r="F354" s="4" t="s">
        <v>23</v>
      </c>
      <c r="G354" s="4" t="s">
        <v>268</v>
      </c>
      <c r="H354" s="4" t="s">
        <v>269</v>
      </c>
      <c r="I354" s="4" t="s">
        <v>154</v>
      </c>
      <c r="J354" s="4" t="s">
        <v>172</v>
      </c>
      <c r="K354" s="6">
        <v>8500</v>
      </c>
      <c r="L354" s="6">
        <v>0</v>
      </c>
      <c r="M354" s="6">
        <v>8500</v>
      </c>
      <c r="N354" s="4"/>
      <c r="O354" s="34"/>
      <c r="P354" s="3" t="s">
        <v>178</v>
      </c>
      <c r="Q354" s="8" t="s">
        <v>285</v>
      </c>
      <c r="R354" s="9">
        <v>43252</v>
      </c>
      <c r="S354" s="9">
        <v>43252</v>
      </c>
      <c r="T354" s="8">
        <v>6</v>
      </c>
      <c r="U354" s="8" t="str">
        <f t="shared" si="30"/>
        <v>June</v>
      </c>
      <c r="V354">
        <f t="shared" si="28"/>
        <v>6</v>
      </c>
      <c r="W354" s="8" t="str">
        <f t="shared" si="29"/>
        <v>June</v>
      </c>
    </row>
    <row r="355" spans="1:23" x14ac:dyDescent="0.55000000000000004">
      <c r="A355" t="str">
        <f t="shared" si="27"/>
        <v>JuneJuneAFG NC - DCL KY</v>
      </c>
      <c r="B355" s="3" t="s">
        <v>20</v>
      </c>
      <c r="C355" s="4" t="s">
        <v>241</v>
      </c>
      <c r="D355" s="4" t="s">
        <v>267</v>
      </c>
      <c r="E355" s="5">
        <v>43270</v>
      </c>
      <c r="F355" s="4" t="s">
        <v>23</v>
      </c>
      <c r="G355" s="4" t="s">
        <v>268</v>
      </c>
      <c r="H355" s="4" t="s">
        <v>269</v>
      </c>
      <c r="I355" s="4" t="s">
        <v>154</v>
      </c>
      <c r="J355" s="4" t="s">
        <v>172</v>
      </c>
      <c r="K355" s="6">
        <v>3100</v>
      </c>
      <c r="L355" s="6">
        <v>0</v>
      </c>
      <c r="M355" s="6">
        <v>3100</v>
      </c>
      <c r="N355" s="4"/>
      <c r="O355" s="34"/>
      <c r="P355" s="3" t="s">
        <v>173</v>
      </c>
      <c r="Q355" s="8" t="s">
        <v>286</v>
      </c>
      <c r="R355" s="9">
        <v>43252</v>
      </c>
      <c r="S355" s="9">
        <v>43252</v>
      </c>
      <c r="T355" s="8">
        <v>6</v>
      </c>
      <c r="U355" s="8" t="str">
        <f t="shared" si="30"/>
        <v>June</v>
      </c>
      <c r="V355">
        <f t="shared" si="28"/>
        <v>6</v>
      </c>
      <c r="W355" s="8" t="str">
        <f t="shared" si="29"/>
        <v>June</v>
      </c>
    </row>
    <row r="356" spans="1:23" x14ac:dyDescent="0.55000000000000004">
      <c r="A356" t="str">
        <f t="shared" si="27"/>
        <v>JuneJuneAFG NC - DCL KY</v>
      </c>
      <c r="B356" s="3" t="s">
        <v>20</v>
      </c>
      <c r="C356" s="4" t="s">
        <v>241</v>
      </c>
      <c r="D356" s="4" t="s">
        <v>267</v>
      </c>
      <c r="E356" s="5">
        <v>43271</v>
      </c>
      <c r="F356" s="4" t="s">
        <v>23</v>
      </c>
      <c r="G356" s="4" t="s">
        <v>268</v>
      </c>
      <c r="H356" s="4" t="s">
        <v>269</v>
      </c>
      <c r="I356" s="4" t="s">
        <v>154</v>
      </c>
      <c r="J356" s="4" t="s">
        <v>172</v>
      </c>
      <c r="K356" s="6">
        <v>3450</v>
      </c>
      <c r="L356" s="6">
        <v>0</v>
      </c>
      <c r="M356" s="6">
        <v>3450</v>
      </c>
      <c r="N356" s="4"/>
      <c r="O356" s="34"/>
      <c r="P356" s="3" t="s">
        <v>173</v>
      </c>
      <c r="Q356" s="8" t="s">
        <v>287</v>
      </c>
      <c r="R356" s="9">
        <v>43252</v>
      </c>
      <c r="S356" s="9">
        <v>43252</v>
      </c>
      <c r="T356" s="8">
        <v>6</v>
      </c>
      <c r="U356" s="8" t="str">
        <f t="shared" si="30"/>
        <v>June</v>
      </c>
      <c r="V356">
        <f t="shared" si="28"/>
        <v>6</v>
      </c>
      <c r="W356" s="8" t="str">
        <f t="shared" si="29"/>
        <v>June</v>
      </c>
    </row>
    <row r="357" spans="1:23" x14ac:dyDescent="0.55000000000000004">
      <c r="A357" t="str">
        <f t="shared" si="27"/>
        <v>JuneJuneAFG NC - DCL KY</v>
      </c>
      <c r="B357" s="3" t="s">
        <v>20</v>
      </c>
      <c r="C357" s="4" t="s">
        <v>241</v>
      </c>
      <c r="D357" s="4" t="s">
        <v>267</v>
      </c>
      <c r="E357" s="5">
        <v>43272</v>
      </c>
      <c r="F357" s="4" t="s">
        <v>23</v>
      </c>
      <c r="G357" s="4" t="s">
        <v>268</v>
      </c>
      <c r="H357" s="4" t="s">
        <v>269</v>
      </c>
      <c r="I357" s="4" t="s">
        <v>154</v>
      </c>
      <c r="J357" s="4" t="s">
        <v>172</v>
      </c>
      <c r="K357" s="6">
        <v>5600</v>
      </c>
      <c r="L357" s="6">
        <v>0</v>
      </c>
      <c r="M357" s="6">
        <v>5600</v>
      </c>
      <c r="N357" s="4"/>
      <c r="O357" s="34"/>
      <c r="P357" s="3" t="s">
        <v>173</v>
      </c>
      <c r="Q357" s="8" t="s">
        <v>288</v>
      </c>
      <c r="R357" s="9">
        <v>43252</v>
      </c>
      <c r="S357" s="9">
        <v>43252</v>
      </c>
      <c r="T357" s="8">
        <v>6</v>
      </c>
      <c r="U357" s="8" t="str">
        <f t="shared" si="30"/>
        <v>June</v>
      </c>
      <c r="V357">
        <f t="shared" si="28"/>
        <v>6</v>
      </c>
      <c r="W357" s="8" t="str">
        <f t="shared" si="29"/>
        <v>June</v>
      </c>
    </row>
    <row r="358" spans="1:23" x14ac:dyDescent="0.55000000000000004">
      <c r="A358" t="str">
        <f t="shared" si="27"/>
        <v>JuneJuneAFG NC - DCL KY</v>
      </c>
      <c r="B358" s="3" t="s">
        <v>20</v>
      </c>
      <c r="C358" s="4" t="s">
        <v>241</v>
      </c>
      <c r="D358" s="4" t="s">
        <v>267</v>
      </c>
      <c r="E358" s="5">
        <v>43276</v>
      </c>
      <c r="F358" s="4" t="s">
        <v>23</v>
      </c>
      <c r="G358" s="4" t="s">
        <v>268</v>
      </c>
      <c r="H358" s="4" t="s">
        <v>269</v>
      </c>
      <c r="I358" s="4" t="s">
        <v>154</v>
      </c>
      <c r="J358" s="4" t="s">
        <v>172</v>
      </c>
      <c r="K358" s="6">
        <v>4650</v>
      </c>
      <c r="L358" s="6">
        <v>0</v>
      </c>
      <c r="M358" s="6">
        <v>4650</v>
      </c>
      <c r="N358" s="4"/>
      <c r="O358" s="34"/>
      <c r="P358" s="3" t="s">
        <v>173</v>
      </c>
      <c r="Q358" s="8" t="s">
        <v>289</v>
      </c>
      <c r="R358" s="9">
        <v>43252</v>
      </c>
      <c r="S358" s="9">
        <v>43252</v>
      </c>
      <c r="T358" s="8">
        <v>6</v>
      </c>
      <c r="U358" s="8" t="str">
        <f t="shared" si="30"/>
        <v>June</v>
      </c>
      <c r="V358">
        <f t="shared" si="28"/>
        <v>6</v>
      </c>
      <c r="W358" s="8" t="str">
        <f t="shared" si="29"/>
        <v>June</v>
      </c>
    </row>
    <row r="359" spans="1:23" x14ac:dyDescent="0.55000000000000004">
      <c r="A359" t="str">
        <f t="shared" si="27"/>
        <v>JuneJuneAFG NC - DCL KY</v>
      </c>
      <c r="B359" s="3" t="s">
        <v>20</v>
      </c>
      <c r="C359" s="4" t="s">
        <v>241</v>
      </c>
      <c r="D359" s="4" t="s">
        <v>267</v>
      </c>
      <c r="E359" s="5">
        <v>43276</v>
      </c>
      <c r="F359" s="4" t="s">
        <v>23</v>
      </c>
      <c r="G359" s="4" t="s">
        <v>268</v>
      </c>
      <c r="H359" s="4" t="s">
        <v>269</v>
      </c>
      <c r="I359" s="4" t="s">
        <v>154</v>
      </c>
      <c r="J359" s="4" t="s">
        <v>172</v>
      </c>
      <c r="K359" s="6">
        <v>4450</v>
      </c>
      <c r="L359" s="6">
        <v>0</v>
      </c>
      <c r="M359" s="6">
        <v>4450</v>
      </c>
      <c r="N359" s="4"/>
      <c r="O359" s="34"/>
      <c r="P359" s="3" t="s">
        <v>173</v>
      </c>
      <c r="Q359" s="8" t="s">
        <v>290</v>
      </c>
      <c r="R359" s="9">
        <v>43252</v>
      </c>
      <c r="S359" s="9">
        <v>43252</v>
      </c>
      <c r="T359" s="8">
        <v>6</v>
      </c>
      <c r="U359" s="8" t="str">
        <f t="shared" si="30"/>
        <v>June</v>
      </c>
      <c r="V359">
        <f t="shared" si="28"/>
        <v>6</v>
      </c>
      <c r="W359" s="8" t="str">
        <f t="shared" si="29"/>
        <v>June</v>
      </c>
    </row>
    <row r="360" spans="1:23" x14ac:dyDescent="0.55000000000000004">
      <c r="A360" t="str">
        <f t="shared" si="27"/>
        <v>JuneJuneAFG NC - DCL KY</v>
      </c>
      <c r="B360" s="3" t="s">
        <v>20</v>
      </c>
      <c r="C360" s="4" t="s">
        <v>241</v>
      </c>
      <c r="D360" s="4" t="s">
        <v>267</v>
      </c>
      <c r="E360" s="5">
        <v>43276</v>
      </c>
      <c r="F360" s="4" t="s">
        <v>23</v>
      </c>
      <c r="G360" s="4" t="s">
        <v>268</v>
      </c>
      <c r="H360" s="4" t="s">
        <v>269</v>
      </c>
      <c r="I360" s="4" t="s">
        <v>154</v>
      </c>
      <c r="J360" s="4" t="s">
        <v>172</v>
      </c>
      <c r="K360" s="6">
        <v>7150</v>
      </c>
      <c r="L360" s="6">
        <v>0</v>
      </c>
      <c r="M360" s="6">
        <v>7150</v>
      </c>
      <c r="N360" s="4"/>
      <c r="O360" s="34"/>
      <c r="P360" s="3" t="s">
        <v>173</v>
      </c>
      <c r="Q360" s="8" t="s">
        <v>291</v>
      </c>
      <c r="R360" s="9">
        <v>43252</v>
      </c>
      <c r="S360" s="9">
        <v>43252</v>
      </c>
      <c r="T360" s="8">
        <v>6</v>
      </c>
      <c r="U360" s="8" t="str">
        <f t="shared" si="30"/>
        <v>June</v>
      </c>
      <c r="V360">
        <f t="shared" si="28"/>
        <v>6</v>
      </c>
      <c r="W360" s="8" t="str">
        <f t="shared" si="29"/>
        <v>June</v>
      </c>
    </row>
    <row r="361" spans="1:23" x14ac:dyDescent="0.55000000000000004">
      <c r="A361" t="str">
        <f t="shared" si="27"/>
        <v>JuneJuneAFG NC - DCL KY</v>
      </c>
      <c r="B361" s="3" t="s">
        <v>20</v>
      </c>
      <c r="C361" s="4" t="s">
        <v>241</v>
      </c>
      <c r="D361" s="4" t="s">
        <v>267</v>
      </c>
      <c r="E361" s="5">
        <v>43277</v>
      </c>
      <c r="F361" s="4" t="s">
        <v>23</v>
      </c>
      <c r="G361" s="4" t="s">
        <v>268</v>
      </c>
      <c r="H361" s="4" t="s">
        <v>269</v>
      </c>
      <c r="I361" s="4" t="s">
        <v>154</v>
      </c>
      <c r="J361" s="4" t="s">
        <v>172</v>
      </c>
      <c r="K361" s="6">
        <v>4650</v>
      </c>
      <c r="L361" s="6">
        <v>0</v>
      </c>
      <c r="M361" s="6">
        <v>4650</v>
      </c>
      <c r="N361" s="4"/>
      <c r="O361" s="34"/>
      <c r="P361" s="3" t="s">
        <v>173</v>
      </c>
      <c r="Q361" s="8" t="s">
        <v>292</v>
      </c>
      <c r="R361" s="9">
        <v>43252</v>
      </c>
      <c r="S361" s="9">
        <v>43252</v>
      </c>
      <c r="T361" s="8">
        <v>6</v>
      </c>
      <c r="U361" s="8" t="str">
        <f t="shared" si="30"/>
        <v>June</v>
      </c>
      <c r="V361">
        <f t="shared" si="28"/>
        <v>6</v>
      </c>
      <c r="W361" s="8" t="str">
        <f t="shared" si="29"/>
        <v>June</v>
      </c>
    </row>
    <row r="362" spans="1:23" x14ac:dyDescent="0.55000000000000004">
      <c r="A362" t="str">
        <f t="shared" si="27"/>
        <v>JuneJuneAFG NC - DCL KY</v>
      </c>
      <c r="B362" s="3" t="s">
        <v>20</v>
      </c>
      <c r="C362" s="4" t="s">
        <v>241</v>
      </c>
      <c r="D362" s="4" t="s">
        <v>267</v>
      </c>
      <c r="E362" s="5">
        <v>43277</v>
      </c>
      <c r="F362" s="4" t="s">
        <v>23</v>
      </c>
      <c r="G362" s="4" t="s">
        <v>268</v>
      </c>
      <c r="H362" s="4" t="s">
        <v>269</v>
      </c>
      <c r="I362" s="4" t="s">
        <v>154</v>
      </c>
      <c r="J362" s="4" t="s">
        <v>172</v>
      </c>
      <c r="K362" s="6">
        <v>3100</v>
      </c>
      <c r="L362" s="6">
        <v>0</v>
      </c>
      <c r="M362" s="6">
        <v>3100</v>
      </c>
      <c r="N362" s="4"/>
      <c r="O362" s="34"/>
      <c r="P362" s="3" t="s">
        <v>173</v>
      </c>
      <c r="Q362" s="8" t="s">
        <v>293</v>
      </c>
      <c r="R362" s="9">
        <v>43252</v>
      </c>
      <c r="S362" s="9">
        <v>43252</v>
      </c>
      <c r="T362" s="8">
        <v>6</v>
      </c>
      <c r="U362" s="8" t="str">
        <f t="shared" si="30"/>
        <v>June</v>
      </c>
      <c r="V362">
        <f t="shared" si="28"/>
        <v>6</v>
      </c>
      <c r="W362" s="8" t="str">
        <f t="shared" si="29"/>
        <v>June</v>
      </c>
    </row>
    <row r="363" spans="1:23" x14ac:dyDescent="0.55000000000000004">
      <c r="A363" t="str">
        <f t="shared" si="27"/>
        <v>JuneJuneAFG NC - DCL KY</v>
      </c>
      <c r="B363" s="3" t="s">
        <v>20</v>
      </c>
      <c r="C363" s="4" t="s">
        <v>241</v>
      </c>
      <c r="D363" s="4" t="s">
        <v>267</v>
      </c>
      <c r="E363" s="5">
        <v>43277</v>
      </c>
      <c r="F363" s="4" t="s">
        <v>23</v>
      </c>
      <c r="G363" s="4" t="s">
        <v>268</v>
      </c>
      <c r="H363" s="4" t="s">
        <v>269</v>
      </c>
      <c r="I363" s="4" t="s">
        <v>154</v>
      </c>
      <c r="J363" s="4" t="s">
        <v>172</v>
      </c>
      <c r="K363" s="6">
        <v>3100</v>
      </c>
      <c r="L363" s="6">
        <v>0</v>
      </c>
      <c r="M363" s="6">
        <v>3100</v>
      </c>
      <c r="N363" s="4"/>
      <c r="O363" s="34"/>
      <c r="P363" s="3" t="s">
        <v>173</v>
      </c>
      <c r="Q363" s="8" t="s">
        <v>294</v>
      </c>
      <c r="R363" s="9">
        <v>43252</v>
      </c>
      <c r="S363" s="9">
        <v>43252</v>
      </c>
      <c r="T363" s="8">
        <v>6</v>
      </c>
      <c r="U363" s="8" t="str">
        <f t="shared" si="30"/>
        <v>June</v>
      </c>
      <c r="V363">
        <f t="shared" si="28"/>
        <v>6</v>
      </c>
      <c r="W363" s="8" t="str">
        <f t="shared" si="29"/>
        <v>June</v>
      </c>
    </row>
    <row r="364" spans="1:23" x14ac:dyDescent="0.55000000000000004">
      <c r="A364" t="str">
        <f t="shared" si="27"/>
        <v>JuneJuneAFG NC - DCL KY</v>
      </c>
      <c r="B364" s="3" t="s">
        <v>20</v>
      </c>
      <c r="C364" s="4" t="s">
        <v>241</v>
      </c>
      <c r="D364" s="4" t="s">
        <v>267</v>
      </c>
      <c r="E364" s="5">
        <v>43277</v>
      </c>
      <c r="F364" s="4" t="s">
        <v>23</v>
      </c>
      <c r="G364" s="4" t="s">
        <v>268</v>
      </c>
      <c r="H364" s="4" t="s">
        <v>269</v>
      </c>
      <c r="I364" s="4" t="s">
        <v>154</v>
      </c>
      <c r="J364" s="4" t="s">
        <v>172</v>
      </c>
      <c r="K364" s="6">
        <v>12550</v>
      </c>
      <c r="L364" s="6">
        <v>0</v>
      </c>
      <c r="M364" s="6">
        <v>12550</v>
      </c>
      <c r="N364" s="4"/>
      <c r="O364" s="34"/>
      <c r="P364" s="3" t="s">
        <v>173</v>
      </c>
      <c r="Q364" s="8" t="s">
        <v>295</v>
      </c>
      <c r="R364" s="9">
        <v>43252</v>
      </c>
      <c r="S364" s="9">
        <v>43252</v>
      </c>
      <c r="T364" s="8">
        <v>6</v>
      </c>
      <c r="U364" s="8" t="str">
        <f t="shared" si="30"/>
        <v>June</v>
      </c>
      <c r="V364">
        <f t="shared" si="28"/>
        <v>6</v>
      </c>
      <c r="W364" s="8" t="str">
        <f t="shared" si="29"/>
        <v>June</v>
      </c>
    </row>
    <row r="365" spans="1:23" x14ac:dyDescent="0.55000000000000004">
      <c r="A365" t="str">
        <f t="shared" si="27"/>
        <v>JuneJuneAFG NC - DCL KY</v>
      </c>
      <c r="B365" s="3" t="s">
        <v>20</v>
      </c>
      <c r="C365" s="4" t="s">
        <v>241</v>
      </c>
      <c r="D365" s="4" t="s">
        <v>267</v>
      </c>
      <c r="E365" s="5">
        <v>43278</v>
      </c>
      <c r="F365" s="4" t="s">
        <v>23</v>
      </c>
      <c r="G365" s="4" t="s">
        <v>268</v>
      </c>
      <c r="H365" s="4" t="s">
        <v>269</v>
      </c>
      <c r="I365" s="4" t="s">
        <v>154</v>
      </c>
      <c r="J365" s="4" t="s">
        <v>172</v>
      </c>
      <c r="K365" s="6">
        <v>6950</v>
      </c>
      <c r="L365" s="6">
        <v>0</v>
      </c>
      <c r="M365" s="6">
        <v>6950</v>
      </c>
      <c r="N365" s="4"/>
      <c r="O365" s="34"/>
      <c r="P365" s="3" t="s">
        <v>173</v>
      </c>
      <c r="Q365" s="8" t="s">
        <v>296</v>
      </c>
      <c r="R365" s="9">
        <v>43252</v>
      </c>
      <c r="S365" s="9">
        <v>43252</v>
      </c>
      <c r="T365" s="8">
        <v>6</v>
      </c>
      <c r="U365" s="8" t="str">
        <f t="shared" si="30"/>
        <v>June</v>
      </c>
      <c r="V365">
        <f t="shared" si="28"/>
        <v>6</v>
      </c>
      <c r="W365" s="8" t="str">
        <f t="shared" si="29"/>
        <v>June</v>
      </c>
    </row>
    <row r="366" spans="1:23" x14ac:dyDescent="0.55000000000000004">
      <c r="A366" t="str">
        <f t="shared" si="27"/>
        <v>JuneMayAFG Suzho - DECI NC</v>
      </c>
      <c r="B366" s="3" t="s">
        <v>20</v>
      </c>
      <c r="C366" s="26" t="s">
        <v>241</v>
      </c>
      <c r="D366" s="26"/>
      <c r="E366" s="27">
        <v>43263</v>
      </c>
      <c r="F366" s="26" t="s">
        <v>332</v>
      </c>
      <c r="G366" s="26" t="s">
        <v>800</v>
      </c>
      <c r="H366" s="26"/>
      <c r="I366" s="26"/>
      <c r="J366" s="26"/>
      <c r="K366" s="28">
        <v>-52338.18</v>
      </c>
      <c r="L366" s="28">
        <v>0</v>
      </c>
      <c r="M366" s="28">
        <v>-52338.18</v>
      </c>
      <c r="N366" s="29"/>
      <c r="O366" s="35" t="s">
        <v>807</v>
      </c>
      <c r="P366" s="8" t="s">
        <v>245</v>
      </c>
      <c r="Q366" s="8" t="s">
        <v>98</v>
      </c>
      <c r="R366" s="9">
        <v>43221</v>
      </c>
      <c r="S366" s="9">
        <v>43221</v>
      </c>
      <c r="T366" s="8">
        <v>6</v>
      </c>
      <c r="U366" s="8" t="str">
        <f t="shared" si="30"/>
        <v>June</v>
      </c>
      <c r="V366">
        <f t="shared" si="28"/>
        <v>5</v>
      </c>
      <c r="W366" s="8" t="str">
        <f t="shared" si="29"/>
        <v>May</v>
      </c>
    </row>
    <row r="367" spans="1:23" x14ac:dyDescent="0.55000000000000004">
      <c r="A367" t="str">
        <f t="shared" si="27"/>
        <v>JuneMayHong Kong - DECI NC</v>
      </c>
      <c r="B367" s="3" t="s">
        <v>20</v>
      </c>
      <c r="C367" s="26" t="s">
        <v>241</v>
      </c>
      <c r="D367" s="26"/>
      <c r="E367" s="27">
        <v>43263</v>
      </c>
      <c r="F367" s="26" t="s">
        <v>332</v>
      </c>
      <c r="G367" s="26" t="s">
        <v>800</v>
      </c>
      <c r="H367" s="26"/>
      <c r="I367" s="26"/>
      <c r="J367" s="26"/>
      <c r="K367" s="28">
        <v>-7412.97</v>
      </c>
      <c r="L367" s="28">
        <v>0</v>
      </c>
      <c r="M367" s="28">
        <v>-7412.97</v>
      </c>
      <c r="N367" s="29"/>
      <c r="O367" s="35" t="s">
        <v>810</v>
      </c>
      <c r="P367" s="8" t="s">
        <v>92</v>
      </c>
      <c r="Q367" s="8" t="s">
        <v>257</v>
      </c>
      <c r="R367" s="9">
        <v>43221</v>
      </c>
      <c r="S367" s="9">
        <v>43221</v>
      </c>
      <c r="T367" s="8">
        <v>6</v>
      </c>
      <c r="U367" s="8" t="str">
        <f t="shared" si="30"/>
        <v>June</v>
      </c>
      <c r="V367">
        <f t="shared" si="28"/>
        <v>5</v>
      </c>
      <c r="W367" s="8" t="str">
        <f t="shared" si="29"/>
        <v>May</v>
      </c>
    </row>
    <row r="368" spans="1:23" x14ac:dyDescent="0.55000000000000004">
      <c r="A368" t="str">
        <f t="shared" si="27"/>
        <v>JuneMayHong Kong - DECI NC</v>
      </c>
      <c r="B368" s="3" t="s">
        <v>20</v>
      </c>
      <c r="C368" s="26" t="s">
        <v>241</v>
      </c>
      <c r="D368" s="26"/>
      <c r="E368" s="27">
        <v>43263</v>
      </c>
      <c r="F368" s="26" t="s">
        <v>332</v>
      </c>
      <c r="G368" s="26" t="s">
        <v>800</v>
      </c>
      <c r="H368" s="26"/>
      <c r="I368" s="26"/>
      <c r="J368" s="26"/>
      <c r="K368" s="28">
        <v>-7148.81</v>
      </c>
      <c r="L368" s="28">
        <v>0</v>
      </c>
      <c r="M368" s="28">
        <v>-7148.81</v>
      </c>
      <c r="N368" s="29"/>
      <c r="O368" s="35" t="s">
        <v>813</v>
      </c>
      <c r="P368" s="8" t="s">
        <v>92</v>
      </c>
      <c r="Q368" s="8" t="s">
        <v>93</v>
      </c>
      <c r="R368" s="9">
        <v>43221</v>
      </c>
      <c r="S368" s="9">
        <v>43221</v>
      </c>
      <c r="T368" s="8">
        <v>6</v>
      </c>
      <c r="U368" s="8" t="str">
        <f t="shared" si="30"/>
        <v>June</v>
      </c>
      <c r="V368">
        <f t="shared" si="28"/>
        <v>5</v>
      </c>
      <c r="W368" s="8" t="str">
        <f t="shared" si="29"/>
        <v>May</v>
      </c>
    </row>
    <row r="369" spans="1:23" x14ac:dyDescent="0.55000000000000004">
      <c r="A369" t="str">
        <f t="shared" si="27"/>
        <v>JuneMayAFG Suzho - DECI NC</v>
      </c>
      <c r="B369" s="3" t="s">
        <v>20</v>
      </c>
      <c r="C369" s="26" t="s">
        <v>241</v>
      </c>
      <c r="D369" s="26"/>
      <c r="E369" s="27">
        <v>43256</v>
      </c>
      <c r="F369" s="26" t="s">
        <v>332</v>
      </c>
      <c r="G369" s="26" t="s">
        <v>800</v>
      </c>
      <c r="H369" s="26"/>
      <c r="I369" s="26"/>
      <c r="J369" s="26"/>
      <c r="K369" s="28">
        <v>-51250.79</v>
      </c>
      <c r="L369" s="28">
        <v>0</v>
      </c>
      <c r="M369" s="28">
        <v>-51250.79</v>
      </c>
      <c r="N369" s="29"/>
      <c r="O369" s="35" t="s">
        <v>814</v>
      </c>
      <c r="P369" s="8" t="s">
        <v>245</v>
      </c>
      <c r="Q369" s="8" t="s">
        <v>51</v>
      </c>
      <c r="R369" s="9">
        <v>43221</v>
      </c>
      <c r="S369" s="9">
        <v>43221</v>
      </c>
      <c r="T369" s="8">
        <v>6</v>
      </c>
      <c r="U369" s="8" t="str">
        <f t="shared" ref="U369:U378" si="31">IF(T369=6,"June",IF(T369=5,"May",IF(T369=4,"April",IF(T369=3,"March",0))))</f>
        <v>June</v>
      </c>
      <c r="V369">
        <f t="shared" si="28"/>
        <v>5</v>
      </c>
      <c r="W369" s="8" t="str">
        <f t="shared" si="29"/>
        <v>May</v>
      </c>
    </row>
    <row r="370" spans="1:23" x14ac:dyDescent="0.55000000000000004">
      <c r="A370" t="str">
        <f t="shared" si="27"/>
        <v>JuneMayAFG Suzho - DECI NC</v>
      </c>
      <c r="B370" s="3" t="s">
        <v>20</v>
      </c>
      <c r="C370" s="26" t="s">
        <v>241</v>
      </c>
      <c r="D370" s="26"/>
      <c r="E370" s="27">
        <v>43256</v>
      </c>
      <c r="F370" s="26" t="s">
        <v>332</v>
      </c>
      <c r="G370" s="26" t="s">
        <v>800</v>
      </c>
      <c r="H370" s="26"/>
      <c r="I370" s="26"/>
      <c r="J370" s="26"/>
      <c r="K370" s="28">
        <v>-71474.19</v>
      </c>
      <c r="L370" s="28">
        <v>0</v>
      </c>
      <c r="M370" s="28">
        <v>-71474.19</v>
      </c>
      <c r="N370" s="29"/>
      <c r="O370" s="35" t="s">
        <v>815</v>
      </c>
      <c r="P370" s="8" t="s">
        <v>245</v>
      </c>
      <c r="Q370" s="8" t="s">
        <v>73</v>
      </c>
      <c r="R370" s="9">
        <v>43221</v>
      </c>
      <c r="S370" s="9">
        <v>43221</v>
      </c>
      <c r="T370" s="8">
        <v>6</v>
      </c>
      <c r="U370" s="8" t="str">
        <f t="shared" si="31"/>
        <v>June</v>
      </c>
      <c r="V370">
        <f t="shared" si="28"/>
        <v>5</v>
      </c>
      <c r="W370" s="8" t="str">
        <f t="shared" si="29"/>
        <v>May</v>
      </c>
    </row>
    <row r="371" spans="1:23" x14ac:dyDescent="0.55000000000000004">
      <c r="A371" t="str">
        <f t="shared" si="27"/>
        <v>JuneMayAFG Suzho - DCL KY</v>
      </c>
      <c r="B371" s="3" t="s">
        <v>20</v>
      </c>
      <c r="C371" s="26" t="s">
        <v>241</v>
      </c>
      <c r="D371" s="26"/>
      <c r="E371" s="27">
        <v>43256</v>
      </c>
      <c r="F371" s="26" t="s">
        <v>332</v>
      </c>
      <c r="G371" s="26" t="s">
        <v>800</v>
      </c>
      <c r="H371" s="26"/>
      <c r="I371" s="26"/>
      <c r="J371" s="26"/>
      <c r="K371" s="28">
        <v>-9825.7099999999991</v>
      </c>
      <c r="L371" s="28">
        <v>0</v>
      </c>
      <c r="M371" s="28">
        <v>-9825.7099999999991</v>
      </c>
      <c r="N371" s="29"/>
      <c r="O371" s="35" t="s">
        <v>816</v>
      </c>
      <c r="P371" s="8" t="s">
        <v>247</v>
      </c>
      <c r="Q371" s="8" t="s">
        <v>45</v>
      </c>
      <c r="R371" s="9">
        <v>43221</v>
      </c>
      <c r="S371" s="9">
        <v>43221</v>
      </c>
      <c r="T371" s="8">
        <v>6</v>
      </c>
      <c r="U371" s="8" t="str">
        <f t="shared" si="31"/>
        <v>June</v>
      </c>
      <c r="V371">
        <f t="shared" si="28"/>
        <v>5</v>
      </c>
      <c r="W371" s="8" t="str">
        <f t="shared" si="29"/>
        <v>May</v>
      </c>
    </row>
    <row r="372" spans="1:23" x14ac:dyDescent="0.55000000000000004">
      <c r="A372" t="str">
        <f t="shared" si="27"/>
        <v>JuneMayAFG Suzho - DCL KY</v>
      </c>
      <c r="B372" s="3" t="s">
        <v>20</v>
      </c>
      <c r="C372" s="26" t="s">
        <v>241</v>
      </c>
      <c r="D372" s="26"/>
      <c r="E372" s="27">
        <v>43256</v>
      </c>
      <c r="F372" s="26" t="s">
        <v>332</v>
      </c>
      <c r="G372" s="26" t="s">
        <v>800</v>
      </c>
      <c r="H372" s="26"/>
      <c r="I372" s="26"/>
      <c r="J372" s="26"/>
      <c r="K372" s="28">
        <v>-47100.97</v>
      </c>
      <c r="L372" s="28">
        <v>0</v>
      </c>
      <c r="M372" s="28">
        <v>-47100.97</v>
      </c>
      <c r="N372" s="29"/>
      <c r="O372" s="35" t="s">
        <v>817</v>
      </c>
      <c r="P372" s="8" t="s">
        <v>247</v>
      </c>
      <c r="Q372" s="8" t="s">
        <v>55</v>
      </c>
      <c r="R372" s="9">
        <v>43221</v>
      </c>
      <c r="S372" s="9">
        <v>43221</v>
      </c>
      <c r="T372" s="8">
        <v>6</v>
      </c>
      <c r="U372" s="8" t="str">
        <f t="shared" si="31"/>
        <v>June</v>
      </c>
      <c r="V372">
        <f t="shared" si="28"/>
        <v>5</v>
      </c>
      <c r="W372" s="8" t="str">
        <f t="shared" si="29"/>
        <v>May</v>
      </c>
    </row>
    <row r="373" spans="1:23" x14ac:dyDescent="0.55000000000000004">
      <c r="A373" t="str">
        <f t="shared" si="27"/>
        <v>JuneMayHong Kong - DCL KY</v>
      </c>
      <c r="B373" s="3" t="s">
        <v>20</v>
      </c>
      <c r="C373" s="26" t="s">
        <v>241</v>
      </c>
      <c r="D373" s="26"/>
      <c r="E373" s="27">
        <v>43256</v>
      </c>
      <c r="F373" s="26" t="s">
        <v>332</v>
      </c>
      <c r="G373" s="26" t="s">
        <v>800</v>
      </c>
      <c r="H373" s="26"/>
      <c r="I373" s="26"/>
      <c r="J373" s="26"/>
      <c r="K373" s="28">
        <v>-10996.48</v>
      </c>
      <c r="L373" s="28">
        <v>0</v>
      </c>
      <c r="M373" s="28">
        <v>-10996.48</v>
      </c>
      <c r="N373" s="29"/>
      <c r="O373" s="35" t="s">
        <v>819</v>
      </c>
      <c r="P373" s="8" t="s">
        <v>39</v>
      </c>
      <c r="Q373" s="8" t="s">
        <v>40</v>
      </c>
      <c r="R373" s="9">
        <v>43221</v>
      </c>
      <c r="S373" s="9">
        <v>43221</v>
      </c>
      <c r="T373" s="8">
        <v>6</v>
      </c>
      <c r="U373" s="8" t="str">
        <f t="shared" si="31"/>
        <v>June</v>
      </c>
      <c r="V373">
        <f t="shared" si="28"/>
        <v>5</v>
      </c>
      <c r="W373" s="8" t="str">
        <f t="shared" si="29"/>
        <v>May</v>
      </c>
    </row>
    <row r="374" spans="1:23" x14ac:dyDescent="0.55000000000000004">
      <c r="A374" t="str">
        <f t="shared" si="27"/>
        <v>JuneMayHong Kong - DCL KY</v>
      </c>
      <c r="B374" s="3" t="s">
        <v>20</v>
      </c>
      <c r="C374" s="26" t="s">
        <v>241</v>
      </c>
      <c r="D374" s="26"/>
      <c r="E374" s="27">
        <v>43256</v>
      </c>
      <c r="F374" s="26" t="s">
        <v>332</v>
      </c>
      <c r="G374" s="26" t="s">
        <v>800</v>
      </c>
      <c r="H374" s="26"/>
      <c r="I374" s="26"/>
      <c r="J374" s="26"/>
      <c r="K374" s="28">
        <v>-12946.68</v>
      </c>
      <c r="L374" s="28">
        <v>0</v>
      </c>
      <c r="M374" s="28">
        <v>-12946.68</v>
      </c>
      <c r="N374" s="29"/>
      <c r="O374" s="35" t="s">
        <v>820</v>
      </c>
      <c r="P374" s="8" t="s">
        <v>39</v>
      </c>
      <c r="Q374" s="8" t="s">
        <v>77</v>
      </c>
      <c r="R374" s="9">
        <v>43221</v>
      </c>
      <c r="S374" s="9">
        <v>43221</v>
      </c>
      <c r="T374" s="8">
        <v>6</v>
      </c>
      <c r="U374" s="8" t="str">
        <f t="shared" si="31"/>
        <v>June</v>
      </c>
      <c r="V374">
        <f t="shared" si="28"/>
        <v>5</v>
      </c>
      <c r="W374" s="8" t="str">
        <f t="shared" si="29"/>
        <v>May</v>
      </c>
    </row>
    <row r="375" spans="1:23" x14ac:dyDescent="0.55000000000000004">
      <c r="A375" t="str">
        <f t="shared" si="27"/>
        <v>JuneMayAFG Suzho - Flex IL</v>
      </c>
      <c r="B375" s="3" t="s">
        <v>20</v>
      </c>
      <c r="C375" s="26" t="s">
        <v>241</v>
      </c>
      <c r="D375" s="26"/>
      <c r="E375" s="27">
        <v>43256</v>
      </c>
      <c r="F375" s="26" t="s">
        <v>332</v>
      </c>
      <c r="G375" s="26" t="s">
        <v>800</v>
      </c>
      <c r="H375" s="26"/>
      <c r="I375" s="26"/>
      <c r="J375" s="26"/>
      <c r="K375" s="28">
        <v>-6553.57</v>
      </c>
      <c r="L375" s="28">
        <v>0</v>
      </c>
      <c r="M375" s="28">
        <v>-6553.57</v>
      </c>
      <c r="N375" s="29"/>
      <c r="O375" s="35" t="s">
        <v>823</v>
      </c>
      <c r="P375" s="8" t="s">
        <v>260</v>
      </c>
      <c r="Q375" s="8" t="s">
        <v>264</v>
      </c>
      <c r="R375" s="9">
        <v>43221</v>
      </c>
      <c r="S375" s="9">
        <v>43221</v>
      </c>
      <c r="T375" s="8">
        <v>6</v>
      </c>
      <c r="U375" s="8" t="str">
        <f t="shared" si="31"/>
        <v>June</v>
      </c>
      <c r="V375">
        <f t="shared" si="28"/>
        <v>5</v>
      </c>
      <c r="W375" s="8" t="str">
        <f t="shared" si="29"/>
        <v>May</v>
      </c>
    </row>
    <row r="376" spans="1:23" x14ac:dyDescent="0.55000000000000004">
      <c r="A376" t="str">
        <f t="shared" si="27"/>
        <v>JuneMayAFG Suzho - Flex IL</v>
      </c>
      <c r="B376" s="3" t="s">
        <v>20</v>
      </c>
      <c r="C376" s="26" t="s">
        <v>241</v>
      </c>
      <c r="D376" s="26"/>
      <c r="E376" s="27">
        <v>43256</v>
      </c>
      <c r="F376" s="26" t="s">
        <v>332</v>
      </c>
      <c r="G376" s="26" t="s">
        <v>800</v>
      </c>
      <c r="H376" s="26"/>
      <c r="I376" s="26"/>
      <c r="J376" s="26"/>
      <c r="K376" s="28">
        <v>-4350.2299999999996</v>
      </c>
      <c r="L376" s="28">
        <v>0</v>
      </c>
      <c r="M376" s="28">
        <v>-4350.2299999999996</v>
      </c>
      <c r="N376" s="29"/>
      <c r="O376" s="35" t="s">
        <v>824</v>
      </c>
      <c r="P376" s="8" t="s">
        <v>260</v>
      </c>
      <c r="Q376" s="8" t="s">
        <v>265</v>
      </c>
      <c r="R376" s="9">
        <v>43221</v>
      </c>
      <c r="S376" s="9">
        <v>43221</v>
      </c>
      <c r="T376" s="8">
        <v>6</v>
      </c>
      <c r="U376" s="8" t="str">
        <f t="shared" si="31"/>
        <v>June</v>
      </c>
      <c r="V376">
        <f t="shared" si="28"/>
        <v>5</v>
      </c>
      <c r="W376" s="8" t="str">
        <f t="shared" si="29"/>
        <v>May</v>
      </c>
    </row>
    <row r="377" spans="1:23" x14ac:dyDescent="0.55000000000000004">
      <c r="A377" t="str">
        <f t="shared" si="27"/>
        <v>JuneMayAFG Suzho - Flex IL</v>
      </c>
      <c r="B377" s="3" t="s">
        <v>20</v>
      </c>
      <c r="C377" s="26" t="s">
        <v>241</v>
      </c>
      <c r="D377" s="26"/>
      <c r="E377" s="27">
        <v>43256</v>
      </c>
      <c r="F377" s="26" t="s">
        <v>332</v>
      </c>
      <c r="G377" s="26" t="s">
        <v>800</v>
      </c>
      <c r="H377" s="26"/>
      <c r="I377" s="26"/>
      <c r="J377" s="26"/>
      <c r="K377" s="28">
        <v>-2881.33</v>
      </c>
      <c r="L377" s="28">
        <v>0</v>
      </c>
      <c r="M377" s="28">
        <v>-2881.33</v>
      </c>
      <c r="N377" s="29"/>
      <c r="O377" s="35" t="s">
        <v>825</v>
      </c>
      <c r="P377" s="8" t="s">
        <v>260</v>
      </c>
      <c r="Q377" s="8" t="s">
        <v>266</v>
      </c>
      <c r="R377" s="9">
        <v>43221</v>
      </c>
      <c r="S377" s="9">
        <v>43221</v>
      </c>
      <c r="T377" s="8">
        <v>6</v>
      </c>
      <c r="U377" s="8" t="str">
        <f t="shared" si="31"/>
        <v>June</v>
      </c>
      <c r="V377">
        <f t="shared" si="28"/>
        <v>5</v>
      </c>
      <c r="W377" s="8" t="str">
        <f t="shared" si="29"/>
        <v>May</v>
      </c>
    </row>
    <row r="378" spans="1:23" x14ac:dyDescent="0.55000000000000004">
      <c r="A378" t="str">
        <f t="shared" si="27"/>
        <v>JuneJunePhillips WI - DCL KY</v>
      </c>
      <c r="B378" s="3" t="s">
        <v>20</v>
      </c>
      <c r="C378" s="26" t="s">
        <v>241</v>
      </c>
      <c r="D378" s="26"/>
      <c r="E378" s="27" t="s">
        <v>840</v>
      </c>
      <c r="F378" s="26" t="s">
        <v>332</v>
      </c>
      <c r="G378" s="26"/>
      <c r="H378" s="26"/>
      <c r="I378" s="26"/>
      <c r="J378" s="26"/>
      <c r="K378" s="28">
        <v>5600</v>
      </c>
      <c r="L378" s="28">
        <v>17</v>
      </c>
      <c r="M378" s="28">
        <v>5583</v>
      </c>
      <c r="N378" s="29"/>
      <c r="O378" s="35"/>
      <c r="P378" s="8" t="s">
        <v>29</v>
      </c>
      <c r="Q378" s="8" t="s">
        <v>839</v>
      </c>
      <c r="R378" s="9">
        <v>43221</v>
      </c>
      <c r="S378" s="9">
        <v>43252</v>
      </c>
      <c r="T378" s="8">
        <v>6</v>
      </c>
      <c r="U378" s="8" t="str">
        <f t="shared" si="31"/>
        <v>June</v>
      </c>
      <c r="V378">
        <f t="shared" si="28"/>
        <v>6</v>
      </c>
      <c r="W378" s="8" t="str">
        <f t="shared" si="29"/>
        <v>June</v>
      </c>
    </row>
    <row r="379" spans="1:23" x14ac:dyDescent="0.55000000000000004">
      <c r="A379" t="str">
        <f t="shared" si="27"/>
        <v>JuneMayChina - Flex IL</v>
      </c>
      <c r="B379" s="3" t="s">
        <v>20</v>
      </c>
      <c r="C379" s="4" t="s">
        <v>150</v>
      </c>
      <c r="D379" s="4" t="s">
        <v>883</v>
      </c>
      <c r="E379" s="5">
        <v>43255</v>
      </c>
      <c r="F379" s="4" t="s">
        <v>842</v>
      </c>
      <c r="G379" s="4" t="s">
        <v>884</v>
      </c>
      <c r="H379" s="4" t="s">
        <v>885</v>
      </c>
      <c r="I379" s="4" t="s">
        <v>154</v>
      </c>
      <c r="J379" s="4" t="s">
        <v>27</v>
      </c>
      <c r="K379" s="6">
        <v>6553.57</v>
      </c>
      <c r="L379" s="6">
        <v>0</v>
      </c>
      <c r="M379" s="6">
        <v>6553.57</v>
      </c>
      <c r="N379" s="6"/>
      <c r="O379" s="33" t="s">
        <v>884</v>
      </c>
      <c r="P379" s="3" t="s">
        <v>886</v>
      </c>
      <c r="Q379" s="8"/>
      <c r="R379" s="8"/>
      <c r="S379" s="9">
        <v>43221</v>
      </c>
      <c r="T379" s="8">
        <v>6</v>
      </c>
      <c r="U379" s="8" t="str">
        <f t="shared" ref="U379:U410" si="32">IF(T379=6,"June",IF(T379=5,"May",IF(T379=4,"April",IF(T379=3,"March",IF(T379=7,"July",0)))))</f>
        <v>June</v>
      </c>
      <c r="V379">
        <f t="shared" si="28"/>
        <v>5</v>
      </c>
      <c r="W379" s="8" t="str">
        <f t="shared" si="29"/>
        <v>May</v>
      </c>
    </row>
    <row r="380" spans="1:23" x14ac:dyDescent="0.55000000000000004">
      <c r="A380" t="str">
        <f t="shared" si="27"/>
        <v>JuneMayChina - Flex IL</v>
      </c>
      <c r="B380" s="3" t="s">
        <v>20</v>
      </c>
      <c r="C380" s="4" t="s">
        <v>150</v>
      </c>
      <c r="D380" s="4" t="s">
        <v>887</v>
      </c>
      <c r="E380" s="5">
        <v>43256</v>
      </c>
      <c r="F380" s="4" t="s">
        <v>842</v>
      </c>
      <c r="G380" s="4" t="s">
        <v>888</v>
      </c>
      <c r="H380" s="4" t="s">
        <v>889</v>
      </c>
      <c r="I380" s="4" t="s">
        <v>154</v>
      </c>
      <c r="J380" s="4" t="s">
        <v>27</v>
      </c>
      <c r="K380" s="6">
        <v>4350.2299999999996</v>
      </c>
      <c r="L380" s="6">
        <v>0</v>
      </c>
      <c r="M380" s="6">
        <v>4350.2299999999996</v>
      </c>
      <c r="N380" s="6"/>
      <c r="O380" s="33" t="s">
        <v>888</v>
      </c>
      <c r="P380" s="3" t="s">
        <v>886</v>
      </c>
      <c r="Q380" s="8"/>
      <c r="R380" s="8"/>
      <c r="S380" s="9">
        <v>43221</v>
      </c>
      <c r="T380" s="8">
        <v>6</v>
      </c>
      <c r="U380" s="8" t="str">
        <f t="shared" si="32"/>
        <v>June</v>
      </c>
      <c r="V380">
        <f t="shared" si="28"/>
        <v>5</v>
      </c>
      <c r="W380" s="8" t="str">
        <f t="shared" si="29"/>
        <v>May</v>
      </c>
    </row>
    <row r="381" spans="1:23" x14ac:dyDescent="0.55000000000000004">
      <c r="A381" t="str">
        <f t="shared" si="27"/>
        <v>JuneMayChina - Flex IL</v>
      </c>
      <c r="B381" s="3" t="s">
        <v>20</v>
      </c>
      <c r="C381" s="4" t="s">
        <v>150</v>
      </c>
      <c r="D381" s="4" t="s">
        <v>890</v>
      </c>
      <c r="E381" s="5">
        <v>43256</v>
      </c>
      <c r="F381" s="4" t="s">
        <v>842</v>
      </c>
      <c r="G381" s="4" t="s">
        <v>891</v>
      </c>
      <c r="H381" s="4" t="s">
        <v>892</v>
      </c>
      <c r="I381" s="4" t="s">
        <v>154</v>
      </c>
      <c r="J381" s="4" t="s">
        <v>27</v>
      </c>
      <c r="K381" s="6">
        <v>2881.33</v>
      </c>
      <c r="L381" s="6">
        <v>0</v>
      </c>
      <c r="M381" s="6">
        <v>2881.33</v>
      </c>
      <c r="N381" s="6"/>
      <c r="O381" s="33" t="s">
        <v>891</v>
      </c>
      <c r="P381" s="3" t="s">
        <v>886</v>
      </c>
      <c r="Q381" s="8"/>
      <c r="R381" s="8"/>
      <c r="S381" s="9">
        <v>43221</v>
      </c>
      <c r="T381" s="8">
        <v>6</v>
      </c>
      <c r="U381" s="8" t="str">
        <f t="shared" si="32"/>
        <v>June</v>
      </c>
      <c r="V381">
        <f t="shared" si="28"/>
        <v>5</v>
      </c>
      <c r="W381" s="8" t="str">
        <f t="shared" si="29"/>
        <v>May</v>
      </c>
    </row>
    <row r="382" spans="1:23" x14ac:dyDescent="0.55000000000000004">
      <c r="A382" t="str">
        <f t="shared" si="27"/>
        <v>JuneJuneFlex IL - UK</v>
      </c>
      <c r="B382" s="3" t="s">
        <v>20</v>
      </c>
      <c r="C382" s="4" t="s">
        <v>150</v>
      </c>
      <c r="D382" s="4" t="s">
        <v>893</v>
      </c>
      <c r="E382" s="5">
        <v>43256</v>
      </c>
      <c r="F382" s="4" t="s">
        <v>842</v>
      </c>
      <c r="G382" s="4" t="s">
        <v>20</v>
      </c>
      <c r="H382" s="4" t="s">
        <v>894</v>
      </c>
      <c r="I382" s="4" t="s">
        <v>154</v>
      </c>
      <c r="J382" s="4" t="s">
        <v>27</v>
      </c>
      <c r="K382" s="6">
        <v>4566.9399999999996</v>
      </c>
      <c r="L382" s="6">
        <v>0</v>
      </c>
      <c r="M382" s="6">
        <v>4566.9399999999996</v>
      </c>
      <c r="N382" s="6"/>
      <c r="O382" s="33" t="s">
        <v>20</v>
      </c>
      <c r="P382" s="3" t="s">
        <v>895</v>
      </c>
      <c r="Q382" s="8"/>
      <c r="R382" s="8"/>
      <c r="S382" s="9">
        <v>43252</v>
      </c>
      <c r="T382" s="8">
        <v>6</v>
      </c>
      <c r="U382" s="8" t="str">
        <f t="shared" si="32"/>
        <v>June</v>
      </c>
      <c r="V382">
        <f t="shared" si="28"/>
        <v>6</v>
      </c>
      <c r="W382" s="8" t="str">
        <f t="shared" si="29"/>
        <v>June</v>
      </c>
    </row>
    <row r="383" spans="1:23" x14ac:dyDescent="0.55000000000000004">
      <c r="A383" t="str">
        <f t="shared" si="27"/>
        <v>JuneJuneAFG NC - DCL KY</v>
      </c>
      <c r="B383" s="3" t="s">
        <v>20</v>
      </c>
      <c r="C383" s="4" t="s">
        <v>150</v>
      </c>
      <c r="D383" s="4" t="s">
        <v>896</v>
      </c>
      <c r="E383" s="5">
        <v>43257</v>
      </c>
      <c r="F383" s="4" t="s">
        <v>842</v>
      </c>
      <c r="G383" s="4" t="s">
        <v>897</v>
      </c>
      <c r="H383" s="4" t="s">
        <v>898</v>
      </c>
      <c r="I383" s="4" t="s">
        <v>154</v>
      </c>
      <c r="J383" s="4" t="s">
        <v>27</v>
      </c>
      <c r="K383" s="6">
        <v>3100</v>
      </c>
      <c r="L383" s="6">
        <v>0</v>
      </c>
      <c r="M383" s="6">
        <v>3100</v>
      </c>
      <c r="N383" s="6"/>
      <c r="O383" s="33" t="s">
        <v>897</v>
      </c>
      <c r="P383" t="s">
        <v>173</v>
      </c>
      <c r="Q383" s="8"/>
      <c r="R383" s="8"/>
      <c r="S383" s="9">
        <v>43252</v>
      </c>
      <c r="T383" s="8">
        <v>6</v>
      </c>
      <c r="U383" s="8" t="str">
        <f t="shared" si="32"/>
        <v>June</v>
      </c>
      <c r="V383">
        <f t="shared" si="28"/>
        <v>6</v>
      </c>
      <c r="W383" s="8" t="str">
        <f t="shared" si="29"/>
        <v>June</v>
      </c>
    </row>
    <row r="384" spans="1:23" x14ac:dyDescent="0.55000000000000004">
      <c r="A384" t="str">
        <f t="shared" si="27"/>
        <v>JuneJuneAFG NC - DCL KY</v>
      </c>
      <c r="B384" s="3" t="s">
        <v>20</v>
      </c>
      <c r="C384" s="4" t="s">
        <v>150</v>
      </c>
      <c r="D384" s="4" t="s">
        <v>899</v>
      </c>
      <c r="E384" s="5">
        <v>43257</v>
      </c>
      <c r="F384" s="4" t="s">
        <v>842</v>
      </c>
      <c r="G384" s="4" t="s">
        <v>897</v>
      </c>
      <c r="H384" s="4" t="s">
        <v>900</v>
      </c>
      <c r="I384" s="4" t="s">
        <v>154</v>
      </c>
      <c r="J384" s="4" t="s">
        <v>27</v>
      </c>
      <c r="K384" s="6">
        <v>3100</v>
      </c>
      <c r="L384" s="6">
        <v>0</v>
      </c>
      <c r="M384" s="6">
        <v>3100</v>
      </c>
      <c r="N384" s="6"/>
      <c r="O384" s="33" t="s">
        <v>897</v>
      </c>
      <c r="P384" t="s">
        <v>173</v>
      </c>
      <c r="Q384" s="8"/>
      <c r="R384" s="8"/>
      <c r="S384" s="9">
        <v>43252</v>
      </c>
      <c r="T384" s="8">
        <v>6</v>
      </c>
      <c r="U384" s="8" t="str">
        <f t="shared" si="32"/>
        <v>June</v>
      </c>
      <c r="V384">
        <f t="shared" si="28"/>
        <v>6</v>
      </c>
      <c r="W384" s="8" t="str">
        <f t="shared" si="29"/>
        <v>June</v>
      </c>
    </row>
    <row r="385" spans="1:23" x14ac:dyDescent="0.55000000000000004">
      <c r="A385" t="str">
        <f t="shared" si="27"/>
        <v>JuneJuneAFG NC - DCL KY</v>
      </c>
      <c r="B385" s="3" t="s">
        <v>20</v>
      </c>
      <c r="C385" s="4" t="s">
        <v>150</v>
      </c>
      <c r="D385" s="4" t="s">
        <v>901</v>
      </c>
      <c r="E385" s="5">
        <v>43257</v>
      </c>
      <c r="F385" s="4" t="s">
        <v>842</v>
      </c>
      <c r="G385" s="4" t="s">
        <v>902</v>
      </c>
      <c r="H385" s="4" t="s">
        <v>903</v>
      </c>
      <c r="I385" s="4" t="s">
        <v>154</v>
      </c>
      <c r="J385" s="4" t="s">
        <v>27</v>
      </c>
      <c r="K385" s="6">
        <v>6000</v>
      </c>
      <c r="L385" s="6">
        <v>0</v>
      </c>
      <c r="M385" s="6">
        <v>6000</v>
      </c>
      <c r="N385" s="6"/>
      <c r="O385" s="4" t="s">
        <v>902</v>
      </c>
      <c r="P385" t="s">
        <v>173</v>
      </c>
      <c r="Q385" s="8"/>
      <c r="R385" s="8"/>
      <c r="S385" s="9">
        <v>43252</v>
      </c>
      <c r="T385" s="8">
        <v>6</v>
      </c>
      <c r="U385" s="8" t="str">
        <f t="shared" si="32"/>
        <v>June</v>
      </c>
      <c r="V385">
        <f t="shared" si="28"/>
        <v>6</v>
      </c>
      <c r="W385" s="8" t="str">
        <f t="shared" si="29"/>
        <v>June</v>
      </c>
    </row>
    <row r="386" spans="1:23" x14ac:dyDescent="0.55000000000000004">
      <c r="A386" t="str">
        <f t="shared" si="27"/>
        <v>JuneJuneChina - Flex IL</v>
      </c>
      <c r="B386" s="3" t="s">
        <v>20</v>
      </c>
      <c r="C386" s="4" t="s">
        <v>150</v>
      </c>
      <c r="D386" s="4" t="s">
        <v>904</v>
      </c>
      <c r="E386" s="5">
        <v>43259</v>
      </c>
      <c r="F386" s="4" t="s">
        <v>842</v>
      </c>
      <c r="G386" s="4" t="s">
        <v>905</v>
      </c>
      <c r="H386" s="4" t="s">
        <v>906</v>
      </c>
      <c r="I386" s="4" t="s">
        <v>154</v>
      </c>
      <c r="J386" s="4" t="s">
        <v>27</v>
      </c>
      <c r="K386" s="6">
        <v>3615.78</v>
      </c>
      <c r="L386" s="6">
        <v>0</v>
      </c>
      <c r="M386" s="6">
        <v>3615.78</v>
      </c>
      <c r="N386" s="6"/>
      <c r="O386" s="4" t="s">
        <v>905</v>
      </c>
      <c r="P386" s="3" t="s">
        <v>886</v>
      </c>
      <c r="Q386" s="8"/>
      <c r="R386" s="8"/>
      <c r="S386" s="9">
        <v>43252</v>
      </c>
      <c r="T386" s="8">
        <v>6</v>
      </c>
      <c r="U386" s="8" t="str">
        <f t="shared" si="32"/>
        <v>June</v>
      </c>
      <c r="V386">
        <f t="shared" si="28"/>
        <v>6</v>
      </c>
      <c r="W386" s="8" t="str">
        <f t="shared" si="29"/>
        <v>June</v>
      </c>
    </row>
    <row r="387" spans="1:23" x14ac:dyDescent="0.55000000000000004">
      <c r="A387" t="str">
        <f t="shared" ref="A387:A450" si="33">U387&amp;W387&amp;P387</f>
        <v>JuneJuneAFG NC - DCL KY</v>
      </c>
      <c r="B387" s="3" t="s">
        <v>20</v>
      </c>
      <c r="C387" s="4" t="s">
        <v>150</v>
      </c>
      <c r="D387" s="4" t="s">
        <v>907</v>
      </c>
      <c r="E387" s="5">
        <v>43262</v>
      </c>
      <c r="F387" s="4" t="s">
        <v>842</v>
      </c>
      <c r="G387" s="4" t="s">
        <v>908</v>
      </c>
      <c r="H387" s="4" t="s">
        <v>909</v>
      </c>
      <c r="I387" s="4" t="s">
        <v>154</v>
      </c>
      <c r="J387" s="4" t="s">
        <v>27</v>
      </c>
      <c r="K387" s="6">
        <v>4650</v>
      </c>
      <c r="L387" s="6">
        <v>0</v>
      </c>
      <c r="M387" s="6">
        <v>4650</v>
      </c>
      <c r="N387" s="6"/>
      <c r="O387" s="4" t="s">
        <v>908</v>
      </c>
      <c r="P387" t="s">
        <v>173</v>
      </c>
      <c r="Q387" s="8"/>
      <c r="R387" s="8"/>
      <c r="S387" s="9">
        <v>43252</v>
      </c>
      <c r="T387" s="8">
        <v>6</v>
      </c>
      <c r="U387" s="8" t="str">
        <f t="shared" si="32"/>
        <v>June</v>
      </c>
      <c r="V387">
        <f t="shared" ref="V387:V450" si="34">MONTH(S387)</f>
        <v>6</v>
      </c>
      <c r="W387" s="8" t="str">
        <f t="shared" ref="W387:W450" si="35">IF(V387=6,"June",IF(V387=5,"May",IF(V387=4,"April",IF(V387=3,"March",IF(V387=7,"July",IF(V387=2,"February",0))))))</f>
        <v>June</v>
      </c>
    </row>
    <row r="388" spans="1:23" x14ac:dyDescent="0.55000000000000004">
      <c r="A388" t="str">
        <f t="shared" si="33"/>
        <v>JuneJuneAFG NC - DCL KY</v>
      </c>
      <c r="B388" s="3" t="s">
        <v>20</v>
      </c>
      <c r="C388" s="4" t="s">
        <v>150</v>
      </c>
      <c r="D388" s="4" t="s">
        <v>910</v>
      </c>
      <c r="E388" s="5">
        <v>43262</v>
      </c>
      <c r="F388" s="4" t="s">
        <v>842</v>
      </c>
      <c r="G388" s="4" t="s">
        <v>911</v>
      </c>
      <c r="H388" s="4" t="s">
        <v>912</v>
      </c>
      <c r="I388" s="4" t="s">
        <v>154</v>
      </c>
      <c r="J388" s="4" t="s">
        <v>27</v>
      </c>
      <c r="K388" s="6">
        <v>3100</v>
      </c>
      <c r="L388" s="6">
        <v>0</v>
      </c>
      <c r="M388" s="6">
        <v>3100</v>
      </c>
      <c r="N388" s="6"/>
      <c r="O388" s="4" t="s">
        <v>911</v>
      </c>
      <c r="P388" t="s">
        <v>173</v>
      </c>
      <c r="Q388" s="8"/>
      <c r="R388" s="8"/>
      <c r="S388" s="9">
        <v>43252</v>
      </c>
      <c r="T388" s="8">
        <v>6</v>
      </c>
      <c r="U388" s="8" t="str">
        <f t="shared" si="32"/>
        <v>June</v>
      </c>
      <c r="V388">
        <f t="shared" si="34"/>
        <v>6</v>
      </c>
      <c r="W388" s="8" t="str">
        <f t="shared" si="35"/>
        <v>June</v>
      </c>
    </row>
    <row r="389" spans="1:23" x14ac:dyDescent="0.55000000000000004">
      <c r="A389" t="str">
        <f t="shared" si="33"/>
        <v>JuneJuneFlex IL - UK</v>
      </c>
      <c r="B389" s="3" t="s">
        <v>20</v>
      </c>
      <c r="C389" s="4" t="s">
        <v>150</v>
      </c>
      <c r="D389" s="4" t="s">
        <v>913</v>
      </c>
      <c r="E389" s="5">
        <v>43264</v>
      </c>
      <c r="F389" s="4" t="s">
        <v>842</v>
      </c>
      <c r="G389" s="4" t="s">
        <v>914</v>
      </c>
      <c r="H389" s="4" t="s">
        <v>915</v>
      </c>
      <c r="I389" s="4" t="s">
        <v>154</v>
      </c>
      <c r="J389" s="4" t="s">
        <v>27</v>
      </c>
      <c r="K389" s="6">
        <v>649.4</v>
      </c>
      <c r="L389" s="6">
        <v>0</v>
      </c>
      <c r="M389" s="6">
        <v>649.4</v>
      </c>
      <c r="N389" s="6"/>
      <c r="O389" s="4" t="s">
        <v>914</v>
      </c>
      <c r="P389" s="3" t="s">
        <v>895</v>
      </c>
      <c r="Q389" s="8"/>
      <c r="R389" s="8"/>
      <c r="S389" s="9">
        <v>43252</v>
      </c>
      <c r="T389" s="8">
        <v>6</v>
      </c>
      <c r="U389" s="8" t="str">
        <f t="shared" si="32"/>
        <v>June</v>
      </c>
      <c r="V389">
        <f t="shared" si="34"/>
        <v>6</v>
      </c>
      <c r="W389" s="8" t="str">
        <f t="shared" si="35"/>
        <v>June</v>
      </c>
    </row>
    <row r="390" spans="1:23" x14ac:dyDescent="0.55000000000000004">
      <c r="A390" t="str">
        <f t="shared" si="33"/>
        <v>JuneJuneAFG NC - DCL KY</v>
      </c>
      <c r="B390" s="3" t="s">
        <v>20</v>
      </c>
      <c r="C390" s="4" t="s">
        <v>150</v>
      </c>
      <c r="D390" s="4" t="s">
        <v>916</v>
      </c>
      <c r="E390" s="5">
        <v>43264</v>
      </c>
      <c r="F390" s="4" t="s">
        <v>842</v>
      </c>
      <c r="G390" s="4" t="s">
        <v>917</v>
      </c>
      <c r="H390" s="4" t="s">
        <v>918</v>
      </c>
      <c r="I390" s="4" t="s">
        <v>154</v>
      </c>
      <c r="J390" s="4" t="s">
        <v>27</v>
      </c>
      <c r="K390" s="6">
        <v>3100</v>
      </c>
      <c r="L390" s="6">
        <v>0</v>
      </c>
      <c r="M390" s="6">
        <v>3100</v>
      </c>
      <c r="N390" s="6"/>
      <c r="O390" s="4" t="s">
        <v>917</v>
      </c>
      <c r="P390" t="s">
        <v>173</v>
      </c>
      <c r="Q390" s="8"/>
      <c r="R390" s="8"/>
      <c r="S390" s="9">
        <v>43252</v>
      </c>
      <c r="T390" s="8">
        <v>6</v>
      </c>
      <c r="U390" s="8" t="str">
        <f t="shared" si="32"/>
        <v>June</v>
      </c>
      <c r="V390">
        <f t="shared" si="34"/>
        <v>6</v>
      </c>
      <c r="W390" s="8" t="str">
        <f t="shared" si="35"/>
        <v>June</v>
      </c>
    </row>
    <row r="391" spans="1:23" x14ac:dyDescent="0.55000000000000004">
      <c r="A391" t="str">
        <f t="shared" si="33"/>
        <v>JuneJuneAFG NC - DCL KY</v>
      </c>
      <c r="B391" s="3" t="s">
        <v>20</v>
      </c>
      <c r="C391" s="4" t="s">
        <v>150</v>
      </c>
      <c r="D391" s="4" t="s">
        <v>919</v>
      </c>
      <c r="E391" s="5">
        <v>43264</v>
      </c>
      <c r="F391" s="4" t="s">
        <v>842</v>
      </c>
      <c r="G391" s="4" t="s">
        <v>920</v>
      </c>
      <c r="H391" s="4" t="s">
        <v>921</v>
      </c>
      <c r="I391" s="4" t="s">
        <v>154</v>
      </c>
      <c r="J391" s="4" t="s">
        <v>27</v>
      </c>
      <c r="K391" s="6">
        <v>1550</v>
      </c>
      <c r="L391" s="6">
        <v>0</v>
      </c>
      <c r="M391" s="6">
        <v>1550</v>
      </c>
      <c r="N391" s="6"/>
      <c r="O391" s="4" t="s">
        <v>920</v>
      </c>
      <c r="P391" t="s">
        <v>173</v>
      </c>
      <c r="Q391" s="8"/>
      <c r="R391" s="8"/>
      <c r="S391" s="9">
        <v>43252</v>
      </c>
      <c r="T391" s="8">
        <v>6</v>
      </c>
      <c r="U391" s="8" t="str">
        <f t="shared" si="32"/>
        <v>June</v>
      </c>
      <c r="V391">
        <f t="shared" si="34"/>
        <v>6</v>
      </c>
      <c r="W391" s="8" t="str">
        <f t="shared" si="35"/>
        <v>June</v>
      </c>
    </row>
    <row r="392" spans="1:23" x14ac:dyDescent="0.55000000000000004">
      <c r="A392" t="str">
        <f t="shared" si="33"/>
        <v>JuneJunePhillips WI - DCL KY</v>
      </c>
      <c r="B392" s="3" t="s">
        <v>20</v>
      </c>
      <c r="C392" s="4" t="s">
        <v>150</v>
      </c>
      <c r="D392" s="4" t="s">
        <v>922</v>
      </c>
      <c r="E392" s="5">
        <v>43264</v>
      </c>
      <c r="F392" s="4" t="s">
        <v>842</v>
      </c>
      <c r="G392" s="4" t="s">
        <v>923</v>
      </c>
      <c r="H392" s="4" t="s">
        <v>924</v>
      </c>
      <c r="I392" s="4" t="s">
        <v>154</v>
      </c>
      <c r="J392" s="4" t="s">
        <v>27</v>
      </c>
      <c r="K392" s="6">
        <v>541.87</v>
      </c>
      <c r="L392" s="6">
        <v>0</v>
      </c>
      <c r="M392" s="6">
        <v>541.87</v>
      </c>
      <c r="N392" s="6"/>
      <c r="O392" s="4" t="s">
        <v>923</v>
      </c>
      <c r="P392" t="s">
        <v>29</v>
      </c>
      <c r="Q392" s="8"/>
      <c r="R392" s="8"/>
      <c r="S392" s="9">
        <v>43252</v>
      </c>
      <c r="T392" s="8">
        <v>6</v>
      </c>
      <c r="U392" s="8" t="str">
        <f t="shared" si="32"/>
        <v>June</v>
      </c>
      <c r="V392">
        <f t="shared" si="34"/>
        <v>6</v>
      </c>
      <c r="W392" s="8" t="str">
        <f t="shared" si="35"/>
        <v>June</v>
      </c>
    </row>
    <row r="393" spans="1:23" x14ac:dyDescent="0.55000000000000004">
      <c r="A393" t="str">
        <f t="shared" si="33"/>
        <v>JuneJuneFlex IL - UK</v>
      </c>
      <c r="B393" s="3" t="s">
        <v>20</v>
      </c>
      <c r="C393" s="4" t="s">
        <v>150</v>
      </c>
      <c r="D393" s="4" t="s">
        <v>925</v>
      </c>
      <c r="E393" s="5">
        <v>43264</v>
      </c>
      <c r="F393" s="4" t="s">
        <v>842</v>
      </c>
      <c r="G393" s="4" t="s">
        <v>914</v>
      </c>
      <c r="H393" s="4" t="s">
        <v>926</v>
      </c>
      <c r="I393" s="4" t="s">
        <v>154</v>
      </c>
      <c r="J393" s="4" t="s">
        <v>27</v>
      </c>
      <c r="K393" s="6">
        <v>0</v>
      </c>
      <c r="L393" s="6">
        <v>649.4</v>
      </c>
      <c r="M393" s="6">
        <v>-649.4</v>
      </c>
      <c r="N393" s="6"/>
      <c r="O393" s="4" t="s">
        <v>914</v>
      </c>
      <c r="P393" s="3" t="s">
        <v>895</v>
      </c>
      <c r="Q393" s="8"/>
      <c r="R393" s="8"/>
      <c r="S393" s="9">
        <v>43252</v>
      </c>
      <c r="T393" s="8">
        <v>6</v>
      </c>
      <c r="U393" s="8" t="str">
        <f t="shared" si="32"/>
        <v>June</v>
      </c>
      <c r="V393">
        <f t="shared" si="34"/>
        <v>6</v>
      </c>
      <c r="W393" s="8" t="str">
        <f t="shared" si="35"/>
        <v>June</v>
      </c>
    </row>
    <row r="394" spans="1:23" x14ac:dyDescent="0.55000000000000004">
      <c r="A394" t="str">
        <f t="shared" si="33"/>
        <v>JuneJuneFlex IL - UK</v>
      </c>
      <c r="B394" s="3" t="s">
        <v>20</v>
      </c>
      <c r="C394" s="4" t="s">
        <v>150</v>
      </c>
      <c r="D394" s="4" t="s">
        <v>927</v>
      </c>
      <c r="E394" s="5">
        <v>43264</v>
      </c>
      <c r="F394" s="4" t="s">
        <v>842</v>
      </c>
      <c r="G394" s="4" t="s">
        <v>914</v>
      </c>
      <c r="H394" s="4" t="s">
        <v>928</v>
      </c>
      <c r="I394" s="4" t="s">
        <v>154</v>
      </c>
      <c r="J394" s="4" t="s">
        <v>929</v>
      </c>
      <c r="K394" s="6">
        <v>649.4</v>
      </c>
      <c r="L394" s="6">
        <v>0</v>
      </c>
      <c r="M394" s="6">
        <v>649.4</v>
      </c>
      <c r="N394" s="6"/>
      <c r="O394" s="4" t="s">
        <v>914</v>
      </c>
      <c r="P394" s="3" t="s">
        <v>895</v>
      </c>
      <c r="Q394" s="8"/>
      <c r="R394" s="8"/>
      <c r="S394" s="9">
        <v>43252</v>
      </c>
      <c r="T394" s="8">
        <v>6</v>
      </c>
      <c r="U394" s="8" t="str">
        <f t="shared" si="32"/>
        <v>June</v>
      </c>
      <c r="V394">
        <f t="shared" si="34"/>
        <v>6</v>
      </c>
      <c r="W394" s="8" t="str">
        <f t="shared" si="35"/>
        <v>June</v>
      </c>
    </row>
    <row r="395" spans="1:23" x14ac:dyDescent="0.55000000000000004">
      <c r="A395" t="str">
        <f t="shared" si="33"/>
        <v>JuneJuneFlorida - Phillips WI</v>
      </c>
      <c r="B395" s="3" t="s">
        <v>20</v>
      </c>
      <c r="C395" s="4" t="s">
        <v>150</v>
      </c>
      <c r="D395" s="4" t="s">
        <v>930</v>
      </c>
      <c r="E395" s="5">
        <v>43269</v>
      </c>
      <c r="F395" s="4" t="s">
        <v>842</v>
      </c>
      <c r="G395" s="4" t="s">
        <v>931</v>
      </c>
      <c r="H395" s="4" t="s">
        <v>932</v>
      </c>
      <c r="I395" s="4" t="s">
        <v>154</v>
      </c>
      <c r="J395" s="4" t="s">
        <v>27</v>
      </c>
      <c r="K395" s="6">
        <v>834.39</v>
      </c>
      <c r="L395" s="6">
        <v>0</v>
      </c>
      <c r="M395" s="6">
        <v>834.39</v>
      </c>
      <c r="N395" s="6"/>
      <c r="O395" s="4" t="s">
        <v>931</v>
      </c>
      <c r="P395" s="3" t="s">
        <v>933</v>
      </c>
      <c r="Q395" s="8"/>
      <c r="R395" s="8"/>
      <c r="S395" s="9">
        <v>43252</v>
      </c>
      <c r="T395" s="8">
        <v>6</v>
      </c>
      <c r="U395" s="8" t="str">
        <f t="shared" si="32"/>
        <v>June</v>
      </c>
      <c r="V395">
        <f t="shared" si="34"/>
        <v>6</v>
      </c>
      <c r="W395" s="8" t="str">
        <f t="shared" si="35"/>
        <v>June</v>
      </c>
    </row>
    <row r="396" spans="1:23" x14ac:dyDescent="0.55000000000000004">
      <c r="A396" t="str">
        <f t="shared" si="33"/>
        <v>JuneJuneChina - Flex IL</v>
      </c>
      <c r="B396" s="3" t="s">
        <v>20</v>
      </c>
      <c r="C396" s="4" t="s">
        <v>150</v>
      </c>
      <c r="D396" s="4" t="s">
        <v>934</v>
      </c>
      <c r="E396" s="5">
        <v>43273</v>
      </c>
      <c r="F396" s="4" t="s">
        <v>842</v>
      </c>
      <c r="G396" s="4" t="s">
        <v>935</v>
      </c>
      <c r="H396" s="4" t="s">
        <v>936</v>
      </c>
      <c r="I396" s="4" t="s">
        <v>154</v>
      </c>
      <c r="J396" s="4" t="s">
        <v>27</v>
      </c>
      <c r="K396" s="6">
        <v>11327.49</v>
      </c>
      <c r="L396" s="6">
        <v>0</v>
      </c>
      <c r="M396" s="6">
        <v>11327.49</v>
      </c>
      <c r="N396" s="6"/>
      <c r="O396" s="4" t="s">
        <v>935</v>
      </c>
      <c r="P396" s="3" t="s">
        <v>886</v>
      </c>
      <c r="Q396" s="8"/>
      <c r="R396" s="8"/>
      <c r="S396" s="9">
        <v>43252</v>
      </c>
      <c r="T396" s="8">
        <v>6</v>
      </c>
      <c r="U396" s="8" t="str">
        <f t="shared" si="32"/>
        <v>June</v>
      </c>
      <c r="V396">
        <f t="shared" si="34"/>
        <v>6</v>
      </c>
      <c r="W396" s="8" t="str">
        <f t="shared" si="35"/>
        <v>June</v>
      </c>
    </row>
    <row r="397" spans="1:23" x14ac:dyDescent="0.55000000000000004">
      <c r="A397" t="str">
        <f t="shared" si="33"/>
        <v>JuneJuneHong Kong - Flex IL</v>
      </c>
      <c r="B397" s="3" t="s">
        <v>20</v>
      </c>
      <c r="C397" s="4" t="s">
        <v>150</v>
      </c>
      <c r="D397" s="4" t="s">
        <v>937</v>
      </c>
      <c r="E397" s="5">
        <v>43273</v>
      </c>
      <c r="F397" s="4" t="s">
        <v>842</v>
      </c>
      <c r="G397" s="4" t="s">
        <v>161</v>
      </c>
      <c r="H397" s="4" t="s">
        <v>938</v>
      </c>
      <c r="I397" s="4" t="s">
        <v>154</v>
      </c>
      <c r="J397" s="4" t="s">
        <v>27</v>
      </c>
      <c r="K397" s="6">
        <v>72</v>
      </c>
      <c r="L397" s="6">
        <v>0</v>
      </c>
      <c r="M397" s="6">
        <v>72</v>
      </c>
      <c r="N397" s="6"/>
      <c r="O397" s="4" t="s">
        <v>161</v>
      </c>
      <c r="P397" s="3" t="s">
        <v>111</v>
      </c>
      <c r="Q397" s="8"/>
      <c r="R397" s="8"/>
      <c r="S397" s="9">
        <v>43252</v>
      </c>
      <c r="T397" s="8">
        <v>6</v>
      </c>
      <c r="U397" s="8" t="str">
        <f t="shared" si="32"/>
        <v>June</v>
      </c>
      <c r="V397">
        <f t="shared" si="34"/>
        <v>6</v>
      </c>
      <c r="W397" s="8" t="str">
        <f t="shared" si="35"/>
        <v>June</v>
      </c>
    </row>
    <row r="398" spans="1:23" x14ac:dyDescent="0.55000000000000004">
      <c r="A398" t="str">
        <f t="shared" si="33"/>
        <v>JuneJuneHong Kong - Flex IL</v>
      </c>
      <c r="B398" s="3" t="s">
        <v>20</v>
      </c>
      <c r="C398" s="4" t="s">
        <v>150</v>
      </c>
      <c r="D398" s="4" t="s">
        <v>939</v>
      </c>
      <c r="E398" s="5">
        <v>43273</v>
      </c>
      <c r="F398" s="4" t="s">
        <v>842</v>
      </c>
      <c r="G398" s="4" t="s">
        <v>161</v>
      </c>
      <c r="H398" s="4" t="s">
        <v>940</v>
      </c>
      <c r="I398" s="4" t="s">
        <v>154</v>
      </c>
      <c r="J398" s="4" t="s">
        <v>27</v>
      </c>
      <c r="K398" s="6">
        <v>24</v>
      </c>
      <c r="L398" s="6">
        <v>0</v>
      </c>
      <c r="M398" s="6">
        <v>24</v>
      </c>
      <c r="N398" s="6"/>
      <c r="O398" s="4" t="s">
        <v>161</v>
      </c>
      <c r="P398" s="3" t="s">
        <v>111</v>
      </c>
      <c r="Q398" s="8"/>
      <c r="R398" s="8"/>
      <c r="S398" s="9">
        <v>43252</v>
      </c>
      <c r="T398" s="8">
        <v>6</v>
      </c>
      <c r="U398" s="8" t="str">
        <f t="shared" si="32"/>
        <v>June</v>
      </c>
      <c r="V398">
        <f t="shared" si="34"/>
        <v>6</v>
      </c>
      <c r="W398" s="8" t="str">
        <f t="shared" si="35"/>
        <v>June</v>
      </c>
    </row>
    <row r="399" spans="1:23" x14ac:dyDescent="0.55000000000000004">
      <c r="A399" t="str">
        <f t="shared" si="33"/>
        <v>JuneJuneHong Kong - Phillips WI</v>
      </c>
      <c r="B399" s="3" t="s">
        <v>20</v>
      </c>
      <c r="C399" s="4" t="s">
        <v>150</v>
      </c>
      <c r="D399" s="4" t="s">
        <v>941</v>
      </c>
      <c r="E399" s="5">
        <v>43273</v>
      </c>
      <c r="F399" s="4" t="s">
        <v>842</v>
      </c>
      <c r="G399" s="4" t="s">
        <v>161</v>
      </c>
      <c r="H399" s="4" t="s">
        <v>942</v>
      </c>
      <c r="I399" s="4" t="s">
        <v>154</v>
      </c>
      <c r="J399" s="4" t="s">
        <v>27</v>
      </c>
      <c r="K399" s="6">
        <v>96</v>
      </c>
      <c r="L399" s="6">
        <v>0</v>
      </c>
      <c r="M399" s="6">
        <v>96</v>
      </c>
      <c r="N399" s="6"/>
      <c r="O399" s="4" t="s">
        <v>161</v>
      </c>
      <c r="P399" s="3" t="s">
        <v>65</v>
      </c>
      <c r="Q399" s="8"/>
      <c r="R399" s="8"/>
      <c r="S399" s="9">
        <v>43252</v>
      </c>
      <c r="T399" s="8">
        <v>6</v>
      </c>
      <c r="U399" s="8" t="str">
        <f t="shared" si="32"/>
        <v>June</v>
      </c>
      <c r="V399">
        <f t="shared" si="34"/>
        <v>6</v>
      </c>
      <c r="W399" s="8" t="str">
        <f t="shared" si="35"/>
        <v>June</v>
      </c>
    </row>
    <row r="400" spans="1:23" x14ac:dyDescent="0.55000000000000004">
      <c r="A400" t="str">
        <f t="shared" si="33"/>
        <v>JuneJuneChina - Flex IL</v>
      </c>
      <c r="B400" s="3" t="s">
        <v>20</v>
      </c>
      <c r="C400" s="4" t="s">
        <v>150</v>
      </c>
      <c r="D400" s="4" t="s">
        <v>943</v>
      </c>
      <c r="E400" s="5">
        <v>43273</v>
      </c>
      <c r="F400" s="4" t="s">
        <v>842</v>
      </c>
      <c r="G400" s="4" t="s">
        <v>944</v>
      </c>
      <c r="H400" s="4" t="s">
        <v>945</v>
      </c>
      <c r="I400" s="4" t="s">
        <v>154</v>
      </c>
      <c r="J400" s="4" t="s">
        <v>27</v>
      </c>
      <c r="K400" s="6">
        <v>2389.1</v>
      </c>
      <c r="L400" s="6">
        <v>0</v>
      </c>
      <c r="M400" s="6">
        <v>2389.1</v>
      </c>
      <c r="N400" s="6"/>
      <c r="O400" s="4" t="s">
        <v>944</v>
      </c>
      <c r="P400" s="3" t="s">
        <v>886</v>
      </c>
      <c r="Q400" s="8"/>
      <c r="R400" s="8"/>
      <c r="S400" s="9">
        <v>43252</v>
      </c>
      <c r="T400" s="8">
        <v>6</v>
      </c>
      <c r="U400" s="8" t="str">
        <f t="shared" si="32"/>
        <v>June</v>
      </c>
      <c r="V400">
        <f t="shared" si="34"/>
        <v>6</v>
      </c>
      <c r="W400" s="8" t="str">
        <f t="shared" si="35"/>
        <v>June</v>
      </c>
    </row>
    <row r="401" spans="1:23" x14ac:dyDescent="0.55000000000000004">
      <c r="A401" t="str">
        <f t="shared" si="33"/>
        <v>JuneJuneChina - Flex IL</v>
      </c>
      <c r="B401" s="3" t="s">
        <v>20</v>
      </c>
      <c r="C401" s="4" t="s">
        <v>150</v>
      </c>
      <c r="D401" s="4" t="s">
        <v>946</v>
      </c>
      <c r="E401" s="5">
        <v>43273</v>
      </c>
      <c r="F401" s="4" t="s">
        <v>842</v>
      </c>
      <c r="G401" s="4" t="s">
        <v>947</v>
      </c>
      <c r="H401" s="4" t="s">
        <v>948</v>
      </c>
      <c r="I401" s="4" t="s">
        <v>154</v>
      </c>
      <c r="J401" s="4" t="s">
        <v>27</v>
      </c>
      <c r="K401" s="6">
        <v>3248.56</v>
      </c>
      <c r="L401" s="6">
        <v>0</v>
      </c>
      <c r="M401" s="6">
        <v>3248.56</v>
      </c>
      <c r="N401" s="6"/>
      <c r="O401" s="4" t="s">
        <v>947</v>
      </c>
      <c r="P401" s="3" t="s">
        <v>886</v>
      </c>
      <c r="Q401" s="8"/>
      <c r="R401" s="8"/>
      <c r="S401" s="9">
        <v>43252</v>
      </c>
      <c r="T401" s="8">
        <v>6</v>
      </c>
      <c r="U401" s="8" t="str">
        <f t="shared" si="32"/>
        <v>June</v>
      </c>
      <c r="V401">
        <f t="shared" si="34"/>
        <v>6</v>
      </c>
      <c r="W401" s="8" t="str">
        <f t="shared" si="35"/>
        <v>June</v>
      </c>
    </row>
    <row r="402" spans="1:23" x14ac:dyDescent="0.55000000000000004">
      <c r="A402" t="str">
        <f t="shared" si="33"/>
        <v>JuneJuneHong Kong - Phillips WI</v>
      </c>
      <c r="B402" s="3" t="s">
        <v>20</v>
      </c>
      <c r="C402" s="4" t="s">
        <v>150</v>
      </c>
      <c r="D402" s="4" t="s">
        <v>949</v>
      </c>
      <c r="E402" s="5">
        <v>43280</v>
      </c>
      <c r="F402" s="4" t="s">
        <v>842</v>
      </c>
      <c r="G402" s="4" t="s">
        <v>161</v>
      </c>
      <c r="H402" s="4" t="s">
        <v>950</v>
      </c>
      <c r="I402" s="4" t="s">
        <v>154</v>
      </c>
      <c r="J402" s="4" t="s">
        <v>27</v>
      </c>
      <c r="K402" s="6">
        <v>96</v>
      </c>
      <c r="L402" s="6">
        <v>0</v>
      </c>
      <c r="M402" s="6">
        <v>96</v>
      </c>
      <c r="N402" s="6"/>
      <c r="O402" s="4" t="s">
        <v>161</v>
      </c>
      <c r="P402" s="3" t="s">
        <v>65</v>
      </c>
      <c r="Q402" s="8"/>
      <c r="R402" s="8"/>
      <c r="S402" s="9">
        <v>43252</v>
      </c>
      <c r="T402" s="8">
        <v>6</v>
      </c>
      <c r="U402" s="8" t="str">
        <f t="shared" si="32"/>
        <v>June</v>
      </c>
      <c r="V402">
        <f t="shared" si="34"/>
        <v>6</v>
      </c>
      <c r="W402" s="8" t="str">
        <f t="shared" si="35"/>
        <v>June</v>
      </c>
    </row>
    <row r="403" spans="1:23" x14ac:dyDescent="0.55000000000000004">
      <c r="A403" t="str">
        <f t="shared" si="33"/>
        <v>JuneJuneHong Kong - AFG NC</v>
      </c>
      <c r="B403" s="3" t="s">
        <v>20</v>
      </c>
      <c r="C403" s="4" t="s">
        <v>150</v>
      </c>
      <c r="D403" s="4" t="s">
        <v>951</v>
      </c>
      <c r="E403" s="5">
        <v>43280</v>
      </c>
      <c r="F403" s="4" t="s">
        <v>842</v>
      </c>
      <c r="G403" s="4" t="s">
        <v>161</v>
      </c>
      <c r="H403" s="13">
        <v>1011789</v>
      </c>
      <c r="I403" s="4" t="s">
        <v>154</v>
      </c>
      <c r="J403" s="4" t="s">
        <v>27</v>
      </c>
      <c r="K403" s="6">
        <v>48</v>
      </c>
      <c r="L403" s="6">
        <v>0</v>
      </c>
      <c r="M403" s="6">
        <v>48</v>
      </c>
      <c r="N403" s="6"/>
      <c r="O403" s="4" t="s">
        <v>161</v>
      </c>
      <c r="P403" s="3" t="s">
        <v>334</v>
      </c>
      <c r="Q403" s="8"/>
      <c r="R403" s="8"/>
      <c r="S403" s="9">
        <v>43252</v>
      </c>
      <c r="T403" s="8">
        <v>6</v>
      </c>
      <c r="U403" s="8" t="str">
        <f t="shared" si="32"/>
        <v>June</v>
      </c>
      <c r="V403">
        <f t="shared" si="34"/>
        <v>6</v>
      </c>
      <c r="W403" s="8" t="str">
        <f t="shared" si="35"/>
        <v>June</v>
      </c>
    </row>
    <row r="404" spans="1:23" x14ac:dyDescent="0.55000000000000004">
      <c r="A404" t="str">
        <f t="shared" si="33"/>
        <v>JuneJuneHong Kong - AFG NC</v>
      </c>
      <c r="B404" s="3" t="s">
        <v>20</v>
      </c>
      <c r="C404" s="4" t="s">
        <v>150</v>
      </c>
      <c r="D404" s="4" t="s">
        <v>952</v>
      </c>
      <c r="E404" s="5">
        <v>43280</v>
      </c>
      <c r="F404" s="4" t="s">
        <v>842</v>
      </c>
      <c r="G404" s="4" t="s">
        <v>161</v>
      </c>
      <c r="H404" s="4" t="s">
        <v>953</v>
      </c>
      <c r="I404" s="4" t="s">
        <v>154</v>
      </c>
      <c r="J404" s="4" t="s">
        <v>27</v>
      </c>
      <c r="K404" s="6">
        <v>48</v>
      </c>
      <c r="L404" s="6">
        <v>0</v>
      </c>
      <c r="M404" s="6">
        <v>48</v>
      </c>
      <c r="N404" s="6"/>
      <c r="O404" s="4" t="s">
        <v>161</v>
      </c>
      <c r="P404" s="3" t="s">
        <v>334</v>
      </c>
      <c r="Q404" s="8"/>
      <c r="R404" s="8"/>
      <c r="S404" s="9">
        <v>43252</v>
      </c>
      <c r="T404" s="8">
        <v>6</v>
      </c>
      <c r="U404" s="8" t="str">
        <f t="shared" si="32"/>
        <v>June</v>
      </c>
      <c r="V404">
        <f t="shared" si="34"/>
        <v>6</v>
      </c>
      <c r="W404" s="8" t="str">
        <f t="shared" si="35"/>
        <v>June</v>
      </c>
    </row>
    <row r="405" spans="1:23" x14ac:dyDescent="0.55000000000000004">
      <c r="A405" t="str">
        <f t="shared" si="33"/>
        <v>JuneJuneChina - Flex IL</v>
      </c>
      <c r="B405" s="3" t="s">
        <v>20</v>
      </c>
      <c r="C405" s="4" t="s">
        <v>150</v>
      </c>
      <c r="D405" s="4" t="s">
        <v>954</v>
      </c>
      <c r="E405" s="5">
        <v>43281</v>
      </c>
      <c r="F405" s="4" t="s">
        <v>842</v>
      </c>
      <c r="G405" s="4" t="s">
        <v>955</v>
      </c>
      <c r="H405" s="4" t="s">
        <v>956</v>
      </c>
      <c r="I405" s="4" t="s">
        <v>154</v>
      </c>
      <c r="J405" s="4" t="s">
        <v>27</v>
      </c>
      <c r="K405" s="6">
        <v>3891.2</v>
      </c>
      <c r="L405" s="6">
        <v>0</v>
      </c>
      <c r="M405" s="6">
        <v>3891.2</v>
      </c>
      <c r="N405" s="6"/>
      <c r="O405" s="4" t="s">
        <v>955</v>
      </c>
      <c r="P405" s="3" t="s">
        <v>886</v>
      </c>
      <c r="Q405" s="8"/>
      <c r="R405" s="8"/>
      <c r="S405" s="9">
        <v>43252</v>
      </c>
      <c r="T405" s="8">
        <v>6</v>
      </c>
      <c r="U405" s="8" t="str">
        <f t="shared" si="32"/>
        <v>June</v>
      </c>
      <c r="V405">
        <f t="shared" si="34"/>
        <v>6</v>
      </c>
      <c r="W405" s="8" t="str">
        <f t="shared" si="35"/>
        <v>June</v>
      </c>
    </row>
    <row r="406" spans="1:23" x14ac:dyDescent="0.55000000000000004">
      <c r="A406" t="str">
        <f t="shared" si="33"/>
        <v>JuneJunePhillips WI - DCL KY</v>
      </c>
      <c r="B406" s="3" t="s">
        <v>20</v>
      </c>
      <c r="C406" s="4" t="s">
        <v>150</v>
      </c>
      <c r="D406" s="4" t="s">
        <v>992</v>
      </c>
      <c r="E406" s="5">
        <v>43255</v>
      </c>
      <c r="F406" s="4" t="s">
        <v>842</v>
      </c>
      <c r="G406" s="4" t="s">
        <v>28</v>
      </c>
      <c r="H406" s="4" t="s">
        <v>993</v>
      </c>
      <c r="I406" s="4" t="s">
        <v>646</v>
      </c>
      <c r="J406" s="4" t="s">
        <v>27</v>
      </c>
      <c r="K406" s="32">
        <v>5600</v>
      </c>
      <c r="L406" s="6">
        <v>0</v>
      </c>
      <c r="M406" s="6">
        <v>5600</v>
      </c>
      <c r="N406" s="6"/>
      <c r="O406" s="4" t="s">
        <v>28</v>
      </c>
      <c r="P406" t="s">
        <v>29</v>
      </c>
      <c r="Q406" s="8"/>
      <c r="R406" s="8"/>
      <c r="S406" s="9">
        <v>43252</v>
      </c>
      <c r="T406" s="8">
        <v>6</v>
      </c>
      <c r="U406" s="8" t="str">
        <f t="shared" si="32"/>
        <v>June</v>
      </c>
      <c r="V406">
        <f t="shared" si="34"/>
        <v>6</v>
      </c>
      <c r="W406" s="8" t="str">
        <f t="shared" si="35"/>
        <v>June</v>
      </c>
    </row>
    <row r="407" spans="1:23" x14ac:dyDescent="0.55000000000000004">
      <c r="A407" t="str">
        <f t="shared" si="33"/>
        <v>JuneJuneChina - DCL KY</v>
      </c>
      <c r="B407" s="3" t="s">
        <v>20</v>
      </c>
      <c r="C407" s="4" t="s">
        <v>150</v>
      </c>
      <c r="D407" s="4" t="s">
        <v>994</v>
      </c>
      <c r="E407" s="5">
        <v>43256</v>
      </c>
      <c r="F407" s="4" t="s">
        <v>842</v>
      </c>
      <c r="G407" s="4" t="s">
        <v>81</v>
      </c>
      <c r="H407" s="4" t="s">
        <v>995</v>
      </c>
      <c r="I407" s="4" t="s">
        <v>646</v>
      </c>
      <c r="J407" s="4" t="s">
        <v>27</v>
      </c>
      <c r="K407" s="32">
        <v>42961.93</v>
      </c>
      <c r="L407" s="6">
        <v>0</v>
      </c>
      <c r="M407" s="6">
        <v>42961.93</v>
      </c>
      <c r="N407" s="6"/>
      <c r="O407" s="4" t="s">
        <v>81</v>
      </c>
      <c r="P407" t="s">
        <v>82</v>
      </c>
      <c r="Q407" s="8"/>
      <c r="R407" s="8"/>
      <c r="S407" s="9">
        <v>43252</v>
      </c>
      <c r="T407" s="8">
        <v>6</v>
      </c>
      <c r="U407" s="8" t="str">
        <f t="shared" si="32"/>
        <v>June</v>
      </c>
      <c r="V407">
        <f t="shared" si="34"/>
        <v>6</v>
      </c>
      <c r="W407" s="8" t="str">
        <f t="shared" si="35"/>
        <v>June</v>
      </c>
    </row>
    <row r="408" spans="1:23" x14ac:dyDescent="0.55000000000000004">
      <c r="A408" t="str">
        <f t="shared" si="33"/>
        <v>JuneJuneHong Kong - AFG NC</v>
      </c>
      <c r="B408" s="3" t="s">
        <v>20</v>
      </c>
      <c r="C408" s="4" t="s">
        <v>150</v>
      </c>
      <c r="D408" s="4" t="s">
        <v>996</v>
      </c>
      <c r="E408" s="5">
        <v>43259</v>
      </c>
      <c r="F408" s="4" t="s">
        <v>842</v>
      </c>
      <c r="G408" s="4" t="s">
        <v>997</v>
      </c>
      <c r="H408" s="4" t="s">
        <v>998</v>
      </c>
      <c r="I408" s="4" t="s">
        <v>646</v>
      </c>
      <c r="J408" s="4" t="s">
        <v>27</v>
      </c>
      <c r="K408" s="32">
        <v>5877.96</v>
      </c>
      <c r="L408" s="6">
        <v>0</v>
      </c>
      <c r="M408" s="6">
        <v>5877.96</v>
      </c>
      <c r="N408" s="6"/>
      <c r="O408" s="4" t="s">
        <v>997</v>
      </c>
      <c r="P408" s="3" t="s">
        <v>334</v>
      </c>
      <c r="Q408" s="8"/>
      <c r="R408" s="8"/>
      <c r="S408" s="9">
        <v>43252</v>
      </c>
      <c r="T408" s="8">
        <v>6</v>
      </c>
      <c r="U408" s="8" t="str">
        <f t="shared" si="32"/>
        <v>June</v>
      </c>
      <c r="V408">
        <f t="shared" si="34"/>
        <v>6</v>
      </c>
      <c r="W408" s="8" t="str">
        <f t="shared" si="35"/>
        <v>June</v>
      </c>
    </row>
    <row r="409" spans="1:23" x14ac:dyDescent="0.55000000000000004">
      <c r="A409" t="str">
        <f t="shared" si="33"/>
        <v>JuneMayHong Kong - DECI NC</v>
      </c>
      <c r="B409" s="3" t="s">
        <v>20</v>
      </c>
      <c r="C409" s="4" t="s">
        <v>150</v>
      </c>
      <c r="D409" s="4" t="s">
        <v>999</v>
      </c>
      <c r="E409" s="5">
        <v>43262</v>
      </c>
      <c r="F409" s="4" t="s">
        <v>842</v>
      </c>
      <c r="G409" s="4" t="s">
        <v>91</v>
      </c>
      <c r="H409" s="4" t="s">
        <v>1000</v>
      </c>
      <c r="I409" s="4" t="s">
        <v>646</v>
      </c>
      <c r="J409" s="4" t="s">
        <v>27</v>
      </c>
      <c r="K409" s="32">
        <v>7148.81</v>
      </c>
      <c r="L409" s="6">
        <v>0</v>
      </c>
      <c r="M409" s="6">
        <v>7148.81</v>
      </c>
      <c r="N409" s="6"/>
      <c r="O409" s="4" t="s">
        <v>91</v>
      </c>
      <c r="P409" t="s">
        <v>92</v>
      </c>
      <c r="Q409" s="8"/>
      <c r="R409" s="8"/>
      <c r="S409" s="9">
        <v>43221</v>
      </c>
      <c r="T409" s="8">
        <v>6</v>
      </c>
      <c r="U409" s="8" t="str">
        <f t="shared" si="32"/>
        <v>June</v>
      </c>
      <c r="V409">
        <f t="shared" si="34"/>
        <v>5</v>
      </c>
      <c r="W409" s="8" t="str">
        <f t="shared" si="35"/>
        <v>May</v>
      </c>
    </row>
    <row r="410" spans="1:23" x14ac:dyDescent="0.55000000000000004">
      <c r="A410" t="str">
        <f t="shared" si="33"/>
        <v>JuneJuneChina - DECI NC</v>
      </c>
      <c r="B410" s="3" t="s">
        <v>20</v>
      </c>
      <c r="C410" s="4" t="s">
        <v>150</v>
      </c>
      <c r="D410" s="4" t="s">
        <v>1001</v>
      </c>
      <c r="E410" s="5">
        <v>43262</v>
      </c>
      <c r="F410" s="4" t="s">
        <v>842</v>
      </c>
      <c r="G410" s="4" t="s">
        <v>96</v>
      </c>
      <c r="H410" s="4" t="s">
        <v>1002</v>
      </c>
      <c r="I410" s="4" t="s">
        <v>646</v>
      </c>
      <c r="J410" s="4" t="s">
        <v>27</v>
      </c>
      <c r="K410" s="32">
        <v>52338.18</v>
      </c>
      <c r="L410" s="6">
        <v>0</v>
      </c>
      <c r="M410" s="6">
        <v>52338.18</v>
      </c>
      <c r="N410" s="6"/>
      <c r="O410" s="4" t="s">
        <v>96</v>
      </c>
      <c r="P410" s="3" t="s">
        <v>97</v>
      </c>
      <c r="Q410" s="8"/>
      <c r="R410" s="8"/>
      <c r="S410" s="9">
        <v>43252</v>
      </c>
      <c r="T410" s="8">
        <v>6</v>
      </c>
      <c r="U410" s="8" t="str">
        <f t="shared" si="32"/>
        <v>June</v>
      </c>
      <c r="V410">
        <f t="shared" si="34"/>
        <v>6</v>
      </c>
      <c r="W410" s="8" t="str">
        <f t="shared" si="35"/>
        <v>June</v>
      </c>
    </row>
    <row r="411" spans="1:23" x14ac:dyDescent="0.55000000000000004">
      <c r="A411" t="str">
        <f t="shared" si="33"/>
        <v>JuneMayHong Kong - DECI NC</v>
      </c>
      <c r="B411" s="3" t="s">
        <v>20</v>
      </c>
      <c r="C411" s="4" t="s">
        <v>150</v>
      </c>
      <c r="D411" s="4" t="s">
        <v>1003</v>
      </c>
      <c r="E411" s="5">
        <v>43262</v>
      </c>
      <c r="F411" s="4" t="s">
        <v>842</v>
      </c>
      <c r="G411" s="4" t="s">
        <v>1004</v>
      </c>
      <c r="H411" s="4" t="s">
        <v>1005</v>
      </c>
      <c r="I411" s="4" t="s">
        <v>646</v>
      </c>
      <c r="J411" s="4" t="s">
        <v>27</v>
      </c>
      <c r="K411" s="32">
        <v>7412.97</v>
      </c>
      <c r="L411" s="6">
        <v>0</v>
      </c>
      <c r="M411" s="6">
        <v>7412.97</v>
      </c>
      <c r="N411" s="6"/>
      <c r="O411" s="4" t="s">
        <v>1004</v>
      </c>
      <c r="P411" t="s">
        <v>92</v>
      </c>
      <c r="Q411" s="8"/>
      <c r="R411" s="8"/>
      <c r="S411" s="9">
        <v>43221</v>
      </c>
      <c r="T411" s="8">
        <v>6</v>
      </c>
      <c r="U411" s="8" t="str">
        <f t="shared" ref="U411:U442" si="36">IF(T411=6,"June",IF(T411=5,"May",IF(T411=4,"April",IF(T411=3,"March",IF(T411=7,"July",0)))))</f>
        <v>June</v>
      </c>
      <c r="V411">
        <f t="shared" si="34"/>
        <v>5</v>
      </c>
      <c r="W411" s="8" t="str">
        <f t="shared" si="35"/>
        <v>May</v>
      </c>
    </row>
    <row r="412" spans="1:23" x14ac:dyDescent="0.55000000000000004">
      <c r="A412" t="str">
        <f t="shared" si="33"/>
        <v>JuneJuneChina - DCL KY</v>
      </c>
      <c r="B412" s="3" t="s">
        <v>20</v>
      </c>
      <c r="C412" s="4" t="s">
        <v>150</v>
      </c>
      <c r="D412" s="4" t="s">
        <v>1006</v>
      </c>
      <c r="E412" s="5">
        <v>43263</v>
      </c>
      <c r="F412" s="4" t="s">
        <v>842</v>
      </c>
      <c r="G412" s="4" t="s">
        <v>101</v>
      </c>
      <c r="H412" s="4" t="s">
        <v>1007</v>
      </c>
      <c r="I412" s="4" t="s">
        <v>646</v>
      </c>
      <c r="J412" s="4" t="s">
        <v>27</v>
      </c>
      <c r="K412" s="32">
        <v>11245.77</v>
      </c>
      <c r="L412" s="6">
        <v>0</v>
      </c>
      <c r="M412" s="6">
        <v>11245.77</v>
      </c>
      <c r="N412" s="6"/>
      <c r="O412" s="4" t="s">
        <v>101</v>
      </c>
      <c r="P412" t="s">
        <v>82</v>
      </c>
      <c r="Q412" s="8"/>
      <c r="R412" s="8"/>
      <c r="S412" s="9">
        <v>43252</v>
      </c>
      <c r="T412" s="8">
        <v>6</v>
      </c>
      <c r="U412" s="8" t="str">
        <f t="shared" si="36"/>
        <v>June</v>
      </c>
      <c r="V412">
        <f t="shared" si="34"/>
        <v>6</v>
      </c>
      <c r="W412" s="8" t="str">
        <f t="shared" si="35"/>
        <v>June</v>
      </c>
    </row>
    <row r="413" spans="1:23" x14ac:dyDescent="0.55000000000000004">
      <c r="A413" t="str">
        <f t="shared" si="33"/>
        <v>JuneJuneHong Kong - DCL KY</v>
      </c>
      <c r="B413" s="3" t="s">
        <v>20</v>
      </c>
      <c r="C413" s="4" t="s">
        <v>150</v>
      </c>
      <c r="D413" s="4" t="s">
        <v>1008</v>
      </c>
      <c r="E413" s="5">
        <v>43263</v>
      </c>
      <c r="F413" s="4" t="s">
        <v>842</v>
      </c>
      <c r="G413" s="4" t="s">
        <v>106</v>
      </c>
      <c r="H413" s="4" t="s">
        <v>1009</v>
      </c>
      <c r="I413" s="4" t="s">
        <v>646</v>
      </c>
      <c r="J413" s="4" t="s">
        <v>27</v>
      </c>
      <c r="K413" s="32">
        <v>7429.4</v>
      </c>
      <c r="L413" s="6">
        <v>0</v>
      </c>
      <c r="M413" s="6">
        <v>7429.4</v>
      </c>
      <c r="N413" s="6"/>
      <c r="O413" s="4" t="s">
        <v>106</v>
      </c>
      <c r="P413" s="3" t="s">
        <v>39</v>
      </c>
      <c r="Q413" s="8"/>
      <c r="R413" s="8"/>
      <c r="S413" s="9">
        <v>43252</v>
      </c>
      <c r="T413" s="8">
        <v>6</v>
      </c>
      <c r="U413" s="8" t="str">
        <f t="shared" si="36"/>
        <v>June</v>
      </c>
      <c r="V413">
        <f t="shared" si="34"/>
        <v>6</v>
      </c>
      <c r="W413" s="8" t="str">
        <f t="shared" si="35"/>
        <v>June</v>
      </c>
    </row>
    <row r="414" spans="1:23" x14ac:dyDescent="0.55000000000000004">
      <c r="A414" t="str">
        <f t="shared" si="33"/>
        <v>JuneJuneHong Kong - Flex IL</v>
      </c>
      <c r="B414" s="3" t="s">
        <v>20</v>
      </c>
      <c r="C414" s="4" t="s">
        <v>150</v>
      </c>
      <c r="D414" s="4" t="s">
        <v>1010</v>
      </c>
      <c r="E414" s="5">
        <v>43264</v>
      </c>
      <c r="F414" s="4" t="s">
        <v>842</v>
      </c>
      <c r="G414" s="4" t="s">
        <v>110</v>
      </c>
      <c r="H414" s="4" t="s">
        <v>1011</v>
      </c>
      <c r="I414" s="4" t="s">
        <v>646</v>
      </c>
      <c r="J414" s="4" t="s">
        <v>27</v>
      </c>
      <c r="K414" s="32">
        <v>10009.51</v>
      </c>
      <c r="L414" s="6">
        <v>0</v>
      </c>
      <c r="M414" s="6">
        <v>10009.51</v>
      </c>
      <c r="N414" s="6"/>
      <c r="O414" s="4" t="s">
        <v>110</v>
      </c>
      <c r="P414" t="s">
        <v>111</v>
      </c>
      <c r="Q414" s="8"/>
      <c r="R414" s="8"/>
      <c r="S414" s="9">
        <v>43252</v>
      </c>
      <c r="T414" s="8">
        <v>6</v>
      </c>
      <c r="U414" s="8" t="str">
        <f t="shared" si="36"/>
        <v>June</v>
      </c>
      <c r="V414">
        <f t="shared" si="34"/>
        <v>6</v>
      </c>
      <c r="W414" s="8" t="str">
        <f t="shared" si="35"/>
        <v>June</v>
      </c>
    </row>
    <row r="415" spans="1:23" x14ac:dyDescent="0.55000000000000004">
      <c r="A415" t="str">
        <f t="shared" si="33"/>
        <v>JuneJuneHong Kong - Phillips WI</v>
      </c>
      <c r="B415" s="3" t="s">
        <v>20</v>
      </c>
      <c r="C415" s="4" t="s">
        <v>150</v>
      </c>
      <c r="D415" s="4" t="s">
        <v>1012</v>
      </c>
      <c r="E415" s="5">
        <v>43264</v>
      </c>
      <c r="F415" s="4" t="s">
        <v>842</v>
      </c>
      <c r="G415" s="4" t="s">
        <v>115</v>
      </c>
      <c r="H415" s="4" t="s">
        <v>1013</v>
      </c>
      <c r="I415" s="4" t="s">
        <v>646</v>
      </c>
      <c r="J415" s="4" t="s">
        <v>27</v>
      </c>
      <c r="K415" s="32">
        <v>2754.83</v>
      </c>
      <c r="L415" s="6">
        <v>0</v>
      </c>
      <c r="M415" s="6">
        <v>2754.83</v>
      </c>
      <c r="N415" s="6"/>
      <c r="O415" s="4" t="s">
        <v>115</v>
      </c>
      <c r="P415" s="3" t="s">
        <v>65</v>
      </c>
      <c r="Q415" s="8"/>
      <c r="R415" s="8"/>
      <c r="S415" s="9">
        <v>43252</v>
      </c>
      <c r="T415" s="8">
        <v>6</v>
      </c>
      <c r="U415" s="8" t="str">
        <f t="shared" si="36"/>
        <v>June</v>
      </c>
      <c r="V415">
        <f t="shared" si="34"/>
        <v>6</v>
      </c>
      <c r="W415" s="8" t="str">
        <f t="shared" si="35"/>
        <v>June</v>
      </c>
    </row>
    <row r="416" spans="1:23" x14ac:dyDescent="0.55000000000000004">
      <c r="A416" t="str">
        <f t="shared" si="33"/>
        <v>JuneJuneHong Kong - Phillips WI</v>
      </c>
      <c r="B416" s="3" t="s">
        <v>20</v>
      </c>
      <c r="C416" s="4" t="s">
        <v>150</v>
      </c>
      <c r="D416" s="4" t="s">
        <v>1014</v>
      </c>
      <c r="E416" s="5">
        <v>43267</v>
      </c>
      <c r="F416" s="4" t="s">
        <v>842</v>
      </c>
      <c r="G416" s="4" t="s">
        <v>119</v>
      </c>
      <c r="H416" s="4" t="s">
        <v>1015</v>
      </c>
      <c r="I416" s="4" t="s">
        <v>646</v>
      </c>
      <c r="J416" s="4" t="s">
        <v>27</v>
      </c>
      <c r="K416" s="32">
        <v>7507.9</v>
      </c>
      <c r="L416" s="6">
        <v>0</v>
      </c>
      <c r="M416" s="6">
        <v>7507.9</v>
      </c>
      <c r="N416" s="6"/>
      <c r="O416" s="4" t="s">
        <v>119</v>
      </c>
      <c r="P416" s="3" t="s">
        <v>65</v>
      </c>
      <c r="Q416" s="8"/>
      <c r="R416" s="8"/>
      <c r="S416" s="9">
        <v>43252</v>
      </c>
      <c r="T416" s="8">
        <v>6</v>
      </c>
      <c r="U416" s="8" t="str">
        <f t="shared" si="36"/>
        <v>June</v>
      </c>
      <c r="V416">
        <f t="shared" si="34"/>
        <v>6</v>
      </c>
      <c r="W416" s="8" t="str">
        <f t="shared" si="35"/>
        <v>June</v>
      </c>
    </row>
    <row r="417" spans="1:23" x14ac:dyDescent="0.55000000000000004">
      <c r="A417" t="str">
        <f t="shared" si="33"/>
        <v>JuneJuneAFG NC - DCL KY</v>
      </c>
      <c r="B417" s="3" t="s">
        <v>20</v>
      </c>
      <c r="C417" s="4" t="s">
        <v>150</v>
      </c>
      <c r="D417" s="4" t="s">
        <v>1016</v>
      </c>
      <c r="E417" s="5">
        <v>43270</v>
      </c>
      <c r="F417" s="4" t="s">
        <v>842</v>
      </c>
      <c r="G417" s="4" t="s">
        <v>1017</v>
      </c>
      <c r="H417" s="4" t="s">
        <v>1018</v>
      </c>
      <c r="I417" s="4" t="s">
        <v>646</v>
      </c>
      <c r="J417" s="4" t="s">
        <v>27</v>
      </c>
      <c r="K417" s="32">
        <v>7150</v>
      </c>
      <c r="L417" s="6">
        <v>0</v>
      </c>
      <c r="M417" s="6">
        <v>7150</v>
      </c>
      <c r="N417" s="6"/>
      <c r="O417" s="4" t="s">
        <v>1017</v>
      </c>
      <c r="P417" t="s">
        <v>173</v>
      </c>
      <c r="Q417" s="8"/>
      <c r="R417" s="8"/>
      <c r="S417" s="9">
        <v>43252</v>
      </c>
      <c r="T417" s="8">
        <v>6</v>
      </c>
      <c r="U417" s="8" t="str">
        <f t="shared" si="36"/>
        <v>June</v>
      </c>
      <c r="V417">
        <f t="shared" si="34"/>
        <v>6</v>
      </c>
      <c r="W417" s="8" t="str">
        <f t="shared" si="35"/>
        <v>June</v>
      </c>
    </row>
    <row r="418" spans="1:23" x14ac:dyDescent="0.55000000000000004">
      <c r="A418" t="str">
        <f t="shared" si="33"/>
        <v>JuneJuneChina - DECI NC</v>
      </c>
      <c r="B418" s="3" t="s">
        <v>20</v>
      </c>
      <c r="C418" s="4" t="s">
        <v>150</v>
      </c>
      <c r="D418" s="4" t="s">
        <v>1019</v>
      </c>
      <c r="E418" s="5">
        <v>43273</v>
      </c>
      <c r="F418" s="4" t="s">
        <v>842</v>
      </c>
      <c r="G418" s="4" t="s">
        <v>123</v>
      </c>
      <c r="H418" s="4" t="s">
        <v>1020</v>
      </c>
      <c r="I418" s="4" t="s">
        <v>646</v>
      </c>
      <c r="J418" s="4" t="s">
        <v>27</v>
      </c>
      <c r="K418" s="32">
        <v>51914.86</v>
      </c>
      <c r="L418" s="6">
        <v>0</v>
      </c>
      <c r="M418" s="6">
        <v>51914.86</v>
      </c>
      <c r="N418" s="6"/>
      <c r="O418" s="4" t="s">
        <v>123</v>
      </c>
      <c r="P418" s="3" t="s">
        <v>97</v>
      </c>
      <c r="Q418" s="8"/>
      <c r="R418" s="8"/>
      <c r="S418" s="9">
        <v>43252</v>
      </c>
      <c r="T418" s="8">
        <v>6</v>
      </c>
      <c r="U418" s="8" t="str">
        <f t="shared" si="36"/>
        <v>June</v>
      </c>
      <c r="V418">
        <f t="shared" si="34"/>
        <v>6</v>
      </c>
      <c r="W418" s="8" t="str">
        <f t="shared" si="35"/>
        <v>June</v>
      </c>
    </row>
    <row r="419" spans="1:23" x14ac:dyDescent="0.55000000000000004">
      <c r="A419" t="str">
        <f t="shared" si="33"/>
        <v>JuneJuneTaiwan - DCL KY</v>
      </c>
      <c r="B419" s="3" t="s">
        <v>20</v>
      </c>
      <c r="C419" s="4" t="s">
        <v>150</v>
      </c>
      <c r="D419" s="4" t="s">
        <v>1021</v>
      </c>
      <c r="E419" s="5">
        <v>43273</v>
      </c>
      <c r="F419" s="4" t="s">
        <v>842</v>
      </c>
      <c r="G419" s="4" t="s">
        <v>127</v>
      </c>
      <c r="H419" s="4" t="s">
        <v>1022</v>
      </c>
      <c r="I419" s="4" t="s">
        <v>646</v>
      </c>
      <c r="J419" s="4" t="s">
        <v>27</v>
      </c>
      <c r="K419" s="32">
        <v>3801.38</v>
      </c>
      <c r="L419" s="6">
        <v>0</v>
      </c>
      <c r="M419" s="6">
        <v>3801.38</v>
      </c>
      <c r="N419" s="6"/>
      <c r="O419" s="4" t="s">
        <v>127</v>
      </c>
      <c r="P419" t="s">
        <v>128</v>
      </c>
      <c r="Q419" s="8"/>
      <c r="R419" s="8"/>
      <c r="S419" s="9">
        <v>43252</v>
      </c>
      <c r="T419" s="8">
        <v>6</v>
      </c>
      <c r="U419" s="8" t="str">
        <f t="shared" si="36"/>
        <v>June</v>
      </c>
      <c r="V419">
        <f t="shared" si="34"/>
        <v>6</v>
      </c>
      <c r="W419" s="8" t="str">
        <f t="shared" si="35"/>
        <v>June</v>
      </c>
    </row>
    <row r="420" spans="1:23" x14ac:dyDescent="0.55000000000000004">
      <c r="A420" t="str">
        <f t="shared" si="33"/>
        <v>JuneJuneHong Kong - Flex IL</v>
      </c>
      <c r="B420" s="3" t="s">
        <v>20</v>
      </c>
      <c r="C420" s="4" t="s">
        <v>150</v>
      </c>
      <c r="D420" s="4" t="s">
        <v>1023</v>
      </c>
      <c r="E420" s="5">
        <v>43273</v>
      </c>
      <c r="F420" s="4" t="s">
        <v>842</v>
      </c>
      <c r="G420" s="4" t="s">
        <v>132</v>
      </c>
      <c r="H420" s="4" t="s">
        <v>1024</v>
      </c>
      <c r="I420" s="4" t="s">
        <v>646</v>
      </c>
      <c r="J420" s="4" t="s">
        <v>27</v>
      </c>
      <c r="K420" s="32">
        <v>23469.06</v>
      </c>
      <c r="L420" s="6">
        <v>0</v>
      </c>
      <c r="M420" s="6">
        <v>23469.06</v>
      </c>
      <c r="N420" s="6"/>
      <c r="O420" s="4" t="s">
        <v>132</v>
      </c>
      <c r="P420" t="s">
        <v>111</v>
      </c>
      <c r="Q420" s="8"/>
      <c r="R420" s="8"/>
      <c r="S420" s="9">
        <v>43252</v>
      </c>
      <c r="T420" s="8">
        <v>6</v>
      </c>
      <c r="U420" s="8" t="str">
        <f t="shared" si="36"/>
        <v>June</v>
      </c>
      <c r="V420">
        <f t="shared" si="34"/>
        <v>6</v>
      </c>
      <c r="W420" s="8" t="str">
        <f t="shared" si="35"/>
        <v>June</v>
      </c>
    </row>
    <row r="421" spans="1:23" x14ac:dyDescent="0.55000000000000004">
      <c r="A421" t="str">
        <f t="shared" si="33"/>
        <v>JuneJuneChina - DECI NC</v>
      </c>
      <c r="B421" s="3" t="s">
        <v>20</v>
      </c>
      <c r="C421" s="4" t="s">
        <v>150</v>
      </c>
      <c r="D421" s="4" t="s">
        <v>1025</v>
      </c>
      <c r="E421" s="5">
        <v>43273</v>
      </c>
      <c r="F421" s="4" t="s">
        <v>842</v>
      </c>
      <c r="G421" s="4" t="s">
        <v>136</v>
      </c>
      <c r="H421" s="4" t="s">
        <v>1026</v>
      </c>
      <c r="I421" s="4" t="s">
        <v>646</v>
      </c>
      <c r="J421" s="4" t="s">
        <v>27</v>
      </c>
      <c r="K421" s="32">
        <v>17334.48</v>
      </c>
      <c r="L421" s="6">
        <v>0</v>
      </c>
      <c r="M421" s="6">
        <v>17334.48</v>
      </c>
      <c r="N421" s="6"/>
      <c r="O421" s="4" t="s">
        <v>136</v>
      </c>
      <c r="P421" s="3" t="s">
        <v>97</v>
      </c>
      <c r="Q421" s="8"/>
      <c r="R421" s="8"/>
      <c r="S421" s="9">
        <v>43252</v>
      </c>
      <c r="T421" s="8">
        <v>6</v>
      </c>
      <c r="U421" s="8" t="str">
        <f t="shared" si="36"/>
        <v>June</v>
      </c>
      <c r="V421">
        <f t="shared" si="34"/>
        <v>6</v>
      </c>
      <c r="W421" s="8" t="str">
        <f t="shared" si="35"/>
        <v>June</v>
      </c>
    </row>
    <row r="422" spans="1:23" x14ac:dyDescent="0.55000000000000004">
      <c r="A422" t="str">
        <f t="shared" si="33"/>
        <v>JuneJuneHong Kong - Flex IL</v>
      </c>
      <c r="B422" s="3" t="s">
        <v>20</v>
      </c>
      <c r="C422" s="4" t="s">
        <v>150</v>
      </c>
      <c r="D422" s="4" t="s">
        <v>1027</v>
      </c>
      <c r="E422" s="5">
        <v>43273</v>
      </c>
      <c r="F422" s="4" t="s">
        <v>842</v>
      </c>
      <c r="G422" s="4" t="s">
        <v>140</v>
      </c>
      <c r="H422" s="4" t="s">
        <v>1028</v>
      </c>
      <c r="I422" s="4" t="s">
        <v>646</v>
      </c>
      <c r="J422" s="4" t="s">
        <v>27</v>
      </c>
      <c r="K422" s="32">
        <v>8964.3700000000008</v>
      </c>
      <c r="L422" s="6">
        <v>0</v>
      </c>
      <c r="M422" s="6">
        <v>8964.3700000000008</v>
      </c>
      <c r="N422" s="6"/>
      <c r="O422" s="4" t="s">
        <v>140</v>
      </c>
      <c r="P422" t="s">
        <v>111</v>
      </c>
      <c r="Q422" s="8"/>
      <c r="R422" s="8"/>
      <c r="S422" s="9">
        <v>43252</v>
      </c>
      <c r="T422" s="8">
        <v>6</v>
      </c>
      <c r="U422" s="8" t="str">
        <f t="shared" si="36"/>
        <v>June</v>
      </c>
      <c r="V422">
        <f t="shared" si="34"/>
        <v>6</v>
      </c>
      <c r="W422" s="8" t="str">
        <f t="shared" si="35"/>
        <v>June</v>
      </c>
    </row>
    <row r="423" spans="1:23" x14ac:dyDescent="0.55000000000000004">
      <c r="A423" t="str">
        <f t="shared" si="33"/>
        <v>JuneJuneChina - DECI NC</v>
      </c>
      <c r="B423" s="3" t="s">
        <v>20</v>
      </c>
      <c r="C423" s="4" t="s">
        <v>150</v>
      </c>
      <c r="D423" s="4" t="s">
        <v>1029</v>
      </c>
      <c r="E423" s="5">
        <v>43273</v>
      </c>
      <c r="F423" s="4" t="s">
        <v>842</v>
      </c>
      <c r="G423" s="4" t="s">
        <v>144</v>
      </c>
      <c r="H423" s="4" t="s">
        <v>1030</v>
      </c>
      <c r="I423" s="4" t="s">
        <v>646</v>
      </c>
      <c r="J423" s="4" t="s">
        <v>27</v>
      </c>
      <c r="K423" s="32">
        <v>7264.62</v>
      </c>
      <c r="L423" s="6">
        <v>0</v>
      </c>
      <c r="M423" s="6">
        <v>7264.62</v>
      </c>
      <c r="N423" s="6"/>
      <c r="O423" s="4" t="s">
        <v>144</v>
      </c>
      <c r="P423" s="3" t="s">
        <v>97</v>
      </c>
      <c r="Q423" s="8"/>
      <c r="R423" s="8"/>
      <c r="S423" s="9">
        <v>43252</v>
      </c>
      <c r="T423" s="8">
        <v>6</v>
      </c>
      <c r="U423" s="8" t="str">
        <f t="shared" si="36"/>
        <v>June</v>
      </c>
      <c r="V423">
        <f t="shared" si="34"/>
        <v>6</v>
      </c>
      <c r="W423" s="8" t="str">
        <f t="shared" si="35"/>
        <v>June</v>
      </c>
    </row>
    <row r="424" spans="1:23" x14ac:dyDescent="0.55000000000000004">
      <c r="A424" t="str">
        <f t="shared" si="33"/>
        <v>JuneJuneHong Kong - DCL KY</v>
      </c>
      <c r="B424" s="3" t="s">
        <v>20</v>
      </c>
      <c r="C424" s="4" t="s">
        <v>150</v>
      </c>
      <c r="D424" s="4" t="s">
        <v>1031</v>
      </c>
      <c r="E424" s="5">
        <v>43273</v>
      </c>
      <c r="F424" s="4" t="s">
        <v>842</v>
      </c>
      <c r="G424" s="4" t="s">
        <v>148</v>
      </c>
      <c r="H424" s="4" t="s">
        <v>1032</v>
      </c>
      <c r="I424" s="4" t="s">
        <v>646</v>
      </c>
      <c r="J424" s="4" t="s">
        <v>27</v>
      </c>
      <c r="K424" s="32">
        <v>4242.34</v>
      </c>
      <c r="L424" s="6">
        <v>0</v>
      </c>
      <c r="M424" s="6">
        <v>4242.34</v>
      </c>
      <c r="N424" s="6"/>
      <c r="O424" s="4" t="s">
        <v>148</v>
      </c>
      <c r="P424" t="s">
        <v>39</v>
      </c>
      <c r="Q424" s="8"/>
      <c r="R424" s="8"/>
      <c r="S424" s="9">
        <v>43252</v>
      </c>
      <c r="T424" s="8">
        <v>6</v>
      </c>
      <c r="U424" s="8" t="str">
        <f t="shared" si="36"/>
        <v>June</v>
      </c>
      <c r="V424">
        <f t="shared" si="34"/>
        <v>6</v>
      </c>
      <c r="W424" s="8" t="str">
        <f t="shared" si="35"/>
        <v>June</v>
      </c>
    </row>
    <row r="425" spans="1:23" x14ac:dyDescent="0.55000000000000004">
      <c r="A425" t="str">
        <f t="shared" si="33"/>
        <v>JuneJuneHong Kong - Flex IL</v>
      </c>
      <c r="B425" s="3" t="s">
        <v>20</v>
      </c>
      <c r="C425" s="4" t="s">
        <v>150</v>
      </c>
      <c r="D425" s="4" t="s">
        <v>1033</v>
      </c>
      <c r="E425" s="5">
        <v>43280</v>
      </c>
      <c r="F425" s="4" t="s">
        <v>842</v>
      </c>
      <c r="G425" s="4" t="s">
        <v>1034</v>
      </c>
      <c r="H425" s="4" t="s">
        <v>1035</v>
      </c>
      <c r="I425" s="4" t="s">
        <v>646</v>
      </c>
      <c r="J425" s="4" t="s">
        <v>27</v>
      </c>
      <c r="K425" s="32">
        <v>8642.42</v>
      </c>
      <c r="L425" s="6">
        <v>0</v>
      </c>
      <c r="M425" s="6">
        <v>8642.42</v>
      </c>
      <c r="N425" s="6"/>
      <c r="O425" s="4" t="s">
        <v>1034</v>
      </c>
      <c r="P425" t="s">
        <v>111</v>
      </c>
      <c r="Q425" s="8"/>
      <c r="R425" s="8"/>
      <c r="S425" s="9">
        <v>43252</v>
      </c>
      <c r="T425" s="8">
        <v>6</v>
      </c>
      <c r="U425" s="8" t="str">
        <f t="shared" si="36"/>
        <v>June</v>
      </c>
      <c r="V425">
        <f t="shared" si="34"/>
        <v>6</v>
      </c>
      <c r="W425" s="8" t="str">
        <f t="shared" si="35"/>
        <v>June</v>
      </c>
    </row>
    <row r="426" spans="1:23" x14ac:dyDescent="0.55000000000000004">
      <c r="A426" t="str">
        <f t="shared" si="33"/>
        <v>JuneJuneHong Kong - Flex IL</v>
      </c>
      <c r="B426" s="3" t="s">
        <v>20</v>
      </c>
      <c r="C426" s="4" t="s">
        <v>150</v>
      </c>
      <c r="D426" s="4" t="s">
        <v>1036</v>
      </c>
      <c r="E426" s="5">
        <v>43280</v>
      </c>
      <c r="F426" s="4" t="s">
        <v>842</v>
      </c>
      <c r="G426" s="4" t="s">
        <v>1034</v>
      </c>
      <c r="H426" s="4" t="s">
        <v>1037</v>
      </c>
      <c r="I426" s="4" t="s">
        <v>646</v>
      </c>
      <c r="J426" s="4" t="s">
        <v>27</v>
      </c>
      <c r="K426" s="32">
        <v>14622.09</v>
      </c>
      <c r="L426" s="6">
        <v>0</v>
      </c>
      <c r="M426" s="6">
        <v>14622.09</v>
      </c>
      <c r="N426" s="6"/>
      <c r="O426" s="4" t="s">
        <v>1034</v>
      </c>
      <c r="P426" t="s">
        <v>111</v>
      </c>
      <c r="Q426" s="8"/>
      <c r="R426" s="8"/>
      <c r="S426" s="9">
        <v>43252</v>
      </c>
      <c r="T426" s="8">
        <v>6</v>
      </c>
      <c r="U426" s="8" t="str">
        <f t="shared" si="36"/>
        <v>June</v>
      </c>
      <c r="V426">
        <f t="shared" si="34"/>
        <v>6</v>
      </c>
      <c r="W426" s="8" t="str">
        <f t="shared" si="35"/>
        <v>June</v>
      </c>
    </row>
    <row r="427" spans="1:23" x14ac:dyDescent="0.55000000000000004">
      <c r="A427" t="str">
        <f t="shared" si="33"/>
        <v>JuneJuneChina - DCL KY</v>
      </c>
      <c r="B427" s="3" t="s">
        <v>20</v>
      </c>
      <c r="C427" s="4" t="s">
        <v>150</v>
      </c>
      <c r="D427" s="4" t="s">
        <v>1038</v>
      </c>
      <c r="E427" s="5">
        <v>43280</v>
      </c>
      <c r="F427" s="4" t="s">
        <v>842</v>
      </c>
      <c r="G427" s="4" t="s">
        <v>1039</v>
      </c>
      <c r="H427" s="4" t="s">
        <v>1040</v>
      </c>
      <c r="I427" s="4" t="s">
        <v>646</v>
      </c>
      <c r="J427" s="4" t="s">
        <v>27</v>
      </c>
      <c r="K427" s="32">
        <v>106557.88</v>
      </c>
      <c r="L427" s="6">
        <v>0</v>
      </c>
      <c r="M427" s="6">
        <v>106557.88</v>
      </c>
      <c r="N427" s="6"/>
      <c r="O427" s="4" t="s">
        <v>1039</v>
      </c>
      <c r="P427" s="3" t="s">
        <v>82</v>
      </c>
      <c r="Q427" s="8"/>
      <c r="R427" s="8"/>
      <c r="S427" s="9">
        <v>43252</v>
      </c>
      <c r="T427" s="8">
        <v>6</v>
      </c>
      <c r="U427" s="8" t="str">
        <f t="shared" si="36"/>
        <v>June</v>
      </c>
      <c r="V427">
        <f t="shared" si="34"/>
        <v>6</v>
      </c>
      <c r="W427" s="8" t="str">
        <f t="shared" si="35"/>
        <v>June</v>
      </c>
    </row>
    <row r="428" spans="1:23" x14ac:dyDescent="0.55000000000000004">
      <c r="A428" t="str">
        <f t="shared" si="33"/>
        <v>JuneJuneChina - DECI NC</v>
      </c>
      <c r="B428" s="3" t="s">
        <v>20</v>
      </c>
      <c r="C428" s="4" t="s">
        <v>150</v>
      </c>
      <c r="D428" s="4" t="s">
        <v>1041</v>
      </c>
      <c r="E428" s="5">
        <v>43281</v>
      </c>
      <c r="F428" s="4" t="s">
        <v>842</v>
      </c>
      <c r="G428" s="4" t="s">
        <v>1042</v>
      </c>
      <c r="H428" s="4" t="s">
        <v>1043</v>
      </c>
      <c r="I428" s="4" t="s">
        <v>646</v>
      </c>
      <c r="J428" s="4" t="s">
        <v>27</v>
      </c>
      <c r="K428" s="32">
        <v>5982.05</v>
      </c>
      <c r="L428" s="6">
        <v>0</v>
      </c>
      <c r="M428" s="6">
        <v>5982.05</v>
      </c>
      <c r="N428" s="6"/>
      <c r="O428" s="4" t="s">
        <v>1042</v>
      </c>
      <c r="P428" s="3" t="s">
        <v>97</v>
      </c>
      <c r="Q428" s="8"/>
      <c r="R428" s="8"/>
      <c r="S428" s="9">
        <v>43252</v>
      </c>
      <c r="T428" s="8">
        <v>6</v>
      </c>
      <c r="U428" s="8" t="str">
        <f t="shared" si="36"/>
        <v>June</v>
      </c>
      <c r="V428">
        <f t="shared" si="34"/>
        <v>6</v>
      </c>
      <c r="W428" s="8" t="str">
        <f t="shared" si="35"/>
        <v>June</v>
      </c>
    </row>
    <row r="429" spans="1:23" x14ac:dyDescent="0.55000000000000004">
      <c r="A429" t="str">
        <f t="shared" si="33"/>
        <v>JuneJuneTaiwan - DCL KY</v>
      </c>
      <c r="B429" s="3" t="s">
        <v>20</v>
      </c>
      <c r="C429" s="4" t="s">
        <v>150</v>
      </c>
      <c r="D429" s="4" t="s">
        <v>1044</v>
      </c>
      <c r="E429" s="5">
        <v>43281</v>
      </c>
      <c r="F429" s="4" t="s">
        <v>842</v>
      </c>
      <c r="G429" s="4" t="s">
        <v>1045</v>
      </c>
      <c r="H429" s="4" t="s">
        <v>1046</v>
      </c>
      <c r="I429" s="4" t="s">
        <v>646</v>
      </c>
      <c r="J429" s="4" t="s">
        <v>27</v>
      </c>
      <c r="K429" s="32">
        <v>13479.41</v>
      </c>
      <c r="L429" s="6">
        <v>0</v>
      </c>
      <c r="M429" s="6">
        <v>13479.41</v>
      </c>
      <c r="N429" s="6"/>
      <c r="O429" s="4" t="s">
        <v>1045</v>
      </c>
      <c r="P429" t="s">
        <v>128</v>
      </c>
      <c r="Q429" s="8"/>
      <c r="R429" s="8"/>
      <c r="S429" s="9">
        <v>43252</v>
      </c>
      <c r="T429" s="8">
        <v>6</v>
      </c>
      <c r="U429" s="8" t="str">
        <f t="shared" si="36"/>
        <v>June</v>
      </c>
      <c r="V429">
        <f t="shared" si="34"/>
        <v>6</v>
      </c>
      <c r="W429" s="8" t="str">
        <f t="shared" si="35"/>
        <v>June</v>
      </c>
    </row>
    <row r="430" spans="1:23" x14ac:dyDescent="0.55000000000000004">
      <c r="A430" t="str">
        <f t="shared" si="33"/>
        <v>JuneJuneChina - DCL KY</v>
      </c>
      <c r="B430" s="3" t="s">
        <v>20</v>
      </c>
      <c r="C430" s="4" t="s">
        <v>150</v>
      </c>
      <c r="D430" s="4" t="s">
        <v>1047</v>
      </c>
      <c r="E430" s="5">
        <v>43281</v>
      </c>
      <c r="F430" s="4" t="s">
        <v>842</v>
      </c>
      <c r="G430" s="4" t="s">
        <v>1048</v>
      </c>
      <c r="H430" s="4" t="s">
        <v>1049</v>
      </c>
      <c r="I430" s="4" t="s">
        <v>646</v>
      </c>
      <c r="J430" s="4" t="s">
        <v>27</v>
      </c>
      <c r="K430" s="32">
        <v>2529.36</v>
      </c>
      <c r="L430" s="6">
        <v>0</v>
      </c>
      <c r="M430" s="6">
        <v>2529.36</v>
      </c>
      <c r="N430" s="6"/>
      <c r="O430" s="4" t="s">
        <v>1048</v>
      </c>
      <c r="P430" s="3" t="s">
        <v>82</v>
      </c>
      <c r="Q430" s="8"/>
      <c r="R430" s="8"/>
      <c r="S430" s="9">
        <v>43252</v>
      </c>
      <c r="T430" s="8">
        <v>6</v>
      </c>
      <c r="U430" s="8" t="str">
        <f t="shared" si="36"/>
        <v>June</v>
      </c>
      <c r="V430">
        <f t="shared" si="34"/>
        <v>6</v>
      </c>
      <c r="W430" s="8" t="str">
        <f t="shared" si="35"/>
        <v>June</v>
      </c>
    </row>
    <row r="431" spans="1:23" x14ac:dyDescent="0.55000000000000004">
      <c r="A431" t="str">
        <f t="shared" si="33"/>
        <v>JuneJuneAFG NC - DCL KY</v>
      </c>
      <c r="B431" s="3" t="s">
        <v>20</v>
      </c>
      <c r="C431" s="4" t="s">
        <v>241</v>
      </c>
      <c r="D431" s="4" t="s">
        <v>267</v>
      </c>
      <c r="E431" s="5">
        <v>43257</v>
      </c>
      <c r="F431" s="4" t="s">
        <v>842</v>
      </c>
      <c r="G431" s="4" t="s">
        <v>268</v>
      </c>
      <c r="H431" s="4" t="s">
        <v>269</v>
      </c>
      <c r="I431" s="4" t="s">
        <v>154</v>
      </c>
      <c r="J431" s="4" t="s">
        <v>172</v>
      </c>
      <c r="K431" s="6">
        <v>0</v>
      </c>
      <c r="L431" s="6">
        <v>3100</v>
      </c>
      <c r="M431" s="6">
        <v>-3100</v>
      </c>
      <c r="N431" s="6"/>
      <c r="O431" s="4"/>
      <c r="P431" s="8" t="s">
        <v>173</v>
      </c>
      <c r="Q431" s="8" t="s">
        <v>270</v>
      </c>
      <c r="R431" s="9">
        <v>43252</v>
      </c>
      <c r="S431" s="9">
        <v>43252</v>
      </c>
      <c r="T431" s="8">
        <v>6</v>
      </c>
      <c r="U431" s="8" t="str">
        <f t="shared" si="36"/>
        <v>June</v>
      </c>
      <c r="V431">
        <f t="shared" si="34"/>
        <v>6</v>
      </c>
      <c r="W431" s="8" t="str">
        <f t="shared" si="35"/>
        <v>June</v>
      </c>
    </row>
    <row r="432" spans="1:23" x14ac:dyDescent="0.55000000000000004">
      <c r="A432" t="str">
        <f t="shared" si="33"/>
        <v>JuneJuneAFG NC - DCL KY</v>
      </c>
      <c r="B432" s="3" t="s">
        <v>20</v>
      </c>
      <c r="C432" s="4" t="s">
        <v>241</v>
      </c>
      <c r="D432" s="4" t="s">
        <v>267</v>
      </c>
      <c r="E432" s="5">
        <v>43257</v>
      </c>
      <c r="F432" s="4" t="s">
        <v>842</v>
      </c>
      <c r="G432" s="4" t="s">
        <v>268</v>
      </c>
      <c r="H432" s="4" t="s">
        <v>269</v>
      </c>
      <c r="I432" s="4" t="s">
        <v>154</v>
      </c>
      <c r="J432" s="4" t="s">
        <v>172</v>
      </c>
      <c r="K432" s="6">
        <v>0</v>
      </c>
      <c r="L432" s="6">
        <v>3100</v>
      </c>
      <c r="M432" s="6">
        <v>-3100</v>
      </c>
      <c r="N432" s="6"/>
      <c r="O432" s="4"/>
      <c r="P432" s="8" t="s">
        <v>173</v>
      </c>
      <c r="Q432" s="8" t="s">
        <v>271</v>
      </c>
      <c r="R432" s="9">
        <v>43252</v>
      </c>
      <c r="S432" s="9">
        <v>43252</v>
      </c>
      <c r="T432" s="8">
        <v>6</v>
      </c>
      <c r="U432" s="8" t="str">
        <f t="shared" si="36"/>
        <v>June</v>
      </c>
      <c r="V432">
        <f t="shared" si="34"/>
        <v>6</v>
      </c>
      <c r="W432" s="8" t="str">
        <f t="shared" si="35"/>
        <v>June</v>
      </c>
    </row>
    <row r="433" spans="1:23" x14ac:dyDescent="0.55000000000000004">
      <c r="A433" t="str">
        <f t="shared" si="33"/>
        <v>JuneJuneAFG NC - DCL KY</v>
      </c>
      <c r="B433" s="3" t="s">
        <v>20</v>
      </c>
      <c r="C433" s="4" t="s">
        <v>241</v>
      </c>
      <c r="D433" s="4" t="s">
        <v>267</v>
      </c>
      <c r="E433" s="5">
        <v>43257</v>
      </c>
      <c r="F433" s="4" t="s">
        <v>842</v>
      </c>
      <c r="G433" s="4" t="s">
        <v>268</v>
      </c>
      <c r="H433" s="4" t="s">
        <v>269</v>
      </c>
      <c r="I433" s="4" t="s">
        <v>154</v>
      </c>
      <c r="J433" s="4" t="s">
        <v>172</v>
      </c>
      <c r="K433" s="6">
        <v>0</v>
      </c>
      <c r="L433" s="6">
        <v>3100</v>
      </c>
      <c r="M433" s="6">
        <v>-3100</v>
      </c>
      <c r="N433" s="6"/>
      <c r="O433" s="4"/>
      <c r="P433" s="8" t="s">
        <v>173</v>
      </c>
      <c r="Q433" s="8" t="s">
        <v>272</v>
      </c>
      <c r="R433" s="9">
        <v>43252</v>
      </c>
      <c r="S433" s="9">
        <v>43252</v>
      </c>
      <c r="T433" s="8">
        <v>6</v>
      </c>
      <c r="U433" s="8" t="str">
        <f t="shared" si="36"/>
        <v>June</v>
      </c>
      <c r="V433">
        <f t="shared" si="34"/>
        <v>6</v>
      </c>
      <c r="W433" s="8" t="str">
        <f t="shared" si="35"/>
        <v>June</v>
      </c>
    </row>
    <row r="434" spans="1:23" x14ac:dyDescent="0.55000000000000004">
      <c r="A434" t="str">
        <f t="shared" si="33"/>
        <v>JuneJuneAFG NC - DCL KY</v>
      </c>
      <c r="B434" s="3" t="s">
        <v>20</v>
      </c>
      <c r="C434" s="4" t="s">
        <v>241</v>
      </c>
      <c r="D434" s="4" t="s">
        <v>267</v>
      </c>
      <c r="E434" s="5">
        <v>43257</v>
      </c>
      <c r="F434" s="4" t="s">
        <v>842</v>
      </c>
      <c r="G434" s="4" t="s">
        <v>268</v>
      </c>
      <c r="H434" s="4" t="s">
        <v>269</v>
      </c>
      <c r="I434" s="4" t="s">
        <v>154</v>
      </c>
      <c r="J434" s="4" t="s">
        <v>172</v>
      </c>
      <c r="K434" s="6">
        <v>0</v>
      </c>
      <c r="L434" s="6">
        <v>6000</v>
      </c>
      <c r="M434" s="6">
        <v>-6000</v>
      </c>
      <c r="N434" s="6"/>
      <c r="O434" s="4"/>
      <c r="P434" s="8" t="s">
        <v>173</v>
      </c>
      <c r="Q434" s="8" t="s">
        <v>273</v>
      </c>
      <c r="R434" s="9">
        <v>43252</v>
      </c>
      <c r="S434" s="9">
        <v>43252</v>
      </c>
      <c r="T434" s="8">
        <v>6</v>
      </c>
      <c r="U434" s="8" t="str">
        <f t="shared" si="36"/>
        <v>June</v>
      </c>
      <c r="V434">
        <f t="shared" si="34"/>
        <v>6</v>
      </c>
      <c r="W434" s="8" t="str">
        <f t="shared" si="35"/>
        <v>June</v>
      </c>
    </row>
    <row r="435" spans="1:23" x14ac:dyDescent="0.55000000000000004">
      <c r="A435" t="str">
        <f t="shared" si="33"/>
        <v>JuneJuneAFG NC - DCL KY</v>
      </c>
      <c r="B435" s="3" t="s">
        <v>20</v>
      </c>
      <c r="C435" s="4" t="s">
        <v>241</v>
      </c>
      <c r="D435" s="4" t="s">
        <v>267</v>
      </c>
      <c r="E435" s="5">
        <v>43264</v>
      </c>
      <c r="F435" s="4" t="s">
        <v>842</v>
      </c>
      <c r="G435" s="4" t="s">
        <v>268</v>
      </c>
      <c r="H435" s="4" t="s">
        <v>269</v>
      </c>
      <c r="I435" s="4" t="s">
        <v>154</v>
      </c>
      <c r="J435" s="4" t="s">
        <v>172</v>
      </c>
      <c r="K435" s="6">
        <v>0</v>
      </c>
      <c r="L435" s="6">
        <v>1550</v>
      </c>
      <c r="M435" s="6">
        <v>-1550</v>
      </c>
      <c r="N435" s="6"/>
      <c r="O435" s="4"/>
      <c r="P435" s="8" t="s">
        <v>173</v>
      </c>
      <c r="Q435" s="8" t="s">
        <v>274</v>
      </c>
      <c r="R435" s="9">
        <v>43252</v>
      </c>
      <c r="S435" s="9">
        <v>43252</v>
      </c>
      <c r="T435" s="8">
        <v>6</v>
      </c>
      <c r="U435" s="8" t="str">
        <f t="shared" si="36"/>
        <v>June</v>
      </c>
      <c r="V435">
        <f t="shared" si="34"/>
        <v>6</v>
      </c>
      <c r="W435" s="8" t="str">
        <f t="shared" si="35"/>
        <v>June</v>
      </c>
    </row>
    <row r="436" spans="1:23" x14ac:dyDescent="0.55000000000000004">
      <c r="A436" t="str">
        <f t="shared" si="33"/>
        <v>JuneJuneAFG NC - DCL KY</v>
      </c>
      <c r="B436" s="3" t="s">
        <v>20</v>
      </c>
      <c r="C436" s="4" t="s">
        <v>241</v>
      </c>
      <c r="D436" s="4" t="s">
        <v>267</v>
      </c>
      <c r="E436" s="5">
        <v>43262</v>
      </c>
      <c r="F436" s="4" t="s">
        <v>842</v>
      </c>
      <c r="G436" s="4" t="s">
        <v>268</v>
      </c>
      <c r="H436" s="4" t="s">
        <v>269</v>
      </c>
      <c r="I436" s="4" t="s">
        <v>154</v>
      </c>
      <c r="J436" s="4" t="s">
        <v>172</v>
      </c>
      <c r="K436" s="6">
        <v>0</v>
      </c>
      <c r="L436" s="6">
        <v>3100</v>
      </c>
      <c r="M436" s="6">
        <v>-3100</v>
      </c>
      <c r="N436" s="6"/>
      <c r="O436" s="4"/>
      <c r="P436" s="8" t="s">
        <v>173</v>
      </c>
      <c r="Q436" s="8" t="s">
        <v>275</v>
      </c>
      <c r="R436" s="9">
        <v>43252</v>
      </c>
      <c r="S436" s="9">
        <v>43252</v>
      </c>
      <c r="T436" s="8">
        <v>6</v>
      </c>
      <c r="U436" s="8" t="str">
        <f t="shared" si="36"/>
        <v>June</v>
      </c>
      <c r="V436">
        <f t="shared" si="34"/>
        <v>6</v>
      </c>
      <c r="W436" s="8" t="str">
        <f t="shared" si="35"/>
        <v>June</v>
      </c>
    </row>
    <row r="437" spans="1:23" x14ac:dyDescent="0.55000000000000004">
      <c r="A437" t="str">
        <f t="shared" si="33"/>
        <v>JuneJuneAFG NC - DCL KY</v>
      </c>
      <c r="B437" s="3" t="s">
        <v>20</v>
      </c>
      <c r="C437" s="4" t="s">
        <v>241</v>
      </c>
      <c r="D437" s="4" t="s">
        <v>267</v>
      </c>
      <c r="E437" s="5">
        <v>43262</v>
      </c>
      <c r="F437" s="4" t="s">
        <v>842</v>
      </c>
      <c r="G437" s="4" t="s">
        <v>268</v>
      </c>
      <c r="H437" s="4" t="s">
        <v>269</v>
      </c>
      <c r="I437" s="4" t="s">
        <v>154</v>
      </c>
      <c r="J437" s="4" t="s">
        <v>172</v>
      </c>
      <c r="K437" s="6">
        <v>0</v>
      </c>
      <c r="L437" s="6">
        <v>3100</v>
      </c>
      <c r="M437" s="6">
        <v>-3100</v>
      </c>
      <c r="N437" s="6"/>
      <c r="O437" s="4"/>
      <c r="P437" s="8" t="s">
        <v>173</v>
      </c>
      <c r="Q437" s="8" t="s">
        <v>276</v>
      </c>
      <c r="R437" s="9">
        <v>43252</v>
      </c>
      <c r="S437" s="9">
        <v>43252</v>
      </c>
      <c r="T437" s="8">
        <v>6</v>
      </c>
      <c r="U437" s="8" t="str">
        <f t="shared" si="36"/>
        <v>June</v>
      </c>
      <c r="V437">
        <f t="shared" si="34"/>
        <v>6</v>
      </c>
      <c r="W437" s="8" t="str">
        <f t="shared" si="35"/>
        <v>June</v>
      </c>
    </row>
    <row r="438" spans="1:23" x14ac:dyDescent="0.55000000000000004">
      <c r="A438" t="str">
        <f t="shared" si="33"/>
        <v>JuneJuneAFG NC - DCL KY</v>
      </c>
      <c r="B438" s="3" t="s">
        <v>20</v>
      </c>
      <c r="C438" s="4" t="s">
        <v>241</v>
      </c>
      <c r="D438" s="4" t="s">
        <v>267</v>
      </c>
      <c r="E438" s="5">
        <v>43262</v>
      </c>
      <c r="F438" s="4" t="s">
        <v>842</v>
      </c>
      <c r="G438" s="4" t="s">
        <v>268</v>
      </c>
      <c r="H438" s="4" t="s">
        <v>269</v>
      </c>
      <c r="I438" s="4" t="s">
        <v>154</v>
      </c>
      <c r="J438" s="4" t="s">
        <v>172</v>
      </c>
      <c r="K438" s="6">
        <v>0</v>
      </c>
      <c r="L438" s="6">
        <v>4650</v>
      </c>
      <c r="M438" s="6">
        <v>-4650</v>
      </c>
      <c r="N438" s="6"/>
      <c r="O438" s="4"/>
      <c r="P438" s="8" t="s">
        <v>173</v>
      </c>
      <c r="Q438" s="8" t="s">
        <v>277</v>
      </c>
      <c r="R438" s="9">
        <v>43252</v>
      </c>
      <c r="S438" s="9">
        <v>43252</v>
      </c>
      <c r="T438" s="8">
        <v>6</v>
      </c>
      <c r="U438" s="8" t="str">
        <f t="shared" si="36"/>
        <v>June</v>
      </c>
      <c r="V438">
        <f t="shared" si="34"/>
        <v>6</v>
      </c>
      <c r="W438" s="8" t="str">
        <f t="shared" si="35"/>
        <v>June</v>
      </c>
    </row>
    <row r="439" spans="1:23" x14ac:dyDescent="0.55000000000000004">
      <c r="A439" t="str">
        <f t="shared" si="33"/>
        <v>JuneJuneAFG NC - DCL KY</v>
      </c>
      <c r="B439" s="3" t="s">
        <v>20</v>
      </c>
      <c r="C439" s="4" t="s">
        <v>241</v>
      </c>
      <c r="D439" s="4" t="s">
        <v>267</v>
      </c>
      <c r="E439" s="5">
        <v>43263</v>
      </c>
      <c r="F439" s="4" t="s">
        <v>842</v>
      </c>
      <c r="G439" s="4" t="s">
        <v>268</v>
      </c>
      <c r="H439" s="4" t="s">
        <v>269</v>
      </c>
      <c r="I439" s="4" t="s">
        <v>154</v>
      </c>
      <c r="J439" s="4" t="s">
        <v>172</v>
      </c>
      <c r="K439" s="6">
        <v>0</v>
      </c>
      <c r="L439" s="6">
        <v>4650</v>
      </c>
      <c r="M439" s="6">
        <v>-4650</v>
      </c>
      <c r="N439" s="6"/>
      <c r="O439" s="4"/>
      <c r="P439" s="8" t="s">
        <v>173</v>
      </c>
      <c r="Q439" s="8" t="s">
        <v>278</v>
      </c>
      <c r="R439" s="9">
        <v>43252</v>
      </c>
      <c r="S439" s="9">
        <v>43252</v>
      </c>
      <c r="T439" s="8">
        <v>6</v>
      </c>
      <c r="U439" s="8" t="str">
        <f t="shared" si="36"/>
        <v>June</v>
      </c>
      <c r="V439">
        <f t="shared" si="34"/>
        <v>6</v>
      </c>
      <c r="W439" s="8" t="str">
        <f t="shared" si="35"/>
        <v>June</v>
      </c>
    </row>
    <row r="440" spans="1:23" x14ac:dyDescent="0.55000000000000004">
      <c r="A440" t="str">
        <f t="shared" si="33"/>
        <v>JuneJuneAFG NC - DCL KY</v>
      </c>
      <c r="B440" s="3" t="s">
        <v>20</v>
      </c>
      <c r="C440" s="4" t="s">
        <v>241</v>
      </c>
      <c r="D440" s="4" t="s">
        <v>267</v>
      </c>
      <c r="E440" s="5">
        <v>43264</v>
      </c>
      <c r="F440" s="4" t="s">
        <v>842</v>
      </c>
      <c r="G440" s="4" t="s">
        <v>268</v>
      </c>
      <c r="H440" s="4" t="s">
        <v>269</v>
      </c>
      <c r="I440" s="4" t="s">
        <v>154</v>
      </c>
      <c r="J440" s="4" t="s">
        <v>172</v>
      </c>
      <c r="K440" s="6">
        <v>0</v>
      </c>
      <c r="L440" s="6">
        <v>3100</v>
      </c>
      <c r="M440" s="6">
        <v>-3100</v>
      </c>
      <c r="N440" s="6"/>
      <c r="O440" s="4"/>
      <c r="P440" s="8" t="s">
        <v>173</v>
      </c>
      <c r="Q440" s="8" t="s">
        <v>279</v>
      </c>
      <c r="R440" s="9">
        <v>43252</v>
      </c>
      <c r="S440" s="9">
        <v>43252</v>
      </c>
      <c r="T440" s="8">
        <v>6</v>
      </c>
      <c r="U440" s="8" t="str">
        <f t="shared" si="36"/>
        <v>June</v>
      </c>
      <c r="V440">
        <f t="shared" si="34"/>
        <v>6</v>
      </c>
      <c r="W440" s="8" t="str">
        <f t="shared" si="35"/>
        <v>June</v>
      </c>
    </row>
    <row r="441" spans="1:23" x14ac:dyDescent="0.55000000000000004">
      <c r="A441" t="str">
        <f t="shared" si="33"/>
        <v>JuneJunePhillips WI - DCL KY</v>
      </c>
      <c r="B441" s="3" t="s">
        <v>20</v>
      </c>
      <c r="C441" s="4" t="s">
        <v>241</v>
      </c>
      <c r="D441" s="4" t="s">
        <v>267</v>
      </c>
      <c r="E441" s="5">
        <v>43264</v>
      </c>
      <c r="F441" s="4" t="s">
        <v>842</v>
      </c>
      <c r="G441" s="4" t="s">
        <v>268</v>
      </c>
      <c r="H441" s="4" t="s">
        <v>269</v>
      </c>
      <c r="I441" s="4" t="s">
        <v>154</v>
      </c>
      <c r="J441" s="4" t="s">
        <v>172</v>
      </c>
      <c r="K441" s="6">
        <v>0</v>
      </c>
      <c r="L441" s="6">
        <v>541.87</v>
      </c>
      <c r="M441" s="6">
        <v>-541.87</v>
      </c>
      <c r="N441" s="6"/>
      <c r="O441" s="4"/>
      <c r="P441" s="8" t="s">
        <v>29</v>
      </c>
      <c r="Q441" s="8" t="s">
        <v>280</v>
      </c>
      <c r="R441" s="9">
        <v>43252</v>
      </c>
      <c r="S441" s="9">
        <v>43252</v>
      </c>
      <c r="T441" s="8">
        <v>6</v>
      </c>
      <c r="U441" s="8" t="str">
        <f t="shared" si="36"/>
        <v>June</v>
      </c>
      <c r="V441">
        <f t="shared" si="34"/>
        <v>6</v>
      </c>
      <c r="W441" s="8" t="str">
        <f t="shared" si="35"/>
        <v>June</v>
      </c>
    </row>
    <row r="442" spans="1:23" x14ac:dyDescent="0.55000000000000004">
      <c r="A442" t="str">
        <f t="shared" si="33"/>
        <v>JuneJuneAFG NC - DCL KY</v>
      </c>
      <c r="B442" s="3" t="s">
        <v>20</v>
      </c>
      <c r="C442" s="4" t="s">
        <v>241</v>
      </c>
      <c r="D442" s="4" t="s">
        <v>267</v>
      </c>
      <c r="E442" s="5">
        <v>43269</v>
      </c>
      <c r="F442" s="4" t="s">
        <v>842</v>
      </c>
      <c r="G442" s="4" t="s">
        <v>268</v>
      </c>
      <c r="H442" s="4" t="s">
        <v>269</v>
      </c>
      <c r="I442" s="4" t="s">
        <v>154</v>
      </c>
      <c r="J442" s="4" t="s">
        <v>172</v>
      </c>
      <c r="K442" s="6">
        <v>0</v>
      </c>
      <c r="L442" s="6">
        <v>3100</v>
      </c>
      <c r="M442" s="6">
        <v>-3100</v>
      </c>
      <c r="N442" s="6"/>
      <c r="O442" s="4"/>
      <c r="P442" s="8" t="s">
        <v>173</v>
      </c>
      <c r="Q442" s="8" t="s">
        <v>281</v>
      </c>
      <c r="R442" s="9">
        <v>43252</v>
      </c>
      <c r="S442" s="9">
        <v>43252</v>
      </c>
      <c r="T442" s="8">
        <v>6</v>
      </c>
      <c r="U442" s="8" t="str">
        <f t="shared" si="36"/>
        <v>June</v>
      </c>
      <c r="V442">
        <f t="shared" si="34"/>
        <v>6</v>
      </c>
      <c r="W442" s="8" t="str">
        <f t="shared" si="35"/>
        <v>June</v>
      </c>
    </row>
    <row r="443" spans="1:23" x14ac:dyDescent="0.55000000000000004">
      <c r="A443" t="str">
        <f t="shared" si="33"/>
        <v>JuneJuneAFG NC - DCL KY</v>
      </c>
      <c r="B443" s="3" t="s">
        <v>20</v>
      </c>
      <c r="C443" s="4" t="s">
        <v>241</v>
      </c>
      <c r="D443" s="4" t="s">
        <v>267</v>
      </c>
      <c r="E443" s="5">
        <v>43270</v>
      </c>
      <c r="F443" s="4" t="s">
        <v>842</v>
      </c>
      <c r="G443" s="4" t="s">
        <v>268</v>
      </c>
      <c r="H443" s="4" t="s">
        <v>269</v>
      </c>
      <c r="I443" s="4" t="s">
        <v>154</v>
      </c>
      <c r="J443" s="4" t="s">
        <v>172</v>
      </c>
      <c r="K443" s="6">
        <v>0</v>
      </c>
      <c r="L443" s="6">
        <v>7150</v>
      </c>
      <c r="M443" s="6">
        <v>-7150</v>
      </c>
      <c r="N443" s="6"/>
      <c r="O443" s="4"/>
      <c r="P443" s="8" t="s">
        <v>173</v>
      </c>
      <c r="Q443" s="8" t="s">
        <v>282</v>
      </c>
      <c r="R443" s="9">
        <v>43252</v>
      </c>
      <c r="S443" s="9">
        <v>43252</v>
      </c>
      <c r="T443" s="8">
        <v>6</v>
      </c>
      <c r="U443" s="8" t="str">
        <f t="shared" ref="U443:U472" si="37">IF(T443=6,"June",IF(T443=5,"May",IF(T443=4,"April",IF(T443=3,"March",IF(T443=7,"July",0)))))</f>
        <v>June</v>
      </c>
      <c r="V443">
        <f t="shared" si="34"/>
        <v>6</v>
      </c>
      <c r="W443" s="8" t="str">
        <f t="shared" si="35"/>
        <v>June</v>
      </c>
    </row>
    <row r="444" spans="1:23" x14ac:dyDescent="0.55000000000000004">
      <c r="A444" t="str">
        <f t="shared" si="33"/>
        <v>JuneJuneDECI NC - DCL KY</v>
      </c>
      <c r="B444" s="3" t="s">
        <v>20</v>
      </c>
      <c r="C444" s="4" t="s">
        <v>241</v>
      </c>
      <c r="D444" s="4" t="s">
        <v>267</v>
      </c>
      <c r="E444" s="5">
        <v>43270</v>
      </c>
      <c r="F444" s="4" t="s">
        <v>842</v>
      </c>
      <c r="G444" s="4" t="s">
        <v>268</v>
      </c>
      <c r="H444" s="4" t="s">
        <v>269</v>
      </c>
      <c r="I444" s="4" t="s">
        <v>154</v>
      </c>
      <c r="J444" s="4" t="s">
        <v>172</v>
      </c>
      <c r="K444" s="6">
        <v>0</v>
      </c>
      <c r="L444" s="6">
        <v>7150</v>
      </c>
      <c r="M444" s="6">
        <v>-7150</v>
      </c>
      <c r="N444" s="6"/>
      <c r="O444" s="4"/>
      <c r="P444" s="8" t="s">
        <v>178</v>
      </c>
      <c r="Q444" s="8" t="s">
        <v>283</v>
      </c>
      <c r="R444" s="9">
        <v>43252</v>
      </c>
      <c r="S444" s="9">
        <v>43252</v>
      </c>
      <c r="T444" s="8">
        <v>6</v>
      </c>
      <c r="U444" s="8" t="str">
        <f t="shared" si="37"/>
        <v>June</v>
      </c>
      <c r="V444">
        <f t="shared" si="34"/>
        <v>6</v>
      </c>
      <c r="W444" s="8" t="str">
        <f t="shared" si="35"/>
        <v>June</v>
      </c>
    </row>
    <row r="445" spans="1:23" x14ac:dyDescent="0.55000000000000004">
      <c r="A445" t="str">
        <f t="shared" si="33"/>
        <v>JuneJuneAFG NC - DCL KY</v>
      </c>
      <c r="B445" s="3" t="s">
        <v>20</v>
      </c>
      <c r="C445" s="4" t="s">
        <v>241</v>
      </c>
      <c r="D445" s="4" t="s">
        <v>267</v>
      </c>
      <c r="E445" s="5">
        <v>43270</v>
      </c>
      <c r="F445" s="4" t="s">
        <v>842</v>
      </c>
      <c r="G445" s="4" t="s">
        <v>268</v>
      </c>
      <c r="H445" s="4" t="s">
        <v>269</v>
      </c>
      <c r="I445" s="4" t="s">
        <v>154</v>
      </c>
      <c r="J445" s="4" t="s">
        <v>172</v>
      </c>
      <c r="K445" s="6">
        <v>0</v>
      </c>
      <c r="L445" s="6">
        <v>3100</v>
      </c>
      <c r="M445" s="6">
        <v>-3100</v>
      </c>
      <c r="N445" s="6"/>
      <c r="O445" s="4"/>
      <c r="P445" s="8" t="s">
        <v>173</v>
      </c>
      <c r="Q445" s="8" t="s">
        <v>284</v>
      </c>
      <c r="R445" s="9">
        <v>43252</v>
      </c>
      <c r="S445" s="9">
        <v>43252</v>
      </c>
      <c r="T445" s="8">
        <v>6</v>
      </c>
      <c r="U445" s="8" t="str">
        <f t="shared" si="37"/>
        <v>June</v>
      </c>
      <c r="V445">
        <f t="shared" si="34"/>
        <v>6</v>
      </c>
      <c r="W445" s="8" t="str">
        <f t="shared" si="35"/>
        <v>June</v>
      </c>
    </row>
    <row r="446" spans="1:23" x14ac:dyDescent="0.55000000000000004">
      <c r="A446" t="str">
        <f t="shared" si="33"/>
        <v>JuneJuneDECI NC - DCL KY</v>
      </c>
      <c r="B446" s="3" t="s">
        <v>20</v>
      </c>
      <c r="C446" s="4" t="s">
        <v>241</v>
      </c>
      <c r="D446" s="4" t="s">
        <v>267</v>
      </c>
      <c r="E446" s="5">
        <v>43270</v>
      </c>
      <c r="F446" s="4" t="s">
        <v>842</v>
      </c>
      <c r="G446" s="4" t="s">
        <v>268</v>
      </c>
      <c r="H446" s="4" t="s">
        <v>269</v>
      </c>
      <c r="I446" s="4" t="s">
        <v>154</v>
      </c>
      <c r="J446" s="4" t="s">
        <v>172</v>
      </c>
      <c r="K446" s="6">
        <v>0</v>
      </c>
      <c r="L446" s="6">
        <v>8500</v>
      </c>
      <c r="M446" s="6">
        <v>-8500</v>
      </c>
      <c r="N446" s="6"/>
      <c r="O446" s="4"/>
      <c r="P446" s="8" t="s">
        <v>178</v>
      </c>
      <c r="Q446" s="8" t="s">
        <v>285</v>
      </c>
      <c r="R446" s="9">
        <v>43252</v>
      </c>
      <c r="S446" s="9">
        <v>43252</v>
      </c>
      <c r="T446" s="8">
        <v>6</v>
      </c>
      <c r="U446" s="8" t="str">
        <f t="shared" si="37"/>
        <v>June</v>
      </c>
      <c r="V446">
        <f t="shared" si="34"/>
        <v>6</v>
      </c>
      <c r="W446" s="8" t="str">
        <f t="shared" si="35"/>
        <v>June</v>
      </c>
    </row>
    <row r="447" spans="1:23" x14ac:dyDescent="0.55000000000000004">
      <c r="A447" t="str">
        <f t="shared" si="33"/>
        <v>JuneJuneAFG NC - DCL KY</v>
      </c>
      <c r="B447" s="3" t="s">
        <v>20</v>
      </c>
      <c r="C447" s="4" t="s">
        <v>241</v>
      </c>
      <c r="D447" s="4" t="s">
        <v>267</v>
      </c>
      <c r="E447" s="5">
        <v>43270</v>
      </c>
      <c r="F447" s="4" t="s">
        <v>842</v>
      </c>
      <c r="G447" s="4" t="s">
        <v>268</v>
      </c>
      <c r="H447" s="4" t="s">
        <v>269</v>
      </c>
      <c r="I447" s="4" t="s">
        <v>154</v>
      </c>
      <c r="J447" s="4" t="s">
        <v>172</v>
      </c>
      <c r="K447" s="6">
        <v>0</v>
      </c>
      <c r="L447" s="6">
        <v>3100</v>
      </c>
      <c r="M447" s="6">
        <v>-3100</v>
      </c>
      <c r="N447" s="6"/>
      <c r="O447" s="4"/>
      <c r="P447" s="8" t="s">
        <v>173</v>
      </c>
      <c r="Q447" s="8" t="s">
        <v>286</v>
      </c>
      <c r="R447" s="9">
        <v>43252</v>
      </c>
      <c r="S447" s="9">
        <v>43252</v>
      </c>
      <c r="T447" s="8">
        <v>6</v>
      </c>
      <c r="U447" s="8" t="str">
        <f t="shared" si="37"/>
        <v>June</v>
      </c>
      <c r="V447">
        <f t="shared" si="34"/>
        <v>6</v>
      </c>
      <c r="W447" s="8" t="str">
        <f t="shared" si="35"/>
        <v>June</v>
      </c>
    </row>
    <row r="448" spans="1:23" x14ac:dyDescent="0.55000000000000004">
      <c r="A448" t="str">
        <f t="shared" si="33"/>
        <v>JuneJuneAFG NC - DCL KY</v>
      </c>
      <c r="B448" s="3" t="s">
        <v>20</v>
      </c>
      <c r="C448" s="4" t="s">
        <v>241</v>
      </c>
      <c r="D448" s="4" t="s">
        <v>267</v>
      </c>
      <c r="E448" s="5">
        <v>43271</v>
      </c>
      <c r="F448" s="4" t="s">
        <v>842</v>
      </c>
      <c r="G448" s="4" t="s">
        <v>268</v>
      </c>
      <c r="H448" s="4" t="s">
        <v>269</v>
      </c>
      <c r="I448" s="4" t="s">
        <v>154</v>
      </c>
      <c r="J448" s="4" t="s">
        <v>172</v>
      </c>
      <c r="K448" s="6">
        <v>0</v>
      </c>
      <c r="L448" s="6">
        <v>3450</v>
      </c>
      <c r="M448" s="6">
        <v>-3450</v>
      </c>
      <c r="N448" s="6"/>
      <c r="O448" s="4"/>
      <c r="P448" s="8" t="s">
        <v>173</v>
      </c>
      <c r="Q448" s="8" t="s">
        <v>287</v>
      </c>
      <c r="R448" s="9">
        <v>43252</v>
      </c>
      <c r="S448" s="9">
        <v>43252</v>
      </c>
      <c r="T448" s="8">
        <v>6</v>
      </c>
      <c r="U448" s="8" t="str">
        <f t="shared" si="37"/>
        <v>June</v>
      </c>
      <c r="V448">
        <f t="shared" si="34"/>
        <v>6</v>
      </c>
      <c r="W448" s="8" t="str">
        <f t="shared" si="35"/>
        <v>June</v>
      </c>
    </row>
    <row r="449" spans="1:23" x14ac:dyDescent="0.55000000000000004">
      <c r="A449" t="str">
        <f t="shared" si="33"/>
        <v>JuneJuneAFG NC - DCL KY</v>
      </c>
      <c r="B449" s="3" t="s">
        <v>20</v>
      </c>
      <c r="C449" s="4" t="s">
        <v>241</v>
      </c>
      <c r="D449" s="4" t="s">
        <v>267</v>
      </c>
      <c r="E449" s="5">
        <v>43272</v>
      </c>
      <c r="F449" s="4" t="s">
        <v>842</v>
      </c>
      <c r="G449" s="4" t="s">
        <v>268</v>
      </c>
      <c r="H449" s="4" t="s">
        <v>269</v>
      </c>
      <c r="I449" s="4" t="s">
        <v>154</v>
      </c>
      <c r="J449" s="4" t="s">
        <v>172</v>
      </c>
      <c r="K449" s="6">
        <v>0</v>
      </c>
      <c r="L449" s="6">
        <v>5600</v>
      </c>
      <c r="M449" s="6">
        <v>-5600</v>
      </c>
      <c r="N449" s="6"/>
      <c r="O449" s="4"/>
      <c r="P449" s="8" t="s">
        <v>173</v>
      </c>
      <c r="Q449" s="8" t="s">
        <v>288</v>
      </c>
      <c r="R449" s="9">
        <v>43252</v>
      </c>
      <c r="S449" s="9">
        <v>43252</v>
      </c>
      <c r="T449" s="8">
        <v>6</v>
      </c>
      <c r="U449" s="8" t="str">
        <f t="shared" si="37"/>
        <v>June</v>
      </c>
      <c r="V449">
        <f t="shared" si="34"/>
        <v>6</v>
      </c>
      <c r="W449" s="8" t="str">
        <f t="shared" si="35"/>
        <v>June</v>
      </c>
    </row>
    <row r="450" spans="1:23" x14ac:dyDescent="0.55000000000000004">
      <c r="A450" t="str">
        <f t="shared" si="33"/>
        <v>JuneJuneAFG NC - DCL KY</v>
      </c>
      <c r="B450" s="3" t="s">
        <v>20</v>
      </c>
      <c r="C450" s="4" t="s">
        <v>241</v>
      </c>
      <c r="D450" s="4" t="s">
        <v>267</v>
      </c>
      <c r="E450" s="5">
        <v>43276</v>
      </c>
      <c r="F450" s="4" t="s">
        <v>842</v>
      </c>
      <c r="G450" s="4" t="s">
        <v>268</v>
      </c>
      <c r="H450" s="4" t="s">
        <v>269</v>
      </c>
      <c r="I450" s="4" t="s">
        <v>154</v>
      </c>
      <c r="J450" s="4" t="s">
        <v>172</v>
      </c>
      <c r="K450" s="6">
        <v>0</v>
      </c>
      <c r="L450" s="6">
        <v>4650</v>
      </c>
      <c r="M450" s="6">
        <v>-4650</v>
      </c>
      <c r="N450" s="6"/>
      <c r="O450" s="4"/>
      <c r="P450" s="8" t="s">
        <v>173</v>
      </c>
      <c r="Q450" s="8" t="s">
        <v>289</v>
      </c>
      <c r="R450" s="9">
        <v>43252</v>
      </c>
      <c r="S450" s="9">
        <v>43252</v>
      </c>
      <c r="T450" s="8">
        <v>6</v>
      </c>
      <c r="U450" s="8" t="str">
        <f t="shared" si="37"/>
        <v>June</v>
      </c>
      <c r="V450">
        <f t="shared" si="34"/>
        <v>6</v>
      </c>
      <c r="W450" s="8" t="str">
        <f t="shared" si="35"/>
        <v>June</v>
      </c>
    </row>
    <row r="451" spans="1:23" x14ac:dyDescent="0.55000000000000004">
      <c r="A451" t="str">
        <f t="shared" ref="A451:A472" si="38">U451&amp;W451&amp;P451</f>
        <v>JuneJuneAFG NC - DCL KY</v>
      </c>
      <c r="B451" s="3" t="s">
        <v>20</v>
      </c>
      <c r="C451" s="4" t="s">
        <v>241</v>
      </c>
      <c r="D451" s="4" t="s">
        <v>267</v>
      </c>
      <c r="E451" s="5">
        <v>43276</v>
      </c>
      <c r="F451" s="4" t="s">
        <v>842</v>
      </c>
      <c r="G451" s="4" t="s">
        <v>268</v>
      </c>
      <c r="H451" s="4" t="s">
        <v>269</v>
      </c>
      <c r="I451" s="4" t="s">
        <v>154</v>
      </c>
      <c r="J451" s="4" t="s">
        <v>172</v>
      </c>
      <c r="K451" s="6">
        <v>0</v>
      </c>
      <c r="L451" s="6">
        <v>4450</v>
      </c>
      <c r="M451" s="6">
        <v>-4450</v>
      </c>
      <c r="N451" s="6"/>
      <c r="O451" s="4"/>
      <c r="P451" s="8" t="s">
        <v>173</v>
      </c>
      <c r="Q451" s="8" t="s">
        <v>290</v>
      </c>
      <c r="R451" s="9">
        <v>43252</v>
      </c>
      <c r="S451" s="9">
        <v>43252</v>
      </c>
      <c r="T451" s="8">
        <v>6</v>
      </c>
      <c r="U451" s="8" t="str">
        <f t="shared" si="37"/>
        <v>June</v>
      </c>
      <c r="V451">
        <f t="shared" ref="V451:V471" si="39">MONTH(S451)</f>
        <v>6</v>
      </c>
      <c r="W451" s="8" t="str">
        <f t="shared" ref="W451:W472" si="40">IF(V451=6,"June",IF(V451=5,"May",IF(V451=4,"April",IF(V451=3,"March",IF(V451=7,"July",IF(V451=2,"February",0))))))</f>
        <v>June</v>
      </c>
    </row>
    <row r="452" spans="1:23" x14ac:dyDescent="0.55000000000000004">
      <c r="A452" t="str">
        <f t="shared" si="38"/>
        <v>JuneJuneAFG NC - DCL KY</v>
      </c>
      <c r="B452" s="3" t="s">
        <v>20</v>
      </c>
      <c r="C452" s="4" t="s">
        <v>241</v>
      </c>
      <c r="D452" s="4" t="s">
        <v>267</v>
      </c>
      <c r="E452" s="5">
        <v>43276</v>
      </c>
      <c r="F452" s="4" t="s">
        <v>842</v>
      </c>
      <c r="G452" s="4" t="s">
        <v>268</v>
      </c>
      <c r="H452" s="4" t="s">
        <v>269</v>
      </c>
      <c r="I452" s="4" t="s">
        <v>154</v>
      </c>
      <c r="J452" s="4" t="s">
        <v>172</v>
      </c>
      <c r="K452" s="6">
        <v>0</v>
      </c>
      <c r="L452" s="6">
        <v>7150</v>
      </c>
      <c r="M452" s="6">
        <v>-7150</v>
      </c>
      <c r="N452" s="6"/>
      <c r="O452" s="4"/>
      <c r="P452" s="8" t="s">
        <v>173</v>
      </c>
      <c r="Q452" s="8" t="s">
        <v>291</v>
      </c>
      <c r="R452" s="9">
        <v>43252</v>
      </c>
      <c r="S452" s="9">
        <v>43252</v>
      </c>
      <c r="T452" s="8">
        <v>6</v>
      </c>
      <c r="U452" s="8" t="str">
        <f t="shared" si="37"/>
        <v>June</v>
      </c>
      <c r="V452">
        <f t="shared" si="39"/>
        <v>6</v>
      </c>
      <c r="W452" s="8" t="str">
        <f t="shared" si="40"/>
        <v>June</v>
      </c>
    </row>
    <row r="453" spans="1:23" x14ac:dyDescent="0.55000000000000004">
      <c r="A453" t="str">
        <f t="shared" si="38"/>
        <v>JuneJuneAFG NC - DCL KY</v>
      </c>
      <c r="B453" s="3" t="s">
        <v>20</v>
      </c>
      <c r="C453" s="4" t="s">
        <v>241</v>
      </c>
      <c r="D453" s="4" t="s">
        <v>267</v>
      </c>
      <c r="E453" s="5">
        <v>43277</v>
      </c>
      <c r="F453" s="4" t="s">
        <v>842</v>
      </c>
      <c r="G453" s="4" t="s">
        <v>268</v>
      </c>
      <c r="H453" s="4" t="s">
        <v>269</v>
      </c>
      <c r="I453" s="4" t="s">
        <v>154</v>
      </c>
      <c r="J453" s="4" t="s">
        <v>172</v>
      </c>
      <c r="K453" s="6">
        <v>0</v>
      </c>
      <c r="L453" s="6">
        <v>4650</v>
      </c>
      <c r="M453" s="6">
        <v>-4650</v>
      </c>
      <c r="N453" s="6"/>
      <c r="O453" s="4"/>
      <c r="P453" s="8" t="s">
        <v>173</v>
      </c>
      <c r="Q453" s="8" t="s">
        <v>292</v>
      </c>
      <c r="R453" s="9">
        <v>43252</v>
      </c>
      <c r="S453" s="9">
        <v>43252</v>
      </c>
      <c r="T453" s="8">
        <v>6</v>
      </c>
      <c r="U453" s="8" t="str">
        <f t="shared" si="37"/>
        <v>June</v>
      </c>
      <c r="V453">
        <f t="shared" si="39"/>
        <v>6</v>
      </c>
      <c r="W453" s="8" t="str">
        <f t="shared" si="40"/>
        <v>June</v>
      </c>
    </row>
    <row r="454" spans="1:23" x14ac:dyDescent="0.55000000000000004">
      <c r="A454" t="str">
        <f t="shared" si="38"/>
        <v>JuneJuneAFG NC - DCL KY</v>
      </c>
      <c r="B454" s="3" t="s">
        <v>20</v>
      </c>
      <c r="C454" s="4" t="s">
        <v>241</v>
      </c>
      <c r="D454" s="4" t="s">
        <v>267</v>
      </c>
      <c r="E454" s="5">
        <v>43277</v>
      </c>
      <c r="F454" s="4" t="s">
        <v>842</v>
      </c>
      <c r="G454" s="4" t="s">
        <v>268</v>
      </c>
      <c r="H454" s="4" t="s">
        <v>269</v>
      </c>
      <c r="I454" s="4" t="s">
        <v>154</v>
      </c>
      <c r="J454" s="4" t="s">
        <v>172</v>
      </c>
      <c r="K454" s="6">
        <v>0</v>
      </c>
      <c r="L454" s="6">
        <v>3100</v>
      </c>
      <c r="M454" s="6">
        <v>-3100</v>
      </c>
      <c r="N454" s="6"/>
      <c r="O454" s="4"/>
      <c r="P454" s="8" t="s">
        <v>173</v>
      </c>
      <c r="Q454" s="8" t="s">
        <v>293</v>
      </c>
      <c r="R454" s="9">
        <v>43252</v>
      </c>
      <c r="S454" s="9">
        <v>43252</v>
      </c>
      <c r="T454" s="8">
        <v>6</v>
      </c>
      <c r="U454" s="8" t="str">
        <f t="shared" si="37"/>
        <v>June</v>
      </c>
      <c r="V454">
        <f t="shared" si="39"/>
        <v>6</v>
      </c>
      <c r="W454" s="8" t="str">
        <f t="shared" si="40"/>
        <v>June</v>
      </c>
    </row>
    <row r="455" spans="1:23" x14ac:dyDescent="0.55000000000000004">
      <c r="A455" t="str">
        <f t="shared" si="38"/>
        <v>JuneJuneAFG NC - DCL KY</v>
      </c>
      <c r="B455" s="3" t="s">
        <v>20</v>
      </c>
      <c r="C455" s="4" t="s">
        <v>241</v>
      </c>
      <c r="D455" s="4" t="s">
        <v>267</v>
      </c>
      <c r="E455" s="5">
        <v>43277</v>
      </c>
      <c r="F455" s="4" t="s">
        <v>842</v>
      </c>
      <c r="G455" s="4" t="s">
        <v>268</v>
      </c>
      <c r="H455" s="4" t="s">
        <v>269</v>
      </c>
      <c r="I455" s="4" t="s">
        <v>154</v>
      </c>
      <c r="J455" s="4" t="s">
        <v>172</v>
      </c>
      <c r="K455" s="6">
        <v>0</v>
      </c>
      <c r="L455" s="6">
        <v>3100</v>
      </c>
      <c r="M455" s="6">
        <v>-3100</v>
      </c>
      <c r="N455" s="6"/>
      <c r="O455" s="4"/>
      <c r="P455" s="8" t="s">
        <v>173</v>
      </c>
      <c r="Q455" s="8" t="s">
        <v>294</v>
      </c>
      <c r="R455" s="9">
        <v>43252</v>
      </c>
      <c r="S455" s="9">
        <v>43252</v>
      </c>
      <c r="T455" s="8">
        <v>6</v>
      </c>
      <c r="U455" s="8" t="str">
        <f t="shared" si="37"/>
        <v>June</v>
      </c>
      <c r="V455">
        <f t="shared" si="39"/>
        <v>6</v>
      </c>
      <c r="W455" s="8" t="str">
        <f t="shared" si="40"/>
        <v>June</v>
      </c>
    </row>
    <row r="456" spans="1:23" x14ac:dyDescent="0.55000000000000004">
      <c r="A456" t="str">
        <f t="shared" si="38"/>
        <v>JuneJuneAFG NC - DCL KY</v>
      </c>
      <c r="B456" s="3" t="s">
        <v>20</v>
      </c>
      <c r="C456" s="4" t="s">
        <v>241</v>
      </c>
      <c r="D456" s="4" t="s">
        <v>267</v>
      </c>
      <c r="E456" s="5">
        <v>43277</v>
      </c>
      <c r="F456" s="4" t="s">
        <v>842</v>
      </c>
      <c r="G456" s="4" t="s">
        <v>268</v>
      </c>
      <c r="H456" s="4" t="s">
        <v>269</v>
      </c>
      <c r="I456" s="4" t="s">
        <v>154</v>
      </c>
      <c r="J456" s="4" t="s">
        <v>172</v>
      </c>
      <c r="K456" s="6">
        <v>0</v>
      </c>
      <c r="L456" s="6">
        <v>12550</v>
      </c>
      <c r="M456" s="6">
        <v>-12550</v>
      </c>
      <c r="N456" s="6"/>
      <c r="O456" s="4"/>
      <c r="P456" s="8" t="s">
        <v>173</v>
      </c>
      <c r="Q456" s="8" t="s">
        <v>295</v>
      </c>
      <c r="R456" s="9">
        <v>43252</v>
      </c>
      <c r="S456" s="9">
        <v>43252</v>
      </c>
      <c r="T456" s="8">
        <v>6</v>
      </c>
      <c r="U456" s="8" t="str">
        <f t="shared" si="37"/>
        <v>June</v>
      </c>
      <c r="V456">
        <f t="shared" si="39"/>
        <v>6</v>
      </c>
      <c r="W456" s="8" t="str">
        <f t="shared" si="40"/>
        <v>June</v>
      </c>
    </row>
    <row r="457" spans="1:23" x14ac:dyDescent="0.55000000000000004">
      <c r="A457" t="str">
        <f t="shared" si="38"/>
        <v>JuneJuneAFG NC - DCL KY</v>
      </c>
      <c r="B457" s="3" t="s">
        <v>20</v>
      </c>
      <c r="C457" s="4" t="s">
        <v>241</v>
      </c>
      <c r="D457" s="4" t="s">
        <v>267</v>
      </c>
      <c r="E457" s="5">
        <v>43278</v>
      </c>
      <c r="F457" s="4" t="s">
        <v>842</v>
      </c>
      <c r="G457" s="4" t="s">
        <v>268</v>
      </c>
      <c r="H457" s="4" t="s">
        <v>269</v>
      </c>
      <c r="I457" s="4" t="s">
        <v>154</v>
      </c>
      <c r="J457" s="4" t="s">
        <v>172</v>
      </c>
      <c r="K457" s="6">
        <v>0</v>
      </c>
      <c r="L457" s="6">
        <v>6950</v>
      </c>
      <c r="M457" s="6">
        <v>-6950</v>
      </c>
      <c r="N457" s="6"/>
      <c r="O457" s="4"/>
      <c r="P457" s="8" t="s">
        <v>173</v>
      </c>
      <c r="Q457" s="8" t="s">
        <v>296</v>
      </c>
      <c r="R457" s="9">
        <v>43252</v>
      </c>
      <c r="S457" s="9">
        <v>43252</v>
      </c>
      <c r="T457" s="8">
        <v>6</v>
      </c>
      <c r="U457" s="8" t="str">
        <f t="shared" si="37"/>
        <v>June</v>
      </c>
      <c r="V457">
        <f t="shared" si="39"/>
        <v>6</v>
      </c>
      <c r="W457" s="8" t="str">
        <f t="shared" si="40"/>
        <v>June</v>
      </c>
    </row>
    <row r="458" spans="1:23" x14ac:dyDescent="0.55000000000000004">
      <c r="A458" t="str">
        <f t="shared" si="38"/>
        <v>JuneJunePhillips WI - DCL KY</v>
      </c>
      <c r="B458" s="3" t="s">
        <v>20</v>
      </c>
      <c r="C458" s="4" t="s">
        <v>241</v>
      </c>
      <c r="D458" s="4" t="s">
        <v>267</v>
      </c>
      <c r="E458" s="5">
        <v>43255</v>
      </c>
      <c r="F458" s="4" t="s">
        <v>842</v>
      </c>
      <c r="G458" s="4" t="s">
        <v>268</v>
      </c>
      <c r="H458" s="4" t="s">
        <v>269</v>
      </c>
      <c r="I458" s="4" t="s">
        <v>154</v>
      </c>
      <c r="J458" s="4" t="s">
        <v>172</v>
      </c>
      <c r="K458" s="6">
        <v>0</v>
      </c>
      <c r="L458" s="6">
        <v>5600</v>
      </c>
      <c r="M458" s="6">
        <v>-5600</v>
      </c>
      <c r="N458" s="6"/>
      <c r="O458" s="4"/>
      <c r="P458" s="8" t="s">
        <v>29</v>
      </c>
      <c r="Q458" s="8" t="s">
        <v>839</v>
      </c>
      <c r="R458" s="9">
        <v>43221</v>
      </c>
      <c r="S458" s="9">
        <v>43252</v>
      </c>
      <c r="T458" s="8">
        <v>6</v>
      </c>
      <c r="U458" s="8" t="str">
        <f t="shared" si="37"/>
        <v>June</v>
      </c>
      <c r="V458">
        <f t="shared" si="39"/>
        <v>6</v>
      </c>
      <c r="W458" s="8" t="str">
        <f t="shared" si="40"/>
        <v>June</v>
      </c>
    </row>
    <row r="459" spans="1:23" x14ac:dyDescent="0.55000000000000004">
      <c r="A459" t="str">
        <f t="shared" si="38"/>
        <v>JulyJuneSan Francisco - Canada</v>
      </c>
      <c r="B459" s="3" t="s">
        <v>20</v>
      </c>
      <c r="C459" s="4" t="s">
        <v>150</v>
      </c>
      <c r="D459" s="4" t="s">
        <v>957</v>
      </c>
      <c r="E459" s="5">
        <v>43291</v>
      </c>
      <c r="F459" s="4" t="s">
        <v>842</v>
      </c>
      <c r="G459" s="4" t="s">
        <v>958</v>
      </c>
      <c r="H459" s="4" t="s">
        <v>959</v>
      </c>
      <c r="I459" s="4" t="s">
        <v>154</v>
      </c>
      <c r="J459" s="4" t="s">
        <v>27</v>
      </c>
      <c r="K459" s="6">
        <v>307.51</v>
      </c>
      <c r="L459" s="6">
        <v>0</v>
      </c>
      <c r="M459" s="6">
        <v>307.51</v>
      </c>
      <c r="N459" s="6"/>
      <c r="O459" s="4" t="s">
        <v>958</v>
      </c>
      <c r="P459" s="3" t="s">
        <v>435</v>
      </c>
      <c r="Q459" s="8"/>
      <c r="R459" s="8"/>
      <c r="S459" s="9">
        <v>43252</v>
      </c>
      <c r="T459" s="8">
        <v>7</v>
      </c>
      <c r="U459" s="8" t="str">
        <f t="shared" si="37"/>
        <v>July</v>
      </c>
      <c r="V459">
        <f t="shared" si="39"/>
        <v>6</v>
      </c>
      <c r="W459" s="8" t="str">
        <f t="shared" si="40"/>
        <v>June</v>
      </c>
    </row>
    <row r="460" spans="1:23" x14ac:dyDescent="0.55000000000000004">
      <c r="A460" t="str">
        <f t="shared" si="38"/>
        <v>JulyMayChina - Flex IL</v>
      </c>
      <c r="B460" s="3" t="s">
        <v>20</v>
      </c>
      <c r="C460" s="4" t="s">
        <v>150</v>
      </c>
      <c r="D460" s="4" t="s">
        <v>961</v>
      </c>
      <c r="E460" s="5">
        <v>43291</v>
      </c>
      <c r="F460" s="4" t="s">
        <v>842</v>
      </c>
      <c r="G460" s="4" t="s">
        <v>891</v>
      </c>
      <c r="H460" s="4" t="s">
        <v>962</v>
      </c>
      <c r="I460" s="4" t="s">
        <v>154</v>
      </c>
      <c r="J460" s="4" t="s">
        <v>27</v>
      </c>
      <c r="K460" s="6">
        <v>1975.63</v>
      </c>
      <c r="L460" s="6">
        <v>0</v>
      </c>
      <c r="M460" s="6">
        <v>1975.63</v>
      </c>
      <c r="N460" s="6"/>
      <c r="O460" s="4" t="s">
        <v>891</v>
      </c>
      <c r="P460" s="3" t="s">
        <v>886</v>
      </c>
      <c r="Q460" s="8"/>
      <c r="R460" s="8"/>
      <c r="S460" s="9">
        <v>43221</v>
      </c>
      <c r="T460" s="8">
        <v>7</v>
      </c>
      <c r="U460" s="8" t="str">
        <f t="shared" si="37"/>
        <v>July</v>
      </c>
      <c r="V460">
        <f t="shared" si="39"/>
        <v>5</v>
      </c>
      <c r="W460" s="8" t="str">
        <f t="shared" si="40"/>
        <v>May</v>
      </c>
    </row>
    <row r="461" spans="1:23" x14ac:dyDescent="0.55000000000000004">
      <c r="A461" t="str">
        <f t="shared" si="38"/>
        <v>JulyJulyHong Kong - Flex IL</v>
      </c>
      <c r="B461" s="3" t="s">
        <v>20</v>
      </c>
      <c r="C461" s="4" t="s">
        <v>150</v>
      </c>
      <c r="D461" s="4" t="s">
        <v>963</v>
      </c>
      <c r="E461" s="5">
        <v>43294</v>
      </c>
      <c r="F461" s="4" t="s">
        <v>842</v>
      </c>
      <c r="G461" s="4" t="s">
        <v>161</v>
      </c>
      <c r="H461" s="4" t="s">
        <v>964</v>
      </c>
      <c r="I461" s="4" t="s">
        <v>154</v>
      </c>
      <c r="J461" s="4" t="s">
        <v>27</v>
      </c>
      <c r="K461" s="6">
        <v>12</v>
      </c>
      <c r="L461" s="6">
        <v>0</v>
      </c>
      <c r="M461" s="6">
        <v>12</v>
      </c>
      <c r="N461" s="6"/>
      <c r="O461" s="4" t="s">
        <v>161</v>
      </c>
      <c r="P461" s="3" t="s">
        <v>111</v>
      </c>
      <c r="Q461" s="8"/>
      <c r="R461" s="8"/>
      <c r="S461" s="9">
        <v>43282</v>
      </c>
      <c r="T461" s="8">
        <v>7</v>
      </c>
      <c r="U461" s="8" t="str">
        <f t="shared" si="37"/>
        <v>July</v>
      </c>
      <c r="V461">
        <f t="shared" si="39"/>
        <v>7</v>
      </c>
      <c r="W461" s="8" t="str">
        <f t="shared" si="40"/>
        <v>July</v>
      </c>
    </row>
    <row r="462" spans="1:23" x14ac:dyDescent="0.55000000000000004">
      <c r="A462" t="str">
        <f t="shared" si="38"/>
        <v>JulyJulyHong Kong - Flex IL</v>
      </c>
      <c r="B462" s="3" t="s">
        <v>20</v>
      </c>
      <c r="C462" s="4" t="s">
        <v>150</v>
      </c>
      <c r="D462" s="4" t="s">
        <v>965</v>
      </c>
      <c r="E462" s="5">
        <v>43294</v>
      </c>
      <c r="F462" s="4" t="s">
        <v>842</v>
      </c>
      <c r="G462" s="4" t="s">
        <v>161</v>
      </c>
      <c r="H462" s="13">
        <v>1012277</v>
      </c>
      <c r="I462" s="4" t="s">
        <v>154</v>
      </c>
      <c r="J462" s="4" t="s">
        <v>27</v>
      </c>
      <c r="K462" s="6">
        <v>48</v>
      </c>
      <c r="L462" s="6">
        <v>0</v>
      </c>
      <c r="M462" s="6">
        <v>48</v>
      </c>
      <c r="N462" s="6"/>
      <c r="O462" s="4" t="s">
        <v>161</v>
      </c>
      <c r="P462" s="3" t="s">
        <v>111</v>
      </c>
      <c r="Q462" s="8"/>
      <c r="R462" s="8"/>
      <c r="S462" s="9">
        <v>43282</v>
      </c>
      <c r="T462" s="8">
        <v>7</v>
      </c>
      <c r="U462" s="8" t="str">
        <f t="shared" si="37"/>
        <v>July</v>
      </c>
      <c r="V462">
        <f t="shared" si="39"/>
        <v>7</v>
      </c>
      <c r="W462" s="8" t="str">
        <f t="shared" si="40"/>
        <v>July</v>
      </c>
    </row>
    <row r="463" spans="1:23" x14ac:dyDescent="0.55000000000000004">
      <c r="A463" t="str">
        <f t="shared" si="38"/>
        <v>JulyJulyHong Kong - AFG NC</v>
      </c>
      <c r="B463" s="3" t="s">
        <v>20</v>
      </c>
      <c r="C463" s="4" t="s">
        <v>150</v>
      </c>
      <c r="D463" s="4" t="s">
        <v>966</v>
      </c>
      <c r="E463" s="5">
        <v>43294</v>
      </c>
      <c r="F463" s="4" t="s">
        <v>842</v>
      </c>
      <c r="G463" s="4" t="s">
        <v>161</v>
      </c>
      <c r="H463" s="4" t="s">
        <v>967</v>
      </c>
      <c r="I463" s="4" t="s">
        <v>154</v>
      </c>
      <c r="J463" s="4" t="s">
        <v>27</v>
      </c>
      <c r="K463" s="6">
        <v>60</v>
      </c>
      <c r="L463" s="6">
        <v>0</v>
      </c>
      <c r="M463" s="6">
        <v>60</v>
      </c>
      <c r="N463" s="6"/>
      <c r="O463" s="4" t="s">
        <v>161</v>
      </c>
      <c r="P463" s="3" t="s">
        <v>334</v>
      </c>
      <c r="Q463" s="8"/>
      <c r="R463" s="8"/>
      <c r="S463" s="9">
        <v>43282</v>
      </c>
      <c r="T463" s="8">
        <v>7</v>
      </c>
      <c r="U463" s="8" t="str">
        <f t="shared" si="37"/>
        <v>July</v>
      </c>
      <c r="V463">
        <f t="shared" si="39"/>
        <v>7</v>
      </c>
      <c r="W463" s="8" t="str">
        <f t="shared" si="40"/>
        <v>July</v>
      </c>
    </row>
    <row r="464" spans="1:23" x14ac:dyDescent="0.55000000000000004">
      <c r="A464" t="str">
        <f t="shared" si="38"/>
        <v>JulyJulyHong Kong - Phillips WI</v>
      </c>
      <c r="B464" s="3" t="s">
        <v>20</v>
      </c>
      <c r="C464" s="4" t="s">
        <v>150</v>
      </c>
      <c r="D464" s="4" t="s">
        <v>968</v>
      </c>
      <c r="E464" s="5">
        <v>43294</v>
      </c>
      <c r="F464" s="4" t="s">
        <v>842</v>
      </c>
      <c r="G464" s="4" t="s">
        <v>161</v>
      </c>
      <c r="H464" s="4" t="s">
        <v>969</v>
      </c>
      <c r="I464" s="4" t="s">
        <v>154</v>
      </c>
      <c r="J464" s="4" t="s">
        <v>27</v>
      </c>
      <c r="K464" s="6">
        <v>96</v>
      </c>
      <c r="L464" s="6">
        <v>0</v>
      </c>
      <c r="M464" s="6">
        <v>96</v>
      </c>
      <c r="N464" s="6"/>
      <c r="O464" s="4" t="s">
        <v>161</v>
      </c>
      <c r="P464" s="3" t="s">
        <v>65</v>
      </c>
      <c r="Q464" s="8"/>
      <c r="R464" s="8"/>
      <c r="S464" s="9">
        <v>43282</v>
      </c>
      <c r="T464" s="8">
        <v>7</v>
      </c>
      <c r="U464" s="8" t="str">
        <f t="shared" si="37"/>
        <v>July</v>
      </c>
      <c r="V464">
        <f t="shared" si="39"/>
        <v>7</v>
      </c>
      <c r="W464" s="8" t="str">
        <f t="shared" si="40"/>
        <v>July</v>
      </c>
    </row>
    <row r="465" spans="1:23" x14ac:dyDescent="0.55000000000000004">
      <c r="A465" t="str">
        <f t="shared" si="38"/>
        <v>JulyJuneHong Kong - Phillips WI</v>
      </c>
      <c r="B465" s="3" t="s">
        <v>20</v>
      </c>
      <c r="C465" s="4" t="s">
        <v>150</v>
      </c>
      <c r="D465" s="4" t="s">
        <v>970</v>
      </c>
      <c r="E465" s="5">
        <v>43282</v>
      </c>
      <c r="F465" s="4" t="s">
        <v>842</v>
      </c>
      <c r="G465" s="4" t="s">
        <v>971</v>
      </c>
      <c r="H465" s="4" t="s">
        <v>972</v>
      </c>
      <c r="I465" s="4" t="s">
        <v>26</v>
      </c>
      <c r="J465" s="4" t="s">
        <v>27</v>
      </c>
      <c r="K465" s="32">
        <v>16364.14</v>
      </c>
      <c r="L465" s="6">
        <v>0</v>
      </c>
      <c r="M465" s="6">
        <v>16364.14</v>
      </c>
      <c r="N465" s="6"/>
      <c r="O465" s="35" t="s">
        <v>971</v>
      </c>
      <c r="P465" s="3" t="s">
        <v>65</v>
      </c>
      <c r="Q465" s="8"/>
      <c r="R465" s="8"/>
      <c r="S465" s="9">
        <v>43252</v>
      </c>
      <c r="T465" s="8">
        <v>7</v>
      </c>
      <c r="U465" s="8" t="str">
        <f t="shared" si="37"/>
        <v>July</v>
      </c>
      <c r="V465">
        <f t="shared" si="39"/>
        <v>6</v>
      </c>
      <c r="W465" s="8" t="str">
        <f t="shared" si="40"/>
        <v>June</v>
      </c>
    </row>
    <row r="466" spans="1:23" x14ac:dyDescent="0.55000000000000004">
      <c r="A466" t="str">
        <f t="shared" si="38"/>
        <v>JulyJuneHong Kong - Flex IL</v>
      </c>
      <c r="B466" s="3" t="s">
        <v>20</v>
      </c>
      <c r="C466" s="4" t="s">
        <v>150</v>
      </c>
      <c r="D466" s="4" t="s">
        <v>973</v>
      </c>
      <c r="E466" s="5">
        <v>43282</v>
      </c>
      <c r="F466" s="4" t="s">
        <v>842</v>
      </c>
      <c r="G466" s="4" t="s">
        <v>132</v>
      </c>
      <c r="H466" s="4" t="s">
        <v>974</v>
      </c>
      <c r="I466" s="4" t="s">
        <v>26</v>
      </c>
      <c r="J466" s="4" t="s">
        <v>27</v>
      </c>
      <c r="K466" s="32">
        <v>12227.18</v>
      </c>
      <c r="L466" s="6">
        <v>0</v>
      </c>
      <c r="M466" s="6">
        <v>12227.18</v>
      </c>
      <c r="N466" s="6"/>
      <c r="O466" s="35" t="s">
        <v>132</v>
      </c>
      <c r="P466" t="s">
        <v>111</v>
      </c>
      <c r="Q466" s="8"/>
      <c r="R466" s="8"/>
      <c r="S466" s="9">
        <v>43252</v>
      </c>
      <c r="T466" s="8">
        <v>7</v>
      </c>
      <c r="U466" s="8" t="str">
        <f t="shared" si="37"/>
        <v>July</v>
      </c>
      <c r="V466">
        <f t="shared" si="39"/>
        <v>6</v>
      </c>
      <c r="W466" s="8" t="str">
        <f t="shared" si="40"/>
        <v>June</v>
      </c>
    </row>
    <row r="467" spans="1:23" x14ac:dyDescent="0.55000000000000004">
      <c r="A467" t="str">
        <f t="shared" si="38"/>
        <v>JulyJuneHong Kong - Flex IL</v>
      </c>
      <c r="B467" s="3" t="s">
        <v>20</v>
      </c>
      <c r="C467" s="4" t="s">
        <v>150</v>
      </c>
      <c r="D467" s="4" t="s">
        <v>975</v>
      </c>
      <c r="E467" s="5">
        <v>43282</v>
      </c>
      <c r="F467" s="4" t="s">
        <v>842</v>
      </c>
      <c r="G467" s="4" t="s">
        <v>976</v>
      </c>
      <c r="H467" s="4" t="s">
        <v>977</v>
      </c>
      <c r="I467" s="4" t="s">
        <v>26</v>
      </c>
      <c r="J467" s="4" t="s">
        <v>27</v>
      </c>
      <c r="K467" s="32">
        <v>4303.04</v>
      </c>
      <c r="L467" s="6">
        <v>0</v>
      </c>
      <c r="M467" s="6">
        <v>4303.04</v>
      </c>
      <c r="N467" s="6"/>
      <c r="O467" s="35" t="s">
        <v>976</v>
      </c>
      <c r="P467" t="s">
        <v>111</v>
      </c>
      <c r="Q467" s="8"/>
      <c r="R467" s="8"/>
      <c r="S467" s="9">
        <v>43252</v>
      </c>
      <c r="T467" s="8">
        <v>7</v>
      </c>
      <c r="U467" s="8" t="str">
        <f t="shared" si="37"/>
        <v>July</v>
      </c>
      <c r="V467">
        <f t="shared" si="39"/>
        <v>6</v>
      </c>
      <c r="W467" s="8" t="str">
        <f t="shared" si="40"/>
        <v>June</v>
      </c>
    </row>
    <row r="468" spans="1:23" x14ac:dyDescent="0.55000000000000004">
      <c r="A468" t="str">
        <f t="shared" si="38"/>
        <v>JulyJulyChina - DECI NC</v>
      </c>
      <c r="B468" s="3" t="s">
        <v>20</v>
      </c>
      <c r="C468" s="4" t="s">
        <v>150</v>
      </c>
      <c r="D468" s="4" t="s">
        <v>978</v>
      </c>
      <c r="E468" s="5">
        <v>43291</v>
      </c>
      <c r="F468" s="4" t="s">
        <v>842</v>
      </c>
      <c r="G468" s="4" t="s">
        <v>979</v>
      </c>
      <c r="H468" s="4" t="s">
        <v>980</v>
      </c>
      <c r="I468" s="4" t="s">
        <v>26</v>
      </c>
      <c r="J468" s="4" t="s">
        <v>27</v>
      </c>
      <c r="K468" s="32">
        <v>3131.11</v>
      </c>
      <c r="L468" s="6">
        <v>0</v>
      </c>
      <c r="M468" s="6">
        <v>3131.11</v>
      </c>
      <c r="N468" s="6"/>
      <c r="O468" s="35" t="s">
        <v>979</v>
      </c>
      <c r="P468" s="3" t="s">
        <v>97</v>
      </c>
      <c r="Q468" s="8"/>
      <c r="R468" s="8"/>
      <c r="S468" s="9">
        <v>43282</v>
      </c>
      <c r="T468" s="8">
        <v>7</v>
      </c>
      <c r="U468" s="8" t="str">
        <f t="shared" si="37"/>
        <v>July</v>
      </c>
      <c r="V468">
        <f t="shared" si="39"/>
        <v>7</v>
      </c>
      <c r="W468" s="8" t="str">
        <f t="shared" si="40"/>
        <v>July</v>
      </c>
    </row>
    <row r="469" spans="1:23" x14ac:dyDescent="0.55000000000000004">
      <c r="A469" t="str">
        <f t="shared" si="38"/>
        <v>JulyJuneChina - DCL KY</v>
      </c>
      <c r="B469" s="3" t="s">
        <v>20</v>
      </c>
      <c r="C469" s="4" t="s">
        <v>150</v>
      </c>
      <c r="D469" s="4" t="s">
        <v>981</v>
      </c>
      <c r="E469" s="5">
        <v>43291</v>
      </c>
      <c r="F469" s="4" t="s">
        <v>842</v>
      </c>
      <c r="G469" s="4" t="s">
        <v>982</v>
      </c>
      <c r="H469" s="4" t="s">
        <v>983</v>
      </c>
      <c r="I469" s="4" t="s">
        <v>26</v>
      </c>
      <c r="J469" s="4" t="s">
        <v>27</v>
      </c>
      <c r="K469" s="32">
        <v>8329.76</v>
      </c>
      <c r="L469" s="6">
        <v>0</v>
      </c>
      <c r="M469" s="6">
        <v>8329.76</v>
      </c>
      <c r="N469" s="6"/>
      <c r="O469" s="35" t="s">
        <v>982</v>
      </c>
      <c r="P469" s="3" t="s">
        <v>82</v>
      </c>
      <c r="Q469" s="8"/>
      <c r="R469" s="8"/>
      <c r="S469" s="9">
        <v>43252</v>
      </c>
      <c r="T469" s="8">
        <v>7</v>
      </c>
      <c r="U469" s="8" t="str">
        <f t="shared" si="37"/>
        <v>July</v>
      </c>
      <c r="V469">
        <f t="shared" si="39"/>
        <v>6</v>
      </c>
      <c r="W469" s="8" t="str">
        <f t="shared" si="40"/>
        <v>June</v>
      </c>
    </row>
    <row r="470" spans="1:23" x14ac:dyDescent="0.55000000000000004">
      <c r="A470" t="str">
        <f t="shared" si="38"/>
        <v>JulyJulyChina - DCL KY</v>
      </c>
      <c r="B470" s="3" t="s">
        <v>20</v>
      </c>
      <c r="C470" s="4" t="s">
        <v>150</v>
      </c>
      <c r="D470" s="4" t="s">
        <v>984</v>
      </c>
      <c r="E470" s="5">
        <v>43291</v>
      </c>
      <c r="F470" s="4" t="s">
        <v>842</v>
      </c>
      <c r="G470" s="4" t="s">
        <v>985</v>
      </c>
      <c r="H470" s="4" t="s">
        <v>986</v>
      </c>
      <c r="I470" s="4" t="s">
        <v>26</v>
      </c>
      <c r="J470" s="4" t="s">
        <v>27</v>
      </c>
      <c r="K470" s="32">
        <v>55666.45</v>
      </c>
      <c r="L470" s="6">
        <v>0</v>
      </c>
      <c r="M470" s="6">
        <v>55666.45</v>
      </c>
      <c r="N470" s="6"/>
      <c r="O470" s="35" t="s">
        <v>985</v>
      </c>
      <c r="P470" s="3" t="s">
        <v>82</v>
      </c>
      <c r="Q470" s="8"/>
      <c r="R470" s="8"/>
      <c r="S470" s="9">
        <v>43282</v>
      </c>
      <c r="T470" s="8">
        <v>7</v>
      </c>
      <c r="U470" s="8" t="str">
        <f t="shared" si="37"/>
        <v>July</v>
      </c>
      <c r="V470">
        <f t="shared" si="39"/>
        <v>7</v>
      </c>
      <c r="W470" s="8" t="str">
        <f t="shared" si="40"/>
        <v>July</v>
      </c>
    </row>
    <row r="471" spans="1:23" x14ac:dyDescent="0.55000000000000004">
      <c r="A471" t="str">
        <f t="shared" si="38"/>
        <v>JulyJulyHong Kong - DCL KY</v>
      </c>
      <c r="B471" s="3" t="s">
        <v>20</v>
      </c>
      <c r="C471" s="4" t="s">
        <v>241</v>
      </c>
      <c r="D471" s="4" t="s">
        <v>1080</v>
      </c>
      <c r="E471" s="5">
        <v>43312</v>
      </c>
      <c r="F471" s="4" t="s">
        <v>842</v>
      </c>
      <c r="G471" s="4" t="s">
        <v>1081</v>
      </c>
      <c r="H471" s="4"/>
      <c r="I471" s="4" t="s">
        <v>154</v>
      </c>
      <c r="J471" s="4" t="s">
        <v>197</v>
      </c>
      <c r="K471" s="6">
        <v>21214.3</v>
      </c>
      <c r="L471" s="6">
        <v>0</v>
      </c>
      <c r="M471" s="6">
        <v>21214.3</v>
      </c>
      <c r="N471" s="6"/>
      <c r="O471" s="4" t="s">
        <v>1081</v>
      </c>
      <c r="P471" s="3" t="s">
        <v>39</v>
      </c>
      <c r="Q471" s="8"/>
      <c r="R471" s="8"/>
      <c r="S471" s="9">
        <v>43282</v>
      </c>
      <c r="T471" s="8">
        <v>7</v>
      </c>
      <c r="U471" s="8" t="str">
        <f t="shared" si="37"/>
        <v>July</v>
      </c>
      <c r="V471">
        <f>MONTH(S471)</f>
        <v>7</v>
      </c>
      <c r="W471" s="8" t="str">
        <f>IF(V471=6,"June",IF(V471=5,"May",IF(V471=4,"April",IF(V471=3,"March",IF(V471=7,"July",IF(V471=2,"February",0))))))</f>
        <v>July</v>
      </c>
    </row>
    <row r="472" spans="1:23" x14ac:dyDescent="0.55000000000000004">
      <c r="A472" t="str">
        <f>U472&amp;W472&amp;P472</f>
        <v>JuneJuneHong Kong - DCL KY</v>
      </c>
      <c r="B472" s="3" t="s">
        <v>20</v>
      </c>
      <c r="C472" s="4" t="s">
        <v>241</v>
      </c>
      <c r="D472" s="4" t="s">
        <v>1082</v>
      </c>
      <c r="E472" s="5">
        <v>43281</v>
      </c>
      <c r="F472" s="4" t="s">
        <v>842</v>
      </c>
      <c r="G472" s="4" t="s">
        <v>1083</v>
      </c>
      <c r="H472" s="4"/>
      <c r="I472" s="4" t="s">
        <v>154</v>
      </c>
      <c r="J472" s="4" t="s">
        <v>197</v>
      </c>
      <c r="K472" s="6">
        <v>313892.63</v>
      </c>
      <c r="L472" s="6">
        <v>0</v>
      </c>
      <c r="M472" s="6">
        <v>313892.63</v>
      </c>
      <c r="N472" s="6"/>
      <c r="O472" s="4" t="s">
        <v>1083</v>
      </c>
      <c r="P472" s="3" t="s">
        <v>39</v>
      </c>
      <c r="Q472" s="8"/>
      <c r="R472" s="8"/>
      <c r="S472" s="9">
        <v>43252</v>
      </c>
      <c r="T472" s="8">
        <v>6</v>
      </c>
      <c r="U472" s="8" t="str">
        <f t="shared" si="37"/>
        <v>June</v>
      </c>
      <c r="V472">
        <f>MONTH(S472)</f>
        <v>6</v>
      </c>
      <c r="W472" s="8" t="str">
        <f>IF(V472=6,"June",IF(V472=5,"May",IF(V472=4,"April",IF(V472=3,"March",IF(V472=7,"July",IF(V472=2,"February",0))))))</f>
        <v>June</v>
      </c>
    </row>
    <row r="473" spans="1:23" x14ac:dyDescent="0.55000000000000004">
      <c r="A473" t="str">
        <f t="shared" ref="A473:A536" si="41">U473&amp;W473&amp;P473</f>
        <v>MarchAprilHong Kong - AFG NC</v>
      </c>
      <c r="B473" s="3" t="s">
        <v>20</v>
      </c>
      <c r="C473" s="4" t="s">
        <v>150</v>
      </c>
      <c r="D473" s="4" t="s">
        <v>1101</v>
      </c>
      <c r="E473" s="5">
        <v>43186</v>
      </c>
      <c r="F473" s="4" t="s">
        <v>1102</v>
      </c>
      <c r="G473" s="4" t="s">
        <v>1103</v>
      </c>
      <c r="H473" s="4" t="s">
        <v>1104</v>
      </c>
      <c r="I473" s="4" t="s">
        <v>1105</v>
      </c>
      <c r="J473" s="4" t="s">
        <v>27</v>
      </c>
      <c r="K473" s="6">
        <v>4398.8500000000004</v>
      </c>
      <c r="L473" s="6">
        <v>0</v>
      </c>
      <c r="M473" s="6">
        <v>4398.8500000000004</v>
      </c>
      <c r="N473" s="6"/>
      <c r="O473" s="4" t="s">
        <v>1103</v>
      </c>
      <c r="P473" s="3" t="s">
        <v>334</v>
      </c>
      <c r="Q473" s="8" t="s">
        <v>1106</v>
      </c>
      <c r="R473" s="8">
        <v>42826</v>
      </c>
      <c r="S473" s="9">
        <v>42826</v>
      </c>
      <c r="T473" s="8">
        <v>3</v>
      </c>
      <c r="U473" s="8" t="s">
        <v>301</v>
      </c>
      <c r="V473">
        <f t="shared" ref="V473:V536" si="42">MONTH(S473)</f>
        <v>4</v>
      </c>
      <c r="W473" s="8" t="str">
        <f t="shared" ref="W473:W536" si="43">IF(V473=6,"June",IF(V473=5,"May",IF(V473=4,"April",IF(V473=3,"March",IF(V473=7,"July",IF(V473=2,"February",0))))))</f>
        <v>April</v>
      </c>
    </row>
    <row r="474" spans="1:23" x14ac:dyDescent="0.55000000000000004">
      <c r="A474" t="str">
        <f t="shared" si="41"/>
        <v>JuneJuneAubright - DCL KY</v>
      </c>
      <c r="B474" s="3" t="s">
        <v>20</v>
      </c>
      <c r="C474" s="4" t="s">
        <v>150</v>
      </c>
      <c r="D474" s="4" t="s">
        <v>1107</v>
      </c>
      <c r="E474" s="5">
        <v>43276</v>
      </c>
      <c r="F474" s="4" t="s">
        <v>1102</v>
      </c>
      <c r="G474" s="4" t="s">
        <v>1108</v>
      </c>
      <c r="H474" s="4" t="s">
        <v>1109</v>
      </c>
      <c r="I474" s="4" t="s">
        <v>1105</v>
      </c>
      <c r="J474" s="4" t="s">
        <v>1110</v>
      </c>
      <c r="K474" s="6">
        <v>2131.5</v>
      </c>
      <c r="L474" s="6">
        <v>0</v>
      </c>
      <c r="M474" s="6">
        <v>2131.5</v>
      </c>
      <c r="N474" s="6"/>
      <c r="O474" s="4" t="s">
        <v>1108</v>
      </c>
      <c r="P474" s="3" t="s">
        <v>1111</v>
      </c>
      <c r="Q474" s="8" t="s">
        <v>1112</v>
      </c>
      <c r="R474" s="8">
        <v>43269</v>
      </c>
      <c r="S474" s="9">
        <v>43269</v>
      </c>
      <c r="T474" s="8">
        <v>6</v>
      </c>
      <c r="U474" s="8" t="s">
        <v>304</v>
      </c>
      <c r="V474">
        <f t="shared" si="42"/>
        <v>6</v>
      </c>
      <c r="W474" s="8" t="str">
        <f t="shared" si="43"/>
        <v>June</v>
      </c>
    </row>
    <row r="475" spans="1:23" x14ac:dyDescent="0.55000000000000004">
      <c r="A475" t="str">
        <f t="shared" si="41"/>
        <v>JulyJuneChina - DCL KY</v>
      </c>
      <c r="B475" s="3" t="s">
        <v>20</v>
      </c>
      <c r="C475" s="4" t="s">
        <v>150</v>
      </c>
      <c r="D475" s="4" t="s">
        <v>1113</v>
      </c>
      <c r="E475" s="5">
        <v>43291</v>
      </c>
      <c r="F475" s="4" t="s">
        <v>1102</v>
      </c>
      <c r="G475" s="4" t="s">
        <v>1114</v>
      </c>
      <c r="H475" s="4" t="s">
        <v>1115</v>
      </c>
      <c r="I475" s="4" t="s">
        <v>1105</v>
      </c>
      <c r="J475" s="4" t="s">
        <v>27</v>
      </c>
      <c r="K475" s="6">
        <v>49443.68</v>
      </c>
      <c r="L475" s="6">
        <v>0</v>
      </c>
      <c r="M475" s="6">
        <v>49443.68</v>
      </c>
      <c r="N475" s="6"/>
      <c r="O475" s="4" t="s">
        <v>1114</v>
      </c>
      <c r="P475" s="3" t="s">
        <v>82</v>
      </c>
      <c r="Q475" s="8" t="s">
        <v>1116</v>
      </c>
      <c r="R475" s="8">
        <v>43252</v>
      </c>
      <c r="S475" s="9">
        <v>43252</v>
      </c>
      <c r="T475" s="8">
        <v>7</v>
      </c>
      <c r="U475" s="8" t="s">
        <v>305</v>
      </c>
      <c r="V475">
        <f t="shared" si="42"/>
        <v>6</v>
      </c>
      <c r="W475" s="8" t="str">
        <f t="shared" si="43"/>
        <v>June</v>
      </c>
    </row>
    <row r="476" spans="1:23" x14ac:dyDescent="0.55000000000000004">
      <c r="A476" t="str">
        <f t="shared" si="41"/>
        <v>JulyJulyChina - DECI NC</v>
      </c>
      <c r="B476" s="3" t="s">
        <v>20</v>
      </c>
      <c r="C476" s="4" t="s">
        <v>150</v>
      </c>
      <c r="D476" s="4" t="s">
        <v>1117</v>
      </c>
      <c r="E476" s="5">
        <v>43291</v>
      </c>
      <c r="F476" s="4" t="s">
        <v>1102</v>
      </c>
      <c r="G476" s="4" t="s">
        <v>1118</v>
      </c>
      <c r="H476" s="4" t="s">
        <v>1119</v>
      </c>
      <c r="I476" s="4" t="s">
        <v>1105</v>
      </c>
      <c r="J476" s="4" t="s">
        <v>27</v>
      </c>
      <c r="K476" s="6">
        <v>10506.23</v>
      </c>
      <c r="L476" s="6">
        <v>0</v>
      </c>
      <c r="M476" s="6">
        <v>10506.23</v>
      </c>
      <c r="N476" s="6"/>
      <c r="O476" s="4" t="s">
        <v>1118</v>
      </c>
      <c r="P476" s="3" t="s">
        <v>97</v>
      </c>
      <c r="Q476" s="8" t="s">
        <v>1116</v>
      </c>
      <c r="R476" s="8">
        <v>43269</v>
      </c>
      <c r="S476" s="9">
        <v>43299</v>
      </c>
      <c r="T476" s="8">
        <v>7</v>
      </c>
      <c r="U476" s="8" t="s">
        <v>305</v>
      </c>
      <c r="V476">
        <f t="shared" si="42"/>
        <v>7</v>
      </c>
      <c r="W476" s="8" t="str">
        <f t="shared" si="43"/>
        <v>July</v>
      </c>
    </row>
    <row r="477" spans="1:23" x14ac:dyDescent="0.55000000000000004">
      <c r="A477" t="str">
        <f t="shared" si="41"/>
        <v>JulyJulyAFG NC - DCL KY</v>
      </c>
      <c r="B477" s="3" t="s">
        <v>20</v>
      </c>
      <c r="C477" s="4" t="s">
        <v>150</v>
      </c>
      <c r="D477" s="4" t="s">
        <v>1120</v>
      </c>
      <c r="E477" s="5">
        <v>43292</v>
      </c>
      <c r="F477" s="4" t="s">
        <v>1102</v>
      </c>
      <c r="G477" s="4" t="s">
        <v>1121</v>
      </c>
      <c r="H477" s="4" t="s">
        <v>1122</v>
      </c>
      <c r="I477" s="4" t="s">
        <v>1105</v>
      </c>
      <c r="J477" s="4" t="s">
        <v>27</v>
      </c>
      <c r="K477" s="6">
        <v>4500</v>
      </c>
      <c r="L477" s="6">
        <v>0</v>
      </c>
      <c r="M477" s="6">
        <v>4500</v>
      </c>
      <c r="N477" s="6"/>
      <c r="O477" s="4" t="s">
        <v>1121</v>
      </c>
      <c r="P477" s="3" t="s">
        <v>173</v>
      </c>
      <c r="Q477" s="8" t="s">
        <v>1123</v>
      </c>
      <c r="R477" s="8">
        <v>43299</v>
      </c>
      <c r="S477" s="9">
        <v>43299</v>
      </c>
      <c r="T477" s="8">
        <v>7</v>
      </c>
      <c r="U477" s="8" t="s">
        <v>305</v>
      </c>
      <c r="V477">
        <f t="shared" si="42"/>
        <v>7</v>
      </c>
      <c r="W477" s="8" t="str">
        <f t="shared" si="43"/>
        <v>July</v>
      </c>
    </row>
    <row r="478" spans="1:23" x14ac:dyDescent="0.55000000000000004">
      <c r="A478" t="str">
        <f t="shared" si="41"/>
        <v>JulyJulyAFG NC - DCL KY</v>
      </c>
      <c r="B478" s="3" t="s">
        <v>20</v>
      </c>
      <c r="C478" s="4" t="s">
        <v>150</v>
      </c>
      <c r="D478" s="4" t="s">
        <v>1124</v>
      </c>
      <c r="E478" s="5">
        <v>43292</v>
      </c>
      <c r="F478" s="4" t="s">
        <v>1102</v>
      </c>
      <c r="G478" s="4" t="s">
        <v>1125</v>
      </c>
      <c r="H478" s="4" t="s">
        <v>1126</v>
      </c>
      <c r="I478" s="4" t="s">
        <v>1105</v>
      </c>
      <c r="J478" s="4" t="s">
        <v>27</v>
      </c>
      <c r="K478" s="6">
        <v>7150</v>
      </c>
      <c r="L478" s="6">
        <v>0</v>
      </c>
      <c r="M478" s="6">
        <v>7150</v>
      </c>
      <c r="N478" s="6"/>
      <c r="O478" s="4" t="s">
        <v>1125</v>
      </c>
      <c r="P478" s="3" t="s">
        <v>173</v>
      </c>
      <c r="Q478" s="8" t="s">
        <v>1106</v>
      </c>
      <c r="R478" s="8">
        <v>43299</v>
      </c>
      <c r="S478" s="9">
        <v>43299</v>
      </c>
      <c r="T478" s="8">
        <v>7</v>
      </c>
      <c r="U478" s="8" t="s">
        <v>305</v>
      </c>
      <c r="V478">
        <f t="shared" si="42"/>
        <v>7</v>
      </c>
      <c r="W478" s="8" t="str">
        <f t="shared" si="43"/>
        <v>July</v>
      </c>
    </row>
    <row r="479" spans="1:23" x14ac:dyDescent="0.55000000000000004">
      <c r="A479" t="str">
        <f t="shared" si="41"/>
        <v>JulyJulyAFG NC - DCL KY</v>
      </c>
      <c r="B479" s="3" t="s">
        <v>20</v>
      </c>
      <c r="C479" s="4" t="s">
        <v>150</v>
      </c>
      <c r="D479" s="4" t="s">
        <v>1127</v>
      </c>
      <c r="E479" s="5">
        <v>43298</v>
      </c>
      <c r="F479" s="4" t="s">
        <v>1102</v>
      </c>
      <c r="G479" s="4" t="s">
        <v>1128</v>
      </c>
      <c r="H479" s="4" t="s">
        <v>1129</v>
      </c>
      <c r="I479" s="4" t="s">
        <v>1105</v>
      </c>
      <c r="J479" s="4" t="s">
        <v>27</v>
      </c>
      <c r="K479" s="6">
        <v>8500</v>
      </c>
      <c r="L479" s="6">
        <v>0</v>
      </c>
      <c r="M479" s="6">
        <v>8500</v>
      </c>
      <c r="N479" s="6"/>
      <c r="O479" s="4" t="s">
        <v>1128</v>
      </c>
      <c r="P479" s="3" t="s">
        <v>173</v>
      </c>
      <c r="Q479" s="8" t="s">
        <v>1106</v>
      </c>
      <c r="R479" s="8">
        <v>43299</v>
      </c>
      <c r="S479" s="9">
        <v>43299</v>
      </c>
      <c r="T479" s="8">
        <v>7</v>
      </c>
      <c r="U479" s="8" t="s">
        <v>305</v>
      </c>
      <c r="V479">
        <f t="shared" si="42"/>
        <v>7</v>
      </c>
      <c r="W479" s="8" t="str">
        <f t="shared" si="43"/>
        <v>July</v>
      </c>
    </row>
    <row r="480" spans="1:23" x14ac:dyDescent="0.55000000000000004">
      <c r="A480" t="str">
        <f t="shared" si="41"/>
        <v>JulyJulyGreensboro NC - Phillips WI</v>
      </c>
      <c r="B480" s="3" t="s">
        <v>20</v>
      </c>
      <c r="C480" s="4" t="s">
        <v>150</v>
      </c>
      <c r="D480" s="4" t="s">
        <v>1130</v>
      </c>
      <c r="E480" s="5">
        <v>43300</v>
      </c>
      <c r="F480" s="4" t="s">
        <v>1102</v>
      </c>
      <c r="G480" s="4" t="s">
        <v>1131</v>
      </c>
      <c r="H480" s="4" t="s">
        <v>1132</v>
      </c>
      <c r="I480" s="4" t="s">
        <v>1105</v>
      </c>
      <c r="J480" s="4" t="s">
        <v>1110</v>
      </c>
      <c r="K480" s="6">
        <v>2850</v>
      </c>
      <c r="L480" s="6">
        <v>0</v>
      </c>
      <c r="M480" s="6">
        <v>2850</v>
      </c>
      <c r="N480" s="6"/>
      <c r="O480" s="4" t="s">
        <v>1131</v>
      </c>
      <c r="P480" s="3" t="s">
        <v>155</v>
      </c>
      <c r="Q480" s="8" t="s">
        <v>1133</v>
      </c>
      <c r="R480" s="8">
        <v>43299</v>
      </c>
      <c r="S480" s="9">
        <v>43299</v>
      </c>
      <c r="T480" s="8">
        <v>7</v>
      </c>
      <c r="U480" s="8" t="s">
        <v>305</v>
      </c>
      <c r="V480">
        <f t="shared" si="42"/>
        <v>7</v>
      </c>
      <c r="W480" s="8" t="str">
        <f t="shared" si="43"/>
        <v>July</v>
      </c>
    </row>
    <row r="481" spans="1:23" x14ac:dyDescent="0.55000000000000004">
      <c r="A481" t="str">
        <f t="shared" si="41"/>
        <v>JulyJulyFlex IL - DCL KY</v>
      </c>
      <c r="B481" s="3" t="s">
        <v>20</v>
      </c>
      <c r="C481" s="4" t="s">
        <v>150</v>
      </c>
      <c r="D481" s="4" t="s">
        <v>1134</v>
      </c>
      <c r="E481" s="5">
        <v>43301</v>
      </c>
      <c r="F481" s="4" t="s">
        <v>1102</v>
      </c>
      <c r="G481" s="4" t="s">
        <v>1135</v>
      </c>
      <c r="H481" s="4" t="s">
        <v>1136</v>
      </c>
      <c r="I481" s="4" t="s">
        <v>1105</v>
      </c>
      <c r="J481" s="4" t="s">
        <v>1110</v>
      </c>
      <c r="K481" s="6">
        <v>1378.11</v>
      </c>
      <c r="L481" s="6">
        <v>0</v>
      </c>
      <c r="M481" s="6">
        <v>1378.11</v>
      </c>
      <c r="N481" s="6"/>
      <c r="O481" s="4" t="s">
        <v>1135</v>
      </c>
      <c r="P481" s="3" t="s">
        <v>1137</v>
      </c>
      <c r="Q481" s="8" t="s">
        <v>1112</v>
      </c>
      <c r="R481" s="8">
        <v>43299</v>
      </c>
      <c r="S481" s="9">
        <v>43299</v>
      </c>
      <c r="T481" s="8">
        <v>7</v>
      </c>
      <c r="U481" s="8" t="s">
        <v>305</v>
      </c>
      <c r="V481">
        <f t="shared" si="42"/>
        <v>7</v>
      </c>
      <c r="W481" s="8" t="str">
        <f t="shared" si="43"/>
        <v>July</v>
      </c>
    </row>
    <row r="482" spans="1:23" x14ac:dyDescent="0.55000000000000004">
      <c r="A482" t="str">
        <f t="shared" si="41"/>
        <v>JulyJulyAFG NC - DCL KY</v>
      </c>
      <c r="B482" s="3" t="s">
        <v>20</v>
      </c>
      <c r="C482" s="4" t="s">
        <v>150</v>
      </c>
      <c r="D482" s="4" t="s">
        <v>1138</v>
      </c>
      <c r="E482" s="5">
        <v>43304</v>
      </c>
      <c r="F482" s="4" t="s">
        <v>1102</v>
      </c>
      <c r="G482" s="4" t="s">
        <v>1139</v>
      </c>
      <c r="H482" s="4" t="s">
        <v>1140</v>
      </c>
      <c r="I482" s="4" t="s">
        <v>1105</v>
      </c>
      <c r="J482" s="4" t="s">
        <v>27</v>
      </c>
      <c r="K482" s="6">
        <v>3100</v>
      </c>
      <c r="L482" s="6">
        <v>0</v>
      </c>
      <c r="M482" s="6">
        <v>3100</v>
      </c>
      <c r="N482" s="6"/>
      <c r="O482" s="4" t="s">
        <v>1139</v>
      </c>
      <c r="P482" s="3" t="s">
        <v>173</v>
      </c>
      <c r="Q482" s="8" t="s">
        <v>1106</v>
      </c>
      <c r="R482" s="8">
        <v>43299</v>
      </c>
      <c r="S482" s="9">
        <v>43299</v>
      </c>
      <c r="T482" s="8">
        <v>7</v>
      </c>
      <c r="U482" s="8" t="s">
        <v>305</v>
      </c>
      <c r="V482">
        <f t="shared" si="42"/>
        <v>7</v>
      </c>
      <c r="W482" s="8" t="str">
        <f t="shared" si="43"/>
        <v>July</v>
      </c>
    </row>
    <row r="483" spans="1:23" x14ac:dyDescent="0.55000000000000004">
      <c r="A483" t="str">
        <f t="shared" si="41"/>
        <v>JulyJulyAFG NC - DCL KY</v>
      </c>
      <c r="B483" s="3" t="s">
        <v>20</v>
      </c>
      <c r="C483" s="4" t="s">
        <v>150</v>
      </c>
      <c r="D483" s="4" t="s">
        <v>1141</v>
      </c>
      <c r="E483" s="5">
        <v>43304</v>
      </c>
      <c r="F483" s="4" t="s">
        <v>1102</v>
      </c>
      <c r="G483" s="4" t="s">
        <v>1142</v>
      </c>
      <c r="H483" s="4" t="s">
        <v>1143</v>
      </c>
      <c r="I483" s="4" t="s">
        <v>1105</v>
      </c>
      <c r="J483" s="4" t="s">
        <v>27</v>
      </c>
      <c r="K483" s="6">
        <v>2900</v>
      </c>
      <c r="L483" s="6">
        <v>0</v>
      </c>
      <c r="M483" s="6">
        <v>2900</v>
      </c>
      <c r="N483" s="6"/>
      <c r="O483" s="4" t="s">
        <v>1142</v>
      </c>
      <c r="P483" s="3" t="s">
        <v>173</v>
      </c>
      <c r="Q483" s="8" t="s">
        <v>1106</v>
      </c>
      <c r="R483" s="8">
        <v>43299</v>
      </c>
      <c r="S483" s="9">
        <v>43299</v>
      </c>
      <c r="T483" s="8">
        <v>7</v>
      </c>
      <c r="U483" s="8" t="s">
        <v>305</v>
      </c>
      <c r="V483">
        <f t="shared" si="42"/>
        <v>7</v>
      </c>
      <c r="W483" s="8" t="str">
        <f t="shared" si="43"/>
        <v>July</v>
      </c>
    </row>
    <row r="484" spans="1:23" x14ac:dyDescent="0.55000000000000004">
      <c r="A484" t="str">
        <f t="shared" si="41"/>
        <v>JulyJulyAFG NC - DCL KY</v>
      </c>
      <c r="B484" s="3" t="s">
        <v>20</v>
      </c>
      <c r="C484" s="4" t="s">
        <v>150</v>
      </c>
      <c r="D484" s="4" t="s">
        <v>1144</v>
      </c>
      <c r="E484" s="5">
        <v>43304</v>
      </c>
      <c r="F484" s="4" t="s">
        <v>1102</v>
      </c>
      <c r="G484" s="4" t="s">
        <v>1145</v>
      </c>
      <c r="H484" s="4" t="s">
        <v>1146</v>
      </c>
      <c r="I484" s="4" t="s">
        <v>1105</v>
      </c>
      <c r="J484" s="4" t="s">
        <v>27</v>
      </c>
      <c r="K484" s="6">
        <v>4450</v>
      </c>
      <c r="L484" s="6">
        <v>0</v>
      </c>
      <c r="M484" s="6">
        <v>4450</v>
      </c>
      <c r="N484" s="6"/>
      <c r="O484" s="4" t="s">
        <v>1145</v>
      </c>
      <c r="P484" s="3" t="s">
        <v>173</v>
      </c>
      <c r="Q484" s="8" t="s">
        <v>1147</v>
      </c>
      <c r="R484" s="8">
        <v>43299</v>
      </c>
      <c r="S484" s="9">
        <v>43299</v>
      </c>
      <c r="T484" s="8">
        <v>7</v>
      </c>
      <c r="U484" s="8" t="s">
        <v>305</v>
      </c>
      <c r="V484">
        <f t="shared" si="42"/>
        <v>7</v>
      </c>
      <c r="W484" s="8" t="str">
        <f t="shared" si="43"/>
        <v>July</v>
      </c>
    </row>
    <row r="485" spans="1:23" x14ac:dyDescent="0.55000000000000004">
      <c r="A485" t="str">
        <f t="shared" si="41"/>
        <v>JulyJulyAFG NC - DCL KY</v>
      </c>
      <c r="B485" s="3" t="s">
        <v>20</v>
      </c>
      <c r="C485" s="4" t="s">
        <v>150</v>
      </c>
      <c r="D485" s="4" t="s">
        <v>1148</v>
      </c>
      <c r="E485" s="5">
        <v>43304</v>
      </c>
      <c r="F485" s="4" t="s">
        <v>1102</v>
      </c>
      <c r="G485" s="4" t="s">
        <v>1149</v>
      </c>
      <c r="H485" s="4" t="s">
        <v>1150</v>
      </c>
      <c r="I485" s="4" t="s">
        <v>1105</v>
      </c>
      <c r="J485" s="4" t="s">
        <v>27</v>
      </c>
      <c r="K485" s="6">
        <v>6950</v>
      </c>
      <c r="L485" s="6">
        <v>0</v>
      </c>
      <c r="M485" s="6">
        <v>6950</v>
      </c>
      <c r="N485" s="6"/>
      <c r="O485" s="4" t="s">
        <v>1149</v>
      </c>
      <c r="P485" s="3" t="s">
        <v>173</v>
      </c>
      <c r="Q485" s="8" t="s">
        <v>1106</v>
      </c>
      <c r="R485" s="8">
        <v>43299</v>
      </c>
      <c r="S485" s="9">
        <v>43299</v>
      </c>
      <c r="T485" s="8">
        <v>7</v>
      </c>
      <c r="U485" s="8" t="s">
        <v>305</v>
      </c>
      <c r="V485">
        <f t="shared" si="42"/>
        <v>7</v>
      </c>
      <c r="W485" s="8" t="str">
        <f t="shared" si="43"/>
        <v>July</v>
      </c>
    </row>
    <row r="486" spans="1:23" x14ac:dyDescent="0.55000000000000004">
      <c r="A486" t="str">
        <f t="shared" si="41"/>
        <v>JulyJulyHong Kong - Flex IL</v>
      </c>
      <c r="B486" s="3" t="s">
        <v>20</v>
      </c>
      <c r="C486" s="4" t="s">
        <v>150</v>
      </c>
      <c r="D486" s="4" t="s">
        <v>1151</v>
      </c>
      <c r="E486" s="5">
        <v>43305</v>
      </c>
      <c r="F486" s="4" t="s">
        <v>1102</v>
      </c>
      <c r="G486" s="4" t="s">
        <v>1152</v>
      </c>
      <c r="H486" s="4" t="s">
        <v>1153</v>
      </c>
      <c r="I486" s="4" t="s">
        <v>1105</v>
      </c>
      <c r="J486" s="4" t="s">
        <v>27</v>
      </c>
      <c r="K486" s="6">
        <v>20094.400000000001</v>
      </c>
      <c r="L486" s="6">
        <v>0</v>
      </c>
      <c r="M486" s="6">
        <v>20094.400000000001</v>
      </c>
      <c r="N486" s="6"/>
      <c r="O486" s="4" t="s">
        <v>1152</v>
      </c>
      <c r="P486" s="3" t="s">
        <v>111</v>
      </c>
      <c r="Q486" s="8" t="s">
        <v>1106</v>
      </c>
      <c r="R486" s="8">
        <v>43299</v>
      </c>
      <c r="S486" s="9">
        <v>43299</v>
      </c>
      <c r="T486" s="8">
        <v>7</v>
      </c>
      <c r="U486" s="8" t="s">
        <v>305</v>
      </c>
      <c r="V486">
        <f t="shared" si="42"/>
        <v>7</v>
      </c>
      <c r="W486" s="8" t="str">
        <f t="shared" si="43"/>
        <v>July</v>
      </c>
    </row>
    <row r="487" spans="1:23" x14ac:dyDescent="0.55000000000000004">
      <c r="A487" t="str">
        <f t="shared" si="41"/>
        <v>JulyJulyDCL KY - Canada</v>
      </c>
      <c r="B487" s="3" t="s">
        <v>20</v>
      </c>
      <c r="C487" s="4" t="s">
        <v>150</v>
      </c>
      <c r="D487" s="4" t="s">
        <v>1154</v>
      </c>
      <c r="E487" s="5">
        <v>43305</v>
      </c>
      <c r="F487" s="4" t="s">
        <v>1102</v>
      </c>
      <c r="G487" s="4" t="s">
        <v>1155</v>
      </c>
      <c r="H487" s="4" t="s">
        <v>1156</v>
      </c>
      <c r="I487" s="4" t="s">
        <v>1105</v>
      </c>
      <c r="J487" s="4" t="s">
        <v>27</v>
      </c>
      <c r="K487" s="6">
        <v>2498.58</v>
      </c>
      <c r="L487" s="6">
        <v>0</v>
      </c>
      <c r="M487" s="6">
        <v>2498.58</v>
      </c>
      <c r="N487" s="6"/>
      <c r="O487" s="4" t="s">
        <v>1155</v>
      </c>
      <c r="P487" s="3" t="s">
        <v>1086</v>
      </c>
      <c r="Q487" s="8" t="s">
        <v>1106</v>
      </c>
      <c r="R487" s="8">
        <v>43299</v>
      </c>
      <c r="S487" s="9">
        <v>43299</v>
      </c>
      <c r="T487" s="8">
        <v>7</v>
      </c>
      <c r="U487" s="8" t="s">
        <v>305</v>
      </c>
      <c r="V487">
        <f t="shared" si="42"/>
        <v>7</v>
      </c>
      <c r="W487" s="8" t="str">
        <f t="shared" si="43"/>
        <v>July</v>
      </c>
    </row>
    <row r="488" spans="1:23" x14ac:dyDescent="0.55000000000000004">
      <c r="A488" t="str">
        <f t="shared" si="41"/>
        <v>JulyJulyChina - Flex IL</v>
      </c>
      <c r="B488" s="3" t="s">
        <v>20</v>
      </c>
      <c r="C488" s="4" t="s">
        <v>150</v>
      </c>
      <c r="D488" s="4" t="s">
        <v>1157</v>
      </c>
      <c r="E488" s="5">
        <v>43305</v>
      </c>
      <c r="F488" s="4" t="s">
        <v>1102</v>
      </c>
      <c r="G488" s="4" t="s">
        <v>1158</v>
      </c>
      <c r="H488" s="4" t="s">
        <v>1159</v>
      </c>
      <c r="I488" s="4" t="s">
        <v>1105</v>
      </c>
      <c r="J488" s="4" t="s">
        <v>27</v>
      </c>
      <c r="K488" s="6">
        <v>1554.29</v>
      </c>
      <c r="L488" s="6">
        <v>0</v>
      </c>
      <c r="M488" s="6">
        <v>1554.29</v>
      </c>
      <c r="N488" s="6"/>
      <c r="O488" s="4" t="s">
        <v>1158</v>
      </c>
      <c r="P488" s="3" t="s">
        <v>886</v>
      </c>
      <c r="Q488" s="8" t="s">
        <v>1106</v>
      </c>
      <c r="R488" s="8">
        <v>43299</v>
      </c>
      <c r="S488" s="9">
        <v>43299</v>
      </c>
      <c r="T488" s="8">
        <v>7</v>
      </c>
      <c r="U488" s="8" t="s">
        <v>305</v>
      </c>
      <c r="V488">
        <f t="shared" si="42"/>
        <v>7</v>
      </c>
      <c r="W488" s="8" t="str">
        <f t="shared" si="43"/>
        <v>July</v>
      </c>
    </row>
    <row r="489" spans="1:23" x14ac:dyDescent="0.55000000000000004">
      <c r="A489" t="str">
        <f t="shared" si="41"/>
        <v>JulyJulyDECI NC - Canada</v>
      </c>
      <c r="B489" s="3" t="s">
        <v>20</v>
      </c>
      <c r="C489" s="4" t="s">
        <v>150</v>
      </c>
      <c r="D489" s="4" t="s">
        <v>1160</v>
      </c>
      <c r="E489" s="5">
        <v>43305</v>
      </c>
      <c r="F489" s="4" t="s">
        <v>1102</v>
      </c>
      <c r="G489" s="4" t="s">
        <v>1161</v>
      </c>
      <c r="H489" s="4" t="s">
        <v>1162</v>
      </c>
      <c r="I489" s="4" t="s">
        <v>1105</v>
      </c>
      <c r="J489" s="4" t="s">
        <v>27</v>
      </c>
      <c r="K489" s="6">
        <v>815</v>
      </c>
      <c r="L489" s="6">
        <v>0</v>
      </c>
      <c r="M489" s="6">
        <v>815</v>
      </c>
      <c r="N489" s="6"/>
      <c r="O489" s="4" t="s">
        <v>1161</v>
      </c>
      <c r="P489" s="3" t="s">
        <v>1163</v>
      </c>
      <c r="Q489" s="8" t="s">
        <v>1106</v>
      </c>
      <c r="R489" s="8">
        <v>43299</v>
      </c>
      <c r="S489" s="9">
        <v>43299</v>
      </c>
      <c r="T489" s="8">
        <v>7</v>
      </c>
      <c r="U489" s="8" t="s">
        <v>305</v>
      </c>
      <c r="V489">
        <f t="shared" si="42"/>
        <v>7</v>
      </c>
      <c r="W489" s="8" t="str">
        <f t="shared" si="43"/>
        <v>July</v>
      </c>
    </row>
    <row r="490" spans="1:23" x14ac:dyDescent="0.55000000000000004">
      <c r="A490" t="str">
        <f t="shared" si="41"/>
        <v>JulyJulyChina - Flex IL</v>
      </c>
      <c r="B490" s="3" t="s">
        <v>20</v>
      </c>
      <c r="C490" s="4" t="s">
        <v>150</v>
      </c>
      <c r="D490" s="4" t="s">
        <v>1164</v>
      </c>
      <c r="E490" s="5">
        <v>43305</v>
      </c>
      <c r="F490" s="4" t="s">
        <v>1102</v>
      </c>
      <c r="G490" s="4" t="s">
        <v>1165</v>
      </c>
      <c r="H490" s="4" t="s">
        <v>1166</v>
      </c>
      <c r="I490" s="4" t="s">
        <v>1105</v>
      </c>
      <c r="J490" s="4" t="s">
        <v>27</v>
      </c>
      <c r="K490" s="6">
        <v>1653.29</v>
      </c>
      <c r="L490" s="6">
        <v>0</v>
      </c>
      <c r="M490" s="6">
        <v>1653.29</v>
      </c>
      <c r="N490" s="6"/>
      <c r="O490" s="4" t="s">
        <v>1165</v>
      </c>
      <c r="P490" s="3" t="s">
        <v>886</v>
      </c>
      <c r="Q490" s="8" t="s">
        <v>1106</v>
      </c>
      <c r="R490" s="8">
        <v>43299</v>
      </c>
      <c r="S490" s="9">
        <v>43299</v>
      </c>
      <c r="T490" s="8">
        <v>7</v>
      </c>
      <c r="U490" s="8" t="s">
        <v>305</v>
      </c>
      <c r="V490">
        <f t="shared" si="42"/>
        <v>7</v>
      </c>
      <c r="W490" s="8" t="str">
        <f t="shared" si="43"/>
        <v>July</v>
      </c>
    </row>
    <row r="491" spans="1:23" x14ac:dyDescent="0.55000000000000004">
      <c r="A491" t="str">
        <f t="shared" si="41"/>
        <v>JulyJulyAFG NC - DCL KY</v>
      </c>
      <c r="B491" s="3" t="s">
        <v>20</v>
      </c>
      <c r="C491" s="4" t="s">
        <v>150</v>
      </c>
      <c r="D491" s="4" t="s">
        <v>1167</v>
      </c>
      <c r="E491" s="5">
        <v>43305</v>
      </c>
      <c r="F491" s="4" t="s">
        <v>1102</v>
      </c>
      <c r="G491" s="4" t="s">
        <v>1131</v>
      </c>
      <c r="H491" s="4" t="s">
        <v>1168</v>
      </c>
      <c r="I491" s="4" t="s">
        <v>1105</v>
      </c>
      <c r="J491" s="4" t="s">
        <v>1110</v>
      </c>
      <c r="K491" s="6">
        <v>1480.44</v>
      </c>
      <c r="L491" s="6">
        <v>0</v>
      </c>
      <c r="M491" s="6">
        <v>1480.44</v>
      </c>
      <c r="N491" s="6"/>
      <c r="O491" s="4" t="s">
        <v>1131</v>
      </c>
      <c r="P491" s="3" t="s">
        <v>173</v>
      </c>
      <c r="Q491" s="8" t="s">
        <v>1112</v>
      </c>
      <c r="R491" s="8">
        <v>43299</v>
      </c>
      <c r="S491" s="9">
        <v>43299</v>
      </c>
      <c r="T491" s="8">
        <v>7</v>
      </c>
      <c r="U491" s="8" t="s">
        <v>305</v>
      </c>
      <c r="V491">
        <f t="shared" si="42"/>
        <v>7</v>
      </c>
      <c r="W491" s="8" t="str">
        <f t="shared" si="43"/>
        <v>July</v>
      </c>
    </row>
    <row r="492" spans="1:23" x14ac:dyDescent="0.55000000000000004">
      <c r="A492" t="str">
        <f t="shared" si="41"/>
        <v>JulyJulyHong Kong - Flex IL</v>
      </c>
      <c r="B492" s="3" t="s">
        <v>20</v>
      </c>
      <c r="C492" s="4" t="s">
        <v>150</v>
      </c>
      <c r="D492" s="4" t="s">
        <v>1169</v>
      </c>
      <c r="E492" s="5">
        <v>43306</v>
      </c>
      <c r="F492" s="4" t="s">
        <v>1102</v>
      </c>
      <c r="G492" s="4" t="s">
        <v>1152</v>
      </c>
      <c r="H492" s="4" t="s">
        <v>1170</v>
      </c>
      <c r="I492" s="4" t="s">
        <v>1105</v>
      </c>
      <c r="J492" s="4" t="s">
        <v>27</v>
      </c>
      <c r="K492" s="6">
        <v>6143.16</v>
      </c>
      <c r="L492" s="6">
        <v>0</v>
      </c>
      <c r="M492" s="6">
        <v>6143.16</v>
      </c>
      <c r="N492" s="6"/>
      <c r="O492" s="4" t="s">
        <v>1152</v>
      </c>
      <c r="P492" s="3" t="s">
        <v>111</v>
      </c>
      <c r="Q492" s="8" t="s">
        <v>1106</v>
      </c>
      <c r="R492" s="8">
        <v>43299</v>
      </c>
      <c r="S492" s="9">
        <v>43299</v>
      </c>
      <c r="T492" s="8">
        <v>7</v>
      </c>
      <c r="U492" s="8" t="s">
        <v>305</v>
      </c>
      <c r="V492">
        <f t="shared" si="42"/>
        <v>7</v>
      </c>
      <c r="W492" s="8" t="str">
        <f t="shared" si="43"/>
        <v>July</v>
      </c>
    </row>
    <row r="493" spans="1:23" x14ac:dyDescent="0.55000000000000004">
      <c r="A493" t="str">
        <f t="shared" si="41"/>
        <v>JulyJulyChina - DECI NC</v>
      </c>
      <c r="B493" s="3" t="s">
        <v>20</v>
      </c>
      <c r="C493" s="4" t="s">
        <v>150</v>
      </c>
      <c r="D493" s="4" t="s">
        <v>1171</v>
      </c>
      <c r="E493" s="5">
        <v>43306</v>
      </c>
      <c r="F493" s="4" t="s">
        <v>1102</v>
      </c>
      <c r="G493" s="4" t="s">
        <v>1172</v>
      </c>
      <c r="H493" s="4" t="s">
        <v>1173</v>
      </c>
      <c r="I493" s="4" t="s">
        <v>1105</v>
      </c>
      <c r="J493" s="4" t="s">
        <v>27</v>
      </c>
      <c r="K493" s="6">
        <v>24353.599999999999</v>
      </c>
      <c r="L493" s="6">
        <v>0</v>
      </c>
      <c r="M493" s="6">
        <v>24353.599999999999</v>
      </c>
      <c r="N493" s="6"/>
      <c r="O493" s="4" t="s">
        <v>1172</v>
      </c>
      <c r="P493" s="3" t="s">
        <v>97</v>
      </c>
      <c r="Q493" s="8" t="s">
        <v>1174</v>
      </c>
      <c r="R493" s="8">
        <v>43299</v>
      </c>
      <c r="S493" s="9">
        <v>43299</v>
      </c>
      <c r="T493" s="8">
        <v>7</v>
      </c>
      <c r="U493" s="8" t="s">
        <v>305</v>
      </c>
      <c r="V493">
        <f t="shared" si="42"/>
        <v>7</v>
      </c>
      <c r="W493" s="8" t="str">
        <f t="shared" si="43"/>
        <v>July</v>
      </c>
    </row>
    <row r="494" spans="1:23" x14ac:dyDescent="0.55000000000000004">
      <c r="A494" t="str">
        <f t="shared" si="41"/>
        <v>JulyJulyChina - DCL KY</v>
      </c>
      <c r="B494" s="3" t="s">
        <v>20</v>
      </c>
      <c r="C494" s="4" t="s">
        <v>150</v>
      </c>
      <c r="D494" s="4" t="s">
        <v>1175</v>
      </c>
      <c r="E494" s="5">
        <v>43306</v>
      </c>
      <c r="F494" s="4" t="s">
        <v>1102</v>
      </c>
      <c r="G494" s="4" t="s">
        <v>1176</v>
      </c>
      <c r="H494" s="4" t="s">
        <v>1177</v>
      </c>
      <c r="I494" s="4" t="s">
        <v>1105</v>
      </c>
      <c r="J494" s="4" t="s">
        <v>27</v>
      </c>
      <c r="K494" s="6">
        <v>8109.31</v>
      </c>
      <c r="L494" s="6">
        <v>0</v>
      </c>
      <c r="M494" s="6">
        <v>8109.31</v>
      </c>
      <c r="N494" s="6"/>
      <c r="O494" s="4" t="s">
        <v>1176</v>
      </c>
      <c r="P494" s="3" t="s">
        <v>82</v>
      </c>
      <c r="Q494" s="8" t="s">
        <v>1178</v>
      </c>
      <c r="R494" s="8">
        <v>43299</v>
      </c>
      <c r="S494" s="9">
        <v>43299</v>
      </c>
      <c r="T494" s="8">
        <v>7</v>
      </c>
      <c r="U494" s="8" t="s">
        <v>305</v>
      </c>
      <c r="V494">
        <f t="shared" si="42"/>
        <v>7</v>
      </c>
      <c r="W494" s="8" t="str">
        <f t="shared" si="43"/>
        <v>July</v>
      </c>
    </row>
    <row r="495" spans="1:23" x14ac:dyDescent="0.55000000000000004">
      <c r="A495" t="str">
        <f t="shared" si="41"/>
        <v>JulyJuneChina - DCL KY</v>
      </c>
      <c r="B495" s="3" t="s">
        <v>20</v>
      </c>
      <c r="C495" s="4" t="s">
        <v>150</v>
      </c>
      <c r="D495" s="4" t="s">
        <v>1179</v>
      </c>
      <c r="E495" s="5">
        <v>43306</v>
      </c>
      <c r="F495" s="4" t="s">
        <v>1102</v>
      </c>
      <c r="G495" s="4" t="s">
        <v>985</v>
      </c>
      <c r="H495" s="4" t="s">
        <v>1180</v>
      </c>
      <c r="I495" s="4" t="s">
        <v>1105</v>
      </c>
      <c r="J495" s="4" t="s">
        <v>27</v>
      </c>
      <c r="K495" s="6">
        <v>3986.01</v>
      </c>
      <c r="L495" s="6">
        <v>0</v>
      </c>
      <c r="M495" s="6">
        <v>3986.01</v>
      </c>
      <c r="N495" s="6"/>
      <c r="O495" s="4" t="s">
        <v>985</v>
      </c>
      <c r="P495" s="3" t="s">
        <v>82</v>
      </c>
      <c r="Q495" s="8" t="s">
        <v>1181</v>
      </c>
      <c r="R495" s="8">
        <v>43238</v>
      </c>
      <c r="S495" s="9">
        <v>43269</v>
      </c>
      <c r="T495" s="8">
        <v>7</v>
      </c>
      <c r="U495" s="8" t="s">
        <v>305</v>
      </c>
      <c r="V495">
        <f t="shared" si="42"/>
        <v>6</v>
      </c>
      <c r="W495" s="8" t="str">
        <f t="shared" si="43"/>
        <v>June</v>
      </c>
    </row>
    <row r="496" spans="1:23" x14ac:dyDescent="0.55000000000000004">
      <c r="A496" t="str">
        <f t="shared" si="41"/>
        <v>JulyJulyChina - DCL KY</v>
      </c>
      <c r="B496" s="3" t="s">
        <v>20</v>
      </c>
      <c r="C496" s="4" t="s">
        <v>150</v>
      </c>
      <c r="D496" s="4" t="s">
        <v>1182</v>
      </c>
      <c r="E496" s="5">
        <v>43306</v>
      </c>
      <c r="F496" s="4" t="s">
        <v>1102</v>
      </c>
      <c r="G496" s="4" t="s">
        <v>1183</v>
      </c>
      <c r="H496" s="4" t="s">
        <v>1184</v>
      </c>
      <c r="I496" s="4" t="s">
        <v>1105</v>
      </c>
      <c r="J496" s="4" t="s">
        <v>27</v>
      </c>
      <c r="K496" s="6">
        <v>53258.62</v>
      </c>
      <c r="L496" s="6">
        <v>0</v>
      </c>
      <c r="M496" s="6">
        <v>53258.62</v>
      </c>
      <c r="N496" s="6"/>
      <c r="O496" s="4" t="s">
        <v>1183</v>
      </c>
      <c r="P496" s="3" t="s">
        <v>82</v>
      </c>
      <c r="Q496" s="8" t="s">
        <v>1178</v>
      </c>
      <c r="R496" s="8">
        <v>43299</v>
      </c>
      <c r="S496" s="9">
        <v>43299</v>
      </c>
      <c r="T496" s="8">
        <v>7</v>
      </c>
      <c r="U496" s="8" t="s">
        <v>305</v>
      </c>
      <c r="V496">
        <f t="shared" si="42"/>
        <v>7</v>
      </c>
      <c r="W496" s="8" t="str">
        <f t="shared" si="43"/>
        <v>July</v>
      </c>
    </row>
    <row r="497" spans="1:23" x14ac:dyDescent="0.55000000000000004">
      <c r="A497" t="str">
        <f t="shared" si="41"/>
        <v>JulyJulyHong Kong - Phillips WI</v>
      </c>
      <c r="B497" s="3" t="s">
        <v>20</v>
      </c>
      <c r="C497" s="4" t="s">
        <v>150</v>
      </c>
      <c r="D497" s="4" t="s">
        <v>1185</v>
      </c>
      <c r="E497" s="5">
        <v>43306</v>
      </c>
      <c r="F497" s="4" t="s">
        <v>1102</v>
      </c>
      <c r="G497" s="4" t="s">
        <v>1186</v>
      </c>
      <c r="H497" s="4" t="s">
        <v>1187</v>
      </c>
      <c r="I497" s="4" t="s">
        <v>1105</v>
      </c>
      <c r="J497" s="4" t="s">
        <v>27</v>
      </c>
      <c r="K497" s="6">
        <v>13307.63</v>
      </c>
      <c r="L497" s="6">
        <v>0</v>
      </c>
      <c r="M497" s="6">
        <v>13307.63</v>
      </c>
      <c r="N497" s="6"/>
      <c r="O497" s="4" t="s">
        <v>1186</v>
      </c>
      <c r="P497" s="3" t="s">
        <v>65</v>
      </c>
      <c r="Q497" s="8" t="s">
        <v>1106</v>
      </c>
      <c r="R497" s="8">
        <v>43299</v>
      </c>
      <c r="S497" s="9">
        <v>43299</v>
      </c>
      <c r="T497" s="8">
        <v>7</v>
      </c>
      <c r="U497" s="8" t="s">
        <v>305</v>
      </c>
      <c r="V497">
        <f t="shared" si="42"/>
        <v>7</v>
      </c>
      <c r="W497" s="8" t="str">
        <f t="shared" si="43"/>
        <v>July</v>
      </c>
    </row>
    <row r="498" spans="1:23" x14ac:dyDescent="0.55000000000000004">
      <c r="A498" t="str">
        <f t="shared" si="41"/>
        <v>JulyJulyChina - DCL KY</v>
      </c>
      <c r="B498" s="3" t="s">
        <v>20</v>
      </c>
      <c r="C498" s="4" t="s">
        <v>150</v>
      </c>
      <c r="D498" s="4" t="s">
        <v>1188</v>
      </c>
      <c r="E498" s="5">
        <v>43306</v>
      </c>
      <c r="F498" s="4" t="s">
        <v>1102</v>
      </c>
      <c r="G498" s="4" t="s">
        <v>1189</v>
      </c>
      <c r="H498" s="4" t="s">
        <v>1190</v>
      </c>
      <c r="I498" s="4" t="s">
        <v>1105</v>
      </c>
      <c r="J498" s="4" t="s">
        <v>27</v>
      </c>
      <c r="K498" s="6">
        <v>12218.94</v>
      </c>
      <c r="L498" s="6">
        <v>0</v>
      </c>
      <c r="M498" s="6">
        <v>12218.94</v>
      </c>
      <c r="N498" s="6"/>
      <c r="O498" s="4" t="s">
        <v>1189</v>
      </c>
      <c r="P498" s="3" t="s">
        <v>82</v>
      </c>
      <c r="Q498" s="8" t="s">
        <v>1116</v>
      </c>
      <c r="R498" s="8">
        <v>43299</v>
      </c>
      <c r="S498" s="9">
        <v>43299</v>
      </c>
      <c r="T498" s="8">
        <v>7</v>
      </c>
      <c r="U498" s="8" t="s">
        <v>305</v>
      </c>
      <c r="V498">
        <f t="shared" si="42"/>
        <v>7</v>
      </c>
      <c r="W498" s="8" t="str">
        <f t="shared" si="43"/>
        <v>July</v>
      </c>
    </row>
    <row r="499" spans="1:23" x14ac:dyDescent="0.55000000000000004">
      <c r="A499" t="str">
        <f t="shared" si="41"/>
        <v>JulyJulyChina - DCL KY</v>
      </c>
      <c r="B499" s="3" t="s">
        <v>20</v>
      </c>
      <c r="C499" s="4" t="s">
        <v>150</v>
      </c>
      <c r="D499" s="4" t="s">
        <v>1191</v>
      </c>
      <c r="E499" s="5">
        <v>43306</v>
      </c>
      <c r="F499" s="4" t="s">
        <v>1102</v>
      </c>
      <c r="G499" s="4" t="s">
        <v>1192</v>
      </c>
      <c r="H499" s="4" t="s">
        <v>1193</v>
      </c>
      <c r="I499" s="4" t="s">
        <v>1105</v>
      </c>
      <c r="J499" s="4" t="s">
        <v>27</v>
      </c>
      <c r="K499" s="6">
        <v>55936.81</v>
      </c>
      <c r="L499" s="6">
        <v>0</v>
      </c>
      <c r="M499" s="6">
        <v>55936.81</v>
      </c>
      <c r="N499" s="6"/>
      <c r="O499" s="4" t="s">
        <v>1192</v>
      </c>
      <c r="P499" s="3" t="s">
        <v>82</v>
      </c>
      <c r="Q499" s="8" t="s">
        <v>1178</v>
      </c>
      <c r="R499" s="8">
        <v>43299</v>
      </c>
      <c r="S499" s="9">
        <v>43299</v>
      </c>
      <c r="T499" s="8">
        <v>7</v>
      </c>
      <c r="U499" s="8" t="s">
        <v>305</v>
      </c>
      <c r="V499">
        <f t="shared" si="42"/>
        <v>7</v>
      </c>
      <c r="W499" s="8" t="str">
        <f t="shared" si="43"/>
        <v>July</v>
      </c>
    </row>
    <row r="500" spans="1:23" x14ac:dyDescent="0.55000000000000004">
      <c r="A500" t="str">
        <f t="shared" si="41"/>
        <v>JulyJulyChina - Flex IL</v>
      </c>
      <c r="B500" s="3" t="s">
        <v>20</v>
      </c>
      <c r="C500" s="4" t="s">
        <v>150</v>
      </c>
      <c r="D500" s="4" t="s">
        <v>1194</v>
      </c>
      <c r="E500" s="5">
        <v>43306</v>
      </c>
      <c r="F500" s="4" t="s">
        <v>1102</v>
      </c>
      <c r="G500" s="4" t="s">
        <v>1195</v>
      </c>
      <c r="H500" s="4" t="s">
        <v>1196</v>
      </c>
      <c r="I500" s="4" t="s">
        <v>1105</v>
      </c>
      <c r="J500" s="4" t="s">
        <v>27</v>
      </c>
      <c r="K500" s="6">
        <v>5445.06</v>
      </c>
      <c r="L500" s="6">
        <v>0</v>
      </c>
      <c r="M500" s="6">
        <v>5445.06</v>
      </c>
      <c r="N500" s="6"/>
      <c r="O500" s="4" t="s">
        <v>1195</v>
      </c>
      <c r="P500" s="3" t="s">
        <v>886</v>
      </c>
      <c r="Q500" s="8" t="s">
        <v>1106</v>
      </c>
      <c r="R500" s="8">
        <v>43299</v>
      </c>
      <c r="S500" s="9">
        <v>43299</v>
      </c>
      <c r="T500" s="8">
        <v>7</v>
      </c>
      <c r="U500" s="8" t="s">
        <v>305</v>
      </c>
      <c r="V500">
        <f t="shared" si="42"/>
        <v>7</v>
      </c>
      <c r="W500" s="8" t="str">
        <f t="shared" si="43"/>
        <v>July</v>
      </c>
    </row>
    <row r="501" spans="1:23" x14ac:dyDescent="0.55000000000000004">
      <c r="A501" t="str">
        <f t="shared" si="41"/>
        <v>JulyJulyHong Kong - Phillips WI</v>
      </c>
      <c r="B501" s="3" t="s">
        <v>20</v>
      </c>
      <c r="C501" s="4" t="s">
        <v>150</v>
      </c>
      <c r="D501" s="4" t="s">
        <v>1197</v>
      </c>
      <c r="E501" s="5">
        <v>43306</v>
      </c>
      <c r="F501" s="4" t="s">
        <v>1102</v>
      </c>
      <c r="G501" s="4" t="s">
        <v>1198</v>
      </c>
      <c r="H501" s="4" t="s">
        <v>1199</v>
      </c>
      <c r="I501" s="4" t="s">
        <v>1105</v>
      </c>
      <c r="J501" s="4" t="s">
        <v>27</v>
      </c>
      <c r="K501" s="6">
        <v>9668.84</v>
      </c>
      <c r="L501" s="6">
        <v>0</v>
      </c>
      <c r="M501" s="6">
        <v>9668.84</v>
      </c>
      <c r="N501" s="6"/>
      <c r="O501" s="4" t="s">
        <v>1198</v>
      </c>
      <c r="P501" s="3" t="s">
        <v>65</v>
      </c>
      <c r="Q501" s="8" t="s">
        <v>1106</v>
      </c>
      <c r="R501" s="8">
        <v>43299</v>
      </c>
      <c r="S501" s="9">
        <v>43299</v>
      </c>
      <c r="T501" s="8">
        <v>7</v>
      </c>
      <c r="U501" s="8" t="s">
        <v>305</v>
      </c>
      <c r="V501">
        <f t="shared" si="42"/>
        <v>7</v>
      </c>
      <c r="W501" s="8" t="str">
        <f t="shared" si="43"/>
        <v>July</v>
      </c>
    </row>
    <row r="502" spans="1:23" x14ac:dyDescent="0.55000000000000004">
      <c r="A502" t="str">
        <f t="shared" si="41"/>
        <v>JulyJulyChina - Flex IL</v>
      </c>
      <c r="B502" s="3" t="s">
        <v>20</v>
      </c>
      <c r="C502" s="4" t="s">
        <v>150</v>
      </c>
      <c r="D502" s="4" t="s">
        <v>1200</v>
      </c>
      <c r="E502" s="5">
        <v>43306</v>
      </c>
      <c r="F502" s="4" t="s">
        <v>1102</v>
      </c>
      <c r="G502" s="4" t="s">
        <v>1201</v>
      </c>
      <c r="H502" s="4" t="s">
        <v>1202</v>
      </c>
      <c r="I502" s="4" t="s">
        <v>1105</v>
      </c>
      <c r="J502" s="4" t="s">
        <v>27</v>
      </c>
      <c r="K502" s="6">
        <v>2640.9</v>
      </c>
      <c r="L502" s="6">
        <v>0</v>
      </c>
      <c r="M502" s="6">
        <v>2640.9</v>
      </c>
      <c r="N502" s="6"/>
      <c r="O502" s="4" t="s">
        <v>1201</v>
      </c>
      <c r="P502" s="3" t="s">
        <v>886</v>
      </c>
      <c r="Q502" s="8" t="s">
        <v>1106</v>
      </c>
      <c r="R502" s="8">
        <v>43299</v>
      </c>
      <c r="S502" s="9">
        <v>43299</v>
      </c>
      <c r="T502" s="8">
        <v>7</v>
      </c>
      <c r="U502" s="8" t="s">
        <v>305</v>
      </c>
      <c r="V502">
        <f t="shared" si="42"/>
        <v>7</v>
      </c>
      <c r="W502" s="8" t="str">
        <f t="shared" si="43"/>
        <v>July</v>
      </c>
    </row>
    <row r="503" spans="1:23" x14ac:dyDescent="0.55000000000000004">
      <c r="A503" t="str">
        <f t="shared" si="41"/>
        <v>JulyJulyChina - DCL KY</v>
      </c>
      <c r="B503" s="3" t="s">
        <v>20</v>
      </c>
      <c r="C503" s="4" t="s">
        <v>150</v>
      </c>
      <c r="D503" s="4" t="s">
        <v>1203</v>
      </c>
      <c r="E503" s="5">
        <v>43306</v>
      </c>
      <c r="F503" s="4" t="s">
        <v>1102</v>
      </c>
      <c r="G503" s="4" t="s">
        <v>1204</v>
      </c>
      <c r="H503" s="4" t="s">
        <v>1205</v>
      </c>
      <c r="I503" s="4" t="s">
        <v>1105</v>
      </c>
      <c r="J503" s="4" t="s">
        <v>27</v>
      </c>
      <c r="K503" s="6">
        <v>12487.62</v>
      </c>
      <c r="L503" s="6">
        <v>0</v>
      </c>
      <c r="M503" s="6">
        <v>12487.62</v>
      </c>
      <c r="N503" s="6"/>
      <c r="O503" s="4" t="s">
        <v>1204</v>
      </c>
      <c r="P503" s="3" t="s">
        <v>82</v>
      </c>
      <c r="Q503" s="8" t="s">
        <v>1116</v>
      </c>
      <c r="R503" s="8">
        <v>43299</v>
      </c>
      <c r="S503" s="9">
        <v>43299</v>
      </c>
      <c r="T503" s="8">
        <v>7</v>
      </c>
      <c r="U503" s="8" t="s">
        <v>305</v>
      </c>
      <c r="V503">
        <f t="shared" si="42"/>
        <v>7</v>
      </c>
      <c r="W503" s="8" t="str">
        <f t="shared" si="43"/>
        <v>July</v>
      </c>
    </row>
    <row r="504" spans="1:23" x14ac:dyDescent="0.55000000000000004">
      <c r="A504" t="str">
        <f t="shared" si="41"/>
        <v>JulyJuneHong Kong - AFG NC</v>
      </c>
      <c r="B504" s="3" t="s">
        <v>20</v>
      </c>
      <c r="C504" s="4" t="s">
        <v>150</v>
      </c>
      <c r="D504" s="4" t="s">
        <v>1206</v>
      </c>
      <c r="E504" s="5">
        <v>43306</v>
      </c>
      <c r="F504" s="4" t="s">
        <v>1102</v>
      </c>
      <c r="G504" s="4" t="s">
        <v>1207</v>
      </c>
      <c r="H504" s="4" t="s">
        <v>1208</v>
      </c>
      <c r="I504" s="4" t="s">
        <v>1105</v>
      </c>
      <c r="J504" s="4" t="s">
        <v>27</v>
      </c>
      <c r="K504" s="6">
        <v>7141.37</v>
      </c>
      <c r="L504" s="6">
        <v>0</v>
      </c>
      <c r="M504" s="6">
        <v>7141.37</v>
      </c>
      <c r="N504" s="6"/>
      <c r="O504" s="4" t="s">
        <v>1207</v>
      </c>
      <c r="P504" s="3" t="s">
        <v>334</v>
      </c>
      <c r="Q504" s="8" t="s">
        <v>1106</v>
      </c>
      <c r="R504" s="8">
        <v>43282</v>
      </c>
      <c r="S504" s="9">
        <v>43252</v>
      </c>
      <c r="T504" s="8">
        <v>7</v>
      </c>
      <c r="U504" s="8" t="s">
        <v>305</v>
      </c>
      <c r="V504">
        <f t="shared" si="42"/>
        <v>6</v>
      </c>
      <c r="W504" s="8" t="str">
        <f t="shared" si="43"/>
        <v>June</v>
      </c>
    </row>
    <row r="505" spans="1:23" x14ac:dyDescent="0.55000000000000004">
      <c r="A505" t="str">
        <f t="shared" si="41"/>
        <v>JulyJulyChina - DCL KY</v>
      </c>
      <c r="B505" s="3" t="s">
        <v>20</v>
      </c>
      <c r="C505" s="4" t="s">
        <v>150</v>
      </c>
      <c r="D505" s="4" t="s">
        <v>1209</v>
      </c>
      <c r="E505" s="5">
        <v>43306</v>
      </c>
      <c r="F505" s="4" t="s">
        <v>1102</v>
      </c>
      <c r="G505" s="4" t="s">
        <v>1210</v>
      </c>
      <c r="H505" s="4" t="s">
        <v>1211</v>
      </c>
      <c r="I505" s="4" t="s">
        <v>1105</v>
      </c>
      <c r="J505" s="4" t="s">
        <v>27</v>
      </c>
      <c r="K505" s="6">
        <v>40873.69</v>
      </c>
      <c r="L505" s="6">
        <v>0</v>
      </c>
      <c r="M505" s="6">
        <v>40873.69</v>
      </c>
      <c r="N505" s="6"/>
      <c r="O505" s="4" t="s">
        <v>1210</v>
      </c>
      <c r="P505" s="3" t="s">
        <v>82</v>
      </c>
      <c r="Q505" s="8" t="s">
        <v>1116</v>
      </c>
      <c r="R505" s="8">
        <v>43299</v>
      </c>
      <c r="S505" s="9">
        <v>43299</v>
      </c>
      <c r="T505" s="8">
        <v>7</v>
      </c>
      <c r="U505" s="8" t="s">
        <v>305</v>
      </c>
      <c r="V505">
        <f t="shared" si="42"/>
        <v>7</v>
      </c>
      <c r="W505" s="8" t="str">
        <f t="shared" si="43"/>
        <v>July</v>
      </c>
    </row>
    <row r="506" spans="1:23" x14ac:dyDescent="0.55000000000000004">
      <c r="A506" t="str">
        <f t="shared" si="41"/>
        <v>JulyJulyChina - DCL KY</v>
      </c>
      <c r="B506" s="3" t="s">
        <v>20</v>
      </c>
      <c r="C506" s="4" t="s">
        <v>150</v>
      </c>
      <c r="D506" s="4" t="s">
        <v>1212</v>
      </c>
      <c r="E506" s="5">
        <v>43306</v>
      </c>
      <c r="F506" s="4" t="s">
        <v>1102</v>
      </c>
      <c r="G506" s="4" t="s">
        <v>1213</v>
      </c>
      <c r="H506" s="4" t="s">
        <v>1214</v>
      </c>
      <c r="I506" s="4" t="s">
        <v>1105</v>
      </c>
      <c r="J506" s="4" t="s">
        <v>27</v>
      </c>
      <c r="K506" s="6">
        <v>33998.370000000003</v>
      </c>
      <c r="L506" s="6">
        <v>0</v>
      </c>
      <c r="M506" s="6">
        <v>33998.370000000003</v>
      </c>
      <c r="N506" s="6"/>
      <c r="O506" s="4" t="s">
        <v>1213</v>
      </c>
      <c r="P506" s="3" t="s">
        <v>82</v>
      </c>
      <c r="Q506" s="8" t="s">
        <v>1116</v>
      </c>
      <c r="R506" s="8">
        <v>43299</v>
      </c>
      <c r="S506" s="9">
        <v>43299</v>
      </c>
      <c r="T506" s="8">
        <v>7</v>
      </c>
      <c r="U506" s="8" t="s">
        <v>305</v>
      </c>
      <c r="V506">
        <f t="shared" si="42"/>
        <v>7</v>
      </c>
      <c r="W506" s="8" t="str">
        <f t="shared" si="43"/>
        <v>July</v>
      </c>
    </row>
    <row r="507" spans="1:23" x14ac:dyDescent="0.55000000000000004">
      <c r="A507" t="str">
        <f t="shared" si="41"/>
        <v>JulyJulyFlex IL - DCL KY</v>
      </c>
      <c r="B507" s="3" t="s">
        <v>20</v>
      </c>
      <c r="C507" s="4" t="s">
        <v>150</v>
      </c>
      <c r="D507" s="4" t="s">
        <v>1215</v>
      </c>
      <c r="E507" s="5">
        <v>43306</v>
      </c>
      <c r="F507" s="4" t="s">
        <v>1102</v>
      </c>
      <c r="G507" s="4" t="s">
        <v>1216</v>
      </c>
      <c r="H507" s="4" t="s">
        <v>1217</v>
      </c>
      <c r="I507" s="4" t="s">
        <v>1105</v>
      </c>
      <c r="J507" s="4" t="s">
        <v>1110</v>
      </c>
      <c r="K507" s="6">
        <v>1378.11</v>
      </c>
      <c r="L507" s="6">
        <v>0</v>
      </c>
      <c r="M507" s="6">
        <v>1378.11</v>
      </c>
      <c r="N507" s="6"/>
      <c r="O507" s="4" t="s">
        <v>1216</v>
      </c>
      <c r="P507" s="3" t="s">
        <v>1137</v>
      </c>
      <c r="Q507" s="8" t="s">
        <v>1112</v>
      </c>
      <c r="R507" s="8">
        <v>43299</v>
      </c>
      <c r="S507" s="9">
        <v>43299</v>
      </c>
      <c r="T507" s="8">
        <v>7</v>
      </c>
      <c r="U507" s="8" t="s">
        <v>305</v>
      </c>
      <c r="V507">
        <f t="shared" si="42"/>
        <v>7</v>
      </c>
      <c r="W507" s="8" t="str">
        <f t="shared" si="43"/>
        <v>July</v>
      </c>
    </row>
    <row r="508" spans="1:23" x14ac:dyDescent="0.55000000000000004">
      <c r="A508" t="str">
        <f t="shared" si="41"/>
        <v>JulyJulyFlex IL - DCL KY</v>
      </c>
      <c r="B508" s="3" t="s">
        <v>20</v>
      </c>
      <c r="C508" s="4" t="s">
        <v>150</v>
      </c>
      <c r="D508" s="4" t="s">
        <v>1218</v>
      </c>
      <c r="E508" s="5">
        <v>43306</v>
      </c>
      <c r="F508" s="4" t="s">
        <v>1102</v>
      </c>
      <c r="G508" s="4" t="s">
        <v>1219</v>
      </c>
      <c r="H508" s="4" t="s">
        <v>1220</v>
      </c>
      <c r="I508" s="4" t="s">
        <v>1105</v>
      </c>
      <c r="J508" s="4" t="s">
        <v>1110</v>
      </c>
      <c r="K508" s="6">
        <v>1378.11</v>
      </c>
      <c r="L508" s="6">
        <v>0</v>
      </c>
      <c r="M508" s="6">
        <v>1378.11</v>
      </c>
      <c r="N508" s="6"/>
      <c r="O508" s="4" t="s">
        <v>1219</v>
      </c>
      <c r="P508" s="3" t="s">
        <v>1137</v>
      </c>
      <c r="Q508" s="8" t="s">
        <v>1112</v>
      </c>
      <c r="R508" s="8">
        <v>43299</v>
      </c>
      <c r="S508" s="9">
        <v>43299</v>
      </c>
      <c r="T508" s="8">
        <v>7</v>
      </c>
      <c r="U508" s="8" t="s">
        <v>305</v>
      </c>
      <c r="V508">
        <f t="shared" si="42"/>
        <v>7</v>
      </c>
      <c r="W508" s="8" t="str">
        <f t="shared" si="43"/>
        <v>July</v>
      </c>
    </row>
    <row r="509" spans="1:23" x14ac:dyDescent="0.55000000000000004">
      <c r="A509" t="str">
        <f t="shared" si="41"/>
        <v>JulyJulyAFG NC - DCL KY</v>
      </c>
      <c r="B509" s="3" t="s">
        <v>20</v>
      </c>
      <c r="C509" s="4" t="s">
        <v>150</v>
      </c>
      <c r="D509" s="4" t="s">
        <v>1221</v>
      </c>
      <c r="E509" s="5">
        <v>43307</v>
      </c>
      <c r="F509" s="4" t="s">
        <v>1102</v>
      </c>
      <c r="G509" s="4" t="s">
        <v>1222</v>
      </c>
      <c r="H509" s="4" t="s">
        <v>1223</v>
      </c>
      <c r="I509" s="4" t="s">
        <v>1105</v>
      </c>
      <c r="J509" s="4" t="s">
        <v>27</v>
      </c>
      <c r="K509" s="6">
        <v>3100</v>
      </c>
      <c r="L509" s="6">
        <v>0</v>
      </c>
      <c r="M509" s="6">
        <v>3100</v>
      </c>
      <c r="N509" s="6"/>
      <c r="O509" s="4" t="s">
        <v>1222</v>
      </c>
      <c r="P509" s="3" t="s">
        <v>173</v>
      </c>
      <c r="Q509" s="8" t="s">
        <v>1106</v>
      </c>
      <c r="R509" s="8">
        <v>43299</v>
      </c>
      <c r="S509" s="9">
        <v>43299</v>
      </c>
      <c r="T509" s="8">
        <v>7</v>
      </c>
      <c r="U509" s="8" t="s">
        <v>305</v>
      </c>
      <c r="V509">
        <f t="shared" si="42"/>
        <v>7</v>
      </c>
      <c r="W509" s="8" t="str">
        <f t="shared" si="43"/>
        <v>July</v>
      </c>
    </row>
    <row r="510" spans="1:23" x14ac:dyDescent="0.55000000000000004">
      <c r="A510" t="str">
        <f t="shared" si="41"/>
        <v>JulyJulyAFG NC - DCL KY</v>
      </c>
      <c r="B510" s="3" t="s">
        <v>20</v>
      </c>
      <c r="C510" s="4" t="s">
        <v>150</v>
      </c>
      <c r="D510" s="4" t="s">
        <v>1224</v>
      </c>
      <c r="E510" s="5">
        <v>43307</v>
      </c>
      <c r="F510" s="4" t="s">
        <v>1102</v>
      </c>
      <c r="G510" s="4" t="s">
        <v>1225</v>
      </c>
      <c r="H510" s="4" t="s">
        <v>1226</v>
      </c>
      <c r="I510" s="4" t="s">
        <v>1105</v>
      </c>
      <c r="J510" s="4" t="s">
        <v>1110</v>
      </c>
      <c r="K510" s="6">
        <v>1480.44</v>
      </c>
      <c r="L510" s="6">
        <v>0</v>
      </c>
      <c r="M510" s="6">
        <v>1480.44</v>
      </c>
      <c r="N510" s="6"/>
      <c r="O510" s="4" t="s">
        <v>1225</v>
      </c>
      <c r="P510" s="3" t="s">
        <v>173</v>
      </c>
      <c r="Q510" s="8" t="s">
        <v>1112</v>
      </c>
      <c r="R510" s="8">
        <v>43299</v>
      </c>
      <c r="S510" s="9">
        <v>43299</v>
      </c>
      <c r="T510" s="8">
        <v>7</v>
      </c>
      <c r="U510" s="8" t="s">
        <v>305</v>
      </c>
      <c r="V510">
        <f t="shared" si="42"/>
        <v>7</v>
      </c>
      <c r="W510" s="8" t="str">
        <f t="shared" si="43"/>
        <v>July</v>
      </c>
    </row>
    <row r="511" spans="1:23" x14ac:dyDescent="0.55000000000000004">
      <c r="A511" t="str">
        <f t="shared" si="41"/>
        <v>JulyJulyAFG NC - DCL KY</v>
      </c>
      <c r="B511" s="3" t="s">
        <v>20</v>
      </c>
      <c r="C511" s="4" t="s">
        <v>150</v>
      </c>
      <c r="D511" s="4" t="s">
        <v>1227</v>
      </c>
      <c r="E511" s="5">
        <v>43307</v>
      </c>
      <c r="F511" s="4" t="s">
        <v>1102</v>
      </c>
      <c r="G511" s="4" t="s">
        <v>1225</v>
      </c>
      <c r="H511" s="4" t="s">
        <v>1228</v>
      </c>
      <c r="I511" s="4" t="s">
        <v>1105</v>
      </c>
      <c r="J511" s="4" t="s">
        <v>1110</v>
      </c>
      <c r="K511" s="6">
        <v>1480.44</v>
      </c>
      <c r="L511" s="6">
        <v>0</v>
      </c>
      <c r="M511" s="6">
        <v>1480.44</v>
      </c>
      <c r="N511" s="6"/>
      <c r="O511" s="4" t="s">
        <v>1225</v>
      </c>
      <c r="P511" s="3" t="s">
        <v>173</v>
      </c>
      <c r="Q511" s="8" t="s">
        <v>1112</v>
      </c>
      <c r="R511" s="8">
        <v>43299</v>
      </c>
      <c r="S511" s="9">
        <v>43299</v>
      </c>
      <c r="T511" s="8">
        <v>7</v>
      </c>
      <c r="U511" s="8" t="s">
        <v>305</v>
      </c>
      <c r="V511">
        <f t="shared" si="42"/>
        <v>7</v>
      </c>
      <c r="W511" s="8" t="str">
        <f t="shared" si="43"/>
        <v>July</v>
      </c>
    </row>
    <row r="512" spans="1:23" x14ac:dyDescent="0.55000000000000004">
      <c r="A512" t="str">
        <f t="shared" si="41"/>
        <v>JulyJulyDECI NC - DCL KY</v>
      </c>
      <c r="B512" s="3" t="s">
        <v>20</v>
      </c>
      <c r="C512" s="4" t="s">
        <v>150</v>
      </c>
      <c r="D512" s="4" t="s">
        <v>1229</v>
      </c>
      <c r="E512" s="5">
        <v>43309</v>
      </c>
      <c r="F512" s="4" t="s">
        <v>1102</v>
      </c>
      <c r="G512" s="4" t="s">
        <v>1230</v>
      </c>
      <c r="H512" s="4" t="s">
        <v>1231</v>
      </c>
      <c r="I512" s="4" t="s">
        <v>1105</v>
      </c>
      <c r="J512" s="4" t="s">
        <v>1110</v>
      </c>
      <c r="K512" s="6">
        <v>1480.24</v>
      </c>
      <c r="L512" s="6">
        <v>0</v>
      </c>
      <c r="M512" s="6">
        <v>1480.24</v>
      </c>
      <c r="N512" s="6"/>
      <c r="O512" s="4" t="s">
        <v>1230</v>
      </c>
      <c r="P512" s="3" t="s">
        <v>178</v>
      </c>
      <c r="Q512" s="8" t="s">
        <v>1232</v>
      </c>
      <c r="R512" s="8">
        <v>43299</v>
      </c>
      <c r="S512" s="9">
        <v>43299</v>
      </c>
      <c r="T512" s="8">
        <v>7</v>
      </c>
      <c r="U512" s="8" t="s">
        <v>305</v>
      </c>
      <c r="V512">
        <f t="shared" si="42"/>
        <v>7</v>
      </c>
      <c r="W512" s="8" t="str">
        <f t="shared" si="43"/>
        <v>July</v>
      </c>
    </row>
    <row r="513" spans="1:23" x14ac:dyDescent="0.55000000000000004">
      <c r="A513" t="str">
        <f t="shared" si="41"/>
        <v>JulyJulyPhillips WI - AFG NC</v>
      </c>
      <c r="B513" s="3" t="s">
        <v>20</v>
      </c>
      <c r="C513" s="4" t="s">
        <v>150</v>
      </c>
      <c r="D513" s="4" t="s">
        <v>1233</v>
      </c>
      <c r="E513" s="5">
        <v>43310</v>
      </c>
      <c r="F513" s="4" t="s">
        <v>1102</v>
      </c>
      <c r="G513" s="4" t="s">
        <v>1234</v>
      </c>
      <c r="H513" s="4" t="s">
        <v>1235</v>
      </c>
      <c r="I513" s="4" t="s">
        <v>1105</v>
      </c>
      <c r="J513" s="4" t="s">
        <v>1110</v>
      </c>
      <c r="K513" s="6">
        <v>2900</v>
      </c>
      <c r="L513" s="6">
        <v>0</v>
      </c>
      <c r="M513" s="6">
        <v>2900</v>
      </c>
      <c r="N513" s="6"/>
      <c r="O513" s="4" t="s">
        <v>1234</v>
      </c>
      <c r="P513" s="3" t="s">
        <v>1236</v>
      </c>
      <c r="Q513" s="8" t="s">
        <v>1133</v>
      </c>
      <c r="R513" s="8">
        <v>43299</v>
      </c>
      <c r="S513" s="9">
        <v>43299</v>
      </c>
      <c r="T513" s="8">
        <v>7</v>
      </c>
      <c r="U513" s="8" t="s">
        <v>305</v>
      </c>
      <c r="V513">
        <f t="shared" si="42"/>
        <v>7</v>
      </c>
      <c r="W513" s="8" t="str">
        <f t="shared" si="43"/>
        <v>July</v>
      </c>
    </row>
    <row r="514" spans="1:23" x14ac:dyDescent="0.55000000000000004">
      <c r="A514" t="str">
        <f t="shared" si="41"/>
        <v>JulyJulyDECI NC - Canada</v>
      </c>
      <c r="B514" s="3" t="s">
        <v>20</v>
      </c>
      <c r="C514" s="4" t="s">
        <v>150</v>
      </c>
      <c r="D514" s="4" t="s">
        <v>1237</v>
      </c>
      <c r="E514" s="5">
        <v>43312</v>
      </c>
      <c r="F514" s="4" t="s">
        <v>1102</v>
      </c>
      <c r="G514" s="4" t="s">
        <v>1238</v>
      </c>
      <c r="H514" s="4" t="s">
        <v>1239</v>
      </c>
      <c r="I514" s="4" t="s">
        <v>1105</v>
      </c>
      <c r="J514" s="4" t="s">
        <v>27</v>
      </c>
      <c r="K514" s="6">
        <v>5727.45</v>
      </c>
      <c r="L514" s="6">
        <v>0</v>
      </c>
      <c r="M514" s="6">
        <v>5727.45</v>
      </c>
      <c r="N514" s="6"/>
      <c r="O514" s="4" t="s">
        <v>1238</v>
      </c>
      <c r="P514" s="3" t="s">
        <v>1163</v>
      </c>
      <c r="Q514" s="8" t="s">
        <v>1106</v>
      </c>
      <c r="R514" s="8">
        <v>43299</v>
      </c>
      <c r="S514" s="9">
        <v>43299</v>
      </c>
      <c r="T514" s="8">
        <v>7</v>
      </c>
      <c r="U514" s="8" t="s">
        <v>305</v>
      </c>
      <c r="V514">
        <f t="shared" si="42"/>
        <v>7</v>
      </c>
      <c r="W514" s="8" t="str">
        <f t="shared" si="43"/>
        <v>July</v>
      </c>
    </row>
    <row r="515" spans="1:23" x14ac:dyDescent="0.55000000000000004">
      <c r="A515" t="str">
        <f t="shared" si="41"/>
        <v>JulyJulyChina - DECI NC</v>
      </c>
      <c r="B515" s="3" t="s">
        <v>20</v>
      </c>
      <c r="C515" s="4" t="s">
        <v>150</v>
      </c>
      <c r="D515" s="4" t="s">
        <v>1240</v>
      </c>
      <c r="E515" s="5">
        <v>43312</v>
      </c>
      <c r="F515" s="4" t="s">
        <v>1102</v>
      </c>
      <c r="G515" s="4" t="s">
        <v>1241</v>
      </c>
      <c r="H515" s="4" t="s">
        <v>1242</v>
      </c>
      <c r="I515" s="4" t="s">
        <v>1105</v>
      </c>
      <c r="J515" s="4" t="s">
        <v>27</v>
      </c>
      <c r="K515" s="6">
        <v>51418.43</v>
      </c>
      <c r="L515" s="6">
        <v>0</v>
      </c>
      <c r="M515" s="6">
        <v>51418.43</v>
      </c>
      <c r="N515" s="6"/>
      <c r="O515" s="4" t="s">
        <v>1241</v>
      </c>
      <c r="P515" s="3" t="s">
        <v>97</v>
      </c>
      <c r="Q515" s="8" t="s">
        <v>1243</v>
      </c>
      <c r="R515" s="8">
        <v>43299</v>
      </c>
      <c r="S515" s="9">
        <v>43299</v>
      </c>
      <c r="T515" s="8">
        <v>7</v>
      </c>
      <c r="U515" s="8" t="s">
        <v>305</v>
      </c>
      <c r="V515">
        <f t="shared" si="42"/>
        <v>7</v>
      </c>
      <c r="W515" s="8" t="str">
        <f t="shared" si="43"/>
        <v>July</v>
      </c>
    </row>
    <row r="516" spans="1:23" x14ac:dyDescent="0.55000000000000004">
      <c r="A516" t="str">
        <f t="shared" si="41"/>
        <v>JulyJulyChina - DCL KY</v>
      </c>
      <c r="B516" s="3" t="s">
        <v>20</v>
      </c>
      <c r="C516" s="4" t="s">
        <v>150</v>
      </c>
      <c r="D516" s="4" t="s">
        <v>1244</v>
      </c>
      <c r="E516" s="5">
        <v>43312</v>
      </c>
      <c r="F516" s="4" t="s">
        <v>1102</v>
      </c>
      <c r="G516" s="4" t="s">
        <v>1245</v>
      </c>
      <c r="H516" s="4" t="s">
        <v>1246</v>
      </c>
      <c r="I516" s="4" t="s">
        <v>1105</v>
      </c>
      <c r="J516" s="4" t="s">
        <v>27</v>
      </c>
      <c r="K516" s="6">
        <v>47640.14</v>
      </c>
      <c r="L516" s="6">
        <v>0</v>
      </c>
      <c r="M516" s="6">
        <v>47640.14</v>
      </c>
      <c r="N516" s="6"/>
      <c r="O516" s="4" t="s">
        <v>1245</v>
      </c>
      <c r="P516" s="3" t="s">
        <v>82</v>
      </c>
      <c r="Q516" s="8" t="s">
        <v>1247</v>
      </c>
      <c r="R516" s="8">
        <v>43299</v>
      </c>
      <c r="S516" s="9">
        <v>43299</v>
      </c>
      <c r="T516" s="8">
        <v>7</v>
      </c>
      <c r="U516" s="8" t="s">
        <v>305</v>
      </c>
      <c r="V516">
        <f t="shared" si="42"/>
        <v>7</v>
      </c>
      <c r="W516" s="8" t="str">
        <f t="shared" si="43"/>
        <v>July</v>
      </c>
    </row>
    <row r="517" spans="1:23" x14ac:dyDescent="0.55000000000000004">
      <c r="A517" t="str">
        <f t="shared" si="41"/>
        <v>JulyJulyChina - Flex IL</v>
      </c>
      <c r="B517" s="3" t="s">
        <v>20</v>
      </c>
      <c r="C517" s="4" t="s">
        <v>150</v>
      </c>
      <c r="D517" s="4" t="s">
        <v>1248</v>
      </c>
      <c r="E517" s="5">
        <v>43312</v>
      </c>
      <c r="F517" s="4" t="s">
        <v>1102</v>
      </c>
      <c r="G517" s="4" t="s">
        <v>1249</v>
      </c>
      <c r="H517" s="4" t="s">
        <v>1250</v>
      </c>
      <c r="I517" s="4" t="s">
        <v>1105</v>
      </c>
      <c r="J517" s="4" t="s">
        <v>27</v>
      </c>
      <c r="K517" s="6">
        <v>2711.01</v>
      </c>
      <c r="L517" s="6">
        <v>0</v>
      </c>
      <c r="M517" s="6">
        <v>2711.01</v>
      </c>
      <c r="N517" s="6"/>
      <c r="O517" s="4" t="s">
        <v>1249</v>
      </c>
      <c r="P517" s="3" t="s">
        <v>886</v>
      </c>
      <c r="Q517" s="8" t="s">
        <v>1106</v>
      </c>
      <c r="R517" s="8">
        <v>43299</v>
      </c>
      <c r="S517" s="9">
        <v>43299</v>
      </c>
      <c r="T517" s="8">
        <v>7</v>
      </c>
      <c r="U517" s="8" t="s">
        <v>305</v>
      </c>
      <c r="V517">
        <f t="shared" si="42"/>
        <v>7</v>
      </c>
      <c r="W517" s="8" t="str">
        <f t="shared" si="43"/>
        <v>July</v>
      </c>
    </row>
    <row r="518" spans="1:23" x14ac:dyDescent="0.55000000000000004">
      <c r="A518" t="str">
        <f t="shared" si="41"/>
        <v>JulyJulyChina - DCL KY</v>
      </c>
      <c r="B518" s="3" t="s">
        <v>20</v>
      </c>
      <c r="C518" s="4" t="s">
        <v>150</v>
      </c>
      <c r="D518" s="4" t="s">
        <v>1251</v>
      </c>
      <c r="E518" s="5">
        <v>43312</v>
      </c>
      <c r="F518" s="4" t="s">
        <v>1102</v>
      </c>
      <c r="G518" s="4" t="s">
        <v>1252</v>
      </c>
      <c r="H518" s="4" t="s">
        <v>1253</v>
      </c>
      <c r="I518" s="4" t="s">
        <v>1105</v>
      </c>
      <c r="J518" s="4" t="s">
        <v>27</v>
      </c>
      <c r="K518" s="6">
        <v>16840.900000000001</v>
      </c>
      <c r="L518" s="6">
        <v>0</v>
      </c>
      <c r="M518" s="6">
        <v>16840.900000000001</v>
      </c>
      <c r="N518" s="6"/>
      <c r="O518" s="4" t="s">
        <v>1252</v>
      </c>
      <c r="P518" s="3" t="s">
        <v>82</v>
      </c>
      <c r="Q518" s="8" t="s">
        <v>1116</v>
      </c>
      <c r="R518" s="8">
        <v>43299</v>
      </c>
      <c r="S518" s="9">
        <v>43299</v>
      </c>
      <c r="T518" s="8">
        <v>7</v>
      </c>
      <c r="U518" s="8" t="s">
        <v>305</v>
      </c>
      <c r="V518">
        <f t="shared" si="42"/>
        <v>7</v>
      </c>
      <c r="W518" s="8" t="str">
        <f t="shared" si="43"/>
        <v>July</v>
      </c>
    </row>
    <row r="519" spans="1:23" x14ac:dyDescent="0.55000000000000004">
      <c r="A519" t="str">
        <f t="shared" si="41"/>
        <v>JulyJulyChina - DCL KY</v>
      </c>
      <c r="B519" s="3" t="s">
        <v>20</v>
      </c>
      <c r="C519" s="4" t="s">
        <v>150</v>
      </c>
      <c r="D519" s="4" t="s">
        <v>1254</v>
      </c>
      <c r="E519" s="5">
        <v>43312</v>
      </c>
      <c r="F519" s="4" t="s">
        <v>1102</v>
      </c>
      <c r="G519" s="4" t="s">
        <v>1255</v>
      </c>
      <c r="H519" s="4" t="s">
        <v>1256</v>
      </c>
      <c r="I519" s="4" t="s">
        <v>1105</v>
      </c>
      <c r="J519" s="4" t="s">
        <v>27</v>
      </c>
      <c r="K519" s="6">
        <v>30717.91</v>
      </c>
      <c r="L519" s="6">
        <v>0</v>
      </c>
      <c r="M519" s="6">
        <v>30717.91</v>
      </c>
      <c r="N519" s="6"/>
      <c r="O519" s="4" t="s">
        <v>1255</v>
      </c>
      <c r="P519" s="3" t="s">
        <v>82</v>
      </c>
      <c r="Q519" s="8" t="s">
        <v>1116</v>
      </c>
      <c r="R519" s="8">
        <v>43299</v>
      </c>
      <c r="S519" s="9">
        <v>43299</v>
      </c>
      <c r="T519" s="8">
        <v>7</v>
      </c>
      <c r="U519" s="8" t="s">
        <v>305</v>
      </c>
      <c r="V519">
        <f t="shared" si="42"/>
        <v>7</v>
      </c>
      <c r="W519" s="8" t="str">
        <f t="shared" si="43"/>
        <v>July</v>
      </c>
    </row>
    <row r="520" spans="1:23" x14ac:dyDescent="0.55000000000000004">
      <c r="A520" t="str">
        <f t="shared" si="41"/>
        <v>JulyJulyPhillips WI - DCL KY</v>
      </c>
      <c r="B520" s="3" t="s">
        <v>20</v>
      </c>
      <c r="C520" s="4" t="s">
        <v>150</v>
      </c>
      <c r="D520" s="4" t="s">
        <v>1257</v>
      </c>
      <c r="E520" s="5">
        <v>43312</v>
      </c>
      <c r="F520" s="4" t="s">
        <v>1102</v>
      </c>
      <c r="G520" s="4" t="s">
        <v>1258</v>
      </c>
      <c r="H520" s="4" t="s">
        <v>1259</v>
      </c>
      <c r="I520" s="4" t="s">
        <v>1105</v>
      </c>
      <c r="J520" s="4" t="s">
        <v>1110</v>
      </c>
      <c r="K520" s="6">
        <v>1881.19</v>
      </c>
      <c r="L520" s="6">
        <v>0</v>
      </c>
      <c r="M520" s="6">
        <v>1881.19</v>
      </c>
      <c r="N520" s="6"/>
      <c r="O520" s="4" t="s">
        <v>1258</v>
      </c>
      <c r="P520" s="3" t="s">
        <v>29</v>
      </c>
      <c r="Q520" s="8" t="s">
        <v>1112</v>
      </c>
      <c r="R520" s="8">
        <v>43299</v>
      </c>
      <c r="S520" s="9">
        <v>43299</v>
      </c>
      <c r="T520" s="8">
        <v>7</v>
      </c>
      <c r="U520" s="8" t="s">
        <v>305</v>
      </c>
      <c r="V520">
        <f t="shared" si="42"/>
        <v>7</v>
      </c>
      <c r="W520" s="8" t="str">
        <f t="shared" si="43"/>
        <v>July</v>
      </c>
    </row>
    <row r="521" spans="1:23" x14ac:dyDescent="0.55000000000000004">
      <c r="A521" t="str">
        <f t="shared" si="41"/>
        <v>JulyJulyChina - DCL KY</v>
      </c>
      <c r="B521" s="3" t="s">
        <v>20</v>
      </c>
      <c r="C521" s="4" t="s">
        <v>150</v>
      </c>
      <c r="D521" s="4" t="s">
        <v>1260</v>
      </c>
      <c r="E521" s="5">
        <v>43312</v>
      </c>
      <c r="F521" s="4" t="s">
        <v>1102</v>
      </c>
      <c r="G521" s="4" t="s">
        <v>1261</v>
      </c>
      <c r="H521" s="4" t="s">
        <v>1262</v>
      </c>
      <c r="I521" s="4" t="s">
        <v>1105</v>
      </c>
      <c r="J521" s="4" t="s">
        <v>27</v>
      </c>
      <c r="K521" s="6">
        <v>21790.29</v>
      </c>
      <c r="L521" s="6">
        <v>0</v>
      </c>
      <c r="M521" s="6">
        <v>21790.29</v>
      </c>
      <c r="N521" s="6"/>
      <c r="O521" s="4" t="s">
        <v>1261</v>
      </c>
      <c r="P521" s="3" t="s">
        <v>82</v>
      </c>
      <c r="Q521" s="8" t="s">
        <v>1178</v>
      </c>
      <c r="R521" s="8">
        <v>43299</v>
      </c>
      <c r="S521" s="9">
        <v>43299</v>
      </c>
      <c r="T521" s="8">
        <v>7</v>
      </c>
      <c r="U521" s="8" t="s">
        <v>305</v>
      </c>
      <c r="V521">
        <f t="shared" si="42"/>
        <v>7</v>
      </c>
      <c r="W521" s="8" t="str">
        <f t="shared" si="43"/>
        <v>July</v>
      </c>
    </row>
    <row r="522" spans="1:23" x14ac:dyDescent="0.55000000000000004">
      <c r="A522" t="str">
        <f t="shared" si="41"/>
        <v>JulyJulyChina - DECI NC</v>
      </c>
      <c r="B522" s="3" t="s">
        <v>20</v>
      </c>
      <c r="C522" s="4" t="s">
        <v>150</v>
      </c>
      <c r="D522" s="4" t="s">
        <v>1263</v>
      </c>
      <c r="E522" s="5">
        <v>43312</v>
      </c>
      <c r="F522" s="4" t="s">
        <v>1102</v>
      </c>
      <c r="G522" s="4" t="s">
        <v>1241</v>
      </c>
      <c r="H522" s="4" t="s">
        <v>1264</v>
      </c>
      <c r="I522" s="4" t="s">
        <v>1105</v>
      </c>
      <c r="J522" s="4" t="s">
        <v>27</v>
      </c>
      <c r="K522" s="6">
        <v>61418.55</v>
      </c>
      <c r="L522" s="6">
        <v>0</v>
      </c>
      <c r="M522" s="6">
        <v>61418.55</v>
      </c>
      <c r="N522" s="6"/>
      <c r="O522" s="4" t="s">
        <v>1241</v>
      </c>
      <c r="P522" s="3" t="s">
        <v>97</v>
      </c>
      <c r="Q522" s="8" t="s">
        <v>1265</v>
      </c>
      <c r="R522" s="8">
        <v>43299</v>
      </c>
      <c r="S522" s="9">
        <v>43299</v>
      </c>
      <c r="T522" s="8">
        <v>7</v>
      </c>
      <c r="U522" s="8" t="s">
        <v>305</v>
      </c>
      <c r="V522">
        <f t="shared" si="42"/>
        <v>7</v>
      </c>
      <c r="W522" s="8" t="str">
        <f t="shared" si="43"/>
        <v>July</v>
      </c>
    </row>
    <row r="523" spans="1:23" x14ac:dyDescent="0.55000000000000004">
      <c r="A523" t="str">
        <f t="shared" si="41"/>
        <v>JulyJulyChina - DCL KY</v>
      </c>
      <c r="B523" s="3" t="s">
        <v>20</v>
      </c>
      <c r="C523" s="4" t="s">
        <v>150</v>
      </c>
      <c r="D523" s="4" t="s">
        <v>1266</v>
      </c>
      <c r="E523" s="5">
        <v>43312</v>
      </c>
      <c r="F523" s="4" t="s">
        <v>1102</v>
      </c>
      <c r="G523" s="4" t="s">
        <v>1267</v>
      </c>
      <c r="H523" s="4" t="s">
        <v>1268</v>
      </c>
      <c r="I523" s="4" t="s">
        <v>1105</v>
      </c>
      <c r="J523" s="4" t="s">
        <v>27</v>
      </c>
      <c r="K523" s="6">
        <v>27454.15</v>
      </c>
      <c r="L523" s="6">
        <v>0</v>
      </c>
      <c r="M523" s="6">
        <v>27454.15</v>
      </c>
      <c r="N523" s="6"/>
      <c r="O523" s="4" t="s">
        <v>1267</v>
      </c>
      <c r="P523" s="3" t="s">
        <v>82</v>
      </c>
      <c r="Q523" s="8" t="s">
        <v>1178</v>
      </c>
      <c r="R523" s="8">
        <v>43299</v>
      </c>
      <c r="S523" s="9">
        <v>43299</v>
      </c>
      <c r="T523" s="8">
        <v>7</v>
      </c>
      <c r="U523" s="8" t="s">
        <v>305</v>
      </c>
      <c r="V523">
        <f t="shared" si="42"/>
        <v>7</v>
      </c>
      <c r="W523" s="8" t="str">
        <f t="shared" si="43"/>
        <v>July</v>
      </c>
    </row>
    <row r="524" spans="1:23" x14ac:dyDescent="0.55000000000000004">
      <c r="A524" t="str">
        <f t="shared" si="41"/>
        <v>JulyJulyChina - DCL KY</v>
      </c>
      <c r="B524" s="3" t="s">
        <v>20</v>
      </c>
      <c r="C524" s="4" t="s">
        <v>150</v>
      </c>
      <c r="D524" s="4" t="s">
        <v>1269</v>
      </c>
      <c r="E524" s="5">
        <v>43312</v>
      </c>
      <c r="F524" s="4" t="s">
        <v>1102</v>
      </c>
      <c r="G524" s="4" t="s">
        <v>1255</v>
      </c>
      <c r="H524" s="4" t="s">
        <v>1270</v>
      </c>
      <c r="I524" s="4" t="s">
        <v>1105</v>
      </c>
      <c r="J524" s="4" t="s">
        <v>27</v>
      </c>
      <c r="K524" s="6">
        <v>38295.17</v>
      </c>
      <c r="L524" s="6">
        <v>0</v>
      </c>
      <c r="M524" s="6">
        <v>38295.17</v>
      </c>
      <c r="N524" s="6"/>
      <c r="O524" s="4" t="s">
        <v>1255</v>
      </c>
      <c r="P524" s="3" t="s">
        <v>82</v>
      </c>
      <c r="Q524" s="8" t="s">
        <v>1247</v>
      </c>
      <c r="R524" s="8">
        <v>43299</v>
      </c>
      <c r="S524" s="9">
        <v>43299</v>
      </c>
      <c r="T524" s="8">
        <v>7</v>
      </c>
      <c r="U524" s="8" t="s">
        <v>305</v>
      </c>
      <c r="V524">
        <f t="shared" si="42"/>
        <v>7</v>
      </c>
      <c r="W524" s="8" t="str">
        <f t="shared" si="43"/>
        <v>July</v>
      </c>
    </row>
    <row r="525" spans="1:23" x14ac:dyDescent="0.55000000000000004">
      <c r="A525" t="str">
        <f t="shared" si="41"/>
        <v>AugustJulyAFG NC - DCL KY</v>
      </c>
      <c r="B525" s="3" t="s">
        <v>20</v>
      </c>
      <c r="C525" s="4" t="s">
        <v>150</v>
      </c>
      <c r="D525" s="4" t="s">
        <v>1271</v>
      </c>
      <c r="E525" s="5">
        <v>43313</v>
      </c>
      <c r="F525" s="4" t="s">
        <v>1102</v>
      </c>
      <c r="G525" s="4" t="s">
        <v>1272</v>
      </c>
      <c r="H525" s="4" t="s">
        <v>1273</v>
      </c>
      <c r="I525" s="4" t="s">
        <v>1105</v>
      </c>
      <c r="J525" s="4" t="s">
        <v>1110</v>
      </c>
      <c r="K525" s="6">
        <v>1480.44</v>
      </c>
      <c r="L525" s="6">
        <v>0</v>
      </c>
      <c r="M525" s="6">
        <v>1480.44</v>
      </c>
      <c r="N525" s="6"/>
      <c r="O525" s="4" t="s">
        <v>1272</v>
      </c>
      <c r="P525" s="3" t="s">
        <v>173</v>
      </c>
      <c r="Q525" s="8" t="s">
        <v>1112</v>
      </c>
      <c r="R525" s="8">
        <v>43299</v>
      </c>
      <c r="S525" s="9">
        <v>43299</v>
      </c>
      <c r="T525" s="8">
        <v>8</v>
      </c>
      <c r="U525" s="8" t="s">
        <v>306</v>
      </c>
      <c r="V525">
        <f t="shared" si="42"/>
        <v>7</v>
      </c>
      <c r="W525" s="8" t="str">
        <f t="shared" si="43"/>
        <v>July</v>
      </c>
    </row>
    <row r="526" spans="1:23" x14ac:dyDescent="0.55000000000000004">
      <c r="A526" t="str">
        <f t="shared" si="41"/>
        <v>AugustJulyPhillips WI - DCL KY</v>
      </c>
      <c r="B526" s="3" t="s">
        <v>20</v>
      </c>
      <c r="C526" s="4" t="s">
        <v>150</v>
      </c>
      <c r="D526" s="4" t="s">
        <v>1274</v>
      </c>
      <c r="E526" s="5">
        <v>43313</v>
      </c>
      <c r="F526" s="4" t="s">
        <v>1102</v>
      </c>
      <c r="G526" s="4" t="s">
        <v>1275</v>
      </c>
      <c r="H526" s="4" t="s">
        <v>1276</v>
      </c>
      <c r="I526" s="4" t="s">
        <v>1105</v>
      </c>
      <c r="J526" s="4" t="s">
        <v>1110</v>
      </c>
      <c r="K526" s="6">
        <v>1881.19</v>
      </c>
      <c r="L526" s="6">
        <v>0</v>
      </c>
      <c r="M526" s="6">
        <v>1881.19</v>
      </c>
      <c r="N526" s="6"/>
      <c r="O526" s="4" t="s">
        <v>1275</v>
      </c>
      <c r="P526" s="3" t="s">
        <v>29</v>
      </c>
      <c r="Q526" s="8" t="s">
        <v>1112</v>
      </c>
      <c r="R526" s="8">
        <v>43299</v>
      </c>
      <c r="S526" s="9">
        <v>43299</v>
      </c>
      <c r="T526" s="8">
        <v>8</v>
      </c>
      <c r="U526" s="8" t="s">
        <v>306</v>
      </c>
      <c r="V526">
        <f t="shared" si="42"/>
        <v>7</v>
      </c>
      <c r="W526" s="8" t="str">
        <f t="shared" si="43"/>
        <v>July</v>
      </c>
    </row>
    <row r="527" spans="1:23" x14ac:dyDescent="0.55000000000000004">
      <c r="A527" t="str">
        <f t="shared" si="41"/>
        <v>AugustJulyAFG NC - DCL KY</v>
      </c>
      <c r="B527" s="3" t="s">
        <v>20</v>
      </c>
      <c r="C527" s="4" t="s">
        <v>150</v>
      </c>
      <c r="D527" s="4" t="s">
        <v>1277</v>
      </c>
      <c r="E527" s="5">
        <v>43313</v>
      </c>
      <c r="F527" s="4" t="s">
        <v>1102</v>
      </c>
      <c r="G527" s="4" t="s">
        <v>1278</v>
      </c>
      <c r="H527" s="4" t="s">
        <v>1279</v>
      </c>
      <c r="I527" s="4" t="s">
        <v>1105</v>
      </c>
      <c r="J527" s="4" t="s">
        <v>1110</v>
      </c>
      <c r="K527" s="6">
        <v>1480.44</v>
      </c>
      <c r="L527" s="6">
        <v>0</v>
      </c>
      <c r="M527" s="6">
        <v>1480.44</v>
      </c>
      <c r="N527" s="6"/>
      <c r="O527" s="4" t="s">
        <v>1278</v>
      </c>
      <c r="P527" s="3" t="s">
        <v>173</v>
      </c>
      <c r="Q527" s="8" t="s">
        <v>1112</v>
      </c>
      <c r="R527" s="8">
        <v>43299</v>
      </c>
      <c r="S527" s="9">
        <v>43299</v>
      </c>
      <c r="T527" s="8">
        <v>8</v>
      </c>
      <c r="U527" s="8" t="s">
        <v>306</v>
      </c>
      <c r="V527">
        <f t="shared" si="42"/>
        <v>7</v>
      </c>
      <c r="W527" s="8" t="str">
        <f t="shared" si="43"/>
        <v>July</v>
      </c>
    </row>
    <row r="528" spans="1:23" x14ac:dyDescent="0.55000000000000004">
      <c r="A528" t="str">
        <f t="shared" si="41"/>
        <v>AugustJulyAFG NC - DCL KY</v>
      </c>
      <c r="B528" s="3" t="s">
        <v>20</v>
      </c>
      <c r="C528" s="4" t="s">
        <v>150</v>
      </c>
      <c r="D528" s="4" t="s">
        <v>1280</v>
      </c>
      <c r="E528" s="5">
        <v>43313</v>
      </c>
      <c r="F528" s="4" t="s">
        <v>1102</v>
      </c>
      <c r="G528" s="4" t="s">
        <v>1281</v>
      </c>
      <c r="H528" s="4" t="s">
        <v>1282</v>
      </c>
      <c r="I528" s="4" t="s">
        <v>1105</v>
      </c>
      <c r="J528" s="4" t="s">
        <v>1110</v>
      </c>
      <c r="K528" s="6">
        <v>1480.44</v>
      </c>
      <c r="L528" s="6">
        <v>0</v>
      </c>
      <c r="M528" s="6">
        <v>1480.44</v>
      </c>
      <c r="N528" s="6"/>
      <c r="O528" s="4" t="s">
        <v>1281</v>
      </c>
      <c r="P528" s="3" t="s">
        <v>173</v>
      </c>
      <c r="Q528" s="8" t="s">
        <v>1112</v>
      </c>
      <c r="R528" s="8">
        <v>43299</v>
      </c>
      <c r="S528" s="9">
        <v>43299</v>
      </c>
      <c r="T528" s="8">
        <v>8</v>
      </c>
      <c r="U528" s="8" t="s">
        <v>306</v>
      </c>
      <c r="V528">
        <f t="shared" si="42"/>
        <v>7</v>
      </c>
      <c r="W528" s="8" t="str">
        <f t="shared" si="43"/>
        <v>July</v>
      </c>
    </row>
    <row r="529" spans="1:23" x14ac:dyDescent="0.55000000000000004">
      <c r="A529" t="str">
        <f t="shared" si="41"/>
        <v>AugustJulyAlternative - Phillips WI</v>
      </c>
      <c r="B529" s="3" t="s">
        <v>20</v>
      </c>
      <c r="C529" s="4" t="s">
        <v>150</v>
      </c>
      <c r="D529" s="4" t="s">
        <v>1283</v>
      </c>
      <c r="E529" s="5">
        <v>43313</v>
      </c>
      <c r="F529" s="4" t="s">
        <v>1102</v>
      </c>
      <c r="G529" s="4" t="s">
        <v>1284</v>
      </c>
      <c r="H529" s="4" t="s">
        <v>1285</v>
      </c>
      <c r="I529" s="4" t="s">
        <v>1105</v>
      </c>
      <c r="J529" s="4" t="s">
        <v>1110</v>
      </c>
      <c r="K529" s="6">
        <v>2850</v>
      </c>
      <c r="L529" s="6">
        <v>0</v>
      </c>
      <c r="M529" s="6">
        <v>2850</v>
      </c>
      <c r="N529" s="6"/>
      <c r="O529" s="4" t="s">
        <v>1284</v>
      </c>
      <c r="P529" s="3" t="s">
        <v>1286</v>
      </c>
      <c r="Q529" s="8" t="s">
        <v>1133</v>
      </c>
      <c r="R529" s="8">
        <v>43299</v>
      </c>
      <c r="S529" s="9">
        <v>43299</v>
      </c>
      <c r="T529" s="8">
        <v>8</v>
      </c>
      <c r="U529" s="8" t="s">
        <v>306</v>
      </c>
      <c r="V529">
        <f t="shared" si="42"/>
        <v>7</v>
      </c>
      <c r="W529" s="8" t="str">
        <f t="shared" si="43"/>
        <v>July</v>
      </c>
    </row>
    <row r="530" spans="1:23" x14ac:dyDescent="0.55000000000000004">
      <c r="A530" t="str">
        <f t="shared" si="41"/>
        <v>AugustJulyAFG NC - DCL KY</v>
      </c>
      <c r="B530" s="3" t="s">
        <v>20</v>
      </c>
      <c r="C530" s="4" t="s">
        <v>150</v>
      </c>
      <c r="D530" s="4" t="s">
        <v>1287</v>
      </c>
      <c r="E530" s="5">
        <v>43314</v>
      </c>
      <c r="F530" s="4" t="s">
        <v>1102</v>
      </c>
      <c r="G530" s="4" t="s">
        <v>1288</v>
      </c>
      <c r="H530" s="4" t="s">
        <v>1289</v>
      </c>
      <c r="I530" s="4" t="s">
        <v>1105</v>
      </c>
      <c r="J530" s="4" t="s">
        <v>1110</v>
      </c>
      <c r="K530" s="6">
        <v>1480.44</v>
      </c>
      <c r="L530" s="6">
        <v>0</v>
      </c>
      <c r="M530" s="6">
        <v>1480.44</v>
      </c>
      <c r="N530" s="6"/>
      <c r="O530" s="4" t="s">
        <v>1288</v>
      </c>
      <c r="P530" s="3" t="s">
        <v>173</v>
      </c>
      <c r="Q530" s="8" t="s">
        <v>1112</v>
      </c>
      <c r="R530" s="8">
        <v>43299</v>
      </c>
      <c r="S530" s="9">
        <v>43299</v>
      </c>
      <c r="T530" s="8">
        <v>8</v>
      </c>
      <c r="U530" s="8" t="s">
        <v>306</v>
      </c>
      <c r="V530">
        <f t="shared" si="42"/>
        <v>7</v>
      </c>
      <c r="W530" s="8" t="str">
        <f t="shared" si="43"/>
        <v>July</v>
      </c>
    </row>
    <row r="531" spans="1:23" x14ac:dyDescent="0.55000000000000004">
      <c r="A531" t="str">
        <f t="shared" si="41"/>
        <v>AugustJulyAFG NC - DCL KY</v>
      </c>
      <c r="B531" s="3" t="s">
        <v>20</v>
      </c>
      <c r="C531" s="4" t="s">
        <v>150</v>
      </c>
      <c r="D531" s="4" t="s">
        <v>1290</v>
      </c>
      <c r="E531" s="5">
        <v>43314</v>
      </c>
      <c r="F531" s="4" t="s">
        <v>1102</v>
      </c>
      <c r="G531" s="4" t="s">
        <v>1291</v>
      </c>
      <c r="H531" s="4" t="s">
        <v>1292</v>
      </c>
      <c r="I531" s="4" t="s">
        <v>1105</v>
      </c>
      <c r="J531" s="4" t="s">
        <v>1110</v>
      </c>
      <c r="K531" s="6">
        <v>150</v>
      </c>
      <c r="L531" s="6">
        <v>0</v>
      </c>
      <c r="M531" s="6">
        <v>150</v>
      </c>
      <c r="N531" s="6"/>
      <c r="O531" s="4" t="s">
        <v>1291</v>
      </c>
      <c r="P531" s="3" t="s">
        <v>173</v>
      </c>
      <c r="Q531" s="8" t="s">
        <v>1293</v>
      </c>
      <c r="R531" s="8">
        <v>43299</v>
      </c>
      <c r="S531" s="9">
        <v>43299</v>
      </c>
      <c r="T531" s="8">
        <v>8</v>
      </c>
      <c r="U531" s="8" t="s">
        <v>306</v>
      </c>
      <c r="V531">
        <f t="shared" si="42"/>
        <v>7</v>
      </c>
      <c r="W531" s="8" t="str">
        <f t="shared" si="43"/>
        <v>July</v>
      </c>
    </row>
    <row r="532" spans="1:23" x14ac:dyDescent="0.55000000000000004">
      <c r="A532" t="str">
        <f t="shared" si="41"/>
        <v>AugustJulyFlex IL - DCL KY</v>
      </c>
      <c r="B532" s="3" t="s">
        <v>20</v>
      </c>
      <c r="C532" s="4" t="s">
        <v>150</v>
      </c>
      <c r="D532" s="4" t="s">
        <v>1294</v>
      </c>
      <c r="E532" s="5">
        <v>43314</v>
      </c>
      <c r="F532" s="4" t="s">
        <v>1102</v>
      </c>
      <c r="G532" s="4" t="s">
        <v>1295</v>
      </c>
      <c r="H532" s="4" t="s">
        <v>1296</v>
      </c>
      <c r="I532" s="4" t="s">
        <v>1105</v>
      </c>
      <c r="J532" s="4" t="s">
        <v>1110</v>
      </c>
      <c r="K532" s="6">
        <v>1378.11</v>
      </c>
      <c r="L532" s="6">
        <v>0</v>
      </c>
      <c r="M532" s="6">
        <v>1378.11</v>
      </c>
      <c r="N532" s="6"/>
      <c r="O532" s="4" t="s">
        <v>1295</v>
      </c>
      <c r="P532" s="3" t="s">
        <v>1137</v>
      </c>
      <c r="Q532" s="8" t="s">
        <v>1112</v>
      </c>
      <c r="R532" s="8">
        <v>43299</v>
      </c>
      <c r="S532" s="9">
        <v>43299</v>
      </c>
      <c r="T532" s="8">
        <v>8</v>
      </c>
      <c r="U532" s="8" t="s">
        <v>306</v>
      </c>
      <c r="V532">
        <f t="shared" si="42"/>
        <v>7</v>
      </c>
      <c r="W532" s="8" t="str">
        <f t="shared" si="43"/>
        <v>July</v>
      </c>
    </row>
    <row r="533" spans="1:23" x14ac:dyDescent="0.55000000000000004">
      <c r="A533" t="str">
        <f t="shared" si="41"/>
        <v>00Phillips WI - AFG NC</v>
      </c>
      <c r="B533" s="3" t="s">
        <v>20</v>
      </c>
      <c r="C533" s="4" t="s">
        <v>150</v>
      </c>
      <c r="D533" s="4" t="s">
        <v>1297</v>
      </c>
      <c r="E533" s="5">
        <v>43315</v>
      </c>
      <c r="F533" s="4" t="s">
        <v>1102</v>
      </c>
      <c r="G533" s="4" t="s">
        <v>1298</v>
      </c>
      <c r="H533" s="4" t="s">
        <v>1299</v>
      </c>
      <c r="I533" s="4" t="s">
        <v>1105</v>
      </c>
      <c r="J533" s="4" t="s">
        <v>1110</v>
      </c>
      <c r="K533" s="6">
        <v>3200</v>
      </c>
      <c r="L533" s="6">
        <v>0</v>
      </c>
      <c r="M533" s="6">
        <v>3200</v>
      </c>
      <c r="N533" s="6"/>
      <c r="O533" s="4" t="s">
        <v>1298</v>
      </c>
      <c r="P533" s="3" t="s">
        <v>1236</v>
      </c>
      <c r="Q533" s="8" t="s">
        <v>1300</v>
      </c>
      <c r="R533" s="8"/>
      <c r="S533" s="9"/>
      <c r="T533" s="8"/>
      <c r="U533" s="8">
        <v>0</v>
      </c>
      <c r="V533">
        <f t="shared" si="42"/>
        <v>1</v>
      </c>
      <c r="W533" s="8">
        <f t="shared" si="43"/>
        <v>0</v>
      </c>
    </row>
    <row r="534" spans="1:23" x14ac:dyDescent="0.55000000000000004">
      <c r="A534" t="str">
        <f t="shared" si="41"/>
        <v>AugustJulyAFG NC - DCL KY</v>
      </c>
      <c r="B534" s="3" t="s">
        <v>20</v>
      </c>
      <c r="C534" s="4" t="s">
        <v>150</v>
      </c>
      <c r="D534" s="4" t="s">
        <v>1301</v>
      </c>
      <c r="E534" s="5">
        <v>43315</v>
      </c>
      <c r="F534" s="4" t="s">
        <v>1102</v>
      </c>
      <c r="G534" s="4" t="s">
        <v>1302</v>
      </c>
      <c r="H534" s="4" t="s">
        <v>1303</v>
      </c>
      <c r="I534" s="4" t="s">
        <v>1105</v>
      </c>
      <c r="J534" s="4" t="s">
        <v>1110</v>
      </c>
      <c r="K534" s="6">
        <v>1480.44</v>
      </c>
      <c r="L534" s="6">
        <v>0</v>
      </c>
      <c r="M534" s="6">
        <v>1480.44</v>
      </c>
      <c r="N534" s="6"/>
      <c r="O534" s="4" t="s">
        <v>1302</v>
      </c>
      <c r="P534" s="3" t="s">
        <v>173</v>
      </c>
      <c r="Q534" s="8" t="s">
        <v>1112</v>
      </c>
      <c r="R534" s="8">
        <v>43299</v>
      </c>
      <c r="S534" s="9">
        <v>43299</v>
      </c>
      <c r="T534" s="8">
        <v>8</v>
      </c>
      <c r="U534" s="8" t="s">
        <v>306</v>
      </c>
      <c r="V534">
        <f t="shared" si="42"/>
        <v>7</v>
      </c>
      <c r="W534" s="8" t="str">
        <f t="shared" si="43"/>
        <v>July</v>
      </c>
    </row>
    <row r="535" spans="1:23" x14ac:dyDescent="0.55000000000000004">
      <c r="A535" t="str">
        <f t="shared" si="41"/>
        <v>AugustJulyAFG NC - DCL KY</v>
      </c>
      <c r="B535" s="3" t="s">
        <v>20</v>
      </c>
      <c r="C535" s="4" t="s">
        <v>150</v>
      </c>
      <c r="D535" s="4" t="s">
        <v>1304</v>
      </c>
      <c r="E535" s="5">
        <v>43315</v>
      </c>
      <c r="F535" s="4" t="s">
        <v>1102</v>
      </c>
      <c r="G535" s="4" t="s">
        <v>1305</v>
      </c>
      <c r="H535" s="4" t="s">
        <v>1306</v>
      </c>
      <c r="I535" s="4" t="s">
        <v>1105</v>
      </c>
      <c r="J535" s="4" t="s">
        <v>1110</v>
      </c>
      <c r="K535" s="6">
        <v>1480.44</v>
      </c>
      <c r="L535" s="6">
        <v>0</v>
      </c>
      <c r="M535" s="6">
        <v>1480.44</v>
      </c>
      <c r="N535" s="6"/>
      <c r="O535" s="4" t="s">
        <v>1305</v>
      </c>
      <c r="P535" s="3" t="s">
        <v>173</v>
      </c>
      <c r="Q535" s="8" t="s">
        <v>1112</v>
      </c>
      <c r="R535" s="8">
        <v>43299</v>
      </c>
      <c r="S535" s="9">
        <v>43299</v>
      </c>
      <c r="T535" s="8">
        <v>8</v>
      </c>
      <c r="U535" s="8" t="s">
        <v>306</v>
      </c>
      <c r="V535">
        <f t="shared" si="42"/>
        <v>7</v>
      </c>
      <c r="W535" s="8" t="str">
        <f t="shared" si="43"/>
        <v>July</v>
      </c>
    </row>
    <row r="536" spans="1:23" x14ac:dyDescent="0.55000000000000004">
      <c r="A536" t="str">
        <f t="shared" si="41"/>
        <v>AugustJuly0</v>
      </c>
      <c r="B536" s="3" t="s">
        <v>20</v>
      </c>
      <c r="C536" s="4" t="s">
        <v>150</v>
      </c>
      <c r="D536" s="4" t="s">
        <v>1307</v>
      </c>
      <c r="E536" s="5">
        <v>43315</v>
      </c>
      <c r="F536" s="4" t="s">
        <v>1102</v>
      </c>
      <c r="G536" s="4" t="s">
        <v>1308</v>
      </c>
      <c r="H536" s="4" t="s">
        <v>1309</v>
      </c>
      <c r="I536" s="4" t="s">
        <v>1105</v>
      </c>
      <c r="J536" s="4" t="s">
        <v>1110</v>
      </c>
      <c r="K536" s="6">
        <v>2850</v>
      </c>
      <c r="L536" s="6">
        <v>0</v>
      </c>
      <c r="M536" s="6">
        <v>2850</v>
      </c>
      <c r="N536" s="6"/>
      <c r="O536" s="4" t="s">
        <v>1308</v>
      </c>
      <c r="P536" s="3">
        <v>0</v>
      </c>
      <c r="Q536" s="8" t="s">
        <v>1133</v>
      </c>
      <c r="R536" s="8">
        <v>43299</v>
      </c>
      <c r="S536" s="9">
        <v>43299</v>
      </c>
      <c r="T536" s="8">
        <v>8</v>
      </c>
      <c r="U536" s="8" t="s">
        <v>306</v>
      </c>
      <c r="V536">
        <f t="shared" si="42"/>
        <v>7</v>
      </c>
      <c r="W536" s="8" t="str">
        <f t="shared" si="43"/>
        <v>July</v>
      </c>
    </row>
    <row r="537" spans="1:23" x14ac:dyDescent="0.55000000000000004">
      <c r="A537" t="str">
        <f t="shared" ref="A537:A572" si="44">U537&amp;W537&amp;P537</f>
        <v>AugustJulyFlex IL - DCL KY</v>
      </c>
      <c r="B537" s="3" t="s">
        <v>20</v>
      </c>
      <c r="C537" s="4" t="s">
        <v>150</v>
      </c>
      <c r="D537" s="4" t="s">
        <v>1310</v>
      </c>
      <c r="E537" s="5">
        <v>43315</v>
      </c>
      <c r="F537" s="4" t="s">
        <v>1102</v>
      </c>
      <c r="G537" s="4" t="s">
        <v>1311</v>
      </c>
      <c r="H537" s="4" t="s">
        <v>1312</v>
      </c>
      <c r="I537" s="4" t="s">
        <v>1105</v>
      </c>
      <c r="J537" s="4" t="s">
        <v>1110</v>
      </c>
      <c r="K537" s="6">
        <v>1378.11</v>
      </c>
      <c r="L537" s="6">
        <v>0</v>
      </c>
      <c r="M537" s="6">
        <v>1378.11</v>
      </c>
      <c r="N537" s="6"/>
      <c r="O537" s="4" t="s">
        <v>1311</v>
      </c>
      <c r="P537" s="3" t="s">
        <v>1137</v>
      </c>
      <c r="Q537" s="8" t="s">
        <v>1112</v>
      </c>
      <c r="R537" s="8">
        <v>43299</v>
      </c>
      <c r="S537" s="9">
        <v>43299</v>
      </c>
      <c r="T537" s="8">
        <v>8</v>
      </c>
      <c r="U537" s="8" t="s">
        <v>306</v>
      </c>
      <c r="V537">
        <f t="shared" ref="V537:V572" si="45">MONTH(S537)</f>
        <v>7</v>
      </c>
      <c r="W537" s="8" t="str">
        <f t="shared" ref="W537:W572" si="46">IF(V537=6,"June",IF(V537=5,"May",IF(V537=4,"April",IF(V537=3,"March",IF(V537=7,"July",IF(V537=2,"February",0))))))</f>
        <v>July</v>
      </c>
    </row>
    <row r="538" spans="1:23" x14ac:dyDescent="0.55000000000000004">
      <c r="A538" t="str">
        <f t="shared" si="44"/>
        <v>AugustJulyPhillips WI - DCL KY</v>
      </c>
      <c r="B538" s="3" t="s">
        <v>20</v>
      </c>
      <c r="C538" s="4" t="s">
        <v>150</v>
      </c>
      <c r="D538" s="4" t="s">
        <v>1313</v>
      </c>
      <c r="E538" s="5">
        <v>43315</v>
      </c>
      <c r="F538" s="4" t="s">
        <v>1102</v>
      </c>
      <c r="G538" s="4" t="s">
        <v>1135</v>
      </c>
      <c r="H538" s="4" t="s">
        <v>1314</v>
      </c>
      <c r="I538" s="4" t="s">
        <v>1105</v>
      </c>
      <c r="J538" s="4" t="s">
        <v>1110</v>
      </c>
      <c r="K538" s="6">
        <v>1881.19</v>
      </c>
      <c r="L538" s="6">
        <v>0</v>
      </c>
      <c r="M538" s="6">
        <v>1881.19</v>
      </c>
      <c r="N538" s="6"/>
      <c r="O538" s="4" t="s">
        <v>1135</v>
      </c>
      <c r="P538" s="3" t="s">
        <v>29</v>
      </c>
      <c r="Q538" s="8" t="s">
        <v>1112</v>
      </c>
      <c r="R538" s="8">
        <v>43299</v>
      </c>
      <c r="S538" s="9">
        <v>43299</v>
      </c>
      <c r="T538" s="8">
        <v>8</v>
      </c>
      <c r="U538" s="8" t="s">
        <v>306</v>
      </c>
      <c r="V538">
        <f t="shared" si="45"/>
        <v>7</v>
      </c>
      <c r="W538" s="8" t="str">
        <f t="shared" si="46"/>
        <v>July</v>
      </c>
    </row>
    <row r="539" spans="1:23" x14ac:dyDescent="0.55000000000000004">
      <c r="A539" t="str">
        <f t="shared" si="44"/>
        <v>AugustJulyAFG NC - DCL KY</v>
      </c>
      <c r="B539" s="3" t="s">
        <v>20</v>
      </c>
      <c r="C539" s="4" t="s">
        <v>150</v>
      </c>
      <c r="D539" s="4" t="s">
        <v>1315</v>
      </c>
      <c r="E539" s="5">
        <v>43317</v>
      </c>
      <c r="F539" s="4" t="s">
        <v>1102</v>
      </c>
      <c r="G539" s="4" t="s">
        <v>1316</v>
      </c>
      <c r="H539" s="4" t="s">
        <v>1317</v>
      </c>
      <c r="I539" s="4" t="s">
        <v>1105</v>
      </c>
      <c r="J539" s="4" t="s">
        <v>1110</v>
      </c>
      <c r="K539" s="6">
        <v>1480.44</v>
      </c>
      <c r="L539" s="6">
        <v>0</v>
      </c>
      <c r="M539" s="6">
        <v>1480.44</v>
      </c>
      <c r="N539" s="6"/>
      <c r="O539" s="4" t="s">
        <v>1316</v>
      </c>
      <c r="P539" s="3" t="s">
        <v>173</v>
      </c>
      <c r="Q539" s="8" t="s">
        <v>1112</v>
      </c>
      <c r="R539" s="8">
        <v>43299</v>
      </c>
      <c r="S539" s="9">
        <v>43299</v>
      </c>
      <c r="T539" s="8">
        <v>8</v>
      </c>
      <c r="U539" s="8" t="s">
        <v>306</v>
      </c>
      <c r="V539">
        <f t="shared" si="45"/>
        <v>7</v>
      </c>
      <c r="W539" s="8" t="str">
        <f t="shared" si="46"/>
        <v>July</v>
      </c>
    </row>
    <row r="540" spans="1:23" x14ac:dyDescent="0.55000000000000004">
      <c r="A540" t="str">
        <f t="shared" si="44"/>
        <v>AugustJulyFlex IL - DCL KY</v>
      </c>
      <c r="B540" s="3" t="s">
        <v>20</v>
      </c>
      <c r="C540" s="4" t="s">
        <v>150</v>
      </c>
      <c r="D540" s="4" t="s">
        <v>1318</v>
      </c>
      <c r="E540" s="5">
        <v>43318</v>
      </c>
      <c r="F540" s="4" t="s">
        <v>1102</v>
      </c>
      <c r="G540" s="4" t="s">
        <v>1319</v>
      </c>
      <c r="H540" s="4" t="s">
        <v>1320</v>
      </c>
      <c r="I540" s="4" t="s">
        <v>1105</v>
      </c>
      <c r="J540" s="4" t="s">
        <v>1110</v>
      </c>
      <c r="K540" s="6">
        <v>1378.11</v>
      </c>
      <c r="L540" s="6">
        <v>0</v>
      </c>
      <c r="M540" s="6">
        <v>1378.11</v>
      </c>
      <c r="N540" s="6"/>
      <c r="O540" s="4" t="s">
        <v>1319</v>
      </c>
      <c r="P540" s="3" t="s">
        <v>1137</v>
      </c>
      <c r="Q540" s="8" t="s">
        <v>1112</v>
      </c>
      <c r="R540" s="8">
        <v>43299</v>
      </c>
      <c r="S540" s="9">
        <v>43299</v>
      </c>
      <c r="T540" s="8">
        <v>8</v>
      </c>
      <c r="U540" s="8" t="s">
        <v>306</v>
      </c>
      <c r="V540">
        <f t="shared" si="45"/>
        <v>7</v>
      </c>
      <c r="W540" s="8" t="str">
        <f t="shared" si="46"/>
        <v>July</v>
      </c>
    </row>
    <row r="541" spans="1:23" x14ac:dyDescent="0.55000000000000004">
      <c r="A541" t="str">
        <f t="shared" si="44"/>
        <v>AugustJulyPhillips WI - DCL KY</v>
      </c>
      <c r="B541" s="3" t="s">
        <v>20</v>
      </c>
      <c r="C541" s="4" t="s">
        <v>150</v>
      </c>
      <c r="D541" s="4" t="s">
        <v>1321</v>
      </c>
      <c r="E541" s="5">
        <v>43318</v>
      </c>
      <c r="F541" s="4" t="s">
        <v>1102</v>
      </c>
      <c r="G541" s="4" t="s">
        <v>1135</v>
      </c>
      <c r="H541" s="4" t="s">
        <v>1322</v>
      </c>
      <c r="I541" s="4" t="s">
        <v>1105</v>
      </c>
      <c r="J541" s="4" t="s">
        <v>1110</v>
      </c>
      <c r="K541" s="6">
        <v>1881.19</v>
      </c>
      <c r="L541" s="6">
        <v>0</v>
      </c>
      <c r="M541" s="6">
        <v>1881.19</v>
      </c>
      <c r="N541" s="6"/>
      <c r="O541" s="4" t="s">
        <v>1135</v>
      </c>
      <c r="P541" s="3" t="s">
        <v>29</v>
      </c>
      <c r="Q541" s="8" t="s">
        <v>1112</v>
      </c>
      <c r="R541" s="8">
        <v>43299</v>
      </c>
      <c r="S541" s="9">
        <v>43299</v>
      </c>
      <c r="T541" s="8">
        <v>8</v>
      </c>
      <c r="U541" s="8" t="s">
        <v>306</v>
      </c>
      <c r="V541">
        <f t="shared" si="45"/>
        <v>7</v>
      </c>
      <c r="W541" s="8" t="str">
        <f t="shared" si="46"/>
        <v>July</v>
      </c>
    </row>
    <row r="542" spans="1:23" x14ac:dyDescent="0.55000000000000004">
      <c r="A542" t="str">
        <f t="shared" si="44"/>
        <v>AugustJulyAFG NC - DCL KY</v>
      </c>
      <c r="B542" s="3" t="s">
        <v>20</v>
      </c>
      <c r="C542" s="4" t="s">
        <v>150</v>
      </c>
      <c r="D542" s="4" t="s">
        <v>1323</v>
      </c>
      <c r="E542" s="5">
        <v>43318</v>
      </c>
      <c r="F542" s="4" t="s">
        <v>1102</v>
      </c>
      <c r="G542" s="4" t="s">
        <v>1324</v>
      </c>
      <c r="H542" s="4" t="s">
        <v>1325</v>
      </c>
      <c r="I542" s="4" t="s">
        <v>1105</v>
      </c>
      <c r="J542" s="4" t="s">
        <v>1110</v>
      </c>
      <c r="K542" s="6">
        <v>1480.44</v>
      </c>
      <c r="L542" s="6">
        <v>0</v>
      </c>
      <c r="M542" s="6">
        <v>1480.44</v>
      </c>
      <c r="N542" s="6"/>
      <c r="O542" s="4" t="s">
        <v>1324</v>
      </c>
      <c r="P542" s="3" t="s">
        <v>173</v>
      </c>
      <c r="Q542" s="8" t="s">
        <v>1112</v>
      </c>
      <c r="R542" s="8">
        <v>43299</v>
      </c>
      <c r="S542" s="9">
        <v>43299</v>
      </c>
      <c r="T542" s="8">
        <v>8</v>
      </c>
      <c r="U542" s="8" t="s">
        <v>306</v>
      </c>
      <c r="V542">
        <f t="shared" si="45"/>
        <v>7</v>
      </c>
      <c r="W542" s="8" t="str">
        <f t="shared" si="46"/>
        <v>July</v>
      </c>
    </row>
    <row r="543" spans="1:23" x14ac:dyDescent="0.55000000000000004">
      <c r="A543" t="str">
        <f t="shared" si="44"/>
        <v>AugustAugustPhillips WI - DCL KY</v>
      </c>
      <c r="B543" s="3" t="s">
        <v>20</v>
      </c>
      <c r="C543" s="4" t="s">
        <v>150</v>
      </c>
      <c r="D543" s="4" t="s">
        <v>1326</v>
      </c>
      <c r="E543" s="5">
        <v>43318</v>
      </c>
      <c r="F543" s="4" t="s">
        <v>1102</v>
      </c>
      <c r="G543" s="4" t="s">
        <v>1327</v>
      </c>
      <c r="H543" s="4" t="s">
        <v>1328</v>
      </c>
      <c r="I543" s="4" t="s">
        <v>1105</v>
      </c>
      <c r="J543" s="4" t="s">
        <v>1110</v>
      </c>
      <c r="K543" s="6">
        <v>1881.19</v>
      </c>
      <c r="L543" s="6">
        <v>0</v>
      </c>
      <c r="M543" s="6">
        <v>1881.19</v>
      </c>
      <c r="N543" s="6"/>
      <c r="O543" s="4" t="s">
        <v>1327</v>
      </c>
      <c r="P543" s="3" t="s">
        <v>29</v>
      </c>
      <c r="Q543" s="8" t="s">
        <v>1112</v>
      </c>
      <c r="R543" s="8">
        <v>43330</v>
      </c>
      <c r="S543" s="9">
        <v>43330</v>
      </c>
      <c r="T543" s="8">
        <v>8</v>
      </c>
      <c r="U543" s="8" t="s">
        <v>306</v>
      </c>
      <c r="V543">
        <f t="shared" si="45"/>
        <v>8</v>
      </c>
      <c r="W543" s="8" t="str">
        <f>IF(V543=6,"June",IF(V543=5,"May",IF(V543=4,"April",IF(V543=3,"March",IF(V543=7,"July",IF(V543=8,"August",0))))))</f>
        <v>August</v>
      </c>
    </row>
    <row r="544" spans="1:23" x14ac:dyDescent="0.55000000000000004">
      <c r="A544" t="str">
        <f t="shared" si="44"/>
        <v>AugustAugustPhillips WI - DCL KY</v>
      </c>
      <c r="B544" s="3" t="s">
        <v>20</v>
      </c>
      <c r="C544" s="4" t="s">
        <v>150</v>
      </c>
      <c r="D544" s="4" t="s">
        <v>1329</v>
      </c>
      <c r="E544" s="5">
        <v>43318</v>
      </c>
      <c r="F544" s="4" t="s">
        <v>1102</v>
      </c>
      <c r="G544" s="4" t="s">
        <v>1327</v>
      </c>
      <c r="H544" s="4" t="s">
        <v>1330</v>
      </c>
      <c r="I544" s="4" t="s">
        <v>1105</v>
      </c>
      <c r="J544" s="4" t="s">
        <v>1110</v>
      </c>
      <c r="K544" s="6">
        <v>1881.19</v>
      </c>
      <c r="L544" s="6">
        <v>0</v>
      </c>
      <c r="M544" s="6">
        <v>1881.19</v>
      </c>
      <c r="N544" s="6"/>
      <c r="O544" s="4" t="s">
        <v>1327</v>
      </c>
      <c r="P544" s="3" t="s">
        <v>29</v>
      </c>
      <c r="Q544" s="8" t="s">
        <v>1112</v>
      </c>
      <c r="R544" s="8">
        <v>43330</v>
      </c>
      <c r="S544" s="9">
        <v>43330</v>
      </c>
      <c r="T544" s="8">
        <v>8</v>
      </c>
      <c r="U544" s="8" t="s">
        <v>306</v>
      </c>
      <c r="V544">
        <f t="shared" si="45"/>
        <v>8</v>
      </c>
      <c r="W544" s="8" t="str">
        <f t="shared" ref="W544:W572" si="47">IF(V544=6,"June",IF(V544=5,"May",IF(V544=4,"April",IF(V544=3,"March",IF(V544=7,"July",IF(V544=8,"August",0))))))</f>
        <v>August</v>
      </c>
    </row>
    <row r="545" spans="1:23" x14ac:dyDescent="0.55000000000000004">
      <c r="A545" t="str">
        <f t="shared" si="44"/>
        <v>AugustJulyDECI NC - DCL KY</v>
      </c>
      <c r="B545" s="3" t="s">
        <v>20</v>
      </c>
      <c r="C545" s="4" t="s">
        <v>150</v>
      </c>
      <c r="D545" s="4" t="s">
        <v>1331</v>
      </c>
      <c r="E545" s="5">
        <v>43319</v>
      </c>
      <c r="F545" s="4" t="s">
        <v>1102</v>
      </c>
      <c r="G545" s="4" t="s">
        <v>1311</v>
      </c>
      <c r="H545" s="4" t="s">
        <v>1332</v>
      </c>
      <c r="I545" s="4" t="s">
        <v>1105</v>
      </c>
      <c r="J545" s="4" t="s">
        <v>1110</v>
      </c>
      <c r="K545" s="6">
        <v>1480.24</v>
      </c>
      <c r="L545" s="6">
        <v>0</v>
      </c>
      <c r="M545" s="6">
        <v>1480.24</v>
      </c>
      <c r="N545" s="6"/>
      <c r="O545" s="4" t="s">
        <v>1311</v>
      </c>
      <c r="P545" s="3" t="s">
        <v>178</v>
      </c>
      <c r="Q545" s="8" t="s">
        <v>1133</v>
      </c>
      <c r="R545" s="8">
        <v>43299</v>
      </c>
      <c r="S545" s="9">
        <v>43299</v>
      </c>
      <c r="T545" s="8">
        <v>8</v>
      </c>
      <c r="U545" s="8" t="s">
        <v>306</v>
      </c>
      <c r="V545">
        <f t="shared" si="45"/>
        <v>7</v>
      </c>
      <c r="W545" s="8" t="str">
        <f t="shared" si="47"/>
        <v>July</v>
      </c>
    </row>
    <row r="546" spans="1:23" x14ac:dyDescent="0.55000000000000004">
      <c r="A546" t="str">
        <f t="shared" si="44"/>
        <v>AugustJulyAFG NC - DCL KY</v>
      </c>
      <c r="B546" s="3" t="s">
        <v>20</v>
      </c>
      <c r="C546" s="4" t="s">
        <v>150</v>
      </c>
      <c r="D546" s="4" t="s">
        <v>1333</v>
      </c>
      <c r="E546" s="5">
        <v>43319</v>
      </c>
      <c r="F546" s="4" t="s">
        <v>1102</v>
      </c>
      <c r="G546" s="4" t="s">
        <v>1278</v>
      </c>
      <c r="H546" s="4" t="s">
        <v>1334</v>
      </c>
      <c r="I546" s="4" t="s">
        <v>1105</v>
      </c>
      <c r="J546" s="4" t="s">
        <v>1110</v>
      </c>
      <c r="K546" s="6">
        <v>1480.44</v>
      </c>
      <c r="L546" s="6">
        <v>0</v>
      </c>
      <c r="M546" s="6">
        <v>1480.44</v>
      </c>
      <c r="N546" s="6"/>
      <c r="O546" s="4" t="s">
        <v>1278</v>
      </c>
      <c r="P546" s="3" t="s">
        <v>173</v>
      </c>
      <c r="Q546" s="8" t="s">
        <v>1112</v>
      </c>
      <c r="R546" s="8">
        <v>43299</v>
      </c>
      <c r="S546" s="9">
        <v>43299</v>
      </c>
      <c r="T546" s="8">
        <v>8</v>
      </c>
      <c r="U546" s="8" t="s">
        <v>306</v>
      </c>
      <c r="V546">
        <f t="shared" si="45"/>
        <v>7</v>
      </c>
      <c r="W546" s="8" t="str">
        <f t="shared" si="47"/>
        <v>July</v>
      </c>
    </row>
    <row r="547" spans="1:23" x14ac:dyDescent="0.55000000000000004">
      <c r="A547" t="str">
        <f t="shared" si="44"/>
        <v>AugustJulyDECI NC - DCL KY</v>
      </c>
      <c r="B547" s="3" t="s">
        <v>20</v>
      </c>
      <c r="C547" s="4" t="s">
        <v>150</v>
      </c>
      <c r="D547" s="4" t="s">
        <v>1335</v>
      </c>
      <c r="E547" s="5">
        <v>43319</v>
      </c>
      <c r="F547" s="4" t="s">
        <v>1102</v>
      </c>
      <c r="G547" s="4" t="s">
        <v>1336</v>
      </c>
      <c r="H547" s="4" t="s">
        <v>1337</v>
      </c>
      <c r="I547" s="4" t="s">
        <v>1105</v>
      </c>
      <c r="J547" s="4" t="s">
        <v>1110</v>
      </c>
      <c r="K547" s="6">
        <v>1480.24</v>
      </c>
      <c r="L547" s="6">
        <v>0</v>
      </c>
      <c r="M547" s="6">
        <v>1480.24</v>
      </c>
      <c r="N547" s="6"/>
      <c r="O547" s="4" t="s">
        <v>1336</v>
      </c>
      <c r="P547" s="3" t="s">
        <v>178</v>
      </c>
      <c r="Q547" s="8" t="s">
        <v>1133</v>
      </c>
      <c r="R547" s="8">
        <v>43299</v>
      </c>
      <c r="S547" s="9">
        <v>43299</v>
      </c>
      <c r="T547" s="8">
        <v>8</v>
      </c>
      <c r="U547" s="8" t="s">
        <v>306</v>
      </c>
      <c r="V547">
        <f t="shared" si="45"/>
        <v>7</v>
      </c>
      <c r="W547" s="8" t="str">
        <f t="shared" si="47"/>
        <v>July</v>
      </c>
    </row>
    <row r="548" spans="1:23" x14ac:dyDescent="0.55000000000000004">
      <c r="A548" t="str">
        <f t="shared" si="44"/>
        <v>AugustJulyDECI NC - DCL KY</v>
      </c>
      <c r="B548" s="3" t="s">
        <v>20</v>
      </c>
      <c r="C548" s="4" t="s">
        <v>150</v>
      </c>
      <c r="D548" s="4" t="s">
        <v>1338</v>
      </c>
      <c r="E548" s="5">
        <v>43319</v>
      </c>
      <c r="F548" s="4" t="s">
        <v>1102</v>
      </c>
      <c r="G548" s="4" t="s">
        <v>1219</v>
      </c>
      <c r="H548" s="4" t="s">
        <v>1339</v>
      </c>
      <c r="I548" s="4" t="s">
        <v>1105</v>
      </c>
      <c r="J548" s="4" t="s">
        <v>1110</v>
      </c>
      <c r="K548" s="6">
        <v>1480.24</v>
      </c>
      <c r="L548" s="6">
        <v>0</v>
      </c>
      <c r="M548" s="6">
        <v>1480.24</v>
      </c>
      <c r="N548" s="6"/>
      <c r="O548" s="4" t="s">
        <v>1219</v>
      </c>
      <c r="P548" s="3" t="s">
        <v>178</v>
      </c>
      <c r="Q548" s="8" t="s">
        <v>1133</v>
      </c>
      <c r="R548" s="8">
        <v>43299</v>
      </c>
      <c r="S548" s="9">
        <v>43299</v>
      </c>
      <c r="T548" s="8">
        <v>8</v>
      </c>
      <c r="U548" s="8" t="s">
        <v>306</v>
      </c>
      <c r="V548">
        <f t="shared" si="45"/>
        <v>7</v>
      </c>
      <c r="W548" s="8" t="str">
        <f t="shared" si="47"/>
        <v>July</v>
      </c>
    </row>
    <row r="549" spans="1:23" x14ac:dyDescent="0.55000000000000004">
      <c r="A549" t="str">
        <f t="shared" si="44"/>
        <v>AugustJulyPhillips WI - DCL KY</v>
      </c>
      <c r="B549" s="3" t="s">
        <v>20</v>
      </c>
      <c r="C549" s="4" t="s">
        <v>150</v>
      </c>
      <c r="D549" s="4" t="s">
        <v>1340</v>
      </c>
      <c r="E549" s="5">
        <v>43319</v>
      </c>
      <c r="F549" s="4" t="s">
        <v>1102</v>
      </c>
      <c r="G549" s="4" t="s">
        <v>1341</v>
      </c>
      <c r="H549" s="4" t="s">
        <v>1342</v>
      </c>
      <c r="I549" s="4" t="s">
        <v>1105</v>
      </c>
      <c r="J549" s="4" t="s">
        <v>1110</v>
      </c>
      <c r="K549" s="6">
        <v>1881.19</v>
      </c>
      <c r="L549" s="6">
        <v>0</v>
      </c>
      <c r="M549" s="6">
        <v>1881.19</v>
      </c>
      <c r="N549" s="6"/>
      <c r="O549" s="4" t="s">
        <v>1341</v>
      </c>
      <c r="P549" s="3" t="s">
        <v>29</v>
      </c>
      <c r="Q549" s="8" t="s">
        <v>1112</v>
      </c>
      <c r="R549" s="8">
        <v>43299</v>
      </c>
      <c r="S549" s="9">
        <v>43299</v>
      </c>
      <c r="T549" s="8">
        <v>8</v>
      </c>
      <c r="U549" s="8" t="s">
        <v>306</v>
      </c>
      <c r="V549">
        <f t="shared" si="45"/>
        <v>7</v>
      </c>
      <c r="W549" s="8" t="str">
        <f t="shared" si="47"/>
        <v>July</v>
      </c>
    </row>
    <row r="550" spans="1:23" x14ac:dyDescent="0.55000000000000004">
      <c r="A550" t="str">
        <f t="shared" si="44"/>
        <v>AugustAugustAFG NC - DCL KY</v>
      </c>
      <c r="B550" s="3" t="s">
        <v>20</v>
      </c>
      <c r="C550" s="4" t="s">
        <v>150</v>
      </c>
      <c r="D550" s="4" t="s">
        <v>1343</v>
      </c>
      <c r="E550" s="5">
        <v>43320</v>
      </c>
      <c r="F550" s="4" t="s">
        <v>1102</v>
      </c>
      <c r="G550" s="4" t="s">
        <v>1344</v>
      </c>
      <c r="H550" s="4" t="s">
        <v>1345</v>
      </c>
      <c r="I550" s="4" t="s">
        <v>1105</v>
      </c>
      <c r="J550" s="4" t="s">
        <v>1110</v>
      </c>
      <c r="K550" s="6">
        <v>1480.44</v>
      </c>
      <c r="L550" s="6">
        <v>0</v>
      </c>
      <c r="M550" s="6">
        <v>1480.44</v>
      </c>
      <c r="N550" s="6"/>
      <c r="O550" s="4" t="s">
        <v>1344</v>
      </c>
      <c r="P550" s="3" t="s">
        <v>173</v>
      </c>
      <c r="Q550" s="8" t="s">
        <v>1112</v>
      </c>
      <c r="R550" s="8">
        <v>43330</v>
      </c>
      <c r="S550" s="9">
        <v>43330</v>
      </c>
      <c r="T550" s="8">
        <v>8</v>
      </c>
      <c r="U550" s="8" t="s">
        <v>306</v>
      </c>
      <c r="V550">
        <f t="shared" si="45"/>
        <v>8</v>
      </c>
      <c r="W550" s="8" t="str">
        <f t="shared" si="47"/>
        <v>August</v>
      </c>
    </row>
    <row r="551" spans="1:23" x14ac:dyDescent="0.55000000000000004">
      <c r="A551" t="str">
        <f t="shared" si="44"/>
        <v>AugustJulyDECI NC - DCL KY</v>
      </c>
      <c r="B551" s="3" t="s">
        <v>20</v>
      </c>
      <c r="C551" s="4" t="s">
        <v>150</v>
      </c>
      <c r="D551" s="4" t="s">
        <v>1346</v>
      </c>
      <c r="E551" s="5">
        <v>43320</v>
      </c>
      <c r="F551" s="4" t="s">
        <v>1102</v>
      </c>
      <c r="G551" s="4" t="s">
        <v>1347</v>
      </c>
      <c r="H551" s="4" t="s">
        <v>1348</v>
      </c>
      <c r="I551" s="4" t="s">
        <v>1105</v>
      </c>
      <c r="J551" s="4" t="s">
        <v>1110</v>
      </c>
      <c r="K551" s="6">
        <v>1480.24</v>
      </c>
      <c r="L551" s="6">
        <v>0</v>
      </c>
      <c r="M551" s="6">
        <v>1480.24</v>
      </c>
      <c r="N551" s="6"/>
      <c r="O551" s="4" t="s">
        <v>1347</v>
      </c>
      <c r="P551" s="3" t="s">
        <v>178</v>
      </c>
      <c r="Q551" s="8" t="s">
        <v>1133</v>
      </c>
      <c r="R551" s="8">
        <v>43299</v>
      </c>
      <c r="S551" s="9">
        <v>43299</v>
      </c>
      <c r="T551" s="8">
        <v>8</v>
      </c>
      <c r="U551" s="8" t="s">
        <v>306</v>
      </c>
      <c r="V551">
        <f t="shared" si="45"/>
        <v>7</v>
      </c>
      <c r="W551" s="8" t="str">
        <f t="shared" si="47"/>
        <v>July</v>
      </c>
    </row>
    <row r="552" spans="1:23" x14ac:dyDescent="0.55000000000000004">
      <c r="A552" t="str">
        <f t="shared" si="44"/>
        <v>AugustJulyAFG NC - DCL KY</v>
      </c>
      <c r="B552" s="3" t="s">
        <v>20</v>
      </c>
      <c r="C552" s="4" t="s">
        <v>150</v>
      </c>
      <c r="D552" s="4" t="s">
        <v>1349</v>
      </c>
      <c r="E552" s="5">
        <v>43320</v>
      </c>
      <c r="F552" s="4" t="s">
        <v>1102</v>
      </c>
      <c r="G552" s="4" t="s">
        <v>1284</v>
      </c>
      <c r="H552" s="4" t="s">
        <v>1350</v>
      </c>
      <c r="I552" s="4" t="s">
        <v>1105</v>
      </c>
      <c r="J552" s="4" t="s">
        <v>1110</v>
      </c>
      <c r="K552" s="6">
        <v>1480.44</v>
      </c>
      <c r="L552" s="6">
        <v>0</v>
      </c>
      <c r="M552" s="6">
        <v>1480.44</v>
      </c>
      <c r="N552" s="6"/>
      <c r="O552" s="4" t="s">
        <v>1284</v>
      </c>
      <c r="P552" s="3" t="s">
        <v>173</v>
      </c>
      <c r="Q552" s="8" t="s">
        <v>1112</v>
      </c>
      <c r="R552" s="8">
        <v>43299</v>
      </c>
      <c r="S552" s="9">
        <v>43299</v>
      </c>
      <c r="T552" s="8">
        <v>8</v>
      </c>
      <c r="U552" s="8" t="s">
        <v>306</v>
      </c>
      <c r="V552">
        <f t="shared" si="45"/>
        <v>7</v>
      </c>
      <c r="W552" s="8" t="str">
        <f t="shared" si="47"/>
        <v>July</v>
      </c>
    </row>
    <row r="553" spans="1:23" x14ac:dyDescent="0.55000000000000004">
      <c r="A553" t="str">
        <f t="shared" si="44"/>
        <v>AugustJulyPhillips WI - DCL KY</v>
      </c>
      <c r="B553" s="3" t="s">
        <v>20</v>
      </c>
      <c r="C553" s="4" t="s">
        <v>150</v>
      </c>
      <c r="D553" s="4" t="s">
        <v>1351</v>
      </c>
      <c r="E553" s="5">
        <v>43320</v>
      </c>
      <c r="F553" s="4" t="s">
        <v>1102</v>
      </c>
      <c r="G553" s="4" t="s">
        <v>1352</v>
      </c>
      <c r="H553" s="4" t="s">
        <v>1353</v>
      </c>
      <c r="I553" s="4" t="s">
        <v>1105</v>
      </c>
      <c r="J553" s="4" t="s">
        <v>1110</v>
      </c>
      <c r="K553" s="6">
        <v>1881.19</v>
      </c>
      <c r="L553" s="6">
        <v>0</v>
      </c>
      <c r="M553" s="6">
        <v>1881.19</v>
      </c>
      <c r="N553" s="6"/>
      <c r="O553" s="4" t="s">
        <v>1352</v>
      </c>
      <c r="P553" s="3" t="s">
        <v>29</v>
      </c>
      <c r="Q553" s="8" t="s">
        <v>1112</v>
      </c>
      <c r="R553" s="8">
        <v>43299</v>
      </c>
      <c r="S553" s="9">
        <v>43299</v>
      </c>
      <c r="T553" s="8">
        <v>8</v>
      </c>
      <c r="U553" s="8" t="s">
        <v>306</v>
      </c>
      <c r="V553">
        <f t="shared" si="45"/>
        <v>7</v>
      </c>
      <c r="W553" s="8" t="str">
        <f t="shared" si="47"/>
        <v>July</v>
      </c>
    </row>
    <row r="554" spans="1:23" x14ac:dyDescent="0.55000000000000004">
      <c r="A554" t="str">
        <f t="shared" si="44"/>
        <v>AugustJulyHong Kong - Phillips WI</v>
      </c>
      <c r="B554" s="3" t="s">
        <v>20</v>
      </c>
      <c r="C554" s="4" t="s">
        <v>150</v>
      </c>
      <c r="D554" s="4" t="s">
        <v>1354</v>
      </c>
      <c r="E554" s="5">
        <v>43321</v>
      </c>
      <c r="F554" s="4" t="s">
        <v>1102</v>
      </c>
      <c r="G554" s="4" t="s">
        <v>1355</v>
      </c>
      <c r="H554" s="4" t="s">
        <v>1356</v>
      </c>
      <c r="I554" s="4" t="s">
        <v>1105</v>
      </c>
      <c r="J554" s="4" t="s">
        <v>27</v>
      </c>
      <c r="K554" s="6">
        <v>4040.51</v>
      </c>
      <c r="L554" s="6">
        <v>0</v>
      </c>
      <c r="M554" s="6">
        <v>4040.51</v>
      </c>
      <c r="N554" s="6"/>
      <c r="O554" s="4" t="s">
        <v>1355</v>
      </c>
      <c r="P554" s="3" t="s">
        <v>65</v>
      </c>
      <c r="Q554" s="8" t="s">
        <v>1106</v>
      </c>
      <c r="R554" s="8">
        <v>43299</v>
      </c>
      <c r="S554" s="9">
        <v>43299</v>
      </c>
      <c r="T554" s="8">
        <v>8</v>
      </c>
      <c r="U554" s="8" t="s">
        <v>306</v>
      </c>
      <c r="V554">
        <f t="shared" si="45"/>
        <v>7</v>
      </c>
      <c r="W554" s="8" t="str">
        <f t="shared" si="47"/>
        <v>July</v>
      </c>
    </row>
    <row r="555" spans="1:23" x14ac:dyDescent="0.55000000000000004">
      <c r="A555" t="str">
        <f t="shared" si="44"/>
        <v>AugustAugustChina - DECI NC</v>
      </c>
      <c r="B555" s="3" t="s">
        <v>20</v>
      </c>
      <c r="C555" s="4" t="s">
        <v>150</v>
      </c>
      <c r="D555" s="4" t="s">
        <v>1357</v>
      </c>
      <c r="E555" s="5">
        <v>43321</v>
      </c>
      <c r="F555" s="4" t="s">
        <v>1102</v>
      </c>
      <c r="G555" s="4" t="s">
        <v>1358</v>
      </c>
      <c r="H555" s="4" t="s">
        <v>1359</v>
      </c>
      <c r="I555" s="4" t="s">
        <v>1105</v>
      </c>
      <c r="J555" s="4" t="s">
        <v>27</v>
      </c>
      <c r="K555" s="6">
        <v>4328.3599999999997</v>
      </c>
      <c r="L555" s="6">
        <v>0</v>
      </c>
      <c r="M555" s="6">
        <v>4328.3599999999997</v>
      </c>
      <c r="N555" s="6"/>
      <c r="O555" s="4" t="s">
        <v>1358</v>
      </c>
      <c r="P555" s="3" t="s">
        <v>97</v>
      </c>
      <c r="Q555" s="8" t="s">
        <v>1243</v>
      </c>
      <c r="R555" s="8">
        <v>43330</v>
      </c>
      <c r="S555" s="9">
        <v>43330</v>
      </c>
      <c r="T555" s="8">
        <v>8</v>
      </c>
      <c r="U555" s="8" t="s">
        <v>306</v>
      </c>
      <c r="V555">
        <f t="shared" si="45"/>
        <v>8</v>
      </c>
      <c r="W555" s="8" t="str">
        <f t="shared" si="47"/>
        <v>August</v>
      </c>
    </row>
    <row r="556" spans="1:23" x14ac:dyDescent="0.55000000000000004">
      <c r="A556" t="str">
        <f t="shared" si="44"/>
        <v>AugustAugustChina - DCL KY</v>
      </c>
      <c r="B556" s="3" t="s">
        <v>20</v>
      </c>
      <c r="C556" s="4" t="s">
        <v>150</v>
      </c>
      <c r="D556" s="4" t="s">
        <v>1360</v>
      </c>
      <c r="E556" s="5">
        <v>43321</v>
      </c>
      <c r="F556" s="4" t="s">
        <v>1102</v>
      </c>
      <c r="G556" s="4" t="s">
        <v>1361</v>
      </c>
      <c r="H556" s="4" t="s">
        <v>1362</v>
      </c>
      <c r="I556" s="4" t="s">
        <v>1105</v>
      </c>
      <c r="J556" s="4" t="s">
        <v>27</v>
      </c>
      <c r="K556" s="6">
        <v>2020.81</v>
      </c>
      <c r="L556" s="6">
        <v>0</v>
      </c>
      <c r="M556" s="6">
        <v>2020.81</v>
      </c>
      <c r="N556" s="6"/>
      <c r="O556" s="4" t="s">
        <v>1361</v>
      </c>
      <c r="P556" s="3" t="s">
        <v>82</v>
      </c>
      <c r="Q556" s="8" t="s">
        <v>1181</v>
      </c>
      <c r="R556" s="8">
        <v>43299</v>
      </c>
      <c r="S556" s="9">
        <v>43330</v>
      </c>
      <c r="T556" s="8">
        <v>8</v>
      </c>
      <c r="U556" s="8" t="s">
        <v>306</v>
      </c>
      <c r="V556">
        <f t="shared" si="45"/>
        <v>8</v>
      </c>
      <c r="W556" s="8" t="str">
        <f t="shared" si="47"/>
        <v>August</v>
      </c>
    </row>
    <row r="557" spans="1:23" x14ac:dyDescent="0.55000000000000004">
      <c r="A557" t="str">
        <f t="shared" si="44"/>
        <v>AugustJulyHong Kong - AFG NC</v>
      </c>
      <c r="B557" s="3" t="s">
        <v>20</v>
      </c>
      <c r="C557" s="4" t="s">
        <v>150</v>
      </c>
      <c r="D557" s="4" t="s">
        <v>1363</v>
      </c>
      <c r="E557" s="5">
        <v>43321</v>
      </c>
      <c r="F557" s="4" t="s">
        <v>1102</v>
      </c>
      <c r="G557" s="4" t="s">
        <v>1364</v>
      </c>
      <c r="H557" s="4" t="s">
        <v>1365</v>
      </c>
      <c r="I557" s="4" t="s">
        <v>1105</v>
      </c>
      <c r="J557" s="4" t="s">
        <v>27</v>
      </c>
      <c r="K557" s="6">
        <v>9353.18</v>
      </c>
      <c r="L557" s="6">
        <v>0</v>
      </c>
      <c r="M557" s="6">
        <v>9353.18</v>
      </c>
      <c r="N557" s="6"/>
      <c r="O557" s="4" t="s">
        <v>1364</v>
      </c>
      <c r="P557" s="3" t="s">
        <v>334</v>
      </c>
      <c r="Q557" s="8" t="s">
        <v>1106</v>
      </c>
      <c r="R557" s="8">
        <v>43282</v>
      </c>
      <c r="S557" s="9">
        <v>43282</v>
      </c>
      <c r="T557" s="8">
        <v>8</v>
      </c>
      <c r="U557" s="8" t="s">
        <v>306</v>
      </c>
      <c r="V557">
        <f t="shared" si="45"/>
        <v>7</v>
      </c>
      <c r="W557" s="8" t="str">
        <f t="shared" si="47"/>
        <v>July</v>
      </c>
    </row>
    <row r="558" spans="1:23" x14ac:dyDescent="0.55000000000000004">
      <c r="A558" t="str">
        <f t="shared" si="44"/>
        <v>AugustJulyChina - DECI NC</v>
      </c>
      <c r="B558" s="3" t="s">
        <v>20</v>
      </c>
      <c r="C558" s="4" t="s">
        <v>150</v>
      </c>
      <c r="D558" s="4" t="s">
        <v>1366</v>
      </c>
      <c r="E558" s="5">
        <v>43321</v>
      </c>
      <c r="F558" s="4" t="s">
        <v>1102</v>
      </c>
      <c r="G558" s="4" t="s">
        <v>1367</v>
      </c>
      <c r="H558" s="4" t="s">
        <v>1368</v>
      </c>
      <c r="I558" s="4" t="s">
        <v>1105</v>
      </c>
      <c r="J558" s="4" t="s">
        <v>27</v>
      </c>
      <c r="K558" s="6">
        <v>53106.5</v>
      </c>
      <c r="L558" s="6">
        <v>0</v>
      </c>
      <c r="M558" s="6">
        <v>53106.5</v>
      </c>
      <c r="N558" s="6"/>
      <c r="O558" s="4" t="s">
        <v>1367</v>
      </c>
      <c r="P558" s="3" t="s">
        <v>97</v>
      </c>
      <c r="Q558" s="8" t="s">
        <v>1243</v>
      </c>
      <c r="R558" s="8">
        <v>43299</v>
      </c>
      <c r="S558" s="9">
        <v>43299</v>
      </c>
      <c r="T558" s="8">
        <v>8</v>
      </c>
      <c r="U558" s="8" t="s">
        <v>306</v>
      </c>
      <c r="V558">
        <f t="shared" si="45"/>
        <v>7</v>
      </c>
      <c r="W558" s="8" t="str">
        <f t="shared" si="47"/>
        <v>July</v>
      </c>
    </row>
    <row r="559" spans="1:23" x14ac:dyDescent="0.55000000000000004">
      <c r="A559" t="str">
        <f t="shared" si="44"/>
        <v>AugustAugustChina - DCL KY</v>
      </c>
      <c r="B559" s="3" t="s">
        <v>20</v>
      </c>
      <c r="C559" s="4" t="s">
        <v>150</v>
      </c>
      <c r="D559" s="4" t="s">
        <v>1369</v>
      </c>
      <c r="E559" s="5">
        <v>43321</v>
      </c>
      <c r="F559" s="4" t="s">
        <v>1102</v>
      </c>
      <c r="G559" s="4" t="s">
        <v>1370</v>
      </c>
      <c r="H559" s="4" t="s">
        <v>1371</v>
      </c>
      <c r="I559" s="4" t="s">
        <v>1105</v>
      </c>
      <c r="J559" s="4" t="s">
        <v>27</v>
      </c>
      <c r="K559" s="6">
        <v>44235.12</v>
      </c>
      <c r="L559" s="6">
        <v>0</v>
      </c>
      <c r="M559" s="6">
        <v>44235.12</v>
      </c>
      <c r="N559" s="6"/>
      <c r="O559" s="4" t="s">
        <v>1370</v>
      </c>
      <c r="P559" s="3" t="s">
        <v>82</v>
      </c>
      <c r="Q559" s="8" t="s">
        <v>1178</v>
      </c>
      <c r="R559" s="8">
        <v>43299</v>
      </c>
      <c r="S559" s="9">
        <v>43330</v>
      </c>
      <c r="T559" s="8">
        <v>8</v>
      </c>
      <c r="U559" s="8" t="s">
        <v>306</v>
      </c>
      <c r="V559">
        <f t="shared" si="45"/>
        <v>8</v>
      </c>
      <c r="W559" s="8" t="str">
        <f t="shared" si="47"/>
        <v>August</v>
      </c>
    </row>
    <row r="560" spans="1:23" x14ac:dyDescent="0.55000000000000004">
      <c r="A560" t="str">
        <f t="shared" si="44"/>
        <v>AugustJulyChina - DCL KY</v>
      </c>
      <c r="B560" s="3" t="s">
        <v>20</v>
      </c>
      <c r="C560" s="4" t="s">
        <v>150</v>
      </c>
      <c r="D560" s="4" t="s">
        <v>1372</v>
      </c>
      <c r="E560" s="5">
        <v>43321</v>
      </c>
      <c r="F560" s="4" t="s">
        <v>1102</v>
      </c>
      <c r="G560" s="4" t="s">
        <v>1373</v>
      </c>
      <c r="H560" s="4" t="s">
        <v>1374</v>
      </c>
      <c r="I560" s="4" t="s">
        <v>1105</v>
      </c>
      <c r="J560" s="4" t="s">
        <v>27</v>
      </c>
      <c r="K560" s="6">
        <v>5830.39</v>
      </c>
      <c r="L560" s="6">
        <v>0</v>
      </c>
      <c r="M560" s="6">
        <v>5830.39</v>
      </c>
      <c r="N560" s="6"/>
      <c r="O560" s="4" t="s">
        <v>1373</v>
      </c>
      <c r="P560" s="3" t="s">
        <v>82</v>
      </c>
      <c r="Q560" s="8" t="s">
        <v>1116</v>
      </c>
      <c r="R560" s="8">
        <v>43299</v>
      </c>
      <c r="S560" s="9">
        <v>43299</v>
      </c>
      <c r="T560" s="8">
        <v>8</v>
      </c>
      <c r="U560" s="8" t="s">
        <v>306</v>
      </c>
      <c r="V560">
        <f t="shared" si="45"/>
        <v>7</v>
      </c>
      <c r="W560" s="8" t="str">
        <f t="shared" si="47"/>
        <v>July</v>
      </c>
    </row>
    <row r="561" spans="1:23" x14ac:dyDescent="0.55000000000000004">
      <c r="A561" t="str">
        <f t="shared" si="44"/>
        <v>AugustAugustHong Kong - AFG NC</v>
      </c>
      <c r="B561" s="3" t="s">
        <v>20</v>
      </c>
      <c r="C561" s="4" t="s">
        <v>150</v>
      </c>
      <c r="D561" s="4" t="s">
        <v>1375</v>
      </c>
      <c r="E561" s="5">
        <v>43321</v>
      </c>
      <c r="F561" s="4" t="s">
        <v>1102</v>
      </c>
      <c r="G561" s="4" t="s">
        <v>1376</v>
      </c>
      <c r="H561" s="4" t="s">
        <v>1377</v>
      </c>
      <c r="I561" s="4" t="s">
        <v>1105</v>
      </c>
      <c r="J561" s="4" t="s">
        <v>27</v>
      </c>
      <c r="K561" s="6">
        <v>6138.34</v>
      </c>
      <c r="L561" s="6">
        <v>0</v>
      </c>
      <c r="M561" s="6">
        <v>6138.34</v>
      </c>
      <c r="N561" s="6"/>
      <c r="O561" s="4" t="s">
        <v>1376</v>
      </c>
      <c r="P561" s="3" t="s">
        <v>334</v>
      </c>
      <c r="Q561" s="8" t="s">
        <v>1106</v>
      </c>
      <c r="R561" s="8">
        <v>43299</v>
      </c>
      <c r="S561" s="9">
        <v>43330</v>
      </c>
      <c r="T561" s="8">
        <v>8</v>
      </c>
      <c r="U561" s="8" t="s">
        <v>306</v>
      </c>
      <c r="V561">
        <f t="shared" si="45"/>
        <v>8</v>
      </c>
      <c r="W561" s="8" t="str">
        <f t="shared" si="47"/>
        <v>August</v>
      </c>
    </row>
    <row r="562" spans="1:23" x14ac:dyDescent="0.55000000000000004">
      <c r="A562" t="str">
        <f t="shared" si="44"/>
        <v>AugustJulyChina - DECI NC</v>
      </c>
      <c r="B562" s="3" t="s">
        <v>20</v>
      </c>
      <c r="C562" s="4" t="s">
        <v>150</v>
      </c>
      <c r="D562" s="4" t="s">
        <v>1378</v>
      </c>
      <c r="E562" s="5">
        <v>43321</v>
      </c>
      <c r="F562" s="4" t="s">
        <v>1102</v>
      </c>
      <c r="G562" s="4" t="s">
        <v>1379</v>
      </c>
      <c r="H562" s="4" t="s">
        <v>1380</v>
      </c>
      <c r="I562" s="4" t="s">
        <v>1105</v>
      </c>
      <c r="J562" s="4" t="s">
        <v>27</v>
      </c>
      <c r="K562" s="6">
        <v>35301.919999999998</v>
      </c>
      <c r="L562" s="6">
        <v>0</v>
      </c>
      <c r="M562" s="6">
        <v>35301.919999999998</v>
      </c>
      <c r="N562" s="6"/>
      <c r="O562" s="4" t="s">
        <v>1379</v>
      </c>
      <c r="P562" s="3" t="s">
        <v>97</v>
      </c>
      <c r="Q562" s="8" t="s">
        <v>1243</v>
      </c>
      <c r="R562" s="8">
        <v>43299</v>
      </c>
      <c r="S562" s="9">
        <v>43299</v>
      </c>
      <c r="T562" s="8">
        <v>8</v>
      </c>
      <c r="U562" s="8" t="s">
        <v>306</v>
      </c>
      <c r="V562">
        <f t="shared" si="45"/>
        <v>7</v>
      </c>
      <c r="W562" s="8" t="str">
        <f t="shared" si="47"/>
        <v>July</v>
      </c>
    </row>
    <row r="563" spans="1:23" x14ac:dyDescent="0.55000000000000004">
      <c r="A563" t="str">
        <f t="shared" si="44"/>
        <v>AugustAugustChina - DECI NC</v>
      </c>
      <c r="B563" s="3" t="s">
        <v>20</v>
      </c>
      <c r="C563" s="4" t="s">
        <v>150</v>
      </c>
      <c r="D563" s="4" t="s">
        <v>1381</v>
      </c>
      <c r="E563" s="5">
        <v>43321</v>
      </c>
      <c r="F563" s="4" t="s">
        <v>1102</v>
      </c>
      <c r="G563" s="4" t="s">
        <v>1382</v>
      </c>
      <c r="H563" s="4" t="s">
        <v>1383</v>
      </c>
      <c r="I563" s="4" t="s">
        <v>1105</v>
      </c>
      <c r="J563" s="4" t="s">
        <v>27</v>
      </c>
      <c r="K563" s="6">
        <v>29693</v>
      </c>
      <c r="L563" s="6">
        <v>0</v>
      </c>
      <c r="M563" s="6">
        <v>29693</v>
      </c>
      <c r="N563" s="6"/>
      <c r="O563" s="4" t="s">
        <v>1382</v>
      </c>
      <c r="P563" s="3" t="s">
        <v>97</v>
      </c>
      <c r="Q563" s="8" t="s">
        <v>1174</v>
      </c>
      <c r="R563" s="8">
        <v>43299</v>
      </c>
      <c r="S563" s="9">
        <v>43330</v>
      </c>
      <c r="T563" s="8">
        <v>8</v>
      </c>
      <c r="U563" s="8" t="s">
        <v>306</v>
      </c>
      <c r="V563">
        <f t="shared" si="45"/>
        <v>8</v>
      </c>
      <c r="W563" s="8" t="str">
        <f t="shared" si="47"/>
        <v>August</v>
      </c>
    </row>
    <row r="564" spans="1:23" x14ac:dyDescent="0.55000000000000004">
      <c r="A564" t="str">
        <f t="shared" si="44"/>
        <v>AugustAugustChina - Flex IL</v>
      </c>
      <c r="B564" s="3" t="s">
        <v>20</v>
      </c>
      <c r="C564" s="4" t="s">
        <v>150</v>
      </c>
      <c r="D564" s="4" t="s">
        <v>1384</v>
      </c>
      <c r="E564" s="5">
        <v>43321</v>
      </c>
      <c r="F564" s="4" t="s">
        <v>1102</v>
      </c>
      <c r="G564" s="4" t="s">
        <v>1385</v>
      </c>
      <c r="H564" s="4" t="s">
        <v>1386</v>
      </c>
      <c r="I564" s="4" t="s">
        <v>1105</v>
      </c>
      <c r="J564" s="4" t="s">
        <v>27</v>
      </c>
      <c r="K564" s="6">
        <v>3376.99</v>
      </c>
      <c r="L564" s="6">
        <v>0</v>
      </c>
      <c r="M564" s="6">
        <v>3376.99</v>
      </c>
      <c r="N564" s="6"/>
      <c r="O564" s="4" t="s">
        <v>1385</v>
      </c>
      <c r="P564" s="3" t="s">
        <v>886</v>
      </c>
      <c r="Q564" s="8" t="s">
        <v>1106</v>
      </c>
      <c r="R564" s="8">
        <v>43330</v>
      </c>
      <c r="S564" s="9">
        <v>43330</v>
      </c>
      <c r="T564" s="8">
        <v>8</v>
      </c>
      <c r="U564" s="8" t="s">
        <v>306</v>
      </c>
      <c r="V564">
        <f t="shared" si="45"/>
        <v>8</v>
      </c>
      <c r="W564" s="8" t="str">
        <f t="shared" si="47"/>
        <v>August</v>
      </c>
    </row>
    <row r="565" spans="1:23" x14ac:dyDescent="0.55000000000000004">
      <c r="A565" t="str">
        <f t="shared" si="44"/>
        <v>AugustJulyPhillips WI - DCL KY</v>
      </c>
      <c r="B565" s="3" t="s">
        <v>20</v>
      </c>
      <c r="C565" s="4" t="s">
        <v>150</v>
      </c>
      <c r="D565" s="4" t="s">
        <v>1387</v>
      </c>
      <c r="E565" s="5">
        <v>43321</v>
      </c>
      <c r="F565" s="4" t="s">
        <v>1102</v>
      </c>
      <c r="G565" s="4" t="s">
        <v>1352</v>
      </c>
      <c r="H565" s="4" t="s">
        <v>1388</v>
      </c>
      <c r="I565" s="4" t="s">
        <v>1105</v>
      </c>
      <c r="J565" s="4" t="s">
        <v>1110</v>
      </c>
      <c r="K565" s="6">
        <v>1881.19</v>
      </c>
      <c r="L565" s="6">
        <v>0</v>
      </c>
      <c r="M565" s="6">
        <v>1881.19</v>
      </c>
      <c r="N565" s="6"/>
      <c r="O565" s="4" t="s">
        <v>1352</v>
      </c>
      <c r="P565" s="3" t="s">
        <v>29</v>
      </c>
      <c r="Q565" s="8" t="s">
        <v>1112</v>
      </c>
      <c r="R565" s="8">
        <v>43299</v>
      </c>
      <c r="S565" s="9">
        <v>43299</v>
      </c>
      <c r="T565" s="8">
        <v>8</v>
      </c>
      <c r="U565" s="8" t="s">
        <v>306</v>
      </c>
      <c r="V565">
        <f t="shared" si="45"/>
        <v>7</v>
      </c>
      <c r="W565" s="8" t="str">
        <f t="shared" si="47"/>
        <v>July</v>
      </c>
    </row>
    <row r="566" spans="1:23" x14ac:dyDescent="0.55000000000000004">
      <c r="A566" t="str">
        <f t="shared" si="44"/>
        <v>AugustJulyAFG NC - DCL KY</v>
      </c>
      <c r="B566" s="3" t="s">
        <v>20</v>
      </c>
      <c r="C566" s="4" t="s">
        <v>150</v>
      </c>
      <c r="D566" s="4" t="s">
        <v>1389</v>
      </c>
      <c r="E566" s="5">
        <v>43321</v>
      </c>
      <c r="F566" s="4" t="s">
        <v>1102</v>
      </c>
      <c r="G566" s="4" t="s">
        <v>1288</v>
      </c>
      <c r="H566" s="4" t="s">
        <v>1390</v>
      </c>
      <c r="I566" s="4" t="s">
        <v>1105</v>
      </c>
      <c r="J566" s="4" t="s">
        <v>1110</v>
      </c>
      <c r="K566" s="6">
        <v>1480.44</v>
      </c>
      <c r="L566" s="6">
        <v>0</v>
      </c>
      <c r="M566" s="6">
        <v>1480.44</v>
      </c>
      <c r="N566" s="6"/>
      <c r="O566" s="4" t="s">
        <v>1288</v>
      </c>
      <c r="P566" s="3" t="s">
        <v>173</v>
      </c>
      <c r="Q566" s="8" t="s">
        <v>1112</v>
      </c>
      <c r="R566" s="8">
        <v>43299</v>
      </c>
      <c r="S566" s="9">
        <v>43299</v>
      </c>
      <c r="T566" s="8">
        <v>8</v>
      </c>
      <c r="U566" s="8" t="s">
        <v>306</v>
      </c>
      <c r="V566">
        <f t="shared" si="45"/>
        <v>7</v>
      </c>
      <c r="W566" s="8" t="str">
        <f t="shared" si="47"/>
        <v>July</v>
      </c>
    </row>
    <row r="567" spans="1:23" x14ac:dyDescent="0.55000000000000004">
      <c r="A567" t="str">
        <f t="shared" si="44"/>
        <v>AugustJulyFlex IL - DCL KY</v>
      </c>
      <c r="B567" s="3" t="s">
        <v>20</v>
      </c>
      <c r="C567" s="4" t="s">
        <v>150</v>
      </c>
      <c r="D567" s="4" t="s">
        <v>1391</v>
      </c>
      <c r="E567" s="5">
        <v>43321</v>
      </c>
      <c r="F567" s="4" t="s">
        <v>1102</v>
      </c>
      <c r="G567" s="4" t="s">
        <v>1392</v>
      </c>
      <c r="H567" s="4" t="s">
        <v>1393</v>
      </c>
      <c r="I567" s="4" t="s">
        <v>1105</v>
      </c>
      <c r="J567" s="4" t="s">
        <v>1110</v>
      </c>
      <c r="K567" s="6">
        <v>150</v>
      </c>
      <c r="L567" s="6">
        <v>0</v>
      </c>
      <c r="M567" s="6">
        <v>150</v>
      </c>
      <c r="N567" s="6"/>
      <c r="O567" s="4" t="s">
        <v>1392</v>
      </c>
      <c r="P567" s="3" t="s">
        <v>1137</v>
      </c>
      <c r="Q567" s="8" t="s">
        <v>1293</v>
      </c>
      <c r="R567" s="8">
        <v>43299</v>
      </c>
      <c r="S567" s="9">
        <v>43299</v>
      </c>
      <c r="T567" s="8">
        <v>8</v>
      </c>
      <c r="U567" s="8" t="s">
        <v>306</v>
      </c>
      <c r="V567">
        <f t="shared" si="45"/>
        <v>7</v>
      </c>
      <c r="W567" s="8" t="str">
        <f t="shared" si="47"/>
        <v>July</v>
      </c>
    </row>
    <row r="568" spans="1:23" x14ac:dyDescent="0.55000000000000004">
      <c r="A568" t="str">
        <f t="shared" si="44"/>
        <v>AugustJulyPhillips WI - DCL KY</v>
      </c>
      <c r="B568" s="3" t="s">
        <v>20</v>
      </c>
      <c r="C568" s="4" t="s">
        <v>150</v>
      </c>
      <c r="D568" s="4" t="s">
        <v>1394</v>
      </c>
      <c r="E568" s="5">
        <v>43321</v>
      </c>
      <c r="F568" s="4" t="s">
        <v>1102</v>
      </c>
      <c r="G568" s="4" t="s">
        <v>1352</v>
      </c>
      <c r="H568" s="4" t="s">
        <v>1395</v>
      </c>
      <c r="I568" s="4" t="s">
        <v>1105</v>
      </c>
      <c r="J568" s="4" t="s">
        <v>1110</v>
      </c>
      <c r="K568" s="6">
        <v>1881.19</v>
      </c>
      <c r="L568" s="6">
        <v>0</v>
      </c>
      <c r="M568" s="6">
        <v>1881.19</v>
      </c>
      <c r="N568" s="6"/>
      <c r="O568" s="4" t="s">
        <v>1352</v>
      </c>
      <c r="P568" s="3" t="s">
        <v>29</v>
      </c>
      <c r="Q568" s="8" t="s">
        <v>1112</v>
      </c>
      <c r="R568" s="8">
        <v>43299</v>
      </c>
      <c r="S568" s="9">
        <v>43299</v>
      </c>
      <c r="T568" s="8">
        <v>8</v>
      </c>
      <c r="U568" s="8" t="s">
        <v>306</v>
      </c>
      <c r="V568">
        <f t="shared" si="45"/>
        <v>7</v>
      </c>
      <c r="W568" s="8" t="str">
        <f t="shared" si="47"/>
        <v>July</v>
      </c>
    </row>
    <row r="569" spans="1:23" x14ac:dyDescent="0.55000000000000004">
      <c r="A569" t="str">
        <f t="shared" si="44"/>
        <v>AugustAugustDECI NC - DCL KY</v>
      </c>
      <c r="B569" s="3" t="s">
        <v>20</v>
      </c>
      <c r="C569" s="4" t="s">
        <v>150</v>
      </c>
      <c r="D569" s="4" t="s">
        <v>1396</v>
      </c>
      <c r="E569" s="5">
        <v>43321</v>
      </c>
      <c r="F569" s="4" t="s">
        <v>1102</v>
      </c>
      <c r="G569" s="4" t="s">
        <v>1397</v>
      </c>
      <c r="H569" s="4" t="s">
        <v>1398</v>
      </c>
      <c r="I569" s="4" t="s">
        <v>1105</v>
      </c>
      <c r="J569" s="4" t="s">
        <v>1110</v>
      </c>
      <c r="K569" s="6">
        <v>1480.24</v>
      </c>
      <c r="L569" s="6">
        <v>0</v>
      </c>
      <c r="M569" s="6">
        <v>1480.24</v>
      </c>
      <c r="N569" s="6"/>
      <c r="O569" s="4" t="s">
        <v>1397</v>
      </c>
      <c r="P569" s="3" t="s">
        <v>178</v>
      </c>
      <c r="Q569" s="8" t="s">
        <v>1133</v>
      </c>
      <c r="R569" s="8">
        <v>43330</v>
      </c>
      <c r="S569" s="9">
        <v>43330</v>
      </c>
      <c r="T569" s="8">
        <v>8</v>
      </c>
      <c r="U569" s="8" t="s">
        <v>306</v>
      </c>
      <c r="V569">
        <f t="shared" si="45"/>
        <v>8</v>
      </c>
      <c r="W569" s="8" t="str">
        <f t="shared" si="47"/>
        <v>August</v>
      </c>
    </row>
    <row r="570" spans="1:23" x14ac:dyDescent="0.55000000000000004">
      <c r="A570" t="str">
        <f t="shared" si="44"/>
        <v>AugustAugustChina - DECI NC</v>
      </c>
      <c r="B570" s="3" t="s">
        <v>20</v>
      </c>
      <c r="C570" s="4" t="s">
        <v>150</v>
      </c>
      <c r="D570" s="4" t="s">
        <v>1399</v>
      </c>
      <c r="E570" s="5">
        <v>43321</v>
      </c>
      <c r="F570" s="4" t="s">
        <v>1102</v>
      </c>
      <c r="G570" s="4" t="s">
        <v>1400</v>
      </c>
      <c r="H570" s="4" t="s">
        <v>1401</v>
      </c>
      <c r="I570" s="4" t="s">
        <v>1105</v>
      </c>
      <c r="J570" s="4" t="s">
        <v>27</v>
      </c>
      <c r="K570" s="6">
        <v>14085.74</v>
      </c>
      <c r="L570" s="6">
        <v>0</v>
      </c>
      <c r="M570" s="6">
        <v>14085.74</v>
      </c>
      <c r="N570" s="6"/>
      <c r="O570" s="4" t="s">
        <v>1400</v>
      </c>
      <c r="P570" s="3" t="s">
        <v>97</v>
      </c>
      <c r="Q570" s="8" t="s">
        <v>1402</v>
      </c>
      <c r="R570" s="8">
        <v>43330</v>
      </c>
      <c r="S570" s="9">
        <v>43330</v>
      </c>
      <c r="T570" s="8">
        <v>8</v>
      </c>
      <c r="U570" s="8" t="s">
        <v>306</v>
      </c>
      <c r="V570">
        <f t="shared" si="45"/>
        <v>8</v>
      </c>
      <c r="W570" s="8" t="str">
        <f t="shared" si="47"/>
        <v>August</v>
      </c>
    </row>
    <row r="571" spans="1:23" x14ac:dyDescent="0.55000000000000004">
      <c r="A571" t="str">
        <f t="shared" si="44"/>
        <v>AugustJulyHong Kong - Flex IL</v>
      </c>
      <c r="B571" s="3" t="s">
        <v>20</v>
      </c>
      <c r="C571" s="4" t="s">
        <v>150</v>
      </c>
      <c r="D571" s="4" t="s">
        <v>1403</v>
      </c>
      <c r="E571" s="5">
        <v>43321</v>
      </c>
      <c r="F571" s="4" t="s">
        <v>1102</v>
      </c>
      <c r="G571" s="4" t="s">
        <v>1404</v>
      </c>
      <c r="H571" s="4" t="s">
        <v>1405</v>
      </c>
      <c r="I571" s="4" t="s">
        <v>1105</v>
      </c>
      <c r="J571" s="4" t="s">
        <v>27</v>
      </c>
      <c r="K571" s="6">
        <v>880.84</v>
      </c>
      <c r="L571" s="6">
        <v>0</v>
      </c>
      <c r="M571" s="6">
        <v>880.84</v>
      </c>
      <c r="N571" s="6"/>
      <c r="O571" s="4" t="s">
        <v>1404</v>
      </c>
      <c r="P571" s="3" t="s">
        <v>111</v>
      </c>
      <c r="Q571" s="8" t="s">
        <v>1106</v>
      </c>
      <c r="R571" s="8">
        <v>43299</v>
      </c>
      <c r="S571" s="9">
        <v>43299</v>
      </c>
      <c r="T571" s="8">
        <v>8</v>
      </c>
      <c r="U571" s="8" t="s">
        <v>306</v>
      </c>
      <c r="V571">
        <f t="shared" si="45"/>
        <v>7</v>
      </c>
      <c r="W571" s="8" t="str">
        <f t="shared" si="47"/>
        <v>July</v>
      </c>
    </row>
    <row r="572" spans="1:23" x14ac:dyDescent="0.55000000000000004">
      <c r="A572" t="str">
        <f t="shared" si="44"/>
        <v>AugustJulyChina - DECI NC</v>
      </c>
      <c r="B572" s="3" t="s">
        <v>20</v>
      </c>
      <c r="C572" s="4" t="s">
        <v>150</v>
      </c>
      <c r="D572" s="4" t="s">
        <v>1406</v>
      </c>
      <c r="E572" s="5">
        <v>43321</v>
      </c>
      <c r="F572" s="4" t="s">
        <v>1102</v>
      </c>
      <c r="G572" s="4" t="s">
        <v>1367</v>
      </c>
      <c r="H572" s="4" t="s">
        <v>1407</v>
      </c>
      <c r="I572" s="4" t="s">
        <v>1105</v>
      </c>
      <c r="J572" s="4" t="s">
        <v>27</v>
      </c>
      <c r="K572" s="6">
        <v>32335.62</v>
      </c>
      <c r="L572" s="6">
        <v>0</v>
      </c>
      <c r="M572" s="6">
        <v>32335.62</v>
      </c>
      <c r="N572" s="6"/>
      <c r="O572" s="4" t="s">
        <v>1367</v>
      </c>
      <c r="P572" s="3" t="s">
        <v>97</v>
      </c>
      <c r="Q572" s="8" t="s">
        <v>1243</v>
      </c>
      <c r="R572" s="8">
        <v>43299</v>
      </c>
      <c r="S572" s="9">
        <v>43299</v>
      </c>
      <c r="T572" s="8">
        <v>8</v>
      </c>
      <c r="U572" s="8" t="s">
        <v>306</v>
      </c>
      <c r="V572">
        <f t="shared" si="45"/>
        <v>7</v>
      </c>
      <c r="W572" s="8" t="str">
        <f t="shared" si="47"/>
        <v>July</v>
      </c>
    </row>
    <row r="573" spans="1:23" x14ac:dyDescent="0.55000000000000004">
      <c r="B573" s="3"/>
      <c r="C573" s="4"/>
      <c r="D573" s="4"/>
      <c r="E573" s="5"/>
      <c r="F573" s="4"/>
      <c r="G573" s="4"/>
      <c r="H573" s="4"/>
      <c r="I573" s="4"/>
      <c r="J573" s="4"/>
      <c r="K573" s="6"/>
      <c r="L573" s="6"/>
      <c r="M573" s="6"/>
      <c r="N573" s="6"/>
      <c r="O573" s="4"/>
      <c r="P573" s="3"/>
      <c r="Q573" s="8"/>
      <c r="R573" s="8"/>
      <c r="S573" s="9"/>
      <c r="T573" s="8"/>
      <c r="U573" s="8"/>
      <c r="W573" s="8"/>
    </row>
    <row r="574" spans="1:23" x14ac:dyDescent="0.55000000000000004">
      <c r="B574" s="3"/>
      <c r="C574" s="4"/>
      <c r="D574" s="4"/>
      <c r="E574" s="5"/>
      <c r="F574" s="4"/>
      <c r="G574" s="4"/>
      <c r="H574" s="4"/>
      <c r="I574" s="4"/>
      <c r="J574" s="4"/>
      <c r="K574" s="6"/>
      <c r="L574" s="6"/>
      <c r="M574" s="6"/>
      <c r="N574" s="6"/>
      <c r="O574" s="4"/>
      <c r="P574" s="3"/>
      <c r="Q574" s="8"/>
      <c r="R574" s="8"/>
      <c r="S574" s="9"/>
      <c r="T574" s="8"/>
      <c r="U574" s="8"/>
      <c r="W574" s="8"/>
    </row>
    <row r="575" spans="1:23" x14ac:dyDescent="0.55000000000000004">
      <c r="B575" s="3"/>
      <c r="C575" s="4"/>
      <c r="D575" s="4"/>
      <c r="E575" s="5"/>
      <c r="F575" s="4"/>
      <c r="G575" s="4"/>
      <c r="H575" s="4"/>
      <c r="I575" s="4"/>
      <c r="J575" s="4"/>
      <c r="K575" s="6"/>
      <c r="L575" s="6"/>
      <c r="M575" s="6"/>
      <c r="N575" s="6"/>
      <c r="O575" s="4"/>
      <c r="P575" s="3"/>
      <c r="Q575" s="8"/>
      <c r="R575" s="8"/>
      <c r="S575" s="9"/>
      <c r="T575" s="8"/>
      <c r="U575" s="8"/>
      <c r="W575" s="8"/>
    </row>
    <row r="576" spans="1:23" x14ac:dyDescent="0.55000000000000004">
      <c r="B576" s="3"/>
      <c r="C576" s="4"/>
      <c r="D576" s="4"/>
      <c r="E576" s="5"/>
      <c r="F576" s="4"/>
      <c r="G576" s="4"/>
      <c r="H576" s="4"/>
      <c r="I576" s="4"/>
      <c r="J576" s="4"/>
      <c r="K576" s="6"/>
      <c r="L576" s="6"/>
      <c r="M576" s="6"/>
      <c r="N576" s="6"/>
      <c r="O576" s="4"/>
      <c r="P576" s="3"/>
      <c r="Q576" s="8"/>
      <c r="R576" s="8"/>
      <c r="S576" s="9"/>
      <c r="T576" s="8"/>
      <c r="U576" s="8"/>
      <c r="W576" s="8"/>
    </row>
    <row r="577" spans="2:23" x14ac:dyDescent="0.55000000000000004">
      <c r="B577" s="3"/>
      <c r="C577" s="4"/>
      <c r="D577" s="4"/>
      <c r="E577" s="5"/>
      <c r="F577" s="4"/>
      <c r="G577" s="4"/>
      <c r="H577" s="4"/>
      <c r="I577" s="4"/>
      <c r="J577" s="4"/>
      <c r="K577" s="6"/>
      <c r="L577" s="6"/>
      <c r="M577" s="6"/>
      <c r="N577" s="6"/>
      <c r="O577" s="4"/>
      <c r="P577" s="3"/>
      <c r="Q577" s="8"/>
      <c r="R577" s="8"/>
      <c r="S577" s="9"/>
      <c r="T577" s="8"/>
      <c r="U577" s="8"/>
      <c r="W577" s="8"/>
    </row>
    <row r="578" spans="2:23" x14ac:dyDescent="0.55000000000000004">
      <c r="B578" s="3"/>
      <c r="C578" s="4"/>
      <c r="D578" s="4"/>
      <c r="E578" s="5"/>
      <c r="F578" s="4"/>
      <c r="G578" s="4"/>
      <c r="H578" s="4"/>
      <c r="I578" s="4"/>
      <c r="J578" s="4"/>
      <c r="K578" s="6"/>
      <c r="L578" s="6"/>
      <c r="M578" s="6"/>
      <c r="N578" s="6"/>
      <c r="O578" s="4"/>
      <c r="P578" s="3"/>
      <c r="Q578" s="8"/>
      <c r="R578" s="8"/>
      <c r="S578" s="9"/>
      <c r="T578" s="8"/>
      <c r="U578" s="8"/>
      <c r="W578" s="8"/>
    </row>
    <row r="579" spans="2:23" x14ac:dyDescent="0.55000000000000004">
      <c r="B579" s="3"/>
      <c r="C579" s="4"/>
      <c r="D579" s="4"/>
      <c r="E579" s="5"/>
      <c r="F579" s="4"/>
      <c r="G579" s="4"/>
      <c r="H579" s="4"/>
      <c r="I579" s="4"/>
      <c r="J579" s="4"/>
      <c r="K579" s="6"/>
      <c r="L579" s="6"/>
      <c r="M579" s="6"/>
      <c r="N579" s="6"/>
      <c r="O579" s="4"/>
      <c r="P579" s="3"/>
      <c r="Q579" s="8"/>
      <c r="R579" s="8"/>
      <c r="S579" s="9"/>
      <c r="T579" s="8"/>
      <c r="U579" s="8"/>
      <c r="W579" s="8"/>
    </row>
    <row r="580" spans="2:23" x14ac:dyDescent="0.55000000000000004">
      <c r="B580" s="3"/>
      <c r="C580" s="4"/>
      <c r="D580" s="4"/>
      <c r="E580" s="5"/>
      <c r="F580" s="4"/>
      <c r="G580" s="4"/>
      <c r="H580" s="4"/>
      <c r="I580" s="4"/>
      <c r="J580" s="4"/>
      <c r="K580" s="6"/>
      <c r="L580" s="6"/>
      <c r="M580" s="6"/>
      <c r="N580" s="6"/>
      <c r="O580" s="4"/>
      <c r="P580" s="3"/>
      <c r="Q580" s="8"/>
      <c r="R580" s="8"/>
      <c r="S580" s="9"/>
      <c r="T580" s="8"/>
      <c r="U580" s="8"/>
      <c r="W580" s="8"/>
    </row>
    <row r="581" spans="2:23" x14ac:dyDescent="0.55000000000000004">
      <c r="B581" s="3"/>
      <c r="C581" s="4"/>
      <c r="D581" s="4"/>
      <c r="E581" s="5"/>
      <c r="F581" s="4"/>
      <c r="G581" s="4"/>
      <c r="H581" s="4"/>
      <c r="I581" s="4"/>
      <c r="J581" s="4"/>
      <c r="K581" s="6"/>
      <c r="L581" s="6"/>
      <c r="M581" s="6"/>
      <c r="N581" s="6"/>
      <c r="O581" s="4"/>
      <c r="P581" s="3"/>
      <c r="Q581" s="8"/>
      <c r="R581" s="8"/>
      <c r="S581" s="9"/>
      <c r="T581" s="8"/>
      <c r="U581" s="8"/>
      <c r="W581" s="8"/>
    </row>
    <row r="582" spans="2:23" x14ac:dyDescent="0.55000000000000004">
      <c r="B582" s="3"/>
      <c r="C582" s="4"/>
      <c r="D582" s="4"/>
      <c r="E582" s="5"/>
      <c r="F582" s="4"/>
      <c r="G582" s="4"/>
      <c r="H582" s="4"/>
      <c r="I582" s="4"/>
      <c r="J582" s="4"/>
      <c r="K582" s="6"/>
      <c r="L582" s="6"/>
      <c r="M582" s="6"/>
      <c r="N582" s="6"/>
      <c r="O582" s="4"/>
      <c r="P582" s="3"/>
      <c r="Q582" s="8"/>
      <c r="R582" s="8"/>
      <c r="S582" s="9"/>
      <c r="T582" s="8"/>
      <c r="U582" s="8"/>
      <c r="W582" s="8"/>
    </row>
    <row r="583" spans="2:23" x14ac:dyDescent="0.55000000000000004">
      <c r="B583" s="3"/>
      <c r="C583" s="4"/>
      <c r="D583" s="4"/>
      <c r="E583" s="5"/>
      <c r="F583" s="4"/>
      <c r="G583" s="4"/>
      <c r="H583" s="4"/>
      <c r="I583" s="4"/>
      <c r="J583" s="4"/>
      <c r="K583" s="6"/>
      <c r="L583" s="6"/>
      <c r="M583" s="6"/>
      <c r="N583" s="6"/>
      <c r="O583" s="4"/>
      <c r="P583" s="3"/>
      <c r="Q583" s="8"/>
      <c r="R583" s="8"/>
      <c r="S583" s="9"/>
      <c r="T583" s="8"/>
      <c r="U583" s="8"/>
      <c r="W583" s="8"/>
    </row>
    <row r="584" spans="2:23" x14ac:dyDescent="0.55000000000000004">
      <c r="B584" s="3"/>
      <c r="C584" s="4"/>
      <c r="D584" s="4"/>
      <c r="E584" s="5"/>
      <c r="F584" s="4"/>
      <c r="G584" s="4"/>
      <c r="H584" s="4"/>
      <c r="I584" s="4"/>
      <c r="J584" s="4"/>
      <c r="K584" s="6"/>
      <c r="L584" s="6"/>
      <c r="M584" s="6"/>
      <c r="N584" s="6"/>
      <c r="O584" s="4"/>
      <c r="P584" s="3"/>
      <c r="Q584" s="8"/>
      <c r="R584" s="8"/>
      <c r="S584" s="9"/>
      <c r="T584" s="8"/>
      <c r="U584" s="8"/>
      <c r="W584" s="8"/>
    </row>
    <row r="585" spans="2:23" x14ac:dyDescent="0.55000000000000004">
      <c r="B585" s="3"/>
      <c r="C585" s="4"/>
      <c r="D585" s="4"/>
      <c r="E585" s="5"/>
      <c r="F585" s="4"/>
      <c r="G585" s="4"/>
      <c r="H585" s="4"/>
      <c r="I585" s="4"/>
      <c r="J585" s="4"/>
      <c r="K585" s="6"/>
      <c r="L585" s="6"/>
      <c r="M585" s="6"/>
      <c r="N585" s="6"/>
      <c r="O585" s="4"/>
      <c r="P585" s="3"/>
      <c r="Q585" s="8"/>
      <c r="R585" s="8"/>
      <c r="S585" s="9"/>
      <c r="T585" s="8"/>
      <c r="U585" s="8"/>
      <c r="W585" s="8"/>
    </row>
    <row r="586" spans="2:23" x14ac:dyDescent="0.55000000000000004">
      <c r="B586" s="3"/>
      <c r="C586" s="4"/>
      <c r="D586" s="4"/>
      <c r="E586" s="5"/>
      <c r="F586" s="4"/>
      <c r="G586" s="4"/>
      <c r="H586" s="4"/>
      <c r="I586" s="4"/>
      <c r="J586" s="4"/>
      <c r="K586" s="6"/>
      <c r="L586" s="6"/>
      <c r="M586" s="6"/>
      <c r="N586" s="6"/>
      <c r="O586" s="4"/>
      <c r="P586" s="3"/>
      <c r="Q586" s="8"/>
      <c r="R586" s="8"/>
      <c r="S586" s="9"/>
      <c r="T586" s="8"/>
      <c r="U586" s="8"/>
      <c r="W586" s="8"/>
    </row>
    <row r="587" spans="2:23" x14ac:dyDescent="0.55000000000000004">
      <c r="B587" s="3"/>
      <c r="C587" s="4"/>
      <c r="D587" s="4"/>
      <c r="E587" s="5"/>
      <c r="F587" s="4"/>
      <c r="G587" s="4"/>
      <c r="H587" s="4"/>
      <c r="I587" s="4"/>
      <c r="J587" s="4"/>
      <c r="K587" s="6"/>
      <c r="L587" s="6"/>
      <c r="M587" s="6"/>
      <c r="N587" s="6"/>
      <c r="O587" s="4"/>
      <c r="P587" s="3"/>
      <c r="Q587" s="8"/>
      <c r="R587" s="8"/>
      <c r="S587" s="9"/>
      <c r="T587" s="8"/>
      <c r="U587" s="8"/>
      <c r="W587" s="8"/>
    </row>
    <row r="588" spans="2:23" x14ac:dyDescent="0.55000000000000004">
      <c r="B588" s="3"/>
      <c r="C588" s="4"/>
      <c r="D588" s="4"/>
      <c r="E588" s="5"/>
      <c r="F588" s="4"/>
      <c r="G588" s="4"/>
      <c r="H588" s="4"/>
      <c r="I588" s="4"/>
      <c r="J588" s="4"/>
      <c r="K588" s="6"/>
      <c r="L588" s="6"/>
      <c r="M588" s="6"/>
      <c r="N588" s="6"/>
      <c r="O588" s="4"/>
      <c r="P588" s="3"/>
      <c r="Q588" s="8"/>
      <c r="R588" s="8"/>
      <c r="S588" s="9"/>
      <c r="T588" s="8"/>
      <c r="U588" s="8"/>
      <c r="W588" s="8"/>
    </row>
    <row r="589" spans="2:23" x14ac:dyDescent="0.55000000000000004">
      <c r="B589" s="3"/>
      <c r="C589" s="4"/>
      <c r="D589" s="4"/>
      <c r="E589" s="5"/>
      <c r="F589" s="4"/>
      <c r="G589" s="4"/>
      <c r="H589" s="4"/>
      <c r="I589" s="4"/>
      <c r="J589" s="4"/>
      <c r="K589" s="6"/>
      <c r="L589" s="6"/>
      <c r="M589" s="6"/>
      <c r="N589" s="6"/>
      <c r="O589" s="4"/>
      <c r="P589" s="3"/>
      <c r="Q589" s="8"/>
      <c r="R589" s="8"/>
      <c r="S589" s="9"/>
      <c r="T589" s="8"/>
      <c r="U589" s="8"/>
      <c r="W589" s="8"/>
    </row>
    <row r="590" spans="2:23" x14ac:dyDescent="0.55000000000000004">
      <c r="B590" s="3"/>
      <c r="C590" s="4"/>
      <c r="D590" s="4"/>
      <c r="E590" s="5"/>
      <c r="F590" s="4"/>
      <c r="G590" s="4"/>
      <c r="H590" s="4"/>
      <c r="I590" s="4"/>
      <c r="J590" s="4"/>
      <c r="K590" s="6"/>
      <c r="L590" s="6"/>
      <c r="M590" s="6"/>
      <c r="N590" s="6"/>
      <c r="O590" s="4"/>
      <c r="P590" s="3"/>
      <c r="Q590" s="8"/>
      <c r="R590" s="8"/>
      <c r="S590" s="9"/>
      <c r="T590" s="8"/>
      <c r="U590" s="8"/>
      <c r="W590" s="8"/>
    </row>
    <row r="591" spans="2:23" x14ac:dyDescent="0.55000000000000004">
      <c r="B591" s="3"/>
      <c r="C591" s="4"/>
      <c r="D591" s="4"/>
      <c r="E591" s="5"/>
      <c r="F591" s="4"/>
      <c r="G591" s="4"/>
      <c r="H591" s="4"/>
      <c r="I591" s="4"/>
      <c r="J591" s="4"/>
      <c r="K591" s="6"/>
      <c r="L591" s="6"/>
      <c r="M591" s="6"/>
      <c r="N591" s="6"/>
      <c r="O591" s="4"/>
      <c r="P591" s="3"/>
      <c r="Q591" s="8"/>
      <c r="R591" s="8"/>
      <c r="S591" s="9"/>
      <c r="T591" s="8"/>
      <c r="U591" s="8"/>
      <c r="W591" s="8"/>
    </row>
    <row r="592" spans="2:23" x14ac:dyDescent="0.55000000000000004">
      <c r="B592" s="3"/>
      <c r="C592" s="4"/>
      <c r="D592" s="4"/>
      <c r="E592" s="5"/>
      <c r="F592" s="4"/>
      <c r="G592" s="4"/>
      <c r="H592" s="4"/>
      <c r="I592" s="4"/>
      <c r="J592" s="4"/>
      <c r="K592" s="6"/>
      <c r="L592" s="6"/>
      <c r="M592" s="6"/>
      <c r="N592" s="6"/>
      <c r="O592" s="4"/>
      <c r="P592" s="3"/>
      <c r="Q592" s="8"/>
      <c r="R592" s="8"/>
      <c r="S592" s="9"/>
      <c r="T592" s="8"/>
      <c r="U592" s="8"/>
      <c r="W592" s="8"/>
    </row>
    <row r="593" spans="2:23" x14ac:dyDescent="0.55000000000000004">
      <c r="B593" s="3"/>
      <c r="C593" s="4"/>
      <c r="D593" s="4"/>
      <c r="E593" s="5"/>
      <c r="F593" s="4"/>
      <c r="G593" s="4"/>
      <c r="H593" s="4"/>
      <c r="I593" s="4"/>
      <c r="J593" s="4"/>
      <c r="K593" s="6"/>
      <c r="L593" s="6"/>
      <c r="M593" s="6"/>
      <c r="N593" s="6"/>
      <c r="O593" s="4"/>
      <c r="P593" s="3"/>
      <c r="Q593" s="8"/>
      <c r="R593" s="8"/>
      <c r="S593" s="9"/>
      <c r="T593" s="8"/>
      <c r="U593" s="8"/>
      <c r="W593" s="8"/>
    </row>
    <row r="594" spans="2:23" x14ac:dyDescent="0.55000000000000004">
      <c r="B594" s="3"/>
      <c r="C594" s="4"/>
      <c r="D594" s="4"/>
      <c r="E594" s="5"/>
      <c r="F594" s="4"/>
      <c r="G594" s="4"/>
      <c r="H594" s="4"/>
      <c r="I594" s="4"/>
      <c r="J594" s="4"/>
      <c r="K594" s="6"/>
      <c r="L594" s="6"/>
      <c r="M594" s="6"/>
      <c r="N594" s="6"/>
      <c r="O594" s="4"/>
      <c r="P594" s="3"/>
      <c r="Q594" s="8"/>
      <c r="R594" s="8"/>
      <c r="S594" s="9"/>
      <c r="T594" s="8"/>
      <c r="U594" s="8"/>
      <c r="W594" s="8"/>
    </row>
    <row r="595" spans="2:23" x14ac:dyDescent="0.55000000000000004">
      <c r="B595" s="3"/>
      <c r="C595" s="4"/>
      <c r="D595" s="4"/>
      <c r="E595" s="5"/>
      <c r="F595" s="4"/>
      <c r="G595" s="4"/>
      <c r="H595" s="4"/>
      <c r="I595" s="4"/>
      <c r="J595" s="4"/>
      <c r="K595" s="6"/>
      <c r="L595" s="6"/>
      <c r="M595" s="6"/>
      <c r="N595" s="6"/>
      <c r="O595" s="4"/>
      <c r="P595" s="3"/>
      <c r="Q595" s="8"/>
      <c r="R595" s="8"/>
      <c r="S595" s="9"/>
      <c r="T595" s="8"/>
      <c r="U595" s="8"/>
      <c r="W595" s="8"/>
    </row>
    <row r="596" spans="2:23" x14ac:dyDescent="0.55000000000000004">
      <c r="B596" s="3"/>
      <c r="C596" s="4"/>
      <c r="D596" s="4"/>
      <c r="E596" s="5"/>
      <c r="F596" s="4"/>
      <c r="G596" s="4"/>
      <c r="H596" s="4"/>
      <c r="I596" s="4"/>
      <c r="J596" s="4"/>
      <c r="K596" s="6"/>
      <c r="L596" s="6"/>
      <c r="M596" s="6"/>
      <c r="N596" s="6"/>
      <c r="O596" s="4"/>
      <c r="P596" s="3"/>
      <c r="Q596" s="8"/>
      <c r="R596" s="8"/>
      <c r="S596" s="9"/>
      <c r="T596" s="8"/>
      <c r="U596" s="8"/>
      <c r="W596" s="8"/>
    </row>
    <row r="597" spans="2:23" x14ac:dyDescent="0.55000000000000004">
      <c r="B597" s="3"/>
      <c r="C597" s="4"/>
      <c r="D597" s="4"/>
      <c r="E597" s="5"/>
      <c r="F597" s="4"/>
      <c r="G597" s="4"/>
      <c r="H597" s="4"/>
      <c r="I597" s="4"/>
      <c r="J597" s="4"/>
      <c r="K597" s="6"/>
      <c r="L597" s="6"/>
      <c r="M597" s="6"/>
      <c r="N597" s="6"/>
      <c r="O597" s="4"/>
      <c r="P597" s="3"/>
      <c r="Q597" s="8"/>
      <c r="R597" s="8"/>
      <c r="S597" s="9"/>
      <c r="T597" s="8"/>
      <c r="U597" s="8"/>
      <c r="W597" s="8"/>
    </row>
    <row r="598" spans="2:23" x14ac:dyDescent="0.55000000000000004">
      <c r="B598" s="3"/>
      <c r="C598" s="4"/>
      <c r="D598" s="4"/>
      <c r="E598" s="5"/>
      <c r="F598" s="4"/>
      <c r="G598" s="4"/>
      <c r="H598" s="4"/>
      <c r="I598" s="4"/>
      <c r="J598" s="4"/>
      <c r="K598" s="6"/>
      <c r="L598" s="6"/>
      <c r="M598" s="6"/>
      <c r="N598" s="6"/>
      <c r="O598" s="4"/>
      <c r="P598" s="3"/>
      <c r="Q598" s="8"/>
      <c r="R598" s="8"/>
      <c r="S598" s="9"/>
      <c r="T598" s="8"/>
      <c r="U598" s="8"/>
      <c r="W598" s="8"/>
    </row>
    <row r="599" spans="2:23" x14ac:dyDescent="0.55000000000000004">
      <c r="B599" s="3"/>
      <c r="C599" s="4"/>
      <c r="D599" s="4"/>
      <c r="E599" s="5"/>
      <c r="F599" s="4"/>
      <c r="G599" s="4"/>
      <c r="H599" s="4"/>
      <c r="I599" s="4"/>
      <c r="J599" s="4"/>
      <c r="K599" s="6"/>
      <c r="L599" s="6"/>
      <c r="M599" s="6"/>
      <c r="N599" s="6"/>
      <c r="O599" s="4"/>
      <c r="P599" s="3"/>
      <c r="Q599" s="8"/>
      <c r="R599" s="8"/>
      <c r="S599" s="9"/>
      <c r="T599" s="8"/>
      <c r="U599" s="8"/>
      <c r="W599" s="8"/>
    </row>
    <row r="600" spans="2:23" x14ac:dyDescent="0.55000000000000004">
      <c r="B600" s="3"/>
      <c r="C600" s="4"/>
      <c r="D600" s="4"/>
      <c r="E600" s="5"/>
      <c r="F600" s="4"/>
      <c r="G600" s="4"/>
      <c r="H600" s="4"/>
      <c r="I600" s="4"/>
      <c r="J600" s="4"/>
      <c r="K600" s="6"/>
      <c r="L600" s="6"/>
      <c r="M600" s="6"/>
      <c r="N600" s="6"/>
      <c r="O600" s="4"/>
      <c r="P600" s="3"/>
      <c r="Q600" s="8"/>
      <c r="R600" s="8"/>
      <c r="S600" s="9"/>
      <c r="T600" s="8"/>
      <c r="U600" s="8"/>
      <c r="W600" s="8"/>
    </row>
    <row r="601" spans="2:23" x14ac:dyDescent="0.55000000000000004">
      <c r="B601" s="3"/>
      <c r="C601" s="4"/>
      <c r="D601" s="4"/>
      <c r="E601" s="5"/>
      <c r="F601" s="4"/>
      <c r="G601" s="4"/>
      <c r="H601" s="4"/>
      <c r="I601" s="4"/>
      <c r="J601" s="4"/>
      <c r="K601" s="6"/>
      <c r="L601" s="6"/>
      <c r="M601" s="6"/>
      <c r="N601" s="6"/>
      <c r="O601" s="4"/>
      <c r="P601" s="3"/>
      <c r="Q601" s="8"/>
      <c r="R601" s="8"/>
      <c r="S601" s="9"/>
      <c r="T601" s="8"/>
      <c r="U601" s="8"/>
      <c r="W601" s="8"/>
    </row>
    <row r="602" spans="2:23" x14ac:dyDescent="0.55000000000000004">
      <c r="B602" s="3"/>
      <c r="C602" s="4"/>
      <c r="D602" s="4"/>
      <c r="E602" s="5"/>
      <c r="F602" s="4"/>
      <c r="G602" s="4"/>
      <c r="H602" s="4"/>
      <c r="I602" s="4"/>
      <c r="J602" s="4"/>
      <c r="K602" s="6"/>
      <c r="L602" s="6"/>
      <c r="M602" s="6"/>
      <c r="N602" s="6"/>
      <c r="O602" s="4"/>
      <c r="P602" s="3"/>
      <c r="Q602" s="8"/>
      <c r="R602" s="8"/>
      <c r="S602" s="9"/>
      <c r="T602" s="8"/>
      <c r="U602" s="8"/>
      <c r="W602" s="8"/>
    </row>
    <row r="603" spans="2:23" x14ac:dyDescent="0.55000000000000004">
      <c r="B603" s="3"/>
      <c r="C603" s="4"/>
      <c r="D603" s="4"/>
      <c r="E603" s="5"/>
      <c r="F603" s="4"/>
      <c r="G603" s="4"/>
      <c r="H603" s="4"/>
      <c r="I603" s="4"/>
      <c r="J603" s="4"/>
      <c r="K603" s="6"/>
      <c r="L603" s="6"/>
      <c r="M603" s="6"/>
      <c r="N603" s="6"/>
      <c r="O603" s="4"/>
      <c r="P603" s="3"/>
      <c r="Q603" s="8"/>
      <c r="R603" s="8"/>
      <c r="S603" s="9"/>
      <c r="T603" s="8"/>
      <c r="U603" s="8"/>
      <c r="W603" s="8"/>
    </row>
    <row r="604" spans="2:23" x14ac:dyDescent="0.55000000000000004">
      <c r="B604" s="3"/>
      <c r="C604" s="4"/>
      <c r="D604" s="4"/>
      <c r="E604" s="5"/>
      <c r="F604" s="4"/>
      <c r="G604" s="4"/>
      <c r="H604" s="4"/>
      <c r="I604" s="4"/>
      <c r="J604" s="4"/>
      <c r="K604" s="6"/>
      <c r="L604" s="6"/>
      <c r="M604" s="6"/>
      <c r="N604" s="6"/>
      <c r="O604" s="4"/>
      <c r="P604" s="3"/>
      <c r="Q604" s="8"/>
      <c r="R604" s="8"/>
      <c r="S604" s="9"/>
      <c r="T604" s="8"/>
      <c r="U604" s="8"/>
      <c r="W604" s="8"/>
    </row>
    <row r="605" spans="2:23" x14ac:dyDescent="0.55000000000000004">
      <c r="B605" s="3"/>
      <c r="C605" s="4"/>
      <c r="D605" s="4"/>
      <c r="E605" s="5"/>
      <c r="F605" s="4"/>
      <c r="G605" s="4"/>
      <c r="H605" s="4"/>
      <c r="I605" s="4"/>
      <c r="J605" s="4"/>
      <c r="K605" s="6"/>
      <c r="L605" s="6"/>
      <c r="M605" s="6"/>
      <c r="N605" s="6"/>
      <c r="O605" s="4"/>
      <c r="P605" s="3"/>
      <c r="Q605" s="8"/>
      <c r="R605" s="8"/>
      <c r="S605" s="9"/>
      <c r="T605" s="8"/>
      <c r="U605" s="8"/>
      <c r="W605" s="8"/>
    </row>
    <row r="606" spans="2:23" x14ac:dyDescent="0.55000000000000004">
      <c r="B606" s="3"/>
      <c r="C606" s="4"/>
      <c r="D606" s="4"/>
      <c r="E606" s="5"/>
      <c r="F606" s="4"/>
      <c r="G606" s="4"/>
      <c r="H606" s="4"/>
      <c r="I606" s="4"/>
      <c r="J606" s="4"/>
      <c r="K606" s="6"/>
      <c r="L606" s="6"/>
      <c r="M606" s="6"/>
      <c r="N606" s="6"/>
      <c r="O606" s="4"/>
      <c r="P606" s="3"/>
      <c r="Q606" s="8"/>
      <c r="R606" s="8"/>
      <c r="S606" s="9"/>
      <c r="T606" s="8"/>
      <c r="U606" s="8"/>
      <c r="W606" s="8"/>
    </row>
    <row r="607" spans="2:23" x14ac:dyDescent="0.55000000000000004">
      <c r="B607" s="3"/>
      <c r="C607" s="4"/>
      <c r="D607" s="4"/>
      <c r="E607" s="5"/>
      <c r="F607" s="4"/>
      <c r="G607" s="4"/>
      <c r="H607" s="4"/>
      <c r="I607" s="4"/>
      <c r="J607" s="4"/>
      <c r="K607" s="6"/>
      <c r="L607" s="6"/>
      <c r="M607" s="6"/>
      <c r="N607" s="6"/>
      <c r="O607" s="4"/>
      <c r="P607" s="3"/>
      <c r="Q607" s="8"/>
      <c r="R607" s="8"/>
      <c r="S607" s="9"/>
      <c r="T607" s="8"/>
      <c r="U607" s="8"/>
      <c r="W607" s="8"/>
    </row>
    <row r="608" spans="2:23" x14ac:dyDescent="0.55000000000000004">
      <c r="B608" s="3"/>
      <c r="C608" s="4"/>
      <c r="D608" s="4"/>
      <c r="E608" s="5"/>
      <c r="F608" s="4"/>
      <c r="G608" s="4"/>
      <c r="H608" s="4"/>
      <c r="I608" s="4"/>
      <c r="J608" s="4"/>
      <c r="K608" s="6"/>
      <c r="L608" s="6"/>
      <c r="M608" s="6"/>
      <c r="N608" s="6"/>
      <c r="O608" s="4"/>
      <c r="P608" s="3"/>
      <c r="Q608" s="8"/>
      <c r="R608" s="8"/>
      <c r="S608" s="9"/>
      <c r="T608" s="8"/>
      <c r="U608" s="8"/>
      <c r="W608" s="8"/>
    </row>
    <row r="609" spans="2:23" x14ac:dyDescent="0.55000000000000004">
      <c r="B609" s="3"/>
      <c r="C609" s="4"/>
      <c r="D609" s="4"/>
      <c r="E609" s="5"/>
      <c r="F609" s="4"/>
      <c r="G609" s="4"/>
      <c r="H609" s="4"/>
      <c r="I609" s="4"/>
      <c r="J609" s="4"/>
      <c r="K609" s="6"/>
      <c r="L609" s="6"/>
      <c r="M609" s="6"/>
      <c r="N609" s="6"/>
      <c r="O609" s="4"/>
      <c r="P609" s="3"/>
      <c r="Q609" s="8"/>
      <c r="R609" s="8"/>
      <c r="S609" s="9"/>
      <c r="T609" s="8"/>
      <c r="U609" s="8"/>
      <c r="W609" s="8"/>
    </row>
    <row r="610" spans="2:23" x14ac:dyDescent="0.55000000000000004">
      <c r="B610" s="3"/>
      <c r="C610" s="4"/>
      <c r="D610" s="4"/>
      <c r="E610" s="5"/>
      <c r="F610" s="4"/>
      <c r="G610" s="4"/>
      <c r="H610" s="4"/>
      <c r="I610" s="4"/>
      <c r="J610" s="4"/>
      <c r="K610" s="6"/>
      <c r="L610" s="6"/>
      <c r="M610" s="6"/>
      <c r="N610" s="6"/>
      <c r="O610" s="4"/>
      <c r="P610" s="3"/>
      <c r="Q610" s="8"/>
      <c r="R610" s="8"/>
      <c r="S610" s="9"/>
      <c r="T610" s="8"/>
      <c r="U610" s="8"/>
      <c r="W610" s="8"/>
    </row>
    <row r="611" spans="2:23" x14ac:dyDescent="0.55000000000000004">
      <c r="B611" s="3"/>
      <c r="C611" s="4"/>
      <c r="D611" s="4"/>
      <c r="E611" s="5"/>
      <c r="F611" s="4"/>
      <c r="G611" s="4"/>
      <c r="H611" s="4"/>
      <c r="I611" s="4"/>
      <c r="J611" s="4"/>
      <c r="K611" s="6"/>
      <c r="L611" s="6"/>
      <c r="M611" s="6"/>
      <c r="N611" s="6"/>
      <c r="O611" s="4"/>
      <c r="P611" s="3"/>
      <c r="Q611" s="8"/>
      <c r="R611" s="8"/>
      <c r="S611" s="9"/>
      <c r="T611" s="8"/>
      <c r="U611" s="8"/>
      <c r="W611" s="8"/>
    </row>
    <row r="612" spans="2:23" x14ac:dyDescent="0.55000000000000004">
      <c r="B612" s="3"/>
      <c r="C612" s="4"/>
      <c r="D612" s="4"/>
      <c r="E612" s="5"/>
      <c r="F612" s="4"/>
      <c r="G612" s="4"/>
      <c r="H612" s="4"/>
      <c r="I612" s="4"/>
      <c r="J612" s="4"/>
      <c r="K612" s="6"/>
      <c r="L612" s="6"/>
      <c r="M612" s="6"/>
      <c r="N612" s="6"/>
      <c r="O612" s="4"/>
      <c r="P612" s="3"/>
      <c r="Q612" s="8"/>
      <c r="R612" s="8"/>
      <c r="S612" s="9"/>
      <c r="T612" s="8"/>
      <c r="U612" s="8"/>
      <c r="W612" s="8"/>
    </row>
    <row r="613" spans="2:23" x14ac:dyDescent="0.55000000000000004">
      <c r="B613" s="3"/>
      <c r="C613" s="4"/>
      <c r="D613" s="4"/>
      <c r="E613" s="5"/>
      <c r="F613" s="4"/>
      <c r="G613" s="4"/>
      <c r="H613" s="4"/>
      <c r="I613" s="4"/>
      <c r="J613" s="4"/>
      <c r="K613" s="6"/>
      <c r="L613" s="6"/>
      <c r="M613" s="6"/>
      <c r="N613" s="6"/>
      <c r="O613" s="4"/>
      <c r="P613" s="3"/>
      <c r="Q613" s="8"/>
      <c r="R613" s="8"/>
      <c r="S613" s="9"/>
      <c r="T613" s="8"/>
      <c r="U613" s="8"/>
      <c r="W613" s="8"/>
    </row>
    <row r="614" spans="2:23" x14ac:dyDescent="0.55000000000000004">
      <c r="B614" s="3"/>
      <c r="C614" s="4"/>
      <c r="D614" s="4"/>
      <c r="E614" s="5"/>
      <c r="F614" s="4"/>
      <c r="G614" s="4"/>
      <c r="H614" s="4"/>
      <c r="I614" s="4"/>
      <c r="J614" s="4"/>
      <c r="K614" s="6"/>
      <c r="L614" s="6"/>
      <c r="M614" s="6"/>
      <c r="N614" s="6"/>
      <c r="O614" s="4"/>
      <c r="P614" s="3"/>
      <c r="Q614" s="8"/>
      <c r="R614" s="8"/>
      <c r="S614" s="9"/>
      <c r="T614" s="8"/>
      <c r="U614" s="8"/>
      <c r="W614" s="8"/>
    </row>
    <row r="615" spans="2:23" x14ac:dyDescent="0.55000000000000004">
      <c r="B615" s="3"/>
      <c r="C615" s="4"/>
      <c r="D615" s="4"/>
      <c r="E615" s="5"/>
      <c r="F615" s="4"/>
      <c r="G615" s="4"/>
      <c r="H615" s="4"/>
      <c r="I615" s="4"/>
      <c r="J615" s="4"/>
      <c r="K615" s="6"/>
      <c r="L615" s="6"/>
      <c r="M615" s="6"/>
      <c r="N615" s="6"/>
      <c r="O615" s="4"/>
      <c r="P615" s="3"/>
      <c r="Q615" s="8"/>
      <c r="R615" s="8"/>
      <c r="S615" s="9"/>
      <c r="T615" s="8"/>
      <c r="U615" s="8"/>
      <c r="W615" s="8"/>
    </row>
    <row r="616" spans="2:23" x14ac:dyDescent="0.55000000000000004">
      <c r="B616" s="3"/>
      <c r="C616" s="4"/>
      <c r="D616" s="4"/>
      <c r="E616" s="5"/>
      <c r="F616" s="4"/>
      <c r="G616" s="4"/>
      <c r="H616" s="4"/>
      <c r="I616" s="4"/>
      <c r="J616" s="4"/>
      <c r="K616" s="6"/>
      <c r="L616" s="6"/>
      <c r="M616" s="6"/>
      <c r="N616" s="6"/>
      <c r="O616" s="4"/>
      <c r="P616" s="3"/>
      <c r="Q616" s="8"/>
      <c r="R616" s="8"/>
      <c r="S616" s="9"/>
      <c r="T616" s="8"/>
      <c r="U616" s="8"/>
      <c r="W616" s="8"/>
    </row>
    <row r="617" spans="2:23" x14ac:dyDescent="0.55000000000000004">
      <c r="B617" s="3"/>
      <c r="C617" s="4"/>
      <c r="D617" s="4"/>
      <c r="E617" s="5"/>
      <c r="F617" s="4"/>
      <c r="G617" s="4"/>
      <c r="H617" s="4"/>
      <c r="I617" s="4"/>
      <c r="J617" s="4"/>
      <c r="K617" s="6"/>
      <c r="L617" s="6"/>
      <c r="M617" s="6"/>
      <c r="N617" s="6"/>
      <c r="O617" s="4"/>
      <c r="P617" s="3"/>
      <c r="Q617" s="8"/>
      <c r="R617" s="8"/>
      <c r="S617" s="9"/>
      <c r="T617" s="8"/>
      <c r="U617" s="8"/>
      <c r="W617" s="8"/>
    </row>
    <row r="618" spans="2:23" x14ac:dyDescent="0.55000000000000004">
      <c r="B618" s="3"/>
      <c r="C618" s="4"/>
      <c r="D618" s="4"/>
      <c r="E618" s="5"/>
      <c r="F618" s="4"/>
      <c r="G618" s="4"/>
      <c r="H618" s="4"/>
      <c r="I618" s="4"/>
      <c r="J618" s="4"/>
      <c r="K618" s="6"/>
      <c r="L618" s="6"/>
      <c r="M618" s="6"/>
      <c r="N618" s="6"/>
      <c r="O618" s="4"/>
      <c r="P618" s="3"/>
      <c r="Q618" s="8"/>
      <c r="R618" s="8"/>
      <c r="S618" s="9"/>
      <c r="T618" s="8"/>
      <c r="U618" s="8"/>
      <c r="W618" s="8"/>
    </row>
    <row r="619" spans="2:23" x14ac:dyDescent="0.55000000000000004">
      <c r="B619" s="3"/>
      <c r="C619" s="4"/>
      <c r="D619" s="4"/>
      <c r="E619" s="5"/>
      <c r="F619" s="4"/>
      <c r="G619" s="4"/>
      <c r="H619" s="4"/>
      <c r="I619" s="4"/>
      <c r="J619" s="4"/>
      <c r="K619" s="6"/>
      <c r="L619" s="6"/>
      <c r="M619" s="6"/>
      <c r="N619" s="6"/>
      <c r="O619" s="4"/>
      <c r="P619" s="3"/>
      <c r="Q619" s="8"/>
      <c r="R619" s="8"/>
      <c r="S619" s="9"/>
      <c r="T619" s="8"/>
      <c r="U619" s="8"/>
      <c r="W619" s="8"/>
    </row>
    <row r="620" spans="2:23" x14ac:dyDescent="0.55000000000000004">
      <c r="B620" s="3"/>
      <c r="C620" s="4"/>
      <c r="D620" s="4"/>
      <c r="E620" s="5"/>
      <c r="F620" s="4"/>
      <c r="G620" s="4"/>
      <c r="H620" s="4"/>
      <c r="I620" s="4"/>
      <c r="J620" s="4"/>
      <c r="K620" s="6"/>
      <c r="L620" s="6"/>
      <c r="M620" s="6"/>
      <c r="N620" s="6"/>
      <c r="O620" s="4"/>
      <c r="P620" s="3"/>
      <c r="Q620" s="8"/>
      <c r="R620" s="8"/>
      <c r="S620" s="9"/>
      <c r="T620" s="8"/>
      <c r="U620" s="8"/>
      <c r="W620" s="8"/>
    </row>
    <row r="621" spans="2:23" x14ac:dyDescent="0.55000000000000004">
      <c r="B621" s="3"/>
      <c r="C621" s="4"/>
      <c r="D621" s="4"/>
      <c r="E621" s="5"/>
      <c r="F621" s="4"/>
      <c r="G621" s="4"/>
      <c r="H621" s="4"/>
      <c r="I621" s="4"/>
      <c r="J621" s="4"/>
      <c r="K621" s="6"/>
      <c r="L621" s="6"/>
      <c r="M621" s="6"/>
      <c r="N621" s="6"/>
      <c r="O621" s="4"/>
      <c r="P621" s="3"/>
      <c r="Q621" s="8"/>
      <c r="R621" s="8"/>
      <c r="S621" s="9"/>
      <c r="T621" s="8"/>
      <c r="U621" s="8"/>
      <c r="W621" s="8"/>
    </row>
    <row r="622" spans="2:23" x14ac:dyDescent="0.55000000000000004">
      <c r="B622" s="3"/>
      <c r="C622" s="4"/>
      <c r="D622" s="4"/>
      <c r="E622" s="5"/>
      <c r="F622" s="4"/>
      <c r="G622" s="4"/>
      <c r="H622" s="4"/>
      <c r="I622" s="4"/>
      <c r="J622" s="4"/>
      <c r="K622" s="6"/>
      <c r="L622" s="6"/>
      <c r="M622" s="6"/>
      <c r="N622" s="6"/>
      <c r="O622" s="4"/>
      <c r="P622" s="3"/>
      <c r="Q622" s="8"/>
      <c r="R622" s="8"/>
      <c r="S622" s="9"/>
      <c r="T622" s="8"/>
      <c r="U622" s="8"/>
      <c r="W622" s="8"/>
    </row>
    <row r="623" spans="2:23" x14ac:dyDescent="0.55000000000000004">
      <c r="B623" s="3"/>
      <c r="C623" s="4"/>
      <c r="D623" s="4"/>
      <c r="E623" s="5"/>
      <c r="F623" s="4"/>
      <c r="G623" s="4"/>
      <c r="H623" s="4"/>
      <c r="I623" s="4"/>
      <c r="J623" s="4"/>
      <c r="K623" s="6"/>
      <c r="L623" s="6"/>
      <c r="M623" s="6"/>
      <c r="N623" s="6"/>
      <c r="O623" s="4"/>
      <c r="P623" s="3"/>
      <c r="Q623" s="8"/>
      <c r="R623" s="8"/>
      <c r="S623" s="9"/>
      <c r="T623" s="8"/>
      <c r="U623" s="8"/>
      <c r="W623" s="8"/>
    </row>
    <row r="624" spans="2:23" x14ac:dyDescent="0.55000000000000004">
      <c r="B624" s="3"/>
      <c r="C624" s="4"/>
      <c r="D624" s="4"/>
      <c r="E624" s="5"/>
      <c r="F624" s="4"/>
      <c r="G624" s="4"/>
      <c r="H624" s="4"/>
      <c r="I624" s="4"/>
      <c r="J624" s="4"/>
      <c r="K624" s="6"/>
      <c r="L624" s="6"/>
      <c r="M624" s="6"/>
      <c r="N624" s="6"/>
      <c r="O624" s="4"/>
      <c r="P624" s="3"/>
      <c r="Q624" s="8"/>
      <c r="R624" s="8"/>
      <c r="S624" s="9"/>
      <c r="T624" s="8"/>
      <c r="U624" s="8"/>
      <c r="W624" s="8"/>
    </row>
    <row r="625" spans="2:23" x14ac:dyDescent="0.55000000000000004">
      <c r="B625" s="3"/>
      <c r="C625" s="4"/>
      <c r="D625" s="4"/>
      <c r="E625" s="5"/>
      <c r="F625" s="4"/>
      <c r="G625" s="4"/>
      <c r="H625" s="4"/>
      <c r="I625" s="4"/>
      <c r="J625" s="4"/>
      <c r="K625" s="6"/>
      <c r="L625" s="6"/>
      <c r="M625" s="6"/>
      <c r="N625" s="6"/>
      <c r="O625" s="4"/>
      <c r="P625" s="3"/>
      <c r="Q625" s="8"/>
      <c r="R625" s="8"/>
      <c r="S625" s="9"/>
      <c r="T625" s="8"/>
      <c r="U625" s="8"/>
      <c r="W625" s="8"/>
    </row>
    <row r="626" spans="2:23" x14ac:dyDescent="0.55000000000000004">
      <c r="B626" s="3"/>
      <c r="C626" s="4"/>
      <c r="D626" s="4"/>
      <c r="E626" s="5"/>
      <c r="F626" s="4"/>
      <c r="G626" s="4"/>
      <c r="H626" s="4"/>
      <c r="I626" s="4"/>
      <c r="J626" s="4"/>
      <c r="K626" s="6"/>
      <c r="L626" s="6"/>
      <c r="M626" s="6"/>
      <c r="N626" s="6"/>
      <c r="O626" s="4"/>
      <c r="P626" s="3"/>
      <c r="Q626" s="8"/>
      <c r="R626" s="8"/>
      <c r="S626" s="9"/>
      <c r="T626" s="8"/>
      <c r="U626" s="8"/>
      <c r="W626" s="8"/>
    </row>
    <row r="627" spans="2:23" x14ac:dyDescent="0.55000000000000004">
      <c r="B627" s="3"/>
      <c r="C627" s="4"/>
      <c r="D627" s="4"/>
      <c r="E627" s="5"/>
      <c r="F627" s="4"/>
      <c r="G627" s="4"/>
      <c r="H627" s="4"/>
      <c r="I627" s="4"/>
      <c r="J627" s="4"/>
      <c r="K627" s="6"/>
      <c r="L627" s="6"/>
      <c r="M627" s="6"/>
      <c r="N627" s="6"/>
      <c r="O627" s="4"/>
      <c r="P627" s="3"/>
      <c r="Q627" s="8"/>
      <c r="R627" s="8"/>
      <c r="S627" s="9"/>
      <c r="T627" s="8"/>
      <c r="U627" s="8"/>
      <c r="W627" s="8"/>
    </row>
    <row r="628" spans="2:23" x14ac:dyDescent="0.55000000000000004">
      <c r="B628" s="3"/>
      <c r="C628" s="4"/>
      <c r="D628" s="4"/>
      <c r="E628" s="5"/>
      <c r="F628" s="4"/>
      <c r="G628" s="4"/>
      <c r="H628" s="4"/>
      <c r="I628" s="4"/>
      <c r="J628" s="4"/>
      <c r="K628" s="6"/>
      <c r="L628" s="6"/>
      <c r="M628" s="6"/>
      <c r="N628" s="6"/>
      <c r="O628" s="4"/>
      <c r="P628" s="3"/>
      <c r="Q628" s="8"/>
      <c r="R628" s="8"/>
      <c r="S628" s="9"/>
      <c r="T628" s="8"/>
      <c r="U628" s="8"/>
      <c r="W628" s="8"/>
    </row>
    <row r="629" spans="2:23" x14ac:dyDescent="0.55000000000000004">
      <c r="B629" s="3"/>
      <c r="C629" s="4"/>
      <c r="D629" s="4"/>
      <c r="E629" s="5"/>
      <c r="F629" s="4"/>
      <c r="G629" s="4"/>
      <c r="H629" s="4"/>
      <c r="I629" s="4"/>
      <c r="J629" s="4"/>
      <c r="K629" s="6"/>
      <c r="L629" s="6"/>
      <c r="M629" s="6"/>
      <c r="N629" s="6"/>
      <c r="O629" s="4"/>
      <c r="P629" s="3"/>
      <c r="Q629" s="8"/>
      <c r="R629" s="8"/>
      <c r="S629" s="9"/>
      <c r="T629" s="8"/>
      <c r="U629" s="8"/>
      <c r="W629" s="8"/>
    </row>
    <row r="630" spans="2:23" x14ac:dyDescent="0.55000000000000004">
      <c r="B630" s="3"/>
      <c r="C630" s="4"/>
      <c r="D630" s="4"/>
      <c r="E630" s="5"/>
      <c r="F630" s="4"/>
      <c r="G630" s="4"/>
      <c r="H630" s="4"/>
      <c r="I630" s="4"/>
      <c r="J630" s="4"/>
      <c r="K630" s="6"/>
      <c r="L630" s="6"/>
      <c r="M630" s="6"/>
      <c r="N630" s="6"/>
      <c r="O630" s="4"/>
      <c r="P630" s="3"/>
      <c r="Q630" s="8"/>
      <c r="R630" s="8"/>
      <c r="S630" s="9"/>
      <c r="T630" s="8"/>
      <c r="U630" s="8"/>
      <c r="W630" s="8"/>
    </row>
    <row r="631" spans="2:23" x14ac:dyDescent="0.55000000000000004">
      <c r="B631" s="3"/>
      <c r="C631" s="4"/>
      <c r="D631" s="4"/>
      <c r="E631" s="5"/>
      <c r="F631" s="4"/>
      <c r="G631" s="4"/>
      <c r="H631" s="4"/>
      <c r="I631" s="4"/>
      <c r="J631" s="4"/>
      <c r="K631" s="6"/>
      <c r="L631" s="6"/>
      <c r="M631" s="6"/>
      <c r="N631" s="6"/>
      <c r="O631" s="4"/>
      <c r="P631" s="3"/>
      <c r="Q631" s="8"/>
      <c r="R631" s="8"/>
      <c r="S631" s="9"/>
      <c r="T631" s="8"/>
      <c r="U631" s="8"/>
      <c r="W631" s="8"/>
    </row>
    <row r="632" spans="2:23" x14ac:dyDescent="0.55000000000000004">
      <c r="B632" s="3"/>
      <c r="C632" s="4"/>
      <c r="D632" s="4"/>
      <c r="E632" s="5"/>
      <c r="F632" s="4"/>
      <c r="G632" s="4"/>
      <c r="H632" s="4"/>
      <c r="I632" s="4"/>
      <c r="J632" s="4"/>
      <c r="K632" s="6"/>
      <c r="L632" s="6"/>
      <c r="M632" s="6"/>
      <c r="N632" s="6"/>
      <c r="O632" s="4"/>
      <c r="P632" s="3"/>
      <c r="Q632" s="8"/>
      <c r="R632" s="8"/>
      <c r="S632" s="9"/>
      <c r="T632" s="8"/>
      <c r="U632" s="8"/>
      <c r="W632" s="8"/>
    </row>
    <row r="633" spans="2:23" x14ac:dyDescent="0.55000000000000004">
      <c r="B633" s="3"/>
      <c r="C633" s="4"/>
      <c r="D633" s="4"/>
      <c r="E633" s="5"/>
      <c r="F633" s="4"/>
      <c r="G633" s="4"/>
      <c r="H633" s="4"/>
      <c r="I633" s="4"/>
      <c r="J633" s="4"/>
      <c r="K633" s="6"/>
      <c r="L633" s="6"/>
      <c r="M633" s="6"/>
      <c r="N633" s="6"/>
      <c r="O633" s="4"/>
      <c r="P633" s="3"/>
      <c r="Q633" s="8"/>
      <c r="R633" s="8"/>
      <c r="S633" s="9"/>
      <c r="T633" s="8"/>
      <c r="U633" s="8"/>
      <c r="W633" s="8"/>
    </row>
    <row r="634" spans="2:23" x14ac:dyDescent="0.55000000000000004">
      <c r="B634" s="3"/>
      <c r="C634" s="4"/>
      <c r="D634" s="4"/>
      <c r="E634" s="5"/>
      <c r="F634" s="4"/>
      <c r="G634" s="4"/>
      <c r="H634" s="4"/>
      <c r="I634" s="4"/>
      <c r="J634" s="4"/>
      <c r="K634" s="6"/>
      <c r="L634" s="6"/>
      <c r="M634" s="6"/>
      <c r="N634" s="6"/>
      <c r="O634" s="4"/>
      <c r="P634" s="3"/>
      <c r="Q634" s="8"/>
      <c r="R634" s="8"/>
      <c r="S634" s="9"/>
      <c r="T634" s="8"/>
      <c r="U634" s="8"/>
      <c r="W634" s="8"/>
    </row>
    <row r="635" spans="2:23" x14ac:dyDescent="0.55000000000000004">
      <c r="B635" s="3"/>
      <c r="C635" s="4"/>
      <c r="D635" s="4"/>
      <c r="E635" s="5"/>
      <c r="F635" s="4"/>
      <c r="G635" s="4"/>
      <c r="H635" s="4"/>
      <c r="I635" s="4"/>
      <c r="J635" s="4"/>
      <c r="K635" s="6"/>
      <c r="L635" s="6"/>
      <c r="M635" s="6"/>
      <c r="N635" s="6"/>
      <c r="O635" s="4"/>
      <c r="P635" s="3"/>
      <c r="Q635" s="8"/>
      <c r="R635" s="8"/>
      <c r="S635" s="9"/>
      <c r="T635" s="8"/>
      <c r="U635" s="8"/>
      <c r="W635" s="8"/>
    </row>
    <row r="636" spans="2:23" x14ac:dyDescent="0.55000000000000004">
      <c r="B636" s="3"/>
      <c r="C636" s="4"/>
      <c r="D636" s="4"/>
      <c r="E636" s="5"/>
      <c r="F636" s="4"/>
      <c r="G636" s="4"/>
      <c r="H636" s="4"/>
      <c r="I636" s="4"/>
      <c r="J636" s="4"/>
      <c r="K636" s="6"/>
      <c r="L636" s="6"/>
      <c r="M636" s="6"/>
      <c r="N636" s="6"/>
      <c r="O636" s="4"/>
      <c r="P636" s="3"/>
      <c r="Q636" s="8"/>
      <c r="R636" s="8"/>
      <c r="S636" s="9"/>
      <c r="T636" s="8"/>
      <c r="U636" s="8"/>
      <c r="W636" s="8"/>
    </row>
    <row r="637" spans="2:23" x14ac:dyDescent="0.55000000000000004">
      <c r="B637" s="3"/>
      <c r="C637" s="4"/>
      <c r="D637" s="4"/>
      <c r="E637" s="5"/>
      <c r="F637" s="4"/>
      <c r="G637" s="4"/>
      <c r="H637" s="4"/>
      <c r="I637" s="4"/>
      <c r="J637" s="4"/>
      <c r="K637" s="6"/>
      <c r="L637" s="6"/>
      <c r="M637" s="6"/>
      <c r="N637" s="6"/>
      <c r="O637" s="4"/>
      <c r="P637" s="3"/>
      <c r="Q637" s="8"/>
      <c r="R637" s="8"/>
      <c r="S637" s="9"/>
      <c r="T637" s="8"/>
      <c r="U637" s="8"/>
      <c r="W637" s="8"/>
    </row>
    <row r="638" spans="2:23" x14ac:dyDescent="0.55000000000000004">
      <c r="B638" s="3"/>
      <c r="C638" s="4"/>
      <c r="D638" s="4"/>
      <c r="E638" s="5"/>
      <c r="F638" s="4"/>
      <c r="G638" s="4"/>
      <c r="H638" s="4"/>
      <c r="I638" s="4"/>
      <c r="J638" s="4"/>
      <c r="K638" s="6"/>
      <c r="L638" s="6"/>
      <c r="M638" s="6"/>
      <c r="N638" s="6"/>
      <c r="O638" s="4"/>
      <c r="P638" s="3"/>
      <c r="Q638" s="8"/>
      <c r="R638" s="8"/>
      <c r="S638" s="9"/>
      <c r="T638" s="8"/>
      <c r="U638" s="8"/>
      <c r="W638" s="8"/>
    </row>
    <row r="639" spans="2:23" x14ac:dyDescent="0.55000000000000004">
      <c r="B639" s="3"/>
      <c r="C639" s="4"/>
      <c r="D639" s="4"/>
      <c r="E639" s="5"/>
      <c r="F639" s="4"/>
      <c r="G639" s="4"/>
      <c r="H639" s="4"/>
      <c r="I639" s="4"/>
      <c r="J639" s="4"/>
      <c r="K639" s="6"/>
      <c r="L639" s="6"/>
      <c r="M639" s="6"/>
      <c r="N639" s="6"/>
      <c r="O639" s="4"/>
      <c r="P639" s="3"/>
      <c r="Q639" s="8"/>
      <c r="R639" s="8"/>
      <c r="S639" s="9"/>
      <c r="T639" s="8"/>
      <c r="U639" s="8"/>
      <c r="W639" s="8"/>
    </row>
    <row r="640" spans="2:23" x14ac:dyDescent="0.55000000000000004">
      <c r="B640" s="3"/>
      <c r="C640" s="4"/>
      <c r="D640" s="4"/>
      <c r="E640" s="5"/>
      <c r="F640" s="4"/>
      <c r="G640" s="4"/>
      <c r="H640" s="4"/>
      <c r="I640" s="4"/>
      <c r="J640" s="4"/>
      <c r="K640" s="6"/>
      <c r="L640" s="6"/>
      <c r="M640" s="6"/>
      <c r="N640" s="6"/>
      <c r="O640" s="4"/>
      <c r="P640" s="3"/>
      <c r="Q640" s="8"/>
      <c r="R640" s="8"/>
      <c r="S640" s="9"/>
      <c r="T640" s="8"/>
      <c r="U640" s="8"/>
      <c r="W640" s="8"/>
    </row>
    <row r="641" spans="2:23" x14ac:dyDescent="0.55000000000000004">
      <c r="B641" s="3"/>
      <c r="C641" s="4"/>
      <c r="D641" s="4"/>
      <c r="E641" s="5"/>
      <c r="F641" s="4"/>
      <c r="G641" s="4"/>
      <c r="H641" s="4"/>
      <c r="I641" s="4"/>
      <c r="J641" s="4"/>
      <c r="K641" s="6"/>
      <c r="L641" s="6"/>
      <c r="M641" s="6"/>
      <c r="N641" s="6"/>
      <c r="O641" s="4"/>
      <c r="P641" s="3"/>
      <c r="Q641" s="8"/>
      <c r="R641" s="8"/>
      <c r="S641" s="9"/>
      <c r="T641" s="8"/>
      <c r="U641" s="8"/>
      <c r="W641" s="8"/>
    </row>
    <row r="642" spans="2:23" x14ac:dyDescent="0.55000000000000004">
      <c r="B642" s="3"/>
      <c r="C642" s="4"/>
      <c r="D642" s="4"/>
      <c r="E642" s="5"/>
      <c r="F642" s="4"/>
      <c r="G642" s="4"/>
      <c r="H642" s="4"/>
      <c r="I642" s="4"/>
      <c r="J642" s="4"/>
      <c r="K642" s="6"/>
      <c r="L642" s="6"/>
      <c r="M642" s="6"/>
      <c r="N642" s="6"/>
      <c r="O642" s="4"/>
      <c r="P642" s="3"/>
      <c r="Q642" s="8"/>
      <c r="R642" s="8"/>
      <c r="S642" s="9"/>
      <c r="T642" s="8"/>
      <c r="U642" s="8"/>
      <c r="W642" s="8"/>
    </row>
    <row r="643" spans="2:23" x14ac:dyDescent="0.55000000000000004">
      <c r="B643" s="3"/>
      <c r="C643" s="4"/>
      <c r="D643" s="4"/>
      <c r="E643" s="5"/>
      <c r="F643" s="4"/>
      <c r="G643" s="4"/>
      <c r="H643" s="4"/>
      <c r="I643" s="4"/>
      <c r="J643" s="4"/>
      <c r="K643" s="6"/>
      <c r="L643" s="6"/>
      <c r="M643" s="6"/>
      <c r="N643" s="6"/>
      <c r="O643" s="4"/>
      <c r="P643" s="3"/>
      <c r="Q643" s="8"/>
      <c r="R643" s="8"/>
      <c r="S643" s="9"/>
      <c r="T643" s="8"/>
      <c r="U643" s="8"/>
      <c r="W643" s="8"/>
    </row>
    <row r="644" spans="2:23" x14ac:dyDescent="0.55000000000000004">
      <c r="B644" s="3"/>
      <c r="C644" s="4"/>
      <c r="D644" s="4"/>
      <c r="E644" s="5"/>
      <c r="F644" s="4"/>
      <c r="G644" s="4"/>
      <c r="H644" s="4"/>
      <c r="I644" s="4"/>
      <c r="J644" s="4"/>
      <c r="K644" s="6"/>
      <c r="L644" s="6"/>
      <c r="M644" s="6"/>
      <c r="N644" s="6"/>
      <c r="O644" s="4"/>
      <c r="P644" s="3"/>
      <c r="Q644" s="8"/>
      <c r="R644" s="8"/>
      <c r="S644" s="9"/>
      <c r="T644" s="8"/>
      <c r="U644" s="8"/>
      <c r="W644" s="8"/>
    </row>
    <row r="645" spans="2:23" x14ac:dyDescent="0.55000000000000004">
      <c r="B645" s="3"/>
      <c r="C645" s="4"/>
      <c r="D645" s="4"/>
      <c r="E645" s="5"/>
      <c r="F645" s="4"/>
      <c r="G645" s="4"/>
      <c r="H645" s="4"/>
      <c r="I645" s="4"/>
      <c r="J645" s="4"/>
      <c r="K645" s="6"/>
      <c r="L645" s="6"/>
      <c r="M645" s="6"/>
      <c r="N645" s="6"/>
      <c r="O645" s="4"/>
      <c r="P645" s="3"/>
      <c r="Q645" s="8"/>
      <c r="R645" s="8"/>
      <c r="S645" s="9"/>
      <c r="T645" s="8"/>
      <c r="U645" s="8"/>
      <c r="W645" s="8"/>
    </row>
    <row r="646" spans="2:23" x14ac:dyDescent="0.55000000000000004">
      <c r="B646" s="3"/>
      <c r="C646" s="4"/>
      <c r="D646" s="4"/>
      <c r="E646" s="5"/>
      <c r="F646" s="4"/>
      <c r="G646" s="4"/>
      <c r="H646" s="4"/>
      <c r="I646" s="4"/>
      <c r="J646" s="4"/>
      <c r="K646" s="6"/>
      <c r="L646" s="6"/>
      <c r="M646" s="6"/>
      <c r="N646" s="6"/>
      <c r="O646" s="4"/>
      <c r="P646" s="3"/>
      <c r="Q646" s="8"/>
      <c r="R646" s="8"/>
      <c r="S646" s="9"/>
      <c r="T646" s="8"/>
      <c r="U646" s="8"/>
      <c r="W646" s="8"/>
    </row>
    <row r="647" spans="2:23" x14ac:dyDescent="0.55000000000000004">
      <c r="B647" s="3"/>
      <c r="C647" s="4"/>
      <c r="D647" s="4"/>
      <c r="E647" s="5"/>
      <c r="F647" s="4"/>
      <c r="G647" s="4"/>
      <c r="H647" s="4"/>
      <c r="I647" s="4"/>
      <c r="J647" s="4"/>
      <c r="K647" s="6"/>
      <c r="L647" s="6"/>
      <c r="M647" s="6"/>
      <c r="N647" s="6"/>
      <c r="O647" s="4"/>
      <c r="P647" s="3"/>
      <c r="Q647" s="8"/>
      <c r="R647" s="8"/>
      <c r="S647" s="9"/>
      <c r="T647" s="8"/>
      <c r="U647" s="8"/>
      <c r="W647" s="8"/>
    </row>
    <row r="648" spans="2:23" x14ac:dyDescent="0.55000000000000004">
      <c r="B648" s="3"/>
      <c r="C648" s="4"/>
      <c r="D648" s="4"/>
      <c r="E648" s="5"/>
      <c r="F648" s="4"/>
      <c r="G648" s="4"/>
      <c r="H648" s="4"/>
      <c r="I648" s="4"/>
      <c r="J648" s="4"/>
      <c r="K648" s="6"/>
      <c r="L648" s="6"/>
      <c r="M648" s="6"/>
      <c r="N648" s="6"/>
      <c r="O648" s="4"/>
      <c r="P648" s="3"/>
      <c r="Q648" s="8"/>
      <c r="R648" s="8"/>
      <c r="S648" s="9"/>
      <c r="T648" s="8"/>
      <c r="U648" s="8"/>
      <c r="W648" s="8"/>
    </row>
    <row r="649" spans="2:23" x14ac:dyDescent="0.55000000000000004">
      <c r="B649" s="3"/>
      <c r="C649" s="4"/>
      <c r="D649" s="4"/>
      <c r="E649" s="5"/>
      <c r="F649" s="4"/>
      <c r="G649" s="4"/>
      <c r="H649" s="4"/>
      <c r="I649" s="4"/>
      <c r="J649" s="4"/>
      <c r="K649" s="6"/>
      <c r="L649" s="6"/>
      <c r="M649" s="6"/>
      <c r="N649" s="6"/>
      <c r="O649" s="4"/>
      <c r="P649" s="3"/>
      <c r="Q649" s="8"/>
      <c r="R649" s="8"/>
      <c r="S649" s="9"/>
      <c r="T649" s="8"/>
      <c r="U649" s="8"/>
      <c r="W649" s="8"/>
    </row>
    <row r="650" spans="2:23" x14ac:dyDescent="0.55000000000000004">
      <c r="B650" s="3"/>
      <c r="C650" s="4"/>
      <c r="D650" s="4"/>
      <c r="E650" s="5"/>
      <c r="F650" s="4"/>
      <c r="G650" s="4"/>
      <c r="H650" s="4"/>
      <c r="I650" s="4"/>
      <c r="J650" s="4"/>
      <c r="K650" s="6"/>
      <c r="L650" s="6"/>
      <c r="M650" s="6"/>
      <c r="N650" s="6"/>
      <c r="O650" s="4"/>
      <c r="P650" s="3"/>
      <c r="Q650" s="8"/>
      <c r="R650" s="8"/>
      <c r="S650" s="9"/>
      <c r="T650" s="8"/>
      <c r="U650" s="8"/>
      <c r="W650" s="8"/>
    </row>
    <row r="651" spans="2:23" x14ac:dyDescent="0.55000000000000004">
      <c r="B651" s="3"/>
      <c r="C651" s="4"/>
      <c r="D651" s="4"/>
      <c r="E651" s="5"/>
      <c r="F651" s="4"/>
      <c r="G651" s="4"/>
      <c r="H651" s="4"/>
      <c r="I651" s="4"/>
      <c r="J651" s="4"/>
      <c r="K651" s="6"/>
      <c r="L651" s="6"/>
      <c r="M651" s="6"/>
      <c r="N651" s="6"/>
      <c r="O651" s="4"/>
      <c r="P651" s="3"/>
      <c r="Q651" s="8"/>
      <c r="R651" s="8"/>
      <c r="S651" s="9"/>
      <c r="T651" s="8"/>
      <c r="U651" s="8"/>
      <c r="W651" s="8"/>
    </row>
    <row r="652" spans="2:23" x14ac:dyDescent="0.55000000000000004">
      <c r="B652" s="3"/>
      <c r="C652" s="4"/>
      <c r="D652" s="4"/>
      <c r="E652" s="5"/>
      <c r="F652" s="4"/>
      <c r="G652" s="4"/>
      <c r="H652" s="4"/>
      <c r="I652" s="4"/>
      <c r="J652" s="4"/>
      <c r="K652" s="6"/>
      <c r="L652" s="6"/>
      <c r="M652" s="6"/>
      <c r="N652" s="6"/>
      <c r="O652" s="4"/>
      <c r="P652" s="3"/>
      <c r="Q652" s="8"/>
      <c r="R652" s="8"/>
      <c r="S652" s="9"/>
      <c r="T652" s="8"/>
      <c r="U652" s="8"/>
      <c r="W652" s="8"/>
    </row>
    <row r="653" spans="2:23" x14ac:dyDescent="0.55000000000000004">
      <c r="B653" s="3"/>
      <c r="C653" s="4"/>
      <c r="D653" s="4"/>
      <c r="E653" s="5"/>
      <c r="F653" s="4"/>
      <c r="G653" s="4"/>
      <c r="H653" s="4"/>
      <c r="I653" s="4"/>
      <c r="J653" s="4"/>
      <c r="K653" s="6"/>
      <c r="L653" s="6"/>
      <c r="M653" s="6"/>
      <c r="N653" s="6"/>
      <c r="O653" s="4"/>
      <c r="P653" s="3"/>
      <c r="Q653" s="8"/>
      <c r="R653" s="8"/>
      <c r="S653" s="9"/>
      <c r="T653" s="8"/>
      <c r="U653" s="8"/>
      <c r="W653" s="8"/>
    </row>
    <row r="654" spans="2:23" x14ac:dyDescent="0.55000000000000004">
      <c r="B654" s="3"/>
      <c r="C654" s="4"/>
      <c r="D654" s="4"/>
      <c r="E654" s="5"/>
      <c r="F654" s="4"/>
      <c r="G654" s="4"/>
      <c r="H654" s="4"/>
      <c r="I654" s="4"/>
      <c r="J654" s="4"/>
      <c r="K654" s="6"/>
      <c r="L654" s="6"/>
      <c r="M654" s="6"/>
      <c r="N654" s="6"/>
      <c r="O654" s="4"/>
      <c r="P654" s="3"/>
      <c r="Q654" s="8"/>
      <c r="R654" s="8"/>
      <c r="S654" s="9"/>
      <c r="T654" s="8"/>
      <c r="U654" s="8"/>
      <c r="W654" s="8"/>
    </row>
    <row r="655" spans="2:23" x14ac:dyDescent="0.55000000000000004">
      <c r="B655" s="3"/>
      <c r="C655" s="4"/>
      <c r="D655" s="4"/>
      <c r="E655" s="5"/>
      <c r="F655" s="4"/>
      <c r="G655" s="4"/>
      <c r="H655" s="4"/>
      <c r="I655" s="4"/>
      <c r="J655" s="4"/>
      <c r="K655" s="6"/>
      <c r="L655" s="6"/>
      <c r="M655" s="6"/>
      <c r="N655" s="6"/>
      <c r="O655" s="4"/>
      <c r="P655" s="3"/>
      <c r="Q655" s="8"/>
      <c r="R655" s="8"/>
      <c r="S655" s="9"/>
      <c r="T655" s="8"/>
      <c r="U655" s="8"/>
      <c r="W655" s="8"/>
    </row>
    <row r="656" spans="2:23" x14ac:dyDescent="0.55000000000000004">
      <c r="B656" s="3"/>
      <c r="C656" s="4"/>
      <c r="D656" s="4"/>
      <c r="E656" s="5"/>
      <c r="F656" s="4"/>
      <c r="G656" s="4"/>
      <c r="H656" s="4"/>
      <c r="I656" s="4"/>
      <c r="J656" s="4"/>
      <c r="K656" s="6"/>
      <c r="L656" s="6"/>
      <c r="M656" s="6"/>
      <c r="N656" s="6"/>
      <c r="O656" s="4"/>
      <c r="P656" s="3"/>
      <c r="Q656" s="8"/>
      <c r="R656" s="8"/>
      <c r="S656" s="9"/>
      <c r="T656" s="8"/>
      <c r="U656" s="8"/>
      <c r="W656" s="8"/>
    </row>
    <row r="657" spans="2:23" x14ac:dyDescent="0.55000000000000004">
      <c r="B657" s="3"/>
      <c r="C657" s="4"/>
      <c r="D657" s="4"/>
      <c r="E657" s="5"/>
      <c r="F657" s="4"/>
      <c r="G657" s="4"/>
      <c r="H657" s="4"/>
      <c r="I657" s="4"/>
      <c r="J657" s="4"/>
      <c r="K657" s="6"/>
      <c r="L657" s="6"/>
      <c r="M657" s="6"/>
      <c r="N657" s="6"/>
      <c r="O657" s="4"/>
      <c r="P657" s="3"/>
      <c r="Q657" s="8"/>
      <c r="R657" s="8"/>
      <c r="S657" s="9"/>
      <c r="T657" s="8"/>
      <c r="U657" s="8"/>
      <c r="W657" s="8"/>
    </row>
    <row r="658" spans="2:23" x14ac:dyDescent="0.55000000000000004">
      <c r="B658" s="3"/>
      <c r="C658" s="4"/>
      <c r="D658" s="4"/>
      <c r="E658" s="5"/>
      <c r="F658" s="4"/>
      <c r="G658" s="4"/>
      <c r="H658" s="4"/>
      <c r="I658" s="4"/>
      <c r="J658" s="4"/>
      <c r="K658" s="6"/>
      <c r="L658" s="6"/>
      <c r="M658" s="6"/>
      <c r="N658" s="6"/>
      <c r="O658" s="4"/>
      <c r="P658" s="3"/>
      <c r="Q658" s="8"/>
      <c r="R658" s="8"/>
      <c r="S658" s="9"/>
      <c r="T658" s="8"/>
      <c r="U658" s="8"/>
      <c r="W658" s="8"/>
    </row>
    <row r="659" spans="2:23" x14ac:dyDescent="0.55000000000000004">
      <c r="B659" s="3"/>
      <c r="C659" s="4"/>
      <c r="D659" s="4"/>
      <c r="E659" s="5"/>
      <c r="F659" s="4"/>
      <c r="G659" s="4"/>
      <c r="H659" s="4"/>
      <c r="I659" s="4"/>
      <c r="J659" s="4"/>
      <c r="K659" s="6"/>
      <c r="L659" s="6"/>
      <c r="M659" s="6"/>
      <c r="N659" s="6"/>
      <c r="O659" s="4"/>
      <c r="P659" s="3"/>
      <c r="Q659" s="8"/>
      <c r="R659" s="8"/>
      <c r="S659" s="9"/>
      <c r="T659" s="8"/>
      <c r="U659" s="8"/>
      <c r="W659" s="8"/>
    </row>
    <row r="660" spans="2:23" x14ac:dyDescent="0.55000000000000004">
      <c r="B660" s="3"/>
      <c r="C660" s="4"/>
      <c r="D660" s="4"/>
      <c r="E660" s="5"/>
      <c r="F660" s="4"/>
      <c r="G660" s="4"/>
      <c r="H660" s="4"/>
      <c r="I660" s="4"/>
      <c r="J660" s="4"/>
      <c r="K660" s="6"/>
      <c r="L660" s="6"/>
      <c r="M660" s="6"/>
      <c r="N660" s="6"/>
      <c r="O660" s="4"/>
      <c r="P660" s="3"/>
      <c r="Q660" s="8"/>
      <c r="R660" s="8"/>
      <c r="S660" s="9"/>
      <c r="T660" s="8"/>
      <c r="U660" s="8"/>
      <c r="W660" s="8"/>
    </row>
    <row r="661" spans="2:23" x14ac:dyDescent="0.55000000000000004">
      <c r="B661" s="3"/>
      <c r="C661" s="4"/>
      <c r="D661" s="4"/>
      <c r="E661" s="5"/>
      <c r="F661" s="4"/>
      <c r="G661" s="4"/>
      <c r="H661" s="4"/>
      <c r="I661" s="4"/>
      <c r="J661" s="4"/>
      <c r="K661" s="6"/>
      <c r="L661" s="6"/>
      <c r="M661" s="6"/>
      <c r="N661" s="6"/>
      <c r="O661" s="4"/>
      <c r="P661" s="3"/>
      <c r="Q661" s="8"/>
      <c r="R661" s="8"/>
      <c r="S661" s="9"/>
      <c r="T661" s="8"/>
      <c r="U661" s="8"/>
      <c r="W661" s="8"/>
    </row>
    <row r="662" spans="2:23" x14ac:dyDescent="0.55000000000000004">
      <c r="B662" s="3"/>
      <c r="C662" s="4"/>
      <c r="D662" s="4"/>
      <c r="E662" s="5"/>
      <c r="F662" s="4"/>
      <c r="G662" s="4"/>
      <c r="H662" s="4"/>
      <c r="I662" s="4"/>
      <c r="J662" s="4"/>
      <c r="K662" s="6"/>
      <c r="L662" s="6"/>
      <c r="M662" s="6"/>
      <c r="N662" s="6"/>
      <c r="O662" s="4"/>
      <c r="P662" s="3"/>
      <c r="Q662" s="8"/>
      <c r="R662" s="8"/>
      <c r="S662" s="9"/>
      <c r="T662" s="8"/>
      <c r="U662" s="8"/>
      <c r="W662" s="8"/>
    </row>
    <row r="663" spans="2:23" x14ac:dyDescent="0.55000000000000004">
      <c r="B663" s="3"/>
      <c r="C663" s="4"/>
      <c r="D663" s="4"/>
      <c r="E663" s="5"/>
      <c r="F663" s="4"/>
      <c r="G663" s="4"/>
      <c r="H663" s="4"/>
      <c r="I663" s="4"/>
      <c r="J663" s="4"/>
      <c r="K663" s="6"/>
      <c r="L663" s="6"/>
      <c r="M663" s="6"/>
      <c r="N663" s="6"/>
      <c r="O663" s="4"/>
      <c r="P663" s="3"/>
      <c r="Q663" s="8"/>
      <c r="R663" s="8"/>
      <c r="S663" s="9"/>
      <c r="T663" s="8"/>
      <c r="U663" s="8"/>
      <c r="W663" s="8"/>
    </row>
    <row r="664" spans="2:23" x14ac:dyDescent="0.55000000000000004">
      <c r="B664" s="3"/>
      <c r="C664" s="4"/>
      <c r="D664" s="4"/>
      <c r="E664" s="5"/>
      <c r="F664" s="4"/>
      <c r="G664" s="4"/>
      <c r="H664" s="4"/>
      <c r="I664" s="4"/>
      <c r="J664" s="4"/>
      <c r="K664" s="6"/>
      <c r="L664" s="6"/>
      <c r="M664" s="6"/>
      <c r="N664" s="6"/>
      <c r="O664" s="4"/>
      <c r="P664" s="3"/>
      <c r="Q664" s="8"/>
      <c r="R664" s="8"/>
      <c r="S664" s="9"/>
      <c r="T664" s="8"/>
      <c r="U664" s="8"/>
      <c r="W664" s="8"/>
    </row>
    <row r="665" spans="2:23" x14ac:dyDescent="0.55000000000000004">
      <c r="B665" s="3"/>
      <c r="C665" s="4"/>
      <c r="D665" s="4"/>
      <c r="E665" s="5"/>
      <c r="F665" s="4"/>
      <c r="G665" s="4"/>
      <c r="H665" s="4"/>
      <c r="I665" s="4"/>
      <c r="J665" s="4"/>
      <c r="K665" s="6"/>
      <c r="L665" s="6"/>
      <c r="M665" s="6"/>
      <c r="N665" s="6"/>
      <c r="O665" s="4"/>
      <c r="P665" s="3"/>
      <c r="Q665" s="8"/>
      <c r="R665" s="8"/>
      <c r="S665" s="9"/>
      <c r="T665" s="8"/>
      <c r="U665" s="8"/>
      <c r="W665" s="8"/>
    </row>
    <row r="666" spans="2:23" x14ac:dyDescent="0.55000000000000004">
      <c r="B666" s="3"/>
      <c r="C666" s="4"/>
      <c r="D666" s="4"/>
      <c r="E666" s="5"/>
      <c r="F666" s="4"/>
      <c r="G666" s="4"/>
      <c r="H666" s="4"/>
      <c r="I666" s="4"/>
      <c r="J666" s="4"/>
      <c r="K666" s="6"/>
      <c r="L666" s="6"/>
      <c r="M666" s="6"/>
      <c r="N666" s="6"/>
      <c r="O666" s="4"/>
      <c r="P666" s="3"/>
      <c r="Q666" s="8"/>
      <c r="R666" s="8"/>
      <c r="S666" s="9"/>
      <c r="T666" s="8"/>
      <c r="U666" s="8"/>
      <c r="W666" s="8"/>
    </row>
    <row r="667" spans="2:23" x14ac:dyDescent="0.55000000000000004">
      <c r="B667" s="3"/>
      <c r="C667" s="4"/>
      <c r="D667" s="4"/>
      <c r="E667" s="5"/>
      <c r="F667" s="4"/>
      <c r="G667" s="4"/>
      <c r="H667" s="4"/>
      <c r="I667" s="4"/>
      <c r="J667" s="4"/>
      <c r="K667" s="6"/>
      <c r="L667" s="6"/>
      <c r="M667" s="6"/>
      <c r="N667" s="6"/>
      <c r="O667" s="4"/>
      <c r="P667" s="3"/>
      <c r="Q667" s="8"/>
      <c r="R667" s="8"/>
      <c r="S667" s="9"/>
      <c r="T667" s="8"/>
      <c r="U667" s="8"/>
      <c r="W667" s="8"/>
    </row>
    <row r="668" spans="2:23" x14ac:dyDescent="0.55000000000000004">
      <c r="B668" s="3"/>
      <c r="C668" s="4"/>
      <c r="D668" s="4"/>
      <c r="E668" s="5"/>
      <c r="F668" s="4"/>
      <c r="G668" s="4"/>
      <c r="H668" s="4"/>
      <c r="I668" s="4"/>
      <c r="J668" s="4"/>
      <c r="K668" s="6"/>
      <c r="L668" s="6"/>
      <c r="M668" s="6"/>
      <c r="N668" s="6"/>
      <c r="O668" s="4"/>
      <c r="P668" s="3"/>
      <c r="Q668" s="8"/>
      <c r="R668" s="8"/>
      <c r="S668" s="9"/>
      <c r="T668" s="8"/>
      <c r="U668" s="8"/>
      <c r="W668" s="8"/>
    </row>
    <row r="669" spans="2:23" x14ac:dyDescent="0.55000000000000004">
      <c r="B669" s="3"/>
      <c r="C669" s="4"/>
      <c r="D669" s="4"/>
      <c r="E669" s="5"/>
      <c r="F669" s="4"/>
      <c r="G669" s="4"/>
      <c r="H669" s="4"/>
      <c r="I669" s="4"/>
      <c r="J669" s="4"/>
      <c r="K669" s="6"/>
      <c r="L669" s="6"/>
      <c r="M669" s="6"/>
      <c r="N669" s="6"/>
      <c r="O669" s="4"/>
      <c r="P669" s="3"/>
      <c r="Q669" s="8"/>
      <c r="R669" s="8"/>
      <c r="S669" s="9"/>
      <c r="T669" s="8"/>
      <c r="U669" s="8"/>
      <c r="W669" s="8"/>
    </row>
    <row r="670" spans="2:23" x14ac:dyDescent="0.55000000000000004">
      <c r="B670" s="3"/>
      <c r="C670" s="4"/>
      <c r="D670" s="4"/>
      <c r="E670" s="5"/>
      <c r="F670" s="4"/>
      <c r="G670" s="4"/>
      <c r="H670" s="4"/>
      <c r="I670" s="4"/>
      <c r="J670" s="4"/>
      <c r="K670" s="6"/>
      <c r="L670" s="6"/>
      <c r="M670" s="6"/>
      <c r="N670" s="6"/>
      <c r="O670" s="4"/>
      <c r="P670" s="3"/>
      <c r="Q670" s="8"/>
      <c r="R670" s="8"/>
      <c r="S670" s="9"/>
      <c r="T670" s="8"/>
      <c r="U670" s="8"/>
      <c r="W670" s="8"/>
    </row>
    <row r="671" spans="2:23" x14ac:dyDescent="0.55000000000000004">
      <c r="B671" s="3"/>
      <c r="C671" s="4"/>
      <c r="D671" s="4"/>
      <c r="E671" s="5"/>
      <c r="F671" s="4"/>
      <c r="G671" s="4"/>
      <c r="H671" s="4"/>
      <c r="I671" s="4"/>
      <c r="J671" s="4"/>
      <c r="K671" s="6"/>
      <c r="L671" s="6"/>
      <c r="M671" s="6"/>
      <c r="N671" s="6"/>
      <c r="O671" s="4"/>
      <c r="P671" s="3"/>
      <c r="Q671" s="8"/>
      <c r="R671" s="8"/>
      <c r="S671" s="9"/>
      <c r="T671" s="8"/>
      <c r="U671" s="8"/>
      <c r="W671" s="8"/>
    </row>
    <row r="672" spans="2:23" x14ac:dyDescent="0.55000000000000004">
      <c r="B672" s="3"/>
      <c r="C672" s="4"/>
      <c r="D672" s="4"/>
      <c r="E672" s="5"/>
      <c r="F672" s="4"/>
      <c r="G672" s="4"/>
      <c r="H672" s="4"/>
      <c r="I672" s="4"/>
      <c r="J672" s="4"/>
      <c r="K672" s="6"/>
      <c r="L672" s="6"/>
      <c r="M672" s="6"/>
      <c r="N672" s="6"/>
      <c r="O672" s="4"/>
      <c r="P672" s="3"/>
      <c r="Q672" s="8"/>
      <c r="R672" s="8"/>
      <c r="S672" s="9"/>
      <c r="T672" s="8"/>
      <c r="U672" s="8"/>
      <c r="W672" s="8"/>
    </row>
    <row r="673" spans="2:23" x14ac:dyDescent="0.55000000000000004">
      <c r="B673" s="3"/>
      <c r="C673" s="4"/>
      <c r="D673" s="4"/>
      <c r="E673" s="5"/>
      <c r="F673" s="4"/>
      <c r="G673" s="4"/>
      <c r="H673" s="4"/>
      <c r="I673" s="4"/>
      <c r="J673" s="4"/>
      <c r="K673" s="6"/>
      <c r="L673" s="6"/>
      <c r="M673" s="6"/>
      <c r="N673" s="6"/>
      <c r="O673" s="4"/>
      <c r="P673" s="3"/>
      <c r="Q673" s="8"/>
      <c r="R673" s="8"/>
      <c r="S673" s="9"/>
      <c r="T673" s="8"/>
      <c r="U673" s="8"/>
      <c r="W673" s="8"/>
    </row>
    <row r="674" spans="2:23" x14ac:dyDescent="0.55000000000000004">
      <c r="B674" s="3"/>
      <c r="C674" s="4"/>
      <c r="D674" s="4"/>
      <c r="E674" s="5"/>
      <c r="F674" s="4"/>
      <c r="G674" s="4"/>
      <c r="H674" s="4"/>
      <c r="I674" s="4"/>
      <c r="J674" s="4"/>
      <c r="K674" s="6"/>
      <c r="L674" s="6"/>
      <c r="M674" s="6"/>
      <c r="N674" s="6"/>
      <c r="O674" s="4"/>
      <c r="P674" s="3"/>
      <c r="Q674" s="8"/>
      <c r="R674" s="8"/>
      <c r="S674" s="9"/>
      <c r="T674" s="8"/>
      <c r="U674" s="8"/>
      <c r="W674" s="8"/>
    </row>
    <row r="675" spans="2:23" x14ac:dyDescent="0.55000000000000004">
      <c r="B675" s="3"/>
      <c r="C675" s="4"/>
      <c r="D675" s="4"/>
      <c r="E675" s="5"/>
      <c r="F675" s="4"/>
      <c r="G675" s="4"/>
      <c r="H675" s="4"/>
      <c r="I675" s="4"/>
      <c r="J675" s="4"/>
      <c r="K675" s="6"/>
      <c r="L675" s="6"/>
      <c r="M675" s="6"/>
      <c r="N675" s="6"/>
      <c r="O675" s="4"/>
      <c r="P675" s="3"/>
      <c r="Q675" s="8"/>
      <c r="R675" s="8"/>
      <c r="S675" s="9"/>
      <c r="T675" s="8"/>
      <c r="U675" s="8"/>
      <c r="W675" s="8"/>
    </row>
    <row r="676" spans="2:23" x14ac:dyDescent="0.55000000000000004">
      <c r="B676" s="3"/>
      <c r="C676" s="4"/>
      <c r="D676" s="4"/>
      <c r="E676" s="5"/>
      <c r="F676" s="4"/>
      <c r="G676" s="4"/>
      <c r="H676" s="4"/>
      <c r="I676" s="4"/>
      <c r="J676" s="4"/>
      <c r="K676" s="6"/>
      <c r="L676" s="6"/>
      <c r="M676" s="6"/>
      <c r="N676" s="6"/>
      <c r="O676" s="4"/>
      <c r="P676" s="3"/>
      <c r="Q676" s="8"/>
      <c r="R676" s="8"/>
      <c r="S676" s="9"/>
      <c r="T676" s="8"/>
      <c r="U676" s="8"/>
      <c r="W676" s="8"/>
    </row>
    <row r="677" spans="2:23" x14ac:dyDescent="0.55000000000000004">
      <c r="B677" s="3"/>
      <c r="C677" s="4"/>
      <c r="D677" s="4"/>
      <c r="E677" s="5"/>
      <c r="F677" s="4"/>
      <c r="G677" s="4"/>
      <c r="H677" s="4"/>
      <c r="I677" s="4"/>
      <c r="J677" s="4"/>
      <c r="K677" s="6"/>
      <c r="L677" s="6"/>
      <c r="M677" s="6"/>
      <c r="N677" s="6"/>
      <c r="O677" s="4"/>
      <c r="P677" s="3"/>
      <c r="Q677" s="8"/>
      <c r="R677" s="8"/>
      <c r="S677" s="9"/>
      <c r="T677" s="8"/>
      <c r="U677" s="8"/>
      <c r="W677" s="8"/>
    </row>
    <row r="678" spans="2:23" x14ac:dyDescent="0.55000000000000004">
      <c r="B678" s="3"/>
      <c r="C678" s="4"/>
      <c r="D678" s="4"/>
      <c r="E678" s="5"/>
      <c r="F678" s="4"/>
      <c r="G678" s="4"/>
      <c r="H678" s="4"/>
      <c r="I678" s="4"/>
      <c r="J678" s="4"/>
      <c r="K678" s="6"/>
      <c r="L678" s="6"/>
      <c r="M678" s="6"/>
      <c r="N678" s="6"/>
      <c r="O678" s="4"/>
      <c r="P678" s="3"/>
      <c r="Q678" s="8"/>
      <c r="R678" s="8"/>
      <c r="S678" s="9"/>
      <c r="T678" s="8"/>
      <c r="U678" s="8"/>
      <c r="W678" s="8"/>
    </row>
    <row r="679" spans="2:23" x14ac:dyDescent="0.55000000000000004">
      <c r="B679" s="3"/>
      <c r="C679" s="4"/>
      <c r="D679" s="4"/>
      <c r="E679" s="5"/>
      <c r="F679" s="4"/>
      <c r="G679" s="4"/>
      <c r="H679" s="4"/>
      <c r="I679" s="4"/>
      <c r="J679" s="4"/>
      <c r="K679" s="6"/>
      <c r="L679" s="6"/>
      <c r="M679" s="6"/>
      <c r="N679" s="6"/>
      <c r="O679" s="4"/>
      <c r="P679" s="3"/>
      <c r="Q679" s="8"/>
      <c r="R679" s="8"/>
      <c r="S679" s="9"/>
      <c r="T679" s="8"/>
      <c r="U679" s="8"/>
      <c r="W679" s="8"/>
    </row>
    <row r="680" spans="2:23" x14ac:dyDescent="0.55000000000000004">
      <c r="B680" s="3"/>
      <c r="C680" s="4"/>
      <c r="D680" s="4"/>
      <c r="E680" s="5"/>
      <c r="F680" s="4"/>
      <c r="G680" s="4"/>
      <c r="H680" s="4"/>
      <c r="I680" s="4"/>
      <c r="J680" s="4"/>
      <c r="K680" s="6"/>
      <c r="L680" s="6"/>
      <c r="M680" s="6"/>
      <c r="N680" s="6"/>
      <c r="O680" s="4"/>
      <c r="P680" s="3"/>
      <c r="Q680" s="8"/>
      <c r="R680" s="8"/>
      <c r="S680" s="9"/>
      <c r="T680" s="8"/>
      <c r="U680" s="8"/>
      <c r="W680" s="8"/>
    </row>
    <row r="681" spans="2:23" x14ac:dyDescent="0.55000000000000004">
      <c r="B681" s="3"/>
      <c r="C681" s="4"/>
      <c r="D681" s="4"/>
      <c r="E681" s="5"/>
      <c r="F681" s="4"/>
      <c r="G681" s="4"/>
      <c r="H681" s="4"/>
      <c r="I681" s="4"/>
      <c r="J681" s="4"/>
      <c r="K681" s="6"/>
      <c r="L681" s="6"/>
      <c r="M681" s="6"/>
      <c r="N681" s="6"/>
      <c r="O681" s="4"/>
      <c r="P681" s="3"/>
      <c r="Q681" s="8"/>
      <c r="R681" s="8"/>
      <c r="S681" s="9"/>
      <c r="T681" s="8"/>
      <c r="U681" s="8"/>
      <c r="W681" s="8"/>
    </row>
    <row r="682" spans="2:23" x14ac:dyDescent="0.55000000000000004">
      <c r="B682" s="3"/>
      <c r="C682" s="4"/>
      <c r="D682" s="4"/>
      <c r="E682" s="5"/>
      <c r="F682" s="4"/>
      <c r="G682" s="4"/>
      <c r="H682" s="4"/>
      <c r="I682" s="4"/>
      <c r="J682" s="4"/>
      <c r="K682" s="6"/>
      <c r="L682" s="6"/>
      <c r="M682" s="6"/>
      <c r="N682" s="6"/>
      <c r="O682" s="4"/>
      <c r="P682" s="3"/>
      <c r="Q682" s="8"/>
      <c r="R682" s="8"/>
      <c r="S682" s="9"/>
      <c r="T682" s="8"/>
      <c r="U682" s="8"/>
      <c r="W682" s="8"/>
    </row>
    <row r="683" spans="2:23" x14ac:dyDescent="0.55000000000000004">
      <c r="B683" s="3"/>
      <c r="C683" s="4"/>
      <c r="D683" s="4"/>
      <c r="E683" s="5"/>
      <c r="F683" s="4"/>
      <c r="G683" s="4"/>
      <c r="H683" s="4"/>
      <c r="I683" s="4"/>
      <c r="J683" s="4"/>
      <c r="K683" s="6"/>
      <c r="L683" s="6"/>
      <c r="M683" s="6"/>
      <c r="N683" s="6"/>
      <c r="O683" s="4"/>
      <c r="P683" s="3"/>
      <c r="Q683" s="8"/>
      <c r="R683" s="8"/>
      <c r="S683" s="9"/>
      <c r="T683" s="8"/>
      <c r="U683" s="8"/>
      <c r="W683" s="8"/>
    </row>
    <row r="684" spans="2:23" x14ac:dyDescent="0.55000000000000004">
      <c r="B684" s="3"/>
      <c r="C684" s="4"/>
      <c r="D684" s="4"/>
      <c r="E684" s="5"/>
      <c r="F684" s="4"/>
      <c r="G684" s="4"/>
      <c r="H684" s="4"/>
      <c r="I684" s="4"/>
      <c r="J684" s="4"/>
      <c r="K684" s="6"/>
      <c r="L684" s="6"/>
      <c r="M684" s="6"/>
      <c r="N684" s="6"/>
      <c r="O684" s="4"/>
      <c r="P684" s="3"/>
      <c r="Q684" s="8"/>
      <c r="R684" s="8"/>
      <c r="S684" s="9"/>
      <c r="T684" s="8"/>
      <c r="U684" s="8"/>
      <c r="W684" s="8"/>
    </row>
    <row r="685" spans="2:23" x14ac:dyDescent="0.55000000000000004">
      <c r="B685" s="3"/>
      <c r="C685" s="4"/>
      <c r="D685" s="4"/>
      <c r="E685" s="5"/>
      <c r="F685" s="4"/>
      <c r="G685" s="4"/>
      <c r="H685" s="4"/>
      <c r="I685" s="4"/>
      <c r="J685" s="4"/>
      <c r="K685" s="6"/>
      <c r="L685" s="6"/>
      <c r="M685" s="6"/>
      <c r="N685" s="6"/>
      <c r="O685" s="4"/>
      <c r="P685" s="3"/>
      <c r="Q685" s="8"/>
      <c r="R685" s="8"/>
      <c r="S685" s="9"/>
      <c r="T685" s="8"/>
      <c r="U685" s="8"/>
      <c r="W685" s="8"/>
    </row>
    <row r="686" spans="2:23" x14ac:dyDescent="0.55000000000000004">
      <c r="B686" s="3"/>
      <c r="C686" s="4"/>
      <c r="D686" s="4"/>
      <c r="E686" s="5"/>
      <c r="F686" s="4"/>
      <c r="G686" s="4"/>
      <c r="H686" s="4"/>
      <c r="I686" s="4"/>
      <c r="J686" s="4"/>
      <c r="K686" s="6"/>
      <c r="L686" s="6"/>
      <c r="M686" s="6"/>
      <c r="N686" s="6"/>
      <c r="O686" s="4"/>
      <c r="P686" s="3"/>
      <c r="Q686" s="8"/>
      <c r="R686" s="8"/>
      <c r="S686" s="9"/>
      <c r="T686" s="8"/>
      <c r="U686" s="8"/>
      <c r="W686" s="8"/>
    </row>
    <row r="687" spans="2:23" x14ac:dyDescent="0.55000000000000004">
      <c r="B687" s="3"/>
      <c r="C687" s="4"/>
      <c r="D687" s="4"/>
      <c r="E687" s="5"/>
      <c r="F687" s="4"/>
      <c r="G687" s="4"/>
      <c r="H687" s="4"/>
      <c r="I687" s="4"/>
      <c r="J687" s="4"/>
      <c r="K687" s="6"/>
      <c r="L687" s="6"/>
      <c r="M687" s="6"/>
      <c r="N687" s="6"/>
      <c r="O687" s="4"/>
      <c r="P687" s="3"/>
      <c r="Q687" s="8"/>
      <c r="R687" s="8"/>
      <c r="S687" s="9"/>
      <c r="T687" s="8"/>
      <c r="U687" s="8"/>
      <c r="W687" s="8"/>
    </row>
    <row r="688" spans="2:23" x14ac:dyDescent="0.55000000000000004">
      <c r="B688" s="3"/>
      <c r="C688" s="4"/>
      <c r="D688" s="4"/>
      <c r="E688" s="5"/>
      <c r="F688" s="4"/>
      <c r="G688" s="4"/>
      <c r="H688" s="4"/>
      <c r="I688" s="4"/>
      <c r="J688" s="4"/>
      <c r="K688" s="6"/>
      <c r="L688" s="6"/>
      <c r="M688" s="6"/>
      <c r="N688" s="6"/>
      <c r="O688" s="4"/>
      <c r="P688" s="3"/>
      <c r="Q688" s="8"/>
      <c r="R688" s="8"/>
      <c r="S688" s="9"/>
      <c r="T688" s="8"/>
      <c r="U688" s="8"/>
      <c r="W688" s="8"/>
    </row>
    <row r="689" spans="2:23" x14ac:dyDescent="0.55000000000000004">
      <c r="B689" s="3"/>
      <c r="C689" s="4"/>
      <c r="D689" s="4"/>
      <c r="E689" s="5"/>
      <c r="F689" s="4"/>
      <c r="G689" s="4"/>
      <c r="H689" s="4"/>
      <c r="I689" s="4"/>
      <c r="J689" s="4"/>
      <c r="K689" s="6"/>
      <c r="L689" s="6"/>
      <c r="M689" s="6"/>
      <c r="N689" s="6"/>
      <c r="O689" s="4"/>
      <c r="P689" s="3"/>
      <c r="Q689" s="8"/>
      <c r="R689" s="8"/>
      <c r="S689" s="9"/>
      <c r="T689" s="8"/>
      <c r="U689" s="8"/>
      <c r="W689" s="8"/>
    </row>
    <row r="690" spans="2:23" x14ac:dyDescent="0.55000000000000004">
      <c r="B690" s="3"/>
      <c r="C690" s="4"/>
      <c r="D690" s="4"/>
      <c r="E690" s="5"/>
      <c r="F690" s="4"/>
      <c r="G690" s="4"/>
      <c r="H690" s="4"/>
      <c r="I690" s="4"/>
      <c r="J690" s="4"/>
      <c r="K690" s="6"/>
      <c r="L690" s="6"/>
      <c r="M690" s="6"/>
      <c r="N690" s="6"/>
      <c r="O690" s="4"/>
      <c r="P690" s="3"/>
      <c r="Q690" s="8"/>
      <c r="R690" s="8"/>
      <c r="S690" s="9"/>
      <c r="T690" s="8"/>
      <c r="U690" s="8"/>
      <c r="W690" s="8"/>
    </row>
    <row r="691" spans="2:23" x14ac:dyDescent="0.55000000000000004">
      <c r="B691" s="3"/>
      <c r="C691" s="4"/>
      <c r="D691" s="4"/>
      <c r="E691" s="5"/>
      <c r="F691" s="4"/>
      <c r="G691" s="4"/>
      <c r="H691" s="4"/>
      <c r="I691" s="4"/>
      <c r="J691" s="4"/>
      <c r="K691" s="6"/>
      <c r="L691" s="6"/>
      <c r="M691" s="6"/>
      <c r="N691" s="6"/>
      <c r="O691" s="4"/>
      <c r="P691" s="3"/>
      <c r="Q691" s="8"/>
      <c r="R691" s="8"/>
      <c r="S691" s="9"/>
      <c r="T691" s="8"/>
      <c r="U691" s="8"/>
      <c r="W691" s="8"/>
    </row>
    <row r="692" spans="2:23" x14ac:dyDescent="0.55000000000000004">
      <c r="B692" s="3"/>
      <c r="C692" s="4"/>
      <c r="D692" s="4"/>
      <c r="E692" s="5"/>
      <c r="F692" s="4"/>
      <c r="G692" s="4"/>
      <c r="H692" s="4"/>
      <c r="I692" s="4"/>
      <c r="J692" s="4"/>
      <c r="K692" s="6"/>
      <c r="L692" s="6"/>
      <c r="M692" s="6"/>
      <c r="N692" s="6"/>
      <c r="O692" s="4"/>
      <c r="P692" s="3"/>
      <c r="Q692" s="8"/>
      <c r="R692" s="8"/>
      <c r="S692" s="9"/>
      <c r="T692" s="8"/>
      <c r="U692" s="8"/>
      <c r="W692" s="8"/>
    </row>
    <row r="693" spans="2:23" x14ac:dyDescent="0.55000000000000004">
      <c r="B693" s="3"/>
      <c r="C693" s="4"/>
      <c r="D693" s="4"/>
      <c r="E693" s="5"/>
      <c r="F693" s="4"/>
      <c r="G693" s="4"/>
      <c r="H693" s="4"/>
      <c r="I693" s="4"/>
      <c r="J693" s="4"/>
      <c r="K693" s="6"/>
      <c r="L693" s="6"/>
      <c r="M693" s="6"/>
      <c r="N693" s="6"/>
      <c r="O693" s="4"/>
      <c r="P693" s="3"/>
      <c r="Q693" s="8"/>
      <c r="R693" s="8"/>
      <c r="S693" s="9"/>
      <c r="T693" s="8"/>
      <c r="U693" s="8"/>
      <c r="W693" s="8"/>
    </row>
    <row r="694" spans="2:23" x14ac:dyDescent="0.55000000000000004">
      <c r="B694" s="3"/>
      <c r="C694" s="4"/>
      <c r="D694" s="4"/>
      <c r="E694" s="5"/>
      <c r="F694" s="4"/>
      <c r="G694" s="4"/>
      <c r="H694" s="4"/>
      <c r="I694" s="4"/>
      <c r="J694" s="4"/>
      <c r="K694" s="6"/>
      <c r="L694" s="6"/>
      <c r="M694" s="6"/>
      <c r="N694" s="6"/>
      <c r="O694" s="4"/>
      <c r="P694" s="3"/>
      <c r="Q694" s="8"/>
      <c r="R694" s="8"/>
      <c r="S694" s="9"/>
      <c r="T694" s="8"/>
      <c r="U694" s="8"/>
      <c r="W694" s="8"/>
    </row>
    <row r="695" spans="2:23" x14ac:dyDescent="0.55000000000000004">
      <c r="B695" s="3"/>
      <c r="C695" s="4"/>
      <c r="D695" s="4"/>
      <c r="E695" s="5"/>
      <c r="F695" s="4"/>
      <c r="G695" s="4"/>
      <c r="H695" s="4"/>
      <c r="I695" s="4"/>
      <c r="J695" s="4"/>
      <c r="K695" s="6"/>
      <c r="L695" s="6"/>
      <c r="M695" s="6"/>
      <c r="N695" s="6"/>
      <c r="O695" s="4"/>
      <c r="P695" s="3"/>
      <c r="Q695" s="8"/>
      <c r="R695" s="8"/>
      <c r="S695" s="9"/>
      <c r="T695" s="8"/>
      <c r="U695" s="8"/>
      <c r="W695" s="8"/>
    </row>
    <row r="696" spans="2:23" x14ac:dyDescent="0.55000000000000004">
      <c r="B696" s="3"/>
      <c r="C696" s="4"/>
      <c r="D696" s="4"/>
      <c r="E696" s="5"/>
      <c r="F696" s="4"/>
      <c r="G696" s="4"/>
      <c r="H696" s="4"/>
      <c r="I696" s="4"/>
      <c r="J696" s="4"/>
      <c r="K696" s="6"/>
      <c r="L696" s="6"/>
      <c r="M696" s="6"/>
      <c r="N696" s="6"/>
      <c r="O696" s="4"/>
      <c r="P696" s="3"/>
      <c r="Q696" s="8"/>
      <c r="R696" s="8"/>
      <c r="S696" s="9"/>
      <c r="T696" s="8"/>
      <c r="U696" s="8"/>
      <c r="W696" s="8"/>
    </row>
    <row r="697" spans="2:23" x14ac:dyDescent="0.55000000000000004">
      <c r="B697" s="3"/>
      <c r="C697" s="4"/>
      <c r="D697" s="4"/>
      <c r="E697" s="5"/>
      <c r="F697" s="4"/>
      <c r="G697" s="4"/>
      <c r="H697" s="4"/>
      <c r="I697" s="4"/>
      <c r="J697" s="4"/>
      <c r="K697" s="6"/>
      <c r="L697" s="6"/>
      <c r="M697" s="6"/>
      <c r="N697" s="6"/>
      <c r="O697" s="4"/>
      <c r="P697" s="3"/>
      <c r="Q697" s="8"/>
      <c r="R697" s="8"/>
      <c r="S697" s="9"/>
      <c r="T697" s="8"/>
      <c r="U697" s="8"/>
      <c r="W697" s="8"/>
    </row>
    <row r="698" spans="2:23" x14ac:dyDescent="0.55000000000000004">
      <c r="B698" s="3"/>
      <c r="C698" s="4"/>
      <c r="D698" s="4"/>
      <c r="E698" s="5"/>
      <c r="F698" s="4"/>
      <c r="G698" s="4"/>
      <c r="H698" s="4"/>
      <c r="I698" s="4"/>
      <c r="J698" s="4"/>
      <c r="K698" s="6"/>
      <c r="L698" s="6"/>
      <c r="M698" s="6"/>
      <c r="N698" s="6"/>
      <c r="O698" s="4"/>
      <c r="P698" s="3"/>
      <c r="Q698" s="8"/>
      <c r="R698" s="8"/>
      <c r="S698" s="9"/>
      <c r="T698" s="8"/>
      <c r="U698" s="8"/>
      <c r="W698" s="8"/>
    </row>
    <row r="699" spans="2:23" x14ac:dyDescent="0.55000000000000004">
      <c r="B699" s="3"/>
      <c r="C699" s="4"/>
      <c r="D699" s="4"/>
      <c r="E699" s="5"/>
      <c r="F699" s="4"/>
      <c r="G699" s="4"/>
      <c r="H699" s="4"/>
      <c r="I699" s="4"/>
      <c r="J699" s="4"/>
      <c r="K699" s="6"/>
      <c r="L699" s="6"/>
      <c r="M699" s="6"/>
      <c r="N699" s="6"/>
      <c r="O699" s="4"/>
      <c r="P699" s="3"/>
      <c r="Q699" s="8"/>
      <c r="R699" s="8"/>
      <c r="S699" s="9"/>
      <c r="T699" s="8"/>
      <c r="U699" s="8"/>
      <c r="W699" s="8"/>
    </row>
    <row r="700" spans="2:23" x14ac:dyDescent="0.55000000000000004">
      <c r="B700" s="3"/>
      <c r="C700" s="4"/>
      <c r="D700" s="4"/>
      <c r="E700" s="5"/>
      <c r="F700" s="4"/>
      <c r="G700" s="4"/>
      <c r="H700" s="4"/>
      <c r="I700" s="4"/>
      <c r="J700" s="4"/>
      <c r="K700" s="6"/>
      <c r="L700" s="6"/>
      <c r="M700" s="6"/>
      <c r="N700" s="6"/>
      <c r="O700" s="4"/>
      <c r="P700" s="3"/>
      <c r="Q700" s="8"/>
      <c r="R700" s="8"/>
      <c r="S700" s="9"/>
      <c r="T700" s="8"/>
      <c r="U700" s="8"/>
      <c r="W700" s="8"/>
    </row>
    <row r="701" spans="2:23" x14ac:dyDescent="0.55000000000000004">
      <c r="B701" s="3"/>
      <c r="C701" s="4"/>
      <c r="D701" s="4"/>
      <c r="E701" s="5"/>
      <c r="F701" s="4"/>
      <c r="G701" s="4"/>
      <c r="H701" s="4"/>
      <c r="I701" s="4"/>
      <c r="J701" s="4"/>
      <c r="K701" s="6"/>
      <c r="L701" s="6"/>
      <c r="M701" s="6"/>
      <c r="N701" s="6"/>
      <c r="O701" s="4"/>
      <c r="P701" s="3"/>
      <c r="Q701" s="8"/>
      <c r="R701" s="8"/>
      <c r="S701" s="9"/>
      <c r="T701" s="8"/>
      <c r="U701" s="8"/>
      <c r="W701" s="8"/>
    </row>
    <row r="702" spans="2:23" x14ac:dyDescent="0.55000000000000004">
      <c r="B702" s="3"/>
      <c r="C702" s="4"/>
      <c r="D702" s="4"/>
      <c r="E702" s="5"/>
      <c r="F702" s="4"/>
      <c r="G702" s="4"/>
      <c r="H702" s="4"/>
      <c r="I702" s="4"/>
      <c r="J702" s="4"/>
      <c r="K702" s="6"/>
      <c r="L702" s="6"/>
      <c r="M702" s="6"/>
      <c r="N702" s="6"/>
      <c r="O702" s="4"/>
      <c r="P702" s="3"/>
      <c r="Q702" s="8"/>
      <c r="R702" s="8"/>
      <c r="S702" s="9"/>
      <c r="T702" s="8"/>
      <c r="U702" s="8"/>
      <c r="W702" s="8"/>
    </row>
    <row r="703" spans="2:23" x14ac:dyDescent="0.55000000000000004">
      <c r="B703" s="3"/>
      <c r="C703" s="4"/>
      <c r="D703" s="4"/>
      <c r="E703" s="5"/>
      <c r="F703" s="4"/>
      <c r="G703" s="4"/>
      <c r="H703" s="4"/>
      <c r="I703" s="4"/>
      <c r="J703" s="4"/>
      <c r="K703" s="6"/>
      <c r="L703" s="6"/>
      <c r="M703" s="6"/>
      <c r="N703" s="6"/>
      <c r="O703" s="4"/>
      <c r="P703" s="3"/>
      <c r="Q703" s="8"/>
      <c r="R703" s="8"/>
      <c r="S703" s="9"/>
      <c r="T703" s="8"/>
      <c r="U703" s="8"/>
      <c r="W703" s="8"/>
    </row>
    <row r="704" spans="2:23" x14ac:dyDescent="0.55000000000000004">
      <c r="B704" s="3"/>
      <c r="C704" s="4"/>
      <c r="D704" s="4"/>
      <c r="E704" s="5"/>
      <c r="F704" s="4"/>
      <c r="G704" s="4"/>
      <c r="H704" s="4"/>
      <c r="I704" s="4"/>
      <c r="J704" s="4"/>
      <c r="K704" s="6"/>
      <c r="L704" s="6"/>
      <c r="M704" s="6"/>
      <c r="N704" s="6"/>
      <c r="O704" s="4"/>
      <c r="P704" s="3"/>
      <c r="Q704" s="8"/>
      <c r="R704" s="8"/>
      <c r="S704" s="9"/>
      <c r="T704" s="8"/>
      <c r="U704" s="8"/>
      <c r="W704" s="8"/>
    </row>
    <row r="705" spans="2:23" x14ac:dyDescent="0.55000000000000004">
      <c r="B705" s="3"/>
      <c r="C705" s="4"/>
      <c r="D705" s="4"/>
      <c r="E705" s="5"/>
      <c r="F705" s="4"/>
      <c r="G705" s="4"/>
      <c r="H705" s="4"/>
      <c r="I705" s="4"/>
      <c r="J705" s="4"/>
      <c r="K705" s="6"/>
      <c r="L705" s="6"/>
      <c r="M705" s="6"/>
      <c r="N705" s="6"/>
      <c r="O705" s="4"/>
      <c r="P705" s="3"/>
      <c r="Q705" s="8"/>
      <c r="R705" s="8"/>
      <c r="S705" s="9"/>
      <c r="T705" s="8"/>
      <c r="U705" s="8"/>
      <c r="W705" s="8"/>
    </row>
    <row r="706" spans="2:23" x14ac:dyDescent="0.55000000000000004">
      <c r="B706" s="3"/>
      <c r="C706" s="4"/>
      <c r="D706" s="4"/>
      <c r="E706" s="5"/>
      <c r="F706" s="4"/>
      <c r="G706" s="4"/>
      <c r="H706" s="4"/>
      <c r="I706" s="4"/>
      <c r="J706" s="4"/>
      <c r="K706" s="6"/>
      <c r="L706" s="6"/>
      <c r="M706" s="6"/>
      <c r="N706" s="6"/>
      <c r="O706" s="4"/>
      <c r="P706" s="3"/>
      <c r="Q706" s="8"/>
      <c r="R706" s="8"/>
      <c r="S706" s="9"/>
      <c r="T706" s="8"/>
      <c r="U706" s="8"/>
      <c r="W706" s="8"/>
    </row>
    <row r="707" spans="2:23" x14ac:dyDescent="0.55000000000000004">
      <c r="B707" s="3"/>
      <c r="C707" s="4"/>
      <c r="D707" s="4"/>
      <c r="E707" s="5"/>
      <c r="F707" s="4"/>
      <c r="G707" s="4"/>
      <c r="H707" s="4"/>
      <c r="I707" s="4"/>
      <c r="J707" s="4"/>
      <c r="K707" s="6"/>
      <c r="L707" s="6"/>
      <c r="M707" s="6"/>
      <c r="N707" s="6"/>
      <c r="O707" s="4"/>
      <c r="P707" s="3"/>
      <c r="Q707" s="8"/>
      <c r="R707" s="8"/>
      <c r="S707" s="9"/>
      <c r="T707" s="8"/>
      <c r="U707" s="8"/>
      <c r="W707" s="8"/>
    </row>
    <row r="708" spans="2:23" x14ac:dyDescent="0.55000000000000004">
      <c r="B708" s="3"/>
      <c r="C708" s="4"/>
      <c r="D708" s="4"/>
      <c r="E708" s="5"/>
      <c r="F708" s="4"/>
      <c r="G708" s="4"/>
      <c r="H708" s="4"/>
      <c r="I708" s="4"/>
      <c r="J708" s="4"/>
      <c r="K708" s="6"/>
      <c r="L708" s="6"/>
      <c r="M708" s="6"/>
      <c r="N708" s="6"/>
      <c r="O708" s="4"/>
      <c r="P708" s="3"/>
      <c r="Q708" s="8"/>
      <c r="R708" s="8"/>
      <c r="S708" s="9"/>
      <c r="T708" s="8"/>
      <c r="U708" s="8"/>
      <c r="W708" s="8"/>
    </row>
    <row r="709" spans="2:23" x14ac:dyDescent="0.55000000000000004">
      <c r="B709" s="3"/>
      <c r="C709" s="4"/>
      <c r="D709" s="4"/>
      <c r="E709" s="5"/>
      <c r="F709" s="4"/>
      <c r="G709" s="4"/>
      <c r="H709" s="4"/>
      <c r="I709" s="4"/>
      <c r="J709" s="4"/>
      <c r="K709" s="6"/>
      <c r="L709" s="6"/>
      <c r="M709" s="6"/>
      <c r="N709" s="6"/>
      <c r="O709" s="4"/>
      <c r="P709" s="3"/>
      <c r="Q709" s="8"/>
      <c r="R709" s="8"/>
      <c r="S709" s="9"/>
      <c r="T709" s="8"/>
      <c r="U709" s="8"/>
      <c r="W709" s="8"/>
    </row>
    <row r="710" spans="2:23" x14ac:dyDescent="0.55000000000000004">
      <c r="B710" s="3"/>
      <c r="C710" s="4"/>
      <c r="D710" s="4"/>
      <c r="E710" s="5"/>
      <c r="F710" s="4"/>
      <c r="G710" s="4"/>
      <c r="H710" s="4"/>
      <c r="I710" s="4"/>
      <c r="J710" s="4"/>
      <c r="K710" s="6"/>
      <c r="L710" s="6"/>
      <c r="M710" s="6"/>
      <c r="N710" s="6"/>
      <c r="O710" s="4"/>
      <c r="P710" s="3"/>
      <c r="Q710" s="8"/>
      <c r="R710" s="8"/>
      <c r="S710" s="9"/>
      <c r="T710" s="8"/>
      <c r="U710" s="8"/>
      <c r="W710" s="8"/>
    </row>
    <row r="711" spans="2:23" x14ac:dyDescent="0.55000000000000004">
      <c r="B711" s="3"/>
      <c r="C711" s="4"/>
      <c r="D711" s="4"/>
      <c r="E711" s="5"/>
      <c r="F711" s="4"/>
      <c r="G711" s="4"/>
      <c r="H711" s="4"/>
      <c r="I711" s="4"/>
      <c r="J711" s="4"/>
      <c r="K711" s="6"/>
      <c r="L711" s="6"/>
      <c r="M711" s="6"/>
      <c r="N711" s="6"/>
      <c r="O711" s="4"/>
      <c r="P711" s="3"/>
      <c r="Q711" s="8"/>
      <c r="R711" s="8"/>
      <c r="S711" s="9"/>
      <c r="T711" s="8"/>
      <c r="U711" s="8"/>
      <c r="W711" s="8"/>
    </row>
    <row r="712" spans="2:23" x14ac:dyDescent="0.55000000000000004">
      <c r="B712" s="3"/>
      <c r="C712" s="4"/>
      <c r="D712" s="4"/>
      <c r="E712" s="5"/>
      <c r="F712" s="4"/>
      <c r="G712" s="4"/>
      <c r="H712" s="4"/>
      <c r="I712" s="4"/>
      <c r="J712" s="4"/>
      <c r="K712" s="6"/>
      <c r="L712" s="6"/>
      <c r="M712" s="6"/>
      <c r="N712" s="6"/>
      <c r="O712" s="4"/>
      <c r="P712" s="3"/>
      <c r="Q712" s="8"/>
      <c r="R712" s="8"/>
      <c r="S712" s="9"/>
      <c r="T712" s="8"/>
      <c r="U712" s="8"/>
      <c r="W712" s="8"/>
    </row>
    <row r="713" spans="2:23" x14ac:dyDescent="0.55000000000000004">
      <c r="B713" s="3"/>
      <c r="C713" s="4"/>
      <c r="D713" s="4"/>
      <c r="E713" s="5"/>
      <c r="F713" s="4"/>
      <c r="G713" s="4"/>
      <c r="H713" s="4"/>
      <c r="I713" s="4"/>
      <c r="J713" s="4"/>
      <c r="K713" s="6"/>
      <c r="L713" s="6"/>
      <c r="M713" s="6"/>
      <c r="N713" s="6"/>
      <c r="O713" s="4"/>
      <c r="P713" s="3"/>
      <c r="Q713" s="8"/>
      <c r="R713" s="8"/>
      <c r="S713" s="9"/>
      <c r="T713" s="8"/>
      <c r="U713" s="8"/>
      <c r="W713" s="8"/>
    </row>
    <row r="714" spans="2:23" x14ac:dyDescent="0.55000000000000004">
      <c r="B714" s="3"/>
      <c r="C714" s="4"/>
      <c r="D714" s="4"/>
      <c r="E714" s="5"/>
      <c r="F714" s="4"/>
      <c r="G714" s="4"/>
      <c r="H714" s="4"/>
      <c r="I714" s="4"/>
      <c r="J714" s="4"/>
      <c r="K714" s="6"/>
      <c r="L714" s="6"/>
      <c r="M714" s="6"/>
      <c r="N714" s="6"/>
      <c r="O714" s="4"/>
      <c r="P714" s="3"/>
      <c r="Q714" s="8"/>
      <c r="R714" s="8"/>
      <c r="S714" s="9"/>
      <c r="T714" s="8"/>
      <c r="U714" s="8"/>
      <c r="W714" s="8"/>
    </row>
    <row r="715" spans="2:23" x14ac:dyDescent="0.55000000000000004">
      <c r="B715" s="3"/>
      <c r="C715" s="4"/>
      <c r="D715" s="4"/>
      <c r="E715" s="5"/>
      <c r="F715" s="4"/>
      <c r="G715" s="4"/>
      <c r="H715" s="4"/>
      <c r="I715" s="4"/>
      <c r="J715" s="4"/>
      <c r="K715" s="6"/>
      <c r="L715" s="6"/>
      <c r="M715" s="6"/>
      <c r="N715" s="6"/>
      <c r="O715" s="4"/>
      <c r="P715" s="3"/>
      <c r="Q715" s="8"/>
      <c r="R715" s="8"/>
      <c r="S715" s="9"/>
      <c r="T715" s="8"/>
      <c r="U715" s="8"/>
      <c r="W715" s="8"/>
    </row>
    <row r="716" spans="2:23" x14ac:dyDescent="0.55000000000000004">
      <c r="B716" s="3"/>
      <c r="C716" s="4"/>
      <c r="D716" s="4"/>
      <c r="E716" s="5"/>
      <c r="F716" s="4"/>
      <c r="G716" s="4"/>
      <c r="H716" s="4"/>
      <c r="I716" s="4"/>
      <c r="J716" s="4"/>
      <c r="K716" s="6"/>
      <c r="L716" s="6"/>
      <c r="M716" s="6"/>
      <c r="N716" s="6"/>
      <c r="O716" s="4"/>
      <c r="P716" s="3"/>
      <c r="Q716" s="8"/>
      <c r="R716" s="8"/>
      <c r="S716" s="9"/>
      <c r="T716" s="8"/>
      <c r="U716" s="8"/>
      <c r="W716" s="8"/>
    </row>
    <row r="717" spans="2:23" x14ac:dyDescent="0.55000000000000004">
      <c r="B717" s="3"/>
      <c r="C717" s="4"/>
      <c r="D717" s="4"/>
      <c r="E717" s="5"/>
      <c r="F717" s="4"/>
      <c r="G717" s="4"/>
      <c r="H717" s="4"/>
      <c r="I717" s="4"/>
      <c r="J717" s="4"/>
      <c r="K717" s="6"/>
      <c r="L717" s="6"/>
      <c r="M717" s="6"/>
      <c r="N717" s="6"/>
      <c r="O717" s="4"/>
      <c r="P717" s="3"/>
      <c r="Q717" s="8"/>
      <c r="R717" s="8"/>
      <c r="S717" s="9"/>
      <c r="T717" s="8"/>
      <c r="U717" s="8"/>
      <c r="W717" s="8"/>
    </row>
    <row r="718" spans="2:23" x14ac:dyDescent="0.55000000000000004">
      <c r="B718" s="3"/>
      <c r="C718" s="4"/>
      <c r="D718" s="4"/>
      <c r="E718" s="5"/>
      <c r="F718" s="4"/>
      <c r="G718" s="4"/>
      <c r="H718" s="4"/>
      <c r="I718" s="4"/>
      <c r="J718" s="4"/>
      <c r="K718" s="6"/>
      <c r="L718" s="6"/>
      <c r="M718" s="6"/>
      <c r="N718" s="6"/>
      <c r="O718" s="4"/>
      <c r="P718" s="3"/>
      <c r="Q718" s="8"/>
      <c r="R718" s="8"/>
      <c r="S718" s="9"/>
      <c r="T718" s="8"/>
      <c r="U718" s="8"/>
      <c r="W718" s="8"/>
    </row>
    <row r="719" spans="2:23" x14ac:dyDescent="0.55000000000000004">
      <c r="B719" s="3"/>
      <c r="C719" s="4"/>
      <c r="D719" s="4"/>
      <c r="E719" s="5"/>
      <c r="F719" s="4"/>
      <c r="G719" s="4"/>
      <c r="H719" s="4"/>
      <c r="I719" s="4"/>
      <c r="J719" s="4"/>
      <c r="K719" s="6"/>
      <c r="L719" s="6"/>
      <c r="M719" s="6"/>
      <c r="N719" s="6"/>
      <c r="O719" s="4"/>
      <c r="P719" s="3"/>
      <c r="Q719" s="8"/>
      <c r="R719" s="8"/>
      <c r="S719" s="9"/>
      <c r="T719" s="8"/>
      <c r="U719" s="8"/>
      <c r="W719" s="8"/>
    </row>
    <row r="720" spans="2:23" x14ac:dyDescent="0.55000000000000004">
      <c r="B720" s="3"/>
      <c r="C720" s="4"/>
      <c r="D720" s="4"/>
      <c r="E720" s="5"/>
      <c r="F720" s="4"/>
      <c r="G720" s="4"/>
      <c r="H720" s="4"/>
      <c r="I720" s="4"/>
      <c r="J720" s="4"/>
      <c r="K720" s="6"/>
      <c r="L720" s="6"/>
      <c r="M720" s="6"/>
      <c r="N720" s="6"/>
      <c r="O720" s="4"/>
      <c r="P720" s="3"/>
      <c r="Q720" s="8"/>
      <c r="R720" s="8"/>
      <c r="S720" s="9"/>
      <c r="T720" s="8"/>
      <c r="U720" s="8"/>
      <c r="W720" s="8"/>
    </row>
    <row r="721" spans="2:23" x14ac:dyDescent="0.55000000000000004">
      <c r="B721" s="3"/>
      <c r="C721" s="4"/>
      <c r="D721" s="4"/>
      <c r="E721" s="5"/>
      <c r="F721" s="4"/>
      <c r="G721" s="4"/>
      <c r="H721" s="4"/>
      <c r="I721" s="4"/>
      <c r="J721" s="4"/>
      <c r="K721" s="6"/>
      <c r="L721" s="6"/>
      <c r="M721" s="6"/>
      <c r="N721" s="6"/>
      <c r="O721" s="4"/>
      <c r="P721" s="3"/>
      <c r="Q721" s="8"/>
      <c r="R721" s="8"/>
      <c r="S721" s="9"/>
      <c r="T721" s="8"/>
      <c r="U721" s="8"/>
      <c r="W721" s="8"/>
    </row>
    <row r="722" spans="2:23" x14ac:dyDescent="0.55000000000000004">
      <c r="B722" s="3"/>
      <c r="C722" s="4"/>
      <c r="D722" s="4"/>
      <c r="E722" s="5"/>
      <c r="F722" s="4"/>
      <c r="G722" s="4"/>
      <c r="H722" s="4"/>
      <c r="I722" s="4"/>
      <c r="J722" s="4"/>
      <c r="K722" s="6"/>
      <c r="L722" s="6"/>
      <c r="M722" s="6"/>
      <c r="N722" s="6"/>
      <c r="O722" s="4"/>
      <c r="P722" s="3"/>
      <c r="Q722" s="8"/>
      <c r="R722" s="8"/>
      <c r="S722" s="9"/>
      <c r="T722" s="8"/>
      <c r="U722" s="8"/>
      <c r="W722" s="8"/>
    </row>
    <row r="723" spans="2:23" x14ac:dyDescent="0.55000000000000004">
      <c r="B723" s="3"/>
      <c r="C723" s="4"/>
      <c r="D723" s="4"/>
      <c r="E723" s="5"/>
      <c r="F723" s="4"/>
      <c r="G723" s="4"/>
      <c r="H723" s="4"/>
      <c r="I723" s="4"/>
      <c r="J723" s="4"/>
      <c r="K723" s="6"/>
      <c r="L723" s="6"/>
      <c r="M723" s="6"/>
      <c r="N723" s="6"/>
      <c r="O723" s="4"/>
      <c r="P723" s="3"/>
      <c r="Q723" s="8"/>
      <c r="R723" s="8"/>
      <c r="S723" s="9"/>
      <c r="T723" s="8"/>
      <c r="U723" s="8"/>
      <c r="W723" s="8"/>
    </row>
    <row r="724" spans="2:23" x14ac:dyDescent="0.55000000000000004">
      <c r="B724" s="3"/>
      <c r="C724" s="4"/>
      <c r="D724" s="4"/>
      <c r="E724" s="5"/>
      <c r="F724" s="4"/>
      <c r="G724" s="4"/>
      <c r="H724" s="4"/>
      <c r="I724" s="4"/>
      <c r="J724" s="4"/>
      <c r="K724" s="6"/>
      <c r="L724" s="6"/>
      <c r="M724" s="6"/>
      <c r="N724" s="6"/>
      <c r="O724" s="4"/>
      <c r="P724" s="3"/>
      <c r="Q724" s="8"/>
      <c r="R724" s="8"/>
      <c r="S724" s="9"/>
      <c r="T724" s="8"/>
      <c r="U724" s="8"/>
      <c r="W724" s="8"/>
    </row>
    <row r="725" spans="2:23" x14ac:dyDescent="0.55000000000000004">
      <c r="B725" s="3"/>
      <c r="C725" s="4"/>
      <c r="D725" s="4"/>
      <c r="E725" s="5"/>
      <c r="F725" s="4"/>
      <c r="G725" s="4"/>
      <c r="H725" s="4"/>
      <c r="I725" s="4"/>
      <c r="J725" s="4"/>
      <c r="K725" s="6"/>
      <c r="L725" s="6"/>
      <c r="M725" s="6"/>
      <c r="N725" s="6"/>
      <c r="O725" s="4"/>
      <c r="P725" s="3"/>
      <c r="Q725" s="8"/>
      <c r="R725" s="8"/>
      <c r="S725" s="9"/>
      <c r="T725" s="8"/>
      <c r="U725" s="8"/>
      <c r="W725" s="8"/>
    </row>
    <row r="726" spans="2:23" x14ac:dyDescent="0.55000000000000004">
      <c r="B726" s="3"/>
      <c r="C726" s="4"/>
      <c r="D726" s="4"/>
      <c r="E726" s="5"/>
      <c r="F726" s="4"/>
      <c r="G726" s="4"/>
      <c r="H726" s="4"/>
      <c r="I726" s="4"/>
      <c r="J726" s="4"/>
      <c r="K726" s="6"/>
      <c r="L726" s="6"/>
      <c r="M726" s="6"/>
      <c r="N726" s="6"/>
      <c r="O726" s="4"/>
      <c r="P726" s="3"/>
      <c r="Q726" s="8"/>
      <c r="R726" s="8"/>
      <c r="S726" s="9"/>
      <c r="T726" s="8"/>
      <c r="U726" s="8"/>
      <c r="W726" s="8"/>
    </row>
    <row r="727" spans="2:23" x14ac:dyDescent="0.55000000000000004">
      <c r="B727" s="3"/>
      <c r="C727" s="4"/>
      <c r="D727" s="4"/>
      <c r="E727" s="5"/>
      <c r="F727" s="4"/>
      <c r="G727" s="4"/>
      <c r="H727" s="4"/>
      <c r="I727" s="4"/>
      <c r="J727" s="4"/>
      <c r="K727" s="6"/>
      <c r="L727" s="6"/>
      <c r="M727" s="6"/>
      <c r="N727" s="6"/>
      <c r="O727" s="4"/>
      <c r="P727" s="3"/>
      <c r="Q727" s="8"/>
      <c r="R727" s="8"/>
      <c r="S727" s="9"/>
      <c r="T727" s="8"/>
      <c r="U727" s="8"/>
      <c r="W727" s="8"/>
    </row>
    <row r="728" spans="2:23" x14ac:dyDescent="0.55000000000000004">
      <c r="B728" s="3"/>
      <c r="C728" s="4"/>
      <c r="D728" s="4"/>
      <c r="E728" s="5"/>
      <c r="F728" s="4"/>
      <c r="G728" s="4"/>
      <c r="H728" s="4"/>
      <c r="I728" s="4"/>
      <c r="J728" s="4"/>
      <c r="K728" s="6"/>
      <c r="L728" s="6"/>
      <c r="M728" s="6"/>
      <c r="N728" s="6"/>
      <c r="O728" s="4"/>
      <c r="P728" s="3"/>
      <c r="Q728" s="8"/>
      <c r="R728" s="8"/>
      <c r="S728" s="9"/>
      <c r="T728" s="8"/>
      <c r="U728" s="8"/>
      <c r="W728" s="8"/>
    </row>
    <row r="729" spans="2:23" x14ac:dyDescent="0.55000000000000004">
      <c r="B729" s="3"/>
      <c r="C729" s="4"/>
      <c r="D729" s="4"/>
      <c r="E729" s="5"/>
      <c r="F729" s="4"/>
      <c r="G729" s="4"/>
      <c r="H729" s="4"/>
      <c r="I729" s="4"/>
      <c r="J729" s="4"/>
      <c r="K729" s="6"/>
      <c r="L729" s="6"/>
      <c r="M729" s="6"/>
      <c r="N729" s="6"/>
      <c r="O729" s="4"/>
      <c r="P729" s="3"/>
      <c r="Q729" s="8"/>
      <c r="R729" s="8"/>
      <c r="S729" s="9"/>
      <c r="T729" s="8"/>
      <c r="U729" s="8"/>
      <c r="W729" s="8"/>
    </row>
    <row r="730" spans="2:23" x14ac:dyDescent="0.55000000000000004">
      <c r="B730" s="3"/>
      <c r="C730" s="4"/>
      <c r="D730" s="4"/>
      <c r="E730" s="5"/>
      <c r="F730" s="4"/>
      <c r="G730" s="4"/>
      <c r="H730" s="4"/>
      <c r="I730" s="4"/>
      <c r="J730" s="4"/>
      <c r="K730" s="6"/>
      <c r="L730" s="6"/>
      <c r="M730" s="6"/>
      <c r="N730" s="6"/>
      <c r="O730" s="4"/>
      <c r="P730" s="3"/>
      <c r="Q730" s="8"/>
      <c r="R730" s="8"/>
      <c r="S730" s="9"/>
      <c r="T730" s="8"/>
      <c r="U730" s="8"/>
      <c r="W730" s="8"/>
    </row>
    <row r="731" spans="2:23" x14ac:dyDescent="0.55000000000000004">
      <c r="B731" s="3"/>
      <c r="C731" s="4"/>
      <c r="D731" s="4"/>
      <c r="E731" s="5"/>
      <c r="F731" s="4"/>
      <c r="G731" s="4"/>
      <c r="H731" s="4"/>
      <c r="I731" s="4"/>
      <c r="J731" s="4"/>
      <c r="K731" s="6"/>
      <c r="L731" s="6"/>
      <c r="M731" s="6"/>
      <c r="N731" s="6"/>
      <c r="O731" s="4"/>
      <c r="P731" s="3"/>
      <c r="Q731" s="8"/>
      <c r="R731" s="8"/>
      <c r="S731" s="9"/>
      <c r="T731" s="8"/>
      <c r="U731" s="8"/>
      <c r="W731" s="8"/>
    </row>
    <row r="732" spans="2:23" x14ac:dyDescent="0.55000000000000004">
      <c r="B732" s="3"/>
      <c r="C732" s="4"/>
      <c r="D732" s="4"/>
      <c r="E732" s="5"/>
      <c r="F732" s="4"/>
      <c r="G732" s="4"/>
      <c r="H732" s="4"/>
      <c r="I732" s="4"/>
      <c r="J732" s="4"/>
      <c r="K732" s="6"/>
      <c r="L732" s="6"/>
      <c r="M732" s="6"/>
      <c r="N732" s="6"/>
      <c r="O732" s="4"/>
      <c r="P732" s="3"/>
      <c r="Q732" s="8"/>
      <c r="R732" s="8"/>
      <c r="S732" s="9"/>
      <c r="T732" s="8"/>
      <c r="U732" s="8"/>
      <c r="W732" s="8"/>
    </row>
    <row r="733" spans="2:23" x14ac:dyDescent="0.55000000000000004">
      <c r="B733" s="3"/>
      <c r="C733" s="4"/>
      <c r="D733" s="4"/>
      <c r="E733" s="5"/>
      <c r="F733" s="4"/>
      <c r="G733" s="4"/>
      <c r="H733" s="4"/>
      <c r="I733" s="4"/>
      <c r="J733" s="4"/>
      <c r="K733" s="6"/>
      <c r="L733" s="6"/>
      <c r="M733" s="6"/>
      <c r="N733" s="6"/>
      <c r="O733" s="4"/>
      <c r="P733" s="3"/>
      <c r="Q733" s="8"/>
      <c r="R733" s="8"/>
      <c r="S733" s="9"/>
      <c r="T733" s="8"/>
      <c r="U733" s="8"/>
      <c r="W733" s="8"/>
    </row>
    <row r="734" spans="2:23" x14ac:dyDescent="0.55000000000000004">
      <c r="B734" s="3"/>
      <c r="C734" s="4"/>
      <c r="D734" s="4"/>
      <c r="E734" s="5"/>
      <c r="F734" s="4"/>
      <c r="G734" s="4"/>
      <c r="H734" s="4"/>
      <c r="I734" s="4"/>
      <c r="J734" s="4"/>
      <c r="K734" s="6"/>
      <c r="L734" s="6"/>
      <c r="M734" s="6"/>
      <c r="N734" s="6"/>
      <c r="O734" s="4"/>
      <c r="P734" s="3"/>
      <c r="Q734" s="8"/>
      <c r="R734" s="8"/>
      <c r="S734" s="9"/>
      <c r="T734" s="8"/>
      <c r="U734" s="8"/>
      <c r="W734" s="8"/>
    </row>
    <row r="735" spans="2:23" x14ac:dyDescent="0.55000000000000004">
      <c r="B735" s="3"/>
      <c r="C735" s="4"/>
      <c r="D735" s="4"/>
      <c r="E735" s="5"/>
      <c r="F735" s="4"/>
      <c r="G735" s="4"/>
      <c r="H735" s="4"/>
      <c r="I735" s="4"/>
      <c r="J735" s="4"/>
      <c r="K735" s="6"/>
      <c r="L735" s="6"/>
      <c r="M735" s="6"/>
      <c r="N735" s="6"/>
      <c r="O735" s="4"/>
      <c r="P735" s="3"/>
      <c r="Q735" s="8"/>
      <c r="R735" s="8"/>
      <c r="S735" s="9"/>
      <c r="T735" s="8"/>
      <c r="U735" s="8"/>
      <c r="W735" s="8"/>
    </row>
    <row r="736" spans="2:23" x14ac:dyDescent="0.55000000000000004">
      <c r="B736" s="3"/>
      <c r="C736" s="4"/>
      <c r="D736" s="4"/>
      <c r="E736" s="5"/>
      <c r="F736" s="4"/>
      <c r="G736" s="4"/>
      <c r="H736" s="4"/>
      <c r="I736" s="4"/>
      <c r="J736" s="4"/>
      <c r="K736" s="6"/>
      <c r="L736" s="6"/>
      <c r="M736" s="6"/>
      <c r="N736" s="6"/>
      <c r="O736" s="4"/>
      <c r="P736" s="3"/>
      <c r="Q736" s="8"/>
      <c r="R736" s="8"/>
      <c r="S736" s="9"/>
      <c r="T736" s="8"/>
      <c r="U736" s="8"/>
      <c r="W736" s="8"/>
    </row>
    <row r="737" spans="2:23" x14ac:dyDescent="0.55000000000000004">
      <c r="B737" s="3"/>
      <c r="C737" s="4"/>
      <c r="D737" s="4"/>
      <c r="E737" s="5"/>
      <c r="F737" s="4"/>
      <c r="G737" s="4"/>
      <c r="H737" s="4"/>
      <c r="I737" s="4"/>
      <c r="J737" s="4"/>
      <c r="K737" s="6"/>
      <c r="L737" s="6"/>
      <c r="M737" s="6"/>
      <c r="N737" s="6"/>
      <c r="O737" s="4"/>
      <c r="P737" s="3"/>
      <c r="Q737" s="8"/>
      <c r="R737" s="8"/>
      <c r="S737" s="9"/>
      <c r="T737" s="8"/>
      <c r="U737" s="8"/>
      <c r="W737" s="8"/>
    </row>
    <row r="738" spans="2:23" x14ac:dyDescent="0.55000000000000004">
      <c r="B738" s="3"/>
      <c r="C738" s="4"/>
      <c r="D738" s="4"/>
      <c r="E738" s="5"/>
      <c r="F738" s="4"/>
      <c r="G738" s="4"/>
      <c r="H738" s="4"/>
      <c r="I738" s="4"/>
      <c r="J738" s="4"/>
      <c r="K738" s="6"/>
      <c r="L738" s="6"/>
      <c r="M738" s="6"/>
      <c r="N738" s="6"/>
      <c r="O738" s="4"/>
      <c r="P738" s="3"/>
      <c r="Q738" s="8"/>
      <c r="R738" s="8"/>
      <c r="S738" s="9"/>
      <c r="T738" s="8"/>
      <c r="U738" s="8"/>
      <c r="W738" s="8"/>
    </row>
    <row r="739" spans="2:23" x14ac:dyDescent="0.55000000000000004">
      <c r="B739" s="3"/>
      <c r="C739" s="4"/>
      <c r="D739" s="4"/>
      <c r="E739" s="5"/>
      <c r="F739" s="4"/>
      <c r="G739" s="4"/>
      <c r="H739" s="4"/>
      <c r="I739" s="4"/>
      <c r="J739" s="4"/>
      <c r="K739" s="6"/>
      <c r="L739" s="6"/>
      <c r="M739" s="6"/>
      <c r="N739" s="6"/>
      <c r="O739" s="4"/>
      <c r="P739" s="3"/>
      <c r="Q739" s="8"/>
      <c r="R739" s="8"/>
      <c r="S739" s="9"/>
      <c r="T739" s="8"/>
      <c r="U739" s="8"/>
      <c r="W739" s="8"/>
    </row>
    <row r="740" spans="2:23" x14ac:dyDescent="0.55000000000000004">
      <c r="B740" s="3"/>
      <c r="C740" s="4"/>
      <c r="D740" s="4"/>
      <c r="E740" s="5"/>
      <c r="F740" s="4"/>
      <c r="G740" s="4"/>
      <c r="H740" s="4"/>
      <c r="I740" s="4"/>
      <c r="J740" s="4"/>
      <c r="K740" s="6"/>
      <c r="L740" s="6"/>
      <c r="M740" s="6"/>
      <c r="N740" s="6"/>
      <c r="O740" s="4"/>
      <c r="P740" s="3"/>
      <c r="Q740" s="8"/>
      <c r="R740" s="8"/>
      <c r="S740" s="9"/>
      <c r="T740" s="8"/>
      <c r="U740" s="8"/>
      <c r="W740" s="8"/>
    </row>
    <row r="741" spans="2:23" x14ac:dyDescent="0.55000000000000004">
      <c r="B741" s="3"/>
      <c r="C741" s="4"/>
      <c r="D741" s="4"/>
      <c r="E741" s="5"/>
      <c r="F741" s="4"/>
      <c r="G741" s="4"/>
      <c r="H741" s="4"/>
      <c r="I741" s="4"/>
      <c r="J741" s="4"/>
      <c r="K741" s="6"/>
      <c r="L741" s="6"/>
      <c r="M741" s="6"/>
      <c r="N741" s="6"/>
      <c r="O741" s="4"/>
      <c r="P741" s="3"/>
      <c r="Q741" s="8"/>
      <c r="R741" s="8"/>
      <c r="S741" s="9"/>
      <c r="T741" s="8"/>
      <c r="U741" s="8"/>
      <c r="W741" s="8"/>
    </row>
    <row r="742" spans="2:23" x14ac:dyDescent="0.55000000000000004">
      <c r="B742" s="3"/>
      <c r="C742" s="4"/>
      <c r="D742" s="4"/>
      <c r="E742" s="5"/>
      <c r="F742" s="4"/>
      <c r="G742" s="4"/>
      <c r="H742" s="4"/>
      <c r="I742" s="4"/>
      <c r="J742" s="4"/>
      <c r="K742" s="6"/>
      <c r="L742" s="6"/>
      <c r="M742" s="6"/>
      <c r="N742" s="6"/>
      <c r="O742" s="4"/>
      <c r="P742" s="3"/>
      <c r="Q742" s="8"/>
      <c r="R742" s="8"/>
      <c r="S742" s="9"/>
      <c r="T742" s="8"/>
      <c r="U742" s="8"/>
      <c r="W742" s="8"/>
    </row>
    <row r="743" spans="2:23" x14ac:dyDescent="0.55000000000000004">
      <c r="B743" s="3"/>
      <c r="C743" s="4"/>
      <c r="D743" s="4"/>
      <c r="E743" s="5"/>
      <c r="F743" s="4"/>
      <c r="G743" s="4"/>
      <c r="H743" s="4"/>
      <c r="I743" s="4"/>
      <c r="J743" s="4"/>
      <c r="K743" s="6"/>
      <c r="L743" s="6"/>
      <c r="M743" s="6"/>
      <c r="N743" s="6"/>
      <c r="O743" s="4"/>
      <c r="P743" s="3"/>
      <c r="Q743" s="8"/>
      <c r="R743" s="8"/>
      <c r="S743" s="9"/>
      <c r="T743" s="8"/>
      <c r="U743" s="8"/>
      <c r="W743" s="8"/>
    </row>
    <row r="744" spans="2:23" x14ac:dyDescent="0.55000000000000004">
      <c r="B744" s="3"/>
      <c r="C744" s="4"/>
      <c r="D744" s="4"/>
      <c r="E744" s="5"/>
      <c r="F744" s="4"/>
      <c r="G744" s="4"/>
      <c r="H744" s="4"/>
      <c r="I744" s="4"/>
      <c r="J744" s="4"/>
      <c r="K744" s="6"/>
      <c r="L744" s="6"/>
      <c r="M744" s="6"/>
      <c r="N744" s="6"/>
      <c r="O744" s="4"/>
      <c r="P744" s="3"/>
      <c r="Q744" s="8"/>
      <c r="R744" s="8"/>
      <c r="S744" s="9"/>
      <c r="T744" s="8"/>
      <c r="U744" s="8"/>
      <c r="W744" s="8"/>
    </row>
    <row r="745" spans="2:23" x14ac:dyDescent="0.55000000000000004">
      <c r="B745" s="3"/>
      <c r="C745" s="4"/>
      <c r="D745" s="4"/>
      <c r="E745" s="5"/>
      <c r="F745" s="4"/>
      <c r="G745" s="4"/>
      <c r="H745" s="4"/>
      <c r="I745" s="4"/>
      <c r="J745" s="4"/>
      <c r="K745" s="6"/>
      <c r="L745" s="6"/>
      <c r="M745" s="6"/>
      <c r="N745" s="6"/>
      <c r="O745" s="4"/>
      <c r="P745" s="3"/>
      <c r="Q745" s="8"/>
      <c r="R745" s="8"/>
      <c r="S745" s="9"/>
      <c r="T745" s="8"/>
      <c r="U745" s="8"/>
      <c r="W745" s="8"/>
    </row>
    <row r="746" spans="2:23" x14ac:dyDescent="0.55000000000000004">
      <c r="B746" s="3"/>
      <c r="C746" s="4"/>
      <c r="D746" s="4"/>
      <c r="E746" s="5"/>
      <c r="F746" s="4"/>
      <c r="G746" s="4"/>
      <c r="H746" s="4"/>
      <c r="I746" s="4"/>
      <c r="J746" s="4"/>
      <c r="K746" s="6"/>
      <c r="L746" s="6"/>
      <c r="M746" s="6"/>
      <c r="N746" s="6"/>
      <c r="O746" s="4"/>
      <c r="P746" s="3"/>
      <c r="Q746" s="8"/>
      <c r="R746" s="8"/>
      <c r="S746" s="9"/>
      <c r="T746" s="8"/>
      <c r="U746" s="8"/>
      <c r="W746" s="8"/>
    </row>
    <row r="747" spans="2:23" x14ac:dyDescent="0.55000000000000004">
      <c r="B747" s="3"/>
      <c r="C747" s="4"/>
      <c r="D747" s="4"/>
      <c r="E747" s="5"/>
      <c r="F747" s="4"/>
      <c r="G747" s="4"/>
      <c r="H747" s="4"/>
      <c r="I747" s="4"/>
      <c r="J747" s="4"/>
      <c r="K747" s="6"/>
      <c r="L747" s="6"/>
      <c r="M747" s="6"/>
      <c r="N747" s="6"/>
      <c r="O747" s="4"/>
      <c r="P747" s="3"/>
      <c r="Q747" s="8"/>
      <c r="R747" s="8"/>
      <c r="S747" s="9"/>
      <c r="T747" s="8"/>
      <c r="U747" s="8"/>
      <c r="W747" s="8"/>
    </row>
    <row r="748" spans="2:23" x14ac:dyDescent="0.55000000000000004">
      <c r="B748" s="3"/>
      <c r="C748" s="4"/>
      <c r="D748" s="4"/>
      <c r="E748" s="5"/>
      <c r="F748" s="4"/>
      <c r="G748" s="4"/>
      <c r="H748" s="4"/>
      <c r="I748" s="4"/>
      <c r="J748" s="4"/>
      <c r="K748" s="6"/>
      <c r="L748" s="6"/>
      <c r="M748" s="6"/>
      <c r="N748" s="6"/>
      <c r="O748" s="4"/>
      <c r="P748" s="3"/>
      <c r="Q748" s="8"/>
      <c r="R748" s="8"/>
      <c r="S748" s="9"/>
      <c r="T748" s="8"/>
      <c r="U748" s="8"/>
      <c r="W748" s="8"/>
    </row>
    <row r="749" spans="2:23" x14ac:dyDescent="0.55000000000000004">
      <c r="B749" s="3"/>
      <c r="C749" s="4"/>
      <c r="D749" s="4"/>
      <c r="E749" s="5"/>
      <c r="F749" s="4"/>
      <c r="G749" s="4"/>
      <c r="H749" s="4"/>
      <c r="I749" s="4"/>
      <c r="J749" s="4"/>
      <c r="K749" s="6"/>
      <c r="L749" s="6"/>
      <c r="M749" s="6"/>
      <c r="N749" s="6"/>
      <c r="O749" s="4"/>
      <c r="P749" s="3"/>
      <c r="Q749" s="8"/>
      <c r="R749" s="8"/>
      <c r="S749" s="9"/>
      <c r="T749" s="8"/>
      <c r="U749" s="8"/>
      <c r="W749" s="8"/>
    </row>
    <row r="750" spans="2:23" x14ac:dyDescent="0.55000000000000004">
      <c r="B750" s="3"/>
      <c r="C750" s="4"/>
      <c r="D750" s="4"/>
      <c r="E750" s="5"/>
      <c r="F750" s="4"/>
      <c r="G750" s="4"/>
      <c r="H750" s="4"/>
      <c r="I750" s="4"/>
      <c r="J750" s="4"/>
      <c r="K750" s="6"/>
      <c r="L750" s="6"/>
      <c r="M750" s="6"/>
      <c r="N750" s="6"/>
      <c r="O750" s="4"/>
      <c r="P750" s="3"/>
      <c r="Q750" s="8"/>
      <c r="R750" s="8"/>
      <c r="S750" s="9"/>
      <c r="T750" s="8"/>
      <c r="U750" s="8"/>
      <c r="W750" s="8"/>
    </row>
    <row r="751" spans="2:23" x14ac:dyDescent="0.55000000000000004">
      <c r="B751" s="3"/>
      <c r="C751" s="4"/>
      <c r="D751" s="4"/>
      <c r="E751" s="5"/>
      <c r="F751" s="4"/>
      <c r="G751" s="4"/>
      <c r="H751" s="4"/>
      <c r="I751" s="4"/>
      <c r="J751" s="4"/>
      <c r="K751" s="6"/>
      <c r="L751" s="6"/>
      <c r="M751" s="6"/>
      <c r="N751" s="6"/>
      <c r="O751" s="4"/>
      <c r="P751" s="3"/>
      <c r="Q751" s="8"/>
      <c r="R751" s="8"/>
      <c r="S751" s="9"/>
      <c r="T751" s="8"/>
      <c r="U751" s="8"/>
      <c r="W751" s="8"/>
    </row>
    <row r="752" spans="2:23" x14ac:dyDescent="0.55000000000000004">
      <c r="B752" s="3"/>
      <c r="C752" s="4"/>
      <c r="D752" s="4"/>
      <c r="E752" s="5"/>
      <c r="F752" s="4"/>
      <c r="G752" s="4"/>
      <c r="H752" s="4"/>
      <c r="I752" s="4"/>
      <c r="J752" s="4"/>
      <c r="K752" s="6"/>
      <c r="L752" s="6"/>
      <c r="M752" s="6"/>
      <c r="N752" s="6"/>
      <c r="O752" s="4"/>
      <c r="P752" s="3"/>
      <c r="Q752" s="8"/>
      <c r="R752" s="8"/>
      <c r="S752" s="9"/>
      <c r="T752" s="8"/>
      <c r="U752" s="8"/>
      <c r="W752" s="8"/>
    </row>
    <row r="753" spans="2:23" x14ac:dyDescent="0.55000000000000004">
      <c r="B753" s="3"/>
      <c r="C753" s="4"/>
      <c r="D753" s="4"/>
      <c r="E753" s="5"/>
      <c r="F753" s="4"/>
      <c r="G753" s="4"/>
      <c r="H753" s="4"/>
      <c r="I753" s="4"/>
      <c r="J753" s="4"/>
      <c r="K753" s="6"/>
      <c r="L753" s="6"/>
      <c r="M753" s="6"/>
      <c r="N753" s="6"/>
      <c r="O753" s="4"/>
      <c r="P753" s="3"/>
      <c r="Q753" s="8"/>
      <c r="R753" s="8"/>
      <c r="S753" s="9"/>
      <c r="T753" s="8"/>
      <c r="U753" s="8"/>
      <c r="W753" s="8"/>
    </row>
    <row r="754" spans="2:23" x14ac:dyDescent="0.55000000000000004">
      <c r="B754" s="3"/>
      <c r="C754" s="4"/>
      <c r="D754" s="4"/>
      <c r="E754" s="5"/>
      <c r="F754" s="4"/>
      <c r="G754" s="4"/>
      <c r="H754" s="4"/>
      <c r="I754" s="4"/>
      <c r="J754" s="4"/>
      <c r="K754" s="6"/>
      <c r="L754" s="6"/>
      <c r="M754" s="6"/>
      <c r="N754" s="6"/>
      <c r="O754" s="4"/>
      <c r="P754" s="3"/>
      <c r="Q754" s="8"/>
      <c r="R754" s="8"/>
      <c r="S754" s="9"/>
      <c r="T754" s="8"/>
      <c r="U754" s="8"/>
      <c r="W754" s="8"/>
    </row>
    <row r="755" spans="2:23" x14ac:dyDescent="0.55000000000000004">
      <c r="B755" s="3"/>
      <c r="C755" s="4"/>
      <c r="D755" s="4"/>
      <c r="E755" s="5"/>
      <c r="F755" s="4"/>
      <c r="G755" s="4"/>
      <c r="H755" s="4"/>
      <c r="I755" s="4"/>
      <c r="J755" s="4"/>
      <c r="K755" s="6"/>
      <c r="L755" s="6"/>
      <c r="M755" s="6"/>
      <c r="N755" s="6"/>
      <c r="O755" s="4"/>
      <c r="P755" s="3"/>
      <c r="Q755" s="8"/>
      <c r="R755" s="8"/>
      <c r="S755" s="9"/>
      <c r="T755" s="8"/>
      <c r="U755" s="8"/>
      <c r="W755" s="8"/>
    </row>
    <row r="756" spans="2:23" x14ac:dyDescent="0.55000000000000004">
      <c r="B756" s="3"/>
      <c r="C756" s="4"/>
      <c r="D756" s="4"/>
      <c r="E756" s="5"/>
      <c r="F756" s="4"/>
      <c r="G756" s="4"/>
      <c r="H756" s="4"/>
      <c r="I756" s="4"/>
      <c r="J756" s="4"/>
      <c r="K756" s="6"/>
      <c r="L756" s="6"/>
      <c r="M756" s="6"/>
      <c r="N756" s="6"/>
      <c r="O756" s="4"/>
      <c r="P756" s="3"/>
      <c r="Q756" s="8"/>
      <c r="R756" s="8"/>
      <c r="S756" s="9"/>
      <c r="T756" s="8"/>
      <c r="U756" s="8"/>
      <c r="W756" s="8"/>
    </row>
    <row r="757" spans="2:23" x14ac:dyDescent="0.55000000000000004">
      <c r="B757" s="3"/>
      <c r="C757" s="4"/>
      <c r="D757" s="4"/>
      <c r="E757" s="5"/>
      <c r="F757" s="4"/>
      <c r="G757" s="4"/>
      <c r="H757" s="4"/>
      <c r="I757" s="4"/>
      <c r="J757" s="4"/>
      <c r="K757" s="6"/>
      <c r="L757" s="6"/>
      <c r="M757" s="6"/>
      <c r="N757" s="6"/>
      <c r="O757" s="4"/>
      <c r="P757" s="3"/>
      <c r="Q757" s="8"/>
      <c r="R757" s="8"/>
      <c r="S757" s="9"/>
      <c r="T757" s="8"/>
      <c r="U757" s="8"/>
      <c r="W757" s="8"/>
    </row>
    <row r="758" spans="2:23" x14ac:dyDescent="0.55000000000000004">
      <c r="B758" s="3"/>
      <c r="C758" s="4"/>
      <c r="D758" s="4"/>
      <c r="E758" s="5"/>
      <c r="F758" s="4"/>
      <c r="G758" s="4"/>
      <c r="H758" s="4"/>
      <c r="I758" s="4"/>
      <c r="J758" s="4"/>
      <c r="K758" s="6"/>
      <c r="L758" s="6"/>
      <c r="M758" s="6"/>
      <c r="N758" s="6"/>
      <c r="O758" s="4"/>
      <c r="P758" s="3"/>
      <c r="Q758" s="8"/>
      <c r="R758" s="8"/>
      <c r="S758" s="9"/>
      <c r="T758" s="8"/>
      <c r="U758" s="8"/>
      <c r="W758" s="8"/>
    </row>
    <row r="759" spans="2:23" x14ac:dyDescent="0.55000000000000004">
      <c r="B759" s="3"/>
      <c r="C759" s="4"/>
      <c r="D759" s="4"/>
      <c r="E759" s="5"/>
      <c r="F759" s="4"/>
      <c r="G759" s="4"/>
      <c r="H759" s="4"/>
      <c r="I759" s="4"/>
      <c r="J759" s="4"/>
      <c r="K759" s="6"/>
      <c r="L759" s="6"/>
      <c r="M759" s="6"/>
      <c r="N759" s="6"/>
      <c r="O759" s="4"/>
      <c r="P759" s="3"/>
      <c r="Q759" s="8"/>
      <c r="R759" s="8"/>
      <c r="S759" s="9"/>
      <c r="T759" s="8"/>
      <c r="U759" s="8"/>
      <c r="W759" s="8"/>
    </row>
    <row r="760" spans="2:23" x14ac:dyDescent="0.55000000000000004">
      <c r="B760" s="3"/>
      <c r="C760" s="4"/>
      <c r="D760" s="4"/>
      <c r="E760" s="5"/>
      <c r="F760" s="4"/>
      <c r="G760" s="4"/>
      <c r="H760" s="4"/>
      <c r="I760" s="4"/>
      <c r="J760" s="4"/>
      <c r="K760" s="6"/>
      <c r="L760" s="6"/>
      <c r="M760" s="6"/>
      <c r="N760" s="6"/>
      <c r="O760" s="4"/>
      <c r="P760" s="3"/>
      <c r="Q760" s="8"/>
      <c r="R760" s="8"/>
      <c r="S760" s="9"/>
      <c r="T760" s="8"/>
      <c r="U760" s="8"/>
      <c r="W760" s="8"/>
    </row>
    <row r="761" spans="2:23" x14ac:dyDescent="0.55000000000000004">
      <c r="B761" s="3"/>
      <c r="C761" s="4"/>
      <c r="D761" s="4"/>
      <c r="E761" s="5"/>
      <c r="F761" s="4"/>
      <c r="G761" s="4"/>
      <c r="H761" s="4"/>
      <c r="I761" s="4"/>
      <c r="J761" s="4"/>
      <c r="K761" s="6"/>
      <c r="L761" s="6"/>
      <c r="M761" s="6"/>
      <c r="N761" s="6"/>
      <c r="O761" s="4"/>
      <c r="P761" s="3"/>
      <c r="Q761" s="8"/>
      <c r="R761" s="8"/>
      <c r="S761" s="9"/>
      <c r="T761" s="8"/>
      <c r="U761" s="8"/>
      <c r="W761" s="8"/>
    </row>
    <row r="762" spans="2:23" x14ac:dyDescent="0.55000000000000004">
      <c r="B762" s="3"/>
      <c r="C762" s="4"/>
      <c r="D762" s="4"/>
      <c r="E762" s="5"/>
      <c r="F762" s="4"/>
      <c r="G762" s="4"/>
      <c r="H762" s="4"/>
      <c r="I762" s="4"/>
      <c r="J762" s="4"/>
      <c r="K762" s="6"/>
      <c r="L762" s="6"/>
      <c r="M762" s="6"/>
      <c r="N762" s="6"/>
      <c r="O762" s="4"/>
      <c r="P762" s="3"/>
      <c r="Q762" s="8"/>
      <c r="R762" s="8"/>
      <c r="S762" s="9"/>
      <c r="T762" s="8"/>
      <c r="U762" s="8"/>
      <c r="W762" s="8"/>
    </row>
    <row r="763" spans="2:23" x14ac:dyDescent="0.55000000000000004">
      <c r="B763" s="3"/>
      <c r="C763" s="4"/>
      <c r="D763" s="4"/>
      <c r="E763" s="5"/>
      <c r="F763" s="4"/>
      <c r="G763" s="4"/>
      <c r="H763" s="4"/>
      <c r="I763" s="4"/>
      <c r="J763" s="4"/>
      <c r="K763" s="6"/>
      <c r="L763" s="6"/>
      <c r="M763" s="6"/>
      <c r="N763" s="6"/>
      <c r="O763" s="4"/>
      <c r="P763" s="3"/>
      <c r="Q763" s="8"/>
      <c r="R763" s="8"/>
      <c r="S763" s="9"/>
      <c r="T763" s="8"/>
      <c r="U763" s="8"/>
      <c r="W763" s="8"/>
    </row>
    <row r="764" spans="2:23" x14ac:dyDescent="0.55000000000000004">
      <c r="B764" s="3"/>
      <c r="C764" s="4"/>
      <c r="D764" s="4"/>
      <c r="E764" s="5"/>
      <c r="F764" s="4"/>
      <c r="G764" s="4"/>
      <c r="H764" s="4"/>
      <c r="I764" s="4"/>
      <c r="J764" s="4"/>
      <c r="K764" s="6"/>
      <c r="L764" s="6"/>
      <c r="M764" s="6"/>
      <c r="N764" s="6"/>
      <c r="O764" s="4"/>
      <c r="P764" s="3"/>
      <c r="Q764" s="8"/>
      <c r="R764" s="8"/>
      <c r="S764" s="9"/>
      <c r="T764" s="8"/>
      <c r="U764" s="8"/>
      <c r="W764" s="8"/>
    </row>
    <row r="765" spans="2:23" x14ac:dyDescent="0.55000000000000004">
      <c r="B765" s="3"/>
      <c r="C765" s="4"/>
      <c r="D765" s="4"/>
      <c r="E765" s="5"/>
      <c r="F765" s="4"/>
      <c r="G765" s="4"/>
      <c r="H765" s="4"/>
      <c r="I765" s="4"/>
      <c r="J765" s="4"/>
      <c r="K765" s="6"/>
      <c r="L765" s="6"/>
      <c r="M765" s="6"/>
      <c r="N765" s="6"/>
      <c r="O765" s="4"/>
      <c r="P765" s="3"/>
      <c r="Q765" s="8"/>
      <c r="R765" s="8"/>
      <c r="S765" s="9"/>
      <c r="T765" s="8"/>
      <c r="U765" s="8"/>
      <c r="W765" s="8"/>
    </row>
    <row r="766" spans="2:23" x14ac:dyDescent="0.55000000000000004">
      <c r="B766" s="3"/>
      <c r="C766" s="4"/>
      <c r="D766" s="4"/>
      <c r="E766" s="5"/>
      <c r="F766" s="4"/>
      <c r="G766" s="4"/>
      <c r="H766" s="4"/>
      <c r="I766" s="4"/>
      <c r="J766" s="4"/>
      <c r="K766" s="6"/>
      <c r="L766" s="6"/>
      <c r="M766" s="6"/>
      <c r="N766" s="6"/>
      <c r="O766" s="4"/>
      <c r="P766" s="3"/>
      <c r="Q766" s="8"/>
      <c r="R766" s="8"/>
      <c r="S766" s="9"/>
      <c r="T766" s="8"/>
      <c r="U766" s="8"/>
      <c r="W766" s="8"/>
    </row>
    <row r="767" spans="2:23" x14ac:dyDescent="0.55000000000000004">
      <c r="B767" s="3"/>
      <c r="C767" s="4"/>
      <c r="D767" s="4"/>
      <c r="E767" s="5"/>
      <c r="F767" s="4"/>
      <c r="G767" s="4"/>
      <c r="H767" s="4"/>
      <c r="I767" s="4"/>
      <c r="J767" s="4"/>
      <c r="K767" s="6"/>
      <c r="L767" s="6"/>
      <c r="M767" s="6"/>
      <c r="N767" s="6"/>
      <c r="O767" s="4"/>
      <c r="P767" s="3"/>
      <c r="Q767" s="8"/>
      <c r="R767" s="8"/>
      <c r="S767" s="9"/>
      <c r="T767" s="8"/>
      <c r="U767" s="8"/>
      <c r="W767" s="8"/>
    </row>
    <row r="768" spans="2:23" x14ac:dyDescent="0.55000000000000004">
      <c r="B768" s="3"/>
      <c r="C768" s="4"/>
      <c r="D768" s="4"/>
      <c r="E768" s="5"/>
      <c r="F768" s="4"/>
      <c r="G768" s="4"/>
      <c r="H768" s="4"/>
      <c r="I768" s="4"/>
      <c r="J768" s="4"/>
      <c r="K768" s="6"/>
      <c r="L768" s="6"/>
      <c r="M768" s="6"/>
      <c r="N768" s="6"/>
      <c r="O768" s="4"/>
      <c r="P768" s="3"/>
      <c r="Q768" s="8"/>
      <c r="R768" s="8"/>
      <c r="S768" s="9"/>
      <c r="T768" s="8"/>
      <c r="U768" s="8"/>
      <c r="W768" s="8"/>
    </row>
    <row r="769" spans="2:23" x14ac:dyDescent="0.55000000000000004">
      <c r="B769" s="3"/>
      <c r="C769" s="4"/>
      <c r="D769" s="4"/>
      <c r="E769" s="5"/>
      <c r="F769" s="4"/>
      <c r="G769" s="4"/>
      <c r="H769" s="4"/>
      <c r="I769" s="4"/>
      <c r="J769" s="4"/>
      <c r="K769" s="6"/>
      <c r="L769" s="6"/>
      <c r="M769" s="6"/>
      <c r="N769" s="6"/>
      <c r="O769" s="4"/>
      <c r="P769" s="3"/>
      <c r="Q769" s="8"/>
      <c r="R769" s="8"/>
      <c r="S769" s="9"/>
      <c r="T769" s="8"/>
      <c r="U769" s="8"/>
      <c r="W769" s="8"/>
    </row>
    <row r="770" spans="2:23" x14ac:dyDescent="0.55000000000000004">
      <c r="B770" s="3"/>
      <c r="C770" s="4"/>
      <c r="D770" s="4"/>
      <c r="E770" s="5"/>
      <c r="F770" s="4"/>
      <c r="G770" s="4"/>
      <c r="H770" s="4"/>
      <c r="I770" s="4"/>
      <c r="J770" s="4"/>
      <c r="K770" s="6"/>
      <c r="L770" s="6"/>
      <c r="M770" s="6"/>
      <c r="N770" s="6"/>
      <c r="O770" s="4"/>
      <c r="P770" s="3"/>
      <c r="Q770" s="8"/>
      <c r="R770" s="8"/>
      <c r="S770" s="9"/>
      <c r="T770" s="8"/>
      <c r="U770" s="8"/>
      <c r="W770" s="8"/>
    </row>
    <row r="771" spans="2:23" x14ac:dyDescent="0.55000000000000004">
      <c r="B771" s="3"/>
      <c r="C771" s="4"/>
      <c r="D771" s="4"/>
      <c r="E771" s="5"/>
      <c r="F771" s="4"/>
      <c r="G771" s="4"/>
      <c r="H771" s="4"/>
      <c r="I771" s="4"/>
      <c r="J771" s="4"/>
      <c r="K771" s="6"/>
      <c r="L771" s="6"/>
      <c r="M771" s="6"/>
      <c r="N771" s="6"/>
      <c r="O771" s="4"/>
      <c r="P771" s="3"/>
      <c r="Q771" s="8"/>
      <c r="R771" s="8"/>
      <c r="S771" s="9"/>
      <c r="T771" s="8"/>
      <c r="U771" s="8"/>
      <c r="W771" s="8"/>
    </row>
    <row r="772" spans="2:23" x14ac:dyDescent="0.55000000000000004">
      <c r="B772" s="3"/>
      <c r="C772" s="4"/>
      <c r="D772" s="4"/>
      <c r="E772" s="5"/>
      <c r="F772" s="4"/>
      <c r="G772" s="4"/>
      <c r="H772" s="4"/>
      <c r="I772" s="4"/>
      <c r="J772" s="4"/>
      <c r="K772" s="6"/>
      <c r="L772" s="6"/>
      <c r="M772" s="6"/>
      <c r="N772" s="6"/>
      <c r="O772" s="4"/>
      <c r="P772" s="3"/>
      <c r="Q772" s="8"/>
      <c r="R772" s="8"/>
      <c r="S772" s="9"/>
      <c r="T772" s="8"/>
      <c r="U772" s="8"/>
      <c r="W772" s="8"/>
    </row>
    <row r="773" spans="2:23" x14ac:dyDescent="0.55000000000000004">
      <c r="B773" s="3"/>
      <c r="C773" s="4"/>
      <c r="D773" s="4"/>
      <c r="E773" s="5"/>
      <c r="F773" s="4"/>
      <c r="G773" s="4"/>
      <c r="H773" s="4"/>
      <c r="I773" s="4"/>
      <c r="J773" s="4"/>
      <c r="K773" s="6"/>
      <c r="L773" s="6"/>
      <c r="M773" s="6"/>
      <c r="N773" s="6"/>
      <c r="O773" s="4"/>
      <c r="P773" s="3"/>
      <c r="Q773" s="8"/>
      <c r="R773" s="8"/>
      <c r="S773" s="9"/>
      <c r="T773" s="8"/>
      <c r="U773" s="8"/>
      <c r="W773" s="8"/>
    </row>
    <row r="774" spans="2:23" x14ac:dyDescent="0.55000000000000004">
      <c r="B774" s="3"/>
      <c r="C774" s="4"/>
      <c r="D774" s="4"/>
      <c r="E774" s="5"/>
      <c r="F774" s="4"/>
      <c r="G774" s="4"/>
      <c r="H774" s="4"/>
      <c r="I774" s="4"/>
      <c r="J774" s="4"/>
      <c r="K774" s="6"/>
      <c r="L774" s="6"/>
      <c r="M774" s="6"/>
      <c r="N774" s="6"/>
      <c r="O774" s="4"/>
      <c r="P774" s="3"/>
      <c r="Q774" s="8"/>
      <c r="R774" s="8"/>
      <c r="S774" s="9"/>
      <c r="T774" s="8"/>
      <c r="U774" s="8"/>
      <c r="W774" s="8"/>
    </row>
    <row r="775" spans="2:23" x14ac:dyDescent="0.55000000000000004">
      <c r="B775" s="3"/>
      <c r="C775" s="4"/>
      <c r="D775" s="4"/>
      <c r="E775" s="5"/>
      <c r="F775" s="4"/>
      <c r="G775" s="4"/>
      <c r="H775" s="4"/>
      <c r="I775" s="4"/>
      <c r="J775" s="4"/>
      <c r="K775" s="6"/>
      <c r="L775" s="6"/>
      <c r="M775" s="6"/>
      <c r="N775" s="6"/>
      <c r="O775" s="4"/>
      <c r="P775" s="3"/>
      <c r="Q775" s="8"/>
      <c r="R775" s="8"/>
      <c r="S775" s="9"/>
      <c r="T775" s="8"/>
      <c r="U775" s="8"/>
      <c r="W775" s="8"/>
    </row>
    <row r="776" spans="2:23" x14ac:dyDescent="0.55000000000000004">
      <c r="B776" s="3"/>
      <c r="C776" s="4"/>
      <c r="D776" s="4"/>
      <c r="E776" s="5"/>
      <c r="F776" s="4"/>
      <c r="G776" s="4"/>
      <c r="H776" s="4"/>
      <c r="I776" s="4"/>
      <c r="J776" s="4"/>
      <c r="K776" s="6"/>
      <c r="L776" s="6"/>
      <c r="M776" s="6"/>
      <c r="N776" s="6"/>
      <c r="O776" s="4"/>
      <c r="P776" s="3"/>
      <c r="Q776" s="8"/>
      <c r="R776" s="8"/>
      <c r="S776" s="9"/>
      <c r="T776" s="8"/>
      <c r="U776" s="8"/>
      <c r="W776" s="8"/>
    </row>
    <row r="777" spans="2:23" x14ac:dyDescent="0.55000000000000004">
      <c r="B777" s="3"/>
      <c r="C777" s="4"/>
      <c r="D777" s="4"/>
      <c r="E777" s="5"/>
      <c r="F777" s="4"/>
      <c r="G777" s="4"/>
      <c r="H777" s="4"/>
      <c r="I777" s="4"/>
      <c r="J777" s="4"/>
      <c r="K777" s="6"/>
      <c r="L777" s="6"/>
      <c r="M777" s="6"/>
      <c r="N777" s="6"/>
      <c r="O777" s="4"/>
      <c r="P777" s="3"/>
      <c r="Q777" s="8"/>
      <c r="R777" s="8"/>
      <c r="S777" s="9"/>
      <c r="T777" s="8"/>
      <c r="U777" s="8"/>
      <c r="W777" s="8"/>
    </row>
    <row r="778" spans="2:23" x14ac:dyDescent="0.55000000000000004">
      <c r="B778" s="3"/>
      <c r="C778" s="4"/>
      <c r="D778" s="4"/>
      <c r="E778" s="5"/>
      <c r="F778" s="4"/>
      <c r="G778" s="4"/>
      <c r="H778" s="4"/>
      <c r="I778" s="4"/>
      <c r="J778" s="4"/>
      <c r="K778" s="6"/>
      <c r="L778" s="6"/>
      <c r="M778" s="6"/>
      <c r="N778" s="6"/>
      <c r="O778" s="4"/>
      <c r="P778" s="3"/>
      <c r="Q778" s="8"/>
      <c r="R778" s="8"/>
      <c r="S778" s="9"/>
      <c r="T778" s="8"/>
      <c r="U778" s="8"/>
      <c r="W778" s="8"/>
    </row>
    <row r="779" spans="2:23" x14ac:dyDescent="0.55000000000000004">
      <c r="B779" s="3"/>
      <c r="C779" s="4"/>
      <c r="D779" s="4"/>
      <c r="E779" s="5"/>
      <c r="F779" s="4"/>
      <c r="G779" s="4"/>
      <c r="H779" s="4"/>
      <c r="I779" s="4"/>
      <c r="J779" s="4"/>
      <c r="K779" s="6"/>
      <c r="L779" s="6"/>
      <c r="M779" s="6"/>
      <c r="N779" s="6"/>
      <c r="O779" s="4"/>
      <c r="P779" s="3"/>
      <c r="Q779" s="8"/>
      <c r="R779" s="8"/>
      <c r="S779" s="9"/>
      <c r="T779" s="8"/>
      <c r="U779" s="8"/>
      <c r="W779" s="8"/>
    </row>
    <row r="780" spans="2:23" x14ac:dyDescent="0.55000000000000004">
      <c r="B780" s="3"/>
      <c r="C780" s="4"/>
      <c r="D780" s="4"/>
      <c r="E780" s="5"/>
      <c r="F780" s="4"/>
      <c r="G780" s="4"/>
      <c r="H780" s="4"/>
      <c r="I780" s="4"/>
      <c r="J780" s="4"/>
      <c r="K780" s="6"/>
      <c r="L780" s="6"/>
      <c r="M780" s="6"/>
      <c r="N780" s="6"/>
      <c r="O780" s="4"/>
      <c r="P780" s="3"/>
      <c r="Q780" s="8"/>
      <c r="R780" s="8"/>
      <c r="S780" s="9"/>
      <c r="T780" s="8"/>
      <c r="U780" s="8"/>
      <c r="W780" s="8"/>
    </row>
    <row r="781" spans="2:23" x14ac:dyDescent="0.55000000000000004">
      <c r="B781" s="3"/>
      <c r="C781" s="4"/>
      <c r="D781" s="4"/>
      <c r="E781" s="5"/>
      <c r="F781" s="4"/>
      <c r="G781" s="4"/>
      <c r="H781" s="4"/>
      <c r="I781" s="4"/>
      <c r="J781" s="4"/>
      <c r="K781" s="6"/>
      <c r="L781" s="6"/>
      <c r="M781" s="6"/>
      <c r="N781" s="6"/>
      <c r="O781" s="4"/>
      <c r="P781" s="3"/>
      <c r="Q781" s="8"/>
      <c r="R781" s="8"/>
      <c r="S781" s="9"/>
      <c r="T781" s="8"/>
      <c r="U781" s="8"/>
      <c r="W781" s="8"/>
    </row>
    <row r="782" spans="2:23" x14ac:dyDescent="0.55000000000000004">
      <c r="B782" s="3"/>
      <c r="C782" s="4"/>
      <c r="D782" s="4"/>
      <c r="E782" s="5"/>
      <c r="F782" s="4"/>
      <c r="G782" s="4"/>
      <c r="H782" s="4"/>
      <c r="I782" s="4"/>
      <c r="J782" s="4"/>
      <c r="K782" s="6"/>
      <c r="L782" s="6"/>
      <c r="M782" s="6"/>
      <c r="N782" s="6"/>
      <c r="O782" s="4"/>
      <c r="P782" s="3"/>
      <c r="Q782" s="8"/>
      <c r="R782" s="8"/>
      <c r="S782" s="9"/>
      <c r="T782" s="8"/>
      <c r="U782" s="8"/>
      <c r="W782" s="8"/>
    </row>
    <row r="783" spans="2:23" x14ac:dyDescent="0.55000000000000004">
      <c r="B783" s="3"/>
      <c r="C783" s="4"/>
      <c r="D783" s="4"/>
      <c r="E783" s="5"/>
      <c r="F783" s="4"/>
      <c r="G783" s="4"/>
      <c r="H783" s="4"/>
      <c r="I783" s="4"/>
      <c r="J783" s="4"/>
      <c r="K783" s="6"/>
      <c r="L783" s="6"/>
      <c r="M783" s="6"/>
      <c r="N783" s="6"/>
      <c r="O783" s="4"/>
      <c r="P783" s="3"/>
      <c r="Q783" s="8"/>
      <c r="R783" s="8"/>
      <c r="S783" s="9"/>
      <c r="T783" s="8"/>
      <c r="U783" s="8"/>
      <c r="W783" s="8"/>
    </row>
    <row r="784" spans="2:23" x14ac:dyDescent="0.55000000000000004">
      <c r="B784" s="3"/>
      <c r="C784" s="4"/>
      <c r="D784" s="4"/>
      <c r="E784" s="5"/>
      <c r="F784" s="4"/>
      <c r="G784" s="4"/>
      <c r="H784" s="4"/>
      <c r="I784" s="4"/>
      <c r="J784" s="4"/>
      <c r="K784" s="6"/>
      <c r="L784" s="6"/>
      <c r="M784" s="6"/>
      <c r="N784" s="6"/>
      <c r="O784" s="4"/>
      <c r="P784" s="3"/>
      <c r="Q784" s="8"/>
      <c r="R784" s="8"/>
      <c r="S784" s="9"/>
      <c r="T784" s="8"/>
      <c r="U784" s="8"/>
      <c r="W784" s="8"/>
    </row>
    <row r="785" spans="2:23" x14ac:dyDescent="0.55000000000000004">
      <c r="B785" s="3"/>
      <c r="C785" s="4"/>
      <c r="D785" s="4"/>
      <c r="E785" s="5"/>
      <c r="F785" s="4"/>
      <c r="G785" s="4"/>
      <c r="H785" s="4"/>
      <c r="I785" s="4"/>
      <c r="J785" s="4"/>
      <c r="K785" s="6"/>
      <c r="L785" s="6"/>
      <c r="M785" s="6"/>
      <c r="N785" s="6"/>
      <c r="O785" s="4"/>
      <c r="P785" s="3"/>
      <c r="Q785" s="8"/>
      <c r="R785" s="8"/>
      <c r="S785" s="9"/>
      <c r="T785" s="8"/>
      <c r="U785" s="8"/>
      <c r="W785" s="8"/>
    </row>
    <row r="786" spans="2:23" x14ac:dyDescent="0.55000000000000004">
      <c r="B786" s="3"/>
      <c r="C786" s="4"/>
      <c r="D786" s="4"/>
      <c r="E786" s="5"/>
      <c r="F786" s="4"/>
      <c r="G786" s="4"/>
      <c r="H786" s="4"/>
      <c r="I786" s="4"/>
      <c r="J786" s="4"/>
      <c r="K786" s="6"/>
      <c r="L786" s="6"/>
      <c r="M786" s="6"/>
      <c r="N786" s="6"/>
      <c r="O786" s="4"/>
      <c r="P786" s="3"/>
      <c r="Q786" s="8"/>
      <c r="R786" s="8"/>
      <c r="S786" s="9"/>
      <c r="T786" s="8"/>
      <c r="U786" s="8"/>
      <c r="W786" s="8"/>
    </row>
    <row r="787" spans="2:23" x14ac:dyDescent="0.55000000000000004">
      <c r="B787" s="3"/>
      <c r="C787" s="4"/>
      <c r="D787" s="4"/>
      <c r="E787" s="5"/>
      <c r="F787" s="4"/>
      <c r="G787" s="4"/>
      <c r="H787" s="4"/>
      <c r="I787" s="4"/>
      <c r="J787" s="4"/>
      <c r="K787" s="6"/>
      <c r="L787" s="6"/>
      <c r="M787" s="6"/>
      <c r="N787" s="6"/>
      <c r="O787" s="4"/>
      <c r="P787" s="3"/>
      <c r="Q787" s="8"/>
      <c r="R787" s="8"/>
      <c r="S787" s="9"/>
      <c r="T787" s="8"/>
      <c r="U787" s="8"/>
      <c r="W787" s="8"/>
    </row>
    <row r="788" spans="2:23" x14ac:dyDescent="0.55000000000000004">
      <c r="B788" s="3"/>
      <c r="C788" s="4"/>
      <c r="D788" s="4"/>
      <c r="E788" s="5"/>
      <c r="F788" s="4"/>
      <c r="G788" s="4"/>
      <c r="H788" s="4"/>
      <c r="I788" s="4"/>
      <c r="J788" s="4"/>
      <c r="K788" s="6"/>
      <c r="L788" s="6"/>
      <c r="M788" s="6"/>
      <c r="N788" s="6"/>
      <c r="O788" s="4"/>
      <c r="P788" s="3"/>
      <c r="Q788" s="8"/>
      <c r="R788" s="8"/>
      <c r="S788" s="9"/>
      <c r="T788" s="8"/>
      <c r="U788" s="8"/>
      <c r="W788" s="8"/>
    </row>
    <row r="789" spans="2:23" x14ac:dyDescent="0.55000000000000004">
      <c r="B789" s="3"/>
      <c r="C789" s="4"/>
      <c r="D789" s="4"/>
      <c r="E789" s="5"/>
      <c r="F789" s="4"/>
      <c r="G789" s="4"/>
      <c r="H789" s="4"/>
      <c r="I789" s="4"/>
      <c r="J789" s="4"/>
      <c r="K789" s="6"/>
      <c r="L789" s="6"/>
      <c r="M789" s="6"/>
      <c r="N789" s="6"/>
      <c r="O789" s="4"/>
      <c r="P789" s="3"/>
      <c r="Q789" s="8"/>
      <c r="R789" s="8"/>
      <c r="S789" s="9"/>
      <c r="T789" s="8"/>
      <c r="U789" s="8"/>
      <c r="W789" s="8"/>
    </row>
    <row r="790" spans="2:23" x14ac:dyDescent="0.55000000000000004">
      <c r="B790" s="3"/>
      <c r="C790" s="4"/>
      <c r="D790" s="4"/>
      <c r="E790" s="5"/>
      <c r="F790" s="4"/>
      <c r="G790" s="4"/>
      <c r="H790" s="4"/>
      <c r="I790" s="4"/>
      <c r="J790" s="4"/>
      <c r="K790" s="6"/>
      <c r="L790" s="6"/>
      <c r="M790" s="6"/>
      <c r="N790" s="6"/>
      <c r="O790" s="4"/>
      <c r="P790" s="3"/>
      <c r="Q790" s="8"/>
      <c r="R790" s="8"/>
      <c r="S790" s="9"/>
      <c r="T790" s="8"/>
      <c r="U790" s="8"/>
      <c r="W790" s="8"/>
    </row>
    <row r="791" spans="2:23" x14ac:dyDescent="0.55000000000000004">
      <c r="B791" s="3"/>
      <c r="C791" s="4"/>
      <c r="D791" s="4"/>
      <c r="E791" s="5"/>
      <c r="F791" s="4"/>
      <c r="G791" s="4"/>
      <c r="H791" s="4"/>
      <c r="I791" s="4"/>
      <c r="J791" s="4"/>
      <c r="K791" s="6"/>
      <c r="L791" s="6"/>
      <c r="M791" s="6"/>
      <c r="N791" s="6"/>
      <c r="O791" s="4"/>
      <c r="P791" s="3"/>
      <c r="Q791" s="8"/>
      <c r="R791" s="8"/>
      <c r="S791" s="9"/>
      <c r="T791" s="8"/>
      <c r="U791" s="8"/>
      <c r="W791" s="8"/>
    </row>
    <row r="792" spans="2:23" x14ac:dyDescent="0.55000000000000004">
      <c r="B792" s="3"/>
      <c r="C792" s="4"/>
      <c r="D792" s="4"/>
      <c r="E792" s="5"/>
      <c r="F792" s="4"/>
      <c r="G792" s="4"/>
      <c r="H792" s="4"/>
      <c r="I792" s="4"/>
      <c r="J792" s="4"/>
      <c r="K792" s="6"/>
      <c r="L792" s="6"/>
      <c r="M792" s="6"/>
      <c r="N792" s="6"/>
      <c r="O792" s="4"/>
      <c r="P792" s="3"/>
      <c r="Q792" s="8"/>
      <c r="R792" s="8"/>
      <c r="S792" s="9"/>
      <c r="T792" s="8"/>
      <c r="U792" s="8"/>
      <c r="W792" s="8"/>
    </row>
    <row r="793" spans="2:23" x14ac:dyDescent="0.55000000000000004">
      <c r="B793" s="3"/>
      <c r="C793" s="4"/>
      <c r="D793" s="4"/>
      <c r="E793" s="5"/>
      <c r="F793" s="4"/>
      <c r="G793" s="4"/>
      <c r="H793" s="4"/>
      <c r="I793" s="4"/>
      <c r="J793" s="4"/>
      <c r="K793" s="6"/>
      <c r="L793" s="6"/>
      <c r="M793" s="6"/>
      <c r="N793" s="6"/>
      <c r="O793" s="4"/>
      <c r="P793" s="3"/>
      <c r="Q793" s="8"/>
      <c r="R793" s="8"/>
      <c r="S793" s="9"/>
      <c r="T793" s="8"/>
      <c r="U793" s="8"/>
      <c r="W793" s="8"/>
    </row>
    <row r="794" spans="2:23" x14ac:dyDescent="0.55000000000000004">
      <c r="B794" s="3"/>
      <c r="C794" s="4"/>
      <c r="D794" s="4"/>
      <c r="E794" s="5"/>
      <c r="F794" s="4"/>
      <c r="G794" s="4"/>
      <c r="H794" s="4"/>
      <c r="I794" s="4"/>
      <c r="J794" s="4"/>
      <c r="K794" s="6"/>
      <c r="L794" s="6"/>
      <c r="M794" s="6"/>
      <c r="N794" s="6"/>
      <c r="O794" s="4"/>
      <c r="P794" s="3"/>
      <c r="Q794" s="8"/>
      <c r="R794" s="8"/>
      <c r="S794" s="9"/>
      <c r="T794" s="8"/>
      <c r="U794" s="8"/>
      <c r="W794" s="8"/>
    </row>
    <row r="795" spans="2:23" x14ac:dyDescent="0.55000000000000004">
      <c r="B795" s="3"/>
      <c r="C795" s="4"/>
      <c r="D795" s="4"/>
      <c r="E795" s="5"/>
      <c r="F795" s="4"/>
      <c r="G795" s="4"/>
      <c r="H795" s="4"/>
      <c r="I795" s="4"/>
      <c r="J795" s="4"/>
      <c r="K795" s="6"/>
      <c r="L795" s="6"/>
      <c r="M795" s="6"/>
      <c r="N795" s="6"/>
      <c r="O795" s="4"/>
      <c r="P795" s="3"/>
      <c r="Q795" s="8"/>
      <c r="R795" s="8"/>
      <c r="S795" s="9"/>
      <c r="T795" s="8"/>
      <c r="U795" s="8"/>
      <c r="W795" s="8"/>
    </row>
    <row r="796" spans="2:23" x14ac:dyDescent="0.55000000000000004">
      <c r="B796" s="3"/>
      <c r="C796" s="4"/>
      <c r="D796" s="4"/>
      <c r="E796" s="5"/>
      <c r="F796" s="4"/>
      <c r="G796" s="4"/>
      <c r="H796" s="4"/>
      <c r="I796" s="4"/>
      <c r="J796" s="4"/>
      <c r="K796" s="6"/>
      <c r="L796" s="6"/>
      <c r="M796" s="6"/>
      <c r="N796" s="6"/>
      <c r="O796" s="4"/>
      <c r="P796" s="3"/>
      <c r="Q796" s="8"/>
      <c r="R796" s="8"/>
      <c r="S796" s="9"/>
      <c r="T796" s="8"/>
      <c r="U796" s="8"/>
      <c r="W796" s="8"/>
    </row>
    <row r="797" spans="2:23" x14ac:dyDescent="0.55000000000000004">
      <c r="B797" s="3"/>
      <c r="C797" s="4"/>
      <c r="D797" s="4"/>
      <c r="E797" s="5"/>
      <c r="F797" s="4"/>
      <c r="G797" s="4"/>
      <c r="H797" s="4"/>
      <c r="I797" s="4"/>
      <c r="J797" s="4"/>
      <c r="K797" s="6"/>
      <c r="L797" s="6"/>
      <c r="M797" s="6"/>
      <c r="N797" s="6"/>
      <c r="O797" s="4"/>
      <c r="P797" s="3"/>
      <c r="Q797" s="8"/>
      <c r="R797" s="8"/>
      <c r="S797" s="9"/>
      <c r="T797" s="8"/>
      <c r="U797" s="8"/>
      <c r="W797" s="8"/>
    </row>
    <row r="798" spans="2:23" x14ac:dyDescent="0.55000000000000004">
      <c r="B798" s="3"/>
      <c r="C798" s="4"/>
      <c r="D798" s="4"/>
      <c r="E798" s="5"/>
      <c r="F798" s="4"/>
      <c r="G798" s="4"/>
      <c r="H798" s="4"/>
      <c r="I798" s="4"/>
      <c r="J798" s="4"/>
      <c r="K798" s="6"/>
      <c r="L798" s="6"/>
      <c r="M798" s="6"/>
      <c r="N798" s="6"/>
      <c r="O798" s="4"/>
      <c r="P798" s="3"/>
      <c r="Q798" s="8"/>
      <c r="R798" s="8"/>
      <c r="S798" s="9"/>
      <c r="T798" s="8"/>
      <c r="U798" s="8"/>
      <c r="W798" s="8"/>
    </row>
    <row r="799" spans="2:23" x14ac:dyDescent="0.55000000000000004">
      <c r="B799" s="3"/>
      <c r="C799" s="4"/>
      <c r="D799" s="4"/>
      <c r="E799" s="5"/>
      <c r="F799" s="4"/>
      <c r="G799" s="4"/>
      <c r="H799" s="4"/>
      <c r="I799" s="4"/>
      <c r="J799" s="4"/>
      <c r="K799" s="6"/>
      <c r="L799" s="6"/>
      <c r="M799" s="6"/>
      <c r="N799" s="6"/>
      <c r="O799" s="4"/>
      <c r="P799" s="3"/>
      <c r="Q799" s="8"/>
      <c r="R799" s="8"/>
      <c r="S799" s="9"/>
      <c r="T799" s="8"/>
      <c r="U799" s="8"/>
      <c r="W799" s="8"/>
    </row>
    <row r="800" spans="2:23" x14ac:dyDescent="0.55000000000000004">
      <c r="B800" s="3"/>
      <c r="C800" s="4"/>
      <c r="D800" s="4"/>
      <c r="E800" s="5"/>
      <c r="F800" s="4"/>
      <c r="G800" s="4"/>
      <c r="H800" s="4"/>
      <c r="I800" s="4"/>
      <c r="J800" s="4"/>
      <c r="K800" s="6"/>
      <c r="L800" s="6"/>
      <c r="M800" s="6"/>
      <c r="N800" s="6"/>
      <c r="O800" s="4"/>
      <c r="P800" s="3"/>
      <c r="Q800" s="8"/>
      <c r="R800" s="8"/>
      <c r="S800" s="9"/>
      <c r="T800" s="8"/>
      <c r="U800" s="8"/>
      <c r="W800" s="8"/>
    </row>
    <row r="801" spans="2:23" x14ac:dyDescent="0.55000000000000004">
      <c r="B801" s="3"/>
      <c r="C801" s="4"/>
      <c r="D801" s="4"/>
      <c r="E801" s="5"/>
      <c r="F801" s="4"/>
      <c r="G801" s="4"/>
      <c r="H801" s="4"/>
      <c r="I801" s="4"/>
      <c r="J801" s="4"/>
      <c r="K801" s="6"/>
      <c r="L801" s="6"/>
      <c r="M801" s="6"/>
      <c r="N801" s="6"/>
      <c r="O801" s="4"/>
      <c r="P801" s="3"/>
      <c r="Q801" s="8"/>
      <c r="R801" s="8"/>
      <c r="S801" s="9"/>
      <c r="T801" s="8"/>
      <c r="U801" s="8"/>
      <c r="W801" s="8"/>
    </row>
    <row r="802" spans="2:23" x14ac:dyDescent="0.55000000000000004">
      <c r="B802" s="3"/>
      <c r="C802" s="4"/>
      <c r="D802" s="4"/>
      <c r="E802" s="5"/>
      <c r="F802" s="4"/>
      <c r="G802" s="4"/>
      <c r="H802" s="4"/>
      <c r="I802" s="4"/>
      <c r="J802" s="4"/>
      <c r="K802" s="6"/>
      <c r="L802" s="6"/>
      <c r="M802" s="6"/>
      <c r="N802" s="6"/>
      <c r="O802" s="4"/>
      <c r="P802" s="3"/>
      <c r="Q802" s="8"/>
      <c r="R802" s="8"/>
      <c r="S802" s="9"/>
      <c r="T802" s="8"/>
      <c r="U802" s="8"/>
      <c r="W802" s="8"/>
    </row>
    <row r="803" spans="2:23" x14ac:dyDescent="0.55000000000000004">
      <c r="B803" s="3"/>
      <c r="C803" s="4"/>
      <c r="D803" s="4"/>
      <c r="E803" s="5"/>
      <c r="F803" s="4"/>
      <c r="G803" s="4"/>
      <c r="H803" s="4"/>
      <c r="I803" s="4"/>
      <c r="J803" s="4"/>
      <c r="K803" s="6"/>
      <c r="L803" s="6"/>
      <c r="M803" s="6"/>
      <c r="N803" s="6"/>
      <c r="O803" s="4"/>
      <c r="P803" s="3"/>
      <c r="Q803" s="8"/>
      <c r="R803" s="8"/>
      <c r="S803" s="9"/>
      <c r="T803" s="8"/>
      <c r="U803" s="8"/>
      <c r="W803" s="8"/>
    </row>
    <row r="804" spans="2:23" x14ac:dyDescent="0.55000000000000004">
      <c r="B804" s="3"/>
      <c r="C804" s="4"/>
      <c r="D804" s="4"/>
      <c r="E804" s="5"/>
      <c r="F804" s="4"/>
      <c r="G804" s="4"/>
      <c r="H804" s="4"/>
      <c r="I804" s="4"/>
      <c r="J804" s="4"/>
      <c r="K804" s="6"/>
      <c r="L804" s="6"/>
      <c r="M804" s="6"/>
      <c r="N804" s="6"/>
      <c r="O804" s="4"/>
      <c r="P804" s="3"/>
      <c r="Q804" s="8"/>
      <c r="R804" s="8"/>
      <c r="S804" s="9"/>
      <c r="T804" s="8"/>
      <c r="U804" s="8"/>
      <c r="W804" s="8"/>
    </row>
    <row r="805" spans="2:23" x14ac:dyDescent="0.55000000000000004">
      <c r="B805" s="3"/>
      <c r="C805" s="4"/>
      <c r="D805" s="4"/>
      <c r="E805" s="5"/>
      <c r="F805" s="4"/>
      <c r="G805" s="4"/>
      <c r="H805" s="4"/>
      <c r="I805" s="4"/>
      <c r="J805" s="4"/>
      <c r="K805" s="6"/>
      <c r="L805" s="6"/>
      <c r="M805" s="6"/>
      <c r="N805" s="6"/>
      <c r="O805" s="4"/>
      <c r="P805" s="3"/>
      <c r="Q805" s="8"/>
      <c r="R805" s="8"/>
      <c r="S805" s="9"/>
      <c r="T805" s="8"/>
      <c r="U805" s="8"/>
      <c r="W805" s="8"/>
    </row>
    <row r="806" spans="2:23" x14ac:dyDescent="0.55000000000000004">
      <c r="B806" s="3"/>
      <c r="C806" s="4"/>
      <c r="D806" s="4"/>
      <c r="E806" s="5"/>
      <c r="F806" s="4"/>
      <c r="G806" s="4"/>
      <c r="H806" s="4"/>
      <c r="I806" s="4"/>
      <c r="J806" s="4"/>
      <c r="K806" s="6"/>
      <c r="L806" s="6"/>
      <c r="M806" s="6"/>
      <c r="N806" s="6"/>
      <c r="O806" s="4"/>
      <c r="P806" s="3"/>
      <c r="Q806" s="8"/>
      <c r="R806" s="8"/>
      <c r="S806" s="9"/>
      <c r="T806" s="8"/>
      <c r="U806" s="8"/>
      <c r="W806" s="8"/>
    </row>
    <row r="807" spans="2:23" x14ac:dyDescent="0.55000000000000004">
      <c r="B807" s="3"/>
      <c r="C807" s="4"/>
      <c r="D807" s="4"/>
      <c r="E807" s="5"/>
      <c r="F807" s="4"/>
      <c r="G807" s="4"/>
      <c r="H807" s="4"/>
      <c r="I807" s="4"/>
      <c r="J807" s="4"/>
      <c r="K807" s="6"/>
      <c r="L807" s="6"/>
      <c r="M807" s="6"/>
      <c r="N807" s="6"/>
      <c r="O807" s="4"/>
      <c r="P807" s="3"/>
      <c r="Q807" s="8"/>
      <c r="R807" s="8"/>
      <c r="S807" s="9"/>
      <c r="T807" s="8"/>
      <c r="U807" s="8"/>
      <c r="W807" s="8"/>
    </row>
    <row r="808" spans="2:23" x14ac:dyDescent="0.55000000000000004">
      <c r="B808" s="3"/>
      <c r="C808" s="4"/>
      <c r="D808" s="4"/>
      <c r="E808" s="5"/>
      <c r="F808" s="4"/>
      <c r="G808" s="4"/>
      <c r="H808" s="4"/>
      <c r="I808" s="4"/>
      <c r="J808" s="4"/>
      <c r="K808" s="6"/>
      <c r="L808" s="6"/>
      <c r="M808" s="6"/>
      <c r="N808" s="6"/>
      <c r="O808" s="4"/>
      <c r="P808" s="3"/>
      <c r="Q808" s="8"/>
      <c r="R808" s="8"/>
      <c r="S808" s="9"/>
      <c r="T808" s="8"/>
      <c r="U808" s="8"/>
      <c r="W808" s="8"/>
    </row>
    <row r="809" spans="2:23" x14ac:dyDescent="0.55000000000000004">
      <c r="B809" s="3"/>
      <c r="C809" s="4"/>
      <c r="D809" s="4"/>
      <c r="E809" s="5"/>
      <c r="F809" s="4"/>
      <c r="G809" s="4"/>
      <c r="H809" s="4"/>
      <c r="I809" s="4"/>
      <c r="J809" s="4"/>
      <c r="K809" s="6"/>
      <c r="L809" s="6"/>
      <c r="M809" s="6"/>
      <c r="N809" s="6"/>
      <c r="O809" s="4"/>
      <c r="P809" s="3"/>
      <c r="Q809" s="8"/>
      <c r="R809" s="8"/>
      <c r="S809" s="9"/>
      <c r="T809" s="8"/>
      <c r="U809" s="8"/>
      <c r="W809" s="8"/>
    </row>
    <row r="810" spans="2:23" x14ac:dyDescent="0.55000000000000004">
      <c r="B810" s="3"/>
      <c r="C810" s="4"/>
      <c r="D810" s="4"/>
      <c r="E810" s="5"/>
      <c r="F810" s="4"/>
      <c r="G810" s="4"/>
      <c r="H810" s="4"/>
      <c r="I810" s="4"/>
      <c r="J810" s="4"/>
      <c r="K810" s="6"/>
      <c r="L810" s="6"/>
      <c r="M810" s="6"/>
      <c r="N810" s="6"/>
      <c r="O810" s="4"/>
      <c r="P810" s="3"/>
      <c r="Q810" s="8"/>
      <c r="R810" s="8"/>
      <c r="S810" s="9"/>
      <c r="T810" s="8"/>
      <c r="U810" s="8"/>
      <c r="W810" s="8"/>
    </row>
    <row r="811" spans="2:23" x14ac:dyDescent="0.55000000000000004">
      <c r="B811" s="3"/>
      <c r="C811" s="4"/>
      <c r="D811" s="4"/>
      <c r="E811" s="5"/>
      <c r="F811" s="4"/>
      <c r="G811" s="4"/>
      <c r="H811" s="4"/>
      <c r="I811" s="4"/>
      <c r="J811" s="4"/>
      <c r="K811" s="6"/>
      <c r="L811" s="6"/>
      <c r="M811" s="6"/>
      <c r="N811" s="6"/>
      <c r="O811" s="4"/>
      <c r="P811" s="3"/>
      <c r="Q811" s="8"/>
      <c r="R811" s="8"/>
      <c r="S811" s="9"/>
      <c r="T811" s="8"/>
      <c r="U811" s="8"/>
      <c r="W811" s="8"/>
    </row>
    <row r="812" spans="2:23" x14ac:dyDescent="0.55000000000000004">
      <c r="B812" s="3"/>
      <c r="C812" s="4"/>
      <c r="D812" s="4"/>
      <c r="E812" s="5"/>
      <c r="F812" s="4"/>
      <c r="G812" s="4"/>
      <c r="H812" s="4"/>
      <c r="I812" s="4"/>
      <c r="J812" s="4"/>
      <c r="K812" s="6"/>
      <c r="L812" s="6"/>
      <c r="M812" s="6"/>
      <c r="N812" s="6"/>
      <c r="O812" s="4"/>
      <c r="P812" s="3"/>
      <c r="Q812" s="8"/>
      <c r="R812" s="8"/>
      <c r="S812" s="9"/>
      <c r="T812" s="8"/>
      <c r="U812" s="8"/>
      <c r="W812" s="8"/>
    </row>
    <row r="813" spans="2:23" x14ac:dyDescent="0.55000000000000004">
      <c r="B813" s="3"/>
      <c r="C813" s="4"/>
      <c r="D813" s="4"/>
      <c r="E813" s="5"/>
      <c r="F813" s="4"/>
      <c r="G813" s="4"/>
      <c r="H813" s="4"/>
      <c r="I813" s="4"/>
      <c r="J813" s="4"/>
      <c r="K813" s="6"/>
      <c r="L813" s="6"/>
      <c r="M813" s="6"/>
      <c r="N813" s="6"/>
      <c r="O813" s="4"/>
      <c r="P813" s="3"/>
      <c r="Q813" s="8"/>
      <c r="R813" s="8"/>
      <c r="S813" s="9"/>
      <c r="T813" s="8"/>
      <c r="U813" s="8"/>
      <c r="W813" s="8"/>
    </row>
    <row r="814" spans="2:23" x14ac:dyDescent="0.55000000000000004">
      <c r="B814" s="3"/>
      <c r="C814" s="4"/>
      <c r="D814" s="4"/>
      <c r="E814" s="5"/>
      <c r="F814" s="4"/>
      <c r="G814" s="4"/>
      <c r="H814" s="4"/>
      <c r="I814" s="4"/>
      <c r="J814" s="4"/>
      <c r="K814" s="6"/>
      <c r="L814" s="6"/>
      <c r="M814" s="6"/>
      <c r="N814" s="6"/>
      <c r="O814" s="4"/>
      <c r="P814" s="3"/>
      <c r="Q814" s="8"/>
      <c r="R814" s="8"/>
      <c r="S814" s="9"/>
      <c r="T814" s="8"/>
      <c r="U814" s="8"/>
      <c r="W814" s="8"/>
    </row>
    <row r="815" spans="2:23" x14ac:dyDescent="0.55000000000000004">
      <c r="B815" s="3"/>
      <c r="C815" s="4"/>
      <c r="D815" s="4"/>
      <c r="E815" s="5"/>
      <c r="F815" s="4"/>
      <c r="G815" s="4"/>
      <c r="H815" s="4"/>
      <c r="I815" s="4"/>
      <c r="J815" s="4"/>
      <c r="K815" s="6"/>
      <c r="L815" s="6"/>
      <c r="M815" s="6"/>
      <c r="N815" s="6"/>
      <c r="O815" s="4"/>
      <c r="P815" s="3"/>
      <c r="Q815" s="8"/>
      <c r="R815" s="8"/>
      <c r="S815" s="9"/>
      <c r="T815" s="8"/>
      <c r="U815" s="8"/>
      <c r="W815" s="8"/>
    </row>
    <row r="816" spans="2:23" x14ac:dyDescent="0.55000000000000004">
      <c r="B816" s="3"/>
      <c r="C816" s="4"/>
      <c r="D816" s="4"/>
      <c r="E816" s="5"/>
      <c r="F816" s="4"/>
      <c r="G816" s="4"/>
      <c r="H816" s="4"/>
      <c r="I816" s="4"/>
      <c r="J816" s="4"/>
      <c r="K816" s="6"/>
      <c r="L816" s="6"/>
      <c r="M816" s="6"/>
      <c r="N816" s="6"/>
      <c r="O816" s="4"/>
      <c r="P816" s="3"/>
      <c r="Q816" s="8"/>
      <c r="R816" s="8"/>
      <c r="S816" s="9"/>
      <c r="T816" s="8"/>
      <c r="U816" s="8"/>
      <c r="W816" s="8"/>
    </row>
    <row r="817" spans="2:23" x14ac:dyDescent="0.55000000000000004">
      <c r="B817" s="3"/>
      <c r="C817" s="4"/>
      <c r="D817" s="4"/>
      <c r="E817" s="5"/>
      <c r="F817" s="4"/>
      <c r="G817" s="4"/>
      <c r="H817" s="4"/>
      <c r="I817" s="4"/>
      <c r="J817" s="4"/>
      <c r="K817" s="6"/>
      <c r="L817" s="6"/>
      <c r="M817" s="6"/>
      <c r="N817" s="6"/>
      <c r="O817" s="4"/>
      <c r="P817" s="3"/>
      <c r="Q817" s="8"/>
      <c r="R817" s="8"/>
      <c r="S817" s="9"/>
      <c r="T817" s="8"/>
      <c r="U817" s="8"/>
      <c r="W817" s="8"/>
    </row>
    <row r="818" spans="2:23" x14ac:dyDescent="0.55000000000000004">
      <c r="B818" s="3"/>
      <c r="C818" s="4"/>
      <c r="D818" s="4"/>
      <c r="E818" s="5"/>
      <c r="F818" s="4"/>
      <c r="G818" s="4"/>
      <c r="H818" s="4"/>
      <c r="I818" s="4"/>
      <c r="J818" s="4"/>
      <c r="K818" s="6"/>
      <c r="L818" s="6"/>
      <c r="M818" s="6"/>
      <c r="N818" s="6"/>
      <c r="O818" s="4"/>
      <c r="P818" s="3"/>
      <c r="Q818" s="8"/>
      <c r="R818" s="8"/>
      <c r="S818" s="9"/>
      <c r="T818" s="8"/>
      <c r="U818" s="8"/>
      <c r="W818" s="8"/>
    </row>
    <row r="819" spans="2:23" x14ac:dyDescent="0.55000000000000004">
      <c r="B819" s="3"/>
      <c r="C819" s="4"/>
      <c r="D819" s="4"/>
      <c r="E819" s="5"/>
      <c r="F819" s="4"/>
      <c r="G819" s="4"/>
      <c r="H819" s="4"/>
      <c r="I819" s="4"/>
      <c r="J819" s="4"/>
      <c r="K819" s="6"/>
      <c r="L819" s="6"/>
      <c r="M819" s="6"/>
      <c r="N819" s="6"/>
      <c r="O819" s="4"/>
      <c r="P819" s="3"/>
      <c r="Q819" s="8"/>
      <c r="R819" s="8"/>
      <c r="S819" s="9"/>
      <c r="T819" s="8"/>
      <c r="U819" s="8"/>
      <c r="W819" s="8"/>
    </row>
    <row r="820" spans="2:23" x14ac:dyDescent="0.55000000000000004">
      <c r="B820" s="3"/>
      <c r="C820" s="4"/>
      <c r="D820" s="4"/>
      <c r="E820" s="5"/>
      <c r="F820" s="4"/>
      <c r="G820" s="4"/>
      <c r="H820" s="4"/>
      <c r="I820" s="4"/>
      <c r="J820" s="4"/>
      <c r="K820" s="6"/>
      <c r="L820" s="6"/>
      <c r="M820" s="6"/>
      <c r="N820" s="6"/>
      <c r="O820" s="4"/>
      <c r="P820" s="3"/>
      <c r="Q820" s="8"/>
      <c r="R820" s="8"/>
      <c r="S820" s="9"/>
      <c r="T820" s="8"/>
      <c r="U820" s="8"/>
      <c r="W820" s="8"/>
    </row>
    <row r="821" spans="2:23" x14ac:dyDescent="0.55000000000000004">
      <c r="B821" s="3"/>
      <c r="C821" s="4"/>
      <c r="D821" s="4"/>
      <c r="E821" s="5"/>
      <c r="F821" s="4"/>
      <c r="G821" s="4"/>
      <c r="H821" s="4"/>
      <c r="I821" s="4"/>
      <c r="J821" s="4"/>
      <c r="K821" s="6"/>
      <c r="L821" s="6"/>
      <c r="M821" s="6"/>
      <c r="N821" s="6"/>
      <c r="O821" s="4"/>
      <c r="P821" s="3"/>
      <c r="Q821" s="8"/>
      <c r="R821" s="8"/>
      <c r="S821" s="9"/>
      <c r="T821" s="8"/>
      <c r="U821" s="8"/>
      <c r="W821" s="8"/>
    </row>
    <row r="822" spans="2:23" x14ac:dyDescent="0.55000000000000004">
      <c r="B822" s="3"/>
      <c r="C822" s="4"/>
      <c r="D822" s="4"/>
      <c r="E822" s="5"/>
      <c r="F822" s="4"/>
      <c r="G822" s="4"/>
      <c r="H822" s="4"/>
      <c r="I822" s="4"/>
      <c r="J822" s="4"/>
      <c r="K822" s="6"/>
      <c r="L822" s="6"/>
      <c r="M822" s="6"/>
      <c r="N822" s="6"/>
      <c r="O822" s="4"/>
      <c r="P822" s="3"/>
      <c r="Q822" s="8"/>
      <c r="R822" s="8"/>
      <c r="S822" s="9"/>
      <c r="T822" s="8"/>
      <c r="U822" s="8"/>
      <c r="W822" s="8"/>
    </row>
    <row r="823" spans="2:23" x14ac:dyDescent="0.55000000000000004">
      <c r="B823" s="3"/>
      <c r="C823" s="4"/>
      <c r="D823" s="4"/>
      <c r="E823" s="5"/>
      <c r="F823" s="4"/>
      <c r="G823" s="4"/>
      <c r="H823" s="4"/>
      <c r="I823" s="4"/>
      <c r="J823" s="4"/>
      <c r="K823" s="6"/>
      <c r="L823" s="6"/>
      <c r="M823" s="6"/>
      <c r="N823" s="6"/>
      <c r="O823" s="4"/>
      <c r="P823" s="3"/>
      <c r="Q823" s="8"/>
      <c r="R823" s="8"/>
      <c r="S823" s="9"/>
      <c r="T823" s="8"/>
      <c r="U823" s="8"/>
      <c r="W823" s="8"/>
    </row>
    <row r="824" spans="2:23" x14ac:dyDescent="0.55000000000000004">
      <c r="B824" s="3"/>
      <c r="C824" s="4"/>
      <c r="D824" s="4"/>
      <c r="E824" s="5"/>
      <c r="F824" s="4"/>
      <c r="G824" s="4"/>
      <c r="H824" s="4"/>
      <c r="I824" s="4"/>
      <c r="J824" s="4"/>
      <c r="K824" s="6"/>
      <c r="L824" s="6"/>
      <c r="M824" s="6"/>
      <c r="N824" s="6"/>
      <c r="O824" s="4"/>
      <c r="P824" s="3"/>
      <c r="Q824" s="8"/>
      <c r="R824" s="8"/>
      <c r="S824" s="9"/>
      <c r="T824" s="8"/>
      <c r="U824" s="8"/>
      <c r="W824" s="8"/>
    </row>
    <row r="825" spans="2:23" x14ac:dyDescent="0.55000000000000004">
      <c r="B825" s="3"/>
      <c r="C825" s="4"/>
      <c r="D825" s="4"/>
      <c r="E825" s="5"/>
      <c r="F825" s="4"/>
      <c r="G825" s="4"/>
      <c r="H825" s="4"/>
      <c r="I825" s="4"/>
      <c r="J825" s="4"/>
      <c r="K825" s="6"/>
      <c r="L825" s="6"/>
      <c r="M825" s="6"/>
      <c r="N825" s="6"/>
      <c r="O825" s="4"/>
      <c r="P825" s="3"/>
      <c r="Q825" s="8"/>
      <c r="R825" s="8"/>
      <c r="S825" s="9"/>
      <c r="T825" s="8"/>
      <c r="U825" s="8"/>
      <c r="W825" s="8"/>
    </row>
    <row r="826" spans="2:23" x14ac:dyDescent="0.55000000000000004">
      <c r="B826" s="3"/>
      <c r="C826" s="4"/>
      <c r="D826" s="4"/>
      <c r="E826" s="5"/>
      <c r="F826" s="4"/>
      <c r="G826" s="4"/>
      <c r="H826" s="4"/>
      <c r="I826" s="4"/>
      <c r="J826" s="4"/>
      <c r="K826" s="6"/>
      <c r="L826" s="6"/>
      <c r="M826" s="6"/>
      <c r="N826" s="6"/>
      <c r="O826" s="4"/>
      <c r="P826" s="3"/>
      <c r="Q826" s="8"/>
      <c r="R826" s="8"/>
      <c r="S826" s="9"/>
      <c r="T826" s="8"/>
      <c r="U826" s="8"/>
      <c r="W826" s="8"/>
    </row>
    <row r="827" spans="2:23" x14ac:dyDescent="0.55000000000000004">
      <c r="B827" s="3"/>
      <c r="C827" s="4"/>
      <c r="D827" s="4"/>
      <c r="E827" s="5"/>
      <c r="F827" s="4"/>
      <c r="G827" s="4"/>
      <c r="H827" s="4"/>
      <c r="I827" s="4"/>
      <c r="J827" s="4"/>
      <c r="K827" s="6"/>
      <c r="L827" s="6"/>
      <c r="M827" s="6"/>
      <c r="N827" s="6"/>
      <c r="O827" s="4"/>
      <c r="P827" s="3"/>
      <c r="Q827" s="8"/>
      <c r="R827" s="8"/>
      <c r="S827" s="9"/>
      <c r="T827" s="8"/>
      <c r="U827" s="8"/>
      <c r="W827" s="8"/>
    </row>
    <row r="828" spans="2:23" x14ac:dyDescent="0.55000000000000004">
      <c r="B828" s="3"/>
      <c r="C828" s="4"/>
      <c r="D828" s="4"/>
      <c r="E828" s="5"/>
      <c r="F828" s="4"/>
      <c r="G828" s="4"/>
      <c r="H828" s="4"/>
      <c r="I828" s="4"/>
      <c r="J828" s="4"/>
      <c r="K828" s="6"/>
      <c r="L828" s="6"/>
      <c r="M828" s="6"/>
      <c r="N828" s="6"/>
      <c r="O828" s="4"/>
      <c r="P828" s="3"/>
      <c r="Q828" s="8"/>
      <c r="R828" s="8"/>
      <c r="S828" s="9"/>
      <c r="T828" s="8"/>
      <c r="U828" s="8"/>
      <c r="W828" s="8"/>
    </row>
    <row r="829" spans="2:23" x14ac:dyDescent="0.55000000000000004">
      <c r="B829" s="3"/>
      <c r="C829" s="4"/>
      <c r="D829" s="4"/>
      <c r="E829" s="5"/>
      <c r="F829" s="4"/>
      <c r="G829" s="4"/>
      <c r="H829" s="4"/>
      <c r="I829" s="4"/>
      <c r="J829" s="4"/>
      <c r="K829" s="6"/>
      <c r="L829" s="6"/>
      <c r="M829" s="6"/>
      <c r="N829" s="6"/>
      <c r="O829" s="4"/>
      <c r="P829" s="3"/>
      <c r="Q829" s="8"/>
      <c r="R829" s="8"/>
      <c r="S829" s="9"/>
      <c r="T829" s="8"/>
      <c r="U829" s="8"/>
      <c r="W829" s="8"/>
    </row>
    <row r="830" spans="2:23" x14ac:dyDescent="0.55000000000000004">
      <c r="B830" s="3"/>
      <c r="C830" s="4"/>
      <c r="D830" s="4"/>
      <c r="E830" s="5"/>
      <c r="F830" s="4"/>
      <c r="G830" s="4"/>
      <c r="H830" s="4"/>
      <c r="I830" s="4"/>
      <c r="J830" s="4"/>
      <c r="K830" s="6"/>
      <c r="L830" s="6"/>
      <c r="M830" s="6"/>
      <c r="N830" s="6"/>
      <c r="O830" s="4"/>
      <c r="P830" s="3"/>
      <c r="Q830" s="8"/>
      <c r="R830" s="8"/>
      <c r="S830" s="9"/>
      <c r="T830" s="8"/>
      <c r="U830" s="8"/>
      <c r="W830" s="8"/>
    </row>
    <row r="831" spans="2:23" x14ac:dyDescent="0.55000000000000004">
      <c r="B831" s="3"/>
      <c r="C831" s="4"/>
      <c r="D831" s="4"/>
      <c r="E831" s="5"/>
      <c r="F831" s="4"/>
      <c r="G831" s="4"/>
      <c r="H831" s="4"/>
      <c r="I831" s="4"/>
      <c r="J831" s="4"/>
      <c r="K831" s="6"/>
      <c r="L831" s="6"/>
      <c r="M831" s="6"/>
      <c r="N831" s="6"/>
      <c r="O831" s="4"/>
      <c r="P831" s="3"/>
      <c r="Q831" s="8"/>
      <c r="R831" s="8"/>
      <c r="S831" s="9"/>
      <c r="T831" s="8"/>
      <c r="U831" s="8"/>
      <c r="W831" s="8"/>
    </row>
    <row r="832" spans="2:23" x14ac:dyDescent="0.55000000000000004">
      <c r="B832" s="3"/>
      <c r="C832" s="4"/>
      <c r="D832" s="4"/>
      <c r="E832" s="5"/>
      <c r="F832" s="4"/>
      <c r="G832" s="4"/>
      <c r="H832" s="4"/>
      <c r="I832" s="4"/>
      <c r="J832" s="4"/>
      <c r="K832" s="6"/>
      <c r="L832" s="6"/>
      <c r="M832" s="6"/>
      <c r="N832" s="6"/>
      <c r="O832" s="4"/>
      <c r="P832" s="3"/>
      <c r="Q832" s="8"/>
      <c r="R832" s="8"/>
      <c r="S832" s="9"/>
      <c r="T832" s="8"/>
      <c r="U832" s="8"/>
      <c r="W832" s="8"/>
    </row>
    <row r="833" spans="2:23" x14ac:dyDescent="0.55000000000000004">
      <c r="B833" s="3"/>
      <c r="C833" s="4"/>
      <c r="D833" s="4"/>
      <c r="E833" s="5"/>
      <c r="F833" s="4"/>
      <c r="G833" s="4"/>
      <c r="H833" s="4"/>
      <c r="I833" s="4"/>
      <c r="J833" s="4"/>
      <c r="K833" s="6"/>
      <c r="L833" s="6"/>
      <c r="M833" s="6"/>
      <c r="N833" s="6"/>
      <c r="O833" s="4"/>
      <c r="P833" s="3"/>
      <c r="Q833" s="8"/>
      <c r="R833" s="8"/>
      <c r="S833" s="9"/>
      <c r="T833" s="8"/>
      <c r="U833" s="8"/>
      <c r="W833" s="8"/>
    </row>
    <row r="834" spans="2:23" x14ac:dyDescent="0.55000000000000004">
      <c r="B834" s="3"/>
      <c r="C834" s="4"/>
      <c r="D834" s="4"/>
      <c r="E834" s="5"/>
      <c r="F834" s="4"/>
      <c r="G834" s="4"/>
      <c r="H834" s="4"/>
      <c r="I834" s="4"/>
      <c r="J834" s="4"/>
      <c r="K834" s="6"/>
      <c r="L834" s="6"/>
      <c r="M834" s="6"/>
      <c r="N834" s="6"/>
      <c r="O834" s="4"/>
      <c r="P834" s="3"/>
      <c r="Q834" s="8"/>
      <c r="R834" s="8"/>
      <c r="S834" s="9"/>
      <c r="T834" s="8"/>
      <c r="U834" s="8"/>
      <c r="W834" s="8"/>
    </row>
    <row r="835" spans="2:23" x14ac:dyDescent="0.55000000000000004">
      <c r="B835" s="3"/>
      <c r="C835" s="4"/>
      <c r="D835" s="4"/>
      <c r="E835" s="5"/>
      <c r="F835" s="4"/>
      <c r="G835" s="4"/>
      <c r="H835" s="4"/>
      <c r="I835" s="4"/>
      <c r="J835" s="4"/>
      <c r="K835" s="6"/>
      <c r="L835" s="6"/>
      <c r="M835" s="6"/>
      <c r="N835" s="6"/>
      <c r="O835" s="4"/>
      <c r="P835" s="3"/>
      <c r="Q835" s="8"/>
      <c r="R835" s="8"/>
      <c r="S835" s="9"/>
      <c r="T835" s="8"/>
      <c r="U835" s="8"/>
      <c r="W835" s="8"/>
    </row>
    <row r="836" spans="2:23" x14ac:dyDescent="0.55000000000000004">
      <c r="B836" s="3"/>
      <c r="C836" s="4"/>
      <c r="D836" s="4"/>
      <c r="E836" s="5"/>
      <c r="F836" s="4"/>
      <c r="G836" s="4"/>
      <c r="H836" s="4"/>
      <c r="I836" s="4"/>
      <c r="J836" s="4"/>
      <c r="K836" s="6"/>
      <c r="L836" s="6"/>
      <c r="M836" s="6"/>
      <c r="N836" s="6"/>
      <c r="O836" s="4"/>
      <c r="P836" s="3"/>
      <c r="Q836" s="8"/>
      <c r="R836" s="8"/>
      <c r="S836" s="9"/>
      <c r="T836" s="8"/>
      <c r="U836" s="8"/>
      <c r="W836" s="8"/>
    </row>
    <row r="837" spans="2:23" x14ac:dyDescent="0.55000000000000004">
      <c r="B837" s="3"/>
      <c r="C837" s="4"/>
      <c r="D837" s="4"/>
      <c r="E837" s="5"/>
      <c r="F837" s="4"/>
      <c r="G837" s="4"/>
      <c r="H837" s="4"/>
      <c r="I837" s="4"/>
      <c r="J837" s="4"/>
      <c r="K837" s="6"/>
      <c r="L837" s="6"/>
      <c r="M837" s="6"/>
      <c r="N837" s="6"/>
      <c r="O837" s="4"/>
      <c r="P837" s="3"/>
      <c r="Q837" s="8"/>
      <c r="R837" s="8"/>
      <c r="S837" s="9"/>
      <c r="T837" s="8"/>
      <c r="U837" s="8"/>
      <c r="W837" s="8"/>
    </row>
    <row r="838" spans="2:23" x14ac:dyDescent="0.55000000000000004">
      <c r="B838" s="3"/>
      <c r="C838" s="4"/>
      <c r="D838" s="4"/>
      <c r="E838" s="5"/>
      <c r="F838" s="4"/>
      <c r="G838" s="4"/>
      <c r="H838" s="4"/>
      <c r="I838" s="4"/>
      <c r="J838" s="4"/>
      <c r="K838" s="6"/>
      <c r="L838" s="6"/>
      <c r="M838" s="6"/>
      <c r="N838" s="6"/>
      <c r="O838" s="4"/>
      <c r="P838" s="3"/>
      <c r="Q838" s="8"/>
      <c r="R838" s="8"/>
      <c r="S838" s="9"/>
      <c r="T838" s="8"/>
      <c r="U838" s="8"/>
      <c r="W838" s="8"/>
    </row>
    <row r="839" spans="2:23" x14ac:dyDescent="0.55000000000000004">
      <c r="B839" s="3"/>
      <c r="C839" s="4"/>
      <c r="D839" s="4"/>
      <c r="E839" s="5"/>
      <c r="F839" s="4"/>
      <c r="G839" s="4"/>
      <c r="H839" s="4"/>
      <c r="I839" s="4"/>
      <c r="J839" s="4"/>
      <c r="K839" s="6"/>
      <c r="L839" s="6"/>
      <c r="M839" s="6"/>
      <c r="N839" s="6"/>
      <c r="O839" s="4"/>
      <c r="P839" s="3"/>
      <c r="Q839" s="8"/>
      <c r="R839" s="8"/>
      <c r="S839" s="9"/>
      <c r="T839" s="8"/>
      <c r="U839" s="8"/>
      <c r="W839" s="8"/>
    </row>
    <row r="840" spans="2:23" x14ac:dyDescent="0.55000000000000004">
      <c r="B840" s="3"/>
      <c r="C840" s="4"/>
      <c r="D840" s="4"/>
      <c r="E840" s="5"/>
      <c r="F840" s="4"/>
      <c r="G840" s="4"/>
      <c r="H840" s="4"/>
      <c r="I840" s="4"/>
      <c r="J840" s="4"/>
      <c r="K840" s="6"/>
      <c r="L840" s="6"/>
      <c r="M840" s="6"/>
      <c r="N840" s="6"/>
      <c r="O840" s="4"/>
      <c r="P840" s="3"/>
      <c r="Q840" s="8"/>
      <c r="R840" s="8"/>
      <c r="S840" s="9"/>
      <c r="T840" s="8"/>
      <c r="U840" s="8"/>
      <c r="W840" s="8"/>
    </row>
    <row r="841" spans="2:23" x14ac:dyDescent="0.55000000000000004">
      <c r="B841" s="3"/>
      <c r="C841" s="4"/>
      <c r="D841" s="4"/>
      <c r="E841" s="5"/>
      <c r="F841" s="4"/>
      <c r="G841" s="4"/>
      <c r="H841" s="4"/>
      <c r="I841" s="4"/>
      <c r="J841" s="4"/>
      <c r="K841" s="6"/>
      <c r="L841" s="6"/>
      <c r="M841" s="6"/>
      <c r="N841" s="6"/>
      <c r="O841" s="4"/>
      <c r="P841" s="3"/>
      <c r="Q841" s="8"/>
      <c r="R841" s="8"/>
      <c r="S841" s="9"/>
      <c r="T841" s="8"/>
      <c r="U841" s="8"/>
      <c r="W841" s="8"/>
    </row>
    <row r="842" spans="2:23" x14ac:dyDescent="0.55000000000000004">
      <c r="B842" s="3"/>
      <c r="C842" s="4"/>
      <c r="D842" s="4"/>
      <c r="E842" s="5"/>
      <c r="F842" s="4"/>
      <c r="G842" s="4"/>
      <c r="H842" s="4"/>
      <c r="I842" s="4"/>
      <c r="J842" s="4"/>
      <c r="K842" s="6"/>
      <c r="L842" s="6"/>
      <c r="M842" s="6"/>
      <c r="N842" s="6"/>
      <c r="O842" s="4"/>
      <c r="P842" s="3"/>
      <c r="Q842" s="8"/>
      <c r="R842" s="8"/>
      <c r="S842" s="9"/>
      <c r="T842" s="8"/>
      <c r="U842" s="8"/>
      <c r="W842" s="8"/>
    </row>
    <row r="843" spans="2:23" x14ac:dyDescent="0.55000000000000004">
      <c r="B843" s="3"/>
      <c r="C843" s="4"/>
      <c r="D843" s="4"/>
      <c r="E843" s="5"/>
      <c r="F843" s="4"/>
      <c r="G843" s="4"/>
      <c r="H843" s="4"/>
      <c r="I843" s="4"/>
      <c r="J843" s="4"/>
      <c r="K843" s="6"/>
      <c r="L843" s="6"/>
      <c r="M843" s="6"/>
      <c r="N843" s="6"/>
      <c r="O843" s="4"/>
      <c r="P843" s="3"/>
      <c r="Q843" s="8"/>
      <c r="R843" s="8"/>
      <c r="S843" s="9"/>
      <c r="T843" s="8"/>
      <c r="U843" s="8"/>
      <c r="W843" s="8"/>
    </row>
    <row r="844" spans="2:23" x14ac:dyDescent="0.55000000000000004">
      <c r="B844" s="3"/>
      <c r="C844" s="4"/>
      <c r="D844" s="4"/>
      <c r="E844" s="5"/>
      <c r="F844" s="4"/>
      <c r="G844" s="4"/>
      <c r="H844" s="4"/>
      <c r="I844" s="4"/>
      <c r="J844" s="4"/>
      <c r="K844" s="6"/>
      <c r="L844" s="6"/>
      <c r="M844" s="6"/>
      <c r="N844" s="6"/>
      <c r="O844" s="4"/>
      <c r="P844" s="3"/>
      <c r="Q844" s="8"/>
      <c r="R844" s="8"/>
      <c r="S844" s="9"/>
      <c r="T844" s="8"/>
      <c r="U844" s="8"/>
      <c r="W844" s="8"/>
    </row>
    <row r="845" spans="2:23" x14ac:dyDescent="0.55000000000000004">
      <c r="B845" s="3"/>
      <c r="C845" s="4"/>
      <c r="D845" s="4"/>
      <c r="E845" s="5"/>
      <c r="F845" s="4"/>
      <c r="G845" s="4"/>
      <c r="H845" s="4"/>
      <c r="I845" s="4"/>
      <c r="J845" s="4"/>
      <c r="K845" s="6"/>
      <c r="L845" s="6"/>
      <c r="M845" s="6"/>
      <c r="N845" s="6"/>
      <c r="O845" s="4"/>
      <c r="P845" s="3"/>
      <c r="Q845" s="8"/>
      <c r="R845" s="8"/>
      <c r="S845" s="9"/>
      <c r="T845" s="8"/>
      <c r="U845" s="8"/>
      <c r="W845" s="8"/>
    </row>
    <row r="846" spans="2:23" x14ac:dyDescent="0.55000000000000004">
      <c r="B846" s="3"/>
      <c r="C846" s="4"/>
      <c r="D846" s="4"/>
      <c r="E846" s="5"/>
      <c r="F846" s="4"/>
      <c r="G846" s="4"/>
      <c r="H846" s="4"/>
      <c r="I846" s="4"/>
      <c r="J846" s="4"/>
      <c r="K846" s="6"/>
      <c r="L846" s="6"/>
      <c r="M846" s="6"/>
      <c r="N846" s="6"/>
      <c r="O846" s="4"/>
      <c r="P846" s="3"/>
      <c r="Q846" s="8"/>
      <c r="R846" s="8"/>
      <c r="S846" s="9"/>
      <c r="T846" s="8"/>
      <c r="U846" s="8"/>
      <c r="W846" s="8"/>
    </row>
    <row r="847" spans="2:23" x14ac:dyDescent="0.55000000000000004">
      <c r="B847" s="3"/>
      <c r="C847" s="4"/>
      <c r="D847" s="4"/>
      <c r="E847" s="5"/>
      <c r="F847" s="4"/>
      <c r="G847" s="4"/>
      <c r="H847" s="4"/>
      <c r="I847" s="4"/>
      <c r="J847" s="4"/>
      <c r="K847" s="6"/>
      <c r="L847" s="6"/>
      <c r="M847" s="6"/>
      <c r="N847" s="6"/>
      <c r="O847" s="4"/>
      <c r="P847" s="3"/>
      <c r="Q847" s="8"/>
      <c r="R847" s="8"/>
      <c r="S847" s="9"/>
      <c r="T847" s="8"/>
      <c r="U847" s="8"/>
      <c r="W847" s="8"/>
    </row>
    <row r="848" spans="2:23" x14ac:dyDescent="0.55000000000000004">
      <c r="B848" s="3"/>
      <c r="C848" s="4"/>
      <c r="D848" s="4"/>
      <c r="E848" s="5"/>
      <c r="F848" s="4"/>
      <c r="G848" s="4"/>
      <c r="H848" s="4"/>
      <c r="I848" s="4"/>
      <c r="J848" s="4"/>
      <c r="K848" s="6"/>
      <c r="L848" s="6"/>
      <c r="M848" s="6"/>
      <c r="N848" s="6"/>
      <c r="O848" s="4"/>
      <c r="P848" s="3"/>
      <c r="Q848" s="8"/>
      <c r="R848" s="8"/>
      <c r="S848" s="9"/>
      <c r="T848" s="8"/>
      <c r="U848" s="8"/>
      <c r="W848" s="8"/>
    </row>
    <row r="849" spans="2:23" x14ac:dyDescent="0.55000000000000004">
      <c r="B849" s="3"/>
      <c r="C849" s="4"/>
      <c r="D849" s="4"/>
      <c r="E849" s="5"/>
      <c r="F849" s="4"/>
      <c r="G849" s="4"/>
      <c r="H849" s="4"/>
      <c r="I849" s="4"/>
      <c r="J849" s="4"/>
      <c r="K849" s="6"/>
      <c r="L849" s="6"/>
      <c r="M849" s="6"/>
      <c r="N849" s="6"/>
      <c r="O849" s="4"/>
      <c r="P849" s="3"/>
      <c r="Q849" s="8"/>
      <c r="R849" s="8"/>
      <c r="S849" s="9"/>
      <c r="T849" s="8"/>
      <c r="U849" s="8"/>
      <c r="W849" s="8"/>
    </row>
    <row r="850" spans="2:23" x14ac:dyDescent="0.55000000000000004">
      <c r="B850" s="3"/>
      <c r="C850" s="4"/>
      <c r="D850" s="4"/>
      <c r="E850" s="5"/>
      <c r="F850" s="4"/>
      <c r="G850" s="4"/>
      <c r="H850" s="4"/>
      <c r="I850" s="4"/>
      <c r="J850" s="4"/>
      <c r="K850" s="6"/>
      <c r="L850" s="6"/>
      <c r="M850" s="6"/>
      <c r="N850" s="6"/>
      <c r="O850" s="4"/>
      <c r="P850" s="3"/>
      <c r="Q850" s="8"/>
      <c r="R850" s="8"/>
      <c r="S850" s="9"/>
      <c r="T850" s="8"/>
      <c r="U850" s="8"/>
      <c r="W850" s="8"/>
    </row>
    <row r="851" spans="2:23" x14ac:dyDescent="0.55000000000000004">
      <c r="B851" s="3"/>
      <c r="C851" s="4"/>
      <c r="D851" s="4"/>
      <c r="E851" s="5"/>
      <c r="F851" s="4"/>
      <c r="G851" s="4"/>
      <c r="H851" s="4"/>
      <c r="I851" s="4"/>
      <c r="J851" s="4"/>
      <c r="K851" s="6"/>
      <c r="L851" s="6"/>
      <c r="M851" s="6"/>
      <c r="N851" s="6"/>
      <c r="O851" s="4"/>
      <c r="P851" s="3"/>
      <c r="Q851" s="8"/>
      <c r="R851" s="8"/>
      <c r="S851" s="9"/>
      <c r="T851" s="8"/>
      <c r="U851" s="8"/>
      <c r="W851" s="8"/>
    </row>
    <row r="852" spans="2:23" x14ac:dyDescent="0.55000000000000004">
      <c r="B852" s="3"/>
      <c r="C852" s="4"/>
      <c r="D852" s="4"/>
      <c r="E852" s="5"/>
      <c r="F852" s="4"/>
      <c r="G852" s="4"/>
      <c r="H852" s="4"/>
      <c r="I852" s="4"/>
      <c r="J852" s="4"/>
      <c r="K852" s="6"/>
      <c r="L852" s="6"/>
      <c r="M852" s="6"/>
      <c r="N852" s="6"/>
      <c r="O852" s="4"/>
      <c r="P852" s="3"/>
      <c r="Q852" s="8"/>
      <c r="R852" s="8"/>
      <c r="S852" s="9"/>
      <c r="T852" s="8"/>
      <c r="U852" s="8"/>
      <c r="W852" s="8"/>
    </row>
    <row r="853" spans="2:23" x14ac:dyDescent="0.55000000000000004">
      <c r="B853" s="3"/>
      <c r="C853" s="4"/>
      <c r="D853" s="4"/>
      <c r="E853" s="5"/>
      <c r="F853" s="4"/>
      <c r="G853" s="4"/>
      <c r="H853" s="4"/>
      <c r="I853" s="4"/>
      <c r="J853" s="4"/>
      <c r="K853" s="6"/>
      <c r="L853" s="6"/>
      <c r="M853" s="6"/>
      <c r="N853" s="6"/>
      <c r="O853" s="4"/>
      <c r="P853" s="3"/>
      <c r="Q853" s="8"/>
      <c r="R853" s="8"/>
      <c r="S853" s="9"/>
      <c r="T853" s="8"/>
      <c r="U853" s="8"/>
      <c r="W853" s="8"/>
    </row>
    <row r="854" spans="2:23" x14ac:dyDescent="0.55000000000000004">
      <c r="B854" s="3"/>
      <c r="C854" s="4"/>
      <c r="D854" s="4"/>
      <c r="E854" s="5"/>
      <c r="F854" s="4"/>
      <c r="G854" s="4"/>
      <c r="H854" s="4"/>
      <c r="I854" s="4"/>
      <c r="J854" s="4"/>
      <c r="K854" s="6"/>
      <c r="L854" s="6"/>
      <c r="M854" s="6"/>
      <c r="N854" s="6"/>
      <c r="O854" s="4"/>
      <c r="P854" s="3"/>
      <c r="Q854" s="8"/>
      <c r="R854" s="8"/>
      <c r="S854" s="9"/>
      <c r="T854" s="8"/>
      <c r="U854" s="8"/>
      <c r="W854" s="8"/>
    </row>
    <row r="855" spans="2:23" x14ac:dyDescent="0.55000000000000004">
      <c r="B855" s="3"/>
      <c r="C855" s="4"/>
      <c r="D855" s="4"/>
      <c r="E855" s="5"/>
      <c r="F855" s="4"/>
      <c r="G855" s="4"/>
      <c r="H855" s="4"/>
      <c r="I855" s="4"/>
      <c r="J855" s="4"/>
      <c r="K855" s="6"/>
      <c r="L855" s="6"/>
      <c r="M855" s="6"/>
      <c r="N855" s="6"/>
      <c r="O855" s="4"/>
      <c r="P855" s="3"/>
      <c r="Q855" s="8"/>
      <c r="R855" s="8"/>
      <c r="S855" s="9"/>
      <c r="T855" s="8"/>
      <c r="U855" s="8"/>
      <c r="W855" s="8"/>
    </row>
    <row r="856" spans="2:23" x14ac:dyDescent="0.55000000000000004">
      <c r="B856" s="3"/>
      <c r="C856" s="4"/>
      <c r="D856" s="4"/>
      <c r="E856" s="5"/>
      <c r="F856" s="4"/>
      <c r="G856" s="4"/>
      <c r="H856" s="4"/>
      <c r="I856" s="4"/>
      <c r="J856" s="4"/>
      <c r="K856" s="6"/>
      <c r="L856" s="6"/>
      <c r="M856" s="6"/>
      <c r="N856" s="6"/>
      <c r="O856" s="4"/>
      <c r="P856" s="3"/>
      <c r="Q856" s="8"/>
      <c r="R856" s="8"/>
      <c r="S856" s="9"/>
      <c r="T856" s="8"/>
      <c r="U856" s="8"/>
      <c r="W856" s="8"/>
    </row>
    <row r="857" spans="2:23" x14ac:dyDescent="0.55000000000000004">
      <c r="B857" s="3"/>
      <c r="C857" s="4"/>
      <c r="D857" s="4"/>
      <c r="E857" s="5"/>
      <c r="F857" s="4"/>
      <c r="G857" s="4"/>
      <c r="H857" s="4"/>
      <c r="I857" s="4"/>
      <c r="J857" s="4"/>
      <c r="K857" s="6"/>
      <c r="L857" s="6"/>
      <c r="M857" s="6"/>
      <c r="N857" s="6"/>
      <c r="O857" s="4"/>
      <c r="P857" s="3"/>
      <c r="Q857" s="8"/>
      <c r="R857" s="8"/>
      <c r="S857" s="9"/>
      <c r="T857" s="8"/>
      <c r="U857" s="8"/>
      <c r="W857" s="8"/>
    </row>
    <row r="858" spans="2:23" x14ac:dyDescent="0.55000000000000004">
      <c r="B858" s="3"/>
      <c r="C858" s="4"/>
      <c r="D858" s="4"/>
      <c r="E858" s="5"/>
      <c r="F858" s="4"/>
      <c r="G858" s="4"/>
      <c r="H858" s="4"/>
      <c r="I858" s="4"/>
      <c r="J858" s="4"/>
      <c r="K858" s="6"/>
      <c r="L858" s="6"/>
      <c r="M858" s="6"/>
      <c r="N858" s="6"/>
      <c r="O858" s="4"/>
      <c r="P858" s="3"/>
      <c r="Q858" s="8"/>
      <c r="R858" s="8"/>
      <c r="S858" s="9"/>
      <c r="T858" s="8"/>
      <c r="U858" s="8"/>
      <c r="W858" s="8"/>
    </row>
    <row r="859" spans="2:23" x14ac:dyDescent="0.55000000000000004">
      <c r="B859" s="3"/>
      <c r="C859" s="4"/>
      <c r="D859" s="4"/>
      <c r="E859" s="5"/>
      <c r="F859" s="4"/>
      <c r="G859" s="4"/>
      <c r="H859" s="4"/>
      <c r="I859" s="4"/>
      <c r="J859" s="4"/>
      <c r="K859" s="6"/>
      <c r="L859" s="6"/>
      <c r="M859" s="6"/>
      <c r="N859" s="6"/>
      <c r="O859" s="4"/>
      <c r="P859" s="3"/>
      <c r="Q859" s="8"/>
      <c r="R859" s="8"/>
      <c r="S859" s="9"/>
      <c r="T859" s="8"/>
      <c r="U859" s="8"/>
      <c r="W859" s="8"/>
    </row>
    <row r="860" spans="2:23" x14ac:dyDescent="0.55000000000000004">
      <c r="B860" s="3"/>
      <c r="C860" s="4"/>
      <c r="D860" s="4"/>
      <c r="E860" s="5"/>
      <c r="F860" s="4"/>
      <c r="G860" s="4"/>
      <c r="H860" s="4"/>
      <c r="I860" s="4"/>
      <c r="J860" s="4"/>
      <c r="K860" s="6"/>
      <c r="L860" s="6"/>
      <c r="M860" s="6"/>
      <c r="N860" s="6"/>
      <c r="O860" s="4"/>
      <c r="P860" s="3"/>
      <c r="Q860" s="8"/>
      <c r="R860" s="8"/>
      <c r="S860" s="9"/>
      <c r="T860" s="8"/>
      <c r="U860" s="8"/>
      <c r="W860" s="8"/>
    </row>
    <row r="861" spans="2:23" x14ac:dyDescent="0.55000000000000004">
      <c r="B861" s="3"/>
      <c r="C861" s="4"/>
      <c r="D861" s="4"/>
      <c r="E861" s="5"/>
      <c r="F861" s="4"/>
      <c r="G861" s="4"/>
      <c r="H861" s="4"/>
      <c r="I861" s="4"/>
      <c r="J861" s="4"/>
      <c r="K861" s="6"/>
      <c r="L861" s="6"/>
      <c r="M861" s="6"/>
      <c r="N861" s="6"/>
      <c r="O861" s="4"/>
      <c r="P861" s="3"/>
      <c r="Q861" s="8"/>
      <c r="R861" s="8"/>
      <c r="S861" s="9"/>
      <c r="T861" s="8"/>
      <c r="U861" s="8"/>
      <c r="W861" s="8"/>
    </row>
    <row r="862" spans="2:23" x14ac:dyDescent="0.55000000000000004">
      <c r="B862" s="3"/>
      <c r="C862" s="4"/>
      <c r="D862" s="4"/>
      <c r="E862" s="5"/>
      <c r="F862" s="4"/>
      <c r="G862" s="4"/>
      <c r="H862" s="4"/>
      <c r="I862" s="4"/>
      <c r="J862" s="4"/>
      <c r="K862" s="6"/>
      <c r="L862" s="6"/>
      <c r="M862" s="6"/>
      <c r="N862" s="6"/>
      <c r="O862" s="4"/>
      <c r="P862" s="3"/>
      <c r="Q862" s="8"/>
      <c r="R862" s="8"/>
      <c r="S862" s="9"/>
      <c r="T862" s="8"/>
      <c r="U862" s="8"/>
      <c r="W862" s="8"/>
    </row>
    <row r="863" spans="2:23" x14ac:dyDescent="0.55000000000000004">
      <c r="B863" s="3"/>
      <c r="C863" s="4"/>
      <c r="D863" s="4"/>
      <c r="E863" s="5"/>
      <c r="F863" s="4"/>
      <c r="G863" s="4"/>
      <c r="H863" s="4"/>
      <c r="I863" s="4"/>
      <c r="J863" s="4"/>
      <c r="K863" s="6"/>
      <c r="L863" s="6"/>
      <c r="M863" s="6"/>
      <c r="N863" s="6"/>
      <c r="O863" s="4"/>
      <c r="P863" s="3"/>
      <c r="Q863" s="8"/>
      <c r="R863" s="8"/>
      <c r="S863" s="9"/>
      <c r="T863" s="8"/>
      <c r="U863" s="8"/>
      <c r="W863" s="8"/>
    </row>
    <row r="864" spans="2:23" x14ac:dyDescent="0.55000000000000004">
      <c r="B864" s="3"/>
      <c r="C864" s="4"/>
      <c r="D864" s="4"/>
      <c r="E864" s="5"/>
      <c r="F864" s="4"/>
      <c r="G864" s="4"/>
      <c r="H864" s="4"/>
      <c r="I864" s="4"/>
      <c r="J864" s="4"/>
      <c r="K864" s="6"/>
      <c r="L864" s="6"/>
      <c r="M864" s="6"/>
      <c r="N864" s="6"/>
      <c r="O864" s="4"/>
      <c r="P864" s="3"/>
      <c r="Q864" s="8"/>
      <c r="R864" s="8"/>
      <c r="S864" s="9"/>
      <c r="T864" s="8"/>
      <c r="U864" s="8"/>
      <c r="W864" s="8"/>
    </row>
    <row r="865" spans="2:23" x14ac:dyDescent="0.55000000000000004">
      <c r="B865" s="3"/>
      <c r="C865" s="4"/>
      <c r="D865" s="4"/>
      <c r="E865" s="5"/>
      <c r="F865" s="4"/>
      <c r="G865" s="4"/>
      <c r="H865" s="4"/>
      <c r="I865" s="4"/>
      <c r="J865" s="4"/>
      <c r="K865" s="6"/>
      <c r="L865" s="6"/>
      <c r="M865" s="6"/>
      <c r="N865" s="6"/>
      <c r="O865" s="4"/>
      <c r="P865" s="3"/>
      <c r="Q865" s="8"/>
      <c r="R865" s="8"/>
      <c r="S865" s="9"/>
      <c r="T865" s="8"/>
      <c r="U865" s="8"/>
      <c r="W865" s="8"/>
    </row>
    <row r="866" spans="2:23" x14ac:dyDescent="0.55000000000000004">
      <c r="B866" s="3"/>
      <c r="C866" s="4"/>
      <c r="D866" s="4"/>
      <c r="E866" s="5"/>
      <c r="F866" s="4"/>
      <c r="G866" s="4"/>
      <c r="H866" s="4"/>
      <c r="I866" s="4"/>
      <c r="J866" s="4"/>
      <c r="K866" s="6"/>
      <c r="L866" s="6"/>
      <c r="M866" s="6"/>
      <c r="N866" s="6"/>
      <c r="O866" s="4"/>
      <c r="P866" s="3"/>
      <c r="Q866" s="8"/>
      <c r="R866" s="8"/>
      <c r="S866" s="9"/>
      <c r="T866" s="8"/>
      <c r="U866" s="8"/>
      <c r="W866" s="8"/>
    </row>
    <row r="867" spans="2:23" x14ac:dyDescent="0.55000000000000004">
      <c r="B867" s="3"/>
      <c r="C867" s="4"/>
      <c r="D867" s="4"/>
      <c r="E867" s="5"/>
      <c r="F867" s="4"/>
      <c r="G867" s="4"/>
      <c r="H867" s="4"/>
      <c r="I867" s="4"/>
      <c r="J867" s="4"/>
      <c r="K867" s="6"/>
      <c r="L867" s="6"/>
      <c r="M867" s="6"/>
      <c r="N867" s="6"/>
      <c r="O867" s="4"/>
      <c r="P867" s="3"/>
      <c r="Q867" s="8"/>
      <c r="R867" s="8"/>
      <c r="S867" s="9"/>
      <c r="T867" s="8"/>
      <c r="U867" s="8"/>
      <c r="W867" s="8"/>
    </row>
    <row r="868" spans="2:23" x14ac:dyDescent="0.55000000000000004">
      <c r="B868" s="3"/>
      <c r="C868" s="4"/>
      <c r="D868" s="4"/>
      <c r="E868" s="5"/>
      <c r="F868" s="4"/>
      <c r="G868" s="4"/>
      <c r="H868" s="4"/>
      <c r="I868" s="4"/>
      <c r="J868" s="4"/>
      <c r="K868" s="6"/>
      <c r="L868" s="6"/>
      <c r="M868" s="6"/>
      <c r="N868" s="6"/>
      <c r="O868" s="4"/>
      <c r="P868" s="3"/>
      <c r="Q868" s="8"/>
      <c r="R868" s="8"/>
      <c r="S868" s="9"/>
      <c r="T868" s="8"/>
      <c r="U868" s="8"/>
      <c r="W868" s="8"/>
    </row>
    <row r="869" spans="2:23" x14ac:dyDescent="0.55000000000000004">
      <c r="B869" s="3"/>
      <c r="C869" s="4"/>
      <c r="D869" s="4"/>
      <c r="E869" s="5"/>
      <c r="F869" s="4"/>
      <c r="G869" s="4"/>
      <c r="H869" s="4"/>
      <c r="I869" s="4"/>
      <c r="J869" s="4"/>
      <c r="K869" s="6"/>
      <c r="L869" s="6"/>
      <c r="M869" s="6"/>
      <c r="N869" s="6"/>
      <c r="O869" s="4"/>
      <c r="P869" s="3"/>
      <c r="Q869" s="8"/>
      <c r="R869" s="8"/>
      <c r="S869" s="9"/>
      <c r="T869" s="8"/>
      <c r="U869" s="8"/>
      <c r="W869" s="8"/>
    </row>
    <row r="870" spans="2:23" x14ac:dyDescent="0.55000000000000004">
      <c r="B870" s="3"/>
      <c r="C870" s="4"/>
      <c r="D870" s="4"/>
      <c r="E870" s="5"/>
      <c r="F870" s="4"/>
      <c r="G870" s="4"/>
      <c r="H870" s="4"/>
      <c r="I870" s="4"/>
      <c r="J870" s="4"/>
      <c r="K870" s="6"/>
      <c r="L870" s="6"/>
      <c r="M870" s="6"/>
      <c r="N870" s="6"/>
      <c r="O870" s="4"/>
      <c r="P870" s="3"/>
      <c r="Q870" s="8"/>
      <c r="R870" s="8"/>
      <c r="S870" s="9"/>
      <c r="T870" s="8"/>
      <c r="U870" s="8"/>
      <c r="W870" s="8"/>
    </row>
    <row r="871" spans="2:23" x14ac:dyDescent="0.55000000000000004">
      <c r="B871" s="3"/>
      <c r="C871" s="4"/>
      <c r="D871" s="4"/>
      <c r="E871" s="5"/>
      <c r="F871" s="4"/>
      <c r="G871" s="4"/>
      <c r="H871" s="4"/>
      <c r="I871" s="4"/>
      <c r="J871" s="4"/>
      <c r="K871" s="6"/>
      <c r="L871" s="6"/>
      <c r="M871" s="6"/>
      <c r="N871" s="6"/>
      <c r="O871" s="4"/>
      <c r="P871" s="3"/>
      <c r="Q871" s="8"/>
      <c r="R871" s="8"/>
      <c r="S871" s="9"/>
      <c r="T871" s="8"/>
      <c r="U871" s="8"/>
      <c r="W871" s="8"/>
    </row>
    <row r="872" spans="2:23" x14ac:dyDescent="0.55000000000000004">
      <c r="B872" s="3"/>
      <c r="C872" s="4"/>
      <c r="D872" s="4"/>
      <c r="E872" s="5"/>
      <c r="F872" s="4"/>
      <c r="G872" s="4"/>
      <c r="H872" s="4"/>
      <c r="I872" s="4"/>
      <c r="J872" s="4"/>
      <c r="K872" s="6"/>
      <c r="L872" s="6"/>
      <c r="M872" s="6"/>
      <c r="N872" s="6"/>
      <c r="O872" s="4"/>
      <c r="P872" s="3"/>
      <c r="Q872" s="8"/>
      <c r="R872" s="8"/>
      <c r="S872" s="9"/>
      <c r="T872" s="8"/>
      <c r="U872" s="8"/>
      <c r="W872" s="8"/>
    </row>
    <row r="873" spans="2:23" x14ac:dyDescent="0.55000000000000004">
      <c r="B873" s="3"/>
      <c r="C873" s="4"/>
      <c r="D873" s="4"/>
      <c r="E873" s="5"/>
      <c r="F873" s="4"/>
      <c r="G873" s="4"/>
      <c r="H873" s="4"/>
      <c r="I873" s="4"/>
      <c r="J873" s="4"/>
      <c r="K873" s="6"/>
      <c r="L873" s="6"/>
      <c r="M873" s="6"/>
      <c r="N873" s="6"/>
      <c r="O873" s="4"/>
      <c r="P873" s="3"/>
      <c r="Q873" s="8"/>
      <c r="R873" s="8"/>
      <c r="S873" s="9"/>
      <c r="T873" s="8"/>
      <c r="U873" s="8"/>
      <c r="W873" s="8"/>
    </row>
    <row r="874" spans="2:23" x14ac:dyDescent="0.55000000000000004">
      <c r="B874" s="3"/>
      <c r="C874" s="4"/>
      <c r="D874" s="4"/>
      <c r="E874" s="5"/>
      <c r="F874" s="4"/>
      <c r="G874" s="4"/>
      <c r="H874" s="4"/>
      <c r="I874" s="4"/>
      <c r="J874" s="4"/>
      <c r="K874" s="6"/>
      <c r="L874" s="6"/>
      <c r="M874" s="6"/>
      <c r="N874" s="6"/>
      <c r="O874" s="4"/>
      <c r="P874" s="3"/>
      <c r="Q874" s="8"/>
      <c r="R874" s="8"/>
      <c r="S874" s="9"/>
      <c r="T874" s="8"/>
      <c r="U874" s="8"/>
      <c r="W874" s="8"/>
    </row>
    <row r="875" spans="2:23" x14ac:dyDescent="0.55000000000000004">
      <c r="B875" s="3"/>
      <c r="C875" s="4"/>
      <c r="D875" s="4"/>
      <c r="E875" s="5"/>
      <c r="F875" s="4"/>
      <c r="G875" s="4"/>
      <c r="H875" s="4"/>
      <c r="I875" s="4"/>
      <c r="J875" s="4"/>
      <c r="K875" s="6"/>
      <c r="L875" s="6"/>
      <c r="M875" s="6"/>
      <c r="N875" s="6"/>
      <c r="O875" s="4"/>
      <c r="P875" s="3"/>
      <c r="Q875" s="8"/>
      <c r="R875" s="8"/>
      <c r="S875" s="9"/>
      <c r="T875" s="8"/>
      <c r="U875" s="8"/>
      <c r="W875" s="8"/>
    </row>
    <row r="876" spans="2:23" x14ac:dyDescent="0.55000000000000004">
      <c r="B876" s="3"/>
      <c r="C876" s="4"/>
      <c r="D876" s="4"/>
      <c r="E876" s="5"/>
      <c r="F876" s="4"/>
      <c r="G876" s="4"/>
      <c r="H876" s="4"/>
      <c r="I876" s="4"/>
      <c r="J876" s="4"/>
      <c r="K876" s="6"/>
      <c r="L876" s="6"/>
      <c r="M876" s="6"/>
      <c r="N876" s="6"/>
      <c r="O876" s="4"/>
      <c r="P876" s="3"/>
      <c r="Q876" s="8"/>
      <c r="R876" s="8"/>
      <c r="S876" s="9"/>
      <c r="T876" s="8"/>
      <c r="U876" s="8"/>
      <c r="W876" s="8"/>
    </row>
    <row r="877" spans="2:23" x14ac:dyDescent="0.55000000000000004">
      <c r="B877" s="3"/>
      <c r="C877" s="4"/>
      <c r="D877" s="4"/>
      <c r="E877" s="5"/>
      <c r="F877" s="4"/>
      <c r="G877" s="4"/>
      <c r="H877" s="4"/>
      <c r="I877" s="4"/>
      <c r="J877" s="4"/>
      <c r="K877" s="6"/>
      <c r="L877" s="6"/>
      <c r="M877" s="6"/>
      <c r="N877" s="6"/>
      <c r="O877" s="4"/>
      <c r="P877" s="3"/>
      <c r="Q877" s="8"/>
      <c r="R877" s="8"/>
      <c r="S877" s="9"/>
      <c r="T877" s="8"/>
      <c r="U877" s="8"/>
      <c r="W877" s="8"/>
    </row>
    <row r="878" spans="2:23" x14ac:dyDescent="0.55000000000000004">
      <c r="B878" s="3"/>
      <c r="C878" s="4"/>
      <c r="D878" s="4"/>
      <c r="E878" s="5"/>
      <c r="F878" s="4"/>
      <c r="G878" s="4"/>
      <c r="H878" s="4"/>
      <c r="I878" s="4"/>
      <c r="J878" s="4"/>
      <c r="K878" s="6"/>
      <c r="L878" s="6"/>
      <c r="M878" s="6"/>
      <c r="N878" s="6"/>
      <c r="O878" s="4"/>
      <c r="P878" s="3"/>
      <c r="Q878" s="8"/>
      <c r="R878" s="8"/>
      <c r="S878" s="9"/>
      <c r="T878" s="8"/>
      <c r="U878" s="8"/>
      <c r="W878" s="8"/>
    </row>
    <row r="879" spans="2:23" x14ac:dyDescent="0.55000000000000004">
      <c r="B879" s="3"/>
      <c r="C879" s="4"/>
      <c r="D879" s="4"/>
      <c r="E879" s="5"/>
      <c r="F879" s="4"/>
      <c r="G879" s="4"/>
      <c r="H879" s="4"/>
      <c r="I879" s="4"/>
      <c r="J879" s="4"/>
      <c r="K879" s="6"/>
      <c r="L879" s="6"/>
      <c r="M879" s="6"/>
      <c r="N879" s="6"/>
      <c r="O879" s="4"/>
      <c r="P879" s="3"/>
      <c r="Q879" s="8"/>
      <c r="R879" s="8"/>
      <c r="S879" s="9"/>
      <c r="T879" s="8"/>
      <c r="U879" s="8"/>
      <c r="W879" s="8"/>
    </row>
    <row r="880" spans="2:23" x14ac:dyDescent="0.55000000000000004">
      <c r="B880" s="3"/>
      <c r="C880" s="4"/>
      <c r="D880" s="4"/>
      <c r="E880" s="5"/>
      <c r="F880" s="4"/>
      <c r="G880" s="4"/>
      <c r="H880" s="4"/>
      <c r="I880" s="4"/>
      <c r="J880" s="4"/>
      <c r="K880" s="6"/>
      <c r="L880" s="6"/>
      <c r="M880" s="6"/>
      <c r="N880" s="6"/>
      <c r="O880" s="4"/>
      <c r="P880" s="3"/>
      <c r="Q880" s="8"/>
      <c r="R880" s="8"/>
      <c r="S880" s="9"/>
      <c r="T880" s="8"/>
      <c r="U880" s="8"/>
      <c r="W880" s="8"/>
    </row>
    <row r="881" spans="2:23" x14ac:dyDescent="0.55000000000000004">
      <c r="B881" s="3"/>
      <c r="C881" s="4"/>
      <c r="D881" s="4"/>
      <c r="E881" s="5"/>
      <c r="F881" s="4"/>
      <c r="G881" s="4"/>
      <c r="H881" s="4"/>
      <c r="I881" s="4"/>
      <c r="J881" s="4"/>
      <c r="K881" s="6"/>
      <c r="L881" s="6"/>
      <c r="M881" s="6"/>
      <c r="N881" s="6"/>
      <c r="O881" s="4"/>
      <c r="P881" s="3"/>
      <c r="Q881" s="8"/>
      <c r="R881" s="8"/>
      <c r="S881" s="9"/>
      <c r="T881" s="8"/>
      <c r="U881" s="8"/>
      <c r="W881" s="8"/>
    </row>
    <row r="882" spans="2:23" x14ac:dyDescent="0.55000000000000004">
      <c r="B882" s="3"/>
      <c r="C882" s="4"/>
      <c r="D882" s="4"/>
      <c r="E882" s="5"/>
      <c r="F882" s="4"/>
      <c r="G882" s="4"/>
      <c r="H882" s="4"/>
      <c r="I882" s="4"/>
      <c r="J882" s="4"/>
      <c r="K882" s="6"/>
      <c r="L882" s="6"/>
      <c r="M882" s="6"/>
      <c r="N882" s="6"/>
      <c r="O882" s="4"/>
      <c r="P882" s="3"/>
      <c r="Q882" s="8"/>
      <c r="R882" s="8"/>
      <c r="S882" s="9"/>
      <c r="T882" s="8"/>
      <c r="U882" s="8"/>
      <c r="W882" s="8"/>
    </row>
    <row r="883" spans="2:23" x14ac:dyDescent="0.55000000000000004">
      <c r="B883" s="3"/>
      <c r="C883" s="4"/>
      <c r="D883" s="4"/>
      <c r="E883" s="5"/>
      <c r="F883" s="4"/>
      <c r="G883" s="4"/>
      <c r="H883" s="4"/>
      <c r="I883" s="4"/>
      <c r="J883" s="4"/>
      <c r="K883" s="6"/>
      <c r="L883" s="6"/>
      <c r="M883" s="6"/>
      <c r="N883" s="6"/>
      <c r="O883" s="4"/>
      <c r="P883" s="3"/>
      <c r="Q883" s="8"/>
      <c r="R883" s="8"/>
      <c r="S883" s="9"/>
      <c r="T883" s="8"/>
      <c r="U883" s="8"/>
      <c r="W883" s="8"/>
    </row>
    <row r="884" spans="2:23" x14ac:dyDescent="0.55000000000000004">
      <c r="B884" s="3"/>
      <c r="C884" s="4"/>
      <c r="D884" s="4"/>
      <c r="E884" s="5"/>
      <c r="F884" s="4"/>
      <c r="G884" s="4"/>
      <c r="H884" s="4"/>
      <c r="I884" s="4"/>
      <c r="J884" s="4"/>
      <c r="K884" s="6"/>
      <c r="L884" s="6"/>
      <c r="M884" s="6"/>
      <c r="N884" s="6"/>
      <c r="O884" s="4"/>
      <c r="P884" s="3"/>
      <c r="Q884" s="8"/>
      <c r="R884" s="8"/>
      <c r="S884" s="9"/>
      <c r="T884" s="8"/>
      <c r="U884" s="8"/>
      <c r="W884" s="8"/>
    </row>
    <row r="885" spans="2:23" x14ac:dyDescent="0.55000000000000004">
      <c r="B885" s="3"/>
      <c r="C885" s="4"/>
      <c r="D885" s="4"/>
      <c r="E885" s="5"/>
      <c r="F885" s="4"/>
      <c r="G885" s="4"/>
      <c r="H885" s="4"/>
      <c r="I885" s="4"/>
      <c r="J885" s="4"/>
      <c r="K885" s="6"/>
      <c r="L885" s="6"/>
      <c r="M885" s="6"/>
      <c r="N885" s="6"/>
      <c r="O885" s="4"/>
      <c r="P885" s="3"/>
      <c r="Q885" s="8"/>
      <c r="R885" s="8"/>
      <c r="S885" s="9"/>
      <c r="T885" s="8"/>
      <c r="U885" s="8"/>
      <c r="W885" s="8"/>
    </row>
    <row r="886" spans="2:23" x14ac:dyDescent="0.55000000000000004">
      <c r="B886" s="3"/>
      <c r="C886" s="4"/>
      <c r="D886" s="4"/>
      <c r="E886" s="5"/>
      <c r="F886" s="4"/>
      <c r="G886" s="4"/>
      <c r="H886" s="4"/>
      <c r="I886" s="4"/>
      <c r="J886" s="4"/>
      <c r="K886" s="6"/>
      <c r="L886" s="6"/>
      <c r="M886" s="6"/>
      <c r="N886" s="6"/>
      <c r="O886" s="4"/>
      <c r="P886" s="3"/>
      <c r="Q886" s="8"/>
      <c r="R886" s="8"/>
      <c r="S886" s="9"/>
      <c r="T886" s="8"/>
      <c r="U886" s="8"/>
      <c r="W886" s="8"/>
    </row>
    <row r="887" spans="2:23" x14ac:dyDescent="0.55000000000000004">
      <c r="B887" s="3"/>
      <c r="C887" s="4"/>
      <c r="D887" s="4"/>
      <c r="E887" s="5"/>
      <c r="F887" s="4"/>
      <c r="G887" s="4"/>
      <c r="H887" s="4"/>
      <c r="I887" s="4"/>
      <c r="J887" s="4"/>
      <c r="K887" s="6"/>
      <c r="L887" s="6"/>
      <c r="M887" s="6"/>
      <c r="N887" s="6"/>
      <c r="O887" s="4"/>
      <c r="P887" s="3"/>
      <c r="Q887" s="8"/>
      <c r="R887" s="8"/>
      <c r="S887" s="9"/>
      <c r="T887" s="8"/>
      <c r="U887" s="8"/>
      <c r="W887" s="8"/>
    </row>
    <row r="888" spans="2:23" x14ac:dyDescent="0.55000000000000004">
      <c r="B888" s="3"/>
      <c r="C888" s="4"/>
      <c r="D888" s="4"/>
      <c r="E888" s="5"/>
      <c r="F888" s="4"/>
      <c r="G888" s="4"/>
      <c r="H888" s="4"/>
      <c r="I888" s="4"/>
      <c r="J888" s="4"/>
      <c r="K888" s="6"/>
      <c r="L888" s="6"/>
      <c r="M888" s="6"/>
      <c r="N888" s="6"/>
      <c r="O888" s="4"/>
      <c r="P888" s="3"/>
      <c r="Q888" s="8"/>
      <c r="R888" s="8"/>
      <c r="S888" s="9"/>
      <c r="T888" s="8"/>
      <c r="U888" s="8"/>
      <c r="W888" s="8"/>
    </row>
    <row r="889" spans="2:23" x14ac:dyDescent="0.55000000000000004">
      <c r="B889" s="3"/>
      <c r="C889" s="4"/>
      <c r="D889" s="4"/>
      <c r="E889" s="5"/>
      <c r="F889" s="4"/>
      <c r="G889" s="4"/>
      <c r="H889" s="4"/>
      <c r="I889" s="4"/>
      <c r="J889" s="4"/>
      <c r="K889" s="6"/>
      <c r="L889" s="6"/>
      <c r="M889" s="6"/>
      <c r="N889" s="6"/>
      <c r="O889" s="4"/>
      <c r="P889" s="3"/>
      <c r="Q889" s="8"/>
      <c r="R889" s="8"/>
      <c r="S889" s="9"/>
      <c r="T889" s="8"/>
      <c r="U889" s="8"/>
      <c r="W889" s="8"/>
    </row>
    <row r="890" spans="2:23" x14ac:dyDescent="0.55000000000000004">
      <c r="B890" s="3"/>
      <c r="C890" s="4"/>
      <c r="D890" s="4"/>
      <c r="E890" s="5"/>
      <c r="F890" s="4"/>
      <c r="G890" s="4"/>
      <c r="H890" s="4"/>
      <c r="I890" s="4"/>
      <c r="J890" s="4"/>
      <c r="K890" s="6"/>
      <c r="L890" s="6"/>
      <c r="M890" s="6"/>
      <c r="N890" s="6"/>
      <c r="O890" s="4"/>
      <c r="P890" s="3"/>
      <c r="Q890" s="8"/>
      <c r="R890" s="8"/>
      <c r="S890" s="9"/>
      <c r="T890" s="8"/>
      <c r="U890" s="8"/>
      <c r="W890" s="8"/>
    </row>
    <row r="891" spans="2:23" x14ac:dyDescent="0.55000000000000004">
      <c r="B891" s="3"/>
      <c r="C891" s="4"/>
      <c r="D891" s="4"/>
      <c r="E891" s="5"/>
      <c r="F891" s="4"/>
      <c r="G891" s="4"/>
      <c r="H891" s="4"/>
      <c r="I891" s="4"/>
      <c r="J891" s="4"/>
      <c r="K891" s="6"/>
      <c r="L891" s="6"/>
      <c r="M891" s="6"/>
      <c r="N891" s="6"/>
      <c r="O891" s="4"/>
      <c r="P891" s="3"/>
      <c r="Q891" s="8"/>
      <c r="R891" s="8"/>
      <c r="S891" s="9"/>
      <c r="T891" s="8"/>
      <c r="U891" s="8"/>
      <c r="W891" s="8"/>
    </row>
    <row r="892" spans="2:23" x14ac:dyDescent="0.55000000000000004">
      <c r="B892" s="3"/>
      <c r="C892" s="4"/>
      <c r="D892" s="4"/>
      <c r="E892" s="5"/>
      <c r="F892" s="4"/>
      <c r="G892" s="4"/>
      <c r="H892" s="4"/>
      <c r="I892" s="4"/>
      <c r="J892" s="4"/>
      <c r="K892" s="6"/>
      <c r="L892" s="6"/>
      <c r="M892" s="6"/>
      <c r="N892" s="6"/>
      <c r="O892" s="4"/>
      <c r="P892" s="3"/>
      <c r="Q892" s="8"/>
      <c r="R892" s="8"/>
      <c r="S892" s="9"/>
      <c r="T892" s="8"/>
      <c r="U892" s="8"/>
      <c r="W892" s="8"/>
    </row>
    <row r="893" spans="2:23" x14ac:dyDescent="0.55000000000000004">
      <c r="B893" s="3"/>
      <c r="C893" s="4"/>
      <c r="D893" s="4"/>
      <c r="E893" s="5"/>
      <c r="F893" s="4"/>
      <c r="G893" s="4"/>
      <c r="H893" s="4"/>
      <c r="I893" s="4"/>
      <c r="J893" s="4"/>
      <c r="K893" s="6"/>
      <c r="L893" s="6"/>
      <c r="M893" s="6"/>
      <c r="N893" s="6"/>
      <c r="O893" s="4"/>
      <c r="P893" s="3"/>
      <c r="Q893" s="8"/>
      <c r="R893" s="8"/>
      <c r="S893" s="9"/>
      <c r="T893" s="8"/>
      <c r="U893" s="8"/>
      <c r="W893" s="8"/>
    </row>
    <row r="894" spans="2:23" x14ac:dyDescent="0.55000000000000004">
      <c r="B894" s="3"/>
      <c r="C894" s="4"/>
      <c r="D894" s="4"/>
      <c r="E894" s="5"/>
      <c r="F894" s="4"/>
      <c r="G894" s="4"/>
      <c r="H894" s="4"/>
      <c r="I894" s="4"/>
      <c r="J894" s="4"/>
      <c r="K894" s="6"/>
      <c r="L894" s="6"/>
      <c r="M894" s="6"/>
      <c r="N894" s="6"/>
      <c r="O894" s="4"/>
      <c r="P894" s="3"/>
      <c r="Q894" s="8"/>
      <c r="R894" s="8"/>
      <c r="S894" s="9"/>
      <c r="T894" s="8"/>
      <c r="U894" s="8"/>
      <c r="W894" s="8"/>
    </row>
    <row r="895" spans="2:23" x14ac:dyDescent="0.55000000000000004">
      <c r="B895" s="3"/>
      <c r="C895" s="4"/>
      <c r="D895" s="4"/>
      <c r="E895" s="5"/>
      <c r="F895" s="4"/>
      <c r="G895" s="4"/>
      <c r="H895" s="4"/>
      <c r="I895" s="4"/>
      <c r="J895" s="4"/>
      <c r="K895" s="6"/>
      <c r="L895" s="6"/>
      <c r="M895" s="6"/>
      <c r="N895" s="6"/>
      <c r="O895" s="4"/>
      <c r="P895" s="3"/>
      <c r="Q895" s="8"/>
      <c r="R895" s="8"/>
      <c r="S895" s="9"/>
      <c r="T895" s="8"/>
      <c r="U895" s="8"/>
      <c r="W895" s="8"/>
    </row>
    <row r="896" spans="2:23" x14ac:dyDescent="0.55000000000000004">
      <c r="B896" s="3"/>
      <c r="C896" s="4"/>
      <c r="D896" s="4"/>
      <c r="E896" s="5"/>
      <c r="F896" s="4"/>
      <c r="G896" s="4"/>
      <c r="H896" s="4"/>
      <c r="I896" s="4"/>
      <c r="J896" s="4"/>
      <c r="K896" s="6"/>
      <c r="L896" s="6"/>
      <c r="M896" s="6"/>
      <c r="N896" s="6"/>
      <c r="O896" s="4"/>
      <c r="P896" s="3"/>
      <c r="Q896" s="8"/>
      <c r="R896" s="8"/>
      <c r="S896" s="9"/>
      <c r="T896" s="8"/>
      <c r="U896" s="8"/>
      <c r="W896" s="8"/>
    </row>
    <row r="897" spans="2:23" x14ac:dyDescent="0.55000000000000004">
      <c r="B897" s="3"/>
      <c r="C897" s="4"/>
      <c r="D897" s="4"/>
      <c r="E897" s="5"/>
      <c r="F897" s="4"/>
      <c r="G897" s="4"/>
      <c r="H897" s="4"/>
      <c r="I897" s="4"/>
      <c r="J897" s="4"/>
      <c r="K897" s="6"/>
      <c r="L897" s="6"/>
      <c r="M897" s="6"/>
      <c r="N897" s="6"/>
      <c r="O897" s="4"/>
      <c r="P897" s="3"/>
      <c r="Q897" s="8"/>
      <c r="R897" s="8"/>
      <c r="S897" s="9"/>
      <c r="T897" s="8"/>
      <c r="U897" s="8"/>
      <c r="W897" s="8"/>
    </row>
    <row r="898" spans="2:23" x14ac:dyDescent="0.55000000000000004">
      <c r="B898" s="3"/>
      <c r="C898" s="4"/>
      <c r="D898" s="4"/>
      <c r="E898" s="5"/>
      <c r="F898" s="4"/>
      <c r="G898" s="4"/>
      <c r="H898" s="4"/>
      <c r="I898" s="4"/>
      <c r="J898" s="4"/>
      <c r="K898" s="6"/>
      <c r="L898" s="6"/>
      <c r="M898" s="6"/>
      <c r="N898" s="6"/>
      <c r="O898" s="4"/>
      <c r="P898" s="3"/>
      <c r="Q898" s="8"/>
      <c r="R898" s="8"/>
      <c r="S898" s="9"/>
      <c r="T898" s="8"/>
      <c r="U898" s="8"/>
      <c r="W898" s="8"/>
    </row>
    <row r="899" spans="2:23" x14ac:dyDescent="0.55000000000000004">
      <c r="B899" s="3"/>
      <c r="C899" s="4"/>
      <c r="D899" s="4"/>
      <c r="E899" s="5"/>
      <c r="F899" s="4"/>
      <c r="G899" s="4"/>
      <c r="H899" s="4"/>
      <c r="I899" s="4"/>
      <c r="J899" s="4"/>
      <c r="K899" s="6"/>
      <c r="L899" s="6"/>
      <c r="M899" s="6"/>
      <c r="N899" s="6"/>
      <c r="O899" s="4"/>
      <c r="P899" s="3"/>
      <c r="Q899" s="8"/>
      <c r="R899" s="8"/>
      <c r="S899" s="9"/>
      <c r="T899" s="8"/>
      <c r="U899" s="8"/>
      <c r="W899" s="8"/>
    </row>
    <row r="900" spans="2:23" x14ac:dyDescent="0.55000000000000004">
      <c r="B900" s="3"/>
      <c r="C900" s="4"/>
      <c r="D900" s="4"/>
      <c r="E900" s="5"/>
      <c r="F900" s="4"/>
      <c r="G900" s="4"/>
      <c r="H900" s="4"/>
      <c r="I900" s="4"/>
      <c r="J900" s="4"/>
      <c r="K900" s="6"/>
      <c r="L900" s="6"/>
      <c r="M900" s="6"/>
      <c r="N900" s="6"/>
      <c r="O900" s="4"/>
      <c r="P900" s="3"/>
      <c r="Q900" s="8"/>
      <c r="R900" s="8"/>
      <c r="S900" s="9"/>
      <c r="T900" s="8"/>
      <c r="U900" s="8"/>
      <c r="W900" s="8"/>
    </row>
    <row r="901" spans="2:23" x14ac:dyDescent="0.55000000000000004">
      <c r="B901" s="3"/>
      <c r="C901" s="4"/>
      <c r="D901" s="4"/>
      <c r="E901" s="5"/>
      <c r="F901" s="4"/>
      <c r="G901" s="4"/>
      <c r="H901" s="4"/>
      <c r="I901" s="4"/>
      <c r="J901" s="4"/>
      <c r="K901" s="6"/>
      <c r="L901" s="6"/>
      <c r="M901" s="6"/>
      <c r="N901" s="6"/>
      <c r="O901" s="4"/>
      <c r="P901" s="3"/>
      <c r="Q901" s="8"/>
      <c r="R901" s="8"/>
      <c r="S901" s="9"/>
      <c r="T901" s="8"/>
      <c r="U901" s="8"/>
      <c r="W901" s="8"/>
    </row>
    <row r="902" spans="2:23" x14ac:dyDescent="0.55000000000000004">
      <c r="B902" s="3"/>
      <c r="C902" s="4"/>
      <c r="D902" s="4"/>
      <c r="E902" s="5"/>
      <c r="F902" s="4"/>
      <c r="G902" s="4"/>
      <c r="H902" s="4"/>
      <c r="I902" s="4"/>
      <c r="J902" s="4"/>
      <c r="K902" s="6"/>
      <c r="L902" s="6"/>
      <c r="M902" s="6"/>
      <c r="N902" s="6"/>
      <c r="O902" s="4"/>
      <c r="P902" s="3"/>
      <c r="Q902" s="8"/>
      <c r="R902" s="8"/>
      <c r="S902" s="9"/>
      <c r="T902" s="8"/>
      <c r="U902" s="8"/>
      <c r="W902" s="8"/>
    </row>
    <row r="903" spans="2:23" x14ac:dyDescent="0.55000000000000004">
      <c r="B903" s="3"/>
      <c r="C903" s="4"/>
      <c r="D903" s="4"/>
      <c r="E903" s="5"/>
      <c r="F903" s="4"/>
      <c r="G903" s="4"/>
      <c r="H903" s="4"/>
      <c r="I903" s="4"/>
      <c r="J903" s="4"/>
      <c r="K903" s="6"/>
      <c r="L903" s="6"/>
      <c r="M903" s="6"/>
      <c r="N903" s="6"/>
      <c r="O903" s="4"/>
      <c r="P903" s="3"/>
      <c r="Q903" s="8"/>
      <c r="R903" s="8"/>
      <c r="S903" s="9"/>
      <c r="T903" s="8"/>
      <c r="U903" s="8"/>
      <c r="W903" s="8"/>
    </row>
    <row r="904" spans="2:23" x14ac:dyDescent="0.55000000000000004">
      <c r="B904" s="3"/>
      <c r="C904" s="4"/>
      <c r="D904" s="4"/>
      <c r="E904" s="5"/>
      <c r="F904" s="4"/>
      <c r="G904" s="4"/>
      <c r="H904" s="4"/>
      <c r="I904" s="4"/>
      <c r="J904" s="4"/>
      <c r="K904" s="6"/>
      <c r="L904" s="6"/>
      <c r="M904" s="6"/>
      <c r="N904" s="6"/>
      <c r="O904" s="4"/>
      <c r="P904" s="3"/>
      <c r="Q904" s="8"/>
      <c r="R904" s="8"/>
      <c r="S904" s="9"/>
      <c r="T904" s="8"/>
      <c r="U904" s="8"/>
      <c r="W904" s="8"/>
    </row>
    <row r="905" spans="2:23" x14ac:dyDescent="0.55000000000000004">
      <c r="B905" s="3"/>
      <c r="C905" s="4"/>
      <c r="D905" s="4"/>
      <c r="E905" s="5"/>
      <c r="F905" s="4"/>
      <c r="G905" s="4"/>
      <c r="H905" s="4"/>
      <c r="I905" s="4"/>
      <c r="J905" s="4"/>
      <c r="K905" s="6"/>
      <c r="L905" s="6"/>
      <c r="M905" s="6"/>
      <c r="N905" s="6"/>
      <c r="O905" s="4"/>
      <c r="P905" s="3"/>
      <c r="Q905" s="8"/>
      <c r="R905" s="8"/>
      <c r="S905" s="9"/>
      <c r="T905" s="8"/>
      <c r="U905" s="8"/>
      <c r="W905" s="8"/>
    </row>
    <row r="906" spans="2:23" x14ac:dyDescent="0.55000000000000004">
      <c r="B906" s="3"/>
      <c r="C906" s="4"/>
      <c r="D906" s="4"/>
      <c r="E906" s="5"/>
      <c r="F906" s="4"/>
      <c r="G906" s="4"/>
      <c r="H906" s="4"/>
      <c r="I906" s="4"/>
      <c r="J906" s="4"/>
      <c r="K906" s="6"/>
      <c r="L906" s="6"/>
      <c r="M906" s="6"/>
      <c r="N906" s="6"/>
      <c r="O906" s="4"/>
      <c r="P906" s="3"/>
      <c r="Q906" s="8"/>
      <c r="R906" s="8"/>
      <c r="S906" s="9"/>
      <c r="T906" s="8"/>
      <c r="U906" s="8"/>
      <c r="W906" s="8"/>
    </row>
    <row r="907" spans="2:23" x14ac:dyDescent="0.55000000000000004">
      <c r="B907" s="3"/>
      <c r="C907" s="4"/>
      <c r="D907" s="4"/>
      <c r="E907" s="5"/>
      <c r="F907" s="4"/>
      <c r="G907" s="4"/>
      <c r="H907" s="4"/>
      <c r="I907" s="4"/>
      <c r="J907" s="4"/>
      <c r="K907" s="6"/>
      <c r="L907" s="6"/>
      <c r="M907" s="6"/>
      <c r="N907" s="6"/>
      <c r="O907" s="4"/>
      <c r="P907" s="3"/>
      <c r="Q907" s="8"/>
      <c r="R907" s="8"/>
      <c r="S907" s="9"/>
      <c r="T907" s="8"/>
      <c r="U907" s="8"/>
      <c r="W907" s="8"/>
    </row>
    <row r="908" spans="2:23" x14ac:dyDescent="0.55000000000000004">
      <c r="B908" s="3"/>
      <c r="C908" s="4"/>
      <c r="D908" s="4"/>
      <c r="E908" s="5"/>
      <c r="F908" s="4"/>
      <c r="G908" s="4"/>
      <c r="H908" s="4"/>
      <c r="I908" s="4"/>
      <c r="J908" s="4"/>
      <c r="K908" s="6"/>
      <c r="L908" s="6"/>
      <c r="M908" s="6"/>
      <c r="N908" s="6"/>
      <c r="O908" s="4"/>
      <c r="P908" s="3"/>
      <c r="Q908" s="8"/>
      <c r="R908" s="8"/>
      <c r="S908" s="9"/>
      <c r="T908" s="8"/>
      <c r="U908" s="8"/>
      <c r="W908" s="8"/>
    </row>
    <row r="909" spans="2:23" x14ac:dyDescent="0.55000000000000004">
      <c r="B909" s="3"/>
      <c r="C909" s="4"/>
      <c r="D909" s="4"/>
      <c r="E909" s="5"/>
      <c r="F909" s="4"/>
      <c r="G909" s="4"/>
      <c r="H909" s="4"/>
      <c r="I909" s="4"/>
      <c r="J909" s="4"/>
      <c r="K909" s="6"/>
      <c r="L909" s="6"/>
      <c r="M909" s="6"/>
      <c r="N909" s="6"/>
      <c r="O909" s="4"/>
      <c r="P909" s="3"/>
      <c r="Q909" s="8"/>
      <c r="R909" s="8"/>
      <c r="S909" s="9"/>
      <c r="T909" s="8"/>
      <c r="U909" s="8"/>
      <c r="W909" s="8"/>
    </row>
    <row r="910" spans="2:23" x14ac:dyDescent="0.55000000000000004">
      <c r="B910" s="3"/>
      <c r="C910" s="4"/>
      <c r="D910" s="4"/>
      <c r="E910" s="5"/>
      <c r="F910" s="4"/>
      <c r="G910" s="4"/>
      <c r="H910" s="4"/>
      <c r="I910" s="4"/>
      <c r="J910" s="4"/>
      <c r="K910" s="6"/>
      <c r="L910" s="6"/>
      <c r="M910" s="6"/>
      <c r="N910" s="6"/>
      <c r="O910" s="4"/>
      <c r="P910" s="3"/>
      <c r="Q910" s="8"/>
      <c r="R910" s="8"/>
      <c r="S910" s="9"/>
      <c r="T910" s="8"/>
      <c r="U910" s="8"/>
      <c r="W910" s="8"/>
    </row>
    <row r="911" spans="2:23" x14ac:dyDescent="0.55000000000000004">
      <c r="B911" s="3"/>
      <c r="C911" s="4"/>
      <c r="D911" s="4"/>
      <c r="E911" s="5"/>
      <c r="F911" s="4"/>
      <c r="G911" s="4"/>
      <c r="H911" s="4"/>
      <c r="I911" s="4"/>
      <c r="J911" s="4"/>
      <c r="K911" s="6"/>
      <c r="L911" s="6"/>
      <c r="M911" s="6"/>
      <c r="N911" s="6"/>
      <c r="O911" s="4"/>
      <c r="P911" s="3"/>
      <c r="Q911" s="8"/>
      <c r="R911" s="8"/>
      <c r="S911" s="9"/>
      <c r="T911" s="8"/>
      <c r="U911" s="8"/>
      <c r="W911" s="8"/>
    </row>
    <row r="912" spans="2:23" x14ac:dyDescent="0.55000000000000004">
      <c r="B912" s="3"/>
      <c r="C912" s="4"/>
      <c r="D912" s="4"/>
      <c r="E912" s="5"/>
      <c r="F912" s="4"/>
      <c r="G912" s="4"/>
      <c r="H912" s="4"/>
      <c r="I912" s="4"/>
      <c r="J912" s="4"/>
      <c r="K912" s="6"/>
      <c r="L912" s="6"/>
      <c r="M912" s="6"/>
      <c r="N912" s="6"/>
      <c r="O912" s="4"/>
      <c r="P912" s="3"/>
      <c r="Q912" s="8"/>
      <c r="R912" s="8"/>
      <c r="S912" s="9"/>
      <c r="T912" s="8"/>
      <c r="U912" s="8"/>
      <c r="W912" s="8"/>
    </row>
    <row r="913" spans="2:23" x14ac:dyDescent="0.55000000000000004">
      <c r="B913" s="3"/>
      <c r="C913" s="4"/>
      <c r="D913" s="4"/>
      <c r="E913" s="5"/>
      <c r="F913" s="4"/>
      <c r="G913" s="4"/>
      <c r="H913" s="4"/>
      <c r="I913" s="4"/>
      <c r="J913" s="4"/>
      <c r="K913" s="6"/>
      <c r="L913" s="6"/>
      <c r="M913" s="6"/>
      <c r="N913" s="6"/>
      <c r="O913" s="4"/>
      <c r="P913" s="3"/>
      <c r="Q913" s="8"/>
      <c r="R913" s="8"/>
      <c r="S913" s="9"/>
      <c r="T913" s="8"/>
      <c r="U913" s="8"/>
      <c r="W913" s="8"/>
    </row>
    <row r="914" spans="2:23" x14ac:dyDescent="0.55000000000000004">
      <c r="B914" s="3"/>
      <c r="C914" s="4"/>
      <c r="D914" s="4"/>
      <c r="E914" s="5"/>
      <c r="F914" s="4"/>
      <c r="G914" s="4"/>
      <c r="H914" s="4"/>
      <c r="I914" s="4"/>
      <c r="J914" s="4"/>
      <c r="K914" s="6"/>
      <c r="L914" s="6"/>
      <c r="M914" s="6"/>
      <c r="N914" s="6"/>
      <c r="O914" s="4"/>
      <c r="P914" s="3"/>
      <c r="Q914" s="8"/>
      <c r="R914" s="8"/>
      <c r="S914" s="9"/>
      <c r="T914" s="8"/>
      <c r="U914" s="8"/>
      <c r="W914" s="8"/>
    </row>
    <row r="915" spans="2:23" x14ac:dyDescent="0.55000000000000004">
      <c r="B915" s="3"/>
      <c r="C915" s="4"/>
      <c r="D915" s="4"/>
      <c r="E915" s="5"/>
      <c r="F915" s="4"/>
      <c r="G915" s="4"/>
      <c r="H915" s="4"/>
      <c r="I915" s="4"/>
      <c r="J915" s="4"/>
      <c r="K915" s="6"/>
      <c r="L915" s="6"/>
      <c r="M915" s="6"/>
      <c r="N915" s="6"/>
      <c r="O915" s="4"/>
      <c r="P915" s="3"/>
      <c r="Q915" s="8"/>
      <c r="R915" s="8"/>
      <c r="S915" s="9"/>
      <c r="T915" s="8"/>
      <c r="U915" s="8"/>
      <c r="W915" s="8"/>
    </row>
    <row r="916" spans="2:23" x14ac:dyDescent="0.55000000000000004">
      <c r="B916" s="3"/>
      <c r="C916" s="4"/>
      <c r="D916" s="4"/>
      <c r="E916" s="5"/>
      <c r="F916" s="4"/>
      <c r="G916" s="4"/>
      <c r="H916" s="4"/>
      <c r="I916" s="4"/>
      <c r="J916" s="4"/>
      <c r="K916" s="6"/>
      <c r="L916" s="6"/>
      <c r="M916" s="6"/>
      <c r="N916" s="6"/>
      <c r="O916" s="4"/>
      <c r="P916" s="3"/>
      <c r="Q916" s="8"/>
      <c r="R916" s="8"/>
      <c r="S916" s="9"/>
      <c r="T916" s="8"/>
      <c r="U916" s="8"/>
      <c r="W916" s="8"/>
    </row>
    <row r="917" spans="2:23" x14ac:dyDescent="0.55000000000000004">
      <c r="B917" s="3"/>
      <c r="C917" s="4"/>
      <c r="D917" s="4"/>
      <c r="E917" s="5"/>
      <c r="F917" s="4"/>
      <c r="G917" s="4"/>
      <c r="H917" s="4"/>
      <c r="I917" s="4"/>
      <c r="J917" s="4"/>
      <c r="K917" s="6"/>
      <c r="L917" s="6"/>
      <c r="M917" s="6"/>
      <c r="N917" s="6"/>
      <c r="O917" s="4"/>
      <c r="P917" s="3"/>
      <c r="Q917" s="8"/>
      <c r="R917" s="8"/>
      <c r="S917" s="9"/>
      <c r="T917" s="8"/>
      <c r="U917" s="8"/>
      <c r="W917" s="8"/>
    </row>
    <row r="918" spans="2:23" x14ac:dyDescent="0.55000000000000004">
      <c r="B918" s="3"/>
      <c r="C918" s="4"/>
      <c r="D918" s="4"/>
      <c r="E918" s="5"/>
      <c r="F918" s="4"/>
      <c r="G918" s="4"/>
      <c r="H918" s="4"/>
      <c r="I918" s="4"/>
      <c r="J918" s="4"/>
      <c r="K918" s="6"/>
      <c r="L918" s="6"/>
      <c r="M918" s="6"/>
      <c r="N918" s="6"/>
      <c r="O918" s="4"/>
      <c r="P918" s="3"/>
      <c r="Q918" s="8"/>
      <c r="R918" s="8"/>
      <c r="S918" s="9"/>
      <c r="T918" s="8"/>
      <c r="U918" s="8"/>
      <c r="W918" s="8"/>
    </row>
    <row r="919" spans="2:23" x14ac:dyDescent="0.55000000000000004">
      <c r="B919" s="3"/>
      <c r="C919" s="4"/>
      <c r="D919" s="4"/>
      <c r="E919" s="5"/>
      <c r="F919" s="4"/>
      <c r="G919" s="4"/>
      <c r="H919" s="4"/>
      <c r="I919" s="4"/>
      <c r="J919" s="4"/>
      <c r="K919" s="6"/>
      <c r="L919" s="6"/>
      <c r="M919" s="6"/>
      <c r="N919" s="6"/>
      <c r="O919" s="4"/>
      <c r="P919" s="3"/>
      <c r="Q919" s="8"/>
      <c r="R919" s="8"/>
      <c r="S919" s="9"/>
      <c r="T919" s="8"/>
      <c r="U919" s="8"/>
      <c r="W919" s="8"/>
    </row>
    <row r="920" spans="2:23" x14ac:dyDescent="0.55000000000000004">
      <c r="B920" s="3"/>
      <c r="C920" s="4"/>
      <c r="D920" s="4"/>
      <c r="E920" s="5"/>
      <c r="F920" s="4"/>
      <c r="G920" s="4"/>
      <c r="H920" s="4"/>
      <c r="I920" s="4"/>
      <c r="J920" s="4"/>
      <c r="K920" s="6"/>
      <c r="L920" s="6"/>
      <c r="M920" s="6"/>
      <c r="N920" s="6"/>
      <c r="O920" s="4"/>
      <c r="P920" s="3"/>
      <c r="Q920" s="8"/>
      <c r="R920" s="8"/>
      <c r="S920" s="9"/>
      <c r="T920" s="8"/>
      <c r="U920" s="8"/>
      <c r="W920" s="8"/>
    </row>
    <row r="921" spans="2:23" x14ac:dyDescent="0.55000000000000004">
      <c r="B921" s="3"/>
      <c r="C921" s="4"/>
      <c r="D921" s="4"/>
      <c r="E921" s="5"/>
      <c r="F921" s="4"/>
      <c r="G921" s="4"/>
      <c r="H921" s="4"/>
      <c r="I921" s="4"/>
      <c r="J921" s="4"/>
      <c r="K921" s="6"/>
      <c r="L921" s="6"/>
      <c r="M921" s="6"/>
      <c r="N921" s="6"/>
      <c r="O921" s="4"/>
      <c r="P921" s="3"/>
      <c r="Q921" s="8"/>
      <c r="R921" s="8"/>
      <c r="S921" s="9"/>
      <c r="T921" s="8"/>
      <c r="U921" s="8"/>
      <c r="W921" s="8"/>
    </row>
    <row r="922" spans="2:23" x14ac:dyDescent="0.55000000000000004">
      <c r="B922" s="3"/>
      <c r="C922" s="4"/>
      <c r="D922" s="4"/>
      <c r="E922" s="5"/>
      <c r="F922" s="4"/>
      <c r="G922" s="4"/>
      <c r="H922" s="4"/>
      <c r="I922" s="4"/>
      <c r="J922" s="4"/>
      <c r="K922" s="6"/>
      <c r="L922" s="6"/>
      <c r="M922" s="6"/>
      <c r="N922" s="6"/>
      <c r="O922" s="4"/>
      <c r="P922" s="3"/>
      <c r="Q922" s="8"/>
      <c r="R922" s="8"/>
      <c r="S922" s="9"/>
      <c r="T922" s="8"/>
      <c r="U922" s="8"/>
      <c r="W922" s="8"/>
    </row>
    <row r="923" spans="2:23" x14ac:dyDescent="0.55000000000000004">
      <c r="B923" s="3"/>
      <c r="C923" s="4"/>
      <c r="D923" s="4"/>
      <c r="E923" s="5"/>
      <c r="F923" s="4"/>
      <c r="G923" s="4"/>
      <c r="H923" s="4"/>
      <c r="I923" s="4"/>
      <c r="J923" s="4"/>
      <c r="K923" s="6"/>
      <c r="L923" s="6"/>
      <c r="M923" s="6"/>
      <c r="N923" s="6"/>
      <c r="O923" s="4"/>
      <c r="P923" s="3"/>
      <c r="Q923" s="8"/>
      <c r="R923" s="8"/>
      <c r="S923" s="9"/>
      <c r="T923" s="8"/>
      <c r="U923" s="8"/>
      <c r="W923" s="8"/>
    </row>
    <row r="924" spans="2:23" x14ac:dyDescent="0.55000000000000004">
      <c r="B924" s="3"/>
      <c r="C924" s="4"/>
      <c r="D924" s="4"/>
      <c r="E924" s="5"/>
      <c r="F924" s="4"/>
      <c r="G924" s="4"/>
      <c r="H924" s="4"/>
      <c r="I924" s="4"/>
      <c r="J924" s="4"/>
      <c r="K924" s="6"/>
      <c r="L924" s="6"/>
      <c r="M924" s="6"/>
      <c r="N924" s="6"/>
      <c r="O924" s="4"/>
      <c r="P924" s="3"/>
      <c r="Q924" s="8"/>
      <c r="R924" s="8"/>
      <c r="S924" s="9"/>
      <c r="T924" s="8"/>
      <c r="U924" s="8"/>
      <c r="W924" s="8"/>
    </row>
    <row r="925" spans="2:23" x14ac:dyDescent="0.55000000000000004">
      <c r="B925" s="3"/>
      <c r="C925" s="4"/>
      <c r="D925" s="4"/>
      <c r="E925" s="5"/>
      <c r="F925" s="4"/>
      <c r="G925" s="4"/>
      <c r="H925" s="4"/>
      <c r="I925" s="4"/>
      <c r="J925" s="4"/>
      <c r="K925" s="6"/>
      <c r="L925" s="6"/>
      <c r="M925" s="6"/>
      <c r="N925" s="6"/>
      <c r="O925" s="4"/>
      <c r="P925" s="3"/>
      <c r="Q925" s="8"/>
      <c r="R925" s="8"/>
      <c r="S925" s="9"/>
      <c r="T925" s="8"/>
      <c r="U925" s="8"/>
      <c r="W925" s="8"/>
    </row>
    <row r="926" spans="2:23" x14ac:dyDescent="0.55000000000000004">
      <c r="B926" s="3"/>
      <c r="C926" s="4"/>
      <c r="D926" s="4"/>
      <c r="E926" s="5"/>
      <c r="F926" s="4"/>
      <c r="G926" s="4"/>
      <c r="H926" s="4"/>
      <c r="I926" s="4"/>
      <c r="J926" s="4"/>
      <c r="K926" s="6"/>
      <c r="L926" s="6"/>
      <c r="M926" s="6"/>
      <c r="N926" s="6"/>
      <c r="O926" s="4"/>
      <c r="P926" s="3"/>
      <c r="Q926" s="8"/>
      <c r="R926" s="8"/>
      <c r="S926" s="9"/>
      <c r="T926" s="8"/>
      <c r="U926" s="8"/>
      <c r="W926" s="8"/>
    </row>
    <row r="927" spans="2:23" x14ac:dyDescent="0.55000000000000004">
      <c r="B927" s="3"/>
      <c r="C927" s="4"/>
      <c r="D927" s="4"/>
      <c r="E927" s="5"/>
      <c r="F927" s="4"/>
      <c r="G927" s="4"/>
      <c r="H927" s="4"/>
      <c r="I927" s="4"/>
      <c r="J927" s="4"/>
      <c r="K927" s="6"/>
      <c r="L927" s="6"/>
      <c r="M927" s="6"/>
      <c r="N927" s="6"/>
      <c r="O927" s="4"/>
      <c r="P927" s="3"/>
      <c r="Q927" s="8"/>
      <c r="R927" s="8"/>
      <c r="S927" s="9"/>
      <c r="T927" s="8"/>
      <c r="U927" s="8"/>
      <c r="W927" s="8"/>
    </row>
    <row r="928" spans="2:23" x14ac:dyDescent="0.55000000000000004">
      <c r="B928" s="3"/>
      <c r="C928" s="4"/>
      <c r="D928" s="4"/>
      <c r="E928" s="5"/>
      <c r="F928" s="4"/>
      <c r="G928" s="4"/>
      <c r="H928" s="4"/>
      <c r="I928" s="4"/>
      <c r="J928" s="4"/>
      <c r="K928" s="6"/>
      <c r="L928" s="6"/>
      <c r="M928" s="6"/>
      <c r="N928" s="6"/>
      <c r="O928" s="4"/>
      <c r="P928" s="3"/>
      <c r="Q928" s="8"/>
      <c r="R928" s="8"/>
      <c r="S928" s="9"/>
      <c r="T928" s="8"/>
      <c r="U928" s="8"/>
      <c r="W928" s="8"/>
    </row>
    <row r="929" spans="2:23" x14ac:dyDescent="0.55000000000000004">
      <c r="B929" s="3"/>
      <c r="C929" s="4"/>
      <c r="D929" s="4"/>
      <c r="E929" s="5"/>
      <c r="F929" s="4"/>
      <c r="G929" s="4"/>
      <c r="H929" s="4"/>
      <c r="I929" s="4"/>
      <c r="J929" s="4"/>
      <c r="K929" s="6"/>
      <c r="L929" s="6"/>
      <c r="M929" s="6"/>
      <c r="N929" s="6"/>
      <c r="O929" s="4"/>
      <c r="P929" s="3"/>
      <c r="Q929" s="8"/>
      <c r="R929" s="8"/>
      <c r="S929" s="9"/>
      <c r="T929" s="8"/>
      <c r="U929" s="8"/>
      <c r="W929" s="8"/>
    </row>
    <row r="930" spans="2:23" x14ac:dyDescent="0.55000000000000004">
      <c r="B930" s="3"/>
      <c r="C930" s="4"/>
      <c r="D930" s="4"/>
      <c r="E930" s="5"/>
      <c r="F930" s="4"/>
      <c r="G930" s="4"/>
      <c r="H930" s="4"/>
      <c r="I930" s="4"/>
      <c r="J930" s="4"/>
      <c r="K930" s="6"/>
      <c r="L930" s="6"/>
      <c r="M930" s="6"/>
      <c r="N930" s="6"/>
      <c r="O930" s="4"/>
      <c r="P930" s="3"/>
      <c r="Q930" s="8"/>
      <c r="R930" s="8"/>
      <c r="S930" s="9"/>
      <c r="T930" s="8"/>
      <c r="U930" s="8"/>
      <c r="W930" s="8"/>
    </row>
    <row r="931" spans="2:23" x14ac:dyDescent="0.55000000000000004">
      <c r="B931" s="3"/>
      <c r="C931" s="4"/>
      <c r="D931" s="4"/>
      <c r="E931" s="5"/>
      <c r="F931" s="4"/>
      <c r="G931" s="4"/>
      <c r="H931" s="4"/>
      <c r="I931" s="4"/>
      <c r="J931" s="4"/>
      <c r="K931" s="6"/>
      <c r="L931" s="6"/>
      <c r="M931" s="6"/>
      <c r="N931" s="6"/>
      <c r="O931" s="4"/>
      <c r="P931" s="3"/>
      <c r="Q931" s="8"/>
      <c r="R931" s="8"/>
      <c r="S931" s="9"/>
      <c r="T931" s="8"/>
      <c r="U931" s="8"/>
      <c r="W931" s="8"/>
    </row>
    <row r="932" spans="2:23" x14ac:dyDescent="0.55000000000000004">
      <c r="B932" s="3"/>
      <c r="C932" s="4"/>
      <c r="D932" s="4"/>
      <c r="E932" s="5"/>
      <c r="F932" s="4"/>
      <c r="G932" s="4"/>
      <c r="H932" s="4"/>
      <c r="I932" s="4"/>
      <c r="J932" s="4"/>
      <c r="K932" s="6"/>
      <c r="L932" s="6"/>
      <c r="M932" s="6"/>
      <c r="N932" s="6"/>
      <c r="O932" s="4"/>
      <c r="P932" s="3"/>
      <c r="Q932" s="8"/>
      <c r="R932" s="8"/>
      <c r="S932" s="9"/>
      <c r="T932" s="8"/>
      <c r="U932" s="8"/>
      <c r="W932" s="8"/>
    </row>
    <row r="933" spans="2:23" x14ac:dyDescent="0.55000000000000004">
      <c r="B933" s="3"/>
      <c r="C933" s="4"/>
      <c r="D933" s="4"/>
      <c r="E933" s="5"/>
      <c r="F933" s="4"/>
      <c r="G933" s="4"/>
      <c r="H933" s="4"/>
      <c r="I933" s="4"/>
      <c r="J933" s="4"/>
      <c r="K933" s="6"/>
      <c r="L933" s="6"/>
      <c r="M933" s="6"/>
      <c r="N933" s="6"/>
      <c r="O933" s="4"/>
      <c r="P933" s="3"/>
      <c r="Q933" s="8"/>
      <c r="R933" s="8"/>
      <c r="S933" s="9"/>
      <c r="T933" s="8"/>
      <c r="U933" s="8"/>
      <c r="W933" s="8"/>
    </row>
    <row r="934" spans="2:23" x14ac:dyDescent="0.55000000000000004">
      <c r="B934" s="3"/>
      <c r="C934" s="4"/>
      <c r="D934" s="4"/>
      <c r="E934" s="5"/>
      <c r="F934" s="4"/>
      <c r="G934" s="4"/>
      <c r="H934" s="4"/>
      <c r="I934" s="4"/>
      <c r="J934" s="4"/>
      <c r="K934" s="6"/>
      <c r="L934" s="6"/>
      <c r="M934" s="6"/>
      <c r="N934" s="6"/>
      <c r="O934" s="4"/>
      <c r="P934" s="3"/>
      <c r="Q934" s="8"/>
      <c r="R934" s="8"/>
      <c r="S934" s="9"/>
      <c r="T934" s="8"/>
      <c r="U934" s="8"/>
      <c r="W934" s="8"/>
    </row>
    <row r="935" spans="2:23" x14ac:dyDescent="0.55000000000000004">
      <c r="B935" s="3"/>
      <c r="C935" s="4"/>
      <c r="D935" s="4"/>
      <c r="E935" s="5"/>
      <c r="F935" s="4"/>
      <c r="G935" s="4"/>
      <c r="H935" s="4"/>
      <c r="I935" s="4"/>
      <c r="J935" s="4"/>
      <c r="K935" s="6"/>
      <c r="L935" s="6"/>
      <c r="M935" s="6"/>
      <c r="N935" s="6"/>
      <c r="O935" s="4"/>
      <c r="P935" s="3"/>
      <c r="Q935" s="8"/>
      <c r="R935" s="8"/>
      <c r="S935" s="9"/>
      <c r="T935" s="8"/>
      <c r="U935" s="8"/>
      <c r="W935" s="8"/>
    </row>
    <row r="936" spans="2:23" x14ac:dyDescent="0.55000000000000004">
      <c r="B936" s="3"/>
      <c r="C936" s="4"/>
      <c r="D936" s="4"/>
      <c r="E936" s="5"/>
      <c r="F936" s="4"/>
      <c r="G936" s="4"/>
      <c r="H936" s="4"/>
      <c r="I936" s="4"/>
      <c r="J936" s="4"/>
      <c r="K936" s="6"/>
      <c r="L936" s="6"/>
      <c r="M936" s="6"/>
      <c r="N936" s="6"/>
      <c r="O936" s="4"/>
      <c r="P936" s="3"/>
      <c r="Q936" s="8"/>
      <c r="R936" s="8"/>
      <c r="S936" s="9"/>
      <c r="T936" s="8"/>
      <c r="U936" s="8"/>
      <c r="W936" s="8"/>
    </row>
    <row r="937" spans="2:23" x14ac:dyDescent="0.55000000000000004">
      <c r="B937" s="3"/>
      <c r="C937" s="4"/>
      <c r="D937" s="4"/>
      <c r="E937" s="5"/>
      <c r="F937" s="4"/>
      <c r="G937" s="4"/>
      <c r="H937" s="4"/>
      <c r="I937" s="4"/>
      <c r="J937" s="4"/>
      <c r="K937" s="6"/>
      <c r="L937" s="6"/>
      <c r="M937" s="6"/>
      <c r="N937" s="6"/>
      <c r="O937" s="4"/>
      <c r="P937" s="3"/>
      <c r="Q937" s="8"/>
      <c r="R937" s="8"/>
      <c r="S937" s="9"/>
      <c r="T937" s="8"/>
      <c r="U937" s="8"/>
      <c r="W937" s="8"/>
    </row>
    <row r="938" spans="2:23" x14ac:dyDescent="0.55000000000000004">
      <c r="B938" s="3"/>
      <c r="C938" s="4"/>
      <c r="D938" s="4"/>
      <c r="E938" s="5"/>
      <c r="F938" s="4"/>
      <c r="G938" s="4"/>
      <c r="H938" s="4"/>
      <c r="I938" s="4"/>
      <c r="J938" s="4"/>
      <c r="K938" s="6"/>
      <c r="L938" s="6"/>
      <c r="M938" s="6"/>
      <c r="N938" s="6"/>
      <c r="O938" s="4"/>
      <c r="P938" s="3"/>
      <c r="Q938" s="8"/>
      <c r="R938" s="8"/>
      <c r="S938" s="9"/>
      <c r="T938" s="8"/>
      <c r="U938" s="8"/>
      <c r="W938" s="8"/>
    </row>
    <row r="939" spans="2:23" x14ac:dyDescent="0.55000000000000004">
      <c r="B939" s="3"/>
      <c r="C939" s="4"/>
      <c r="D939" s="4"/>
      <c r="E939" s="5"/>
      <c r="F939" s="4"/>
      <c r="G939" s="4"/>
      <c r="H939" s="4"/>
      <c r="I939" s="4"/>
      <c r="J939" s="4"/>
      <c r="K939" s="6"/>
      <c r="L939" s="6"/>
      <c r="M939" s="6"/>
      <c r="N939" s="6"/>
      <c r="O939" s="4"/>
      <c r="P939" s="3"/>
      <c r="Q939" s="8"/>
      <c r="R939" s="8"/>
      <c r="S939" s="9"/>
      <c r="T939" s="8"/>
      <c r="U939" s="8"/>
      <c r="W939" s="8"/>
    </row>
    <row r="940" spans="2:23" x14ac:dyDescent="0.55000000000000004">
      <c r="B940" s="3"/>
      <c r="C940" s="4"/>
      <c r="D940" s="4"/>
      <c r="E940" s="5"/>
      <c r="F940" s="4"/>
      <c r="G940" s="4"/>
      <c r="H940" s="4"/>
      <c r="I940" s="4"/>
      <c r="J940" s="4"/>
      <c r="K940" s="6"/>
      <c r="L940" s="6"/>
      <c r="M940" s="6"/>
      <c r="N940" s="6"/>
      <c r="O940" s="4"/>
      <c r="P940" s="3"/>
      <c r="Q940" s="8"/>
      <c r="R940" s="8"/>
      <c r="S940" s="9"/>
      <c r="T940" s="8"/>
      <c r="U940" s="8"/>
      <c r="W940" s="8"/>
    </row>
    <row r="941" spans="2:23" x14ac:dyDescent="0.55000000000000004">
      <c r="B941" s="3"/>
      <c r="C941" s="4"/>
      <c r="D941" s="4"/>
      <c r="E941" s="5"/>
      <c r="F941" s="4"/>
      <c r="G941" s="4"/>
      <c r="H941" s="4"/>
      <c r="I941" s="4"/>
      <c r="J941" s="4"/>
      <c r="K941" s="6"/>
      <c r="L941" s="6"/>
      <c r="M941" s="6"/>
      <c r="N941" s="6"/>
      <c r="O941" s="4"/>
      <c r="P941" s="3"/>
      <c r="Q941" s="8"/>
      <c r="R941" s="8"/>
      <c r="S941" s="9"/>
      <c r="T941" s="8"/>
      <c r="U941" s="8"/>
      <c r="W941" s="8"/>
    </row>
    <row r="942" spans="2:23" x14ac:dyDescent="0.55000000000000004">
      <c r="B942" s="3"/>
      <c r="C942" s="4"/>
      <c r="D942" s="4"/>
      <c r="E942" s="5"/>
      <c r="F942" s="4"/>
      <c r="G942" s="4"/>
      <c r="H942" s="4"/>
      <c r="I942" s="4"/>
      <c r="J942" s="4"/>
      <c r="K942" s="6"/>
      <c r="L942" s="6"/>
      <c r="M942" s="6"/>
      <c r="N942" s="6"/>
      <c r="O942" s="4"/>
      <c r="P942" s="3"/>
      <c r="Q942" s="8"/>
      <c r="R942" s="8"/>
      <c r="S942" s="9"/>
      <c r="T942" s="8"/>
      <c r="U942" s="8"/>
      <c r="W942" s="8"/>
    </row>
    <row r="943" spans="2:23" x14ac:dyDescent="0.55000000000000004">
      <c r="B943" s="3"/>
      <c r="C943" s="4"/>
      <c r="D943" s="4"/>
      <c r="E943" s="5"/>
      <c r="F943" s="4"/>
      <c r="G943" s="4"/>
      <c r="H943" s="4"/>
      <c r="I943" s="4"/>
      <c r="J943" s="4"/>
      <c r="K943" s="6"/>
      <c r="L943" s="6"/>
      <c r="M943" s="6"/>
      <c r="N943" s="6"/>
      <c r="O943" s="4"/>
      <c r="P943" s="3"/>
      <c r="Q943" s="8"/>
      <c r="R943" s="8"/>
      <c r="S943" s="9"/>
      <c r="T943" s="8"/>
      <c r="U943" s="8"/>
      <c r="W943" s="8"/>
    </row>
    <row r="944" spans="2:23" x14ac:dyDescent="0.55000000000000004">
      <c r="B944" s="3"/>
      <c r="C944" s="4"/>
      <c r="D944" s="4"/>
      <c r="E944" s="5"/>
      <c r="F944" s="4"/>
      <c r="G944" s="4"/>
      <c r="H944" s="4"/>
      <c r="I944" s="4"/>
      <c r="J944" s="4"/>
      <c r="K944" s="6"/>
      <c r="L944" s="6"/>
      <c r="M944" s="6"/>
      <c r="N944" s="6"/>
      <c r="O944" s="4"/>
      <c r="P944" s="3"/>
      <c r="Q944" s="8"/>
      <c r="R944" s="8"/>
      <c r="S944" s="9"/>
      <c r="T944" s="8"/>
      <c r="U944" s="8"/>
      <c r="W944" s="8"/>
    </row>
    <row r="945" spans="2:23" x14ac:dyDescent="0.55000000000000004">
      <c r="B945" s="3"/>
      <c r="C945" s="4"/>
      <c r="D945" s="4"/>
      <c r="E945" s="5"/>
      <c r="F945" s="4"/>
      <c r="G945" s="4"/>
      <c r="H945" s="4"/>
      <c r="I945" s="4"/>
      <c r="J945" s="4"/>
      <c r="K945" s="6"/>
      <c r="L945" s="6"/>
      <c r="M945" s="6"/>
      <c r="N945" s="6"/>
      <c r="O945" s="4"/>
      <c r="P945" s="3"/>
      <c r="Q945" s="8"/>
      <c r="R945" s="8"/>
      <c r="S945" s="9"/>
      <c r="T945" s="8"/>
      <c r="U945" s="8"/>
      <c r="W945" s="8"/>
    </row>
    <row r="946" spans="2:23" x14ac:dyDescent="0.55000000000000004">
      <c r="B946" s="3"/>
      <c r="C946" s="4"/>
      <c r="D946" s="4"/>
      <c r="E946" s="5"/>
      <c r="F946" s="4"/>
      <c r="G946" s="4"/>
      <c r="H946" s="4"/>
      <c r="I946" s="4"/>
      <c r="J946" s="4"/>
      <c r="K946" s="6"/>
      <c r="L946" s="6"/>
      <c r="M946" s="6"/>
      <c r="N946" s="6"/>
      <c r="O946" s="4"/>
      <c r="P946" s="3"/>
      <c r="Q946" s="8"/>
      <c r="R946" s="8"/>
      <c r="S946" s="9"/>
      <c r="T946" s="8"/>
      <c r="U946" s="8"/>
      <c r="W946" s="8"/>
    </row>
    <row r="947" spans="2:23" x14ac:dyDescent="0.55000000000000004">
      <c r="B947" s="3"/>
      <c r="C947" s="4"/>
      <c r="D947" s="4"/>
      <c r="E947" s="5"/>
      <c r="F947" s="4"/>
      <c r="G947" s="4"/>
      <c r="H947" s="4"/>
      <c r="I947" s="4"/>
      <c r="J947" s="4"/>
      <c r="K947" s="6"/>
      <c r="L947" s="6"/>
      <c r="M947" s="6"/>
      <c r="N947" s="6"/>
      <c r="O947" s="4"/>
      <c r="P947" s="3"/>
      <c r="Q947" s="8"/>
      <c r="R947" s="8"/>
      <c r="S947" s="9"/>
      <c r="T947" s="8"/>
      <c r="U947" s="8"/>
      <c r="W947" s="8"/>
    </row>
    <row r="948" spans="2:23" x14ac:dyDescent="0.55000000000000004">
      <c r="B948" s="3"/>
      <c r="C948" s="4"/>
      <c r="D948" s="4"/>
      <c r="E948" s="5"/>
      <c r="F948" s="4"/>
      <c r="G948" s="4"/>
      <c r="H948" s="4"/>
      <c r="I948" s="4"/>
      <c r="J948" s="4"/>
      <c r="K948" s="6"/>
      <c r="L948" s="6"/>
      <c r="M948" s="6"/>
      <c r="N948" s="6"/>
      <c r="O948" s="4"/>
      <c r="P948" s="3"/>
      <c r="Q948" s="8"/>
      <c r="R948" s="8"/>
      <c r="S948" s="9"/>
      <c r="T948" s="8"/>
      <c r="U948" s="8"/>
      <c r="W948" s="8"/>
    </row>
    <row r="949" spans="2:23" x14ac:dyDescent="0.55000000000000004">
      <c r="B949" s="3"/>
      <c r="C949" s="4"/>
      <c r="D949" s="4"/>
      <c r="E949" s="5"/>
      <c r="F949" s="4"/>
      <c r="G949" s="4"/>
      <c r="H949" s="4"/>
      <c r="I949" s="4"/>
      <c r="J949" s="4"/>
      <c r="K949" s="6"/>
      <c r="L949" s="6"/>
      <c r="M949" s="6"/>
      <c r="N949" s="6"/>
      <c r="O949" s="4"/>
      <c r="P949" s="3"/>
      <c r="Q949" s="8"/>
      <c r="R949" s="8"/>
      <c r="S949" s="9"/>
      <c r="T949" s="8"/>
      <c r="U949" s="8"/>
      <c r="W949" s="8"/>
    </row>
    <row r="950" spans="2:23" x14ac:dyDescent="0.55000000000000004">
      <c r="B950" s="3"/>
      <c r="C950" s="4"/>
      <c r="D950" s="4"/>
      <c r="E950" s="5"/>
      <c r="F950" s="4"/>
      <c r="G950" s="4"/>
      <c r="H950" s="4"/>
      <c r="I950" s="4"/>
      <c r="J950" s="4"/>
      <c r="K950" s="6"/>
      <c r="L950" s="6"/>
      <c r="M950" s="6"/>
      <c r="N950" s="6"/>
      <c r="O950" s="4"/>
      <c r="P950" s="3"/>
      <c r="Q950" s="8"/>
      <c r="R950" s="8"/>
      <c r="S950" s="9"/>
      <c r="T950" s="8"/>
      <c r="U950" s="8"/>
      <c r="W950" s="8"/>
    </row>
    <row r="951" spans="2:23" x14ac:dyDescent="0.55000000000000004">
      <c r="B951" s="3"/>
      <c r="C951" s="4"/>
      <c r="D951" s="4"/>
      <c r="E951" s="5"/>
      <c r="F951" s="4"/>
      <c r="G951" s="4"/>
      <c r="H951" s="4"/>
      <c r="I951" s="4"/>
      <c r="J951" s="4"/>
      <c r="K951" s="6"/>
      <c r="L951" s="6"/>
      <c r="M951" s="6"/>
      <c r="N951" s="6"/>
      <c r="O951" s="4"/>
      <c r="P951" s="3"/>
      <c r="Q951" s="8"/>
      <c r="R951" s="8"/>
      <c r="S951" s="9"/>
      <c r="T951" s="8"/>
      <c r="U951" s="8"/>
      <c r="W951" s="8"/>
    </row>
    <row r="952" spans="2:23" x14ac:dyDescent="0.55000000000000004">
      <c r="B952" s="3"/>
      <c r="C952" s="4"/>
      <c r="D952" s="4"/>
      <c r="E952" s="5"/>
      <c r="F952" s="4"/>
      <c r="G952" s="4"/>
      <c r="H952" s="4"/>
      <c r="I952" s="4"/>
      <c r="J952" s="4"/>
      <c r="K952" s="6"/>
      <c r="L952" s="6"/>
      <c r="M952" s="6"/>
      <c r="N952" s="6"/>
      <c r="O952" s="4"/>
      <c r="P952" s="3"/>
      <c r="Q952" s="8"/>
      <c r="R952" s="8"/>
      <c r="S952" s="9"/>
      <c r="T952" s="8"/>
      <c r="U952" s="8"/>
      <c r="W952" s="8"/>
    </row>
    <row r="953" spans="2:23" x14ac:dyDescent="0.55000000000000004">
      <c r="B953" s="3"/>
      <c r="C953" s="4"/>
      <c r="D953" s="4"/>
      <c r="E953" s="5"/>
      <c r="F953" s="4"/>
      <c r="G953" s="4"/>
      <c r="H953" s="4"/>
      <c r="I953" s="4"/>
      <c r="J953" s="4"/>
      <c r="K953" s="6"/>
      <c r="L953" s="6"/>
      <c r="M953" s="6"/>
      <c r="N953" s="6"/>
      <c r="O953" s="4"/>
      <c r="P953" s="3"/>
      <c r="Q953" s="8"/>
      <c r="R953" s="8"/>
      <c r="S953" s="9"/>
      <c r="T953" s="8"/>
      <c r="U953" s="8"/>
      <c r="W953" s="8"/>
    </row>
    <row r="954" spans="2:23" x14ac:dyDescent="0.55000000000000004">
      <c r="B954" s="3"/>
      <c r="C954" s="4"/>
      <c r="D954" s="4"/>
      <c r="E954" s="5"/>
      <c r="F954" s="4"/>
      <c r="G954" s="4"/>
      <c r="H954" s="4"/>
      <c r="I954" s="4"/>
      <c r="J954" s="4"/>
      <c r="K954" s="6"/>
      <c r="L954" s="6"/>
      <c r="M954" s="6"/>
      <c r="N954" s="6"/>
      <c r="O954" s="4"/>
      <c r="P954" s="3"/>
      <c r="Q954" s="8"/>
      <c r="R954" s="8"/>
      <c r="S954" s="9"/>
      <c r="T954" s="8"/>
      <c r="U954" s="8"/>
      <c r="W954" s="8"/>
    </row>
    <row r="955" spans="2:23" x14ac:dyDescent="0.55000000000000004">
      <c r="B955" s="3"/>
      <c r="C955" s="4"/>
      <c r="D955" s="4"/>
      <c r="E955" s="5"/>
      <c r="F955" s="4"/>
      <c r="G955" s="4"/>
      <c r="H955" s="4"/>
      <c r="I955" s="4"/>
      <c r="J955" s="4"/>
      <c r="K955" s="6"/>
      <c r="L955" s="6"/>
      <c r="M955" s="6"/>
      <c r="N955" s="6"/>
      <c r="O955" s="4"/>
      <c r="P955" s="3"/>
      <c r="Q955" s="8"/>
      <c r="R955" s="8"/>
      <c r="S955" s="9"/>
      <c r="T955" s="8"/>
      <c r="U955" s="8"/>
      <c r="W955" s="8"/>
    </row>
    <row r="956" spans="2:23" x14ac:dyDescent="0.55000000000000004">
      <c r="B956" s="3"/>
      <c r="C956" s="4"/>
      <c r="D956" s="4"/>
      <c r="E956" s="5"/>
      <c r="F956" s="4"/>
      <c r="G956" s="4"/>
      <c r="H956" s="4"/>
      <c r="I956" s="4"/>
      <c r="J956" s="4"/>
      <c r="K956" s="6"/>
      <c r="L956" s="6"/>
      <c r="M956" s="6"/>
      <c r="N956" s="6"/>
      <c r="O956" s="4"/>
      <c r="P956" s="3"/>
      <c r="Q956" s="8"/>
      <c r="R956" s="8"/>
      <c r="S956" s="9"/>
      <c r="T956" s="8"/>
      <c r="U956" s="8"/>
      <c r="W956" s="8"/>
    </row>
    <row r="957" spans="2:23" x14ac:dyDescent="0.55000000000000004">
      <c r="B957" s="3"/>
      <c r="C957" s="4"/>
      <c r="D957" s="4"/>
      <c r="E957" s="5"/>
      <c r="F957" s="4"/>
      <c r="G957" s="4"/>
      <c r="H957" s="4"/>
      <c r="I957" s="4"/>
      <c r="J957" s="4"/>
      <c r="K957" s="6"/>
      <c r="L957" s="6"/>
      <c r="M957" s="6"/>
      <c r="N957" s="6"/>
      <c r="O957" s="4"/>
      <c r="P957" s="3"/>
      <c r="Q957" s="8"/>
      <c r="R957" s="8"/>
      <c r="S957" s="9"/>
      <c r="T957" s="8"/>
      <c r="U957" s="8"/>
      <c r="W957" s="8"/>
    </row>
    <row r="958" spans="2:23" x14ac:dyDescent="0.55000000000000004">
      <c r="B958" s="3"/>
      <c r="C958" s="4"/>
      <c r="D958" s="4"/>
      <c r="E958" s="5"/>
      <c r="F958" s="4"/>
      <c r="G958" s="4"/>
      <c r="H958" s="4"/>
      <c r="I958" s="4"/>
      <c r="J958" s="4"/>
      <c r="K958" s="6"/>
      <c r="L958" s="6"/>
      <c r="M958" s="6"/>
      <c r="N958" s="6"/>
      <c r="O958" s="4"/>
      <c r="P958" s="3"/>
      <c r="Q958" s="8"/>
      <c r="R958" s="8"/>
      <c r="S958" s="9"/>
      <c r="T958" s="8"/>
      <c r="U958" s="8"/>
      <c r="W958" s="8"/>
    </row>
    <row r="959" spans="2:23" x14ac:dyDescent="0.55000000000000004">
      <c r="B959" s="3"/>
      <c r="C959" s="4"/>
      <c r="D959" s="4"/>
      <c r="E959" s="5"/>
      <c r="F959" s="4"/>
      <c r="G959" s="4"/>
      <c r="H959" s="4"/>
      <c r="I959" s="4"/>
      <c r="J959" s="4"/>
      <c r="K959" s="6"/>
      <c r="L959" s="6"/>
      <c r="M959" s="6"/>
      <c r="N959" s="6"/>
      <c r="O959" s="4"/>
      <c r="P959" s="3"/>
      <c r="Q959" s="8"/>
      <c r="R959" s="8"/>
      <c r="S959" s="9"/>
      <c r="T959" s="8"/>
      <c r="U959" s="8"/>
      <c r="W959" s="8"/>
    </row>
    <row r="960" spans="2:23" x14ac:dyDescent="0.55000000000000004">
      <c r="B960" s="3"/>
      <c r="C960" s="4"/>
      <c r="D960" s="4"/>
      <c r="E960" s="5"/>
      <c r="F960" s="4"/>
      <c r="G960" s="4"/>
      <c r="H960" s="4"/>
      <c r="I960" s="4"/>
      <c r="J960" s="4"/>
      <c r="K960" s="6"/>
      <c r="L960" s="6"/>
      <c r="M960" s="6"/>
      <c r="N960" s="6"/>
      <c r="O960" s="4"/>
      <c r="P960" s="3"/>
      <c r="Q960" s="8"/>
      <c r="R960" s="8"/>
      <c r="S960" s="9"/>
      <c r="T960" s="8"/>
      <c r="U960" s="8"/>
      <c r="W960" s="8"/>
    </row>
    <row r="961" spans="2:23" x14ac:dyDescent="0.55000000000000004">
      <c r="B961" s="3"/>
      <c r="C961" s="4"/>
      <c r="D961" s="4"/>
      <c r="E961" s="5"/>
      <c r="F961" s="4"/>
      <c r="G961" s="4"/>
      <c r="H961" s="4"/>
      <c r="I961" s="4"/>
      <c r="J961" s="4"/>
      <c r="K961" s="6"/>
      <c r="L961" s="6"/>
      <c r="M961" s="6"/>
      <c r="N961" s="6"/>
      <c r="O961" s="4"/>
      <c r="P961" s="3"/>
      <c r="Q961" s="8"/>
      <c r="R961" s="8"/>
      <c r="S961" s="9"/>
      <c r="T961" s="8"/>
      <c r="U961" s="8"/>
      <c r="W961" s="8"/>
    </row>
    <row r="962" spans="2:23" x14ac:dyDescent="0.55000000000000004">
      <c r="B962" s="3"/>
      <c r="C962" s="4"/>
      <c r="D962" s="4"/>
      <c r="E962" s="5"/>
      <c r="F962" s="4"/>
      <c r="G962" s="4"/>
      <c r="H962" s="4"/>
      <c r="I962" s="4"/>
      <c r="J962" s="4"/>
      <c r="K962" s="6"/>
      <c r="L962" s="6"/>
      <c r="M962" s="6"/>
      <c r="N962" s="6"/>
      <c r="O962" s="4"/>
      <c r="P962" s="3"/>
      <c r="Q962" s="8"/>
      <c r="R962" s="8"/>
      <c r="S962" s="9"/>
      <c r="T962" s="8"/>
      <c r="U962" s="8"/>
      <c r="W962" s="8"/>
    </row>
    <row r="963" spans="2:23" x14ac:dyDescent="0.55000000000000004">
      <c r="B963" s="3"/>
      <c r="C963" s="4"/>
      <c r="D963" s="4"/>
      <c r="E963" s="5"/>
      <c r="F963" s="4"/>
      <c r="G963" s="4"/>
      <c r="H963" s="4"/>
      <c r="I963" s="4"/>
      <c r="J963" s="4"/>
      <c r="K963" s="6"/>
      <c r="L963" s="6"/>
      <c r="M963" s="6"/>
      <c r="N963" s="6"/>
      <c r="O963" s="4"/>
      <c r="P963" s="3"/>
      <c r="Q963" s="8"/>
      <c r="R963" s="8"/>
      <c r="S963" s="9"/>
      <c r="T963" s="8"/>
      <c r="U963" s="8"/>
      <c r="W963" s="8"/>
    </row>
    <row r="964" spans="2:23" x14ac:dyDescent="0.55000000000000004">
      <c r="B964" s="3"/>
      <c r="C964" s="4"/>
      <c r="D964" s="4"/>
      <c r="E964" s="5"/>
      <c r="F964" s="4"/>
      <c r="G964" s="4"/>
      <c r="H964" s="4"/>
      <c r="I964" s="4"/>
      <c r="J964" s="4"/>
      <c r="K964" s="6"/>
      <c r="L964" s="6"/>
      <c r="M964" s="6"/>
      <c r="N964" s="6"/>
      <c r="O964" s="4"/>
      <c r="P964" s="3"/>
      <c r="Q964" s="8"/>
      <c r="R964" s="8"/>
      <c r="S964" s="9"/>
      <c r="T964" s="8"/>
      <c r="U964" s="8"/>
      <c r="W964" s="8"/>
    </row>
    <row r="965" spans="2:23" x14ac:dyDescent="0.55000000000000004">
      <c r="B965" s="3"/>
      <c r="C965" s="4"/>
      <c r="D965" s="4"/>
      <c r="E965" s="5"/>
      <c r="F965" s="4"/>
      <c r="G965" s="4"/>
      <c r="H965" s="4"/>
      <c r="I965" s="4"/>
      <c r="J965" s="4"/>
      <c r="K965" s="6"/>
      <c r="L965" s="6"/>
      <c r="M965" s="6"/>
      <c r="N965" s="6"/>
      <c r="O965" s="4"/>
      <c r="P965" s="3"/>
      <c r="Q965" s="8"/>
      <c r="R965" s="8"/>
      <c r="S965" s="9"/>
      <c r="T965" s="8"/>
      <c r="U965" s="8"/>
      <c r="W965" s="8"/>
    </row>
    <row r="966" spans="2:23" x14ac:dyDescent="0.55000000000000004">
      <c r="B966" s="3"/>
      <c r="C966" s="4"/>
      <c r="D966" s="4"/>
      <c r="E966" s="5"/>
      <c r="F966" s="4"/>
      <c r="G966" s="4"/>
      <c r="H966" s="4"/>
      <c r="I966" s="4"/>
      <c r="J966" s="4"/>
      <c r="K966" s="6"/>
      <c r="L966" s="6"/>
      <c r="M966" s="6"/>
      <c r="N966" s="6"/>
      <c r="O966" s="4"/>
      <c r="P966" s="3"/>
      <c r="Q966" s="8"/>
      <c r="R966" s="8"/>
      <c r="S966" s="9"/>
      <c r="T966" s="8"/>
      <c r="U966" s="8"/>
      <c r="W966" s="8"/>
    </row>
    <row r="967" spans="2:23" x14ac:dyDescent="0.55000000000000004">
      <c r="B967" s="3"/>
      <c r="C967" s="4"/>
      <c r="D967" s="4"/>
      <c r="E967" s="5"/>
      <c r="F967" s="4"/>
      <c r="G967" s="4"/>
      <c r="H967" s="4"/>
      <c r="I967" s="4"/>
      <c r="J967" s="4"/>
      <c r="K967" s="6"/>
      <c r="L967" s="6"/>
      <c r="M967" s="6"/>
      <c r="N967" s="6"/>
      <c r="O967" s="4"/>
      <c r="P967" s="3"/>
      <c r="Q967" s="8"/>
      <c r="R967" s="8"/>
      <c r="S967" s="9"/>
      <c r="T967" s="8"/>
      <c r="U967" s="8"/>
      <c r="W967" s="8"/>
    </row>
    <row r="968" spans="2:23" x14ac:dyDescent="0.55000000000000004">
      <c r="B968" s="3"/>
      <c r="C968" s="4"/>
      <c r="D968" s="4"/>
      <c r="E968" s="5"/>
      <c r="F968" s="4"/>
      <c r="G968" s="4"/>
      <c r="H968" s="4"/>
      <c r="I968" s="4"/>
      <c r="J968" s="4"/>
      <c r="K968" s="6"/>
      <c r="L968" s="6"/>
      <c r="M968" s="6"/>
      <c r="N968" s="6"/>
      <c r="O968" s="4"/>
      <c r="P968" s="3"/>
      <c r="Q968" s="8"/>
      <c r="R968" s="8"/>
      <c r="S968" s="9"/>
      <c r="T968" s="8"/>
      <c r="U968" s="8"/>
      <c r="W968" s="8"/>
    </row>
    <row r="969" spans="2:23" x14ac:dyDescent="0.55000000000000004">
      <c r="B969" s="3"/>
      <c r="C969" s="4"/>
      <c r="D969" s="4"/>
      <c r="E969" s="5"/>
      <c r="F969" s="4"/>
      <c r="G969" s="4"/>
      <c r="H969" s="4"/>
      <c r="I969" s="4"/>
      <c r="J969" s="4"/>
      <c r="K969" s="6"/>
      <c r="L969" s="6"/>
      <c r="M969" s="6"/>
      <c r="N969" s="6"/>
      <c r="O969" s="4"/>
      <c r="P969" s="3"/>
      <c r="Q969" s="8"/>
      <c r="R969" s="8"/>
      <c r="S969" s="9"/>
      <c r="T969" s="8"/>
      <c r="U969" s="8"/>
      <c r="W969" s="8"/>
    </row>
    <row r="970" spans="2:23" x14ac:dyDescent="0.55000000000000004">
      <c r="B970" s="3"/>
      <c r="C970" s="4"/>
      <c r="D970" s="4"/>
      <c r="E970" s="5"/>
      <c r="F970" s="4"/>
      <c r="G970" s="4"/>
      <c r="H970" s="4"/>
      <c r="I970" s="4"/>
      <c r="J970" s="4"/>
      <c r="K970" s="6"/>
      <c r="L970" s="6"/>
      <c r="M970" s="6"/>
      <c r="N970" s="6"/>
      <c r="O970" s="4"/>
      <c r="P970" s="3"/>
      <c r="Q970" s="8"/>
      <c r="R970" s="8"/>
      <c r="S970" s="9"/>
      <c r="T970" s="8"/>
      <c r="U970" s="8"/>
      <c r="W970" s="8"/>
    </row>
    <row r="971" spans="2:23" x14ac:dyDescent="0.55000000000000004">
      <c r="B971" s="3"/>
      <c r="C971" s="4"/>
      <c r="D971" s="4"/>
      <c r="E971" s="5"/>
      <c r="F971" s="4"/>
      <c r="G971" s="4"/>
      <c r="H971" s="4"/>
      <c r="I971" s="4"/>
      <c r="J971" s="4"/>
      <c r="K971" s="6"/>
      <c r="L971" s="6"/>
      <c r="M971" s="6"/>
      <c r="N971" s="6"/>
      <c r="O971" s="4"/>
      <c r="P971" s="3"/>
      <c r="Q971" s="8"/>
      <c r="R971" s="8"/>
      <c r="S971" s="9"/>
      <c r="T971" s="8"/>
      <c r="U971" s="8"/>
      <c r="W971" s="8"/>
    </row>
    <row r="972" spans="2:23" x14ac:dyDescent="0.55000000000000004">
      <c r="B972" s="3"/>
      <c r="C972" s="4"/>
      <c r="D972" s="4"/>
      <c r="E972" s="5"/>
      <c r="F972" s="4"/>
      <c r="G972" s="4"/>
      <c r="H972" s="4"/>
      <c r="I972" s="4"/>
      <c r="J972" s="4"/>
      <c r="K972" s="6"/>
      <c r="L972" s="6"/>
      <c r="M972" s="6"/>
      <c r="N972" s="6"/>
      <c r="O972" s="4"/>
      <c r="P972" s="3"/>
      <c r="Q972" s="8"/>
      <c r="R972" s="8"/>
      <c r="S972" s="9"/>
      <c r="T972" s="8"/>
      <c r="U972" s="8"/>
      <c r="W972" s="8"/>
    </row>
    <row r="973" spans="2:23" x14ac:dyDescent="0.55000000000000004">
      <c r="B973" s="3"/>
      <c r="C973" s="4"/>
      <c r="D973" s="4"/>
      <c r="E973" s="5"/>
      <c r="F973" s="4"/>
      <c r="G973" s="4"/>
      <c r="H973" s="4"/>
      <c r="I973" s="4"/>
      <c r="J973" s="4"/>
      <c r="K973" s="6"/>
      <c r="L973" s="6"/>
      <c r="M973" s="6"/>
      <c r="N973" s="6"/>
      <c r="O973" s="4"/>
      <c r="P973" s="3"/>
      <c r="Q973" s="8"/>
      <c r="R973" s="8"/>
      <c r="S973" s="9"/>
      <c r="T973" s="8"/>
      <c r="U973" s="8"/>
      <c r="W973" s="8"/>
    </row>
    <row r="974" spans="2:23" x14ac:dyDescent="0.55000000000000004">
      <c r="B974" s="3"/>
      <c r="C974" s="4"/>
      <c r="D974" s="4"/>
      <c r="E974" s="5"/>
      <c r="F974" s="4"/>
      <c r="G974" s="4"/>
      <c r="H974" s="4"/>
      <c r="I974" s="4"/>
      <c r="J974" s="4"/>
      <c r="K974" s="6"/>
      <c r="L974" s="6"/>
      <c r="M974" s="6"/>
      <c r="N974" s="6"/>
      <c r="O974" s="4"/>
      <c r="P974" s="3"/>
      <c r="Q974" s="8"/>
      <c r="R974" s="8"/>
      <c r="S974" s="9"/>
      <c r="T974" s="8"/>
      <c r="U974" s="8"/>
      <c r="W974" s="8"/>
    </row>
    <row r="975" spans="2:23" x14ac:dyDescent="0.55000000000000004">
      <c r="B975" s="3"/>
      <c r="C975" s="4"/>
      <c r="D975" s="4"/>
      <c r="E975" s="5"/>
      <c r="F975" s="4"/>
      <c r="G975" s="4"/>
      <c r="H975" s="4"/>
      <c r="I975" s="4"/>
      <c r="J975" s="4"/>
      <c r="K975" s="6"/>
      <c r="L975" s="6"/>
      <c r="M975" s="6"/>
      <c r="N975" s="6"/>
      <c r="O975" s="4"/>
      <c r="P975" s="3"/>
      <c r="Q975" s="8"/>
      <c r="R975" s="8"/>
      <c r="S975" s="9"/>
      <c r="T975" s="8"/>
      <c r="U975" s="8"/>
      <c r="W975" s="8"/>
    </row>
    <row r="976" spans="2:23" x14ac:dyDescent="0.55000000000000004">
      <c r="B976" s="3"/>
      <c r="C976" s="4"/>
      <c r="D976" s="4"/>
      <c r="E976" s="5"/>
      <c r="F976" s="4"/>
      <c r="G976" s="4"/>
      <c r="H976" s="4"/>
      <c r="I976" s="4"/>
      <c r="J976" s="4"/>
      <c r="K976" s="6"/>
      <c r="L976" s="6"/>
      <c r="M976" s="6"/>
      <c r="N976" s="6"/>
      <c r="O976" s="4"/>
      <c r="P976" s="3"/>
      <c r="Q976" s="8"/>
      <c r="R976" s="8"/>
      <c r="S976" s="9"/>
      <c r="T976" s="8"/>
      <c r="U976" s="8"/>
      <c r="W976" s="8"/>
    </row>
    <row r="977" spans="2:23" x14ac:dyDescent="0.55000000000000004">
      <c r="B977" s="3"/>
      <c r="C977" s="4"/>
      <c r="D977" s="4"/>
      <c r="E977" s="5"/>
      <c r="F977" s="4"/>
      <c r="G977" s="4"/>
      <c r="H977" s="4"/>
      <c r="I977" s="4"/>
      <c r="J977" s="4"/>
      <c r="K977" s="6"/>
      <c r="L977" s="6"/>
      <c r="M977" s="6"/>
      <c r="N977" s="6"/>
      <c r="O977" s="4"/>
      <c r="P977" s="3"/>
      <c r="Q977" s="8"/>
      <c r="R977" s="8"/>
      <c r="S977" s="9"/>
      <c r="T977" s="8"/>
      <c r="U977" s="8"/>
      <c r="W977" s="8"/>
    </row>
    <row r="978" spans="2:23" x14ac:dyDescent="0.55000000000000004">
      <c r="B978" s="3"/>
      <c r="C978" s="4"/>
      <c r="D978" s="4"/>
      <c r="E978" s="5"/>
      <c r="F978" s="4"/>
      <c r="G978" s="4"/>
      <c r="H978" s="4"/>
      <c r="I978" s="4"/>
      <c r="J978" s="4"/>
      <c r="K978" s="6"/>
      <c r="L978" s="6"/>
      <c r="M978" s="6"/>
      <c r="N978" s="6"/>
      <c r="O978" s="4"/>
      <c r="P978" s="3"/>
      <c r="Q978" s="8"/>
      <c r="R978" s="8"/>
      <c r="S978" s="9"/>
      <c r="T978" s="8"/>
      <c r="U978" s="8"/>
      <c r="W978" s="8"/>
    </row>
    <row r="979" spans="2:23" x14ac:dyDescent="0.55000000000000004">
      <c r="B979" s="3"/>
      <c r="C979" s="4"/>
      <c r="D979" s="4"/>
      <c r="E979" s="5"/>
      <c r="F979" s="4"/>
      <c r="G979" s="4"/>
      <c r="H979" s="4"/>
      <c r="I979" s="4"/>
      <c r="J979" s="4"/>
      <c r="K979" s="6"/>
      <c r="L979" s="6"/>
      <c r="M979" s="6"/>
      <c r="N979" s="6"/>
      <c r="O979" s="4"/>
      <c r="P979" s="3"/>
      <c r="Q979" s="8"/>
      <c r="R979" s="8"/>
      <c r="S979" s="9"/>
      <c r="T979" s="8"/>
      <c r="U979" s="8"/>
      <c r="W979" s="8"/>
    </row>
    <row r="980" spans="2:23" x14ac:dyDescent="0.55000000000000004">
      <c r="B980" s="3"/>
      <c r="C980" s="4"/>
      <c r="D980" s="4"/>
      <c r="E980" s="5"/>
      <c r="F980" s="4"/>
      <c r="G980" s="4"/>
      <c r="H980" s="4"/>
      <c r="I980" s="4"/>
      <c r="J980" s="4"/>
      <c r="K980" s="6"/>
      <c r="L980" s="6"/>
      <c r="M980" s="6"/>
      <c r="N980" s="6"/>
      <c r="O980" s="4"/>
      <c r="P980" s="3"/>
      <c r="Q980" s="8"/>
      <c r="R980" s="8"/>
      <c r="S980" s="9"/>
      <c r="T980" s="8"/>
      <c r="U980" s="8"/>
      <c r="W980" s="8"/>
    </row>
    <row r="981" spans="2:23" x14ac:dyDescent="0.55000000000000004">
      <c r="B981" s="3"/>
      <c r="C981" s="4"/>
      <c r="D981" s="4"/>
      <c r="E981" s="5"/>
      <c r="F981" s="4"/>
      <c r="G981" s="4"/>
      <c r="H981" s="4"/>
      <c r="I981" s="4"/>
      <c r="J981" s="4"/>
      <c r="K981" s="6"/>
      <c r="L981" s="6"/>
      <c r="M981" s="6"/>
      <c r="N981" s="6"/>
      <c r="O981" s="4"/>
      <c r="P981" s="3"/>
      <c r="Q981" s="8"/>
      <c r="R981" s="8"/>
      <c r="S981" s="9"/>
      <c r="T981" s="8"/>
      <c r="U981" s="8"/>
      <c r="W981" s="8"/>
    </row>
    <row r="982" spans="2:23" x14ac:dyDescent="0.55000000000000004">
      <c r="B982" s="3"/>
      <c r="C982" s="4"/>
      <c r="D982" s="4"/>
      <c r="E982" s="5"/>
      <c r="F982" s="4"/>
      <c r="G982" s="4"/>
      <c r="H982" s="4"/>
      <c r="I982" s="4"/>
      <c r="J982" s="4"/>
      <c r="K982" s="6"/>
      <c r="L982" s="6"/>
      <c r="M982" s="6"/>
      <c r="N982" s="6"/>
      <c r="O982" s="4"/>
      <c r="P982" s="3"/>
      <c r="Q982" s="8"/>
      <c r="R982" s="8"/>
      <c r="S982" s="9"/>
      <c r="T982" s="8"/>
      <c r="U982" s="8"/>
      <c r="W982" s="8"/>
    </row>
    <row r="983" spans="2:23" x14ac:dyDescent="0.55000000000000004">
      <c r="B983" s="3"/>
      <c r="C983" s="4"/>
      <c r="D983" s="4"/>
      <c r="E983" s="5"/>
      <c r="F983" s="4"/>
      <c r="G983" s="4"/>
      <c r="H983" s="4"/>
      <c r="I983" s="4"/>
      <c r="J983" s="4"/>
      <c r="K983" s="6"/>
      <c r="L983" s="6"/>
      <c r="M983" s="6"/>
      <c r="N983" s="6"/>
      <c r="O983" s="4"/>
      <c r="P983" s="3"/>
      <c r="Q983" s="8"/>
      <c r="R983" s="8"/>
      <c r="S983" s="9"/>
      <c r="T983" s="8"/>
      <c r="U983" s="8"/>
      <c r="W983" s="8"/>
    </row>
    <row r="984" spans="2:23" x14ac:dyDescent="0.55000000000000004">
      <c r="B984" s="3"/>
      <c r="C984" s="4"/>
      <c r="D984" s="4"/>
      <c r="E984" s="5"/>
      <c r="F984" s="4"/>
      <c r="G984" s="4"/>
      <c r="H984" s="4"/>
      <c r="I984" s="4"/>
      <c r="J984" s="4"/>
      <c r="K984" s="6"/>
      <c r="L984" s="6"/>
      <c r="M984" s="6"/>
      <c r="N984" s="6"/>
      <c r="O984" s="4"/>
      <c r="P984" s="3"/>
      <c r="Q984" s="8"/>
      <c r="R984" s="8"/>
      <c r="S984" s="9"/>
      <c r="T984" s="8"/>
      <c r="U984" s="8"/>
      <c r="W984" s="8"/>
    </row>
    <row r="985" spans="2:23" x14ac:dyDescent="0.55000000000000004">
      <c r="B985" s="3"/>
      <c r="C985" s="4"/>
      <c r="D985" s="4"/>
      <c r="E985" s="5"/>
      <c r="F985" s="4"/>
      <c r="G985" s="4"/>
      <c r="H985" s="4"/>
      <c r="I985" s="4"/>
      <c r="J985" s="4"/>
      <c r="K985" s="6"/>
      <c r="L985" s="6"/>
      <c r="M985" s="6"/>
      <c r="N985" s="6"/>
      <c r="O985" s="4"/>
      <c r="P985" s="3"/>
      <c r="Q985" s="8"/>
      <c r="R985" s="8"/>
      <c r="S985" s="9"/>
      <c r="T985" s="8"/>
      <c r="U985" s="8"/>
      <c r="W985" s="8"/>
    </row>
    <row r="986" spans="2:23" x14ac:dyDescent="0.55000000000000004">
      <c r="B986" s="3"/>
      <c r="C986" s="4"/>
      <c r="D986" s="4"/>
      <c r="E986" s="5"/>
      <c r="F986" s="4"/>
      <c r="G986" s="4"/>
      <c r="H986" s="4"/>
      <c r="I986" s="4"/>
      <c r="J986" s="4"/>
      <c r="K986" s="6"/>
      <c r="L986" s="6"/>
      <c r="M986" s="6"/>
      <c r="N986" s="6"/>
      <c r="O986" s="4"/>
      <c r="P986" s="3"/>
      <c r="Q986" s="8"/>
      <c r="R986" s="8"/>
      <c r="S986" s="9"/>
      <c r="T986" s="8"/>
      <c r="U986" s="8"/>
      <c r="W986" s="8"/>
    </row>
    <row r="987" spans="2:23" x14ac:dyDescent="0.55000000000000004">
      <c r="B987" s="3"/>
      <c r="C987" s="4"/>
      <c r="D987" s="4"/>
      <c r="E987" s="5"/>
      <c r="F987" s="4"/>
      <c r="G987" s="4"/>
      <c r="H987" s="4"/>
      <c r="I987" s="4"/>
      <c r="J987" s="4"/>
      <c r="K987" s="6"/>
      <c r="L987" s="6"/>
      <c r="M987" s="6"/>
      <c r="N987" s="6"/>
      <c r="O987" s="4"/>
      <c r="P987" s="3"/>
      <c r="Q987" s="8"/>
      <c r="R987" s="8"/>
      <c r="S987" s="9"/>
      <c r="T987" s="8"/>
      <c r="U987" s="8"/>
      <c r="W987" s="8"/>
    </row>
    <row r="988" spans="2:23" x14ac:dyDescent="0.55000000000000004">
      <c r="B988" s="3"/>
      <c r="C988" s="4"/>
      <c r="D988" s="4"/>
      <c r="E988" s="5"/>
      <c r="F988" s="4"/>
      <c r="G988" s="4"/>
      <c r="H988" s="4"/>
      <c r="I988" s="4"/>
      <c r="J988" s="4"/>
      <c r="K988" s="6"/>
      <c r="L988" s="6"/>
      <c r="M988" s="6"/>
      <c r="N988" s="6"/>
      <c r="O988" s="4"/>
      <c r="P988" s="3"/>
      <c r="Q988" s="8"/>
      <c r="R988" s="8"/>
      <c r="S988" s="9"/>
      <c r="T988" s="8"/>
      <c r="U988" s="8"/>
      <c r="W988" s="8"/>
    </row>
    <row r="989" spans="2:23" x14ac:dyDescent="0.55000000000000004">
      <c r="B989" s="3"/>
      <c r="C989" s="4"/>
      <c r="D989" s="4"/>
      <c r="E989" s="5"/>
      <c r="F989" s="4"/>
      <c r="G989" s="4"/>
      <c r="H989" s="4"/>
      <c r="I989" s="4"/>
      <c r="J989" s="4"/>
      <c r="K989" s="6"/>
      <c r="L989" s="6"/>
      <c r="M989" s="6"/>
      <c r="N989" s="6"/>
      <c r="O989" s="4"/>
      <c r="P989" s="3"/>
      <c r="Q989" s="8"/>
      <c r="R989" s="8"/>
      <c r="S989" s="9"/>
      <c r="T989" s="8"/>
      <c r="U989" s="8"/>
      <c r="W989" s="8"/>
    </row>
    <row r="990" spans="2:23" x14ac:dyDescent="0.55000000000000004">
      <c r="B990" s="3"/>
      <c r="C990" s="4"/>
      <c r="D990" s="4"/>
      <c r="E990" s="5"/>
      <c r="F990" s="4"/>
      <c r="G990" s="4"/>
      <c r="H990" s="4"/>
      <c r="I990" s="4"/>
      <c r="J990" s="4"/>
      <c r="K990" s="6"/>
      <c r="L990" s="6"/>
      <c r="M990" s="6"/>
      <c r="N990" s="6"/>
      <c r="O990" s="4"/>
      <c r="P990" s="3"/>
      <c r="Q990" s="8"/>
      <c r="R990" s="8"/>
      <c r="S990" s="9"/>
      <c r="T990" s="8"/>
      <c r="U990" s="8"/>
      <c r="W990" s="8"/>
    </row>
    <row r="991" spans="2:23" x14ac:dyDescent="0.55000000000000004">
      <c r="B991" s="3"/>
      <c r="C991" s="4"/>
      <c r="D991" s="4"/>
      <c r="E991" s="5"/>
      <c r="F991" s="4"/>
      <c r="G991" s="4"/>
      <c r="H991" s="4"/>
      <c r="I991" s="4"/>
      <c r="J991" s="4"/>
      <c r="K991" s="6"/>
      <c r="L991" s="6"/>
      <c r="M991" s="6"/>
      <c r="N991" s="6"/>
      <c r="O991" s="4"/>
      <c r="P991" s="3"/>
      <c r="Q991" s="8"/>
      <c r="R991" s="8"/>
      <c r="S991" s="9"/>
      <c r="T991" s="8"/>
      <c r="U991" s="8"/>
      <c r="W991" s="8"/>
    </row>
    <row r="992" spans="2:23" x14ac:dyDescent="0.55000000000000004">
      <c r="B992" s="3"/>
      <c r="C992" s="4"/>
      <c r="D992" s="4"/>
      <c r="E992" s="5"/>
      <c r="F992" s="4"/>
      <c r="G992" s="4"/>
      <c r="H992" s="4"/>
      <c r="I992" s="4"/>
      <c r="J992" s="4"/>
      <c r="K992" s="6"/>
      <c r="L992" s="6"/>
      <c r="M992" s="6"/>
      <c r="N992" s="6"/>
      <c r="O992" s="4"/>
      <c r="P992" s="3"/>
      <c r="Q992" s="8"/>
      <c r="R992" s="8"/>
      <c r="S992" s="9"/>
      <c r="T992" s="8"/>
      <c r="U992" s="8"/>
      <c r="W992" s="8"/>
    </row>
    <row r="993" spans="2:23" x14ac:dyDescent="0.55000000000000004">
      <c r="B993" s="3"/>
      <c r="C993" s="4"/>
      <c r="D993" s="4"/>
      <c r="E993" s="5"/>
      <c r="F993" s="4"/>
      <c r="G993" s="4"/>
      <c r="H993" s="4"/>
      <c r="I993" s="4"/>
      <c r="J993" s="4"/>
      <c r="K993" s="6"/>
      <c r="L993" s="6"/>
      <c r="M993" s="6"/>
      <c r="N993" s="6"/>
      <c r="O993" s="4"/>
      <c r="P993" s="3"/>
      <c r="Q993" s="8"/>
      <c r="R993" s="8"/>
      <c r="S993" s="9"/>
      <c r="T993" s="8"/>
      <c r="U993" s="8"/>
      <c r="W993" s="8"/>
    </row>
    <row r="994" spans="2:23" x14ac:dyDescent="0.55000000000000004">
      <c r="B994" s="3"/>
      <c r="C994" s="4"/>
      <c r="D994" s="4"/>
      <c r="E994" s="5"/>
      <c r="F994" s="4"/>
      <c r="G994" s="4"/>
      <c r="H994" s="4"/>
      <c r="I994" s="4"/>
      <c r="J994" s="4"/>
      <c r="K994" s="6"/>
      <c r="L994" s="6"/>
      <c r="M994" s="6"/>
      <c r="N994" s="6"/>
      <c r="O994" s="4"/>
      <c r="P994" s="3"/>
      <c r="Q994" s="8"/>
      <c r="R994" s="8"/>
      <c r="S994" s="9"/>
      <c r="T994" s="8"/>
      <c r="U994" s="8"/>
      <c r="W994" s="8"/>
    </row>
    <row r="995" spans="2:23" x14ac:dyDescent="0.55000000000000004">
      <c r="B995" s="3"/>
      <c r="C995" s="4"/>
      <c r="D995" s="4"/>
      <c r="E995" s="5"/>
      <c r="F995" s="4"/>
      <c r="G995" s="4"/>
      <c r="H995" s="4"/>
      <c r="I995" s="4"/>
      <c r="J995" s="4"/>
      <c r="K995" s="6"/>
      <c r="L995" s="6"/>
      <c r="M995" s="6"/>
      <c r="N995" s="6"/>
      <c r="O995" s="4"/>
      <c r="P995" s="3"/>
      <c r="Q995" s="8"/>
      <c r="R995" s="8"/>
      <c r="S995" s="9"/>
      <c r="T995" s="8"/>
      <c r="U995" s="8"/>
      <c r="W995" s="8"/>
    </row>
    <row r="996" spans="2:23" x14ac:dyDescent="0.55000000000000004">
      <c r="B996" s="3"/>
      <c r="C996" s="4"/>
      <c r="D996" s="4"/>
      <c r="E996" s="5"/>
      <c r="F996" s="4"/>
      <c r="G996" s="4"/>
      <c r="H996" s="4"/>
      <c r="I996" s="4"/>
      <c r="J996" s="4"/>
      <c r="K996" s="6"/>
      <c r="L996" s="6"/>
      <c r="M996" s="6"/>
      <c r="N996" s="6"/>
      <c r="O996" s="4"/>
      <c r="P996" s="3"/>
      <c r="Q996" s="8"/>
      <c r="R996" s="8"/>
      <c r="S996" s="9"/>
      <c r="T996" s="8"/>
      <c r="U996" s="8"/>
      <c r="W996" s="8"/>
    </row>
    <row r="997" spans="2:23" x14ac:dyDescent="0.55000000000000004">
      <c r="B997" s="3"/>
      <c r="C997" s="4"/>
      <c r="D997" s="4"/>
      <c r="E997" s="5"/>
      <c r="F997" s="4"/>
      <c r="G997" s="4"/>
      <c r="H997" s="4"/>
      <c r="I997" s="4"/>
      <c r="J997" s="4"/>
      <c r="K997" s="6"/>
      <c r="L997" s="6"/>
      <c r="M997" s="6"/>
      <c r="N997" s="6"/>
      <c r="O997" s="4"/>
      <c r="P997" s="3"/>
      <c r="Q997" s="8"/>
      <c r="R997" s="8"/>
      <c r="S997" s="9"/>
      <c r="T997" s="8"/>
      <c r="U997" s="8"/>
      <c r="W997" s="8"/>
    </row>
    <row r="998" spans="2:23" x14ac:dyDescent="0.55000000000000004">
      <c r="B998" s="3"/>
      <c r="C998" s="4"/>
      <c r="D998" s="4"/>
      <c r="E998" s="5"/>
      <c r="F998" s="4"/>
      <c r="G998" s="4"/>
      <c r="H998" s="4"/>
      <c r="I998" s="4"/>
      <c r="J998" s="4"/>
      <c r="K998" s="6"/>
      <c r="L998" s="6"/>
      <c r="M998" s="6"/>
      <c r="N998" s="6"/>
      <c r="O998" s="4"/>
      <c r="P998" s="3"/>
      <c r="Q998" s="8"/>
      <c r="R998" s="8"/>
      <c r="S998" s="9"/>
      <c r="T998" s="8"/>
      <c r="U998" s="8"/>
      <c r="W998" s="8"/>
    </row>
    <row r="999" spans="2:23" x14ac:dyDescent="0.55000000000000004">
      <c r="B999" s="3"/>
      <c r="C999" s="4"/>
      <c r="D999" s="4"/>
      <c r="E999" s="5"/>
      <c r="F999" s="4"/>
      <c r="G999" s="4"/>
      <c r="H999" s="4"/>
      <c r="I999" s="4"/>
      <c r="J999" s="4"/>
      <c r="K999" s="6"/>
      <c r="L999" s="6"/>
      <c r="M999" s="6"/>
      <c r="N999" s="6"/>
      <c r="O999" s="4"/>
      <c r="P999" s="3"/>
      <c r="Q999" s="8"/>
      <c r="R999" s="8"/>
      <c r="S999" s="9"/>
      <c r="T999" s="8"/>
      <c r="U999" s="8"/>
      <c r="W999" s="8"/>
    </row>
    <row r="1000" spans="2:23" x14ac:dyDescent="0.55000000000000004">
      <c r="B1000" s="3"/>
      <c r="C1000" s="4"/>
      <c r="D1000" s="4"/>
      <c r="E1000" s="5"/>
      <c r="F1000" s="4"/>
      <c r="G1000" s="4"/>
      <c r="H1000" s="4"/>
      <c r="I1000" s="4"/>
      <c r="J1000" s="4"/>
      <c r="K1000" s="6"/>
      <c r="L1000" s="6"/>
      <c r="M1000" s="6"/>
      <c r="N1000" s="6"/>
      <c r="O1000" s="4"/>
      <c r="P1000" s="3"/>
      <c r="Q1000" s="8"/>
      <c r="R1000" s="8"/>
      <c r="S1000" s="9"/>
      <c r="T1000" s="8"/>
      <c r="U1000" s="8"/>
      <c r="W1000" s="8"/>
    </row>
    <row r="1001" spans="2:23" x14ac:dyDescent="0.55000000000000004">
      <c r="B1001" s="3"/>
      <c r="C1001" s="4"/>
      <c r="D1001" s="4"/>
      <c r="E1001" s="5"/>
      <c r="F1001" s="4"/>
      <c r="G1001" s="4"/>
      <c r="H1001" s="4"/>
      <c r="I1001" s="4"/>
      <c r="J1001" s="4"/>
      <c r="K1001" s="6"/>
      <c r="L1001" s="6"/>
      <c r="M1001" s="6"/>
      <c r="N1001" s="6"/>
      <c r="O1001" s="4"/>
      <c r="P1001" s="3"/>
      <c r="Q1001" s="8"/>
      <c r="R1001" s="8"/>
      <c r="S1001" s="9"/>
      <c r="T1001" s="8"/>
      <c r="U1001" s="8"/>
      <c r="W1001" s="8"/>
    </row>
    <row r="1002" spans="2:23" x14ac:dyDescent="0.55000000000000004">
      <c r="B1002" s="3"/>
      <c r="C1002" s="4"/>
      <c r="D1002" s="4"/>
      <c r="E1002" s="5"/>
      <c r="F1002" s="4"/>
      <c r="G1002" s="4"/>
      <c r="H1002" s="4"/>
      <c r="I1002" s="4"/>
      <c r="J1002" s="4"/>
      <c r="K1002" s="6"/>
      <c r="L1002" s="6"/>
      <c r="M1002" s="6"/>
      <c r="N1002" s="6"/>
      <c r="O1002" s="4"/>
      <c r="P1002" s="3"/>
      <c r="Q1002" s="8"/>
      <c r="R1002" s="8"/>
      <c r="S1002" s="9"/>
      <c r="T1002" s="8"/>
      <c r="U1002" s="8"/>
      <c r="W1002" s="8"/>
    </row>
    <row r="1003" spans="2:23" x14ac:dyDescent="0.55000000000000004">
      <c r="B1003" s="3"/>
      <c r="C1003" s="4"/>
      <c r="D1003" s="4"/>
      <c r="E1003" s="5"/>
      <c r="F1003" s="4"/>
      <c r="G1003" s="4"/>
      <c r="H1003" s="4"/>
      <c r="I1003" s="4"/>
      <c r="J1003" s="4"/>
      <c r="K1003" s="6"/>
      <c r="L1003" s="6"/>
      <c r="M1003" s="6"/>
      <c r="N1003" s="6"/>
      <c r="O1003" s="4"/>
      <c r="P1003" s="3"/>
      <c r="Q1003" s="8"/>
      <c r="R1003" s="8"/>
      <c r="S1003" s="9"/>
      <c r="T1003" s="8"/>
      <c r="U1003" s="8"/>
      <c r="W1003" s="8"/>
    </row>
    <row r="1004" spans="2:23" x14ac:dyDescent="0.55000000000000004">
      <c r="B1004" s="3"/>
      <c r="C1004" s="4"/>
      <c r="D1004" s="4"/>
      <c r="E1004" s="5"/>
      <c r="F1004" s="4"/>
      <c r="G1004" s="4"/>
      <c r="H1004" s="4"/>
      <c r="I1004" s="4"/>
      <c r="J1004" s="4"/>
      <c r="K1004" s="6"/>
      <c r="L1004" s="6"/>
      <c r="M1004" s="6"/>
      <c r="N1004" s="6"/>
      <c r="O1004" s="4"/>
      <c r="P1004" s="3"/>
      <c r="Q1004" s="8"/>
      <c r="R1004" s="8"/>
      <c r="S1004" s="9"/>
      <c r="T1004" s="8"/>
      <c r="U1004" s="8"/>
      <c r="W1004" s="8"/>
    </row>
    <row r="1005" spans="2:23" x14ac:dyDescent="0.55000000000000004">
      <c r="B1005" s="3"/>
      <c r="C1005" s="4"/>
      <c r="D1005" s="4"/>
      <c r="E1005" s="5"/>
      <c r="F1005" s="4"/>
      <c r="G1005" s="4"/>
      <c r="H1005" s="4"/>
      <c r="I1005" s="4"/>
      <c r="J1005" s="4"/>
      <c r="K1005" s="6"/>
      <c r="L1005" s="6"/>
      <c r="M1005" s="6"/>
      <c r="N1005" s="6"/>
      <c r="O1005" s="4"/>
      <c r="P1005" s="3"/>
      <c r="Q1005" s="8"/>
      <c r="R1005" s="8"/>
      <c r="S1005" s="9"/>
      <c r="T1005" s="8"/>
      <c r="U1005" s="8"/>
      <c r="W1005" s="8"/>
    </row>
    <row r="1006" spans="2:23" x14ac:dyDescent="0.55000000000000004">
      <c r="B1006" s="3"/>
      <c r="C1006" s="4"/>
      <c r="D1006" s="4"/>
      <c r="E1006" s="5"/>
      <c r="F1006" s="4"/>
      <c r="G1006" s="4"/>
      <c r="H1006" s="4"/>
      <c r="I1006" s="4"/>
      <c r="J1006" s="4"/>
      <c r="K1006" s="6"/>
      <c r="L1006" s="6"/>
      <c r="M1006" s="6"/>
      <c r="N1006" s="6"/>
      <c r="O1006" s="4"/>
      <c r="P1006" s="3"/>
      <c r="Q1006" s="8"/>
      <c r="R1006" s="8"/>
      <c r="S1006" s="9"/>
      <c r="T1006" s="8"/>
      <c r="U1006" s="8"/>
      <c r="W1006" s="8"/>
    </row>
    <row r="1007" spans="2:23" x14ac:dyDescent="0.55000000000000004">
      <c r="B1007" s="3"/>
      <c r="C1007" s="4"/>
      <c r="D1007" s="4"/>
      <c r="E1007" s="5"/>
      <c r="F1007" s="4"/>
      <c r="G1007" s="4"/>
      <c r="H1007" s="4"/>
      <c r="I1007" s="4"/>
      <c r="J1007" s="4"/>
      <c r="K1007" s="6"/>
      <c r="L1007" s="6"/>
      <c r="M1007" s="6"/>
      <c r="N1007" s="6"/>
      <c r="O1007" s="4"/>
      <c r="P1007" s="3"/>
      <c r="Q1007" s="8"/>
      <c r="R1007" s="8"/>
      <c r="S1007" s="9"/>
      <c r="T1007" s="8"/>
      <c r="U1007" s="8"/>
      <c r="W1007" s="8"/>
    </row>
    <row r="1008" spans="2:23" x14ac:dyDescent="0.55000000000000004">
      <c r="B1008" s="3"/>
      <c r="C1008" s="4"/>
      <c r="D1008" s="4"/>
      <c r="E1008" s="5"/>
      <c r="F1008" s="4"/>
      <c r="G1008" s="4"/>
      <c r="H1008" s="4"/>
      <c r="I1008" s="4"/>
      <c r="J1008" s="4"/>
      <c r="K1008" s="6"/>
      <c r="L1008" s="6"/>
      <c r="M1008" s="6"/>
      <c r="N1008" s="6"/>
      <c r="O1008" s="4"/>
      <c r="P1008" s="3"/>
      <c r="Q1008" s="8"/>
      <c r="R1008" s="8"/>
      <c r="S1008" s="9"/>
      <c r="T1008" s="8"/>
      <c r="U1008" s="8"/>
      <c r="W1008" s="8"/>
    </row>
    <row r="1009" spans="2:23" x14ac:dyDescent="0.55000000000000004">
      <c r="B1009" s="3"/>
      <c r="C1009" s="4"/>
      <c r="D1009" s="4"/>
      <c r="E1009" s="5"/>
      <c r="F1009" s="4"/>
      <c r="G1009" s="4"/>
      <c r="H1009" s="4"/>
      <c r="I1009" s="4"/>
      <c r="J1009" s="4"/>
      <c r="K1009" s="6"/>
      <c r="L1009" s="6"/>
      <c r="M1009" s="6"/>
      <c r="N1009" s="6"/>
      <c r="O1009" s="4"/>
      <c r="P1009" s="3"/>
      <c r="Q1009" s="8"/>
      <c r="R1009" s="8"/>
      <c r="S1009" s="9"/>
      <c r="T1009" s="8"/>
      <c r="U1009" s="8"/>
      <c r="W1009" s="8"/>
    </row>
    <row r="1010" spans="2:23" x14ac:dyDescent="0.55000000000000004">
      <c r="B1010" s="3"/>
      <c r="C1010" s="4"/>
      <c r="D1010" s="4"/>
      <c r="E1010" s="5"/>
      <c r="F1010" s="4"/>
      <c r="G1010" s="4"/>
      <c r="H1010" s="4"/>
      <c r="I1010" s="4"/>
      <c r="J1010" s="4"/>
      <c r="K1010" s="6"/>
      <c r="L1010" s="6"/>
      <c r="M1010" s="6"/>
      <c r="N1010" s="6"/>
      <c r="O1010" s="4"/>
      <c r="P1010" s="3"/>
      <c r="Q1010" s="8"/>
      <c r="R1010" s="8"/>
      <c r="S1010" s="9"/>
      <c r="T1010" s="8"/>
      <c r="U1010" s="8"/>
      <c r="W1010" s="8"/>
    </row>
    <row r="1011" spans="2:23" x14ac:dyDescent="0.55000000000000004">
      <c r="B1011" s="3"/>
      <c r="C1011" s="4"/>
      <c r="D1011" s="4"/>
      <c r="E1011" s="5"/>
      <c r="F1011" s="4"/>
      <c r="G1011" s="4"/>
      <c r="H1011" s="4"/>
      <c r="I1011" s="4"/>
      <c r="J1011" s="4"/>
      <c r="K1011" s="6"/>
      <c r="L1011" s="6"/>
      <c r="M1011" s="6"/>
      <c r="N1011" s="6"/>
      <c r="O1011" s="4"/>
      <c r="P1011" s="3"/>
      <c r="Q1011" s="8"/>
      <c r="R1011" s="8"/>
      <c r="S1011" s="9"/>
      <c r="T1011" s="8"/>
      <c r="U1011" s="8"/>
      <c r="W1011" s="8"/>
    </row>
    <row r="1012" spans="2:23" x14ac:dyDescent="0.55000000000000004">
      <c r="B1012" s="3"/>
      <c r="C1012" s="4"/>
      <c r="D1012" s="4"/>
      <c r="E1012" s="5"/>
      <c r="F1012" s="4"/>
      <c r="G1012" s="4"/>
      <c r="H1012" s="4"/>
      <c r="I1012" s="4"/>
      <c r="J1012" s="4"/>
      <c r="K1012" s="6"/>
      <c r="L1012" s="6"/>
      <c r="M1012" s="6"/>
      <c r="N1012" s="6"/>
      <c r="O1012" s="4"/>
      <c r="P1012" s="3"/>
      <c r="Q1012" s="8"/>
      <c r="R1012" s="8"/>
      <c r="S1012" s="9"/>
      <c r="T1012" s="8"/>
      <c r="U1012" s="8"/>
      <c r="W1012" s="8"/>
    </row>
    <row r="1013" spans="2:23" x14ac:dyDescent="0.55000000000000004">
      <c r="B1013" s="3"/>
      <c r="C1013" s="4"/>
      <c r="D1013" s="4"/>
      <c r="E1013" s="5"/>
      <c r="F1013" s="4"/>
      <c r="G1013" s="4"/>
      <c r="H1013" s="4"/>
      <c r="I1013" s="4"/>
      <c r="J1013" s="4"/>
      <c r="K1013" s="6"/>
      <c r="L1013" s="6"/>
      <c r="M1013" s="6"/>
      <c r="N1013" s="6"/>
      <c r="O1013" s="4"/>
      <c r="P1013" s="3"/>
      <c r="Q1013" s="8"/>
      <c r="R1013" s="8"/>
      <c r="S1013" s="9"/>
      <c r="T1013" s="8"/>
      <c r="U1013" s="8"/>
      <c r="W1013" s="8"/>
    </row>
    <row r="1014" spans="2:23" x14ac:dyDescent="0.55000000000000004">
      <c r="B1014" s="3"/>
      <c r="C1014" s="4"/>
      <c r="D1014" s="4"/>
      <c r="E1014" s="5"/>
      <c r="F1014" s="4"/>
      <c r="G1014" s="4"/>
      <c r="H1014" s="4"/>
      <c r="I1014" s="4"/>
      <c r="J1014" s="4"/>
      <c r="K1014" s="6"/>
      <c r="L1014" s="6"/>
      <c r="M1014" s="6"/>
      <c r="N1014" s="6"/>
      <c r="O1014" s="4"/>
      <c r="P1014" s="3"/>
      <c r="Q1014" s="8"/>
      <c r="R1014" s="8"/>
      <c r="S1014" s="9"/>
      <c r="T1014" s="8"/>
      <c r="U1014" s="8"/>
      <c r="W1014" s="8"/>
    </row>
    <row r="1015" spans="2:23" x14ac:dyDescent="0.55000000000000004">
      <c r="B1015" s="3"/>
      <c r="C1015" s="4"/>
      <c r="D1015" s="4"/>
      <c r="E1015" s="5"/>
      <c r="F1015" s="4"/>
      <c r="G1015" s="4"/>
      <c r="H1015" s="4"/>
      <c r="I1015" s="4"/>
      <c r="J1015" s="4"/>
      <c r="K1015" s="6"/>
      <c r="L1015" s="6"/>
      <c r="M1015" s="6"/>
      <c r="N1015" s="6"/>
      <c r="O1015" s="4"/>
      <c r="P1015" s="3"/>
      <c r="Q1015" s="8"/>
      <c r="R1015" s="8"/>
      <c r="S1015" s="9"/>
      <c r="T1015" s="8"/>
      <c r="U1015" s="8"/>
      <c r="W1015" s="8"/>
    </row>
    <row r="1016" spans="2:23" x14ac:dyDescent="0.55000000000000004">
      <c r="B1016" s="3"/>
      <c r="C1016" s="4"/>
      <c r="D1016" s="4"/>
      <c r="E1016" s="5"/>
      <c r="F1016" s="4"/>
      <c r="G1016" s="4"/>
      <c r="H1016" s="4"/>
      <c r="I1016" s="4"/>
      <c r="J1016" s="4"/>
      <c r="K1016" s="6"/>
      <c r="L1016" s="6"/>
      <c r="M1016" s="6"/>
      <c r="N1016" s="6"/>
      <c r="O1016" s="4"/>
      <c r="P1016" s="3"/>
      <c r="Q1016" s="8"/>
      <c r="R1016" s="8"/>
      <c r="S1016" s="9"/>
      <c r="T1016" s="8"/>
      <c r="U1016" s="8"/>
      <c r="W1016" s="8"/>
    </row>
    <row r="1017" spans="2:23" x14ac:dyDescent="0.55000000000000004">
      <c r="B1017" s="3"/>
      <c r="C1017" s="4"/>
      <c r="D1017" s="4"/>
      <c r="E1017" s="5"/>
      <c r="F1017" s="4"/>
      <c r="G1017" s="4"/>
      <c r="H1017" s="4"/>
      <c r="I1017" s="4"/>
      <c r="J1017" s="4"/>
      <c r="K1017" s="6"/>
      <c r="L1017" s="6"/>
      <c r="M1017" s="6"/>
      <c r="N1017" s="6"/>
      <c r="O1017" s="4"/>
      <c r="P1017" s="3"/>
      <c r="Q1017" s="8"/>
      <c r="R1017" s="8"/>
      <c r="S1017" s="9"/>
      <c r="T1017" s="8"/>
      <c r="U1017" s="8"/>
      <c r="W1017" s="8"/>
    </row>
    <row r="1018" spans="2:23" x14ac:dyDescent="0.55000000000000004">
      <c r="B1018" s="3"/>
      <c r="C1018" s="4"/>
      <c r="D1018" s="4"/>
      <c r="E1018" s="5"/>
      <c r="F1018" s="4"/>
      <c r="G1018" s="4"/>
      <c r="H1018" s="4"/>
      <c r="I1018" s="4"/>
      <c r="J1018" s="4"/>
      <c r="K1018" s="6"/>
      <c r="L1018" s="6"/>
      <c r="M1018" s="6"/>
      <c r="N1018" s="6"/>
      <c r="O1018" s="4"/>
      <c r="P1018" s="3"/>
      <c r="Q1018" s="8"/>
      <c r="R1018" s="8"/>
      <c r="S1018" s="9"/>
      <c r="T1018" s="8"/>
      <c r="U1018" s="8"/>
      <c r="W1018" s="8"/>
    </row>
    <row r="1019" spans="2:23" x14ac:dyDescent="0.55000000000000004">
      <c r="B1019" s="3"/>
      <c r="C1019" s="4"/>
      <c r="D1019" s="4"/>
      <c r="E1019" s="5"/>
      <c r="F1019" s="4"/>
      <c r="G1019" s="4"/>
      <c r="H1019" s="4"/>
      <c r="I1019" s="4"/>
      <c r="J1019" s="4"/>
      <c r="K1019" s="6"/>
      <c r="L1019" s="6"/>
      <c r="M1019" s="6"/>
      <c r="N1019" s="6"/>
      <c r="O1019" s="4"/>
      <c r="P1019" s="3"/>
      <c r="Q1019" s="8"/>
      <c r="R1019" s="8"/>
      <c r="S1019" s="9"/>
      <c r="T1019" s="8"/>
      <c r="U1019" s="8"/>
      <c r="W1019" s="8"/>
    </row>
    <row r="1020" spans="2:23" x14ac:dyDescent="0.55000000000000004">
      <c r="B1020" s="3"/>
      <c r="C1020" s="4"/>
      <c r="D1020" s="4"/>
      <c r="E1020" s="5"/>
      <c r="F1020" s="4"/>
      <c r="G1020" s="4"/>
      <c r="H1020" s="4"/>
      <c r="I1020" s="4"/>
      <c r="J1020" s="4"/>
      <c r="K1020" s="6"/>
      <c r="L1020" s="6"/>
      <c r="M1020" s="6"/>
      <c r="N1020" s="6"/>
      <c r="O1020" s="4"/>
      <c r="P1020" s="3"/>
      <c r="Q1020" s="8"/>
      <c r="R1020" s="8"/>
      <c r="S1020" s="9"/>
      <c r="T1020" s="8"/>
      <c r="U1020" s="8"/>
      <c r="W1020" s="8"/>
    </row>
    <row r="1021" spans="2:23" x14ac:dyDescent="0.55000000000000004">
      <c r="B1021" s="3"/>
      <c r="C1021" s="4"/>
      <c r="D1021" s="4"/>
      <c r="E1021" s="5"/>
      <c r="F1021" s="4"/>
      <c r="G1021" s="4"/>
      <c r="H1021" s="4"/>
      <c r="I1021" s="4"/>
      <c r="J1021" s="4"/>
      <c r="K1021" s="6"/>
      <c r="L1021" s="6"/>
      <c r="M1021" s="6"/>
      <c r="N1021" s="6"/>
      <c r="O1021" s="4"/>
      <c r="P1021" s="3"/>
      <c r="Q1021" s="8"/>
      <c r="R1021" s="8"/>
      <c r="S1021" s="9"/>
      <c r="T1021" s="8"/>
      <c r="U1021" s="8"/>
      <c r="W1021" s="8"/>
    </row>
    <row r="1022" spans="2:23" x14ac:dyDescent="0.55000000000000004">
      <c r="B1022" s="3"/>
      <c r="C1022" s="4"/>
      <c r="D1022" s="4"/>
      <c r="E1022" s="5"/>
      <c r="F1022" s="4"/>
      <c r="G1022" s="4"/>
      <c r="H1022" s="4"/>
      <c r="I1022" s="4"/>
      <c r="J1022" s="4"/>
      <c r="K1022" s="6"/>
      <c r="L1022" s="6"/>
      <c r="M1022" s="6"/>
      <c r="N1022" s="6"/>
      <c r="O1022" s="4"/>
      <c r="P1022" s="3"/>
      <c r="Q1022" s="8"/>
      <c r="R1022" s="8"/>
      <c r="S1022" s="9"/>
      <c r="T1022" s="8"/>
      <c r="U1022" s="8"/>
      <c r="W1022" s="8"/>
    </row>
    <row r="1023" spans="2:23" x14ac:dyDescent="0.55000000000000004">
      <c r="B1023" s="3"/>
      <c r="C1023" s="4"/>
      <c r="D1023" s="4"/>
      <c r="E1023" s="5"/>
      <c r="F1023" s="4"/>
      <c r="G1023" s="4"/>
      <c r="H1023" s="4"/>
      <c r="I1023" s="4"/>
      <c r="J1023" s="4"/>
      <c r="K1023" s="6"/>
      <c r="L1023" s="6"/>
      <c r="M1023" s="6"/>
      <c r="N1023" s="6"/>
      <c r="O1023" s="4"/>
      <c r="P1023" s="3"/>
      <c r="Q1023" s="8"/>
      <c r="R1023" s="8"/>
      <c r="S1023" s="9"/>
      <c r="T1023" s="8"/>
      <c r="U1023" s="8"/>
      <c r="W1023" s="8"/>
    </row>
    <row r="1024" spans="2:23" x14ac:dyDescent="0.55000000000000004">
      <c r="B1024" s="3"/>
      <c r="C1024" s="4"/>
      <c r="D1024" s="4"/>
      <c r="E1024" s="5"/>
      <c r="F1024" s="4"/>
      <c r="G1024" s="4"/>
      <c r="H1024" s="4"/>
      <c r="I1024" s="4"/>
      <c r="J1024" s="4"/>
      <c r="K1024" s="6"/>
      <c r="L1024" s="6"/>
      <c r="M1024" s="6"/>
      <c r="N1024" s="6"/>
      <c r="O1024" s="4"/>
      <c r="P1024" s="3"/>
      <c r="Q1024" s="8"/>
      <c r="R1024" s="8"/>
      <c r="S1024" s="9"/>
      <c r="T1024" s="8"/>
      <c r="U1024" s="8"/>
      <c r="W1024" s="8"/>
    </row>
    <row r="1025" spans="2:23" x14ac:dyDescent="0.55000000000000004">
      <c r="B1025" s="3"/>
      <c r="C1025" s="4"/>
      <c r="D1025" s="4"/>
      <c r="E1025" s="5"/>
      <c r="F1025" s="4"/>
      <c r="G1025" s="4"/>
      <c r="H1025" s="4"/>
      <c r="I1025" s="4"/>
      <c r="J1025" s="4"/>
      <c r="K1025" s="6"/>
      <c r="L1025" s="6"/>
      <c r="M1025" s="6"/>
      <c r="N1025" s="6"/>
      <c r="O1025" s="4"/>
      <c r="P1025" s="3"/>
      <c r="Q1025" s="8"/>
      <c r="R1025" s="8"/>
      <c r="S1025" s="9"/>
      <c r="T1025" s="8"/>
      <c r="U1025" s="8"/>
      <c r="W1025" s="8"/>
    </row>
    <row r="1026" spans="2:23" x14ac:dyDescent="0.55000000000000004">
      <c r="B1026" s="3"/>
      <c r="C1026" s="4"/>
      <c r="D1026" s="4"/>
      <c r="E1026" s="5"/>
      <c r="F1026" s="4"/>
      <c r="G1026" s="4"/>
      <c r="H1026" s="4"/>
      <c r="I1026" s="4"/>
      <c r="J1026" s="4"/>
      <c r="K1026" s="6"/>
      <c r="L1026" s="6"/>
      <c r="M1026" s="6"/>
      <c r="N1026" s="6"/>
      <c r="O1026" s="4"/>
      <c r="P1026" s="3"/>
      <c r="Q1026" s="8"/>
      <c r="R1026" s="8"/>
      <c r="S1026" s="9"/>
      <c r="T1026" s="8"/>
      <c r="U1026" s="8"/>
      <c r="W1026" s="8"/>
    </row>
    <row r="1027" spans="2:23" x14ac:dyDescent="0.55000000000000004">
      <c r="B1027" s="3"/>
      <c r="C1027" s="4"/>
      <c r="D1027" s="4"/>
      <c r="E1027" s="5"/>
      <c r="F1027" s="4"/>
      <c r="G1027" s="4"/>
      <c r="H1027" s="4"/>
      <c r="I1027" s="4"/>
      <c r="J1027" s="4"/>
      <c r="K1027" s="6"/>
      <c r="L1027" s="6"/>
      <c r="M1027" s="6"/>
      <c r="N1027" s="6"/>
      <c r="O1027" s="4"/>
      <c r="P1027" s="3"/>
      <c r="Q1027" s="8"/>
      <c r="R1027" s="8"/>
      <c r="S1027" s="9"/>
      <c r="T1027" s="8"/>
      <c r="U1027" s="8"/>
      <c r="W1027" s="8"/>
    </row>
    <row r="1028" spans="2:23" x14ac:dyDescent="0.55000000000000004">
      <c r="B1028" s="3"/>
      <c r="C1028" s="4"/>
      <c r="D1028" s="4"/>
      <c r="E1028" s="5"/>
      <c r="F1028" s="4"/>
      <c r="G1028" s="4"/>
      <c r="H1028" s="4"/>
      <c r="I1028" s="4"/>
      <c r="J1028" s="4"/>
      <c r="K1028" s="6"/>
      <c r="L1028" s="6"/>
      <c r="M1028" s="6"/>
      <c r="N1028" s="6"/>
      <c r="O1028" s="4"/>
      <c r="P1028" s="3"/>
      <c r="Q1028" s="8"/>
      <c r="R1028" s="8"/>
      <c r="S1028" s="9"/>
      <c r="T1028" s="8"/>
      <c r="U1028" s="8"/>
      <c r="W1028" s="8"/>
    </row>
    <row r="1029" spans="2:23" x14ac:dyDescent="0.55000000000000004">
      <c r="B1029" s="3"/>
      <c r="C1029" s="4"/>
      <c r="D1029" s="4"/>
      <c r="E1029" s="5"/>
      <c r="F1029" s="4"/>
      <c r="G1029" s="4"/>
      <c r="H1029" s="4"/>
      <c r="I1029" s="4"/>
      <c r="J1029" s="4"/>
      <c r="K1029" s="6"/>
      <c r="L1029" s="6"/>
      <c r="M1029" s="6"/>
      <c r="N1029" s="6"/>
      <c r="O1029" s="4"/>
      <c r="P1029" s="3"/>
      <c r="Q1029" s="8"/>
      <c r="R1029" s="8"/>
      <c r="S1029" s="9"/>
      <c r="T1029" s="8"/>
      <c r="U1029" s="8"/>
      <c r="W1029" s="8"/>
    </row>
    <row r="1030" spans="2:23" x14ac:dyDescent="0.55000000000000004">
      <c r="B1030" s="3"/>
      <c r="C1030" s="4"/>
      <c r="D1030" s="4"/>
      <c r="E1030" s="5"/>
      <c r="F1030" s="4"/>
      <c r="G1030" s="4"/>
      <c r="H1030" s="4"/>
      <c r="I1030" s="4"/>
      <c r="J1030" s="4"/>
      <c r="K1030" s="6"/>
      <c r="L1030" s="6"/>
      <c r="M1030" s="6"/>
      <c r="N1030" s="6"/>
      <c r="O1030" s="4"/>
      <c r="P1030" s="3"/>
      <c r="Q1030" s="8"/>
      <c r="R1030" s="8"/>
      <c r="S1030" s="9"/>
      <c r="T1030" s="8"/>
      <c r="U1030" s="8"/>
      <c r="W1030" s="8"/>
    </row>
    <row r="1031" spans="2:23" x14ac:dyDescent="0.55000000000000004">
      <c r="B1031" s="3"/>
      <c r="C1031" s="4"/>
      <c r="D1031" s="4"/>
      <c r="E1031" s="5"/>
      <c r="F1031" s="4"/>
      <c r="G1031" s="4"/>
      <c r="H1031" s="4"/>
      <c r="I1031" s="4"/>
      <c r="J1031" s="4"/>
      <c r="K1031" s="6"/>
      <c r="L1031" s="6"/>
      <c r="M1031" s="6"/>
      <c r="N1031" s="6"/>
      <c r="O1031" s="4"/>
      <c r="P1031" s="3"/>
      <c r="Q1031" s="8"/>
      <c r="R1031" s="8"/>
      <c r="S1031" s="9"/>
      <c r="T1031" s="8"/>
      <c r="U1031" s="8"/>
      <c r="W1031" s="8"/>
    </row>
    <row r="1032" spans="2:23" x14ac:dyDescent="0.55000000000000004">
      <c r="B1032" s="3"/>
      <c r="C1032" s="4"/>
      <c r="D1032" s="4"/>
      <c r="E1032" s="5"/>
      <c r="F1032" s="4"/>
      <c r="G1032" s="4"/>
      <c r="H1032" s="4"/>
      <c r="I1032" s="4"/>
      <c r="J1032" s="4"/>
      <c r="K1032" s="6"/>
      <c r="L1032" s="6"/>
      <c r="M1032" s="6"/>
      <c r="N1032" s="6"/>
      <c r="O1032" s="4"/>
      <c r="P1032" s="3"/>
      <c r="Q1032" s="8"/>
      <c r="R1032" s="8"/>
      <c r="S1032" s="9"/>
      <c r="T1032" s="8"/>
      <c r="U1032" s="8"/>
      <c r="W1032" s="8"/>
    </row>
    <row r="1033" spans="2:23" x14ac:dyDescent="0.55000000000000004">
      <c r="B1033" s="3"/>
      <c r="C1033" s="4"/>
      <c r="D1033" s="4"/>
      <c r="E1033" s="5"/>
      <c r="F1033" s="4"/>
      <c r="G1033" s="4"/>
      <c r="H1033" s="4"/>
      <c r="I1033" s="4"/>
      <c r="J1033" s="4"/>
      <c r="K1033" s="6"/>
      <c r="L1033" s="6"/>
      <c r="M1033" s="6"/>
      <c r="N1033" s="6"/>
      <c r="O1033" s="4"/>
      <c r="P1033" s="3"/>
      <c r="Q1033" s="8"/>
      <c r="R1033" s="8"/>
      <c r="S1033" s="9"/>
      <c r="T1033" s="8"/>
      <c r="U1033" s="8"/>
      <c r="W1033" s="8"/>
    </row>
    <row r="1034" spans="2:23" x14ac:dyDescent="0.55000000000000004">
      <c r="B1034" s="3"/>
      <c r="C1034" s="4"/>
      <c r="D1034" s="4"/>
      <c r="E1034" s="5"/>
      <c r="F1034" s="4"/>
      <c r="G1034" s="4"/>
      <c r="H1034" s="4"/>
      <c r="I1034" s="4"/>
      <c r="J1034" s="4"/>
      <c r="K1034" s="6"/>
      <c r="L1034" s="6"/>
      <c r="M1034" s="6"/>
      <c r="N1034" s="6"/>
      <c r="O1034" s="4"/>
      <c r="P1034" s="3"/>
      <c r="Q1034" s="8"/>
      <c r="R1034" s="8"/>
      <c r="S1034" s="9"/>
      <c r="T1034" s="8"/>
      <c r="U1034" s="8"/>
      <c r="W1034" s="8"/>
    </row>
    <row r="1035" spans="2:23" x14ac:dyDescent="0.55000000000000004">
      <c r="B1035" s="3"/>
      <c r="C1035" s="4"/>
      <c r="D1035" s="4"/>
      <c r="E1035" s="5"/>
      <c r="F1035" s="4"/>
      <c r="G1035" s="4"/>
      <c r="H1035" s="4"/>
      <c r="I1035" s="4"/>
      <c r="J1035" s="4"/>
      <c r="K1035" s="6"/>
      <c r="L1035" s="6"/>
      <c r="M1035" s="6"/>
      <c r="N1035" s="6"/>
      <c r="O1035" s="4"/>
      <c r="P1035" s="3"/>
      <c r="Q1035" s="8"/>
      <c r="R1035" s="8"/>
      <c r="S1035" s="9"/>
      <c r="T1035" s="8"/>
      <c r="U1035" s="8"/>
      <c r="W1035" s="8"/>
    </row>
    <row r="1036" spans="2:23" x14ac:dyDescent="0.55000000000000004">
      <c r="B1036" s="3"/>
      <c r="C1036" s="4"/>
      <c r="D1036" s="4"/>
      <c r="E1036" s="5"/>
      <c r="F1036" s="4"/>
      <c r="G1036" s="4"/>
      <c r="H1036" s="4"/>
      <c r="I1036" s="4"/>
      <c r="J1036" s="4"/>
      <c r="K1036" s="6"/>
      <c r="L1036" s="6"/>
      <c r="M1036" s="6"/>
      <c r="N1036" s="6"/>
      <c r="O1036" s="4"/>
      <c r="P1036" s="3"/>
      <c r="Q1036" s="8"/>
      <c r="R1036" s="8"/>
      <c r="S1036" s="9"/>
      <c r="T1036" s="8"/>
      <c r="U1036" s="8"/>
      <c r="W1036" s="8"/>
    </row>
    <row r="1037" spans="2:23" x14ac:dyDescent="0.55000000000000004">
      <c r="B1037" s="3"/>
      <c r="C1037" s="4"/>
      <c r="D1037" s="4"/>
      <c r="E1037" s="5"/>
      <c r="F1037" s="4"/>
      <c r="G1037" s="4"/>
      <c r="H1037" s="4"/>
      <c r="I1037" s="4"/>
      <c r="J1037" s="4"/>
      <c r="K1037" s="6"/>
      <c r="L1037" s="6"/>
      <c r="M1037" s="6"/>
      <c r="N1037" s="6"/>
      <c r="O1037" s="4"/>
      <c r="P1037" s="3"/>
      <c r="Q1037" s="8"/>
      <c r="R1037" s="8"/>
      <c r="S1037" s="9"/>
      <c r="T1037" s="8"/>
      <c r="U1037" s="8"/>
      <c r="W1037" s="8"/>
    </row>
    <row r="1038" spans="2:23" x14ac:dyDescent="0.55000000000000004">
      <c r="B1038" s="3"/>
      <c r="C1038" s="4"/>
      <c r="D1038" s="4"/>
      <c r="E1038" s="5"/>
      <c r="F1038" s="4"/>
      <c r="G1038" s="4"/>
      <c r="H1038" s="4"/>
      <c r="I1038" s="4"/>
      <c r="J1038" s="4"/>
      <c r="K1038" s="6"/>
      <c r="L1038" s="6"/>
      <c r="M1038" s="6"/>
      <c r="N1038" s="6"/>
      <c r="O1038" s="4"/>
      <c r="P1038" s="3"/>
      <c r="Q1038" s="8"/>
      <c r="R1038" s="8"/>
      <c r="S1038" s="9"/>
      <c r="T1038" s="8"/>
      <c r="U1038" s="8"/>
      <c r="W1038" s="8"/>
    </row>
    <row r="1039" spans="2:23" x14ac:dyDescent="0.55000000000000004">
      <c r="B1039" s="3"/>
      <c r="C1039" s="4"/>
      <c r="D1039" s="4"/>
      <c r="E1039" s="5"/>
      <c r="F1039" s="4"/>
      <c r="G1039" s="4"/>
      <c r="H1039" s="4"/>
      <c r="I1039" s="4"/>
      <c r="J1039" s="4"/>
      <c r="K1039" s="6"/>
      <c r="L1039" s="6"/>
      <c r="M1039" s="6"/>
      <c r="N1039" s="6"/>
      <c r="O1039" s="4"/>
      <c r="P1039" s="3"/>
      <c r="Q1039" s="8"/>
      <c r="R1039" s="8"/>
      <c r="S1039" s="9"/>
      <c r="T1039" s="8"/>
      <c r="U1039" s="8"/>
      <c r="W1039" s="8"/>
    </row>
    <row r="1040" spans="2:23" x14ac:dyDescent="0.55000000000000004">
      <c r="B1040" s="3"/>
      <c r="C1040" s="4"/>
      <c r="D1040" s="4"/>
      <c r="E1040" s="5"/>
      <c r="F1040" s="4"/>
      <c r="G1040" s="4"/>
      <c r="H1040" s="4"/>
      <c r="I1040" s="4"/>
      <c r="J1040" s="4"/>
      <c r="K1040" s="6"/>
      <c r="L1040" s="6"/>
      <c r="M1040" s="6"/>
      <c r="N1040" s="6"/>
      <c r="O1040" s="4"/>
      <c r="P1040" s="3"/>
      <c r="Q1040" s="8"/>
      <c r="R1040" s="8"/>
      <c r="S1040" s="9"/>
      <c r="T1040" s="8"/>
      <c r="U1040" s="8"/>
      <c r="W1040" s="8"/>
    </row>
    <row r="1041" spans="2:23" x14ac:dyDescent="0.55000000000000004">
      <c r="B1041" s="3"/>
      <c r="C1041" s="4"/>
      <c r="D1041" s="4"/>
      <c r="E1041" s="5"/>
      <c r="F1041" s="4"/>
      <c r="G1041" s="4"/>
      <c r="H1041" s="4"/>
      <c r="I1041" s="4"/>
      <c r="J1041" s="4"/>
      <c r="K1041" s="6"/>
      <c r="L1041" s="6"/>
      <c r="M1041" s="6"/>
      <c r="N1041" s="6"/>
      <c r="O1041" s="4"/>
      <c r="P1041" s="3"/>
      <c r="Q1041" s="8"/>
      <c r="R1041" s="8"/>
      <c r="S1041" s="9"/>
      <c r="T1041" s="8"/>
      <c r="U1041" s="8"/>
      <c r="W1041" s="8"/>
    </row>
    <row r="1042" spans="2:23" x14ac:dyDescent="0.55000000000000004">
      <c r="B1042" s="3"/>
      <c r="C1042" s="4"/>
      <c r="D1042" s="4"/>
      <c r="E1042" s="5"/>
      <c r="F1042" s="4"/>
      <c r="G1042" s="4"/>
      <c r="H1042" s="4"/>
      <c r="I1042" s="4"/>
      <c r="J1042" s="4"/>
      <c r="K1042" s="6"/>
      <c r="L1042" s="6"/>
      <c r="M1042" s="6"/>
      <c r="N1042" s="6"/>
      <c r="O1042" s="4"/>
      <c r="P1042" s="3"/>
      <c r="Q1042" s="8"/>
      <c r="R1042" s="8"/>
      <c r="S1042" s="9"/>
      <c r="T1042" s="8"/>
      <c r="U1042" s="8"/>
      <c r="W1042" s="8"/>
    </row>
    <row r="1043" spans="2:23" x14ac:dyDescent="0.55000000000000004">
      <c r="B1043" s="3"/>
      <c r="C1043" s="4"/>
      <c r="D1043" s="4"/>
      <c r="E1043" s="5"/>
      <c r="F1043" s="4"/>
      <c r="G1043" s="4"/>
      <c r="H1043" s="4"/>
      <c r="I1043" s="4"/>
      <c r="J1043" s="4"/>
      <c r="K1043" s="6"/>
      <c r="L1043" s="6"/>
      <c r="M1043" s="6"/>
      <c r="N1043" s="6"/>
      <c r="O1043" s="4"/>
      <c r="P1043" s="3"/>
      <c r="Q1043" s="8"/>
      <c r="R1043" s="8"/>
      <c r="S1043" s="9"/>
      <c r="T1043" s="8"/>
      <c r="U1043" s="8"/>
      <c r="W1043" s="8"/>
    </row>
    <row r="1044" spans="2:23" x14ac:dyDescent="0.55000000000000004">
      <c r="B1044" s="3"/>
      <c r="C1044" s="4"/>
      <c r="D1044" s="4"/>
      <c r="E1044" s="5"/>
      <c r="F1044" s="4"/>
      <c r="G1044" s="4"/>
      <c r="H1044" s="4"/>
      <c r="I1044" s="4"/>
      <c r="J1044" s="4"/>
      <c r="K1044" s="6"/>
      <c r="L1044" s="6"/>
      <c r="M1044" s="6"/>
      <c r="N1044" s="6"/>
      <c r="O1044" s="4"/>
      <c r="P1044" s="3"/>
      <c r="Q1044" s="8"/>
      <c r="R1044" s="8"/>
      <c r="S1044" s="9"/>
      <c r="T1044" s="8"/>
      <c r="U1044" s="8"/>
      <c r="W1044" s="8"/>
    </row>
    <row r="1045" spans="2:23" x14ac:dyDescent="0.55000000000000004">
      <c r="B1045" s="3"/>
      <c r="C1045" s="4"/>
      <c r="D1045" s="4"/>
      <c r="E1045" s="5"/>
      <c r="F1045" s="4"/>
      <c r="G1045" s="4"/>
      <c r="H1045" s="4"/>
      <c r="I1045" s="4"/>
      <c r="J1045" s="4"/>
      <c r="K1045" s="6"/>
      <c r="L1045" s="6"/>
      <c r="M1045" s="6"/>
      <c r="N1045" s="6"/>
      <c r="O1045" s="4"/>
      <c r="P1045" s="3"/>
      <c r="Q1045" s="8"/>
      <c r="R1045" s="8"/>
      <c r="S1045" s="9"/>
      <c r="T1045" s="8"/>
      <c r="U1045" s="8"/>
      <c r="W1045" s="8"/>
    </row>
    <row r="1046" spans="2:23" x14ac:dyDescent="0.55000000000000004">
      <c r="B1046" s="3"/>
      <c r="C1046" s="4"/>
      <c r="D1046" s="4"/>
      <c r="E1046" s="5"/>
      <c r="F1046" s="4"/>
      <c r="G1046" s="4"/>
      <c r="H1046" s="4"/>
      <c r="I1046" s="4"/>
      <c r="J1046" s="4"/>
      <c r="K1046" s="6"/>
      <c r="L1046" s="6"/>
      <c r="M1046" s="6"/>
      <c r="N1046" s="6"/>
      <c r="O1046" s="4"/>
      <c r="P1046" s="3"/>
      <c r="Q1046" s="8"/>
      <c r="R1046" s="8"/>
      <c r="S1046" s="9"/>
      <c r="T1046" s="8"/>
      <c r="U1046" s="8"/>
      <c r="W1046" s="8"/>
    </row>
    <row r="1047" spans="2:23" x14ac:dyDescent="0.55000000000000004">
      <c r="B1047" s="3"/>
      <c r="C1047" s="4"/>
      <c r="D1047" s="4"/>
      <c r="E1047" s="5"/>
      <c r="F1047" s="4"/>
      <c r="G1047" s="4"/>
      <c r="H1047" s="4"/>
      <c r="I1047" s="4"/>
      <c r="J1047" s="4"/>
      <c r="K1047" s="6"/>
      <c r="L1047" s="6"/>
      <c r="M1047" s="6"/>
      <c r="N1047" s="6"/>
      <c r="O1047" s="4"/>
      <c r="P1047" s="3"/>
      <c r="Q1047" s="8"/>
      <c r="R1047" s="8"/>
      <c r="S1047" s="9"/>
      <c r="T1047" s="8"/>
      <c r="U1047" s="8"/>
      <c r="W1047" s="8"/>
    </row>
    <row r="1048" spans="2:23" x14ac:dyDescent="0.55000000000000004">
      <c r="B1048" s="3"/>
      <c r="C1048" s="4"/>
      <c r="D1048" s="4"/>
      <c r="E1048" s="5"/>
      <c r="F1048" s="4"/>
      <c r="G1048" s="4"/>
      <c r="H1048" s="4"/>
      <c r="I1048" s="4"/>
      <c r="J1048" s="4"/>
      <c r="K1048" s="6"/>
      <c r="L1048" s="6"/>
      <c r="M1048" s="6"/>
      <c r="N1048" s="6"/>
      <c r="O1048" s="4"/>
      <c r="P1048" s="3"/>
      <c r="Q1048" s="8"/>
      <c r="R1048" s="8"/>
      <c r="S1048" s="9"/>
      <c r="T1048" s="8"/>
      <c r="U1048" s="8"/>
      <c r="W1048" s="8"/>
    </row>
    <row r="1049" spans="2:23" x14ac:dyDescent="0.55000000000000004">
      <c r="B1049" s="3"/>
      <c r="C1049" s="4"/>
      <c r="D1049" s="4"/>
      <c r="E1049" s="5"/>
      <c r="F1049" s="4"/>
      <c r="G1049" s="4"/>
      <c r="H1049" s="4"/>
      <c r="I1049" s="4"/>
      <c r="J1049" s="4"/>
      <c r="K1049" s="6"/>
      <c r="L1049" s="6"/>
      <c r="M1049" s="6"/>
      <c r="N1049" s="6"/>
      <c r="O1049" s="4"/>
      <c r="P1049" s="3"/>
      <c r="Q1049" s="8"/>
      <c r="R1049" s="8"/>
      <c r="S1049" s="9"/>
      <c r="T1049" s="8"/>
      <c r="U1049" s="8"/>
      <c r="W1049" s="8"/>
    </row>
    <row r="1050" spans="2:23" x14ac:dyDescent="0.55000000000000004">
      <c r="B1050" s="3"/>
      <c r="C1050" s="4"/>
      <c r="D1050" s="4"/>
      <c r="E1050" s="5"/>
      <c r="F1050" s="4"/>
      <c r="G1050" s="4"/>
      <c r="H1050" s="4"/>
      <c r="I1050" s="4"/>
      <c r="J1050" s="4"/>
      <c r="K1050" s="6"/>
      <c r="L1050" s="6"/>
      <c r="M1050" s="6"/>
      <c r="N1050" s="6"/>
      <c r="O1050" s="4"/>
      <c r="P1050" s="3"/>
      <c r="Q1050" s="8"/>
      <c r="R1050" s="8"/>
      <c r="S1050" s="9"/>
      <c r="T1050" s="8"/>
      <c r="U1050" s="8"/>
      <c r="W1050" s="8"/>
    </row>
    <row r="1051" spans="2:23" x14ac:dyDescent="0.55000000000000004">
      <c r="B1051" s="3"/>
      <c r="C1051" s="4"/>
      <c r="D1051" s="4"/>
      <c r="E1051" s="5"/>
      <c r="F1051" s="4"/>
      <c r="G1051" s="4"/>
      <c r="H1051" s="4"/>
      <c r="I1051" s="4"/>
      <c r="J1051" s="4"/>
      <c r="K1051" s="6"/>
      <c r="L1051" s="6"/>
      <c r="M1051" s="6"/>
      <c r="N1051" s="6"/>
      <c r="O1051" s="4"/>
      <c r="P1051" s="3"/>
      <c r="Q1051" s="8"/>
      <c r="R1051" s="8"/>
      <c r="S1051" s="9"/>
      <c r="T1051" s="8"/>
      <c r="U1051" s="8"/>
      <c r="W1051" s="8"/>
    </row>
    <row r="1052" spans="2:23" x14ac:dyDescent="0.55000000000000004">
      <c r="B1052" s="3"/>
      <c r="C1052" s="4"/>
      <c r="D1052" s="4"/>
      <c r="E1052" s="5"/>
      <c r="F1052" s="4"/>
      <c r="G1052" s="4"/>
      <c r="H1052" s="4"/>
      <c r="I1052" s="4"/>
      <c r="J1052" s="4"/>
      <c r="K1052" s="6"/>
      <c r="L1052" s="6"/>
      <c r="M1052" s="6"/>
      <c r="N1052" s="6"/>
      <c r="O1052" s="4"/>
      <c r="P1052" s="3"/>
      <c r="Q1052" s="8"/>
      <c r="R1052" s="8"/>
      <c r="S1052" s="9"/>
      <c r="T1052" s="8"/>
      <c r="U1052" s="8"/>
      <c r="W1052" s="8"/>
    </row>
    <row r="1053" spans="2:23" x14ac:dyDescent="0.55000000000000004">
      <c r="B1053" s="3"/>
      <c r="C1053" s="4"/>
      <c r="D1053" s="4"/>
      <c r="E1053" s="5"/>
      <c r="F1053" s="4"/>
      <c r="G1053" s="4"/>
      <c r="H1053" s="4"/>
      <c r="I1053" s="4"/>
      <c r="J1053" s="4"/>
      <c r="K1053" s="6"/>
      <c r="L1053" s="6"/>
      <c r="M1053" s="6"/>
      <c r="N1053" s="6"/>
      <c r="O1053" s="4"/>
      <c r="P1053" s="3"/>
      <c r="Q1053" s="8"/>
      <c r="R1053" s="8"/>
      <c r="S1053" s="9"/>
      <c r="T1053" s="8"/>
      <c r="U1053" s="8"/>
      <c r="W1053" s="8"/>
    </row>
    <row r="1054" spans="2:23" x14ac:dyDescent="0.55000000000000004">
      <c r="B1054" s="3"/>
      <c r="C1054" s="4"/>
      <c r="D1054" s="4"/>
      <c r="E1054" s="5"/>
      <c r="F1054" s="4"/>
      <c r="G1054" s="4"/>
      <c r="H1054" s="4"/>
      <c r="I1054" s="4"/>
      <c r="J1054" s="4"/>
      <c r="K1054" s="6"/>
      <c r="L1054" s="6"/>
      <c r="M1054" s="6"/>
      <c r="N1054" s="6"/>
      <c r="O1054" s="4"/>
      <c r="P1054" s="3"/>
      <c r="Q1054" s="8"/>
      <c r="R1054" s="8"/>
      <c r="S1054" s="9"/>
      <c r="T1054" s="8"/>
      <c r="U1054" s="8"/>
      <c r="W1054" s="8"/>
    </row>
    <row r="1055" spans="2:23" x14ac:dyDescent="0.55000000000000004">
      <c r="B1055" s="3"/>
      <c r="C1055" s="4"/>
      <c r="D1055" s="4"/>
      <c r="E1055" s="5"/>
      <c r="F1055" s="4"/>
      <c r="G1055" s="4"/>
      <c r="H1055" s="4"/>
      <c r="I1055" s="4"/>
      <c r="J1055" s="4"/>
      <c r="K1055" s="6"/>
      <c r="L1055" s="6"/>
      <c r="M1055" s="6"/>
      <c r="N1055" s="6"/>
      <c r="O1055" s="4"/>
      <c r="P1055" s="3"/>
      <c r="Q1055" s="8"/>
      <c r="R1055" s="8"/>
      <c r="S1055" s="9"/>
      <c r="T1055" s="8"/>
      <c r="U1055" s="8"/>
      <c r="W1055" s="8"/>
    </row>
    <row r="1056" spans="2:23" x14ac:dyDescent="0.55000000000000004">
      <c r="B1056" s="3"/>
      <c r="C1056" s="4"/>
      <c r="D1056" s="4"/>
      <c r="E1056" s="5"/>
      <c r="F1056" s="4"/>
      <c r="G1056" s="4"/>
      <c r="H1056" s="4"/>
      <c r="I1056" s="4"/>
      <c r="J1056" s="4"/>
      <c r="K1056" s="6"/>
      <c r="L1056" s="6"/>
      <c r="M1056" s="6"/>
      <c r="N1056" s="6"/>
      <c r="O1056" s="4"/>
      <c r="P1056" s="3"/>
      <c r="Q1056" s="8"/>
      <c r="R1056" s="8"/>
      <c r="S1056" s="9"/>
      <c r="T1056" s="8"/>
      <c r="U1056" s="8"/>
      <c r="W1056" s="8"/>
    </row>
    <row r="1057" spans="2:23" x14ac:dyDescent="0.55000000000000004">
      <c r="B1057" s="3"/>
      <c r="C1057" s="4"/>
      <c r="D1057" s="4"/>
      <c r="E1057" s="5"/>
      <c r="F1057" s="4"/>
      <c r="G1057" s="4"/>
      <c r="H1057" s="4"/>
      <c r="I1057" s="4"/>
      <c r="J1057" s="4"/>
      <c r="K1057" s="6"/>
      <c r="L1057" s="6"/>
      <c r="M1057" s="6"/>
      <c r="N1057" s="6"/>
      <c r="O1057" s="4"/>
      <c r="P1057" s="3"/>
      <c r="Q1057" s="8"/>
      <c r="R1057" s="8"/>
      <c r="S1057" s="9"/>
      <c r="T1057" s="8"/>
      <c r="U1057" s="8"/>
      <c r="W1057" s="8"/>
    </row>
    <row r="1058" spans="2:23" x14ac:dyDescent="0.55000000000000004">
      <c r="B1058" s="3"/>
      <c r="C1058" s="4"/>
      <c r="D1058" s="4"/>
      <c r="E1058" s="5"/>
      <c r="F1058" s="4"/>
      <c r="G1058" s="4"/>
      <c r="H1058" s="4"/>
      <c r="I1058" s="4"/>
      <c r="J1058" s="4"/>
      <c r="K1058" s="6"/>
      <c r="L1058" s="6"/>
      <c r="M1058" s="6"/>
      <c r="N1058" s="6"/>
      <c r="O1058" s="4"/>
      <c r="P1058" s="3"/>
      <c r="Q1058" s="8"/>
      <c r="R1058" s="8"/>
      <c r="S1058" s="9"/>
      <c r="T1058" s="8"/>
      <c r="U1058" s="8"/>
      <c r="W1058" s="8"/>
    </row>
    <row r="1059" spans="2:23" x14ac:dyDescent="0.55000000000000004">
      <c r="B1059" s="3"/>
      <c r="C1059" s="4"/>
      <c r="D1059" s="4"/>
      <c r="E1059" s="5"/>
      <c r="F1059" s="4"/>
      <c r="G1059" s="4"/>
      <c r="H1059" s="4"/>
      <c r="I1059" s="4"/>
      <c r="J1059" s="4"/>
      <c r="K1059" s="6"/>
      <c r="L1059" s="6"/>
      <c r="M1059" s="6"/>
      <c r="N1059" s="6"/>
      <c r="O1059" s="4"/>
      <c r="P1059" s="3"/>
      <c r="Q1059" s="8"/>
      <c r="R1059" s="8"/>
      <c r="S1059" s="9"/>
      <c r="T1059" s="8"/>
      <c r="U1059" s="8"/>
      <c r="W1059" s="8"/>
    </row>
    <row r="1060" spans="2:23" x14ac:dyDescent="0.55000000000000004">
      <c r="B1060" s="3"/>
      <c r="C1060" s="4"/>
      <c r="D1060" s="4"/>
      <c r="E1060" s="5"/>
      <c r="F1060" s="4"/>
      <c r="G1060" s="4"/>
      <c r="H1060" s="4"/>
      <c r="I1060" s="4"/>
      <c r="J1060" s="4"/>
      <c r="K1060" s="6"/>
      <c r="L1060" s="6"/>
      <c r="M1060" s="6"/>
      <c r="N1060" s="6"/>
      <c r="O1060" s="4"/>
      <c r="P1060" s="3"/>
      <c r="Q1060" s="8"/>
      <c r="R1060" s="8"/>
      <c r="S1060" s="9"/>
      <c r="T1060" s="8"/>
      <c r="U1060" s="8"/>
      <c r="W1060" s="8"/>
    </row>
    <row r="1061" spans="2:23" x14ac:dyDescent="0.55000000000000004">
      <c r="B1061" s="3"/>
      <c r="C1061" s="4"/>
      <c r="D1061" s="4"/>
      <c r="E1061" s="5"/>
      <c r="F1061" s="4"/>
      <c r="G1061" s="4"/>
      <c r="H1061" s="4"/>
      <c r="I1061" s="4"/>
      <c r="J1061" s="4"/>
      <c r="K1061" s="6"/>
      <c r="L1061" s="6"/>
      <c r="M1061" s="6"/>
      <c r="N1061" s="6"/>
      <c r="O1061" s="4"/>
      <c r="P1061" s="3"/>
      <c r="Q1061" s="8"/>
      <c r="R1061" s="8"/>
      <c r="S1061" s="9"/>
      <c r="T1061" s="8"/>
      <c r="U1061" s="8"/>
      <c r="W1061" s="8"/>
    </row>
    <row r="1062" spans="2:23" x14ac:dyDescent="0.55000000000000004">
      <c r="B1062" s="3"/>
      <c r="C1062" s="4"/>
      <c r="D1062" s="4"/>
      <c r="E1062" s="5"/>
      <c r="F1062" s="4"/>
      <c r="G1062" s="4"/>
      <c r="H1062" s="4"/>
      <c r="I1062" s="4"/>
      <c r="J1062" s="4"/>
      <c r="K1062" s="6"/>
      <c r="L1062" s="6"/>
      <c r="M1062" s="6"/>
      <c r="N1062" s="6"/>
      <c r="O1062" s="4"/>
      <c r="P1062" s="3"/>
      <c r="Q1062" s="8"/>
      <c r="R1062" s="8"/>
      <c r="S1062" s="9"/>
      <c r="T1062" s="8"/>
      <c r="U1062" s="8"/>
      <c r="W1062" s="8"/>
    </row>
    <row r="1063" spans="2:23" x14ac:dyDescent="0.55000000000000004">
      <c r="B1063" s="3"/>
      <c r="C1063" s="4"/>
      <c r="D1063" s="4"/>
      <c r="E1063" s="5"/>
      <c r="F1063" s="4"/>
      <c r="G1063" s="4"/>
      <c r="H1063" s="4"/>
      <c r="I1063" s="4"/>
      <c r="J1063" s="4"/>
      <c r="K1063" s="6"/>
      <c r="L1063" s="6"/>
      <c r="M1063" s="6"/>
      <c r="N1063" s="6"/>
      <c r="O1063" s="4"/>
      <c r="P1063" s="3"/>
      <c r="Q1063" s="8"/>
      <c r="R1063" s="8"/>
      <c r="S1063" s="9"/>
      <c r="T1063" s="8"/>
      <c r="U1063" s="8"/>
      <c r="W1063" s="8"/>
    </row>
    <row r="1064" spans="2:23" x14ac:dyDescent="0.55000000000000004">
      <c r="B1064" s="3"/>
      <c r="C1064" s="4"/>
      <c r="D1064" s="4"/>
      <c r="E1064" s="5"/>
      <c r="F1064" s="4"/>
      <c r="G1064" s="4"/>
      <c r="H1064" s="4"/>
      <c r="I1064" s="4"/>
      <c r="J1064" s="4"/>
      <c r="K1064" s="6"/>
      <c r="L1064" s="6"/>
      <c r="M1064" s="6"/>
      <c r="N1064" s="6"/>
      <c r="O1064" s="4"/>
      <c r="P1064" s="3"/>
      <c r="Q1064" s="8"/>
      <c r="R1064" s="8"/>
      <c r="S1064" s="9"/>
      <c r="T1064" s="8"/>
      <c r="U1064" s="8"/>
      <c r="W1064" s="8"/>
    </row>
    <row r="1065" spans="2:23" x14ac:dyDescent="0.55000000000000004">
      <c r="B1065" s="3"/>
      <c r="C1065" s="4"/>
      <c r="D1065" s="4"/>
      <c r="E1065" s="5"/>
      <c r="F1065" s="4"/>
      <c r="G1065" s="4"/>
      <c r="H1065" s="4"/>
      <c r="I1065" s="4"/>
      <c r="J1065" s="4"/>
      <c r="K1065" s="6"/>
      <c r="L1065" s="6"/>
      <c r="M1065" s="6"/>
      <c r="N1065" s="6"/>
      <c r="O1065" s="4"/>
      <c r="P1065" s="3"/>
      <c r="Q1065" s="8"/>
      <c r="R1065" s="8"/>
      <c r="S1065" s="9"/>
      <c r="T1065" s="8"/>
      <c r="U1065" s="8"/>
      <c r="W1065" s="8"/>
    </row>
    <row r="1066" spans="2:23" x14ac:dyDescent="0.55000000000000004">
      <c r="B1066" s="3"/>
      <c r="C1066" s="4"/>
      <c r="D1066" s="4"/>
      <c r="E1066" s="5"/>
      <c r="F1066" s="4"/>
      <c r="G1066" s="4"/>
      <c r="H1066" s="4"/>
      <c r="I1066" s="4"/>
      <c r="J1066" s="4"/>
      <c r="K1066" s="6"/>
      <c r="L1066" s="6"/>
      <c r="M1066" s="6"/>
      <c r="N1066" s="6"/>
      <c r="O1066" s="4"/>
      <c r="P1066" s="3"/>
      <c r="Q1066" s="8"/>
      <c r="R1066" s="8"/>
      <c r="S1066" s="9"/>
      <c r="T1066" s="8"/>
      <c r="U1066" s="8"/>
      <c r="W1066" s="8"/>
    </row>
    <row r="1067" spans="2:23" x14ac:dyDescent="0.55000000000000004">
      <c r="B1067" s="3"/>
      <c r="C1067" s="4"/>
      <c r="D1067" s="4"/>
      <c r="E1067" s="5"/>
      <c r="F1067" s="4"/>
      <c r="G1067" s="4"/>
      <c r="H1067" s="4"/>
      <c r="I1067" s="4"/>
      <c r="J1067" s="4"/>
      <c r="K1067" s="6"/>
      <c r="L1067" s="6"/>
      <c r="M1067" s="6"/>
      <c r="N1067" s="6"/>
      <c r="O1067" s="4"/>
      <c r="P1067" s="3"/>
      <c r="Q1067" s="8"/>
      <c r="R1067" s="8"/>
      <c r="S1067" s="9"/>
      <c r="T1067" s="8"/>
      <c r="U1067" s="8"/>
      <c r="W1067" s="8"/>
    </row>
    <row r="1068" spans="2:23" x14ac:dyDescent="0.55000000000000004">
      <c r="B1068" s="3"/>
      <c r="C1068" s="4"/>
      <c r="D1068" s="4"/>
      <c r="E1068" s="5"/>
      <c r="F1068" s="4"/>
      <c r="G1068" s="4"/>
      <c r="H1068" s="4"/>
      <c r="I1068" s="4"/>
      <c r="J1068" s="4"/>
      <c r="K1068" s="6"/>
      <c r="L1068" s="6"/>
      <c r="M1068" s="6"/>
      <c r="N1068" s="6"/>
      <c r="O1068" s="4"/>
      <c r="P1068" s="3"/>
      <c r="Q1068" s="8"/>
      <c r="R1068" s="8"/>
      <c r="S1068" s="9"/>
      <c r="T1068" s="8"/>
      <c r="U1068" s="8"/>
      <c r="W1068" s="8"/>
    </row>
    <row r="1069" spans="2:23" x14ac:dyDescent="0.55000000000000004">
      <c r="B1069" s="3"/>
      <c r="C1069" s="4"/>
      <c r="D1069" s="4"/>
      <c r="E1069" s="5"/>
      <c r="F1069" s="4"/>
      <c r="G1069" s="4"/>
      <c r="H1069" s="4"/>
      <c r="I1069" s="4"/>
      <c r="J1069" s="4"/>
      <c r="K1069" s="6"/>
      <c r="L1069" s="6"/>
      <c r="M1069" s="6"/>
      <c r="N1069" s="6"/>
      <c r="O1069" s="4"/>
      <c r="P1069" s="3"/>
      <c r="Q1069" s="8"/>
      <c r="R1069" s="8"/>
      <c r="S1069" s="9"/>
      <c r="T1069" s="8"/>
      <c r="U1069" s="8"/>
      <c r="W1069" s="8"/>
    </row>
    <row r="1070" spans="2:23" x14ac:dyDescent="0.55000000000000004">
      <c r="B1070" s="3"/>
      <c r="C1070" s="4"/>
      <c r="D1070" s="4"/>
      <c r="E1070" s="5"/>
      <c r="F1070" s="4"/>
      <c r="G1070" s="4"/>
      <c r="H1070" s="4"/>
      <c r="I1070" s="4"/>
      <c r="J1070" s="4"/>
      <c r="K1070" s="6"/>
      <c r="L1070" s="6"/>
      <c r="M1070" s="6"/>
      <c r="N1070" s="6"/>
      <c r="O1070" s="4"/>
      <c r="P1070" s="3"/>
      <c r="Q1070" s="8"/>
      <c r="R1070" s="8"/>
      <c r="S1070" s="9"/>
      <c r="T1070" s="8"/>
      <c r="U1070" s="8"/>
      <c r="W1070" s="8"/>
    </row>
    <row r="1071" spans="2:23" x14ac:dyDescent="0.55000000000000004">
      <c r="B1071" s="3"/>
      <c r="C1071" s="4"/>
      <c r="D1071" s="4"/>
      <c r="E1071" s="5"/>
      <c r="F1071" s="4"/>
      <c r="G1071" s="4"/>
      <c r="H1071" s="4"/>
      <c r="I1071" s="4"/>
      <c r="J1071" s="4"/>
      <c r="K1071" s="6"/>
      <c r="L1071" s="6"/>
      <c r="M1071" s="6"/>
      <c r="N1071" s="6"/>
      <c r="O1071" s="4"/>
      <c r="P1071" s="3"/>
      <c r="Q1071" s="8"/>
      <c r="R1071" s="8"/>
      <c r="S1071" s="9"/>
      <c r="T1071" s="8"/>
      <c r="U1071" s="8"/>
      <c r="W1071" s="8"/>
    </row>
    <row r="1072" spans="2:23" x14ac:dyDescent="0.55000000000000004">
      <c r="B1072" s="3"/>
      <c r="C1072" s="4"/>
      <c r="D1072" s="4"/>
      <c r="E1072" s="5"/>
      <c r="F1072" s="4"/>
      <c r="G1072" s="4"/>
      <c r="H1072" s="4"/>
      <c r="I1072" s="4"/>
      <c r="J1072" s="4"/>
      <c r="K1072" s="6"/>
      <c r="L1072" s="6"/>
      <c r="M1072" s="6"/>
      <c r="N1072" s="6"/>
      <c r="O1072" s="4"/>
      <c r="P1072" s="3"/>
      <c r="Q1072" s="8"/>
      <c r="R1072" s="8"/>
      <c r="S1072" s="9"/>
      <c r="T1072" s="8"/>
      <c r="U1072" s="8"/>
      <c r="W1072" s="8"/>
    </row>
    <row r="1073" spans="2:23" x14ac:dyDescent="0.55000000000000004">
      <c r="B1073" s="3"/>
      <c r="C1073" s="4"/>
      <c r="D1073" s="4"/>
      <c r="E1073" s="5"/>
      <c r="F1073" s="4"/>
      <c r="G1073" s="4"/>
      <c r="H1073" s="4"/>
      <c r="I1073" s="4"/>
      <c r="J1073" s="4"/>
      <c r="K1073" s="6"/>
      <c r="L1073" s="6"/>
      <c r="M1073" s="6"/>
      <c r="N1073" s="6"/>
      <c r="O1073" s="4"/>
      <c r="P1073" s="3"/>
      <c r="Q1073" s="8"/>
      <c r="R1073" s="8"/>
      <c r="S1073" s="9"/>
      <c r="T1073" s="8"/>
      <c r="U1073" s="8"/>
      <c r="W1073" s="8"/>
    </row>
    <row r="1074" spans="2:23" x14ac:dyDescent="0.55000000000000004">
      <c r="B1074" s="3"/>
      <c r="C1074" s="4"/>
      <c r="D1074" s="4"/>
      <c r="E1074" s="5"/>
      <c r="F1074" s="4"/>
      <c r="G1074" s="4"/>
      <c r="H1074" s="4"/>
      <c r="I1074" s="4"/>
      <c r="J1074" s="4"/>
      <c r="K1074" s="6"/>
      <c r="L1074" s="6"/>
      <c r="M1074" s="6"/>
      <c r="N1074" s="6"/>
      <c r="O1074" s="4"/>
      <c r="P1074" s="3"/>
      <c r="Q1074" s="8"/>
      <c r="R1074" s="8"/>
      <c r="S1074" s="9"/>
      <c r="T1074" s="8"/>
      <c r="U1074" s="8"/>
      <c r="W1074" s="8"/>
    </row>
    <row r="1075" spans="2:23" x14ac:dyDescent="0.55000000000000004">
      <c r="B1075" s="3"/>
      <c r="C1075" s="4"/>
      <c r="D1075" s="4"/>
      <c r="E1075" s="5"/>
      <c r="F1075" s="4"/>
      <c r="G1075" s="4"/>
      <c r="H1075" s="4"/>
      <c r="I1075" s="4"/>
      <c r="J1075" s="4"/>
      <c r="K1075" s="6"/>
      <c r="L1075" s="6"/>
      <c r="M1075" s="6"/>
      <c r="N1075" s="6"/>
      <c r="O1075" s="4"/>
      <c r="P1075" s="3"/>
      <c r="Q1075" s="8"/>
      <c r="R1075" s="8"/>
      <c r="S1075" s="9"/>
      <c r="T1075" s="8"/>
      <c r="U1075" s="8"/>
      <c r="W1075" s="8"/>
    </row>
    <row r="1076" spans="2:23" x14ac:dyDescent="0.55000000000000004">
      <c r="B1076" s="3"/>
      <c r="C1076" s="4"/>
      <c r="D1076" s="4"/>
      <c r="E1076" s="5"/>
      <c r="F1076" s="4"/>
      <c r="G1076" s="4"/>
      <c r="H1076" s="4"/>
      <c r="I1076" s="4"/>
      <c r="J1076" s="4"/>
      <c r="K1076" s="6"/>
      <c r="L1076" s="6"/>
      <c r="M1076" s="6"/>
      <c r="N1076" s="6"/>
      <c r="O1076" s="4"/>
      <c r="P1076" s="3"/>
      <c r="Q1076" s="8"/>
      <c r="R1076" s="8"/>
      <c r="S1076" s="9"/>
      <c r="T1076" s="8"/>
      <c r="U1076" s="8"/>
      <c r="W1076" s="8"/>
    </row>
    <row r="1077" spans="2:23" x14ac:dyDescent="0.55000000000000004">
      <c r="B1077" s="3"/>
      <c r="C1077" s="4"/>
      <c r="D1077" s="4"/>
      <c r="E1077" s="5"/>
      <c r="F1077" s="4"/>
      <c r="G1077" s="4"/>
      <c r="H1077" s="4"/>
      <c r="I1077" s="4"/>
      <c r="J1077" s="4"/>
      <c r="K1077" s="6"/>
      <c r="L1077" s="6"/>
      <c r="M1077" s="6"/>
      <c r="N1077" s="6"/>
      <c r="O1077" s="4"/>
      <c r="P1077" s="3"/>
      <c r="Q1077" s="8"/>
      <c r="R1077" s="8"/>
      <c r="S1077" s="9"/>
      <c r="T1077" s="8"/>
      <c r="U1077" s="8"/>
      <c r="W1077" s="8"/>
    </row>
    <row r="1078" spans="2:23" x14ac:dyDescent="0.55000000000000004">
      <c r="B1078" s="3"/>
      <c r="C1078" s="4"/>
      <c r="D1078" s="4"/>
      <c r="E1078" s="5"/>
      <c r="F1078" s="4"/>
      <c r="G1078" s="4"/>
      <c r="H1078" s="4"/>
      <c r="I1078" s="4"/>
      <c r="J1078" s="4"/>
      <c r="K1078" s="6"/>
      <c r="L1078" s="6"/>
      <c r="M1078" s="6"/>
      <c r="N1078" s="6"/>
      <c r="O1078" s="4"/>
      <c r="P1078" s="3"/>
      <c r="Q1078" s="8"/>
      <c r="R1078" s="8"/>
      <c r="S1078" s="9"/>
      <c r="T1078" s="8"/>
      <c r="U1078" s="8"/>
      <c r="W1078" s="8"/>
    </row>
    <row r="1079" spans="2:23" x14ac:dyDescent="0.55000000000000004">
      <c r="B1079" s="3"/>
      <c r="C1079" s="4"/>
      <c r="D1079" s="4"/>
      <c r="E1079" s="5"/>
      <c r="F1079" s="4"/>
      <c r="G1079" s="4"/>
      <c r="H1079" s="4"/>
      <c r="I1079" s="4"/>
      <c r="J1079" s="4"/>
      <c r="K1079" s="6"/>
      <c r="L1079" s="6"/>
      <c r="M1079" s="6"/>
      <c r="N1079" s="6"/>
      <c r="O1079" s="4"/>
      <c r="P1079" s="3"/>
      <c r="Q1079" s="8"/>
      <c r="R1079" s="8"/>
      <c r="S1079" s="9"/>
      <c r="T1079" s="8"/>
      <c r="U1079" s="8"/>
      <c r="W1079" s="8"/>
    </row>
    <row r="1080" spans="2:23" x14ac:dyDescent="0.55000000000000004">
      <c r="B1080" s="3"/>
      <c r="C1080" s="4"/>
      <c r="D1080" s="4"/>
      <c r="E1080" s="5"/>
      <c r="F1080" s="4"/>
      <c r="G1080" s="4"/>
      <c r="H1080" s="4"/>
      <c r="I1080" s="4"/>
      <c r="J1080" s="4"/>
      <c r="K1080" s="6"/>
      <c r="L1080" s="6"/>
      <c r="M1080" s="6"/>
      <c r="N1080" s="6"/>
      <c r="O1080" s="4"/>
      <c r="P1080" s="3"/>
      <c r="Q1080" s="8"/>
      <c r="R1080" s="8"/>
      <c r="S1080" s="9"/>
      <c r="T1080" s="8"/>
      <c r="U1080" s="8"/>
      <c r="W1080" s="8"/>
    </row>
    <row r="1081" spans="2:23" x14ac:dyDescent="0.55000000000000004">
      <c r="B1081" s="3"/>
      <c r="C1081" s="4"/>
      <c r="D1081" s="4"/>
      <c r="E1081" s="5"/>
      <c r="F1081" s="4"/>
      <c r="G1081" s="4"/>
      <c r="H1081" s="4"/>
      <c r="I1081" s="4"/>
      <c r="J1081" s="4"/>
      <c r="K1081" s="6"/>
      <c r="L1081" s="6"/>
      <c r="M1081" s="6"/>
      <c r="N1081" s="6"/>
      <c r="O1081" s="4"/>
      <c r="P1081" s="3"/>
      <c r="Q1081" s="8"/>
      <c r="R1081" s="8"/>
      <c r="S1081" s="9"/>
      <c r="T1081" s="8"/>
      <c r="U1081" s="8"/>
      <c r="W1081" s="8"/>
    </row>
    <row r="1082" spans="2:23" x14ac:dyDescent="0.55000000000000004">
      <c r="B1082" s="3"/>
      <c r="C1082" s="4"/>
      <c r="D1082" s="4"/>
      <c r="E1082" s="5"/>
      <c r="F1082" s="4"/>
      <c r="G1082" s="4"/>
      <c r="H1082" s="4"/>
      <c r="I1082" s="4"/>
      <c r="J1082" s="4"/>
      <c r="K1082" s="6"/>
      <c r="L1082" s="6"/>
      <c r="M1082" s="6"/>
      <c r="N1082" s="6"/>
      <c r="O1082" s="4"/>
      <c r="P1082" s="3"/>
      <c r="Q1082" s="8"/>
      <c r="R1082" s="8"/>
      <c r="S1082" s="9"/>
      <c r="T1082" s="8"/>
      <c r="U1082" s="8"/>
      <c r="W1082" s="8"/>
    </row>
    <row r="1083" spans="2:23" x14ac:dyDescent="0.55000000000000004">
      <c r="B1083" s="3"/>
      <c r="C1083" s="4"/>
      <c r="D1083" s="4"/>
      <c r="E1083" s="5"/>
      <c r="F1083" s="4"/>
      <c r="G1083" s="4"/>
      <c r="H1083" s="4"/>
      <c r="I1083" s="4"/>
      <c r="J1083" s="4"/>
      <c r="K1083" s="6"/>
      <c r="L1083" s="6"/>
      <c r="M1083" s="6"/>
      <c r="N1083" s="6"/>
      <c r="O1083" s="4"/>
      <c r="P1083" s="3"/>
      <c r="Q1083" s="8"/>
      <c r="R1083" s="8"/>
      <c r="S1083" s="9"/>
      <c r="T1083" s="8"/>
      <c r="U1083" s="8"/>
      <c r="W1083" s="8"/>
    </row>
    <row r="1084" spans="2:23" x14ac:dyDescent="0.55000000000000004">
      <c r="B1084" s="3"/>
      <c r="C1084" s="4"/>
      <c r="D1084" s="4"/>
      <c r="E1084" s="5"/>
      <c r="F1084" s="4"/>
      <c r="G1084" s="4"/>
      <c r="H1084" s="4"/>
      <c r="I1084" s="4"/>
      <c r="J1084" s="4"/>
      <c r="K1084" s="6"/>
      <c r="L1084" s="6"/>
      <c r="M1084" s="6"/>
      <c r="N1084" s="6"/>
      <c r="O1084" s="4"/>
      <c r="P1084" s="3"/>
      <c r="Q1084" s="8"/>
      <c r="R1084" s="8"/>
      <c r="S1084" s="9"/>
      <c r="T1084" s="8"/>
      <c r="U1084" s="8"/>
      <c r="W1084" s="8"/>
    </row>
    <row r="1085" spans="2:23" x14ac:dyDescent="0.55000000000000004">
      <c r="B1085" s="3"/>
      <c r="C1085" s="4"/>
      <c r="D1085" s="4"/>
      <c r="E1085" s="5"/>
      <c r="F1085" s="4"/>
      <c r="G1085" s="4"/>
      <c r="H1085" s="4"/>
      <c r="I1085" s="4"/>
      <c r="J1085" s="4"/>
      <c r="K1085" s="6"/>
      <c r="L1085" s="6"/>
      <c r="M1085" s="6"/>
      <c r="N1085" s="6"/>
      <c r="O1085" s="4"/>
      <c r="P1085" s="3"/>
      <c r="Q1085" s="8"/>
      <c r="R1085" s="8"/>
      <c r="S1085" s="9"/>
      <c r="T1085" s="8"/>
      <c r="U1085" s="8"/>
      <c r="W1085" s="8"/>
    </row>
    <row r="1086" spans="2:23" x14ac:dyDescent="0.55000000000000004">
      <c r="B1086" s="3"/>
      <c r="C1086" s="4"/>
      <c r="D1086" s="4"/>
      <c r="E1086" s="5"/>
      <c r="F1086" s="4"/>
      <c r="G1086" s="4"/>
      <c r="H1086" s="4"/>
      <c r="I1086" s="4"/>
      <c r="J1086" s="4"/>
      <c r="K1086" s="6"/>
      <c r="L1086" s="6"/>
      <c r="M1086" s="6"/>
      <c r="N1086" s="6"/>
      <c r="O1086" s="4"/>
      <c r="P1086" s="3"/>
      <c r="Q1086" s="8"/>
      <c r="R1086" s="8"/>
      <c r="S1086" s="9"/>
      <c r="T1086" s="8"/>
      <c r="U1086" s="8"/>
      <c r="W1086" s="8"/>
    </row>
    <row r="1087" spans="2:23" x14ac:dyDescent="0.55000000000000004">
      <c r="B1087" s="3"/>
      <c r="C1087" s="4"/>
      <c r="D1087" s="4"/>
      <c r="E1087" s="5"/>
      <c r="F1087" s="4"/>
      <c r="G1087" s="4"/>
      <c r="H1087" s="4"/>
      <c r="I1087" s="4"/>
      <c r="J1087" s="4"/>
      <c r="K1087" s="6"/>
      <c r="L1087" s="6"/>
      <c r="M1087" s="6"/>
      <c r="N1087" s="6"/>
      <c r="O1087" s="4"/>
      <c r="P1087" s="3"/>
      <c r="Q1087" s="8"/>
      <c r="R1087" s="8"/>
      <c r="S1087" s="9"/>
      <c r="T1087" s="8"/>
      <c r="U1087" s="8"/>
      <c r="W1087" s="8"/>
    </row>
    <row r="1088" spans="2:23" x14ac:dyDescent="0.55000000000000004">
      <c r="B1088" s="3"/>
      <c r="C1088" s="4"/>
      <c r="D1088" s="4"/>
      <c r="E1088" s="5"/>
      <c r="F1088" s="4"/>
      <c r="G1088" s="4"/>
      <c r="H1088" s="4"/>
      <c r="I1088" s="4"/>
      <c r="J1088" s="4"/>
      <c r="K1088" s="6"/>
      <c r="L1088" s="6"/>
      <c r="M1088" s="6"/>
      <c r="N1088" s="6"/>
      <c r="O1088" s="4"/>
      <c r="P1088" s="3"/>
      <c r="Q1088" s="8"/>
      <c r="R1088" s="8"/>
      <c r="S1088" s="9"/>
      <c r="T1088" s="8"/>
      <c r="U1088" s="8"/>
      <c r="W1088" s="8"/>
    </row>
    <row r="1089" spans="2:23" x14ac:dyDescent="0.55000000000000004">
      <c r="B1089" s="3"/>
      <c r="C1089" s="4"/>
      <c r="D1089" s="4"/>
      <c r="E1089" s="5"/>
      <c r="F1089" s="4"/>
      <c r="G1089" s="4"/>
      <c r="H1089" s="4"/>
      <c r="I1089" s="4"/>
      <c r="J1089" s="4"/>
      <c r="K1089" s="6"/>
      <c r="L1089" s="6"/>
      <c r="M1089" s="6"/>
      <c r="N1089" s="6"/>
      <c r="O1089" s="4"/>
      <c r="P1089" s="3"/>
      <c r="Q1089" s="8"/>
      <c r="R1089" s="8"/>
      <c r="S1089" s="9"/>
      <c r="T1089" s="8"/>
      <c r="U1089" s="8"/>
      <c r="W1089" s="8"/>
    </row>
    <row r="1090" spans="2:23" x14ac:dyDescent="0.55000000000000004">
      <c r="B1090" s="3"/>
      <c r="C1090" s="4"/>
      <c r="D1090" s="4"/>
      <c r="E1090" s="5"/>
      <c r="F1090" s="4"/>
      <c r="G1090" s="4"/>
      <c r="H1090" s="4"/>
      <c r="I1090" s="4"/>
      <c r="J1090" s="4"/>
      <c r="K1090" s="6"/>
      <c r="L1090" s="6"/>
      <c r="M1090" s="6"/>
      <c r="N1090" s="6"/>
      <c r="O1090" s="4"/>
      <c r="P1090" s="3"/>
      <c r="Q1090" s="8"/>
      <c r="R1090" s="8"/>
      <c r="S1090" s="9"/>
      <c r="T1090" s="8"/>
      <c r="U1090" s="8"/>
      <c r="W1090" s="8"/>
    </row>
    <row r="1091" spans="2:23" x14ac:dyDescent="0.55000000000000004">
      <c r="B1091" s="3"/>
      <c r="C1091" s="4"/>
      <c r="D1091" s="4"/>
      <c r="E1091" s="5"/>
      <c r="F1091" s="4"/>
      <c r="G1091" s="4"/>
      <c r="H1091" s="4"/>
      <c r="I1091" s="4"/>
      <c r="J1091" s="4"/>
      <c r="K1091" s="6"/>
      <c r="L1091" s="6"/>
      <c r="M1091" s="6"/>
      <c r="N1091" s="6"/>
      <c r="O1091" s="4"/>
      <c r="P1091" s="3"/>
      <c r="Q1091" s="8"/>
      <c r="R1091" s="8"/>
      <c r="S1091" s="9"/>
      <c r="T1091" s="8"/>
      <c r="U1091" s="8"/>
      <c r="W1091" s="8"/>
    </row>
    <row r="1092" spans="2:23" x14ac:dyDescent="0.55000000000000004">
      <c r="B1092" s="3"/>
      <c r="C1092" s="4"/>
      <c r="D1092" s="4"/>
      <c r="E1092" s="5"/>
      <c r="F1092" s="4"/>
      <c r="G1092" s="4"/>
      <c r="H1092" s="4"/>
      <c r="I1092" s="4"/>
      <c r="J1092" s="4"/>
      <c r="K1092" s="6"/>
      <c r="L1092" s="6"/>
      <c r="M1092" s="6"/>
      <c r="N1092" s="6"/>
      <c r="O1092" s="4"/>
      <c r="P1092" s="3"/>
      <c r="Q1092" s="8"/>
      <c r="R1092" s="8"/>
      <c r="S1092" s="9"/>
      <c r="T1092" s="8"/>
      <c r="U1092" s="8"/>
      <c r="W1092" s="8"/>
    </row>
    <row r="1093" spans="2:23" x14ac:dyDescent="0.55000000000000004">
      <c r="B1093" s="3"/>
      <c r="C1093" s="4"/>
      <c r="D1093" s="4"/>
      <c r="E1093" s="5"/>
      <c r="F1093" s="4"/>
      <c r="G1093" s="4"/>
      <c r="H1093" s="4"/>
      <c r="I1093" s="4"/>
      <c r="J1093" s="4"/>
      <c r="K1093" s="6"/>
      <c r="L1093" s="6"/>
      <c r="M1093" s="6"/>
      <c r="N1093" s="6"/>
      <c r="O1093" s="4"/>
      <c r="P1093" s="3"/>
      <c r="Q1093" s="8"/>
      <c r="R1093" s="8"/>
      <c r="S1093" s="9"/>
      <c r="T1093" s="8"/>
      <c r="U1093" s="8"/>
      <c r="W1093" s="8"/>
    </row>
    <row r="1094" spans="2:23" x14ac:dyDescent="0.55000000000000004">
      <c r="B1094" s="3"/>
      <c r="C1094" s="4"/>
      <c r="D1094" s="4"/>
      <c r="E1094" s="5"/>
      <c r="F1094" s="4"/>
      <c r="G1094" s="4"/>
      <c r="H1094" s="4"/>
      <c r="I1094" s="4"/>
      <c r="J1094" s="4"/>
      <c r="K1094" s="6"/>
      <c r="L1094" s="6"/>
      <c r="M1094" s="6"/>
      <c r="N1094" s="6"/>
      <c r="O1094" s="4"/>
      <c r="P1094" s="3"/>
      <c r="Q1094" s="8"/>
      <c r="R1094" s="8"/>
      <c r="S1094" s="9"/>
      <c r="T1094" s="8"/>
      <c r="U1094" s="8"/>
      <c r="W1094" s="8"/>
    </row>
    <row r="1095" spans="2:23" x14ac:dyDescent="0.55000000000000004">
      <c r="B1095" s="3"/>
      <c r="C1095" s="4"/>
      <c r="D1095" s="4"/>
      <c r="E1095" s="5"/>
      <c r="F1095" s="4"/>
      <c r="G1095" s="4"/>
      <c r="H1095" s="4"/>
      <c r="I1095" s="4"/>
      <c r="J1095" s="4"/>
      <c r="K1095" s="6"/>
      <c r="L1095" s="6"/>
      <c r="M1095" s="6"/>
      <c r="N1095" s="6"/>
      <c r="O1095" s="4"/>
      <c r="P1095" s="3"/>
      <c r="Q1095" s="8"/>
      <c r="R1095" s="8"/>
      <c r="S1095" s="9"/>
      <c r="T1095" s="8"/>
      <c r="U1095" s="8"/>
      <c r="W1095" s="8"/>
    </row>
    <row r="1096" spans="2:23" x14ac:dyDescent="0.55000000000000004">
      <c r="B1096" s="3"/>
      <c r="C1096" s="4"/>
      <c r="D1096" s="4"/>
      <c r="E1096" s="5"/>
      <c r="F1096" s="4"/>
      <c r="G1096" s="4"/>
      <c r="H1096" s="4"/>
      <c r="I1096" s="4"/>
      <c r="J1096" s="4"/>
      <c r="K1096" s="6"/>
      <c r="L1096" s="6"/>
      <c r="M1096" s="6"/>
      <c r="N1096" s="6"/>
      <c r="O1096" s="4"/>
      <c r="P1096" s="3"/>
      <c r="Q1096" s="8"/>
      <c r="R1096" s="8"/>
      <c r="S1096" s="9"/>
      <c r="T1096" s="8"/>
      <c r="U1096" s="8"/>
      <c r="W1096" s="8"/>
    </row>
    <row r="1097" spans="2:23" x14ac:dyDescent="0.55000000000000004">
      <c r="B1097" s="3"/>
      <c r="C1097" s="4"/>
      <c r="D1097" s="4"/>
      <c r="E1097" s="5"/>
      <c r="F1097" s="4"/>
      <c r="G1097" s="4"/>
      <c r="H1097" s="4"/>
      <c r="I1097" s="4"/>
      <c r="J1097" s="4"/>
      <c r="K1097" s="6"/>
      <c r="L1097" s="6"/>
      <c r="M1097" s="6"/>
      <c r="N1097" s="6"/>
      <c r="O1097" s="4"/>
      <c r="P1097" s="3"/>
      <c r="Q1097" s="8"/>
      <c r="R1097" s="8"/>
      <c r="S1097" s="9"/>
      <c r="T1097" s="8"/>
      <c r="U1097" s="8"/>
      <c r="W1097" s="8"/>
    </row>
    <row r="1098" spans="2:23" x14ac:dyDescent="0.55000000000000004">
      <c r="B1098" s="3"/>
      <c r="C1098" s="4"/>
      <c r="D1098" s="4"/>
      <c r="E1098" s="5"/>
      <c r="F1098" s="4"/>
      <c r="G1098" s="4"/>
      <c r="H1098" s="4"/>
      <c r="I1098" s="4"/>
      <c r="J1098" s="4"/>
      <c r="K1098" s="6"/>
      <c r="L1098" s="6"/>
      <c r="M1098" s="6"/>
      <c r="N1098" s="6"/>
      <c r="O1098" s="4"/>
      <c r="P1098" s="3"/>
      <c r="Q1098" s="8"/>
      <c r="R1098" s="8"/>
      <c r="S1098" s="9"/>
      <c r="T1098" s="8"/>
      <c r="U1098" s="8"/>
      <c r="W1098" s="8"/>
    </row>
    <row r="1099" spans="2:23" x14ac:dyDescent="0.55000000000000004">
      <c r="B1099" s="3"/>
      <c r="C1099" s="4"/>
      <c r="D1099" s="4"/>
      <c r="E1099" s="5"/>
      <c r="F1099" s="4"/>
      <c r="G1099" s="4"/>
      <c r="H1099" s="4"/>
      <c r="I1099" s="4"/>
      <c r="J1099" s="4"/>
      <c r="K1099" s="6"/>
      <c r="L1099" s="6"/>
      <c r="M1099" s="6"/>
      <c r="N1099" s="6"/>
      <c r="O1099" s="4"/>
      <c r="P1099" s="3"/>
      <c r="Q1099" s="8"/>
      <c r="R1099" s="8"/>
      <c r="S1099" s="9"/>
      <c r="T1099" s="8"/>
      <c r="U1099" s="8"/>
      <c r="W1099" s="8"/>
    </row>
    <row r="1100" spans="2:23" x14ac:dyDescent="0.55000000000000004">
      <c r="B1100" s="3"/>
      <c r="C1100" s="4"/>
      <c r="D1100" s="4"/>
      <c r="E1100" s="5"/>
      <c r="F1100" s="4"/>
      <c r="G1100" s="4"/>
      <c r="H1100" s="4"/>
      <c r="I1100" s="4"/>
      <c r="J1100" s="4"/>
      <c r="K1100" s="6"/>
      <c r="L1100" s="6"/>
      <c r="M1100" s="6"/>
      <c r="N1100" s="6"/>
      <c r="O1100" s="4"/>
      <c r="P1100" s="3"/>
      <c r="Q1100" s="8"/>
      <c r="R1100" s="8"/>
      <c r="S1100" s="9"/>
      <c r="T1100" s="8"/>
      <c r="U1100" s="8"/>
      <c r="W1100" s="8"/>
    </row>
    <row r="1101" spans="2:23" x14ac:dyDescent="0.55000000000000004">
      <c r="B1101" s="3"/>
      <c r="C1101" s="4"/>
      <c r="D1101" s="4"/>
      <c r="E1101" s="5"/>
      <c r="F1101" s="4"/>
      <c r="G1101" s="4"/>
      <c r="H1101" s="4"/>
      <c r="I1101" s="4"/>
      <c r="J1101" s="4"/>
      <c r="K1101" s="6"/>
      <c r="L1101" s="6"/>
      <c r="M1101" s="6"/>
      <c r="N1101" s="6"/>
      <c r="O1101" s="4"/>
      <c r="P1101" s="3"/>
      <c r="Q1101" s="8"/>
      <c r="R1101" s="8"/>
      <c r="S1101" s="9"/>
      <c r="T1101" s="8"/>
      <c r="U1101" s="8"/>
      <c r="W1101" s="8"/>
    </row>
    <row r="1102" spans="2:23" x14ac:dyDescent="0.55000000000000004">
      <c r="B1102" s="3"/>
      <c r="C1102" s="4"/>
      <c r="D1102" s="4"/>
      <c r="E1102" s="5"/>
      <c r="F1102" s="4"/>
      <c r="G1102" s="4"/>
      <c r="H1102" s="4"/>
      <c r="I1102" s="4"/>
      <c r="J1102" s="4"/>
      <c r="K1102" s="6"/>
      <c r="L1102" s="6"/>
      <c r="M1102" s="6"/>
      <c r="N1102" s="6"/>
      <c r="O1102" s="4"/>
      <c r="P1102" s="3"/>
      <c r="Q1102" s="8"/>
      <c r="R1102" s="8"/>
      <c r="S1102" s="9"/>
      <c r="T1102" s="8"/>
      <c r="U1102" s="8"/>
      <c r="W1102" s="8"/>
    </row>
    <row r="1103" spans="2:23" x14ac:dyDescent="0.55000000000000004">
      <c r="B1103" s="3"/>
      <c r="C1103" s="4"/>
      <c r="D1103" s="4"/>
      <c r="E1103" s="5"/>
      <c r="F1103" s="4"/>
      <c r="G1103" s="4"/>
      <c r="H1103" s="4"/>
      <c r="I1103" s="4"/>
      <c r="J1103" s="4"/>
      <c r="K1103" s="6"/>
      <c r="L1103" s="6"/>
      <c r="M1103" s="6"/>
      <c r="N1103" s="6"/>
      <c r="O1103" s="4"/>
      <c r="P1103" s="3"/>
      <c r="Q1103" s="8"/>
      <c r="R1103" s="8"/>
      <c r="S1103" s="9"/>
      <c r="T1103" s="8"/>
      <c r="U1103" s="8"/>
      <c r="W1103" s="8"/>
    </row>
    <row r="1104" spans="2:23" x14ac:dyDescent="0.55000000000000004">
      <c r="B1104" s="3"/>
      <c r="C1104" s="4"/>
      <c r="D1104" s="4"/>
      <c r="E1104" s="5"/>
      <c r="F1104" s="4"/>
      <c r="G1104" s="4"/>
      <c r="H1104" s="4"/>
      <c r="I1104" s="4"/>
      <c r="J1104" s="4"/>
      <c r="K1104" s="6"/>
      <c r="L1104" s="6"/>
      <c r="M1104" s="6"/>
      <c r="N1104" s="6"/>
      <c r="O1104" s="4"/>
      <c r="P1104" s="3"/>
      <c r="Q1104" s="8"/>
      <c r="R1104" s="8"/>
      <c r="S1104" s="9"/>
      <c r="T1104" s="8"/>
      <c r="U1104" s="8"/>
      <c r="W1104" s="8"/>
    </row>
    <row r="1105" spans="2:23" x14ac:dyDescent="0.55000000000000004">
      <c r="B1105" s="3"/>
      <c r="C1105" s="4"/>
      <c r="D1105" s="4"/>
      <c r="E1105" s="5"/>
      <c r="F1105" s="4"/>
      <c r="G1105" s="4"/>
      <c r="H1105" s="4"/>
      <c r="I1105" s="4"/>
      <c r="J1105" s="4"/>
      <c r="K1105" s="6"/>
      <c r="L1105" s="6"/>
      <c r="M1105" s="6"/>
      <c r="N1105" s="6"/>
      <c r="O1105" s="4"/>
      <c r="P1105" s="3"/>
      <c r="Q1105" s="8"/>
      <c r="R1105" s="8"/>
      <c r="S1105" s="9"/>
      <c r="T1105" s="8"/>
      <c r="U1105" s="8"/>
      <c r="W1105" s="8"/>
    </row>
    <row r="1106" spans="2:23" x14ac:dyDescent="0.55000000000000004">
      <c r="B1106" s="3"/>
      <c r="C1106" s="4"/>
      <c r="D1106" s="4"/>
      <c r="E1106" s="5"/>
      <c r="F1106" s="4"/>
      <c r="G1106" s="4"/>
      <c r="H1106" s="4"/>
      <c r="I1106" s="4"/>
      <c r="J1106" s="4"/>
      <c r="K1106" s="6"/>
      <c r="L1106" s="6"/>
      <c r="M1106" s="6"/>
      <c r="N1106" s="6"/>
      <c r="O1106" s="4"/>
      <c r="P1106" s="3"/>
      <c r="Q1106" s="8"/>
      <c r="R1106" s="8"/>
      <c r="S1106" s="9"/>
      <c r="T1106" s="8"/>
      <c r="U1106" s="8"/>
      <c r="W1106" s="8"/>
    </row>
    <row r="1107" spans="2:23" x14ac:dyDescent="0.55000000000000004">
      <c r="B1107" s="3"/>
      <c r="C1107" s="4"/>
      <c r="D1107" s="4"/>
      <c r="E1107" s="5"/>
      <c r="F1107" s="4"/>
      <c r="G1107" s="4"/>
      <c r="H1107" s="4"/>
      <c r="I1107" s="4"/>
      <c r="J1107" s="4"/>
      <c r="K1107" s="6"/>
      <c r="L1107" s="6"/>
      <c r="M1107" s="6"/>
      <c r="N1107" s="6"/>
      <c r="O1107" s="4"/>
      <c r="P1107" s="3"/>
      <c r="Q1107" s="8"/>
      <c r="R1107" s="8"/>
      <c r="S1107" s="9"/>
      <c r="T1107" s="8"/>
      <c r="U1107" s="8"/>
      <c r="W1107" s="8"/>
    </row>
    <row r="1108" spans="2:23" x14ac:dyDescent="0.55000000000000004">
      <c r="B1108" s="3"/>
      <c r="C1108" s="4"/>
      <c r="D1108" s="4"/>
      <c r="E1108" s="5"/>
      <c r="F1108" s="4"/>
      <c r="G1108" s="4"/>
      <c r="H1108" s="4"/>
      <c r="I1108" s="4"/>
      <c r="J1108" s="4"/>
      <c r="K1108" s="6"/>
      <c r="L1108" s="6"/>
      <c r="M1108" s="6"/>
      <c r="N1108" s="6"/>
      <c r="O1108" s="4"/>
      <c r="P1108" s="3"/>
      <c r="Q1108" s="8"/>
      <c r="R1108" s="8"/>
      <c r="S1108" s="9"/>
      <c r="T1108" s="8"/>
      <c r="U1108" s="8"/>
      <c r="W1108" s="8"/>
    </row>
    <row r="1109" spans="2:23" x14ac:dyDescent="0.55000000000000004">
      <c r="B1109" s="3"/>
      <c r="C1109" s="4"/>
      <c r="D1109" s="4"/>
      <c r="E1109" s="5"/>
      <c r="F1109" s="4"/>
      <c r="G1109" s="4"/>
      <c r="H1109" s="4"/>
      <c r="I1109" s="4"/>
      <c r="J1109" s="4"/>
      <c r="K1109" s="6"/>
      <c r="L1109" s="6"/>
      <c r="M1109" s="6"/>
      <c r="N1109" s="6"/>
      <c r="O1109" s="4"/>
      <c r="P1109" s="3"/>
      <c r="Q1109" s="8"/>
      <c r="R1109" s="8"/>
      <c r="S1109" s="9"/>
      <c r="T1109" s="8"/>
      <c r="U1109" s="8"/>
      <c r="W1109" s="8"/>
    </row>
    <row r="1110" spans="2:23" x14ac:dyDescent="0.55000000000000004">
      <c r="B1110" s="3"/>
      <c r="C1110" s="4"/>
      <c r="D1110" s="4"/>
      <c r="E1110" s="5"/>
      <c r="F1110" s="4"/>
      <c r="G1110" s="4"/>
      <c r="H1110" s="4"/>
      <c r="I1110" s="4"/>
      <c r="J1110" s="4"/>
      <c r="K1110" s="6"/>
      <c r="L1110" s="6"/>
      <c r="M1110" s="6"/>
      <c r="N1110" s="6"/>
      <c r="O1110" s="4"/>
      <c r="P1110" s="3"/>
      <c r="Q1110" s="8"/>
      <c r="R1110" s="8"/>
      <c r="S1110" s="9"/>
      <c r="T1110" s="8"/>
      <c r="U1110" s="8"/>
      <c r="W1110" s="8"/>
    </row>
    <row r="1111" spans="2:23" x14ac:dyDescent="0.55000000000000004">
      <c r="B1111" s="3"/>
      <c r="C1111" s="4"/>
      <c r="D1111" s="4"/>
      <c r="E1111" s="5"/>
      <c r="F1111" s="4"/>
      <c r="G1111" s="4"/>
      <c r="H1111" s="4"/>
      <c r="I1111" s="4"/>
      <c r="J1111" s="4"/>
      <c r="K1111" s="6"/>
      <c r="L1111" s="6"/>
      <c r="M1111" s="6"/>
      <c r="N1111" s="6"/>
      <c r="O1111" s="4"/>
      <c r="P1111" s="3"/>
      <c r="Q1111" s="8"/>
      <c r="R1111" s="8"/>
      <c r="S1111" s="9"/>
      <c r="T1111" s="8"/>
      <c r="U1111" s="8"/>
      <c r="W1111" s="8"/>
    </row>
    <row r="1112" spans="2:23" x14ac:dyDescent="0.55000000000000004">
      <c r="B1112" s="3"/>
      <c r="C1112" s="4"/>
      <c r="D1112" s="4"/>
      <c r="E1112" s="5"/>
      <c r="F1112" s="4"/>
      <c r="G1112" s="4"/>
      <c r="H1112" s="4"/>
      <c r="I1112" s="4"/>
      <c r="J1112" s="4"/>
      <c r="K1112" s="6"/>
      <c r="L1112" s="6"/>
      <c r="M1112" s="6"/>
      <c r="N1112" s="6"/>
      <c r="O1112" s="4"/>
      <c r="P1112" s="3"/>
      <c r="Q1112" s="8"/>
      <c r="R1112" s="8"/>
      <c r="S1112" s="9"/>
      <c r="T1112" s="8"/>
      <c r="U1112" s="8"/>
      <c r="W1112" s="8"/>
    </row>
    <row r="1113" spans="2:23" x14ac:dyDescent="0.55000000000000004">
      <c r="B1113" s="3"/>
      <c r="C1113" s="4"/>
      <c r="D1113" s="4"/>
      <c r="E1113" s="5"/>
      <c r="F1113" s="4"/>
      <c r="G1113" s="4"/>
      <c r="H1113" s="4"/>
      <c r="I1113" s="4"/>
      <c r="J1113" s="4"/>
      <c r="K1113" s="6"/>
      <c r="L1113" s="6"/>
      <c r="M1113" s="6"/>
      <c r="N1113" s="6"/>
      <c r="O1113" s="4"/>
      <c r="P1113" s="3"/>
      <c r="Q1113" s="8"/>
      <c r="R1113" s="8"/>
      <c r="S1113" s="9"/>
      <c r="T1113" s="8"/>
      <c r="U1113" s="8"/>
      <c r="W1113" s="8"/>
    </row>
    <row r="1114" spans="2:23" x14ac:dyDescent="0.55000000000000004">
      <c r="B1114" s="3"/>
      <c r="C1114" s="4"/>
      <c r="D1114" s="4"/>
      <c r="E1114" s="5"/>
      <c r="F1114" s="4"/>
      <c r="G1114" s="4"/>
      <c r="H1114" s="4"/>
      <c r="I1114" s="4"/>
      <c r="J1114" s="4"/>
      <c r="K1114" s="6"/>
      <c r="L1114" s="6"/>
      <c r="M1114" s="6"/>
      <c r="N1114" s="6"/>
      <c r="O1114" s="4"/>
      <c r="P1114" s="3"/>
      <c r="Q1114" s="8"/>
      <c r="R1114" s="8"/>
      <c r="S1114" s="9"/>
      <c r="T1114" s="8"/>
      <c r="U1114" s="8"/>
      <c r="W1114" s="8"/>
    </row>
    <row r="1115" spans="2:23" x14ac:dyDescent="0.55000000000000004">
      <c r="B1115" s="3"/>
      <c r="C1115" s="4"/>
      <c r="D1115" s="4"/>
      <c r="E1115" s="5"/>
      <c r="F1115" s="4"/>
      <c r="G1115" s="4"/>
      <c r="H1115" s="4"/>
      <c r="I1115" s="4"/>
      <c r="J1115" s="4"/>
      <c r="K1115" s="6"/>
      <c r="L1115" s="6"/>
      <c r="M1115" s="6"/>
      <c r="N1115" s="6"/>
      <c r="O1115" s="4"/>
      <c r="P1115" s="3"/>
      <c r="Q1115" s="8"/>
      <c r="R1115" s="8"/>
      <c r="S1115" s="9"/>
      <c r="T1115" s="8"/>
      <c r="U1115" s="8"/>
      <c r="W1115" s="8"/>
    </row>
    <row r="1116" spans="2:23" x14ac:dyDescent="0.55000000000000004">
      <c r="B1116" s="3"/>
      <c r="C1116" s="4"/>
      <c r="D1116" s="4"/>
      <c r="E1116" s="5"/>
      <c r="F1116" s="4"/>
      <c r="G1116" s="4"/>
      <c r="H1116" s="4"/>
      <c r="I1116" s="4"/>
      <c r="J1116" s="4"/>
      <c r="K1116" s="6"/>
      <c r="L1116" s="6"/>
      <c r="M1116" s="6"/>
      <c r="N1116" s="6"/>
      <c r="O1116" s="4"/>
      <c r="P1116" s="3"/>
      <c r="Q1116" s="8"/>
      <c r="R1116" s="8"/>
      <c r="S1116" s="9"/>
      <c r="T1116" s="8"/>
      <c r="U1116" s="8"/>
      <c r="W1116" s="8"/>
    </row>
    <row r="1117" spans="2:23" x14ac:dyDescent="0.55000000000000004">
      <c r="B1117" s="3"/>
      <c r="C1117" s="4"/>
      <c r="D1117" s="4"/>
      <c r="E1117" s="5"/>
      <c r="F1117" s="4"/>
      <c r="G1117" s="4"/>
      <c r="H1117" s="4"/>
      <c r="I1117" s="4"/>
      <c r="J1117" s="4"/>
      <c r="K1117" s="6"/>
      <c r="L1117" s="6"/>
      <c r="M1117" s="6"/>
      <c r="N1117" s="6"/>
      <c r="O1117" s="4"/>
      <c r="P1117" s="3"/>
      <c r="Q1117" s="8"/>
      <c r="R1117" s="8"/>
      <c r="S1117" s="9"/>
      <c r="T1117" s="8"/>
      <c r="U1117" s="8"/>
      <c r="W1117" s="8"/>
    </row>
    <row r="1118" spans="2:23" x14ac:dyDescent="0.55000000000000004">
      <c r="B1118" s="3"/>
      <c r="C1118" s="4"/>
      <c r="D1118" s="4"/>
      <c r="E1118" s="5"/>
      <c r="F1118" s="4"/>
      <c r="G1118" s="4"/>
      <c r="H1118" s="4"/>
      <c r="I1118" s="4"/>
      <c r="J1118" s="4"/>
      <c r="K1118" s="6"/>
      <c r="L1118" s="6"/>
      <c r="M1118" s="6"/>
      <c r="N1118" s="6"/>
      <c r="O1118" s="4"/>
      <c r="P1118" s="3"/>
      <c r="Q1118" s="8"/>
      <c r="R1118" s="8"/>
      <c r="S1118" s="9"/>
      <c r="T1118" s="8"/>
      <c r="U1118" s="8"/>
      <c r="W1118" s="8"/>
    </row>
    <row r="1119" spans="2:23" x14ac:dyDescent="0.55000000000000004">
      <c r="B1119" s="3"/>
      <c r="C1119" s="4"/>
      <c r="D1119" s="4"/>
      <c r="E1119" s="5"/>
      <c r="F1119" s="4"/>
      <c r="G1119" s="4"/>
      <c r="H1119" s="4"/>
      <c r="I1119" s="4"/>
      <c r="J1119" s="4"/>
      <c r="K1119" s="6"/>
      <c r="L1119" s="6"/>
      <c r="M1119" s="6"/>
      <c r="N1119" s="6"/>
      <c r="O1119" s="4"/>
      <c r="P1119" s="3"/>
      <c r="Q1119" s="8"/>
      <c r="R1119" s="8"/>
      <c r="S1119" s="9"/>
      <c r="T1119" s="8"/>
      <c r="U1119" s="8"/>
      <c r="W1119" s="8"/>
    </row>
    <row r="1120" spans="2:23" x14ac:dyDescent="0.55000000000000004">
      <c r="B1120" s="3"/>
      <c r="C1120" s="4"/>
      <c r="D1120" s="4"/>
      <c r="E1120" s="5"/>
      <c r="F1120" s="4"/>
      <c r="G1120" s="4"/>
      <c r="H1120" s="4"/>
      <c r="I1120" s="4"/>
      <c r="J1120" s="4"/>
      <c r="K1120" s="6"/>
      <c r="L1120" s="6"/>
      <c r="M1120" s="6"/>
      <c r="N1120" s="6"/>
      <c r="O1120" s="4"/>
      <c r="P1120" s="3"/>
      <c r="Q1120" s="8"/>
      <c r="R1120" s="8"/>
      <c r="S1120" s="9"/>
      <c r="T1120" s="8"/>
      <c r="U1120" s="8"/>
      <c r="W1120" s="8"/>
    </row>
    <row r="1121" spans="2:23" x14ac:dyDescent="0.55000000000000004">
      <c r="B1121" s="3"/>
      <c r="C1121" s="4"/>
      <c r="D1121" s="4"/>
      <c r="E1121" s="5"/>
      <c r="F1121" s="4"/>
      <c r="G1121" s="4"/>
      <c r="H1121" s="4"/>
      <c r="I1121" s="4"/>
      <c r="J1121" s="4"/>
      <c r="K1121" s="6"/>
      <c r="L1121" s="6"/>
      <c r="M1121" s="6"/>
      <c r="N1121" s="6"/>
      <c r="O1121" s="4"/>
      <c r="P1121" s="3"/>
      <c r="Q1121" s="8"/>
      <c r="R1121" s="8"/>
      <c r="S1121" s="9"/>
      <c r="T1121" s="8"/>
      <c r="U1121" s="8"/>
      <c r="W1121" s="8"/>
    </row>
    <row r="1122" spans="2:23" x14ac:dyDescent="0.55000000000000004">
      <c r="B1122" s="3"/>
      <c r="C1122" s="4"/>
      <c r="D1122" s="4"/>
      <c r="E1122" s="5"/>
      <c r="F1122" s="4"/>
      <c r="G1122" s="4"/>
      <c r="H1122" s="4"/>
      <c r="I1122" s="4"/>
      <c r="J1122" s="4"/>
      <c r="K1122" s="6"/>
      <c r="L1122" s="6"/>
      <c r="M1122" s="6"/>
      <c r="N1122" s="6"/>
      <c r="O1122" s="4"/>
      <c r="P1122" s="3"/>
      <c r="Q1122" s="8"/>
      <c r="R1122" s="8"/>
      <c r="S1122" s="9"/>
      <c r="T1122" s="8"/>
      <c r="U1122" s="8"/>
      <c r="W1122" s="8"/>
    </row>
    <row r="1123" spans="2:23" x14ac:dyDescent="0.55000000000000004">
      <c r="B1123" s="3"/>
      <c r="C1123" s="4"/>
      <c r="D1123" s="4"/>
      <c r="E1123" s="5"/>
      <c r="F1123" s="4"/>
      <c r="G1123" s="4"/>
      <c r="H1123" s="4"/>
      <c r="I1123" s="4"/>
      <c r="J1123" s="4"/>
      <c r="K1123" s="6"/>
      <c r="L1123" s="6"/>
      <c r="M1123" s="6"/>
      <c r="N1123" s="6"/>
      <c r="O1123" s="4"/>
      <c r="P1123" s="3"/>
      <c r="Q1123" s="8"/>
      <c r="R1123" s="8"/>
      <c r="S1123" s="9"/>
      <c r="T1123" s="8"/>
      <c r="U1123" s="8"/>
      <c r="W1123" s="8"/>
    </row>
    <row r="1124" spans="2:23" x14ac:dyDescent="0.55000000000000004">
      <c r="B1124" s="3"/>
      <c r="C1124" s="4"/>
      <c r="D1124" s="4"/>
      <c r="E1124" s="5"/>
      <c r="F1124" s="4"/>
      <c r="G1124" s="4"/>
      <c r="H1124" s="4"/>
      <c r="I1124" s="4"/>
      <c r="J1124" s="4"/>
      <c r="K1124" s="6"/>
      <c r="L1124" s="6"/>
      <c r="M1124" s="6"/>
      <c r="N1124" s="6"/>
      <c r="O1124" s="4"/>
      <c r="P1124" s="3"/>
      <c r="Q1124" s="8"/>
      <c r="R1124" s="8"/>
      <c r="S1124" s="9"/>
      <c r="T1124" s="8"/>
      <c r="U1124" s="8"/>
      <c r="W1124" s="8"/>
    </row>
    <row r="1125" spans="2:23" x14ac:dyDescent="0.55000000000000004">
      <c r="B1125" s="3"/>
      <c r="C1125" s="4"/>
      <c r="D1125" s="4"/>
      <c r="E1125" s="5"/>
      <c r="F1125" s="4"/>
      <c r="G1125" s="4"/>
      <c r="H1125" s="4"/>
      <c r="I1125" s="4"/>
      <c r="J1125" s="4"/>
      <c r="K1125" s="6"/>
      <c r="L1125" s="6"/>
      <c r="M1125" s="6"/>
      <c r="N1125" s="6"/>
      <c r="O1125" s="4"/>
      <c r="P1125" s="3"/>
      <c r="Q1125" s="8"/>
      <c r="R1125" s="8"/>
      <c r="S1125" s="9"/>
      <c r="T1125" s="8"/>
      <c r="U1125" s="8"/>
      <c r="W1125" s="8"/>
    </row>
    <row r="1126" spans="2:23" x14ac:dyDescent="0.55000000000000004">
      <c r="B1126" s="3"/>
      <c r="C1126" s="4"/>
      <c r="D1126" s="4"/>
      <c r="E1126" s="5"/>
      <c r="F1126" s="4"/>
      <c r="G1126" s="4"/>
      <c r="H1126" s="4"/>
      <c r="I1126" s="4"/>
      <c r="J1126" s="4"/>
      <c r="K1126" s="6"/>
      <c r="L1126" s="6"/>
      <c r="M1126" s="6"/>
      <c r="N1126" s="6"/>
      <c r="O1126" s="4"/>
      <c r="P1126" s="3"/>
      <c r="Q1126" s="8"/>
      <c r="R1126" s="8"/>
      <c r="S1126" s="9"/>
      <c r="T1126" s="8"/>
      <c r="U1126" s="8"/>
      <c r="W1126" s="8"/>
    </row>
    <row r="1127" spans="2:23" x14ac:dyDescent="0.55000000000000004">
      <c r="B1127" s="3"/>
      <c r="C1127" s="4"/>
      <c r="D1127" s="4"/>
      <c r="E1127" s="5"/>
      <c r="F1127" s="4"/>
      <c r="G1127" s="4"/>
      <c r="H1127" s="4"/>
      <c r="I1127" s="4"/>
      <c r="J1127" s="4"/>
      <c r="K1127" s="6"/>
      <c r="L1127" s="6"/>
      <c r="M1127" s="6"/>
      <c r="N1127" s="6"/>
      <c r="O1127" s="4"/>
      <c r="P1127" s="3"/>
      <c r="Q1127" s="8"/>
      <c r="R1127" s="8"/>
      <c r="S1127" s="9"/>
      <c r="T1127" s="8"/>
      <c r="U1127" s="8"/>
      <c r="W1127" s="8"/>
    </row>
    <row r="1128" spans="2:23" x14ac:dyDescent="0.55000000000000004">
      <c r="B1128" s="3"/>
      <c r="C1128" s="4"/>
      <c r="D1128" s="4"/>
      <c r="E1128" s="5"/>
      <c r="F1128" s="4"/>
      <c r="G1128" s="4"/>
      <c r="H1128" s="4"/>
      <c r="I1128" s="4"/>
      <c r="J1128" s="4"/>
      <c r="K1128" s="6"/>
      <c r="L1128" s="6"/>
      <c r="M1128" s="6"/>
      <c r="N1128" s="6"/>
      <c r="O1128" s="4"/>
      <c r="P1128" s="3"/>
      <c r="Q1128" s="8"/>
      <c r="R1128" s="8"/>
      <c r="S1128" s="9"/>
      <c r="T1128" s="8"/>
      <c r="U1128" s="8"/>
      <c r="W1128" s="8"/>
    </row>
    <row r="1129" spans="2:23" x14ac:dyDescent="0.55000000000000004">
      <c r="B1129" s="3"/>
      <c r="C1129" s="4"/>
      <c r="D1129" s="4"/>
      <c r="E1129" s="5"/>
      <c r="F1129" s="4"/>
      <c r="G1129" s="4"/>
      <c r="H1129" s="4"/>
      <c r="I1129" s="4"/>
      <c r="J1129" s="4"/>
      <c r="K1129" s="6"/>
      <c r="L1129" s="6"/>
      <c r="M1129" s="6"/>
      <c r="N1129" s="6"/>
      <c r="O1129" s="4"/>
      <c r="P1129" s="3"/>
      <c r="Q1129" s="8"/>
      <c r="R1129" s="8"/>
      <c r="S1129" s="9"/>
      <c r="T1129" s="8"/>
      <c r="U1129" s="8"/>
      <c r="W1129" s="8"/>
    </row>
    <row r="1130" spans="2:23" x14ac:dyDescent="0.55000000000000004">
      <c r="B1130" s="3"/>
      <c r="C1130" s="4"/>
      <c r="D1130" s="4"/>
      <c r="E1130" s="5"/>
      <c r="F1130" s="4"/>
      <c r="G1130" s="4"/>
      <c r="H1130" s="4"/>
      <c r="I1130" s="4"/>
      <c r="J1130" s="4"/>
      <c r="K1130" s="6"/>
      <c r="L1130" s="6"/>
      <c r="M1130" s="6"/>
      <c r="N1130" s="6"/>
      <c r="O1130" s="4"/>
      <c r="P1130" s="3"/>
      <c r="Q1130" s="8"/>
      <c r="R1130" s="8"/>
      <c r="S1130" s="9"/>
      <c r="T1130" s="8"/>
      <c r="U1130" s="8"/>
      <c r="W1130" s="8"/>
    </row>
    <row r="1131" spans="2:23" x14ac:dyDescent="0.55000000000000004">
      <c r="B1131" s="3"/>
      <c r="C1131" s="4"/>
      <c r="D1131" s="4"/>
      <c r="E1131" s="5"/>
      <c r="F1131" s="4"/>
      <c r="G1131" s="4"/>
      <c r="H1131" s="4"/>
      <c r="I1131" s="4"/>
      <c r="J1131" s="4"/>
      <c r="K1131" s="6"/>
      <c r="L1131" s="6"/>
      <c r="M1131" s="6"/>
      <c r="N1131" s="6"/>
      <c r="O1131" s="4"/>
      <c r="P1131" s="3"/>
      <c r="Q1131" s="8"/>
      <c r="R1131" s="8"/>
      <c r="S1131" s="9"/>
      <c r="T1131" s="8"/>
      <c r="U1131" s="8"/>
      <c r="W1131" s="8"/>
    </row>
    <row r="1132" spans="2:23" x14ac:dyDescent="0.55000000000000004">
      <c r="B1132" s="3"/>
      <c r="C1132" s="4"/>
      <c r="D1132" s="4"/>
      <c r="E1132" s="5"/>
      <c r="F1132" s="4"/>
      <c r="G1132" s="4"/>
      <c r="H1132" s="4"/>
      <c r="I1132" s="4"/>
      <c r="J1132" s="4"/>
      <c r="K1132" s="6"/>
      <c r="L1132" s="6"/>
      <c r="M1132" s="6"/>
      <c r="N1132" s="6"/>
      <c r="O1132" s="4"/>
      <c r="P1132" s="3"/>
      <c r="Q1132" s="8"/>
      <c r="R1132" s="8"/>
      <c r="S1132" s="9"/>
      <c r="T1132" s="8"/>
      <c r="U1132" s="8"/>
      <c r="W1132" s="8"/>
    </row>
    <row r="1133" spans="2:23" x14ac:dyDescent="0.55000000000000004">
      <c r="B1133" s="3"/>
      <c r="C1133" s="4"/>
      <c r="D1133" s="4"/>
      <c r="E1133" s="5"/>
      <c r="F1133" s="4"/>
      <c r="G1133" s="4"/>
      <c r="H1133" s="4"/>
      <c r="I1133" s="4"/>
      <c r="J1133" s="4"/>
      <c r="K1133" s="6"/>
      <c r="L1133" s="6"/>
      <c r="M1133" s="6"/>
      <c r="N1133" s="6"/>
      <c r="O1133" s="4"/>
      <c r="P1133" s="3"/>
      <c r="Q1133" s="8"/>
      <c r="R1133" s="8"/>
      <c r="S1133" s="9"/>
      <c r="T1133" s="8"/>
      <c r="U1133" s="8"/>
      <c r="W1133" s="8"/>
    </row>
    <row r="1134" spans="2:23" x14ac:dyDescent="0.55000000000000004">
      <c r="B1134" s="3"/>
      <c r="C1134" s="4"/>
      <c r="D1134" s="4"/>
      <c r="E1134" s="5"/>
      <c r="F1134" s="4"/>
      <c r="G1134" s="4"/>
      <c r="H1134" s="4"/>
      <c r="I1134" s="4"/>
      <c r="J1134" s="4"/>
      <c r="K1134" s="6"/>
      <c r="L1134" s="6"/>
      <c r="M1134" s="6"/>
      <c r="N1134" s="6"/>
      <c r="O1134" s="4"/>
      <c r="P1134" s="3"/>
      <c r="Q1134" s="8"/>
      <c r="R1134" s="8"/>
      <c r="S1134" s="9"/>
      <c r="T1134" s="8"/>
      <c r="U1134" s="8"/>
      <c r="W1134" s="8"/>
    </row>
    <row r="1135" spans="2:23" x14ac:dyDescent="0.55000000000000004">
      <c r="B1135" s="3"/>
      <c r="C1135" s="4"/>
      <c r="D1135" s="4"/>
      <c r="E1135" s="5"/>
      <c r="F1135" s="4"/>
      <c r="G1135" s="4"/>
      <c r="H1135" s="4"/>
      <c r="I1135" s="4"/>
      <c r="J1135" s="4"/>
      <c r="K1135" s="6"/>
      <c r="L1135" s="6"/>
      <c r="M1135" s="6"/>
      <c r="N1135" s="6"/>
      <c r="O1135" s="4"/>
      <c r="P1135" s="3"/>
      <c r="Q1135" s="8"/>
      <c r="R1135" s="8"/>
      <c r="S1135" s="9"/>
      <c r="T1135" s="8"/>
      <c r="U1135" s="8"/>
      <c r="W1135" s="8"/>
    </row>
    <row r="1136" spans="2:23" x14ac:dyDescent="0.55000000000000004">
      <c r="B1136" s="3"/>
      <c r="C1136" s="4"/>
      <c r="D1136" s="4"/>
      <c r="E1136" s="5"/>
      <c r="F1136" s="4"/>
      <c r="G1136" s="4"/>
      <c r="H1136" s="4"/>
      <c r="I1136" s="4"/>
      <c r="J1136" s="4"/>
      <c r="K1136" s="6"/>
      <c r="L1136" s="6"/>
      <c r="M1136" s="6"/>
      <c r="N1136" s="6"/>
      <c r="O1136" s="4"/>
      <c r="P1136" s="3"/>
      <c r="Q1136" s="8"/>
      <c r="R1136" s="8"/>
      <c r="S1136" s="9"/>
      <c r="T1136" s="8"/>
      <c r="U1136" s="8"/>
      <c r="W1136" s="8"/>
    </row>
    <row r="1137" spans="2:23" x14ac:dyDescent="0.55000000000000004">
      <c r="B1137" s="3"/>
      <c r="C1137" s="4"/>
      <c r="D1137" s="4"/>
      <c r="E1137" s="5"/>
      <c r="F1137" s="4"/>
      <c r="G1137" s="4"/>
      <c r="H1137" s="4"/>
      <c r="I1137" s="4"/>
      <c r="J1137" s="4"/>
      <c r="K1137" s="6"/>
      <c r="L1137" s="6"/>
      <c r="M1137" s="6"/>
      <c r="N1137" s="6"/>
      <c r="O1137" s="4"/>
      <c r="P1137" s="3"/>
      <c r="Q1137" s="8"/>
      <c r="R1137" s="8"/>
      <c r="S1137" s="9"/>
      <c r="T1137" s="8"/>
      <c r="U1137" s="8"/>
      <c r="W1137" s="8"/>
    </row>
    <row r="1138" spans="2:23" x14ac:dyDescent="0.55000000000000004">
      <c r="B1138" s="3"/>
      <c r="C1138" s="4"/>
      <c r="D1138" s="4"/>
      <c r="E1138" s="5"/>
      <c r="F1138" s="4"/>
      <c r="G1138" s="4"/>
      <c r="H1138" s="4"/>
      <c r="I1138" s="4"/>
      <c r="J1138" s="4"/>
      <c r="K1138" s="6"/>
      <c r="L1138" s="6"/>
      <c r="M1138" s="6"/>
      <c r="N1138" s="6"/>
      <c r="O1138" s="4"/>
      <c r="P1138" s="3"/>
      <c r="Q1138" s="8"/>
      <c r="R1138" s="8"/>
      <c r="S1138" s="9"/>
      <c r="T1138" s="8"/>
      <c r="U1138" s="8"/>
      <c r="W1138" s="8"/>
    </row>
    <row r="1139" spans="2:23" x14ac:dyDescent="0.55000000000000004">
      <c r="B1139" s="3"/>
      <c r="C1139" s="4"/>
      <c r="D1139" s="4"/>
      <c r="E1139" s="5"/>
      <c r="F1139" s="4"/>
      <c r="G1139" s="4"/>
      <c r="H1139" s="4"/>
      <c r="I1139" s="4"/>
      <c r="J1139" s="4"/>
      <c r="K1139" s="6"/>
      <c r="L1139" s="6"/>
      <c r="M1139" s="6"/>
      <c r="N1139" s="6"/>
      <c r="O1139" s="4"/>
      <c r="P1139" s="3"/>
      <c r="Q1139" s="8"/>
      <c r="R1139" s="8"/>
      <c r="S1139" s="9"/>
      <c r="T1139" s="8"/>
      <c r="U1139" s="8"/>
      <c r="W1139" s="8"/>
    </row>
    <row r="1140" spans="2:23" x14ac:dyDescent="0.55000000000000004">
      <c r="B1140" s="3"/>
      <c r="C1140" s="4"/>
      <c r="D1140" s="4"/>
      <c r="E1140" s="5"/>
      <c r="F1140" s="4"/>
      <c r="G1140" s="4"/>
      <c r="H1140" s="4"/>
      <c r="I1140" s="4"/>
      <c r="J1140" s="4"/>
      <c r="K1140" s="6"/>
      <c r="L1140" s="6"/>
      <c r="M1140" s="6"/>
      <c r="N1140" s="6"/>
      <c r="O1140" s="4"/>
      <c r="P1140" s="3"/>
      <c r="Q1140" s="8"/>
      <c r="R1140" s="8"/>
      <c r="S1140" s="9"/>
      <c r="T1140" s="8"/>
      <c r="U1140" s="8"/>
      <c r="W1140" s="8"/>
    </row>
    <row r="1141" spans="2:23" x14ac:dyDescent="0.55000000000000004">
      <c r="B1141" s="3"/>
      <c r="C1141" s="4"/>
      <c r="D1141" s="4"/>
      <c r="E1141" s="5"/>
      <c r="F1141" s="4"/>
      <c r="G1141" s="4"/>
      <c r="H1141" s="4"/>
      <c r="I1141" s="4"/>
      <c r="J1141" s="4"/>
      <c r="K1141" s="6"/>
      <c r="L1141" s="6"/>
      <c r="M1141" s="6"/>
      <c r="N1141" s="6"/>
      <c r="O1141" s="4"/>
      <c r="P1141" s="3"/>
      <c r="Q1141" s="8"/>
      <c r="R1141" s="8"/>
      <c r="S1141" s="9"/>
      <c r="T1141" s="8"/>
      <c r="U1141" s="8"/>
      <c r="W1141" s="8"/>
    </row>
    <row r="1142" spans="2:23" x14ac:dyDescent="0.55000000000000004">
      <c r="B1142" s="3"/>
      <c r="C1142" s="4"/>
      <c r="D1142" s="4"/>
      <c r="E1142" s="5"/>
      <c r="F1142" s="4"/>
      <c r="G1142" s="4"/>
      <c r="H1142" s="4"/>
      <c r="I1142" s="4"/>
      <c r="J1142" s="4"/>
      <c r="K1142" s="6"/>
      <c r="L1142" s="6"/>
      <c r="M1142" s="6"/>
      <c r="N1142" s="6"/>
      <c r="O1142" s="4"/>
      <c r="P1142" s="3"/>
      <c r="Q1142" s="8"/>
      <c r="R1142" s="8"/>
      <c r="S1142" s="9"/>
      <c r="T1142" s="8"/>
      <c r="U1142" s="8"/>
      <c r="W1142" s="8"/>
    </row>
    <row r="1143" spans="2:23" x14ac:dyDescent="0.55000000000000004">
      <c r="B1143" s="3"/>
      <c r="C1143" s="4"/>
      <c r="D1143" s="4"/>
      <c r="E1143" s="5"/>
      <c r="F1143" s="4"/>
      <c r="G1143" s="4"/>
      <c r="H1143" s="4"/>
      <c r="I1143" s="4"/>
      <c r="J1143" s="4"/>
      <c r="K1143" s="6"/>
      <c r="L1143" s="6"/>
      <c r="M1143" s="6"/>
      <c r="N1143" s="6"/>
      <c r="O1143" s="4"/>
      <c r="P1143" s="3"/>
      <c r="Q1143" s="8"/>
      <c r="R1143" s="8"/>
      <c r="S1143" s="9"/>
      <c r="T1143" s="8"/>
      <c r="U1143" s="8"/>
      <c r="W1143" s="8"/>
    </row>
    <row r="1144" spans="2:23" x14ac:dyDescent="0.55000000000000004">
      <c r="B1144" s="3"/>
      <c r="C1144" s="4"/>
      <c r="D1144" s="4"/>
      <c r="E1144" s="5"/>
      <c r="F1144" s="4"/>
      <c r="G1144" s="4"/>
      <c r="H1144" s="4"/>
      <c r="I1144" s="4"/>
      <c r="J1144" s="4"/>
      <c r="K1144" s="6"/>
      <c r="L1144" s="6"/>
      <c r="M1144" s="6"/>
      <c r="N1144" s="6"/>
      <c r="O1144" s="4"/>
      <c r="P1144" s="3"/>
      <c r="Q1144" s="8"/>
      <c r="R1144" s="8"/>
      <c r="S1144" s="9"/>
      <c r="T1144" s="8"/>
      <c r="U1144" s="8"/>
      <c r="W1144" s="8"/>
    </row>
    <row r="1145" spans="2:23" x14ac:dyDescent="0.55000000000000004">
      <c r="B1145" s="3"/>
      <c r="C1145" s="4"/>
      <c r="D1145" s="4"/>
      <c r="E1145" s="5"/>
      <c r="F1145" s="4"/>
      <c r="G1145" s="4"/>
      <c r="H1145" s="4"/>
      <c r="I1145" s="4"/>
      <c r="J1145" s="4"/>
      <c r="K1145" s="6"/>
      <c r="L1145" s="6"/>
      <c r="M1145" s="6"/>
      <c r="N1145" s="6"/>
      <c r="O1145" s="4"/>
      <c r="P1145" s="3"/>
      <c r="Q1145" s="8"/>
      <c r="R1145" s="8"/>
      <c r="S1145" s="9"/>
      <c r="T1145" s="8"/>
      <c r="U1145" s="8"/>
      <c r="W1145" s="8"/>
    </row>
    <row r="1146" spans="2:23" x14ac:dyDescent="0.55000000000000004">
      <c r="B1146" s="3"/>
      <c r="C1146" s="4"/>
      <c r="D1146" s="4"/>
      <c r="E1146" s="5"/>
      <c r="F1146" s="4"/>
      <c r="G1146" s="4"/>
      <c r="H1146" s="4"/>
      <c r="I1146" s="4"/>
      <c r="J1146" s="4"/>
      <c r="K1146" s="6"/>
      <c r="L1146" s="6"/>
      <c r="M1146" s="6"/>
      <c r="N1146" s="6"/>
      <c r="O1146" s="4"/>
      <c r="P1146" s="3"/>
      <c r="Q1146" s="8"/>
      <c r="R1146" s="8"/>
      <c r="S1146" s="9"/>
      <c r="T1146" s="8"/>
      <c r="U1146" s="8"/>
      <c r="W1146" s="8"/>
    </row>
    <row r="1147" spans="2:23" x14ac:dyDescent="0.55000000000000004">
      <c r="B1147" s="3"/>
      <c r="C1147" s="4"/>
      <c r="D1147" s="4"/>
      <c r="E1147" s="5"/>
      <c r="F1147" s="4"/>
      <c r="G1147" s="4"/>
      <c r="H1147" s="4"/>
      <c r="I1147" s="4"/>
      <c r="J1147" s="4"/>
      <c r="K1147" s="6"/>
      <c r="L1147" s="6"/>
      <c r="M1147" s="6"/>
      <c r="N1147" s="6"/>
      <c r="O1147" s="4"/>
      <c r="P1147" s="3"/>
      <c r="Q1147" s="8"/>
      <c r="R1147" s="8"/>
      <c r="S1147" s="9"/>
      <c r="T1147" s="8"/>
      <c r="U1147" s="8"/>
      <c r="W1147" s="8"/>
    </row>
    <row r="1148" spans="2:23" x14ac:dyDescent="0.55000000000000004">
      <c r="B1148" s="3"/>
      <c r="C1148" s="4"/>
      <c r="D1148" s="4"/>
      <c r="E1148" s="5"/>
      <c r="F1148" s="4"/>
      <c r="G1148" s="4"/>
      <c r="H1148" s="4"/>
      <c r="I1148" s="4"/>
      <c r="J1148" s="4"/>
      <c r="K1148" s="6"/>
      <c r="L1148" s="6"/>
      <c r="M1148" s="6"/>
      <c r="N1148" s="6"/>
      <c r="O1148" s="4"/>
      <c r="P1148" s="3"/>
      <c r="Q1148" s="8"/>
      <c r="R1148" s="8"/>
      <c r="S1148" s="9"/>
      <c r="T1148" s="8"/>
      <c r="U1148" s="8"/>
      <c r="W1148" s="8"/>
    </row>
    <row r="1149" spans="2:23" x14ac:dyDescent="0.55000000000000004">
      <c r="B1149" s="3"/>
      <c r="C1149" s="4"/>
      <c r="D1149" s="4"/>
      <c r="E1149" s="5"/>
      <c r="F1149" s="4"/>
      <c r="G1149" s="4"/>
      <c r="H1149" s="4"/>
      <c r="I1149" s="4"/>
      <c r="J1149" s="4"/>
      <c r="K1149" s="6"/>
      <c r="L1149" s="6"/>
      <c r="M1149" s="6"/>
      <c r="N1149" s="6"/>
      <c r="O1149" s="4"/>
      <c r="P1149" s="3"/>
      <c r="Q1149" s="8"/>
      <c r="R1149" s="8"/>
      <c r="S1149" s="9"/>
      <c r="T1149" s="8"/>
      <c r="U1149" s="8"/>
      <c r="W1149" s="8"/>
    </row>
    <row r="1150" spans="2:23" x14ac:dyDescent="0.55000000000000004">
      <c r="B1150" s="3"/>
      <c r="C1150" s="4"/>
      <c r="D1150" s="4"/>
      <c r="E1150" s="5"/>
      <c r="F1150" s="4"/>
      <c r="G1150" s="4"/>
      <c r="H1150" s="4"/>
      <c r="I1150" s="4"/>
      <c r="J1150" s="4"/>
      <c r="K1150" s="6"/>
      <c r="L1150" s="6"/>
      <c r="M1150" s="6"/>
      <c r="N1150" s="6"/>
      <c r="O1150" s="4"/>
      <c r="P1150" s="3"/>
      <c r="Q1150" s="8"/>
      <c r="R1150" s="8"/>
      <c r="S1150" s="9"/>
      <c r="T1150" s="8"/>
      <c r="U1150" s="8"/>
      <c r="W1150" s="8"/>
    </row>
    <row r="1151" spans="2:23" x14ac:dyDescent="0.55000000000000004">
      <c r="B1151" s="3"/>
      <c r="C1151" s="4"/>
      <c r="D1151" s="4"/>
      <c r="E1151" s="5"/>
      <c r="F1151" s="4"/>
      <c r="G1151" s="4"/>
      <c r="H1151" s="4"/>
      <c r="I1151" s="4"/>
      <c r="J1151" s="4"/>
      <c r="K1151" s="6"/>
      <c r="L1151" s="6"/>
      <c r="M1151" s="6"/>
      <c r="N1151" s="6"/>
      <c r="O1151" s="4"/>
      <c r="P1151" s="3"/>
      <c r="Q1151" s="8"/>
      <c r="R1151" s="8"/>
      <c r="S1151" s="9"/>
      <c r="T1151" s="8"/>
      <c r="U1151" s="8"/>
      <c r="W1151" s="8"/>
    </row>
    <row r="1152" spans="2:23" x14ac:dyDescent="0.55000000000000004">
      <c r="B1152" s="3"/>
      <c r="C1152" s="4"/>
      <c r="D1152" s="4"/>
      <c r="E1152" s="5"/>
      <c r="F1152" s="4"/>
      <c r="G1152" s="4"/>
      <c r="H1152" s="4"/>
      <c r="I1152" s="4"/>
      <c r="J1152" s="4"/>
      <c r="K1152" s="6"/>
      <c r="L1152" s="6"/>
      <c r="M1152" s="6"/>
      <c r="N1152" s="6"/>
      <c r="O1152" s="4"/>
      <c r="P1152" s="3"/>
      <c r="Q1152" s="8"/>
      <c r="R1152" s="8"/>
      <c r="S1152" s="9"/>
      <c r="T1152" s="8"/>
      <c r="U1152" s="8"/>
      <c r="W1152" s="8"/>
    </row>
    <row r="1153" spans="2:23" x14ac:dyDescent="0.55000000000000004">
      <c r="B1153" s="3"/>
      <c r="C1153" s="4"/>
      <c r="D1153" s="4"/>
      <c r="E1153" s="5"/>
      <c r="F1153" s="4"/>
      <c r="G1153" s="4"/>
      <c r="H1153" s="4"/>
      <c r="I1153" s="4"/>
      <c r="J1153" s="4"/>
      <c r="K1153" s="6"/>
      <c r="L1153" s="6"/>
      <c r="M1153" s="6"/>
      <c r="N1153" s="6"/>
      <c r="O1153" s="4"/>
      <c r="P1153" s="3"/>
      <c r="Q1153" s="8"/>
      <c r="R1153" s="8"/>
      <c r="S1153" s="9"/>
      <c r="T1153" s="8"/>
      <c r="U1153" s="8"/>
      <c r="W1153" s="8"/>
    </row>
    <row r="1154" spans="2:23" x14ac:dyDescent="0.55000000000000004">
      <c r="B1154" s="3"/>
      <c r="C1154" s="4"/>
      <c r="D1154" s="4"/>
      <c r="E1154" s="5"/>
      <c r="F1154" s="4"/>
      <c r="G1154" s="4"/>
      <c r="H1154" s="4"/>
      <c r="I1154" s="4"/>
      <c r="J1154" s="4"/>
      <c r="K1154" s="6"/>
      <c r="L1154" s="6"/>
      <c r="M1154" s="6"/>
      <c r="N1154" s="6"/>
      <c r="O1154" s="4"/>
      <c r="P1154" s="3"/>
      <c r="Q1154" s="8"/>
      <c r="R1154" s="8"/>
      <c r="S1154" s="9"/>
      <c r="T1154" s="8"/>
      <c r="U1154" s="8"/>
      <c r="W1154" s="8"/>
    </row>
    <row r="1155" spans="2:23" x14ac:dyDescent="0.55000000000000004">
      <c r="B1155" s="3"/>
      <c r="C1155" s="4"/>
      <c r="D1155" s="4"/>
      <c r="E1155" s="5"/>
      <c r="F1155" s="4"/>
      <c r="G1155" s="4"/>
      <c r="H1155" s="4"/>
      <c r="I1155" s="4"/>
      <c r="J1155" s="4"/>
      <c r="K1155" s="6"/>
      <c r="L1155" s="6"/>
      <c r="M1155" s="6"/>
      <c r="N1155" s="6"/>
      <c r="O1155" s="4"/>
      <c r="P1155" s="3"/>
      <c r="Q1155" s="8"/>
      <c r="R1155" s="8"/>
      <c r="S1155" s="9"/>
      <c r="T1155" s="8"/>
      <c r="U1155" s="8"/>
      <c r="W1155" s="8"/>
    </row>
    <row r="1156" spans="2:23" x14ac:dyDescent="0.55000000000000004">
      <c r="B1156" s="3"/>
      <c r="C1156" s="4"/>
      <c r="D1156" s="4"/>
      <c r="E1156" s="5"/>
      <c r="F1156" s="4"/>
      <c r="G1156" s="4"/>
      <c r="H1156" s="4"/>
      <c r="I1156" s="4"/>
      <c r="J1156" s="4"/>
      <c r="K1156" s="6"/>
      <c r="L1156" s="6"/>
      <c r="M1156" s="6"/>
      <c r="N1156" s="6"/>
      <c r="O1156" s="4"/>
      <c r="P1156" s="3"/>
      <c r="Q1156" s="8"/>
      <c r="R1156" s="8"/>
      <c r="S1156" s="9"/>
      <c r="T1156" s="8"/>
      <c r="U1156" s="8"/>
      <c r="W1156" s="8"/>
    </row>
    <row r="1157" spans="2:23" x14ac:dyDescent="0.55000000000000004">
      <c r="B1157" s="3"/>
      <c r="C1157" s="4"/>
      <c r="D1157" s="4"/>
      <c r="E1157" s="5"/>
      <c r="F1157" s="4"/>
      <c r="G1157" s="4"/>
      <c r="H1157" s="4"/>
      <c r="I1157" s="4"/>
      <c r="J1157" s="4"/>
      <c r="K1157" s="6"/>
      <c r="L1157" s="6"/>
      <c r="M1157" s="6"/>
      <c r="N1157" s="6"/>
      <c r="O1157" s="4"/>
      <c r="P1157" s="3"/>
      <c r="Q1157" s="8"/>
      <c r="R1157" s="8"/>
      <c r="S1157" s="9"/>
      <c r="T1157" s="8"/>
      <c r="U1157" s="8"/>
      <c r="W1157" s="8"/>
    </row>
    <row r="1158" spans="2:23" x14ac:dyDescent="0.55000000000000004">
      <c r="B1158" s="3"/>
      <c r="C1158" s="4"/>
      <c r="D1158" s="4"/>
      <c r="E1158" s="5"/>
      <c r="F1158" s="4"/>
      <c r="G1158" s="4"/>
      <c r="H1158" s="4"/>
      <c r="I1158" s="4"/>
      <c r="J1158" s="4"/>
      <c r="K1158" s="6"/>
      <c r="L1158" s="6"/>
      <c r="M1158" s="6"/>
      <c r="N1158" s="6"/>
      <c r="O1158" s="4"/>
      <c r="P1158" s="3"/>
      <c r="Q1158" s="8"/>
      <c r="R1158" s="8"/>
      <c r="S1158" s="9"/>
      <c r="T1158" s="8"/>
      <c r="U1158" s="8"/>
      <c r="W1158" s="8"/>
    </row>
    <row r="1159" spans="2:23" x14ac:dyDescent="0.55000000000000004">
      <c r="B1159" s="3"/>
      <c r="C1159" s="4"/>
      <c r="D1159" s="4"/>
      <c r="E1159" s="5"/>
      <c r="F1159" s="4"/>
      <c r="G1159" s="4"/>
      <c r="H1159" s="4"/>
      <c r="I1159" s="4"/>
      <c r="J1159" s="4"/>
      <c r="K1159" s="6"/>
      <c r="L1159" s="6"/>
      <c r="M1159" s="6"/>
      <c r="N1159" s="6"/>
      <c r="O1159" s="4"/>
      <c r="P1159" s="3"/>
      <c r="Q1159" s="8"/>
      <c r="R1159" s="8"/>
      <c r="S1159" s="9"/>
      <c r="T1159" s="8"/>
      <c r="U1159" s="8"/>
      <c r="W1159" s="8"/>
    </row>
    <row r="1160" spans="2:23" x14ac:dyDescent="0.55000000000000004">
      <c r="B1160" s="3"/>
      <c r="C1160" s="4"/>
      <c r="D1160" s="4"/>
      <c r="E1160" s="5"/>
      <c r="F1160" s="4"/>
      <c r="G1160" s="4"/>
      <c r="H1160" s="4"/>
      <c r="I1160" s="4"/>
      <c r="J1160" s="4"/>
      <c r="K1160" s="6"/>
      <c r="L1160" s="6"/>
      <c r="M1160" s="6"/>
      <c r="N1160" s="6"/>
      <c r="O1160" s="4"/>
      <c r="P1160" s="3"/>
      <c r="Q1160" s="8"/>
      <c r="R1160" s="8"/>
      <c r="S1160" s="9"/>
      <c r="T1160" s="8"/>
      <c r="U1160" s="8"/>
      <c r="W1160" s="8"/>
    </row>
    <row r="1161" spans="2:23" x14ac:dyDescent="0.55000000000000004">
      <c r="B1161" s="3"/>
      <c r="C1161" s="4"/>
      <c r="D1161" s="4"/>
      <c r="E1161" s="5"/>
      <c r="F1161" s="4"/>
      <c r="G1161" s="4"/>
      <c r="H1161" s="4"/>
      <c r="I1161" s="4"/>
      <c r="J1161" s="4"/>
      <c r="K1161" s="6"/>
      <c r="L1161" s="6"/>
      <c r="M1161" s="6"/>
      <c r="N1161" s="6"/>
      <c r="O1161" s="4"/>
      <c r="P1161" s="3"/>
      <c r="Q1161" s="8"/>
      <c r="R1161" s="8"/>
      <c r="S1161" s="9"/>
      <c r="T1161" s="8"/>
      <c r="U1161" s="8"/>
      <c r="W1161" s="8"/>
    </row>
    <row r="1162" spans="2:23" x14ac:dyDescent="0.55000000000000004">
      <c r="B1162" s="3"/>
      <c r="C1162" s="4"/>
      <c r="D1162" s="4"/>
      <c r="E1162" s="5"/>
      <c r="F1162" s="4"/>
      <c r="G1162" s="4"/>
      <c r="H1162" s="4"/>
      <c r="I1162" s="4"/>
      <c r="J1162" s="4"/>
      <c r="K1162" s="6"/>
      <c r="L1162" s="6"/>
      <c r="M1162" s="6"/>
      <c r="N1162" s="6"/>
      <c r="O1162" s="4"/>
      <c r="P1162" s="3"/>
      <c r="Q1162" s="8"/>
      <c r="R1162" s="8"/>
      <c r="S1162" s="9"/>
      <c r="T1162" s="8"/>
      <c r="U1162" s="8"/>
      <c r="W1162" s="8"/>
    </row>
    <row r="1163" spans="2:23" x14ac:dyDescent="0.55000000000000004">
      <c r="B1163" s="3"/>
      <c r="C1163" s="4"/>
      <c r="D1163" s="4"/>
      <c r="E1163" s="5"/>
      <c r="F1163" s="4"/>
      <c r="G1163" s="4"/>
      <c r="H1163" s="4"/>
      <c r="I1163" s="4"/>
      <c r="J1163" s="4"/>
      <c r="K1163" s="6"/>
      <c r="L1163" s="6"/>
      <c r="M1163" s="6"/>
      <c r="N1163" s="6"/>
      <c r="O1163" s="4"/>
      <c r="P1163" s="3"/>
      <c r="Q1163" s="8"/>
      <c r="R1163" s="8"/>
      <c r="S1163" s="9"/>
      <c r="T1163" s="8"/>
      <c r="U1163" s="8"/>
      <c r="W1163" s="8"/>
    </row>
    <row r="1164" spans="2:23" x14ac:dyDescent="0.55000000000000004">
      <c r="B1164" s="3"/>
      <c r="C1164" s="4"/>
      <c r="D1164" s="4"/>
      <c r="E1164" s="5"/>
      <c r="F1164" s="4"/>
      <c r="G1164" s="4"/>
      <c r="H1164" s="4"/>
      <c r="I1164" s="4"/>
      <c r="J1164" s="4"/>
      <c r="K1164" s="6"/>
      <c r="L1164" s="6"/>
      <c r="M1164" s="6"/>
      <c r="N1164" s="6"/>
      <c r="O1164" s="4"/>
      <c r="P1164" s="3"/>
      <c r="Q1164" s="8"/>
      <c r="R1164" s="8"/>
      <c r="S1164" s="9"/>
      <c r="T1164" s="8"/>
      <c r="U1164" s="8"/>
      <c r="W1164" s="8"/>
    </row>
    <row r="1165" spans="2:23" x14ac:dyDescent="0.55000000000000004">
      <c r="B1165" s="3"/>
      <c r="C1165" s="4"/>
      <c r="D1165" s="4"/>
      <c r="E1165" s="5"/>
      <c r="F1165" s="4"/>
      <c r="G1165" s="4"/>
      <c r="H1165" s="4"/>
      <c r="I1165" s="4"/>
      <c r="J1165" s="4"/>
      <c r="K1165" s="6"/>
      <c r="L1165" s="6"/>
      <c r="M1165" s="6"/>
      <c r="N1165" s="6"/>
      <c r="O1165" s="4"/>
      <c r="P1165" s="3"/>
      <c r="Q1165" s="8"/>
      <c r="R1165" s="8"/>
      <c r="S1165" s="9"/>
      <c r="T1165" s="8"/>
      <c r="U1165" s="8"/>
      <c r="W1165" s="8"/>
    </row>
    <row r="1166" spans="2:23" x14ac:dyDescent="0.55000000000000004">
      <c r="B1166" s="3"/>
      <c r="C1166" s="4"/>
      <c r="D1166" s="4"/>
      <c r="E1166" s="5"/>
      <c r="F1166" s="4"/>
      <c r="G1166" s="4"/>
      <c r="H1166" s="4"/>
      <c r="I1166" s="4"/>
      <c r="J1166" s="4"/>
      <c r="K1166" s="6"/>
      <c r="L1166" s="6"/>
      <c r="M1166" s="6"/>
      <c r="N1166" s="6"/>
      <c r="O1166" s="4"/>
      <c r="P1166" s="3"/>
      <c r="Q1166" s="8"/>
      <c r="R1166" s="8"/>
      <c r="S1166" s="9"/>
      <c r="T1166" s="8"/>
      <c r="U1166" s="8"/>
      <c r="W1166" s="8"/>
    </row>
    <row r="1167" spans="2:23" x14ac:dyDescent="0.55000000000000004">
      <c r="B1167" s="3"/>
      <c r="C1167" s="4"/>
      <c r="D1167" s="4"/>
      <c r="E1167" s="5"/>
      <c r="F1167" s="4"/>
      <c r="G1167" s="4"/>
      <c r="H1167" s="4"/>
      <c r="I1167" s="4"/>
      <c r="J1167" s="4"/>
      <c r="K1167" s="6"/>
      <c r="L1167" s="6"/>
      <c r="M1167" s="6"/>
      <c r="N1167" s="6"/>
      <c r="O1167" s="4"/>
      <c r="P1167" s="3"/>
      <c r="Q1167" s="8"/>
      <c r="R1167" s="8"/>
      <c r="S1167" s="9"/>
      <c r="T1167" s="8"/>
      <c r="U1167" s="8"/>
      <c r="W1167" s="8"/>
    </row>
    <row r="1168" spans="2:23" x14ac:dyDescent="0.55000000000000004">
      <c r="B1168" s="3"/>
      <c r="C1168" s="4"/>
      <c r="D1168" s="4"/>
      <c r="E1168" s="5"/>
      <c r="F1168" s="4"/>
      <c r="G1168" s="4"/>
      <c r="H1168" s="4"/>
      <c r="I1168" s="4"/>
      <c r="J1168" s="4"/>
      <c r="K1168" s="6"/>
      <c r="L1168" s="6"/>
      <c r="M1168" s="6"/>
      <c r="N1168" s="6"/>
      <c r="O1168" s="4"/>
      <c r="P1168" s="3"/>
      <c r="Q1168" s="8"/>
      <c r="R1168" s="8"/>
      <c r="S1168" s="9"/>
      <c r="T1168" s="8"/>
      <c r="U1168" s="8"/>
      <c r="W1168" s="8"/>
    </row>
    <row r="1169" spans="2:23" x14ac:dyDescent="0.55000000000000004">
      <c r="B1169" s="3"/>
      <c r="C1169" s="4"/>
      <c r="D1169" s="4"/>
      <c r="E1169" s="5"/>
      <c r="F1169" s="4"/>
      <c r="G1169" s="4"/>
      <c r="H1169" s="4"/>
      <c r="I1169" s="4"/>
      <c r="J1169" s="4"/>
      <c r="K1169" s="6"/>
      <c r="L1169" s="6"/>
      <c r="M1169" s="6"/>
      <c r="N1169" s="6"/>
      <c r="O1169" s="4"/>
      <c r="P1169" s="3"/>
      <c r="Q1169" s="8"/>
      <c r="R1169" s="8"/>
      <c r="S1169" s="9"/>
      <c r="T1169" s="8"/>
      <c r="U1169" s="8"/>
      <c r="W1169" s="8"/>
    </row>
    <row r="1170" spans="2:23" x14ac:dyDescent="0.55000000000000004">
      <c r="B1170" s="3"/>
      <c r="C1170" s="4"/>
      <c r="D1170" s="4"/>
      <c r="E1170" s="5"/>
      <c r="F1170" s="4"/>
      <c r="G1170" s="4"/>
      <c r="H1170" s="4"/>
      <c r="I1170" s="4"/>
      <c r="J1170" s="4"/>
      <c r="K1170" s="6"/>
      <c r="L1170" s="6"/>
      <c r="M1170" s="6"/>
      <c r="N1170" s="6"/>
      <c r="O1170" s="4"/>
      <c r="P1170" s="3"/>
      <c r="Q1170" s="8"/>
      <c r="R1170" s="8"/>
      <c r="S1170" s="9"/>
      <c r="T1170" s="8"/>
      <c r="U1170" s="8"/>
      <c r="W1170" s="8"/>
    </row>
    <row r="1171" spans="2:23" x14ac:dyDescent="0.55000000000000004">
      <c r="B1171" s="3"/>
      <c r="C1171" s="4"/>
      <c r="D1171" s="4"/>
      <c r="E1171" s="5"/>
      <c r="F1171" s="4"/>
      <c r="G1171" s="4"/>
      <c r="H1171" s="4"/>
      <c r="I1171" s="4"/>
      <c r="J1171" s="4"/>
      <c r="K1171" s="6"/>
      <c r="L1171" s="6"/>
      <c r="M1171" s="6"/>
      <c r="N1171" s="6"/>
      <c r="O1171" s="4"/>
      <c r="P1171" s="3"/>
      <c r="Q1171" s="8"/>
      <c r="R1171" s="8"/>
      <c r="S1171" s="9"/>
      <c r="T1171" s="8"/>
      <c r="U1171" s="8"/>
      <c r="W1171" s="8"/>
    </row>
    <row r="1172" spans="2:23" x14ac:dyDescent="0.55000000000000004">
      <c r="B1172" s="3"/>
      <c r="C1172" s="4"/>
      <c r="D1172" s="4"/>
      <c r="E1172" s="5"/>
      <c r="F1172" s="4"/>
      <c r="G1172" s="4"/>
      <c r="H1172" s="4"/>
      <c r="I1172" s="4"/>
      <c r="J1172" s="4"/>
      <c r="K1172" s="6"/>
      <c r="L1172" s="6"/>
      <c r="M1172" s="6"/>
      <c r="N1172" s="6"/>
      <c r="O1172" s="4"/>
      <c r="P1172" s="3"/>
      <c r="Q1172" s="8"/>
      <c r="R1172" s="8"/>
      <c r="S1172" s="9"/>
      <c r="T1172" s="8"/>
      <c r="U1172" s="8"/>
      <c r="W1172" s="8"/>
    </row>
    <row r="1173" spans="2:23" x14ac:dyDescent="0.55000000000000004">
      <c r="B1173" s="3"/>
      <c r="C1173" s="4"/>
      <c r="D1173" s="4"/>
      <c r="E1173" s="5"/>
      <c r="F1173" s="4"/>
      <c r="G1173" s="4"/>
      <c r="H1173" s="4"/>
      <c r="I1173" s="4"/>
      <c r="J1173" s="4"/>
      <c r="K1173" s="6"/>
      <c r="L1173" s="6"/>
      <c r="M1173" s="6"/>
      <c r="N1173" s="6"/>
      <c r="O1173" s="4"/>
      <c r="P1173" s="3"/>
      <c r="Q1173" s="8"/>
      <c r="R1173" s="8"/>
      <c r="S1173" s="9"/>
      <c r="T1173" s="8"/>
      <c r="U1173" s="8"/>
      <c r="W1173" s="8"/>
    </row>
    <row r="1174" spans="2:23" x14ac:dyDescent="0.55000000000000004">
      <c r="B1174" s="3"/>
      <c r="C1174" s="4"/>
      <c r="D1174" s="4"/>
      <c r="E1174" s="5"/>
      <c r="F1174" s="4"/>
      <c r="G1174" s="4"/>
      <c r="H1174" s="4"/>
      <c r="I1174" s="4"/>
      <c r="J1174" s="4"/>
      <c r="K1174" s="6"/>
      <c r="L1174" s="6"/>
      <c r="M1174" s="6"/>
      <c r="N1174" s="6"/>
      <c r="O1174" s="4"/>
      <c r="P1174" s="3"/>
      <c r="Q1174" s="8"/>
      <c r="R1174" s="8"/>
      <c r="S1174" s="9"/>
      <c r="T1174" s="8"/>
      <c r="U1174" s="8"/>
      <c r="W1174" s="8"/>
    </row>
    <row r="1175" spans="2:23" x14ac:dyDescent="0.55000000000000004">
      <c r="B1175" s="3"/>
      <c r="C1175" s="4"/>
      <c r="D1175" s="4"/>
      <c r="E1175" s="5"/>
      <c r="F1175" s="4"/>
      <c r="G1175" s="4"/>
      <c r="H1175" s="4"/>
      <c r="I1175" s="4"/>
      <c r="J1175" s="4"/>
      <c r="K1175" s="6"/>
      <c r="L1175" s="6"/>
      <c r="M1175" s="6"/>
      <c r="N1175" s="6"/>
      <c r="O1175" s="4"/>
      <c r="P1175" s="3"/>
      <c r="Q1175" s="8"/>
      <c r="R1175" s="8"/>
      <c r="S1175" s="9"/>
      <c r="T1175" s="8"/>
      <c r="U1175" s="8"/>
      <c r="W1175" s="8"/>
    </row>
    <row r="1176" spans="2:23" x14ac:dyDescent="0.55000000000000004">
      <c r="B1176" s="3"/>
      <c r="C1176" s="4"/>
      <c r="D1176" s="4"/>
      <c r="E1176" s="5"/>
      <c r="F1176" s="4"/>
      <c r="G1176" s="4"/>
      <c r="H1176" s="4"/>
      <c r="I1176" s="4"/>
      <c r="J1176" s="4"/>
      <c r="K1176" s="6"/>
      <c r="L1176" s="6"/>
      <c r="M1176" s="6"/>
      <c r="N1176" s="6"/>
      <c r="O1176" s="4"/>
      <c r="P1176" s="3"/>
      <c r="Q1176" s="8"/>
      <c r="R1176" s="8"/>
      <c r="S1176" s="9"/>
      <c r="T1176" s="8"/>
      <c r="U1176" s="8"/>
      <c r="W1176" s="8"/>
    </row>
    <row r="1177" spans="2:23" x14ac:dyDescent="0.55000000000000004">
      <c r="B1177" s="3"/>
      <c r="C1177" s="4"/>
      <c r="D1177" s="4"/>
      <c r="E1177" s="5"/>
      <c r="F1177" s="4"/>
      <c r="G1177" s="4"/>
      <c r="H1177" s="4"/>
      <c r="I1177" s="4"/>
      <c r="J1177" s="4"/>
      <c r="K1177" s="6"/>
      <c r="L1177" s="6"/>
      <c r="M1177" s="6"/>
      <c r="N1177" s="6"/>
      <c r="O1177" s="4"/>
      <c r="P1177" s="3"/>
      <c r="Q1177" s="8"/>
      <c r="R1177" s="8"/>
      <c r="S1177" s="9"/>
      <c r="T1177" s="8"/>
      <c r="U1177" s="8"/>
      <c r="W1177" s="8"/>
    </row>
    <row r="1178" spans="2:23" x14ac:dyDescent="0.55000000000000004">
      <c r="B1178" s="3"/>
      <c r="C1178" s="4"/>
      <c r="D1178" s="4"/>
      <c r="E1178" s="5"/>
      <c r="F1178" s="4"/>
      <c r="G1178" s="4"/>
      <c r="H1178" s="4"/>
      <c r="I1178" s="4"/>
      <c r="J1178" s="4"/>
      <c r="K1178" s="6"/>
      <c r="L1178" s="6"/>
      <c r="M1178" s="6"/>
      <c r="N1178" s="6"/>
      <c r="O1178" s="4"/>
      <c r="P1178" s="3"/>
      <c r="Q1178" s="8"/>
      <c r="R1178" s="8"/>
      <c r="S1178" s="9"/>
      <c r="T1178" s="8"/>
      <c r="U1178" s="8"/>
      <c r="W1178" s="8"/>
    </row>
    <row r="1179" spans="2:23" x14ac:dyDescent="0.55000000000000004">
      <c r="B1179" s="3"/>
      <c r="C1179" s="4"/>
      <c r="D1179" s="4"/>
      <c r="E1179" s="5"/>
      <c r="F1179" s="4"/>
      <c r="G1179" s="4"/>
      <c r="H1179" s="4"/>
      <c r="I1179" s="4"/>
      <c r="J1179" s="4"/>
      <c r="K1179" s="6"/>
      <c r="L1179" s="6"/>
      <c r="M1179" s="6"/>
      <c r="N1179" s="6"/>
      <c r="O1179" s="4"/>
      <c r="P1179" s="3"/>
      <c r="Q1179" s="8"/>
      <c r="R1179" s="8"/>
      <c r="S1179" s="9"/>
      <c r="T1179" s="8"/>
      <c r="U1179" s="8"/>
      <c r="W1179" s="8"/>
    </row>
    <row r="1180" spans="2:23" x14ac:dyDescent="0.55000000000000004">
      <c r="B1180" s="3"/>
      <c r="C1180" s="4"/>
      <c r="D1180" s="4"/>
      <c r="E1180" s="5"/>
      <c r="F1180" s="4"/>
      <c r="G1180" s="4"/>
      <c r="H1180" s="4"/>
      <c r="I1180" s="4"/>
      <c r="J1180" s="4"/>
      <c r="K1180" s="6"/>
      <c r="L1180" s="6"/>
      <c r="M1180" s="6"/>
      <c r="N1180" s="6"/>
      <c r="O1180" s="4"/>
      <c r="P1180" s="3"/>
      <c r="Q1180" s="8"/>
      <c r="R1180" s="8"/>
      <c r="S1180" s="9"/>
      <c r="T1180" s="8"/>
      <c r="U1180" s="8"/>
      <c r="W1180" s="8"/>
    </row>
    <row r="1181" spans="2:23" x14ac:dyDescent="0.55000000000000004">
      <c r="B1181" s="3"/>
      <c r="C1181" s="4"/>
      <c r="D1181" s="4"/>
      <c r="E1181" s="5"/>
      <c r="F1181" s="4"/>
      <c r="G1181" s="4"/>
      <c r="H1181" s="4"/>
      <c r="I1181" s="4"/>
      <c r="J1181" s="4"/>
      <c r="K1181" s="6"/>
      <c r="L1181" s="6"/>
      <c r="M1181" s="6"/>
      <c r="N1181" s="6"/>
      <c r="O1181" s="4"/>
      <c r="P1181" s="3"/>
      <c r="Q1181" s="8"/>
      <c r="R1181" s="8"/>
      <c r="S1181" s="9"/>
      <c r="T1181" s="8"/>
      <c r="U1181" s="8"/>
      <c r="W1181" s="8"/>
    </row>
    <row r="1182" spans="2:23" x14ac:dyDescent="0.55000000000000004">
      <c r="B1182" s="3"/>
      <c r="C1182" s="4"/>
      <c r="D1182" s="4"/>
      <c r="E1182" s="5"/>
      <c r="F1182" s="4"/>
      <c r="G1182" s="4"/>
      <c r="H1182" s="4"/>
      <c r="I1182" s="4"/>
      <c r="J1182" s="4"/>
      <c r="K1182" s="6"/>
      <c r="L1182" s="6"/>
      <c r="M1182" s="6"/>
      <c r="N1182" s="6"/>
      <c r="O1182" s="4"/>
      <c r="P1182" s="3"/>
      <c r="Q1182" s="8"/>
      <c r="R1182" s="8"/>
      <c r="S1182" s="9"/>
      <c r="T1182" s="8"/>
      <c r="U1182" s="8"/>
      <c r="W1182" s="8"/>
    </row>
    <row r="1183" spans="2:23" x14ac:dyDescent="0.55000000000000004">
      <c r="B1183" s="3"/>
      <c r="C1183" s="4"/>
      <c r="D1183" s="4"/>
      <c r="E1183" s="5"/>
      <c r="F1183" s="4"/>
      <c r="G1183" s="4"/>
      <c r="H1183" s="4"/>
      <c r="I1183" s="4"/>
      <c r="J1183" s="4"/>
      <c r="K1183" s="6"/>
      <c r="L1183" s="6"/>
      <c r="M1183" s="6"/>
      <c r="N1183" s="6"/>
      <c r="O1183" s="4"/>
      <c r="P1183" s="3"/>
      <c r="Q1183" s="8"/>
      <c r="R1183" s="8"/>
      <c r="S1183" s="9"/>
      <c r="T1183" s="8"/>
      <c r="U1183" s="8"/>
      <c r="W1183" s="8"/>
    </row>
    <row r="1184" spans="2:23" x14ac:dyDescent="0.55000000000000004">
      <c r="B1184" s="3"/>
      <c r="C1184" s="4"/>
      <c r="D1184" s="4"/>
      <c r="E1184" s="5"/>
      <c r="F1184" s="4"/>
      <c r="G1184" s="4"/>
      <c r="H1184" s="4"/>
      <c r="I1184" s="4"/>
      <c r="J1184" s="4"/>
      <c r="K1184" s="6"/>
      <c r="L1184" s="6"/>
      <c r="M1184" s="6"/>
      <c r="N1184" s="6"/>
      <c r="O1184" s="4"/>
      <c r="P1184" s="3"/>
      <c r="Q1184" s="8"/>
      <c r="R1184" s="8"/>
      <c r="S1184" s="9"/>
      <c r="T1184" s="8"/>
      <c r="U1184" s="8"/>
      <c r="W1184" s="8"/>
    </row>
    <row r="1185" spans="2:23" x14ac:dyDescent="0.55000000000000004">
      <c r="B1185" s="3"/>
      <c r="C1185" s="4"/>
      <c r="D1185" s="4"/>
      <c r="E1185" s="5"/>
      <c r="F1185" s="4"/>
      <c r="G1185" s="4"/>
      <c r="H1185" s="4"/>
      <c r="I1185" s="4"/>
      <c r="J1185" s="4"/>
      <c r="K1185" s="6"/>
      <c r="L1185" s="6"/>
      <c r="M1185" s="6"/>
      <c r="N1185" s="6"/>
      <c r="O1185" s="4"/>
      <c r="P1185" s="3"/>
      <c r="Q1185" s="8"/>
      <c r="R1185" s="8"/>
      <c r="S1185" s="9"/>
      <c r="T1185" s="8"/>
      <c r="U1185" s="8"/>
      <c r="W1185" s="8"/>
    </row>
    <row r="1186" spans="2:23" x14ac:dyDescent="0.55000000000000004">
      <c r="B1186" s="3"/>
      <c r="C1186" s="4"/>
      <c r="D1186" s="4"/>
      <c r="E1186" s="5"/>
      <c r="F1186" s="4"/>
      <c r="G1186" s="4"/>
      <c r="H1186" s="4"/>
      <c r="I1186" s="4"/>
      <c r="J1186" s="4"/>
      <c r="K1186" s="6"/>
      <c r="L1186" s="6"/>
      <c r="M1186" s="6"/>
      <c r="N1186" s="6"/>
      <c r="O1186" s="4"/>
      <c r="P1186" s="3"/>
      <c r="Q1186" s="8"/>
      <c r="R1186" s="8"/>
      <c r="S1186" s="9"/>
      <c r="T1186" s="8"/>
      <c r="U1186" s="8"/>
      <c r="W1186" s="8"/>
    </row>
    <row r="1187" spans="2:23" x14ac:dyDescent="0.55000000000000004">
      <c r="B1187" s="3"/>
      <c r="C1187" s="4"/>
      <c r="D1187" s="4"/>
      <c r="E1187" s="5"/>
      <c r="F1187" s="4"/>
      <c r="G1187" s="4"/>
      <c r="H1187" s="4"/>
      <c r="I1187" s="4"/>
      <c r="J1187" s="4"/>
      <c r="K1187" s="6"/>
      <c r="L1187" s="6"/>
      <c r="M1187" s="6"/>
      <c r="N1187" s="6"/>
      <c r="O1187" s="4"/>
      <c r="P1187" s="3"/>
      <c r="Q1187" s="8"/>
      <c r="R1187" s="8"/>
      <c r="S1187" s="9"/>
      <c r="T1187" s="8"/>
      <c r="U1187" s="8"/>
      <c r="W1187" s="8"/>
    </row>
    <row r="1188" spans="2:23" x14ac:dyDescent="0.55000000000000004">
      <c r="B1188" s="3"/>
      <c r="C1188" s="4"/>
      <c r="D1188" s="4"/>
      <c r="E1188" s="5"/>
      <c r="F1188" s="4"/>
      <c r="G1188" s="4"/>
      <c r="H1188" s="4"/>
      <c r="I1188" s="4"/>
      <c r="J1188" s="4"/>
      <c r="K1188" s="6"/>
      <c r="L1188" s="6"/>
      <c r="M1188" s="6"/>
      <c r="N1188" s="6"/>
      <c r="O1188" s="4"/>
      <c r="P1188" s="3"/>
      <c r="Q1188" s="8"/>
      <c r="R1188" s="8"/>
      <c r="S1188" s="9"/>
      <c r="T1188" s="8"/>
      <c r="U1188" s="8"/>
      <c r="W1188" s="8"/>
    </row>
    <row r="1189" spans="2:23" x14ac:dyDescent="0.55000000000000004">
      <c r="B1189" s="3"/>
      <c r="C1189" s="4"/>
      <c r="D1189" s="4"/>
      <c r="E1189" s="5"/>
      <c r="F1189" s="4"/>
      <c r="G1189" s="4"/>
      <c r="H1189" s="4"/>
      <c r="I1189" s="4"/>
      <c r="J1189" s="4"/>
      <c r="K1189" s="6"/>
      <c r="L1189" s="6"/>
      <c r="M1189" s="6"/>
      <c r="N1189" s="6"/>
      <c r="O1189" s="4"/>
      <c r="P1189" s="3"/>
      <c r="Q1189" s="8"/>
      <c r="R1189" s="8"/>
      <c r="S1189" s="9"/>
      <c r="T1189" s="8"/>
      <c r="U1189" s="8"/>
      <c r="W1189" s="8"/>
    </row>
    <row r="1190" spans="2:23" x14ac:dyDescent="0.55000000000000004">
      <c r="B1190" s="3"/>
      <c r="C1190" s="4"/>
      <c r="D1190" s="4"/>
      <c r="E1190" s="5"/>
      <c r="F1190" s="4"/>
      <c r="G1190" s="4"/>
      <c r="H1190" s="4"/>
      <c r="I1190" s="4"/>
      <c r="J1190" s="4"/>
      <c r="K1190" s="6"/>
      <c r="L1190" s="6"/>
      <c r="M1190" s="6"/>
      <c r="N1190" s="6"/>
      <c r="O1190" s="4"/>
      <c r="P1190" s="3"/>
      <c r="Q1190" s="8"/>
      <c r="R1190" s="8"/>
      <c r="S1190" s="9"/>
      <c r="T1190" s="8"/>
      <c r="U1190" s="8"/>
      <c r="W1190" s="8"/>
    </row>
    <row r="1191" spans="2:23" x14ac:dyDescent="0.55000000000000004">
      <c r="B1191" s="3"/>
      <c r="C1191" s="4"/>
      <c r="D1191" s="4"/>
      <c r="E1191" s="5"/>
      <c r="F1191" s="4"/>
      <c r="G1191" s="4"/>
      <c r="H1191" s="4"/>
      <c r="I1191" s="4"/>
      <c r="J1191" s="4"/>
      <c r="K1191" s="6"/>
      <c r="L1191" s="6"/>
      <c r="M1191" s="6"/>
      <c r="N1191" s="6"/>
      <c r="O1191" s="4"/>
      <c r="P1191" s="3"/>
      <c r="Q1191" s="8"/>
      <c r="R1191" s="8"/>
      <c r="S1191" s="9"/>
      <c r="T1191" s="8"/>
      <c r="U1191" s="8"/>
      <c r="W1191" s="8"/>
    </row>
    <row r="1192" spans="2:23" x14ac:dyDescent="0.55000000000000004">
      <c r="B1192" s="3"/>
      <c r="C1192" s="4"/>
      <c r="D1192" s="4"/>
      <c r="E1192" s="5"/>
      <c r="F1192" s="4"/>
      <c r="G1192" s="4"/>
      <c r="H1192" s="4"/>
      <c r="I1192" s="4"/>
      <c r="J1192" s="4"/>
      <c r="K1192" s="6"/>
      <c r="L1192" s="6"/>
      <c r="M1192" s="6"/>
      <c r="N1192" s="6"/>
      <c r="O1192" s="4"/>
      <c r="P1192" s="3"/>
      <c r="Q1192" s="8"/>
      <c r="R1192" s="8"/>
      <c r="S1192" s="9"/>
      <c r="T1192" s="8"/>
      <c r="U1192" s="8"/>
      <c r="W1192" s="8"/>
    </row>
    <row r="1193" spans="2:23" x14ac:dyDescent="0.55000000000000004">
      <c r="B1193" s="3"/>
      <c r="C1193" s="4"/>
      <c r="D1193" s="4"/>
      <c r="E1193" s="5"/>
      <c r="F1193" s="4"/>
      <c r="G1193" s="4"/>
      <c r="H1193" s="4"/>
      <c r="I1193" s="4"/>
      <c r="J1193" s="4"/>
      <c r="K1193" s="6"/>
      <c r="L1193" s="6"/>
      <c r="M1193" s="6"/>
      <c r="N1193" s="6"/>
      <c r="O1193" s="4"/>
      <c r="P1193" s="3"/>
      <c r="Q1193" s="8"/>
      <c r="R1193" s="8"/>
      <c r="S1193" s="9"/>
      <c r="T1193" s="8"/>
      <c r="U1193" s="8"/>
      <c r="W1193" s="8"/>
    </row>
    <row r="1194" spans="2:23" x14ac:dyDescent="0.55000000000000004">
      <c r="B1194" s="3"/>
      <c r="C1194" s="4"/>
      <c r="D1194" s="4"/>
      <c r="E1194" s="5"/>
      <c r="F1194" s="4"/>
      <c r="G1194" s="4"/>
      <c r="H1194" s="4"/>
      <c r="I1194" s="4"/>
      <c r="J1194" s="4"/>
      <c r="K1194" s="6"/>
      <c r="L1194" s="6"/>
      <c r="M1194" s="6"/>
      <c r="N1194" s="6"/>
      <c r="O1194" s="4"/>
      <c r="P1194" s="3"/>
      <c r="Q1194" s="8"/>
      <c r="R1194" s="8"/>
      <c r="S1194" s="9"/>
      <c r="T1194" s="8"/>
      <c r="U1194" s="8"/>
      <c r="W1194" s="8"/>
    </row>
    <row r="1195" spans="2:23" x14ac:dyDescent="0.55000000000000004">
      <c r="B1195" s="3"/>
      <c r="C1195" s="4"/>
      <c r="D1195" s="4"/>
      <c r="E1195" s="5"/>
      <c r="F1195" s="4"/>
      <c r="G1195" s="4"/>
      <c r="H1195" s="4"/>
      <c r="I1195" s="4"/>
      <c r="J1195" s="4"/>
      <c r="K1195" s="6"/>
      <c r="L1195" s="6"/>
      <c r="M1195" s="6"/>
      <c r="N1195" s="6"/>
      <c r="O1195" s="4"/>
      <c r="P1195" s="3"/>
      <c r="Q1195" s="8"/>
      <c r="R1195" s="8"/>
      <c r="S1195" s="9"/>
      <c r="T1195" s="8"/>
      <c r="U1195" s="8"/>
      <c r="W1195" s="8"/>
    </row>
    <row r="1196" spans="2:23" x14ac:dyDescent="0.55000000000000004">
      <c r="B1196" s="3"/>
      <c r="C1196" s="4"/>
      <c r="D1196" s="4"/>
      <c r="E1196" s="5"/>
      <c r="F1196" s="4"/>
      <c r="G1196" s="4"/>
      <c r="H1196" s="4"/>
      <c r="I1196" s="4"/>
      <c r="J1196" s="4"/>
      <c r="K1196" s="6"/>
      <c r="L1196" s="6"/>
      <c r="M1196" s="6"/>
      <c r="N1196" s="6"/>
      <c r="O1196" s="4"/>
      <c r="P1196" s="3"/>
      <c r="Q1196" s="8"/>
      <c r="R1196" s="8"/>
      <c r="S1196" s="9"/>
      <c r="T1196" s="8"/>
      <c r="U1196" s="8"/>
      <c r="W1196" s="8"/>
    </row>
    <row r="1197" spans="2:23" x14ac:dyDescent="0.55000000000000004">
      <c r="B1197" s="3"/>
      <c r="C1197" s="4"/>
      <c r="D1197" s="4"/>
      <c r="E1197" s="5"/>
      <c r="F1197" s="4"/>
      <c r="G1197" s="4"/>
      <c r="H1197" s="4"/>
      <c r="I1197" s="4"/>
      <c r="J1197" s="4"/>
      <c r="K1197" s="6"/>
      <c r="L1197" s="6"/>
      <c r="M1197" s="6"/>
      <c r="N1197" s="6"/>
      <c r="O1197" s="4"/>
      <c r="P1197" s="3"/>
      <c r="Q1197" s="8"/>
      <c r="R1197" s="8"/>
      <c r="S1197" s="9"/>
      <c r="T1197" s="8"/>
      <c r="U1197" s="8"/>
      <c r="W1197" s="8"/>
    </row>
    <row r="1198" spans="2:23" x14ac:dyDescent="0.55000000000000004">
      <c r="B1198" s="3"/>
      <c r="C1198" s="4"/>
      <c r="D1198" s="4"/>
      <c r="E1198" s="5"/>
      <c r="F1198" s="4"/>
      <c r="G1198" s="4"/>
      <c r="H1198" s="4"/>
      <c r="I1198" s="4"/>
      <c r="J1198" s="4"/>
      <c r="K1198" s="6"/>
      <c r="L1198" s="6"/>
      <c r="M1198" s="6"/>
      <c r="N1198" s="6"/>
      <c r="O1198" s="4"/>
      <c r="P1198" s="3"/>
      <c r="Q1198" s="8"/>
      <c r="R1198" s="8"/>
      <c r="S1198" s="9"/>
      <c r="T1198" s="8"/>
      <c r="U1198" s="8"/>
      <c r="W1198" s="8"/>
    </row>
    <row r="1199" spans="2:23" x14ac:dyDescent="0.55000000000000004">
      <c r="B1199" s="3"/>
      <c r="C1199" s="4"/>
      <c r="D1199" s="4"/>
      <c r="E1199" s="5"/>
      <c r="F1199" s="4"/>
      <c r="G1199" s="4"/>
      <c r="H1199" s="4"/>
      <c r="I1199" s="4"/>
      <c r="J1199" s="4"/>
      <c r="K1199" s="6"/>
      <c r="L1199" s="6"/>
      <c r="M1199" s="6"/>
      <c r="N1199" s="6"/>
      <c r="O1199" s="4"/>
      <c r="P1199" s="3"/>
      <c r="Q1199" s="8"/>
      <c r="R1199" s="8"/>
      <c r="S1199" s="9"/>
      <c r="T1199" s="8"/>
      <c r="U1199" s="8"/>
      <c r="W1199" s="8"/>
    </row>
    <row r="1200" spans="2:23" x14ac:dyDescent="0.55000000000000004">
      <c r="B1200" s="3"/>
      <c r="C1200" s="4"/>
      <c r="D1200" s="4"/>
      <c r="E1200" s="5"/>
      <c r="F1200" s="4"/>
      <c r="G1200" s="4"/>
      <c r="H1200" s="4"/>
      <c r="I1200" s="4"/>
      <c r="J1200" s="4"/>
      <c r="K1200" s="6"/>
      <c r="L1200" s="6"/>
      <c r="M1200" s="6"/>
      <c r="N1200" s="6"/>
      <c r="O1200" s="4"/>
      <c r="P1200" s="3"/>
      <c r="Q1200" s="8"/>
      <c r="R1200" s="8"/>
      <c r="S1200" s="9"/>
      <c r="T1200" s="8"/>
      <c r="U1200" s="8"/>
      <c r="W1200" s="8"/>
    </row>
    <row r="1201" spans="2:23" x14ac:dyDescent="0.55000000000000004">
      <c r="B1201" s="3"/>
      <c r="C1201" s="4"/>
      <c r="D1201" s="4"/>
      <c r="E1201" s="5"/>
      <c r="F1201" s="4"/>
      <c r="G1201" s="4"/>
      <c r="H1201" s="4"/>
      <c r="I1201" s="4"/>
      <c r="J1201" s="4"/>
      <c r="K1201" s="6"/>
      <c r="L1201" s="6"/>
      <c r="M1201" s="6"/>
      <c r="N1201" s="6"/>
      <c r="O1201" s="4"/>
      <c r="P1201" s="3"/>
      <c r="Q1201" s="8"/>
      <c r="R1201" s="8"/>
      <c r="S1201" s="9"/>
      <c r="T1201" s="8"/>
      <c r="U1201" s="8"/>
      <c r="W1201" s="8"/>
    </row>
    <row r="1202" spans="2:23" x14ac:dyDescent="0.55000000000000004">
      <c r="B1202" s="3"/>
      <c r="C1202" s="4"/>
      <c r="D1202" s="4"/>
      <c r="E1202" s="5"/>
      <c r="F1202" s="4"/>
      <c r="G1202" s="4"/>
      <c r="H1202" s="4"/>
      <c r="I1202" s="4"/>
      <c r="J1202" s="4"/>
      <c r="K1202" s="6"/>
      <c r="L1202" s="6"/>
      <c r="M1202" s="6"/>
      <c r="N1202" s="6"/>
      <c r="O1202" s="4"/>
      <c r="P1202" s="3"/>
      <c r="Q1202" s="8"/>
      <c r="R1202" s="8"/>
      <c r="S1202" s="9"/>
      <c r="T1202" s="8"/>
      <c r="U1202" s="8"/>
      <c r="W1202" s="8"/>
    </row>
    <row r="1203" spans="2:23" x14ac:dyDescent="0.55000000000000004">
      <c r="B1203" s="3"/>
      <c r="C1203" s="4"/>
      <c r="D1203" s="4"/>
      <c r="E1203" s="5"/>
      <c r="F1203" s="4"/>
      <c r="G1203" s="4"/>
      <c r="H1203" s="4"/>
      <c r="I1203" s="4"/>
      <c r="J1203" s="4"/>
      <c r="K1203" s="6"/>
      <c r="L1203" s="6"/>
      <c r="M1203" s="6"/>
      <c r="N1203" s="6"/>
      <c r="O1203" s="4"/>
      <c r="P1203" s="3"/>
      <c r="Q1203" s="8"/>
      <c r="R1203" s="8"/>
      <c r="S1203" s="9"/>
      <c r="T1203" s="8"/>
      <c r="U1203" s="8"/>
      <c r="W1203" s="8"/>
    </row>
    <row r="1204" spans="2:23" x14ac:dyDescent="0.55000000000000004">
      <c r="B1204" s="3"/>
      <c r="C1204" s="4"/>
      <c r="D1204" s="4"/>
      <c r="E1204" s="5"/>
      <c r="F1204" s="4"/>
      <c r="G1204" s="4"/>
      <c r="H1204" s="4"/>
      <c r="I1204" s="4"/>
      <c r="J1204" s="4"/>
      <c r="K1204" s="6"/>
      <c r="L1204" s="6"/>
      <c r="M1204" s="6"/>
      <c r="N1204" s="6"/>
      <c r="O1204" s="4"/>
      <c r="P1204" s="3"/>
      <c r="Q1204" s="8"/>
      <c r="R1204" s="8"/>
      <c r="S1204" s="9"/>
      <c r="T1204" s="8"/>
      <c r="U1204" s="8"/>
      <c r="W1204" s="8"/>
    </row>
    <row r="1205" spans="2:23" x14ac:dyDescent="0.55000000000000004">
      <c r="B1205" s="3"/>
      <c r="C1205" s="4"/>
      <c r="D1205" s="4"/>
      <c r="E1205" s="5"/>
      <c r="F1205" s="4"/>
      <c r="G1205" s="4"/>
      <c r="H1205" s="4"/>
      <c r="I1205" s="4"/>
      <c r="J1205" s="4"/>
      <c r="K1205" s="6"/>
      <c r="L1205" s="6"/>
      <c r="M1205" s="6"/>
      <c r="N1205" s="6"/>
      <c r="O1205" s="4"/>
      <c r="P1205" s="3"/>
      <c r="Q1205" s="8"/>
      <c r="R1205" s="8"/>
      <c r="S1205" s="9"/>
      <c r="T1205" s="8"/>
      <c r="U1205" s="8"/>
      <c r="W1205" s="8"/>
    </row>
    <row r="1206" spans="2:23" x14ac:dyDescent="0.55000000000000004">
      <c r="B1206" s="3"/>
      <c r="C1206" s="4"/>
      <c r="D1206" s="4"/>
      <c r="E1206" s="5"/>
      <c r="F1206" s="4"/>
      <c r="G1206" s="4"/>
      <c r="H1206" s="4"/>
      <c r="I1206" s="4"/>
      <c r="J1206" s="4"/>
      <c r="K1206" s="6"/>
      <c r="L1206" s="6"/>
      <c r="M1206" s="6"/>
      <c r="N1206" s="6"/>
      <c r="O1206" s="4"/>
      <c r="P1206" s="3"/>
      <c r="Q1206" s="8"/>
      <c r="R1206" s="8"/>
      <c r="S1206" s="9"/>
      <c r="T1206" s="8"/>
      <c r="U1206" s="8"/>
      <c r="W1206" s="8"/>
    </row>
    <row r="1207" spans="2:23" x14ac:dyDescent="0.55000000000000004">
      <c r="B1207" s="3"/>
      <c r="C1207" s="4"/>
      <c r="D1207" s="4"/>
      <c r="E1207" s="5"/>
      <c r="F1207" s="4"/>
      <c r="G1207" s="4"/>
      <c r="H1207" s="4"/>
      <c r="I1207" s="4"/>
      <c r="J1207" s="4"/>
      <c r="K1207" s="6"/>
      <c r="L1207" s="6"/>
      <c r="M1207" s="6"/>
      <c r="N1207" s="6"/>
      <c r="O1207" s="4"/>
      <c r="P1207" s="3"/>
      <c r="Q1207" s="8"/>
      <c r="R1207" s="8"/>
      <c r="S1207" s="9"/>
      <c r="T1207" s="8"/>
      <c r="U1207" s="8"/>
      <c r="W1207" s="8"/>
    </row>
    <row r="1208" spans="2:23" x14ac:dyDescent="0.55000000000000004">
      <c r="B1208" s="3"/>
      <c r="C1208" s="4"/>
      <c r="D1208" s="4"/>
      <c r="E1208" s="5"/>
      <c r="F1208" s="4"/>
      <c r="G1208" s="4"/>
      <c r="H1208" s="4"/>
      <c r="I1208" s="4"/>
      <c r="J1208" s="4"/>
      <c r="K1208" s="6"/>
      <c r="L1208" s="6"/>
      <c r="M1208" s="6"/>
      <c r="N1208" s="6"/>
      <c r="O1208" s="4"/>
      <c r="P1208" s="3"/>
      <c r="Q1208" s="8"/>
      <c r="R1208" s="8"/>
      <c r="S1208" s="9"/>
      <c r="T1208" s="8"/>
      <c r="U1208" s="8"/>
      <c r="W1208" s="8"/>
    </row>
    <row r="1209" spans="2:23" x14ac:dyDescent="0.55000000000000004">
      <c r="B1209" s="3"/>
      <c r="C1209" s="4"/>
      <c r="D1209" s="4"/>
      <c r="E1209" s="5"/>
      <c r="F1209" s="4"/>
      <c r="G1209" s="4"/>
      <c r="H1209" s="4"/>
      <c r="I1209" s="4"/>
      <c r="J1209" s="4"/>
      <c r="K1209" s="6"/>
      <c r="L1209" s="6"/>
      <c r="M1209" s="6"/>
      <c r="N1209" s="6"/>
      <c r="O1209" s="4"/>
      <c r="P1209" s="3"/>
      <c r="Q1209" s="8"/>
      <c r="R1209" s="8"/>
      <c r="S1209" s="9"/>
      <c r="T1209" s="8"/>
      <c r="U1209" s="8"/>
      <c r="W1209" s="8"/>
    </row>
    <row r="1210" spans="2:23" x14ac:dyDescent="0.55000000000000004">
      <c r="B1210" s="3"/>
      <c r="C1210" s="4"/>
      <c r="D1210" s="4"/>
      <c r="E1210" s="5"/>
      <c r="F1210" s="4"/>
      <c r="G1210" s="4"/>
      <c r="H1210" s="4"/>
      <c r="I1210" s="4"/>
      <c r="J1210" s="4"/>
      <c r="K1210" s="6"/>
      <c r="L1210" s="6"/>
      <c r="M1210" s="6"/>
      <c r="N1210" s="6"/>
      <c r="O1210" s="4"/>
      <c r="P1210" s="3"/>
      <c r="Q1210" s="8"/>
      <c r="R1210" s="8"/>
      <c r="S1210" s="9"/>
      <c r="T1210" s="8"/>
      <c r="U1210" s="8"/>
      <c r="W1210" s="8"/>
    </row>
    <row r="1211" spans="2:23" x14ac:dyDescent="0.55000000000000004">
      <c r="B1211" s="3"/>
      <c r="C1211" s="4"/>
      <c r="D1211" s="4"/>
      <c r="E1211" s="5"/>
      <c r="F1211" s="4"/>
      <c r="G1211" s="4"/>
      <c r="H1211" s="4"/>
      <c r="I1211" s="4"/>
      <c r="J1211" s="4"/>
      <c r="K1211" s="6"/>
      <c r="L1211" s="6"/>
      <c r="M1211" s="6"/>
      <c r="N1211" s="6"/>
      <c r="O1211" s="4"/>
      <c r="P1211" s="3"/>
      <c r="Q1211" s="8"/>
      <c r="R1211" s="8"/>
      <c r="S1211" s="9"/>
      <c r="T1211" s="8"/>
      <c r="U1211" s="8"/>
      <c r="W1211" s="8"/>
    </row>
    <row r="1212" spans="2:23" x14ac:dyDescent="0.55000000000000004">
      <c r="B1212" s="3"/>
      <c r="C1212" s="4"/>
      <c r="D1212" s="4"/>
      <c r="E1212" s="5"/>
      <c r="F1212" s="4"/>
      <c r="G1212" s="4"/>
      <c r="H1212" s="4"/>
      <c r="I1212" s="4"/>
      <c r="J1212" s="4"/>
      <c r="K1212" s="6"/>
      <c r="L1212" s="6"/>
      <c r="M1212" s="6"/>
      <c r="N1212" s="6"/>
      <c r="O1212" s="4"/>
      <c r="P1212" s="3"/>
      <c r="Q1212" s="8"/>
      <c r="R1212" s="8"/>
      <c r="S1212" s="9"/>
      <c r="T1212" s="8"/>
      <c r="U1212" s="8"/>
      <c r="W1212" s="8"/>
    </row>
    <row r="1213" spans="2:23" x14ac:dyDescent="0.55000000000000004">
      <c r="B1213" s="3"/>
      <c r="C1213" s="4"/>
      <c r="D1213" s="4"/>
      <c r="E1213" s="5"/>
      <c r="F1213" s="4"/>
      <c r="G1213" s="4"/>
      <c r="H1213" s="4"/>
      <c r="I1213" s="4"/>
      <c r="J1213" s="4"/>
      <c r="K1213" s="6"/>
      <c r="L1213" s="6"/>
      <c r="M1213" s="6"/>
      <c r="N1213" s="6"/>
      <c r="O1213" s="4"/>
      <c r="P1213" s="3"/>
      <c r="Q1213" s="8"/>
      <c r="R1213" s="8"/>
      <c r="S1213" s="9"/>
      <c r="T1213" s="8"/>
      <c r="U1213" s="8"/>
      <c r="W1213" s="8"/>
    </row>
    <row r="1214" spans="2:23" x14ac:dyDescent="0.55000000000000004">
      <c r="B1214" s="3"/>
      <c r="C1214" s="4"/>
      <c r="D1214" s="4"/>
      <c r="E1214" s="5"/>
      <c r="F1214" s="4"/>
      <c r="G1214" s="4"/>
      <c r="H1214" s="4"/>
      <c r="I1214" s="4"/>
      <c r="J1214" s="4"/>
      <c r="K1214" s="6"/>
      <c r="L1214" s="6"/>
      <c r="M1214" s="6"/>
      <c r="N1214" s="6"/>
      <c r="O1214" s="4"/>
      <c r="P1214" s="3"/>
      <c r="Q1214" s="8"/>
      <c r="R1214" s="8"/>
      <c r="S1214" s="9"/>
      <c r="T1214" s="8"/>
      <c r="U1214" s="8"/>
      <c r="W1214" s="8"/>
    </row>
    <row r="1215" spans="2:23" x14ac:dyDescent="0.55000000000000004">
      <c r="B1215" s="3"/>
      <c r="C1215" s="4"/>
      <c r="D1215" s="4"/>
      <c r="E1215" s="5"/>
      <c r="F1215" s="4"/>
      <c r="G1215" s="4"/>
      <c r="H1215" s="4"/>
      <c r="I1215" s="4"/>
      <c r="J1215" s="4"/>
      <c r="K1215" s="6"/>
      <c r="L1215" s="6"/>
      <c r="M1215" s="6"/>
      <c r="N1215" s="6"/>
      <c r="O1215" s="4"/>
      <c r="P1215" s="3"/>
      <c r="Q1215" s="8"/>
      <c r="R1215" s="8"/>
      <c r="S1215" s="9"/>
      <c r="T1215" s="8"/>
      <c r="U1215" s="8"/>
      <c r="W1215" s="8"/>
    </row>
    <row r="1216" spans="2:23" x14ac:dyDescent="0.55000000000000004">
      <c r="B1216" s="3"/>
      <c r="C1216" s="4"/>
      <c r="D1216" s="4"/>
      <c r="E1216" s="5"/>
      <c r="F1216" s="4"/>
      <c r="G1216" s="4"/>
      <c r="H1216" s="4"/>
      <c r="I1216" s="4"/>
      <c r="J1216" s="4"/>
      <c r="K1216" s="6"/>
      <c r="L1216" s="6"/>
      <c r="M1216" s="6"/>
      <c r="N1216" s="6"/>
      <c r="O1216" s="4"/>
      <c r="P1216" s="3"/>
      <c r="Q1216" s="8"/>
      <c r="R1216" s="8"/>
      <c r="S1216" s="9"/>
      <c r="T1216" s="8"/>
      <c r="U1216" s="8"/>
      <c r="W1216" s="8"/>
    </row>
    <row r="1217" spans="2:23" x14ac:dyDescent="0.55000000000000004">
      <c r="B1217" s="3"/>
      <c r="C1217" s="4"/>
      <c r="D1217" s="4"/>
      <c r="E1217" s="5"/>
      <c r="F1217" s="4"/>
      <c r="G1217" s="4"/>
      <c r="H1217" s="4"/>
      <c r="I1217" s="4"/>
      <c r="J1217" s="4"/>
      <c r="K1217" s="6"/>
      <c r="L1217" s="6"/>
      <c r="M1217" s="6"/>
      <c r="N1217" s="6"/>
      <c r="O1217" s="4"/>
      <c r="P1217" s="3"/>
      <c r="Q1217" s="8"/>
      <c r="R1217" s="8"/>
      <c r="S1217" s="9"/>
      <c r="T1217" s="8"/>
      <c r="U1217" s="8"/>
      <c r="W1217" s="8"/>
    </row>
    <row r="1218" spans="2:23" x14ac:dyDescent="0.55000000000000004">
      <c r="B1218" s="3"/>
      <c r="C1218" s="4"/>
      <c r="D1218" s="4"/>
      <c r="E1218" s="5"/>
      <c r="F1218" s="4"/>
      <c r="G1218" s="4"/>
      <c r="H1218" s="4"/>
      <c r="I1218" s="4"/>
      <c r="J1218" s="4"/>
      <c r="K1218" s="6"/>
      <c r="L1218" s="6"/>
      <c r="M1218" s="6"/>
      <c r="N1218" s="6"/>
      <c r="O1218" s="4"/>
      <c r="P1218" s="3"/>
      <c r="Q1218" s="8"/>
      <c r="R1218" s="8"/>
      <c r="S1218" s="9"/>
      <c r="T1218" s="8"/>
      <c r="U1218" s="8"/>
      <c r="W1218" s="8"/>
    </row>
    <row r="1219" spans="2:23" x14ac:dyDescent="0.55000000000000004">
      <c r="B1219" s="3"/>
      <c r="C1219" s="4"/>
      <c r="D1219" s="4"/>
      <c r="E1219" s="5"/>
      <c r="F1219" s="4"/>
      <c r="G1219" s="4"/>
      <c r="H1219" s="4"/>
      <c r="I1219" s="4"/>
      <c r="J1219" s="4"/>
      <c r="K1219" s="6"/>
      <c r="L1219" s="6"/>
      <c r="M1219" s="6"/>
      <c r="N1219" s="6"/>
      <c r="O1219" s="4"/>
      <c r="P1219" s="3"/>
      <c r="Q1219" s="8"/>
      <c r="R1219" s="8"/>
      <c r="S1219" s="9"/>
      <c r="T1219" s="8"/>
      <c r="U1219" s="8"/>
      <c r="W1219" s="8"/>
    </row>
    <row r="1220" spans="2:23" x14ac:dyDescent="0.55000000000000004">
      <c r="B1220" s="3"/>
      <c r="C1220" s="4"/>
      <c r="D1220" s="4"/>
      <c r="E1220" s="5"/>
      <c r="F1220" s="4"/>
      <c r="G1220" s="4"/>
      <c r="H1220" s="4"/>
      <c r="I1220" s="4"/>
      <c r="J1220" s="4"/>
      <c r="K1220" s="6"/>
      <c r="L1220" s="6"/>
      <c r="M1220" s="6"/>
      <c r="N1220" s="6"/>
      <c r="O1220" s="4"/>
      <c r="P1220" s="3"/>
      <c r="Q1220" s="8"/>
      <c r="R1220" s="8"/>
      <c r="S1220" s="9"/>
      <c r="T1220" s="8"/>
      <c r="U1220" s="8"/>
      <c r="W1220" s="8"/>
    </row>
    <row r="1221" spans="2:23" x14ac:dyDescent="0.55000000000000004">
      <c r="B1221" s="3"/>
      <c r="C1221" s="4"/>
      <c r="D1221" s="4"/>
      <c r="E1221" s="5"/>
      <c r="F1221" s="4"/>
      <c r="G1221" s="4"/>
      <c r="H1221" s="4"/>
      <c r="I1221" s="4"/>
      <c r="J1221" s="4"/>
      <c r="K1221" s="6"/>
      <c r="L1221" s="6"/>
      <c r="M1221" s="6"/>
      <c r="N1221" s="6"/>
      <c r="O1221" s="4"/>
      <c r="P1221" s="3"/>
      <c r="Q1221" s="8"/>
      <c r="R1221" s="8"/>
      <c r="S1221" s="9"/>
      <c r="T1221" s="8"/>
      <c r="U1221" s="8"/>
      <c r="W1221" s="8"/>
    </row>
    <row r="1222" spans="2:23" x14ac:dyDescent="0.55000000000000004">
      <c r="B1222" s="3"/>
      <c r="C1222" s="4"/>
      <c r="D1222" s="4"/>
      <c r="E1222" s="5"/>
      <c r="F1222" s="4"/>
      <c r="G1222" s="4"/>
      <c r="H1222" s="4"/>
      <c r="I1222" s="4"/>
      <c r="J1222" s="4"/>
      <c r="K1222" s="6"/>
      <c r="L1222" s="6"/>
      <c r="M1222" s="6"/>
      <c r="N1222" s="6"/>
      <c r="O1222" s="4"/>
      <c r="P1222" s="3"/>
      <c r="Q1222" s="8"/>
      <c r="R1222" s="8"/>
      <c r="S1222" s="9"/>
      <c r="T1222" s="8"/>
      <c r="U1222" s="8"/>
      <c r="W1222" s="8"/>
    </row>
    <row r="1223" spans="2:23" x14ac:dyDescent="0.55000000000000004">
      <c r="B1223" s="3"/>
      <c r="C1223" s="4"/>
      <c r="D1223" s="4"/>
      <c r="E1223" s="5"/>
      <c r="F1223" s="4"/>
      <c r="G1223" s="4"/>
      <c r="H1223" s="4"/>
      <c r="I1223" s="4"/>
      <c r="J1223" s="4"/>
      <c r="K1223" s="6"/>
      <c r="L1223" s="6"/>
      <c r="M1223" s="6"/>
      <c r="N1223" s="6"/>
      <c r="O1223" s="4"/>
      <c r="P1223" s="3"/>
      <c r="Q1223" s="8"/>
      <c r="R1223" s="8"/>
      <c r="S1223" s="9"/>
      <c r="T1223" s="8"/>
      <c r="U1223" s="8"/>
      <c r="W1223" s="8"/>
    </row>
    <row r="1224" spans="2:23" x14ac:dyDescent="0.55000000000000004">
      <c r="B1224" s="3"/>
      <c r="C1224" s="4"/>
      <c r="D1224" s="4"/>
      <c r="E1224" s="5"/>
      <c r="F1224" s="4"/>
      <c r="G1224" s="4"/>
      <c r="H1224" s="4"/>
      <c r="I1224" s="4"/>
      <c r="J1224" s="4"/>
      <c r="K1224" s="6"/>
      <c r="L1224" s="6"/>
      <c r="M1224" s="6"/>
      <c r="N1224" s="6"/>
      <c r="O1224" s="4"/>
      <c r="P1224" s="3"/>
      <c r="Q1224" s="8"/>
      <c r="R1224" s="8"/>
      <c r="S1224" s="9"/>
      <c r="T1224" s="8"/>
      <c r="U1224" s="8"/>
      <c r="W1224" s="8"/>
    </row>
    <row r="1225" spans="2:23" x14ac:dyDescent="0.55000000000000004">
      <c r="B1225" s="3"/>
      <c r="C1225" s="4"/>
      <c r="D1225" s="4"/>
      <c r="E1225" s="5"/>
      <c r="F1225" s="4"/>
      <c r="G1225" s="4"/>
      <c r="H1225" s="4"/>
      <c r="I1225" s="4"/>
      <c r="J1225" s="4"/>
      <c r="K1225" s="6"/>
      <c r="L1225" s="6"/>
      <c r="M1225" s="6"/>
      <c r="N1225" s="6"/>
      <c r="O1225" s="4"/>
      <c r="P1225" s="3"/>
      <c r="Q1225" s="8"/>
      <c r="R1225" s="8"/>
      <c r="S1225" s="9"/>
      <c r="T1225" s="8"/>
      <c r="U1225" s="8"/>
      <c r="W1225" s="8"/>
    </row>
    <row r="1226" spans="2:23" x14ac:dyDescent="0.55000000000000004">
      <c r="B1226" s="3"/>
      <c r="C1226" s="4"/>
      <c r="D1226" s="4"/>
      <c r="E1226" s="5"/>
      <c r="F1226" s="4"/>
      <c r="G1226" s="4"/>
      <c r="H1226" s="4"/>
      <c r="I1226" s="4"/>
      <c r="J1226" s="4"/>
      <c r="K1226" s="6"/>
      <c r="L1226" s="6"/>
      <c r="M1226" s="6"/>
      <c r="N1226" s="6"/>
      <c r="O1226" s="4"/>
      <c r="P1226" s="3"/>
      <c r="Q1226" s="8"/>
      <c r="R1226" s="8"/>
      <c r="S1226" s="9"/>
      <c r="T1226" s="8"/>
      <c r="U1226" s="8"/>
      <c r="W1226" s="8"/>
    </row>
    <row r="1227" spans="2:23" x14ac:dyDescent="0.55000000000000004">
      <c r="B1227" s="3"/>
      <c r="C1227" s="4"/>
      <c r="D1227" s="4"/>
      <c r="E1227" s="5"/>
      <c r="F1227" s="4"/>
      <c r="G1227" s="4"/>
      <c r="H1227" s="4"/>
      <c r="I1227" s="4"/>
      <c r="J1227" s="4"/>
      <c r="K1227" s="6"/>
      <c r="L1227" s="6"/>
      <c r="M1227" s="6"/>
      <c r="N1227" s="6"/>
      <c r="O1227" s="4"/>
      <c r="P1227" s="3"/>
      <c r="Q1227" s="8"/>
      <c r="R1227" s="8"/>
      <c r="S1227" s="9"/>
      <c r="T1227" s="8"/>
      <c r="U1227" s="8"/>
      <c r="W1227" s="8"/>
    </row>
    <row r="1228" spans="2:23" x14ac:dyDescent="0.55000000000000004">
      <c r="B1228" s="3"/>
      <c r="C1228" s="4"/>
      <c r="D1228" s="4"/>
      <c r="E1228" s="5"/>
      <c r="F1228" s="4"/>
      <c r="G1228" s="4"/>
      <c r="H1228" s="4"/>
      <c r="I1228" s="4"/>
      <c r="J1228" s="4"/>
      <c r="K1228" s="6"/>
      <c r="L1228" s="6"/>
      <c r="M1228" s="6"/>
      <c r="N1228" s="6"/>
      <c r="O1228" s="4"/>
      <c r="P1228" s="3"/>
      <c r="Q1228" s="8"/>
      <c r="R1228" s="8"/>
      <c r="S1228" s="9"/>
      <c r="T1228" s="8"/>
      <c r="U1228" s="8"/>
      <c r="W1228" s="8"/>
    </row>
    <row r="1229" spans="2:23" x14ac:dyDescent="0.55000000000000004">
      <c r="B1229" s="3"/>
      <c r="C1229" s="4"/>
      <c r="D1229" s="4"/>
      <c r="E1229" s="5"/>
      <c r="F1229" s="4"/>
      <c r="G1229" s="4"/>
      <c r="H1229" s="4"/>
      <c r="I1229" s="4"/>
      <c r="J1229" s="4"/>
      <c r="K1229" s="6"/>
      <c r="L1229" s="6"/>
      <c r="M1229" s="6"/>
      <c r="N1229" s="6"/>
      <c r="O1229" s="4"/>
      <c r="P1229" s="3"/>
      <c r="Q1229" s="8"/>
      <c r="R1229" s="8"/>
      <c r="S1229" s="9"/>
      <c r="T1229" s="8"/>
      <c r="U1229" s="8"/>
      <c r="W1229" s="8"/>
    </row>
    <row r="1230" spans="2:23" x14ac:dyDescent="0.55000000000000004">
      <c r="B1230" s="3"/>
      <c r="C1230" s="4"/>
      <c r="D1230" s="4"/>
      <c r="E1230" s="5"/>
      <c r="F1230" s="4"/>
      <c r="G1230" s="4"/>
      <c r="H1230" s="4"/>
      <c r="I1230" s="4"/>
      <c r="J1230" s="4"/>
      <c r="K1230" s="6"/>
      <c r="L1230" s="6"/>
      <c r="M1230" s="6"/>
      <c r="N1230" s="6"/>
      <c r="O1230" s="4"/>
      <c r="P1230" s="3"/>
      <c r="Q1230" s="8"/>
      <c r="R1230" s="8"/>
      <c r="S1230" s="9"/>
      <c r="T1230" s="8"/>
      <c r="U1230" s="8"/>
      <c r="W1230" s="8"/>
    </row>
    <row r="1231" spans="2:23" x14ac:dyDescent="0.55000000000000004">
      <c r="B1231" s="3"/>
      <c r="C1231" s="4"/>
      <c r="D1231" s="4"/>
      <c r="E1231" s="5"/>
      <c r="F1231" s="4"/>
      <c r="G1231" s="4"/>
      <c r="H1231" s="4"/>
      <c r="I1231" s="4"/>
      <c r="J1231" s="4"/>
      <c r="K1231" s="6"/>
      <c r="L1231" s="6"/>
      <c r="M1231" s="6"/>
      <c r="N1231" s="6"/>
      <c r="O1231" s="4"/>
      <c r="P1231" s="3"/>
      <c r="Q1231" s="8"/>
      <c r="R1231" s="8"/>
      <c r="S1231" s="9"/>
      <c r="T1231" s="8"/>
      <c r="U1231" s="8"/>
      <c r="W1231" s="8"/>
    </row>
    <row r="1232" spans="2:23" x14ac:dyDescent="0.55000000000000004">
      <c r="B1232" s="3"/>
      <c r="C1232" s="4"/>
      <c r="D1232" s="4"/>
      <c r="E1232" s="5"/>
      <c r="F1232" s="4"/>
      <c r="G1232" s="4"/>
      <c r="H1232" s="4"/>
      <c r="I1232" s="4"/>
      <c r="J1232" s="4"/>
      <c r="K1232" s="6"/>
      <c r="L1232" s="6"/>
      <c r="M1232" s="6"/>
      <c r="N1232" s="6"/>
      <c r="O1232" s="4"/>
      <c r="P1232" s="3"/>
      <c r="Q1232" s="8"/>
      <c r="R1232" s="8"/>
      <c r="S1232" s="9"/>
      <c r="T1232" s="8"/>
      <c r="U1232" s="8"/>
      <c r="W1232" s="8"/>
    </row>
    <row r="1233" spans="2:23" x14ac:dyDescent="0.55000000000000004">
      <c r="B1233" s="3"/>
      <c r="C1233" s="4"/>
      <c r="D1233" s="4"/>
      <c r="E1233" s="5"/>
      <c r="F1233" s="4"/>
      <c r="G1233" s="4"/>
      <c r="H1233" s="4"/>
      <c r="I1233" s="4"/>
      <c r="J1233" s="4"/>
      <c r="K1233" s="6"/>
      <c r="L1233" s="6"/>
      <c r="M1233" s="6"/>
      <c r="N1233" s="6"/>
      <c r="O1233" s="4"/>
      <c r="P1233" s="3"/>
      <c r="Q1233" s="8"/>
      <c r="R1233" s="8"/>
      <c r="S1233" s="9"/>
      <c r="T1233" s="8"/>
      <c r="U1233" s="8"/>
      <c r="W1233" s="8"/>
    </row>
    <row r="1234" spans="2:23" x14ac:dyDescent="0.55000000000000004">
      <c r="B1234" s="3"/>
      <c r="C1234" s="4"/>
      <c r="D1234" s="4"/>
      <c r="E1234" s="5"/>
      <c r="F1234" s="4"/>
      <c r="G1234" s="4"/>
      <c r="H1234" s="4"/>
      <c r="I1234" s="4"/>
      <c r="J1234" s="4"/>
      <c r="K1234" s="6"/>
      <c r="L1234" s="6"/>
      <c r="M1234" s="6"/>
      <c r="N1234" s="6"/>
      <c r="O1234" s="4"/>
      <c r="P1234" s="3"/>
      <c r="Q1234" s="8"/>
      <c r="R1234" s="8"/>
      <c r="S1234" s="9"/>
      <c r="T1234" s="8"/>
      <c r="U1234" s="8"/>
      <c r="W1234" s="8"/>
    </row>
    <row r="1235" spans="2:23" x14ac:dyDescent="0.55000000000000004">
      <c r="B1235" s="3"/>
      <c r="C1235" s="4"/>
      <c r="D1235" s="4"/>
      <c r="E1235" s="5"/>
      <c r="F1235" s="4"/>
      <c r="G1235" s="4"/>
      <c r="H1235" s="4"/>
      <c r="I1235" s="4"/>
      <c r="J1235" s="4"/>
      <c r="K1235" s="6"/>
      <c r="L1235" s="6"/>
      <c r="M1235" s="6"/>
      <c r="N1235" s="6"/>
      <c r="O1235" s="4"/>
      <c r="P1235" s="3"/>
      <c r="Q1235" s="8"/>
      <c r="R1235" s="8"/>
      <c r="S1235" s="9"/>
      <c r="T1235" s="8"/>
      <c r="U1235" s="8"/>
      <c r="W1235" s="8"/>
    </row>
    <row r="1236" spans="2:23" x14ac:dyDescent="0.55000000000000004">
      <c r="B1236" s="3"/>
      <c r="C1236" s="4"/>
      <c r="D1236" s="4"/>
      <c r="E1236" s="5"/>
      <c r="F1236" s="4"/>
      <c r="G1236" s="4"/>
      <c r="H1236" s="4"/>
      <c r="I1236" s="4"/>
      <c r="J1236" s="4"/>
      <c r="K1236" s="6"/>
      <c r="L1236" s="6"/>
      <c r="M1236" s="6"/>
      <c r="N1236" s="6"/>
      <c r="O1236" s="4"/>
      <c r="P1236" s="3"/>
      <c r="Q1236" s="8"/>
      <c r="R1236" s="8"/>
      <c r="S1236" s="9"/>
      <c r="T1236" s="8"/>
      <c r="U1236" s="8"/>
      <c r="W1236" s="8"/>
    </row>
    <row r="1237" spans="2:23" x14ac:dyDescent="0.55000000000000004">
      <c r="B1237" s="3"/>
      <c r="C1237" s="4"/>
      <c r="D1237" s="4"/>
      <c r="E1237" s="5"/>
      <c r="F1237" s="4"/>
      <c r="G1237" s="4"/>
      <c r="H1237" s="4"/>
      <c r="I1237" s="4"/>
      <c r="J1237" s="4"/>
      <c r="K1237" s="6"/>
      <c r="L1237" s="6"/>
      <c r="M1237" s="6"/>
      <c r="N1237" s="6"/>
      <c r="O1237" s="4"/>
      <c r="P1237" s="3"/>
      <c r="Q1237" s="8"/>
      <c r="R1237" s="8"/>
      <c r="S1237" s="9"/>
      <c r="T1237" s="8"/>
      <c r="U1237" s="8"/>
      <c r="W1237" s="8"/>
    </row>
    <row r="1238" spans="2:23" x14ac:dyDescent="0.55000000000000004">
      <c r="B1238" s="3"/>
      <c r="C1238" s="4"/>
      <c r="D1238" s="4"/>
      <c r="E1238" s="5"/>
      <c r="F1238" s="4"/>
      <c r="G1238" s="4"/>
      <c r="H1238" s="4"/>
      <c r="I1238" s="4"/>
      <c r="J1238" s="4"/>
      <c r="K1238" s="6"/>
      <c r="L1238" s="6"/>
      <c r="M1238" s="6"/>
      <c r="N1238" s="6"/>
      <c r="O1238" s="4"/>
      <c r="P1238" s="3"/>
      <c r="Q1238" s="8"/>
      <c r="R1238" s="8"/>
      <c r="S1238" s="9"/>
      <c r="T1238" s="8"/>
      <c r="U1238" s="8"/>
      <c r="W1238" s="8"/>
    </row>
    <row r="1239" spans="2:23" x14ac:dyDescent="0.55000000000000004">
      <c r="B1239" s="3"/>
      <c r="C1239" s="4"/>
      <c r="D1239" s="4"/>
      <c r="E1239" s="5"/>
      <c r="F1239" s="4"/>
      <c r="G1239" s="4"/>
      <c r="H1239" s="4"/>
      <c r="I1239" s="4"/>
      <c r="J1239" s="4"/>
      <c r="K1239" s="6"/>
      <c r="L1239" s="6"/>
      <c r="M1239" s="6"/>
      <c r="N1239" s="6"/>
      <c r="O1239" s="4"/>
      <c r="P1239" s="3"/>
      <c r="Q1239" s="8"/>
      <c r="R1239" s="8"/>
      <c r="S1239" s="9"/>
      <c r="T1239" s="8"/>
      <c r="U1239" s="8"/>
      <c r="W1239" s="8"/>
    </row>
    <row r="1240" spans="2:23" x14ac:dyDescent="0.55000000000000004">
      <c r="B1240" s="3"/>
      <c r="C1240" s="4"/>
      <c r="D1240" s="4"/>
      <c r="E1240" s="5"/>
      <c r="F1240" s="4"/>
      <c r="G1240" s="4"/>
      <c r="H1240" s="4"/>
      <c r="I1240" s="4"/>
      <c r="J1240" s="4"/>
      <c r="K1240" s="6"/>
      <c r="L1240" s="6"/>
      <c r="M1240" s="6"/>
      <c r="N1240" s="6"/>
      <c r="O1240" s="4"/>
      <c r="P1240" s="3"/>
      <c r="Q1240" s="8"/>
      <c r="R1240" s="8"/>
      <c r="S1240" s="9"/>
      <c r="T1240" s="8"/>
      <c r="U1240" s="8"/>
      <c r="W1240" s="8"/>
    </row>
    <row r="1241" spans="2:23" x14ac:dyDescent="0.55000000000000004">
      <c r="B1241" s="3"/>
      <c r="C1241" s="4"/>
      <c r="D1241" s="4"/>
      <c r="E1241" s="5"/>
      <c r="F1241" s="4"/>
      <c r="G1241" s="4"/>
      <c r="H1241" s="4"/>
      <c r="I1241" s="4"/>
      <c r="J1241" s="4"/>
      <c r="K1241" s="6"/>
      <c r="L1241" s="6"/>
      <c r="M1241" s="6"/>
      <c r="N1241" s="6"/>
      <c r="O1241" s="4"/>
      <c r="P1241" s="3"/>
      <c r="Q1241" s="8"/>
      <c r="R1241" s="8"/>
      <c r="S1241" s="9"/>
      <c r="T1241" s="8"/>
      <c r="U1241" s="8"/>
      <c r="W1241" s="8"/>
    </row>
    <row r="1242" spans="2:23" x14ac:dyDescent="0.55000000000000004">
      <c r="B1242" s="3"/>
      <c r="C1242" s="4"/>
      <c r="D1242" s="4"/>
      <c r="E1242" s="5"/>
      <c r="F1242" s="4"/>
      <c r="G1242" s="4"/>
      <c r="H1242" s="4"/>
      <c r="I1242" s="4"/>
      <c r="J1242" s="4"/>
      <c r="K1242" s="6"/>
      <c r="L1242" s="6"/>
      <c r="M1242" s="6"/>
      <c r="N1242" s="6"/>
      <c r="O1242" s="4"/>
      <c r="P1242" s="3"/>
      <c r="Q1242" s="8"/>
      <c r="R1242" s="8"/>
      <c r="S1242" s="9"/>
      <c r="T1242" s="8"/>
      <c r="U1242" s="8"/>
      <c r="W1242" s="8"/>
    </row>
    <row r="1243" spans="2:23" x14ac:dyDescent="0.55000000000000004">
      <c r="B1243" s="3"/>
      <c r="C1243" s="4"/>
      <c r="D1243" s="4"/>
      <c r="E1243" s="5"/>
      <c r="F1243" s="4"/>
      <c r="G1243" s="4"/>
      <c r="H1243" s="4"/>
      <c r="I1243" s="4"/>
      <c r="J1243" s="4"/>
      <c r="K1243" s="6"/>
      <c r="L1243" s="6"/>
      <c r="M1243" s="6"/>
      <c r="N1243" s="6"/>
      <c r="O1243" s="4"/>
      <c r="P1243" s="3"/>
      <c r="Q1243" s="8"/>
      <c r="R1243" s="8"/>
      <c r="S1243" s="9"/>
      <c r="T1243" s="8"/>
      <c r="U1243" s="8"/>
      <c r="W1243" s="8"/>
    </row>
    <row r="1244" spans="2:23" x14ac:dyDescent="0.55000000000000004">
      <c r="B1244" s="3"/>
      <c r="C1244" s="4"/>
      <c r="D1244" s="4"/>
      <c r="E1244" s="5"/>
      <c r="F1244" s="4"/>
      <c r="G1244" s="4"/>
      <c r="H1244" s="4"/>
      <c r="I1244" s="4"/>
      <c r="J1244" s="4"/>
      <c r="K1244" s="6"/>
      <c r="L1244" s="6"/>
      <c r="M1244" s="6"/>
      <c r="N1244" s="6"/>
      <c r="O1244" s="4"/>
      <c r="P1244" s="3"/>
      <c r="Q1244" s="8"/>
      <c r="R1244" s="8"/>
      <c r="S1244" s="9"/>
      <c r="T1244" s="8"/>
      <c r="U1244" s="8"/>
      <c r="W1244" s="8"/>
    </row>
    <row r="1245" spans="2:23" x14ac:dyDescent="0.55000000000000004">
      <c r="B1245" s="3"/>
      <c r="C1245" s="4"/>
      <c r="D1245" s="4"/>
      <c r="E1245" s="5"/>
      <c r="F1245" s="4"/>
      <c r="G1245" s="4"/>
      <c r="H1245" s="4"/>
      <c r="I1245" s="4"/>
      <c r="J1245" s="4"/>
      <c r="K1245" s="6"/>
      <c r="L1245" s="6"/>
      <c r="M1245" s="6"/>
      <c r="N1245" s="6"/>
      <c r="O1245" s="4"/>
      <c r="P1245" s="3"/>
      <c r="Q1245" s="8"/>
      <c r="R1245" s="8"/>
      <c r="S1245" s="9"/>
      <c r="T1245" s="8"/>
      <c r="U1245" s="8"/>
      <c r="W1245" s="8"/>
    </row>
    <row r="1246" spans="2:23" x14ac:dyDescent="0.55000000000000004">
      <c r="B1246" s="3"/>
      <c r="C1246" s="4"/>
      <c r="D1246" s="4"/>
      <c r="E1246" s="5"/>
      <c r="F1246" s="4"/>
      <c r="G1246" s="4"/>
      <c r="H1246" s="4"/>
      <c r="I1246" s="4"/>
      <c r="J1246" s="4"/>
      <c r="K1246" s="6"/>
      <c r="L1246" s="6"/>
      <c r="M1246" s="6"/>
      <c r="N1246" s="6"/>
      <c r="O1246" s="4"/>
      <c r="P1246" s="3"/>
      <c r="Q1246" s="8"/>
      <c r="R1246" s="8"/>
      <c r="S1246" s="9"/>
      <c r="T1246" s="8"/>
      <c r="U1246" s="8"/>
      <c r="W1246" s="8"/>
    </row>
    <row r="1247" spans="2:23" x14ac:dyDescent="0.55000000000000004">
      <c r="B1247" s="3"/>
      <c r="C1247" s="4"/>
      <c r="D1247" s="4"/>
      <c r="E1247" s="5"/>
      <c r="F1247" s="4"/>
      <c r="G1247" s="4"/>
      <c r="H1247" s="4"/>
      <c r="I1247" s="4"/>
      <c r="J1247" s="4"/>
      <c r="K1247" s="6"/>
      <c r="L1247" s="6"/>
      <c r="M1247" s="6"/>
      <c r="N1247" s="6"/>
      <c r="O1247" s="4"/>
      <c r="P1247" s="3"/>
      <c r="Q1247" s="8"/>
      <c r="R1247" s="8"/>
      <c r="S1247" s="9"/>
      <c r="T1247" s="8"/>
      <c r="U1247" s="8"/>
      <c r="W1247" s="8"/>
    </row>
    <row r="1248" spans="2:23" x14ac:dyDescent="0.55000000000000004">
      <c r="B1248" s="3"/>
      <c r="C1248" s="4"/>
      <c r="D1248" s="4"/>
      <c r="E1248" s="5"/>
      <c r="F1248" s="4"/>
      <c r="G1248" s="4"/>
      <c r="H1248" s="4"/>
      <c r="I1248" s="4"/>
      <c r="J1248" s="4"/>
      <c r="K1248" s="6"/>
      <c r="L1248" s="6"/>
      <c r="M1248" s="6"/>
      <c r="N1248" s="6"/>
      <c r="O1248" s="4"/>
      <c r="P1248" s="3"/>
      <c r="Q1248" s="8"/>
      <c r="R1248" s="8"/>
      <c r="S1248" s="9"/>
      <c r="T1248" s="8"/>
      <c r="U1248" s="8"/>
      <c r="W1248" s="8"/>
    </row>
    <row r="1249" spans="2:23" x14ac:dyDescent="0.55000000000000004">
      <c r="B1249" s="3"/>
      <c r="C1249" s="4"/>
      <c r="D1249" s="4"/>
      <c r="E1249" s="5"/>
      <c r="F1249" s="4"/>
      <c r="G1249" s="4"/>
      <c r="H1249" s="4"/>
      <c r="I1249" s="4"/>
      <c r="J1249" s="4"/>
      <c r="K1249" s="6"/>
      <c r="L1249" s="6"/>
      <c r="M1249" s="6"/>
      <c r="N1249" s="6"/>
      <c r="O1249" s="4"/>
      <c r="P1249" s="3"/>
      <c r="Q1249" s="8"/>
      <c r="R1249" s="8"/>
      <c r="S1249" s="9"/>
      <c r="T1249" s="8"/>
      <c r="U1249" s="8"/>
      <c r="W1249" s="8"/>
    </row>
    <row r="1250" spans="2:23" x14ac:dyDescent="0.55000000000000004">
      <c r="B1250" s="3"/>
      <c r="C1250" s="4"/>
      <c r="D1250" s="4"/>
      <c r="E1250" s="5"/>
      <c r="F1250" s="4"/>
      <c r="G1250" s="4"/>
      <c r="H1250" s="4"/>
      <c r="I1250" s="4"/>
      <c r="J1250" s="4"/>
      <c r="K1250" s="6"/>
      <c r="L1250" s="6"/>
      <c r="M1250" s="6"/>
      <c r="N1250" s="6"/>
      <c r="O1250" s="4"/>
      <c r="P1250" s="3"/>
      <c r="Q1250" s="8"/>
      <c r="R1250" s="8"/>
      <c r="S1250" s="9"/>
      <c r="T1250" s="8"/>
      <c r="U1250" s="8"/>
      <c r="W1250" s="8"/>
    </row>
    <row r="1251" spans="2:23" x14ac:dyDescent="0.55000000000000004">
      <c r="B1251" s="3"/>
      <c r="C1251" s="4"/>
      <c r="D1251" s="4"/>
      <c r="E1251" s="5"/>
      <c r="F1251" s="4"/>
      <c r="G1251" s="4"/>
      <c r="H1251" s="4"/>
      <c r="I1251" s="4"/>
      <c r="J1251" s="4"/>
      <c r="K1251" s="6"/>
      <c r="L1251" s="6"/>
      <c r="M1251" s="6"/>
      <c r="N1251" s="6"/>
      <c r="O1251" s="4"/>
      <c r="P1251" s="3"/>
      <c r="Q1251" s="8"/>
      <c r="R1251" s="8"/>
      <c r="S1251" s="9"/>
      <c r="T1251" s="8"/>
      <c r="U1251" s="8"/>
      <c r="W1251" s="8"/>
    </row>
    <row r="1252" spans="2:23" x14ac:dyDescent="0.55000000000000004">
      <c r="B1252" s="3"/>
      <c r="C1252" s="4"/>
      <c r="D1252" s="4"/>
      <c r="E1252" s="5"/>
      <c r="F1252" s="4"/>
      <c r="G1252" s="4"/>
      <c r="H1252" s="4"/>
      <c r="I1252" s="4"/>
      <c r="J1252" s="4"/>
      <c r="K1252" s="6"/>
      <c r="L1252" s="6"/>
      <c r="M1252" s="6"/>
      <c r="N1252" s="6"/>
      <c r="O1252" s="4"/>
      <c r="P1252" s="3"/>
      <c r="Q1252" s="8"/>
      <c r="R1252" s="8"/>
      <c r="S1252" s="9"/>
      <c r="T1252" s="8"/>
      <c r="U1252" s="8"/>
      <c r="W1252" s="8"/>
    </row>
    <row r="1253" spans="2:23" x14ac:dyDescent="0.55000000000000004">
      <c r="B1253" s="3"/>
      <c r="C1253" s="4"/>
      <c r="D1253" s="4"/>
      <c r="E1253" s="5"/>
      <c r="F1253" s="4"/>
      <c r="G1253" s="4"/>
      <c r="H1253" s="4"/>
      <c r="I1253" s="4"/>
      <c r="J1253" s="4"/>
      <c r="K1253" s="6"/>
      <c r="L1253" s="6"/>
      <c r="M1253" s="6"/>
      <c r="N1253" s="6"/>
      <c r="O1253" s="4"/>
      <c r="P1253" s="3"/>
      <c r="Q1253" s="8"/>
      <c r="R1253" s="8"/>
      <c r="S1253" s="9"/>
      <c r="T1253" s="8"/>
      <c r="U1253" s="8"/>
      <c r="W1253" s="8"/>
    </row>
    <row r="1254" spans="2:23" x14ac:dyDescent="0.55000000000000004">
      <c r="B1254" s="3"/>
      <c r="C1254" s="4"/>
      <c r="D1254" s="4"/>
      <c r="E1254" s="5"/>
      <c r="F1254" s="4"/>
      <c r="G1254" s="4"/>
      <c r="H1254" s="4"/>
      <c r="I1254" s="4"/>
      <c r="J1254" s="4"/>
      <c r="K1254" s="6"/>
      <c r="L1254" s="6"/>
      <c r="M1254" s="6"/>
      <c r="N1254" s="6"/>
      <c r="O1254" s="4"/>
      <c r="P1254" s="3"/>
      <c r="Q1254" s="8"/>
      <c r="R1254" s="8"/>
      <c r="S1254" s="9"/>
      <c r="T1254" s="8"/>
      <c r="U1254" s="8"/>
      <c r="W1254" s="8"/>
    </row>
    <row r="1255" spans="2:23" x14ac:dyDescent="0.55000000000000004">
      <c r="B1255" s="3"/>
      <c r="C1255" s="4"/>
      <c r="D1255" s="4"/>
      <c r="E1255" s="5"/>
      <c r="F1255" s="4"/>
      <c r="G1255" s="4"/>
      <c r="H1255" s="4"/>
      <c r="I1255" s="4"/>
      <c r="J1255" s="4"/>
      <c r="K1255" s="6"/>
      <c r="L1255" s="6"/>
      <c r="M1255" s="6"/>
      <c r="N1255" s="6"/>
      <c r="O1255" s="4"/>
      <c r="P1255" s="3"/>
      <c r="Q1255" s="8"/>
      <c r="R1255" s="8"/>
      <c r="S1255" s="9"/>
      <c r="T1255" s="8"/>
      <c r="U1255" s="8"/>
      <c r="W1255" s="8"/>
    </row>
    <row r="1256" spans="2:23" x14ac:dyDescent="0.55000000000000004">
      <c r="B1256" s="3"/>
      <c r="C1256" s="4"/>
      <c r="D1256" s="4"/>
      <c r="E1256" s="5"/>
      <c r="F1256" s="4"/>
      <c r="G1256" s="4"/>
      <c r="H1256" s="4"/>
      <c r="I1256" s="4"/>
      <c r="J1256" s="4"/>
      <c r="K1256" s="6"/>
      <c r="L1256" s="6"/>
      <c r="M1256" s="6"/>
      <c r="N1256" s="6"/>
      <c r="O1256" s="4"/>
      <c r="P1256" s="3"/>
      <c r="Q1256" s="8"/>
      <c r="R1256" s="8"/>
      <c r="S1256" s="9"/>
      <c r="T1256" s="8"/>
      <c r="U1256" s="8"/>
      <c r="W1256" s="8"/>
    </row>
    <row r="1257" spans="2:23" x14ac:dyDescent="0.55000000000000004">
      <c r="B1257" s="3"/>
      <c r="C1257" s="4"/>
      <c r="D1257" s="4"/>
      <c r="E1257" s="5"/>
      <c r="F1257" s="4"/>
      <c r="G1257" s="4"/>
      <c r="H1257" s="4"/>
      <c r="I1257" s="4"/>
      <c r="J1257" s="4"/>
      <c r="K1257" s="6"/>
      <c r="L1257" s="6"/>
      <c r="M1257" s="6"/>
      <c r="N1257" s="6"/>
      <c r="O1257" s="4"/>
      <c r="P1257" s="3"/>
      <c r="Q1257" s="8"/>
      <c r="R1257" s="8"/>
      <c r="S1257" s="9"/>
      <c r="T1257" s="8"/>
      <c r="U1257" s="8"/>
      <c r="W1257" s="8"/>
    </row>
    <row r="1258" spans="2:23" x14ac:dyDescent="0.55000000000000004">
      <c r="B1258" s="3"/>
      <c r="C1258" s="4"/>
      <c r="D1258" s="4"/>
      <c r="E1258" s="5"/>
      <c r="F1258" s="4"/>
      <c r="G1258" s="4"/>
      <c r="H1258" s="4"/>
      <c r="I1258" s="4"/>
      <c r="J1258" s="4"/>
      <c r="K1258" s="6"/>
      <c r="L1258" s="6"/>
      <c r="M1258" s="6"/>
      <c r="N1258" s="6"/>
      <c r="O1258" s="4"/>
      <c r="P1258" s="3"/>
      <c r="Q1258" s="8"/>
      <c r="R1258" s="8"/>
      <c r="S1258" s="9"/>
      <c r="T1258" s="8"/>
      <c r="U1258" s="8"/>
      <c r="W1258" s="8"/>
    </row>
    <row r="1259" spans="2:23" x14ac:dyDescent="0.55000000000000004">
      <c r="B1259" s="3"/>
      <c r="C1259" s="4"/>
      <c r="D1259" s="4"/>
      <c r="E1259" s="5"/>
      <c r="F1259" s="4"/>
      <c r="G1259" s="4"/>
      <c r="H1259" s="4"/>
      <c r="I1259" s="4"/>
      <c r="J1259" s="4"/>
      <c r="K1259" s="6"/>
      <c r="L1259" s="6"/>
      <c r="M1259" s="6"/>
      <c r="N1259" s="6"/>
      <c r="O1259" s="4"/>
      <c r="P1259" s="3"/>
      <c r="Q1259" s="8"/>
      <c r="R1259" s="8"/>
      <c r="S1259" s="9"/>
      <c r="T1259" s="8"/>
      <c r="U1259" s="8"/>
      <c r="W1259" s="8"/>
    </row>
    <row r="1260" spans="2:23" x14ac:dyDescent="0.55000000000000004">
      <c r="B1260" s="3"/>
      <c r="C1260" s="4"/>
      <c r="D1260" s="4"/>
      <c r="E1260" s="5"/>
      <c r="F1260" s="4"/>
      <c r="G1260" s="4"/>
      <c r="H1260" s="4"/>
      <c r="I1260" s="4"/>
      <c r="J1260" s="4"/>
      <c r="K1260" s="6"/>
      <c r="L1260" s="6"/>
      <c r="M1260" s="6"/>
      <c r="N1260" s="6"/>
      <c r="O1260" s="4"/>
      <c r="P1260" s="3"/>
      <c r="Q1260" s="8"/>
      <c r="R1260" s="8"/>
      <c r="S1260" s="9"/>
      <c r="T1260" s="8"/>
      <c r="U1260" s="8"/>
      <c r="W1260" s="8"/>
    </row>
    <row r="1261" spans="2:23" x14ac:dyDescent="0.55000000000000004">
      <c r="B1261" s="3"/>
      <c r="C1261" s="4"/>
      <c r="D1261" s="4"/>
      <c r="E1261" s="5"/>
      <c r="F1261" s="4"/>
      <c r="G1261" s="4"/>
      <c r="H1261" s="4"/>
      <c r="I1261" s="4"/>
      <c r="J1261" s="4"/>
      <c r="K1261" s="6"/>
      <c r="L1261" s="6"/>
      <c r="M1261" s="6"/>
      <c r="N1261" s="6"/>
      <c r="O1261" s="4"/>
      <c r="P1261" s="3"/>
      <c r="Q1261" s="8"/>
      <c r="R1261" s="8"/>
      <c r="S1261" s="9"/>
      <c r="T1261" s="8"/>
      <c r="U1261" s="8"/>
      <c r="W1261" s="8"/>
    </row>
    <row r="1262" spans="2:23" x14ac:dyDescent="0.55000000000000004">
      <c r="B1262" s="3"/>
      <c r="C1262" s="4"/>
      <c r="D1262" s="4"/>
      <c r="E1262" s="5"/>
      <c r="F1262" s="4"/>
      <c r="G1262" s="4"/>
      <c r="H1262" s="4"/>
      <c r="I1262" s="4"/>
      <c r="J1262" s="4"/>
      <c r="K1262" s="6"/>
      <c r="L1262" s="6"/>
      <c r="M1262" s="6"/>
      <c r="N1262" s="6"/>
      <c r="O1262" s="4"/>
      <c r="P1262" s="3"/>
      <c r="Q1262" s="8"/>
      <c r="R1262" s="8"/>
      <c r="S1262" s="9"/>
      <c r="T1262" s="8"/>
      <c r="U1262" s="8"/>
      <c r="W1262" s="8"/>
    </row>
    <row r="1263" spans="2:23" x14ac:dyDescent="0.55000000000000004">
      <c r="B1263" s="3"/>
      <c r="C1263" s="4"/>
      <c r="D1263" s="4"/>
      <c r="E1263" s="5"/>
      <c r="F1263" s="4"/>
      <c r="G1263" s="4"/>
      <c r="H1263" s="4"/>
      <c r="I1263" s="4"/>
      <c r="J1263" s="4"/>
      <c r="K1263" s="6"/>
      <c r="L1263" s="6"/>
      <c r="M1263" s="6"/>
      <c r="N1263" s="6"/>
      <c r="O1263" s="4"/>
      <c r="P1263" s="3"/>
      <c r="Q1263" s="8"/>
      <c r="R1263" s="8"/>
      <c r="S1263" s="9"/>
      <c r="T1263" s="8"/>
      <c r="U1263" s="8"/>
      <c r="W1263" s="8"/>
    </row>
    <row r="1264" spans="2:23" x14ac:dyDescent="0.55000000000000004">
      <c r="B1264" s="3"/>
      <c r="C1264" s="4"/>
      <c r="D1264" s="4"/>
      <c r="E1264" s="5"/>
      <c r="F1264" s="4"/>
      <c r="G1264" s="4"/>
      <c r="H1264" s="4"/>
      <c r="I1264" s="4"/>
      <c r="J1264" s="4"/>
      <c r="K1264" s="6"/>
      <c r="L1264" s="6"/>
      <c r="M1264" s="6"/>
      <c r="N1264" s="6"/>
      <c r="O1264" s="4"/>
      <c r="P1264" s="3"/>
      <c r="Q1264" s="8"/>
      <c r="R1264" s="8"/>
      <c r="S1264" s="9"/>
      <c r="T1264" s="8"/>
      <c r="U1264" s="8"/>
      <c r="W1264" s="8"/>
    </row>
    <row r="1265" spans="2:23" x14ac:dyDescent="0.55000000000000004">
      <c r="B1265" s="3"/>
      <c r="C1265" s="4"/>
      <c r="D1265" s="4"/>
      <c r="E1265" s="5"/>
      <c r="F1265" s="4"/>
      <c r="G1265" s="4"/>
      <c r="H1265" s="4"/>
      <c r="I1265" s="4"/>
      <c r="J1265" s="4"/>
      <c r="K1265" s="6"/>
      <c r="L1265" s="6"/>
      <c r="M1265" s="6"/>
      <c r="N1265" s="6"/>
      <c r="O1265" s="4"/>
      <c r="P1265" s="3"/>
      <c r="Q1265" s="8"/>
      <c r="R1265" s="8"/>
      <c r="S1265" s="9"/>
      <c r="T1265" s="8"/>
      <c r="U1265" s="8"/>
      <c r="W1265" s="8"/>
    </row>
    <row r="1266" spans="2:23" x14ac:dyDescent="0.55000000000000004">
      <c r="B1266" s="3"/>
      <c r="C1266" s="4"/>
      <c r="D1266" s="4"/>
      <c r="E1266" s="5"/>
      <c r="F1266" s="4"/>
      <c r="G1266" s="4"/>
      <c r="H1266" s="4"/>
      <c r="I1266" s="4"/>
      <c r="J1266" s="4"/>
      <c r="K1266" s="6"/>
      <c r="L1266" s="6"/>
      <c r="M1266" s="6"/>
      <c r="N1266" s="6"/>
      <c r="O1266" s="4"/>
      <c r="P1266" s="3"/>
      <c r="Q1266" s="8"/>
      <c r="R1266" s="8"/>
      <c r="S1266" s="9"/>
      <c r="T1266" s="8"/>
      <c r="U1266" s="8"/>
      <c r="W1266" s="8"/>
    </row>
    <row r="1267" spans="2:23" x14ac:dyDescent="0.55000000000000004">
      <c r="B1267" s="3"/>
      <c r="C1267" s="4"/>
      <c r="D1267" s="4"/>
      <c r="E1267" s="5"/>
      <c r="F1267" s="4"/>
      <c r="G1267" s="4"/>
      <c r="H1267" s="4"/>
      <c r="I1267" s="4"/>
      <c r="J1267" s="4"/>
      <c r="K1267" s="6"/>
      <c r="L1267" s="6"/>
      <c r="M1267" s="6"/>
      <c r="N1267" s="6"/>
      <c r="O1267" s="4"/>
      <c r="P1267" s="3"/>
      <c r="Q1267" s="8"/>
      <c r="R1267" s="8"/>
      <c r="S1267" s="9"/>
      <c r="T1267" s="8"/>
      <c r="U1267" s="8"/>
      <c r="W1267" s="8"/>
    </row>
  </sheetData>
  <autoFilter ref="A1:V472" xr:uid="{1AF2AEE4-8B48-4627-9DEA-D37139D933B2}"/>
  <sortState ref="A2:U472">
    <sortCondition ref="T2:T4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DD19-7F77-4CED-A28E-95235AB356B9}">
  <dimension ref="A1:U475"/>
  <sheetViews>
    <sheetView workbookViewId="0"/>
  </sheetViews>
  <sheetFormatPr defaultRowHeight="14.4" x14ac:dyDescent="0.55000000000000004"/>
  <cols>
    <col min="2" max="2" width="11.89453125" bestFit="1" customWidth="1"/>
    <col min="5" max="5" width="9.3671875" bestFit="1" customWidth="1"/>
    <col min="7" max="7" width="20.05078125" customWidth="1"/>
    <col min="13" max="13" width="9.62890625" bestFit="1" customWidth="1"/>
    <col min="15" max="15" width="52.5234375" bestFit="1" customWidth="1"/>
    <col min="16" max="16" width="22.3671875" bestFit="1" customWidth="1"/>
  </cols>
  <sheetData>
    <row r="1" spans="1:21" x14ac:dyDescent="0.55000000000000004">
      <c r="A1" t="s">
        <v>642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0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55000000000000004">
      <c r="A2" t="str">
        <f>U2&amp;P2</f>
        <v>JunePhillips WI - DCL KY</v>
      </c>
      <c r="B2" s="3" t="s">
        <v>20</v>
      </c>
      <c r="C2" s="4" t="s">
        <v>21</v>
      </c>
      <c r="D2" s="4" t="s">
        <v>22</v>
      </c>
      <c r="E2" s="5">
        <v>43255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6">
        <v>195.69</v>
      </c>
      <c r="L2" s="6">
        <v>0</v>
      </c>
      <c r="M2" s="6">
        <f>K2-L2</f>
        <v>195.69</v>
      </c>
      <c r="N2" s="7" t="str">
        <f>VLOOKUP(D2,[1]Sheet1!$N:$O,2,0)</f>
        <v>3416737</v>
      </c>
      <c r="O2" s="8" t="s">
        <v>28</v>
      </c>
      <c r="P2" s="8" t="s">
        <v>29</v>
      </c>
      <c r="Q2" s="8" t="s">
        <v>30</v>
      </c>
      <c r="R2" s="9">
        <v>43221</v>
      </c>
      <c r="S2" s="9">
        <v>43221</v>
      </c>
      <c r="T2" s="8">
        <f>MONTH(E2)</f>
        <v>6</v>
      </c>
      <c r="U2" s="8" t="str">
        <f>IF(T2=6,"June",IF(T2=5,"May",IF(T2=4,"April",IF(T2=3,"March",0))))</f>
        <v>June</v>
      </c>
    </row>
    <row r="3" spans="1:21" x14ac:dyDescent="0.55000000000000004">
      <c r="A3" t="str">
        <f t="shared" ref="A3:A66" si="0">U3&amp;P3</f>
        <v>JunePhillips WI - DCL KY</v>
      </c>
      <c r="B3" s="3" t="s">
        <v>20</v>
      </c>
      <c r="C3" s="4" t="s">
        <v>21</v>
      </c>
      <c r="D3" s="4" t="s">
        <v>22</v>
      </c>
      <c r="E3" s="5">
        <v>43255</v>
      </c>
      <c r="F3" s="4" t="s">
        <v>23</v>
      </c>
      <c r="G3" s="4" t="s">
        <v>31</v>
      </c>
      <c r="H3" s="4" t="s">
        <v>25</v>
      </c>
      <c r="I3" s="4" t="s">
        <v>26</v>
      </c>
      <c r="J3" s="4" t="s">
        <v>27</v>
      </c>
      <c r="K3" s="6">
        <v>315.25</v>
      </c>
      <c r="L3" s="6">
        <v>0</v>
      </c>
      <c r="M3" s="6">
        <f t="shared" ref="M3:M66" si="1">K3-L3</f>
        <v>315.25</v>
      </c>
      <c r="N3" s="7" t="str">
        <f>VLOOKUP(D3,[1]Sheet1!$N:$O,2,0)</f>
        <v>3416737</v>
      </c>
      <c r="O3" s="8" t="s">
        <v>28</v>
      </c>
      <c r="P3" s="8" t="s">
        <v>29</v>
      </c>
      <c r="Q3" s="8" t="s">
        <v>30</v>
      </c>
      <c r="R3" s="9">
        <v>43221</v>
      </c>
      <c r="S3" s="9">
        <v>43221</v>
      </c>
      <c r="T3" s="8">
        <f t="shared" ref="T3:T66" si="2">MONTH(E3)</f>
        <v>6</v>
      </c>
      <c r="U3" s="8" t="str">
        <f t="shared" ref="U3:U66" si="3">IF(T3=6,"June",IF(T3=5,"May",IF(T3=4,"April",IF(T3=3,"March",0))))</f>
        <v>June</v>
      </c>
    </row>
    <row r="4" spans="1:21" x14ac:dyDescent="0.55000000000000004">
      <c r="A4" t="str">
        <f t="shared" si="0"/>
        <v>JunePhillips WI - DCL KY</v>
      </c>
      <c r="B4" s="3" t="s">
        <v>20</v>
      </c>
      <c r="C4" s="4" t="s">
        <v>21</v>
      </c>
      <c r="D4" s="4" t="s">
        <v>22</v>
      </c>
      <c r="E4" s="5">
        <v>43255</v>
      </c>
      <c r="F4" s="4" t="s">
        <v>23</v>
      </c>
      <c r="G4" s="4" t="s">
        <v>32</v>
      </c>
      <c r="H4" s="4" t="s">
        <v>25</v>
      </c>
      <c r="I4" s="4" t="s">
        <v>26</v>
      </c>
      <c r="J4" s="4" t="s">
        <v>33</v>
      </c>
      <c r="K4" s="6">
        <v>10.44</v>
      </c>
      <c r="L4" s="6">
        <v>0</v>
      </c>
      <c r="M4" s="6">
        <f t="shared" si="1"/>
        <v>10.44</v>
      </c>
      <c r="N4" s="7" t="str">
        <f>VLOOKUP(D4,[1]Sheet1!$N:$O,2,0)</f>
        <v>3416737</v>
      </c>
      <c r="O4" s="8" t="s">
        <v>28</v>
      </c>
      <c r="P4" s="8" t="s">
        <v>29</v>
      </c>
      <c r="Q4" s="8" t="s">
        <v>30</v>
      </c>
      <c r="R4" s="9">
        <v>43221</v>
      </c>
      <c r="S4" s="9">
        <v>43221</v>
      </c>
      <c r="T4" s="8">
        <f t="shared" si="2"/>
        <v>6</v>
      </c>
      <c r="U4" s="8" t="str">
        <f t="shared" si="3"/>
        <v>June</v>
      </c>
    </row>
    <row r="5" spans="1:21" x14ac:dyDescent="0.55000000000000004">
      <c r="A5" t="str">
        <f t="shared" si="0"/>
        <v>JunePhillips WI - DCL KY</v>
      </c>
      <c r="B5" s="3" t="s">
        <v>20</v>
      </c>
      <c r="C5" s="4" t="s">
        <v>21</v>
      </c>
      <c r="D5" s="4" t="s">
        <v>22</v>
      </c>
      <c r="E5" s="5">
        <v>43255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6">
        <v>538.89</v>
      </c>
      <c r="L5" s="6">
        <v>0</v>
      </c>
      <c r="M5" s="6">
        <f t="shared" si="1"/>
        <v>538.89</v>
      </c>
      <c r="N5" s="7" t="str">
        <f>VLOOKUP(D5,[1]Sheet1!$N:$O,2,0)</f>
        <v>3416737</v>
      </c>
      <c r="O5" s="8" t="s">
        <v>28</v>
      </c>
      <c r="P5" s="8" t="s">
        <v>29</v>
      </c>
      <c r="Q5" s="8" t="s">
        <v>30</v>
      </c>
      <c r="R5" s="9">
        <v>43221</v>
      </c>
      <c r="S5" s="9">
        <v>43221</v>
      </c>
      <c r="T5" s="8">
        <f t="shared" si="2"/>
        <v>6</v>
      </c>
      <c r="U5" s="8" t="str">
        <f t="shared" si="3"/>
        <v>June</v>
      </c>
    </row>
    <row r="6" spans="1:21" x14ac:dyDescent="0.55000000000000004">
      <c r="A6" t="str">
        <f t="shared" si="0"/>
        <v>JunePhillips WI - DCL KY</v>
      </c>
      <c r="B6" s="3" t="s">
        <v>20</v>
      </c>
      <c r="C6" s="4" t="s">
        <v>21</v>
      </c>
      <c r="D6" s="4" t="s">
        <v>22</v>
      </c>
      <c r="E6" s="5">
        <v>43255</v>
      </c>
      <c r="F6" s="4" t="s">
        <v>23</v>
      </c>
      <c r="G6" s="4" t="s">
        <v>31</v>
      </c>
      <c r="H6" s="4" t="s">
        <v>25</v>
      </c>
      <c r="I6" s="4" t="s">
        <v>26</v>
      </c>
      <c r="J6" s="4" t="s">
        <v>27</v>
      </c>
      <c r="K6" s="6">
        <v>943.06</v>
      </c>
      <c r="L6" s="6">
        <v>0</v>
      </c>
      <c r="M6" s="6">
        <f t="shared" si="1"/>
        <v>943.06</v>
      </c>
      <c r="N6" s="7" t="str">
        <f>VLOOKUP(D6,[1]Sheet1!$N:$O,2,0)</f>
        <v>3416737</v>
      </c>
      <c r="O6" s="8" t="s">
        <v>28</v>
      </c>
      <c r="P6" s="8" t="s">
        <v>29</v>
      </c>
      <c r="Q6" s="8" t="s">
        <v>30</v>
      </c>
      <c r="R6" s="9">
        <v>43221</v>
      </c>
      <c r="S6" s="9">
        <v>43221</v>
      </c>
      <c r="T6" s="8">
        <f t="shared" si="2"/>
        <v>6</v>
      </c>
      <c r="U6" s="8" t="str">
        <f t="shared" si="3"/>
        <v>June</v>
      </c>
    </row>
    <row r="7" spans="1:21" x14ac:dyDescent="0.55000000000000004">
      <c r="A7" t="str">
        <f t="shared" si="0"/>
        <v>JunePhillips WI - DCL KY</v>
      </c>
      <c r="B7" s="3" t="s">
        <v>20</v>
      </c>
      <c r="C7" s="4" t="s">
        <v>21</v>
      </c>
      <c r="D7" s="4" t="s">
        <v>22</v>
      </c>
      <c r="E7" s="5">
        <v>43255</v>
      </c>
      <c r="F7" s="4" t="s">
        <v>23</v>
      </c>
      <c r="G7" s="4" t="s">
        <v>34</v>
      </c>
      <c r="H7" s="4" t="s">
        <v>25</v>
      </c>
      <c r="I7" s="4" t="s">
        <v>26</v>
      </c>
      <c r="J7" s="4" t="s">
        <v>27</v>
      </c>
      <c r="K7" s="6">
        <v>3579.03</v>
      </c>
      <c r="L7" s="6">
        <v>0</v>
      </c>
      <c r="M7" s="6">
        <f t="shared" si="1"/>
        <v>3579.03</v>
      </c>
      <c r="N7" s="7" t="str">
        <f>VLOOKUP(D7,[1]Sheet1!$N:$O,2,0)</f>
        <v>3416737</v>
      </c>
      <c r="O7" s="8" t="s">
        <v>28</v>
      </c>
      <c r="P7" s="8" t="s">
        <v>29</v>
      </c>
      <c r="Q7" s="8" t="s">
        <v>30</v>
      </c>
      <c r="R7" s="9">
        <v>43221</v>
      </c>
      <c r="S7" s="9">
        <v>43221</v>
      </c>
      <c r="T7" s="8">
        <f t="shared" si="2"/>
        <v>6</v>
      </c>
      <c r="U7" s="8" t="str">
        <f t="shared" si="3"/>
        <v>June</v>
      </c>
    </row>
    <row r="8" spans="1:21" x14ac:dyDescent="0.55000000000000004">
      <c r="A8" t="str">
        <f t="shared" si="0"/>
        <v>JuneHong Kong - DCL KY</v>
      </c>
      <c r="B8" s="3" t="s">
        <v>20</v>
      </c>
      <c r="C8" s="4" t="s">
        <v>21</v>
      </c>
      <c r="D8" s="4" t="s">
        <v>35</v>
      </c>
      <c r="E8" s="5">
        <v>43256</v>
      </c>
      <c r="F8" s="4" t="s">
        <v>23</v>
      </c>
      <c r="G8" s="4" t="s">
        <v>36</v>
      </c>
      <c r="H8" s="4" t="s">
        <v>37</v>
      </c>
      <c r="I8" s="4" t="s">
        <v>26</v>
      </c>
      <c r="J8" s="4" t="s">
        <v>27</v>
      </c>
      <c r="K8" s="6">
        <v>8147.9</v>
      </c>
      <c r="L8" s="6">
        <v>0</v>
      </c>
      <c r="M8" s="6">
        <f t="shared" si="1"/>
        <v>8147.9</v>
      </c>
      <c r="N8" s="7" t="str">
        <f>VLOOKUP(D8,[1]Sheet1!$N:$O,2,0)</f>
        <v>3400595</v>
      </c>
      <c r="O8" s="8" t="s">
        <v>38</v>
      </c>
      <c r="P8" s="8" t="s">
        <v>39</v>
      </c>
      <c r="Q8" s="8" t="s">
        <v>40</v>
      </c>
      <c r="R8" s="9">
        <v>43221</v>
      </c>
      <c r="S8" s="9">
        <v>43221</v>
      </c>
      <c r="T8" s="8">
        <f t="shared" si="2"/>
        <v>6</v>
      </c>
      <c r="U8" s="8" t="str">
        <f t="shared" si="3"/>
        <v>June</v>
      </c>
    </row>
    <row r="9" spans="1:21" x14ac:dyDescent="0.55000000000000004">
      <c r="A9" t="str">
        <f t="shared" si="0"/>
        <v>JuneHong Kong - DCL KY</v>
      </c>
      <c r="B9" s="3" t="s">
        <v>20</v>
      </c>
      <c r="C9" s="4" t="s">
        <v>21</v>
      </c>
      <c r="D9" s="4" t="s">
        <v>35</v>
      </c>
      <c r="E9" s="5">
        <v>43256</v>
      </c>
      <c r="F9" s="4" t="s">
        <v>23</v>
      </c>
      <c r="G9" s="4" t="s">
        <v>36</v>
      </c>
      <c r="H9" s="4" t="s">
        <v>37</v>
      </c>
      <c r="I9" s="4" t="s">
        <v>26</v>
      </c>
      <c r="J9" s="4" t="s">
        <v>27</v>
      </c>
      <c r="K9" s="6">
        <v>1527.73</v>
      </c>
      <c r="L9" s="6">
        <v>0</v>
      </c>
      <c r="M9" s="6">
        <f t="shared" si="1"/>
        <v>1527.73</v>
      </c>
      <c r="N9" s="7" t="str">
        <f>VLOOKUP(D9,[1]Sheet1!$N:$O,2,0)</f>
        <v>3400595</v>
      </c>
      <c r="O9" s="8" t="s">
        <v>38</v>
      </c>
      <c r="P9" s="8" t="s">
        <v>39</v>
      </c>
      <c r="Q9" s="8" t="s">
        <v>40</v>
      </c>
      <c r="R9" s="9">
        <v>43221</v>
      </c>
      <c r="S9" s="9">
        <v>43221</v>
      </c>
      <c r="T9" s="8">
        <f t="shared" si="2"/>
        <v>6</v>
      </c>
      <c r="U9" s="8" t="str">
        <f t="shared" si="3"/>
        <v>June</v>
      </c>
    </row>
    <row r="10" spans="1:21" x14ac:dyDescent="0.55000000000000004">
      <c r="A10" t="str">
        <f t="shared" si="0"/>
        <v>JuneHong Kong - DCL KY</v>
      </c>
      <c r="B10" s="3" t="s">
        <v>20</v>
      </c>
      <c r="C10" s="4" t="s">
        <v>21</v>
      </c>
      <c r="D10" s="4" t="s">
        <v>35</v>
      </c>
      <c r="E10" s="5">
        <v>43256</v>
      </c>
      <c r="F10" s="4" t="s">
        <v>23</v>
      </c>
      <c r="G10" s="4" t="s">
        <v>36</v>
      </c>
      <c r="H10" s="4" t="s">
        <v>37</v>
      </c>
      <c r="I10" s="4" t="s">
        <v>26</v>
      </c>
      <c r="J10" s="4" t="s">
        <v>27</v>
      </c>
      <c r="K10" s="6">
        <v>1320.85</v>
      </c>
      <c r="L10" s="6">
        <v>0</v>
      </c>
      <c r="M10" s="6">
        <f t="shared" si="1"/>
        <v>1320.85</v>
      </c>
      <c r="N10" s="7" t="str">
        <f>VLOOKUP(D10,[1]Sheet1!$N:$O,2,0)</f>
        <v>3400595</v>
      </c>
      <c r="O10" s="8" t="s">
        <v>38</v>
      </c>
      <c r="P10" s="8" t="s">
        <v>39</v>
      </c>
      <c r="Q10" s="8" t="s">
        <v>40</v>
      </c>
      <c r="R10" s="9">
        <v>43221</v>
      </c>
      <c r="S10" s="9">
        <v>43221</v>
      </c>
      <c r="T10" s="8">
        <f t="shared" si="2"/>
        <v>6</v>
      </c>
      <c r="U10" s="8" t="str">
        <f t="shared" si="3"/>
        <v>June</v>
      </c>
    </row>
    <row r="11" spans="1:21" x14ac:dyDescent="0.55000000000000004">
      <c r="A11" t="str">
        <f t="shared" si="0"/>
        <v>JuneShanghai - DCL KY</v>
      </c>
      <c r="B11" s="3" t="s">
        <v>20</v>
      </c>
      <c r="C11" s="4" t="s">
        <v>21</v>
      </c>
      <c r="D11" s="4" t="s">
        <v>41</v>
      </c>
      <c r="E11" s="5">
        <v>43256</v>
      </c>
      <c r="F11" s="4" t="s">
        <v>23</v>
      </c>
      <c r="G11" s="4" t="s">
        <v>36</v>
      </c>
      <c r="H11" s="4" t="s">
        <v>42</v>
      </c>
      <c r="I11" s="4" t="s">
        <v>26</v>
      </c>
      <c r="J11" s="4" t="s">
        <v>27</v>
      </c>
      <c r="K11" s="6">
        <v>9825.7099999999991</v>
      </c>
      <c r="L11" s="6">
        <v>0</v>
      </c>
      <c r="M11" s="6">
        <f t="shared" si="1"/>
        <v>9825.7099999999991</v>
      </c>
      <c r="N11" s="7" t="str">
        <f>VLOOKUP(D11,[1]Sheet1!$N:$O,2,0)</f>
        <v>3400598</v>
      </c>
      <c r="O11" s="8" t="s">
        <v>43</v>
      </c>
      <c r="P11" s="8" t="s">
        <v>44</v>
      </c>
      <c r="Q11" s="8" t="s">
        <v>45</v>
      </c>
      <c r="R11" s="9">
        <v>43221</v>
      </c>
      <c r="S11" s="9">
        <v>43221</v>
      </c>
      <c r="T11" s="8">
        <f t="shared" si="2"/>
        <v>6</v>
      </c>
      <c r="U11" s="8" t="str">
        <f t="shared" si="3"/>
        <v>June</v>
      </c>
    </row>
    <row r="12" spans="1:21" x14ac:dyDescent="0.55000000000000004">
      <c r="A12" t="str">
        <f t="shared" si="0"/>
        <v>JuneShanghai - DECI NC</v>
      </c>
      <c r="B12" s="3" t="s">
        <v>20</v>
      </c>
      <c r="C12" s="4" t="s">
        <v>21</v>
      </c>
      <c r="D12" s="4" t="s">
        <v>46</v>
      </c>
      <c r="E12" s="5">
        <v>43256</v>
      </c>
      <c r="F12" s="4" t="s">
        <v>23</v>
      </c>
      <c r="G12" s="4" t="s">
        <v>47</v>
      </c>
      <c r="H12" s="4" t="s">
        <v>48</v>
      </c>
      <c r="I12" s="4" t="s">
        <v>26</v>
      </c>
      <c r="J12" s="4" t="s">
        <v>27</v>
      </c>
      <c r="K12" s="6">
        <v>42574.46</v>
      </c>
      <c r="L12" s="6">
        <v>0</v>
      </c>
      <c r="M12" s="6">
        <f t="shared" si="1"/>
        <v>42574.46</v>
      </c>
      <c r="N12" s="7" t="str">
        <f>VLOOKUP(D12,[1]Sheet1!$N:$O,2,0)</f>
        <v>3400600</v>
      </c>
      <c r="O12" s="8" t="s">
        <v>49</v>
      </c>
      <c r="P12" s="8" t="s">
        <v>50</v>
      </c>
      <c r="Q12" s="8" t="s">
        <v>51</v>
      </c>
      <c r="R12" s="9">
        <v>43221</v>
      </c>
      <c r="S12" s="9">
        <v>43221</v>
      </c>
      <c r="T12" s="8">
        <f t="shared" si="2"/>
        <v>6</v>
      </c>
      <c r="U12" s="8" t="str">
        <f t="shared" si="3"/>
        <v>June</v>
      </c>
    </row>
    <row r="13" spans="1:21" x14ac:dyDescent="0.55000000000000004">
      <c r="A13" t="str">
        <f t="shared" si="0"/>
        <v>JuneShanghai - DECI NC</v>
      </c>
      <c r="B13" s="3" t="s">
        <v>20</v>
      </c>
      <c r="C13" s="4" t="s">
        <v>21</v>
      </c>
      <c r="D13" s="4" t="s">
        <v>46</v>
      </c>
      <c r="E13" s="5">
        <v>43256</v>
      </c>
      <c r="F13" s="4" t="s">
        <v>23</v>
      </c>
      <c r="G13" s="4" t="s">
        <v>47</v>
      </c>
      <c r="H13" s="4" t="s">
        <v>48</v>
      </c>
      <c r="I13" s="4" t="s">
        <v>26</v>
      </c>
      <c r="J13" s="4" t="s">
        <v>27</v>
      </c>
      <c r="K13" s="6">
        <v>8676.33</v>
      </c>
      <c r="L13" s="6">
        <v>0</v>
      </c>
      <c r="M13" s="6">
        <f t="shared" si="1"/>
        <v>8676.33</v>
      </c>
      <c r="N13" s="7" t="str">
        <f>VLOOKUP(D13,[1]Sheet1!$N:$O,2,0)</f>
        <v>3400600</v>
      </c>
      <c r="O13" s="8" t="s">
        <v>49</v>
      </c>
      <c r="P13" s="8" t="s">
        <v>50</v>
      </c>
      <c r="Q13" s="8" t="s">
        <v>51</v>
      </c>
      <c r="R13" s="9">
        <v>43221</v>
      </c>
      <c r="S13" s="9">
        <v>43221</v>
      </c>
      <c r="T13" s="8">
        <f t="shared" si="2"/>
        <v>6</v>
      </c>
      <c r="U13" s="8" t="str">
        <f t="shared" si="3"/>
        <v>June</v>
      </c>
    </row>
    <row r="14" spans="1:21" x14ac:dyDescent="0.55000000000000004">
      <c r="A14" t="str">
        <f t="shared" si="0"/>
        <v>JuneShanghai - DCL KY</v>
      </c>
      <c r="B14" s="3" t="s">
        <v>20</v>
      </c>
      <c r="C14" s="4" t="s">
        <v>21</v>
      </c>
      <c r="D14" s="4" t="s">
        <v>52</v>
      </c>
      <c r="E14" s="5">
        <v>43256</v>
      </c>
      <c r="F14" s="4" t="s">
        <v>23</v>
      </c>
      <c r="G14" s="4" t="s">
        <v>36</v>
      </c>
      <c r="H14" s="4" t="s">
        <v>53</v>
      </c>
      <c r="I14" s="4" t="s">
        <v>26</v>
      </c>
      <c r="J14" s="4" t="s">
        <v>27</v>
      </c>
      <c r="K14" s="6">
        <v>47100.97</v>
      </c>
      <c r="L14" s="6">
        <v>0</v>
      </c>
      <c r="M14" s="6">
        <f t="shared" si="1"/>
        <v>47100.97</v>
      </c>
      <c r="N14" s="7" t="str">
        <f>VLOOKUP(D14,[1]Sheet1!$N:$O,2,0)</f>
        <v>3400602</v>
      </c>
      <c r="O14" s="8" t="s">
        <v>54</v>
      </c>
      <c r="P14" s="8" t="s">
        <v>44</v>
      </c>
      <c r="Q14" s="8" t="s">
        <v>55</v>
      </c>
      <c r="R14" s="9">
        <v>43221</v>
      </c>
      <c r="S14" s="9">
        <v>43221</v>
      </c>
      <c r="T14" s="8">
        <f t="shared" si="2"/>
        <v>6</v>
      </c>
      <c r="U14" s="8" t="str">
        <f t="shared" si="3"/>
        <v>June</v>
      </c>
    </row>
    <row r="15" spans="1:21" x14ac:dyDescent="0.55000000000000004">
      <c r="A15" t="str">
        <f t="shared" si="0"/>
        <v>JuneHong Kong - DCL KY</v>
      </c>
      <c r="B15" s="3" t="s">
        <v>20</v>
      </c>
      <c r="C15" s="4" t="s">
        <v>21</v>
      </c>
      <c r="D15" s="4" t="s">
        <v>56</v>
      </c>
      <c r="E15" s="5">
        <v>43256</v>
      </c>
      <c r="F15" s="4" t="s">
        <v>23</v>
      </c>
      <c r="G15" s="4" t="s">
        <v>57</v>
      </c>
      <c r="H15" s="4" t="s">
        <v>58</v>
      </c>
      <c r="I15" s="4" t="s">
        <v>26</v>
      </c>
      <c r="J15" s="4" t="s">
        <v>27</v>
      </c>
      <c r="K15" s="6">
        <v>1903.53</v>
      </c>
      <c r="L15" s="6">
        <v>0</v>
      </c>
      <c r="M15" s="6">
        <f t="shared" si="1"/>
        <v>1903.53</v>
      </c>
      <c r="N15" s="7" t="str">
        <f>VLOOKUP(D15,[1]Sheet1!$N:$O,2,0)</f>
        <v>3400604</v>
      </c>
      <c r="O15" s="8" t="s">
        <v>59</v>
      </c>
      <c r="P15" s="8" t="s">
        <v>39</v>
      </c>
      <c r="Q15" s="8" t="s">
        <v>60</v>
      </c>
      <c r="R15" s="9">
        <v>43191</v>
      </c>
      <c r="S15" s="9">
        <v>43221</v>
      </c>
      <c r="T15" s="8">
        <f t="shared" si="2"/>
        <v>6</v>
      </c>
      <c r="U15" s="8" t="str">
        <f t="shared" si="3"/>
        <v>June</v>
      </c>
    </row>
    <row r="16" spans="1:21" x14ac:dyDescent="0.55000000000000004">
      <c r="A16" t="str">
        <f t="shared" si="0"/>
        <v>JuneHong Kong - DCL KY</v>
      </c>
      <c r="B16" s="3" t="s">
        <v>20</v>
      </c>
      <c r="C16" s="4" t="s">
        <v>21</v>
      </c>
      <c r="D16" s="4" t="s">
        <v>56</v>
      </c>
      <c r="E16" s="5">
        <v>43256</v>
      </c>
      <c r="F16" s="4" t="s">
        <v>23</v>
      </c>
      <c r="G16" s="4" t="s">
        <v>57</v>
      </c>
      <c r="H16" s="4" t="s">
        <v>58</v>
      </c>
      <c r="I16" s="4" t="s">
        <v>26</v>
      </c>
      <c r="J16" s="4" t="s">
        <v>27</v>
      </c>
      <c r="K16" s="6">
        <v>3074.03</v>
      </c>
      <c r="L16" s="6">
        <v>0</v>
      </c>
      <c r="M16" s="6">
        <f t="shared" si="1"/>
        <v>3074.03</v>
      </c>
      <c r="N16" s="7" t="str">
        <f>VLOOKUP(D16,[1]Sheet1!$N:$O,2,0)</f>
        <v>3400604</v>
      </c>
      <c r="O16" s="8" t="s">
        <v>59</v>
      </c>
      <c r="P16" s="8" t="s">
        <v>39</v>
      </c>
      <c r="Q16" s="8" t="s">
        <v>60</v>
      </c>
      <c r="R16" s="9">
        <v>43191</v>
      </c>
      <c r="S16" s="9">
        <v>43221</v>
      </c>
      <c r="T16" s="8">
        <f t="shared" si="2"/>
        <v>6</v>
      </c>
      <c r="U16" s="8" t="str">
        <f t="shared" si="3"/>
        <v>June</v>
      </c>
    </row>
    <row r="17" spans="1:21" x14ac:dyDescent="0.55000000000000004">
      <c r="A17" t="str">
        <f t="shared" si="0"/>
        <v>JuneHong Kong - Phillips WI</v>
      </c>
      <c r="B17" s="3" t="s">
        <v>20</v>
      </c>
      <c r="C17" s="4" t="s">
        <v>21</v>
      </c>
      <c r="D17" s="4" t="s">
        <v>61</v>
      </c>
      <c r="E17" s="5">
        <v>43256</v>
      </c>
      <c r="F17" s="4" t="s">
        <v>23</v>
      </c>
      <c r="G17" s="4" t="s">
        <v>62</v>
      </c>
      <c r="H17" s="4" t="s">
        <v>63</v>
      </c>
      <c r="I17" s="4" t="s">
        <v>26</v>
      </c>
      <c r="J17" s="4" t="s">
        <v>27</v>
      </c>
      <c r="K17" s="6">
        <v>5448.75</v>
      </c>
      <c r="L17" s="6">
        <v>0</v>
      </c>
      <c r="M17" s="6">
        <f t="shared" si="1"/>
        <v>5448.75</v>
      </c>
      <c r="N17" s="7" t="str">
        <f>VLOOKUP(D17,[1]Sheet1!$N:$O,2,0)</f>
        <v>3400606</v>
      </c>
      <c r="O17" s="8" t="s">
        <v>64</v>
      </c>
      <c r="P17" s="8" t="s">
        <v>65</v>
      </c>
      <c r="Q17" s="8" t="s">
        <v>30</v>
      </c>
      <c r="R17" s="9">
        <v>43221</v>
      </c>
      <c r="S17" s="9">
        <v>43221</v>
      </c>
      <c r="T17" s="8">
        <f t="shared" si="2"/>
        <v>6</v>
      </c>
      <c r="U17" s="8" t="str">
        <f t="shared" si="3"/>
        <v>June</v>
      </c>
    </row>
    <row r="18" spans="1:21" x14ac:dyDescent="0.55000000000000004">
      <c r="A18" t="str">
        <f t="shared" si="0"/>
        <v>JuneShanghai - DECI NC</v>
      </c>
      <c r="B18" s="3" t="s">
        <v>20</v>
      </c>
      <c r="C18" s="4" t="s">
        <v>21</v>
      </c>
      <c r="D18" s="4" t="s">
        <v>66</v>
      </c>
      <c r="E18" s="5">
        <v>43256</v>
      </c>
      <c r="F18" s="4" t="s">
        <v>23</v>
      </c>
      <c r="G18" s="4" t="s">
        <v>47</v>
      </c>
      <c r="H18" s="4" t="s">
        <v>67</v>
      </c>
      <c r="I18" s="4" t="s">
        <v>26</v>
      </c>
      <c r="J18" s="4" t="s">
        <v>27</v>
      </c>
      <c r="K18" s="6">
        <v>21099.89</v>
      </c>
      <c r="L18" s="6">
        <v>0</v>
      </c>
      <c r="M18" s="6">
        <f t="shared" si="1"/>
        <v>21099.89</v>
      </c>
      <c r="N18" s="7" t="str">
        <f>VLOOKUP(D18,[1]Sheet1!$N:$O,2,0)</f>
        <v>3400615</v>
      </c>
      <c r="O18" s="8" t="s">
        <v>68</v>
      </c>
      <c r="P18" s="8" t="s">
        <v>50</v>
      </c>
      <c r="Q18" s="8" t="s">
        <v>69</v>
      </c>
      <c r="R18" s="9">
        <v>43221</v>
      </c>
      <c r="S18" s="9">
        <v>43221</v>
      </c>
      <c r="T18" s="8">
        <f t="shared" si="2"/>
        <v>6</v>
      </c>
      <c r="U18" s="8" t="str">
        <f t="shared" si="3"/>
        <v>June</v>
      </c>
    </row>
    <row r="19" spans="1:21" x14ac:dyDescent="0.55000000000000004">
      <c r="A19" t="str">
        <f t="shared" si="0"/>
        <v>JuneShanghai - DECI NC</v>
      </c>
      <c r="B19" s="3" t="s">
        <v>20</v>
      </c>
      <c r="C19" s="4" t="s">
        <v>21</v>
      </c>
      <c r="D19" s="4" t="s">
        <v>70</v>
      </c>
      <c r="E19" s="5">
        <v>43256</v>
      </c>
      <c r="F19" s="4" t="s">
        <v>23</v>
      </c>
      <c r="G19" s="4" t="s">
        <v>47</v>
      </c>
      <c r="H19" s="4" t="s">
        <v>71</v>
      </c>
      <c r="I19" s="4" t="s">
        <v>26</v>
      </c>
      <c r="J19" s="4" t="s">
        <v>27</v>
      </c>
      <c r="K19" s="6">
        <v>7126.15</v>
      </c>
      <c r="L19" s="6">
        <v>0</v>
      </c>
      <c r="M19" s="6">
        <f t="shared" si="1"/>
        <v>7126.15</v>
      </c>
      <c r="N19" s="7" t="str">
        <f>VLOOKUP(D19,[1]Sheet1!$N:$O,2,0)</f>
        <v>3400617</v>
      </c>
      <c r="O19" s="8" t="s">
        <v>72</v>
      </c>
      <c r="P19" s="8" t="s">
        <v>50</v>
      </c>
      <c r="Q19" s="8" t="s">
        <v>73</v>
      </c>
      <c r="R19" s="9">
        <v>43221</v>
      </c>
      <c r="S19" s="9">
        <v>43221</v>
      </c>
      <c r="T19" s="8">
        <f t="shared" si="2"/>
        <v>6</v>
      </c>
      <c r="U19" s="8" t="str">
        <f t="shared" si="3"/>
        <v>June</v>
      </c>
    </row>
    <row r="20" spans="1:21" x14ac:dyDescent="0.55000000000000004">
      <c r="A20" t="str">
        <f t="shared" si="0"/>
        <v>JuneShanghai - DECI NC</v>
      </c>
      <c r="B20" s="3" t="s">
        <v>20</v>
      </c>
      <c r="C20" s="4" t="s">
        <v>21</v>
      </c>
      <c r="D20" s="4" t="s">
        <v>70</v>
      </c>
      <c r="E20" s="5">
        <v>43256</v>
      </c>
      <c r="F20" s="4" t="s">
        <v>23</v>
      </c>
      <c r="G20" s="4" t="s">
        <v>47</v>
      </c>
      <c r="H20" s="4" t="s">
        <v>71</v>
      </c>
      <c r="I20" s="4" t="s">
        <v>26</v>
      </c>
      <c r="J20" s="4" t="s">
        <v>27</v>
      </c>
      <c r="K20" s="6">
        <v>64348.04</v>
      </c>
      <c r="L20" s="6">
        <v>0</v>
      </c>
      <c r="M20" s="6">
        <f t="shared" si="1"/>
        <v>64348.04</v>
      </c>
      <c r="N20" s="7" t="str">
        <f>VLOOKUP(D20,[1]Sheet1!$N:$O,2,0)</f>
        <v>3400617</v>
      </c>
      <c r="O20" s="8" t="s">
        <v>72</v>
      </c>
      <c r="P20" s="8" t="s">
        <v>50</v>
      </c>
      <c r="Q20" s="8" t="s">
        <v>73</v>
      </c>
      <c r="R20" s="9">
        <v>43221</v>
      </c>
      <c r="S20" s="9">
        <v>43221</v>
      </c>
      <c r="T20" s="8">
        <f t="shared" si="2"/>
        <v>6</v>
      </c>
      <c r="U20" s="8" t="str">
        <f t="shared" si="3"/>
        <v>June</v>
      </c>
    </row>
    <row r="21" spans="1:21" x14ac:dyDescent="0.55000000000000004">
      <c r="A21" t="str">
        <f t="shared" si="0"/>
        <v>JuneHong Kong - DCL KY</v>
      </c>
      <c r="B21" s="3" t="s">
        <v>20</v>
      </c>
      <c r="C21" s="4" t="s">
        <v>21</v>
      </c>
      <c r="D21" s="4" t="s">
        <v>74</v>
      </c>
      <c r="E21" s="5">
        <v>43256</v>
      </c>
      <c r="F21" s="4" t="s">
        <v>23</v>
      </c>
      <c r="G21" s="4" t="s">
        <v>62</v>
      </c>
      <c r="H21" s="4" t="s">
        <v>75</v>
      </c>
      <c r="I21" s="4" t="s">
        <v>26</v>
      </c>
      <c r="J21" s="4" t="s">
        <v>27</v>
      </c>
      <c r="K21" s="6">
        <v>3101.81</v>
      </c>
      <c r="L21" s="6">
        <v>0</v>
      </c>
      <c r="M21" s="6">
        <f t="shared" si="1"/>
        <v>3101.81</v>
      </c>
      <c r="N21" s="7" t="str">
        <f>VLOOKUP(D21,[1]Sheet1!$N:$O,2,0)</f>
        <v>3400619</v>
      </c>
      <c r="O21" s="8" t="s">
        <v>76</v>
      </c>
      <c r="P21" s="8" t="s">
        <v>39</v>
      </c>
      <c r="Q21" s="8" t="s">
        <v>77</v>
      </c>
      <c r="R21" s="9">
        <v>43221</v>
      </c>
      <c r="S21" s="9">
        <v>43221</v>
      </c>
      <c r="T21" s="8">
        <f t="shared" si="2"/>
        <v>6</v>
      </c>
      <c r="U21" s="8" t="str">
        <f t="shared" si="3"/>
        <v>June</v>
      </c>
    </row>
    <row r="22" spans="1:21" x14ac:dyDescent="0.55000000000000004">
      <c r="A22" t="str">
        <f t="shared" si="0"/>
        <v>JuneHong Kong - DCL KY</v>
      </c>
      <c r="B22" s="3" t="s">
        <v>20</v>
      </c>
      <c r="C22" s="4" t="s">
        <v>21</v>
      </c>
      <c r="D22" s="4" t="s">
        <v>74</v>
      </c>
      <c r="E22" s="5">
        <v>43256</v>
      </c>
      <c r="F22" s="4" t="s">
        <v>23</v>
      </c>
      <c r="G22" s="4" t="s">
        <v>78</v>
      </c>
      <c r="H22" s="4" t="s">
        <v>75</v>
      </c>
      <c r="I22" s="4" t="s">
        <v>26</v>
      </c>
      <c r="J22" s="4" t="s">
        <v>27</v>
      </c>
      <c r="K22" s="6">
        <v>9844.8700000000008</v>
      </c>
      <c r="L22" s="6">
        <v>0</v>
      </c>
      <c r="M22" s="6">
        <f t="shared" si="1"/>
        <v>9844.8700000000008</v>
      </c>
      <c r="N22" s="7" t="str">
        <f>VLOOKUP(D22,[1]Sheet1!$N:$O,2,0)</f>
        <v>3400619</v>
      </c>
      <c r="O22" s="8" t="s">
        <v>76</v>
      </c>
      <c r="P22" s="8" t="s">
        <v>39</v>
      </c>
      <c r="Q22" s="8" t="s">
        <v>77</v>
      </c>
      <c r="R22" s="9">
        <v>43221</v>
      </c>
      <c r="S22" s="9">
        <v>43221</v>
      </c>
      <c r="T22" s="8">
        <f t="shared" si="2"/>
        <v>6</v>
      </c>
      <c r="U22" s="8" t="str">
        <f t="shared" si="3"/>
        <v>June</v>
      </c>
    </row>
    <row r="23" spans="1:21" x14ac:dyDescent="0.55000000000000004">
      <c r="A23" t="str">
        <f t="shared" si="0"/>
        <v>JuneChina - DCL KY</v>
      </c>
      <c r="B23" s="3" t="s">
        <v>20</v>
      </c>
      <c r="C23" s="4" t="s">
        <v>21</v>
      </c>
      <c r="D23" s="4" t="s">
        <v>79</v>
      </c>
      <c r="E23" s="5">
        <v>43256</v>
      </c>
      <c r="F23" s="4" t="s">
        <v>23</v>
      </c>
      <c r="G23" s="4" t="s">
        <v>36</v>
      </c>
      <c r="H23" s="4" t="s">
        <v>80</v>
      </c>
      <c r="I23" s="4" t="s">
        <v>26</v>
      </c>
      <c r="J23" s="4" t="s">
        <v>27</v>
      </c>
      <c r="K23" s="6">
        <v>42961.93</v>
      </c>
      <c r="L23" s="6">
        <v>0</v>
      </c>
      <c r="M23" s="6">
        <f t="shared" si="1"/>
        <v>42961.93</v>
      </c>
      <c r="N23" s="7" t="str">
        <f>VLOOKUP(D23,[1]Sheet1!$N:$O,2,0)</f>
        <v>3418771</v>
      </c>
      <c r="O23" s="8" t="s">
        <v>81</v>
      </c>
      <c r="P23" s="8" t="s">
        <v>82</v>
      </c>
      <c r="Q23" s="8" t="s">
        <v>83</v>
      </c>
      <c r="R23" s="9">
        <v>43221</v>
      </c>
      <c r="S23" s="9">
        <v>43221</v>
      </c>
      <c r="T23" s="8">
        <f t="shared" si="2"/>
        <v>6</v>
      </c>
      <c r="U23" s="8" t="str">
        <f t="shared" si="3"/>
        <v>June</v>
      </c>
    </row>
    <row r="24" spans="1:21" x14ac:dyDescent="0.55000000000000004">
      <c r="A24" t="str">
        <f t="shared" si="0"/>
        <v>JuneHong Kong - DCL KY</v>
      </c>
      <c r="B24" s="3" t="s">
        <v>20</v>
      </c>
      <c r="C24" s="4" t="s">
        <v>21</v>
      </c>
      <c r="D24" s="4" t="s">
        <v>84</v>
      </c>
      <c r="E24" s="5">
        <v>43259</v>
      </c>
      <c r="F24" s="4" t="s">
        <v>23</v>
      </c>
      <c r="G24" s="4" t="s">
        <v>85</v>
      </c>
      <c r="H24" s="4" t="s">
        <v>86</v>
      </c>
      <c r="I24" s="4" t="s">
        <v>26</v>
      </c>
      <c r="J24" s="4" t="s">
        <v>27</v>
      </c>
      <c r="K24" s="6">
        <v>8068.57</v>
      </c>
      <c r="L24" s="6">
        <v>0</v>
      </c>
      <c r="M24" s="6">
        <f t="shared" si="1"/>
        <v>8068.57</v>
      </c>
      <c r="N24" s="7" t="str">
        <f>VLOOKUP(D24,[1]Sheet1!$N:$O,2,0)</f>
        <v>3400613</v>
      </c>
      <c r="O24" s="8" t="s">
        <v>87</v>
      </c>
      <c r="P24" s="8" t="s">
        <v>39</v>
      </c>
      <c r="Q24" s="8" t="s">
        <v>88</v>
      </c>
      <c r="R24" s="9">
        <v>43252</v>
      </c>
      <c r="S24" s="9">
        <v>43252</v>
      </c>
      <c r="T24" s="8">
        <f t="shared" si="2"/>
        <v>6</v>
      </c>
      <c r="U24" s="8" t="str">
        <f t="shared" si="3"/>
        <v>June</v>
      </c>
    </row>
    <row r="25" spans="1:21" x14ac:dyDescent="0.55000000000000004">
      <c r="A25" t="str">
        <f t="shared" si="0"/>
        <v>JuneHong Kong - DECI NC</v>
      </c>
      <c r="B25" s="3" t="s">
        <v>20</v>
      </c>
      <c r="C25" s="4" t="s">
        <v>21</v>
      </c>
      <c r="D25" s="4" t="s">
        <v>89</v>
      </c>
      <c r="E25" s="5">
        <v>43262</v>
      </c>
      <c r="F25" s="4" t="s">
        <v>23</v>
      </c>
      <c r="G25" s="4" t="s">
        <v>47</v>
      </c>
      <c r="H25" s="4" t="s">
        <v>90</v>
      </c>
      <c r="I25" s="4" t="s">
        <v>26</v>
      </c>
      <c r="J25" s="4" t="s">
        <v>27</v>
      </c>
      <c r="K25" s="6">
        <v>4876.29</v>
      </c>
      <c r="L25" s="6">
        <v>0</v>
      </c>
      <c r="M25" s="6">
        <f t="shared" si="1"/>
        <v>4876.29</v>
      </c>
      <c r="N25" s="7" t="str">
        <f>VLOOKUP(D25,[1]Sheet1!$N:$O,2,0)</f>
        <v>3418425</v>
      </c>
      <c r="O25" s="8" t="s">
        <v>91</v>
      </c>
      <c r="P25" s="8" t="s">
        <v>92</v>
      </c>
      <c r="Q25" s="8" t="s">
        <v>93</v>
      </c>
      <c r="R25" s="9">
        <v>43221</v>
      </c>
      <c r="S25" s="9">
        <v>43221</v>
      </c>
      <c r="T25" s="8">
        <f t="shared" si="2"/>
        <v>6</v>
      </c>
      <c r="U25" s="8" t="str">
        <f t="shared" si="3"/>
        <v>June</v>
      </c>
    </row>
    <row r="26" spans="1:21" x14ac:dyDescent="0.55000000000000004">
      <c r="A26" t="str">
        <f t="shared" si="0"/>
        <v>JuneHong Kong - DECI NC</v>
      </c>
      <c r="B26" s="3" t="s">
        <v>20</v>
      </c>
      <c r="C26" s="4" t="s">
        <v>21</v>
      </c>
      <c r="D26" s="4" t="s">
        <v>89</v>
      </c>
      <c r="E26" s="5">
        <v>43262</v>
      </c>
      <c r="F26" s="4" t="s">
        <v>23</v>
      </c>
      <c r="G26" s="4" t="s">
        <v>47</v>
      </c>
      <c r="H26" s="4" t="s">
        <v>90</v>
      </c>
      <c r="I26" s="4" t="s">
        <v>26</v>
      </c>
      <c r="J26" s="4" t="s">
        <v>27</v>
      </c>
      <c r="K26" s="6">
        <v>2249.4</v>
      </c>
      <c r="L26" s="6">
        <v>0</v>
      </c>
      <c r="M26" s="6">
        <f t="shared" si="1"/>
        <v>2249.4</v>
      </c>
      <c r="N26" s="7" t="str">
        <f>VLOOKUP(D26,[1]Sheet1!$N:$O,2,0)</f>
        <v>3418425</v>
      </c>
      <c r="O26" s="8" t="s">
        <v>91</v>
      </c>
      <c r="P26" s="8" t="s">
        <v>92</v>
      </c>
      <c r="Q26" s="8" t="s">
        <v>93</v>
      </c>
      <c r="R26" s="9">
        <v>43221</v>
      </c>
      <c r="S26" s="9">
        <v>43221</v>
      </c>
      <c r="T26" s="8">
        <f t="shared" si="2"/>
        <v>6</v>
      </c>
      <c r="U26" s="8" t="str">
        <f t="shared" si="3"/>
        <v>June</v>
      </c>
    </row>
    <row r="27" spans="1:21" x14ac:dyDescent="0.55000000000000004">
      <c r="A27" t="str">
        <f t="shared" si="0"/>
        <v>JuneHong Kong - DECI NC</v>
      </c>
      <c r="B27" s="3" t="s">
        <v>20</v>
      </c>
      <c r="C27" s="4" t="s">
        <v>21</v>
      </c>
      <c r="D27" s="4" t="s">
        <v>89</v>
      </c>
      <c r="E27" s="5">
        <v>43262</v>
      </c>
      <c r="F27" s="4" t="s">
        <v>23</v>
      </c>
      <c r="G27" s="4" t="s">
        <v>47</v>
      </c>
      <c r="H27" s="4" t="s">
        <v>90</v>
      </c>
      <c r="I27" s="4" t="s">
        <v>26</v>
      </c>
      <c r="J27" s="4" t="s">
        <v>27</v>
      </c>
      <c r="K27" s="6">
        <v>23.12</v>
      </c>
      <c r="L27" s="6">
        <v>0</v>
      </c>
      <c r="M27" s="6">
        <f t="shared" si="1"/>
        <v>23.12</v>
      </c>
      <c r="N27" s="7" t="str">
        <f>VLOOKUP(D27,[1]Sheet1!$N:$O,2,0)</f>
        <v>3418425</v>
      </c>
      <c r="O27" s="8" t="s">
        <v>91</v>
      </c>
      <c r="P27" s="8" t="s">
        <v>92</v>
      </c>
      <c r="Q27" s="8" t="s">
        <v>93</v>
      </c>
      <c r="R27" s="9">
        <v>43221</v>
      </c>
      <c r="S27" s="9">
        <v>43221</v>
      </c>
      <c r="T27" s="8">
        <f t="shared" si="2"/>
        <v>6</v>
      </c>
      <c r="U27" s="8" t="str">
        <f t="shared" si="3"/>
        <v>June</v>
      </c>
    </row>
    <row r="28" spans="1:21" x14ac:dyDescent="0.55000000000000004">
      <c r="A28" t="str">
        <f t="shared" si="0"/>
        <v>JuneChina - DECI NC</v>
      </c>
      <c r="B28" s="3" t="s">
        <v>20</v>
      </c>
      <c r="C28" s="4" t="s">
        <v>21</v>
      </c>
      <c r="D28" s="4" t="s">
        <v>94</v>
      </c>
      <c r="E28" s="5">
        <v>43262</v>
      </c>
      <c r="F28" s="4" t="s">
        <v>23</v>
      </c>
      <c r="G28" s="4" t="s">
        <v>47</v>
      </c>
      <c r="H28" s="4" t="s">
        <v>95</v>
      </c>
      <c r="I28" s="4" t="s">
        <v>26</v>
      </c>
      <c r="J28" s="4" t="s">
        <v>27</v>
      </c>
      <c r="K28" s="6">
        <v>52338.18</v>
      </c>
      <c r="L28" s="6">
        <v>0</v>
      </c>
      <c r="M28" s="6">
        <f t="shared" si="1"/>
        <v>52338.18</v>
      </c>
      <c r="N28" s="7" t="str">
        <f>VLOOKUP(D28,[1]Sheet1!$N:$O,2,0)</f>
        <v>3418791</v>
      </c>
      <c r="O28" s="8" t="s">
        <v>96</v>
      </c>
      <c r="P28" s="8" t="s">
        <v>97</v>
      </c>
      <c r="Q28" s="8" t="s">
        <v>98</v>
      </c>
      <c r="R28" s="9">
        <v>43221</v>
      </c>
      <c r="S28" s="9">
        <v>43221</v>
      </c>
      <c r="T28" s="8">
        <f t="shared" si="2"/>
        <v>6</v>
      </c>
      <c r="U28" s="8" t="str">
        <f t="shared" si="3"/>
        <v>June</v>
      </c>
    </row>
    <row r="29" spans="1:21" x14ac:dyDescent="0.55000000000000004">
      <c r="A29" t="str">
        <f t="shared" si="0"/>
        <v>JuneChina - DCL KY</v>
      </c>
      <c r="B29" s="3" t="s">
        <v>20</v>
      </c>
      <c r="C29" s="4" t="s">
        <v>21</v>
      </c>
      <c r="D29" s="4" t="s">
        <v>99</v>
      </c>
      <c r="E29" s="5">
        <v>43263</v>
      </c>
      <c r="F29" s="4" t="s">
        <v>23</v>
      </c>
      <c r="G29" s="4" t="s">
        <v>47</v>
      </c>
      <c r="H29" s="4" t="s">
        <v>100</v>
      </c>
      <c r="I29" s="4" t="s">
        <v>26</v>
      </c>
      <c r="J29" s="4" t="s">
        <v>27</v>
      </c>
      <c r="K29" s="6">
        <v>11245.77</v>
      </c>
      <c r="L29" s="6">
        <v>0</v>
      </c>
      <c r="M29" s="6">
        <f t="shared" si="1"/>
        <v>11245.77</v>
      </c>
      <c r="N29" s="7" t="str">
        <f>VLOOKUP(D29,[1]Sheet1!$N:$O,2,0)</f>
        <v>3418775</v>
      </c>
      <c r="O29" s="8" t="s">
        <v>101</v>
      </c>
      <c r="P29" s="8" t="s">
        <v>82</v>
      </c>
      <c r="Q29" s="8" t="s">
        <v>102</v>
      </c>
      <c r="R29" s="9">
        <v>43269</v>
      </c>
      <c r="S29" s="9">
        <v>43252</v>
      </c>
      <c r="T29" s="8">
        <f t="shared" si="2"/>
        <v>6</v>
      </c>
      <c r="U29" s="8" t="str">
        <f t="shared" si="3"/>
        <v>June</v>
      </c>
    </row>
    <row r="30" spans="1:21" x14ac:dyDescent="0.55000000000000004">
      <c r="A30" t="str">
        <f t="shared" si="0"/>
        <v>JuneHong Kong - DCL KY</v>
      </c>
      <c r="B30" s="3" t="s">
        <v>20</v>
      </c>
      <c r="C30" s="4" t="s">
        <v>21</v>
      </c>
      <c r="D30" s="4" t="s">
        <v>103</v>
      </c>
      <c r="E30" s="5">
        <v>43263</v>
      </c>
      <c r="F30" s="4" t="s">
        <v>23</v>
      </c>
      <c r="G30" s="4" t="s">
        <v>104</v>
      </c>
      <c r="H30" s="4" t="s">
        <v>105</v>
      </c>
      <c r="I30" s="4" t="s">
        <v>26</v>
      </c>
      <c r="J30" s="4" t="s">
        <v>27</v>
      </c>
      <c r="K30" s="6">
        <v>7429.4</v>
      </c>
      <c r="L30" s="6">
        <v>0</v>
      </c>
      <c r="M30" s="6">
        <f t="shared" si="1"/>
        <v>7429.4</v>
      </c>
      <c r="N30" s="7" t="str">
        <f>VLOOKUP(D30,[1]Sheet1!$N:$O,2,0)</f>
        <v>3418777</v>
      </c>
      <c r="O30" s="8" t="s">
        <v>106</v>
      </c>
      <c r="P30" s="8" t="s">
        <v>39</v>
      </c>
      <c r="Q30" s="8" t="s">
        <v>107</v>
      </c>
      <c r="R30" s="9">
        <v>43269</v>
      </c>
      <c r="S30" s="9">
        <v>43252</v>
      </c>
      <c r="T30" s="8">
        <f t="shared" si="2"/>
        <v>6</v>
      </c>
      <c r="U30" s="8" t="str">
        <f t="shared" si="3"/>
        <v>June</v>
      </c>
    </row>
    <row r="31" spans="1:21" x14ac:dyDescent="0.55000000000000004">
      <c r="A31" t="str">
        <f t="shared" si="0"/>
        <v>JuneHong Kong - Flex IL</v>
      </c>
      <c r="B31" s="3" t="s">
        <v>20</v>
      </c>
      <c r="C31" s="4" t="s">
        <v>21</v>
      </c>
      <c r="D31" s="4" t="s">
        <v>108</v>
      </c>
      <c r="E31" s="5">
        <v>43264</v>
      </c>
      <c r="F31" s="4" t="s">
        <v>23</v>
      </c>
      <c r="G31" s="4" t="s">
        <v>104</v>
      </c>
      <c r="H31" s="4" t="s">
        <v>109</v>
      </c>
      <c r="I31" s="4" t="s">
        <v>26</v>
      </c>
      <c r="J31" s="4" t="s">
        <v>27</v>
      </c>
      <c r="K31" s="6">
        <v>1923.54</v>
      </c>
      <c r="L31" s="6">
        <v>0</v>
      </c>
      <c r="M31" s="6">
        <f t="shared" si="1"/>
        <v>1923.54</v>
      </c>
      <c r="N31" s="7" t="str">
        <f>VLOOKUP(D31,[1]Sheet1!$N:$O,2,0)</f>
        <v>3418773</v>
      </c>
      <c r="O31" s="8" t="s">
        <v>110</v>
      </c>
      <c r="P31" s="8" t="s">
        <v>111</v>
      </c>
      <c r="Q31" s="8" t="s">
        <v>112</v>
      </c>
      <c r="R31" s="9">
        <v>43269</v>
      </c>
      <c r="S31" s="9">
        <v>43252</v>
      </c>
      <c r="T31" s="8">
        <f t="shared" si="2"/>
        <v>6</v>
      </c>
      <c r="U31" s="8" t="str">
        <f t="shared" si="3"/>
        <v>June</v>
      </c>
    </row>
    <row r="32" spans="1:21" x14ac:dyDescent="0.55000000000000004">
      <c r="A32" t="str">
        <f t="shared" si="0"/>
        <v>JuneHong Kong - Flex IL</v>
      </c>
      <c r="B32" s="3" t="s">
        <v>20</v>
      </c>
      <c r="C32" s="4" t="s">
        <v>21</v>
      </c>
      <c r="D32" s="4" t="s">
        <v>108</v>
      </c>
      <c r="E32" s="5">
        <v>43264</v>
      </c>
      <c r="F32" s="4" t="s">
        <v>23</v>
      </c>
      <c r="G32" s="4" t="s">
        <v>104</v>
      </c>
      <c r="H32" s="4" t="s">
        <v>109</v>
      </c>
      <c r="I32" s="4" t="s">
        <v>26</v>
      </c>
      <c r="J32" s="4" t="s">
        <v>27</v>
      </c>
      <c r="K32" s="6">
        <v>5877.47</v>
      </c>
      <c r="L32" s="6">
        <v>0</v>
      </c>
      <c r="M32" s="6">
        <f t="shared" si="1"/>
        <v>5877.47</v>
      </c>
      <c r="N32" s="7" t="str">
        <f>VLOOKUP(D32,[1]Sheet1!$N:$O,2,0)</f>
        <v>3418773</v>
      </c>
      <c r="O32" s="8" t="s">
        <v>110</v>
      </c>
      <c r="P32" s="8" t="s">
        <v>111</v>
      </c>
      <c r="Q32" s="8" t="s">
        <v>112</v>
      </c>
      <c r="R32" s="9">
        <v>43269</v>
      </c>
      <c r="S32" s="9">
        <v>43252</v>
      </c>
      <c r="T32" s="8">
        <f t="shared" si="2"/>
        <v>6</v>
      </c>
      <c r="U32" s="8" t="str">
        <f t="shared" si="3"/>
        <v>June</v>
      </c>
    </row>
    <row r="33" spans="1:21" x14ac:dyDescent="0.55000000000000004">
      <c r="A33" t="str">
        <f t="shared" si="0"/>
        <v>JuneHong Kong - Flex IL</v>
      </c>
      <c r="B33" s="3" t="s">
        <v>20</v>
      </c>
      <c r="C33" s="4" t="s">
        <v>21</v>
      </c>
      <c r="D33" s="4" t="s">
        <v>108</v>
      </c>
      <c r="E33" s="5">
        <v>43264</v>
      </c>
      <c r="F33" s="4" t="s">
        <v>23</v>
      </c>
      <c r="G33" s="4" t="s">
        <v>104</v>
      </c>
      <c r="H33" s="4" t="s">
        <v>109</v>
      </c>
      <c r="I33" s="4" t="s">
        <v>26</v>
      </c>
      <c r="J33" s="4" t="s">
        <v>27</v>
      </c>
      <c r="K33" s="6">
        <v>2208.5</v>
      </c>
      <c r="L33" s="6">
        <v>0</v>
      </c>
      <c r="M33" s="6">
        <f t="shared" si="1"/>
        <v>2208.5</v>
      </c>
      <c r="N33" s="7" t="str">
        <f>VLOOKUP(D33,[1]Sheet1!$N:$O,2,0)</f>
        <v>3418773</v>
      </c>
      <c r="O33" s="8" t="s">
        <v>110</v>
      </c>
      <c r="P33" s="8" t="s">
        <v>111</v>
      </c>
      <c r="Q33" s="8" t="s">
        <v>112</v>
      </c>
      <c r="R33" s="9">
        <v>43269</v>
      </c>
      <c r="S33" s="9">
        <v>43252</v>
      </c>
      <c r="T33" s="8">
        <f t="shared" si="2"/>
        <v>6</v>
      </c>
      <c r="U33" s="8" t="str">
        <f t="shared" si="3"/>
        <v>June</v>
      </c>
    </row>
    <row r="34" spans="1:21" x14ac:dyDescent="0.55000000000000004">
      <c r="A34" t="str">
        <f t="shared" si="0"/>
        <v>JuneHong Kong - Phillips WI</v>
      </c>
      <c r="B34" s="3" t="s">
        <v>20</v>
      </c>
      <c r="C34" s="4" t="s">
        <v>21</v>
      </c>
      <c r="D34" s="4" t="s">
        <v>113</v>
      </c>
      <c r="E34" s="5">
        <v>43264</v>
      </c>
      <c r="F34" s="4" t="s">
        <v>23</v>
      </c>
      <c r="G34" s="4" t="s">
        <v>85</v>
      </c>
      <c r="H34" s="4" t="s">
        <v>114</v>
      </c>
      <c r="I34" s="4" t="s">
        <v>26</v>
      </c>
      <c r="J34" s="4" t="s">
        <v>27</v>
      </c>
      <c r="K34" s="6">
        <v>2066.12</v>
      </c>
      <c r="L34" s="6">
        <v>0</v>
      </c>
      <c r="M34" s="6">
        <f t="shared" si="1"/>
        <v>2066.12</v>
      </c>
      <c r="N34" s="7" t="str">
        <f>VLOOKUP(D34,[1]Sheet1!$N:$O,2,0)</f>
        <v>3418787</v>
      </c>
      <c r="O34" s="8" t="s">
        <v>115</v>
      </c>
      <c r="P34" s="8" t="s">
        <v>65</v>
      </c>
      <c r="Q34" s="8" t="s">
        <v>116</v>
      </c>
      <c r="R34" s="9">
        <v>43269</v>
      </c>
      <c r="S34" s="9">
        <v>43252</v>
      </c>
      <c r="T34" s="8">
        <f t="shared" si="2"/>
        <v>6</v>
      </c>
      <c r="U34" s="8" t="str">
        <f t="shared" si="3"/>
        <v>June</v>
      </c>
    </row>
    <row r="35" spans="1:21" x14ac:dyDescent="0.55000000000000004">
      <c r="A35" t="str">
        <f t="shared" si="0"/>
        <v>JuneHong Kong - Phillips WI</v>
      </c>
      <c r="B35" s="3" t="s">
        <v>20</v>
      </c>
      <c r="C35" s="4" t="s">
        <v>21</v>
      </c>
      <c r="D35" s="4" t="s">
        <v>113</v>
      </c>
      <c r="E35" s="5">
        <v>43264</v>
      </c>
      <c r="F35" s="4" t="s">
        <v>23</v>
      </c>
      <c r="G35" s="4" t="s">
        <v>85</v>
      </c>
      <c r="H35" s="4" t="s">
        <v>114</v>
      </c>
      <c r="I35" s="4" t="s">
        <v>26</v>
      </c>
      <c r="J35" s="4" t="s">
        <v>27</v>
      </c>
      <c r="K35" s="6">
        <v>688.71</v>
      </c>
      <c r="L35" s="6">
        <v>0</v>
      </c>
      <c r="M35" s="6">
        <f t="shared" si="1"/>
        <v>688.71</v>
      </c>
      <c r="N35" s="7" t="str">
        <f>VLOOKUP(D35,[1]Sheet1!$N:$O,2,0)</f>
        <v>3418787</v>
      </c>
      <c r="O35" s="8" t="s">
        <v>115</v>
      </c>
      <c r="P35" s="8" t="s">
        <v>65</v>
      </c>
      <c r="Q35" s="8" t="s">
        <v>116</v>
      </c>
      <c r="R35" s="9">
        <v>43269</v>
      </c>
      <c r="S35" s="9">
        <v>43252</v>
      </c>
      <c r="T35" s="8">
        <f t="shared" si="2"/>
        <v>6</v>
      </c>
      <c r="U35" s="8" t="str">
        <f t="shared" si="3"/>
        <v>June</v>
      </c>
    </row>
    <row r="36" spans="1:21" x14ac:dyDescent="0.55000000000000004">
      <c r="A36" t="str">
        <f t="shared" si="0"/>
        <v>JuneHong Kong - Phillips WI</v>
      </c>
      <c r="B36" s="3" t="s">
        <v>20</v>
      </c>
      <c r="C36" s="4" t="s">
        <v>21</v>
      </c>
      <c r="D36" s="4" t="s">
        <v>117</v>
      </c>
      <c r="E36" s="5">
        <v>43267</v>
      </c>
      <c r="F36" s="4" t="s">
        <v>23</v>
      </c>
      <c r="G36" s="4" t="s">
        <v>85</v>
      </c>
      <c r="H36" s="4" t="s">
        <v>118</v>
      </c>
      <c r="I36" s="4" t="s">
        <v>26</v>
      </c>
      <c r="J36" s="4" t="s">
        <v>27</v>
      </c>
      <c r="K36" s="6">
        <v>7507.9</v>
      </c>
      <c r="L36" s="6">
        <v>0</v>
      </c>
      <c r="M36" s="6">
        <f t="shared" si="1"/>
        <v>7507.9</v>
      </c>
      <c r="N36" s="7" t="str">
        <f>VLOOKUP(D36,[1]Sheet1!$N:$O,2,0)</f>
        <v>3418421</v>
      </c>
      <c r="O36" s="8" t="s">
        <v>119</v>
      </c>
      <c r="P36" s="8" t="s">
        <v>65</v>
      </c>
      <c r="Q36" s="8" t="s">
        <v>120</v>
      </c>
      <c r="R36" s="9">
        <v>43269</v>
      </c>
      <c r="S36" s="9">
        <v>43252</v>
      </c>
      <c r="T36" s="8">
        <f t="shared" si="2"/>
        <v>6</v>
      </c>
      <c r="U36" s="8" t="str">
        <f t="shared" si="3"/>
        <v>June</v>
      </c>
    </row>
    <row r="37" spans="1:21" x14ac:dyDescent="0.55000000000000004">
      <c r="A37" t="str">
        <f t="shared" si="0"/>
        <v>JuneChina - DECI NC</v>
      </c>
      <c r="B37" s="3" t="s">
        <v>20</v>
      </c>
      <c r="C37" s="4" t="s">
        <v>21</v>
      </c>
      <c r="D37" s="4" t="s">
        <v>121</v>
      </c>
      <c r="E37" s="5">
        <v>43273</v>
      </c>
      <c r="F37" s="4" t="s">
        <v>23</v>
      </c>
      <c r="G37" s="4" t="s">
        <v>47</v>
      </c>
      <c r="H37" s="4" t="s">
        <v>122</v>
      </c>
      <c r="I37" s="4" t="s">
        <v>26</v>
      </c>
      <c r="J37" s="4" t="s">
        <v>27</v>
      </c>
      <c r="K37" s="6">
        <v>51914.86</v>
      </c>
      <c r="L37" s="6">
        <v>0</v>
      </c>
      <c r="M37" s="6">
        <f t="shared" si="1"/>
        <v>51914.86</v>
      </c>
      <c r="N37" s="7" t="str">
        <f>VLOOKUP(D37,[1]Sheet1!$N:$O,2,0)</f>
        <v>3417436</v>
      </c>
      <c r="O37" s="8" t="s">
        <v>123</v>
      </c>
      <c r="P37" s="8" t="s">
        <v>97</v>
      </c>
      <c r="Q37" s="8" t="s">
        <v>124</v>
      </c>
      <c r="R37" s="9">
        <v>43252</v>
      </c>
      <c r="S37" s="9">
        <v>43252</v>
      </c>
      <c r="T37" s="8">
        <f t="shared" si="2"/>
        <v>6</v>
      </c>
      <c r="U37" s="8" t="str">
        <f t="shared" si="3"/>
        <v>June</v>
      </c>
    </row>
    <row r="38" spans="1:21" x14ac:dyDescent="0.55000000000000004">
      <c r="A38" t="str">
        <f t="shared" si="0"/>
        <v>JuneTaiwan - DCL KY</v>
      </c>
      <c r="B38" s="3" t="s">
        <v>20</v>
      </c>
      <c r="C38" s="4" t="s">
        <v>21</v>
      </c>
      <c r="D38" s="4" t="s">
        <v>125</v>
      </c>
      <c r="E38" s="5">
        <v>43273</v>
      </c>
      <c r="F38" s="4" t="s">
        <v>23</v>
      </c>
      <c r="G38" s="4" t="s">
        <v>36</v>
      </c>
      <c r="H38" s="4" t="s">
        <v>126</v>
      </c>
      <c r="I38" s="4" t="s">
        <v>26</v>
      </c>
      <c r="J38" s="4" t="s">
        <v>27</v>
      </c>
      <c r="K38" s="6">
        <v>3801.38</v>
      </c>
      <c r="L38" s="6">
        <v>0</v>
      </c>
      <c r="M38" s="6">
        <f t="shared" si="1"/>
        <v>3801.38</v>
      </c>
      <c r="N38" s="7" t="str">
        <f>VLOOKUP(D38,[1]Sheet1!$N:$O,2,0)</f>
        <v>3418402</v>
      </c>
      <c r="O38" s="8" t="s">
        <v>127</v>
      </c>
      <c r="P38" s="8" t="s">
        <v>128</v>
      </c>
      <c r="Q38" s="8" t="s">
        <v>129</v>
      </c>
      <c r="R38" s="9">
        <v>43252</v>
      </c>
      <c r="S38" s="9">
        <v>43252</v>
      </c>
      <c r="T38" s="8">
        <f t="shared" si="2"/>
        <v>6</v>
      </c>
      <c r="U38" s="8" t="str">
        <f t="shared" si="3"/>
        <v>June</v>
      </c>
    </row>
    <row r="39" spans="1:21" x14ac:dyDescent="0.55000000000000004">
      <c r="A39" t="str">
        <f t="shared" si="0"/>
        <v>JuneHong Kong - Flex IL</v>
      </c>
      <c r="B39" s="3" t="s">
        <v>20</v>
      </c>
      <c r="C39" s="4" t="s">
        <v>21</v>
      </c>
      <c r="D39" s="4" t="s">
        <v>130</v>
      </c>
      <c r="E39" s="5">
        <v>43273</v>
      </c>
      <c r="F39" s="4" t="s">
        <v>23</v>
      </c>
      <c r="G39" s="4" t="s">
        <v>104</v>
      </c>
      <c r="H39" s="4" t="s">
        <v>131</v>
      </c>
      <c r="I39" s="4" t="s">
        <v>26</v>
      </c>
      <c r="J39" s="4" t="s">
        <v>27</v>
      </c>
      <c r="K39" s="6">
        <v>21363.3</v>
      </c>
      <c r="L39" s="6">
        <v>0</v>
      </c>
      <c r="M39" s="6">
        <f t="shared" si="1"/>
        <v>21363.3</v>
      </c>
      <c r="N39" s="7" t="str">
        <f>VLOOKUP(D39,[1]Sheet1!$N:$O,2,0)</f>
        <v>3418412</v>
      </c>
      <c r="O39" s="8" t="s">
        <v>132</v>
      </c>
      <c r="P39" s="8" t="s">
        <v>111</v>
      </c>
      <c r="Q39" s="8" t="s">
        <v>133</v>
      </c>
      <c r="R39" s="9">
        <v>43252</v>
      </c>
      <c r="S39" s="9">
        <v>43252</v>
      </c>
      <c r="T39" s="8">
        <f t="shared" si="2"/>
        <v>6</v>
      </c>
      <c r="U39" s="8" t="str">
        <f t="shared" si="3"/>
        <v>June</v>
      </c>
    </row>
    <row r="40" spans="1:21" x14ac:dyDescent="0.55000000000000004">
      <c r="A40" t="str">
        <f t="shared" si="0"/>
        <v>JuneHong Kong - Flex IL</v>
      </c>
      <c r="B40" s="3" t="s">
        <v>20</v>
      </c>
      <c r="C40" s="4" t="s">
        <v>21</v>
      </c>
      <c r="D40" s="4" t="s">
        <v>130</v>
      </c>
      <c r="E40" s="5">
        <v>43273</v>
      </c>
      <c r="F40" s="4" t="s">
        <v>23</v>
      </c>
      <c r="G40" s="4" t="s">
        <v>104</v>
      </c>
      <c r="H40" s="4" t="s">
        <v>131</v>
      </c>
      <c r="I40" s="4" t="s">
        <v>26</v>
      </c>
      <c r="J40" s="4" t="s">
        <v>27</v>
      </c>
      <c r="K40" s="6">
        <v>2105.7600000000002</v>
      </c>
      <c r="L40" s="6">
        <v>0</v>
      </c>
      <c r="M40" s="6">
        <f t="shared" si="1"/>
        <v>2105.7600000000002</v>
      </c>
      <c r="N40" s="7" t="str">
        <f>VLOOKUP(D40,[1]Sheet1!$N:$O,2,0)</f>
        <v>3418412</v>
      </c>
      <c r="O40" s="8" t="s">
        <v>132</v>
      </c>
      <c r="P40" s="8" t="s">
        <v>111</v>
      </c>
      <c r="Q40" s="8" t="s">
        <v>133</v>
      </c>
      <c r="R40" s="9">
        <v>43252</v>
      </c>
      <c r="S40" s="9">
        <v>43252</v>
      </c>
      <c r="T40" s="8">
        <f t="shared" si="2"/>
        <v>6</v>
      </c>
      <c r="U40" s="8" t="str">
        <f t="shared" si="3"/>
        <v>June</v>
      </c>
    </row>
    <row r="41" spans="1:21" x14ac:dyDescent="0.55000000000000004">
      <c r="A41" t="str">
        <f t="shared" si="0"/>
        <v>JuneChina - DECI NC</v>
      </c>
      <c r="B41" s="3" t="s">
        <v>20</v>
      </c>
      <c r="C41" s="4" t="s">
        <v>21</v>
      </c>
      <c r="D41" s="4" t="s">
        <v>134</v>
      </c>
      <c r="E41" s="5">
        <v>43273</v>
      </c>
      <c r="F41" s="4" t="s">
        <v>23</v>
      </c>
      <c r="G41" s="4" t="s">
        <v>47</v>
      </c>
      <c r="H41" s="4" t="s">
        <v>135</v>
      </c>
      <c r="I41" s="4" t="s">
        <v>26</v>
      </c>
      <c r="J41" s="4" t="s">
        <v>27</v>
      </c>
      <c r="K41" s="6">
        <v>336.84</v>
      </c>
      <c r="L41" s="6">
        <v>0</v>
      </c>
      <c r="M41" s="6">
        <f t="shared" si="1"/>
        <v>336.84</v>
      </c>
      <c r="N41" s="7" t="str">
        <f>VLOOKUP(D41,[1]Sheet1!$N:$O,2,0)</f>
        <v>3418414</v>
      </c>
      <c r="O41" s="8" t="s">
        <v>136</v>
      </c>
      <c r="P41" s="8" t="s">
        <v>97</v>
      </c>
      <c r="Q41" s="8" t="s">
        <v>137</v>
      </c>
      <c r="R41" s="9">
        <v>43252</v>
      </c>
      <c r="S41" s="9">
        <v>43252</v>
      </c>
      <c r="T41" s="8">
        <f t="shared" si="2"/>
        <v>6</v>
      </c>
      <c r="U41" s="8" t="str">
        <f t="shared" si="3"/>
        <v>June</v>
      </c>
    </row>
    <row r="42" spans="1:21" x14ac:dyDescent="0.55000000000000004">
      <c r="A42" t="str">
        <f t="shared" si="0"/>
        <v>JuneChina - DECI NC</v>
      </c>
      <c r="B42" s="3" t="s">
        <v>20</v>
      </c>
      <c r="C42" s="4" t="s">
        <v>21</v>
      </c>
      <c r="D42" s="4" t="s">
        <v>134</v>
      </c>
      <c r="E42" s="5">
        <v>43273</v>
      </c>
      <c r="F42" s="4" t="s">
        <v>23</v>
      </c>
      <c r="G42" s="4" t="s">
        <v>47</v>
      </c>
      <c r="H42" s="4" t="s">
        <v>135</v>
      </c>
      <c r="I42" s="4" t="s">
        <v>26</v>
      </c>
      <c r="J42" s="4" t="s">
        <v>27</v>
      </c>
      <c r="K42" s="6">
        <v>1280.01</v>
      </c>
      <c r="L42" s="6">
        <v>0</v>
      </c>
      <c r="M42" s="6">
        <f t="shared" si="1"/>
        <v>1280.01</v>
      </c>
      <c r="N42" s="7" t="str">
        <f>VLOOKUP(D42,[1]Sheet1!$N:$O,2,0)</f>
        <v>3418414</v>
      </c>
      <c r="O42" s="8" t="s">
        <v>136</v>
      </c>
      <c r="P42" s="8" t="s">
        <v>97</v>
      </c>
      <c r="Q42" s="8" t="s">
        <v>137</v>
      </c>
      <c r="R42" s="9">
        <v>43252</v>
      </c>
      <c r="S42" s="9">
        <v>43252</v>
      </c>
      <c r="T42" s="8">
        <f t="shared" si="2"/>
        <v>6</v>
      </c>
      <c r="U42" s="8" t="str">
        <f t="shared" si="3"/>
        <v>June</v>
      </c>
    </row>
    <row r="43" spans="1:21" x14ac:dyDescent="0.55000000000000004">
      <c r="A43" t="str">
        <f t="shared" si="0"/>
        <v>JuneHong Kong - Flex IL</v>
      </c>
      <c r="B43" s="3" t="s">
        <v>20</v>
      </c>
      <c r="C43" s="4" t="s">
        <v>21</v>
      </c>
      <c r="D43" s="4" t="s">
        <v>138</v>
      </c>
      <c r="E43" s="5">
        <v>43273</v>
      </c>
      <c r="F43" s="4" t="s">
        <v>23</v>
      </c>
      <c r="G43" s="4" t="s">
        <v>104</v>
      </c>
      <c r="H43" s="4" t="s">
        <v>139</v>
      </c>
      <c r="I43" s="4" t="s">
        <v>26</v>
      </c>
      <c r="J43" s="4" t="s">
        <v>27</v>
      </c>
      <c r="K43" s="6">
        <v>8964.3700000000008</v>
      </c>
      <c r="L43" s="6">
        <v>0</v>
      </c>
      <c r="M43" s="6">
        <f t="shared" si="1"/>
        <v>8964.3700000000008</v>
      </c>
      <c r="N43" s="7" t="str">
        <f>VLOOKUP(D43,[1]Sheet1!$N:$O,2,0)</f>
        <v>3418416</v>
      </c>
      <c r="O43" s="8" t="s">
        <v>140</v>
      </c>
      <c r="P43" s="8" t="s">
        <v>111</v>
      </c>
      <c r="Q43" s="8" t="s">
        <v>141</v>
      </c>
      <c r="R43" s="9">
        <v>43252</v>
      </c>
      <c r="S43" s="9">
        <v>43252</v>
      </c>
      <c r="T43" s="8">
        <f t="shared" si="2"/>
        <v>6</v>
      </c>
      <c r="U43" s="8" t="str">
        <f t="shared" si="3"/>
        <v>June</v>
      </c>
    </row>
    <row r="44" spans="1:21" x14ac:dyDescent="0.55000000000000004">
      <c r="A44" t="str">
        <f t="shared" si="0"/>
        <v>JuneChina - DECI NC</v>
      </c>
      <c r="B44" s="3" t="s">
        <v>20</v>
      </c>
      <c r="C44" s="4" t="s">
        <v>21</v>
      </c>
      <c r="D44" s="4" t="s">
        <v>142</v>
      </c>
      <c r="E44" s="5">
        <v>43273</v>
      </c>
      <c r="F44" s="4" t="s">
        <v>23</v>
      </c>
      <c r="G44" s="4" t="s">
        <v>47</v>
      </c>
      <c r="H44" s="4" t="s">
        <v>143</v>
      </c>
      <c r="I44" s="4" t="s">
        <v>26</v>
      </c>
      <c r="J44" s="4" t="s">
        <v>27</v>
      </c>
      <c r="K44" s="6">
        <v>7264.62</v>
      </c>
      <c r="L44" s="6">
        <v>0</v>
      </c>
      <c r="M44" s="6">
        <f t="shared" si="1"/>
        <v>7264.62</v>
      </c>
      <c r="N44" s="7" t="str">
        <f>VLOOKUP(D44,[1]Sheet1!$N:$O,2,0)</f>
        <v>3418419</v>
      </c>
      <c r="O44" s="8" t="s">
        <v>144</v>
      </c>
      <c r="P44" s="8" t="s">
        <v>97</v>
      </c>
      <c r="Q44" s="8" t="s">
        <v>145</v>
      </c>
      <c r="R44" s="9">
        <v>43252</v>
      </c>
      <c r="S44" s="9">
        <v>43252</v>
      </c>
      <c r="T44" s="8">
        <f t="shared" si="2"/>
        <v>6</v>
      </c>
      <c r="U44" s="8" t="str">
        <f t="shared" si="3"/>
        <v>June</v>
      </c>
    </row>
    <row r="45" spans="1:21" x14ac:dyDescent="0.55000000000000004">
      <c r="A45" t="str">
        <f t="shared" si="0"/>
        <v>JuneHong Kong - DCL KY</v>
      </c>
      <c r="B45" s="3" t="s">
        <v>20</v>
      </c>
      <c r="C45" s="4" t="s">
        <v>21</v>
      </c>
      <c r="D45" s="4" t="s">
        <v>146</v>
      </c>
      <c r="E45" s="5">
        <v>43273</v>
      </c>
      <c r="F45" s="4" t="s">
        <v>23</v>
      </c>
      <c r="G45" s="4" t="s">
        <v>57</v>
      </c>
      <c r="H45" s="4" t="s">
        <v>147</v>
      </c>
      <c r="I45" s="4" t="s">
        <v>26</v>
      </c>
      <c r="J45" s="4" t="s">
        <v>27</v>
      </c>
      <c r="K45" s="6">
        <v>40.020000000000003</v>
      </c>
      <c r="L45" s="6">
        <v>0</v>
      </c>
      <c r="M45" s="6">
        <f t="shared" si="1"/>
        <v>40.020000000000003</v>
      </c>
      <c r="N45" s="7" t="str">
        <f>VLOOKUP(D45,[1]Sheet1!$N:$O,2,0)</f>
        <v>3418781</v>
      </c>
      <c r="O45" s="8" t="s">
        <v>148</v>
      </c>
      <c r="P45" s="8" t="s">
        <v>39</v>
      </c>
      <c r="Q45" s="8" t="s">
        <v>149</v>
      </c>
      <c r="R45" s="9">
        <v>43191</v>
      </c>
      <c r="S45" s="9">
        <v>43191</v>
      </c>
      <c r="T45" s="8">
        <f t="shared" si="2"/>
        <v>6</v>
      </c>
      <c r="U45" s="8" t="str">
        <f t="shared" si="3"/>
        <v>June</v>
      </c>
    </row>
    <row r="46" spans="1:21" x14ac:dyDescent="0.55000000000000004">
      <c r="A46" t="str">
        <f t="shared" si="0"/>
        <v>JuneHong Kong - DCL KY</v>
      </c>
      <c r="B46" s="3" t="s">
        <v>20</v>
      </c>
      <c r="C46" s="4" t="s">
        <v>21</v>
      </c>
      <c r="D46" s="4" t="s">
        <v>146</v>
      </c>
      <c r="E46" s="5">
        <v>43273</v>
      </c>
      <c r="F46" s="4" t="s">
        <v>23</v>
      </c>
      <c r="G46" s="4" t="s">
        <v>57</v>
      </c>
      <c r="H46" s="4" t="s">
        <v>147</v>
      </c>
      <c r="I46" s="4" t="s">
        <v>26</v>
      </c>
      <c r="J46" s="4" t="s">
        <v>27</v>
      </c>
      <c r="K46" s="6">
        <v>4202.32</v>
      </c>
      <c r="L46" s="6">
        <v>0</v>
      </c>
      <c r="M46" s="6">
        <f t="shared" si="1"/>
        <v>4202.32</v>
      </c>
      <c r="N46" s="7" t="str">
        <f>VLOOKUP(D46,[1]Sheet1!$N:$O,2,0)</f>
        <v>3418781</v>
      </c>
      <c r="O46" s="8" t="s">
        <v>148</v>
      </c>
      <c r="P46" s="8" t="s">
        <v>39</v>
      </c>
      <c r="Q46" s="8" t="s">
        <v>149</v>
      </c>
      <c r="R46" s="9">
        <v>43191</v>
      </c>
      <c r="S46" s="9">
        <v>43191</v>
      </c>
      <c r="T46" s="8">
        <f t="shared" si="2"/>
        <v>6</v>
      </c>
      <c r="U46" s="8" t="str">
        <f t="shared" si="3"/>
        <v>June</v>
      </c>
    </row>
    <row r="47" spans="1:21" x14ac:dyDescent="0.55000000000000004">
      <c r="A47" t="str">
        <f t="shared" si="0"/>
        <v>MarchGreensboro NC - Phillips WI</v>
      </c>
      <c r="B47" s="3" t="s">
        <v>20</v>
      </c>
      <c r="C47" s="4" t="s">
        <v>150</v>
      </c>
      <c r="D47" s="4" t="s">
        <v>151</v>
      </c>
      <c r="E47" s="5">
        <v>43164</v>
      </c>
      <c r="F47" s="4" t="s">
        <v>23</v>
      </c>
      <c r="G47" s="4" t="s">
        <v>152</v>
      </c>
      <c r="H47" s="4" t="s">
        <v>153</v>
      </c>
      <c r="I47" s="4" t="s">
        <v>154</v>
      </c>
      <c r="J47" s="4" t="s">
        <v>27</v>
      </c>
      <c r="K47" s="6">
        <v>1700</v>
      </c>
      <c r="L47" s="6">
        <v>0</v>
      </c>
      <c r="M47" s="6">
        <f t="shared" si="1"/>
        <v>1700</v>
      </c>
      <c r="N47" s="4"/>
      <c r="O47" s="8" t="s">
        <v>152</v>
      </c>
      <c r="P47" s="8" t="s">
        <v>155</v>
      </c>
      <c r="Q47" s="10" t="s">
        <v>156</v>
      </c>
      <c r="R47" s="9">
        <v>43160</v>
      </c>
      <c r="S47" s="9">
        <v>43160</v>
      </c>
      <c r="T47" s="8">
        <f t="shared" si="2"/>
        <v>3</v>
      </c>
      <c r="U47" s="8" t="str">
        <f t="shared" si="3"/>
        <v>March</v>
      </c>
    </row>
    <row r="48" spans="1:21" x14ac:dyDescent="0.55000000000000004">
      <c r="A48" t="str">
        <f t="shared" si="0"/>
        <v>MarchGreensboro NC - Phillips WI</v>
      </c>
      <c r="B48" s="3" t="s">
        <v>20</v>
      </c>
      <c r="C48" s="4" t="s">
        <v>150</v>
      </c>
      <c r="D48" s="4" t="s">
        <v>157</v>
      </c>
      <c r="E48" s="5">
        <v>43186</v>
      </c>
      <c r="F48" s="4" t="s">
        <v>23</v>
      </c>
      <c r="G48" s="4" t="s">
        <v>158</v>
      </c>
      <c r="H48" s="11">
        <v>1010838</v>
      </c>
      <c r="I48" s="4" t="s">
        <v>154</v>
      </c>
      <c r="J48" s="4" t="s">
        <v>27</v>
      </c>
      <c r="K48" s="6">
        <v>1422.8</v>
      </c>
      <c r="L48" s="6">
        <v>0</v>
      </c>
      <c r="M48" s="6">
        <f t="shared" si="1"/>
        <v>1422.8</v>
      </c>
      <c r="N48" s="4"/>
      <c r="O48" s="8" t="s">
        <v>152</v>
      </c>
      <c r="P48" s="8" t="s">
        <v>155</v>
      </c>
      <c r="Q48" s="12" t="s">
        <v>159</v>
      </c>
      <c r="R48" s="9">
        <v>43160</v>
      </c>
      <c r="S48" s="9">
        <v>43160</v>
      </c>
      <c r="T48" s="8">
        <f t="shared" si="2"/>
        <v>3</v>
      </c>
      <c r="U48" s="8" t="str">
        <f t="shared" si="3"/>
        <v>March</v>
      </c>
    </row>
    <row r="49" spans="1:21" x14ac:dyDescent="0.55000000000000004">
      <c r="A49" t="str">
        <f t="shared" si="0"/>
        <v>AprilHong Kong - DECI NC</v>
      </c>
      <c r="B49" s="3" t="s">
        <v>20</v>
      </c>
      <c r="C49" s="4" t="s">
        <v>150</v>
      </c>
      <c r="D49" s="4" t="s">
        <v>160</v>
      </c>
      <c r="E49" s="5">
        <v>43194</v>
      </c>
      <c r="F49" s="4" t="s">
        <v>23</v>
      </c>
      <c r="G49" s="4" t="s">
        <v>161</v>
      </c>
      <c r="H49" s="13">
        <v>1010008</v>
      </c>
      <c r="I49" s="4" t="s">
        <v>154</v>
      </c>
      <c r="J49" s="4" t="s">
        <v>27</v>
      </c>
      <c r="K49" s="6">
        <v>30</v>
      </c>
      <c r="L49" s="6">
        <v>0</v>
      </c>
      <c r="M49" s="6">
        <f t="shared" si="1"/>
        <v>30</v>
      </c>
      <c r="N49" s="4"/>
      <c r="O49" s="3" t="s">
        <v>161</v>
      </c>
      <c r="P49" s="3" t="s">
        <v>92</v>
      </c>
      <c r="Q49" s="3" t="s">
        <v>162</v>
      </c>
      <c r="R49" s="9">
        <v>43191</v>
      </c>
      <c r="S49" s="9">
        <v>43191</v>
      </c>
      <c r="T49" s="8">
        <f t="shared" si="2"/>
        <v>4</v>
      </c>
      <c r="U49" s="8" t="str">
        <f t="shared" si="3"/>
        <v>April</v>
      </c>
    </row>
    <row r="50" spans="1:21" x14ac:dyDescent="0.55000000000000004">
      <c r="A50" t="str">
        <f t="shared" si="0"/>
        <v>AprilHong Kong - DCL KY</v>
      </c>
      <c r="B50" s="3" t="s">
        <v>20</v>
      </c>
      <c r="C50" s="4" t="s">
        <v>150</v>
      </c>
      <c r="D50" s="4" t="s">
        <v>163</v>
      </c>
      <c r="E50" s="5">
        <v>43196</v>
      </c>
      <c r="F50" s="4" t="s">
        <v>23</v>
      </c>
      <c r="G50" s="4" t="s">
        <v>20</v>
      </c>
      <c r="H50" s="4" t="s">
        <v>164</v>
      </c>
      <c r="I50" s="4" t="s">
        <v>154</v>
      </c>
      <c r="J50" s="4" t="s">
        <v>27</v>
      </c>
      <c r="K50" s="6">
        <v>132</v>
      </c>
      <c r="L50" s="6">
        <v>0</v>
      </c>
      <c r="M50" s="6">
        <f t="shared" si="1"/>
        <v>132</v>
      </c>
      <c r="N50" s="4"/>
      <c r="O50" s="3" t="s">
        <v>161</v>
      </c>
      <c r="P50" s="3" t="s">
        <v>39</v>
      </c>
      <c r="Q50" s="3" t="s">
        <v>165</v>
      </c>
      <c r="R50" s="9">
        <v>43191</v>
      </c>
      <c r="S50" s="9">
        <v>43191</v>
      </c>
      <c r="T50" s="8">
        <f t="shared" si="2"/>
        <v>4</v>
      </c>
      <c r="U50" s="8" t="str">
        <f t="shared" si="3"/>
        <v>April</v>
      </c>
    </row>
    <row r="51" spans="1:21" x14ac:dyDescent="0.55000000000000004">
      <c r="A51" t="str">
        <f t="shared" si="0"/>
        <v>AprilHong Kong - DCL KY</v>
      </c>
      <c r="B51" s="3" t="s">
        <v>20</v>
      </c>
      <c r="C51" s="4" t="s">
        <v>150</v>
      </c>
      <c r="D51" s="4" t="s">
        <v>166</v>
      </c>
      <c r="E51" s="5">
        <v>43196</v>
      </c>
      <c r="F51" s="4" t="s">
        <v>23</v>
      </c>
      <c r="G51" s="4" t="s">
        <v>161</v>
      </c>
      <c r="H51" s="4" t="s">
        <v>167</v>
      </c>
      <c r="I51" s="4" t="s">
        <v>154</v>
      </c>
      <c r="J51" s="4" t="s">
        <v>27</v>
      </c>
      <c r="K51" s="6">
        <v>48</v>
      </c>
      <c r="L51" s="6">
        <v>0</v>
      </c>
      <c r="M51" s="6">
        <f t="shared" si="1"/>
        <v>48</v>
      </c>
      <c r="N51" s="4"/>
      <c r="O51" s="3" t="s">
        <v>161</v>
      </c>
      <c r="P51" s="3" t="s">
        <v>39</v>
      </c>
      <c r="Q51" s="3" t="s">
        <v>168</v>
      </c>
      <c r="R51" s="9">
        <v>43191</v>
      </c>
      <c r="S51" s="9">
        <v>43191</v>
      </c>
      <c r="T51" s="8">
        <f t="shared" si="2"/>
        <v>4</v>
      </c>
      <c r="U51" s="8" t="str">
        <f t="shared" si="3"/>
        <v>April</v>
      </c>
    </row>
    <row r="52" spans="1:21" x14ac:dyDescent="0.55000000000000004">
      <c r="A52" t="str">
        <f t="shared" si="0"/>
        <v>AprilAFG NC - DCL KY</v>
      </c>
      <c r="B52" s="3" t="s">
        <v>20</v>
      </c>
      <c r="C52" s="4" t="s">
        <v>150</v>
      </c>
      <c r="D52" s="4" t="s">
        <v>169</v>
      </c>
      <c r="E52" s="5">
        <v>43199</v>
      </c>
      <c r="F52" s="4" t="s">
        <v>23</v>
      </c>
      <c r="G52" s="4" t="s">
        <v>170</v>
      </c>
      <c r="H52" s="4" t="s">
        <v>171</v>
      </c>
      <c r="I52" s="4" t="s">
        <v>154</v>
      </c>
      <c r="J52" s="4" t="s">
        <v>172</v>
      </c>
      <c r="K52" s="6">
        <v>1675</v>
      </c>
      <c r="L52" s="6">
        <v>0</v>
      </c>
      <c r="M52" s="6">
        <f t="shared" si="1"/>
        <v>1675</v>
      </c>
      <c r="N52" s="4"/>
      <c r="O52" s="14" t="s">
        <v>170</v>
      </c>
      <c r="P52" s="14" t="s">
        <v>173</v>
      </c>
      <c r="Q52" s="3" t="s">
        <v>174</v>
      </c>
      <c r="R52" s="9">
        <v>43191</v>
      </c>
      <c r="S52" s="9">
        <v>43191</v>
      </c>
      <c r="T52" s="8">
        <f t="shared" si="2"/>
        <v>4</v>
      </c>
      <c r="U52" s="8" t="str">
        <f t="shared" si="3"/>
        <v>April</v>
      </c>
    </row>
    <row r="53" spans="1:21" x14ac:dyDescent="0.55000000000000004">
      <c r="A53" t="str">
        <f t="shared" si="0"/>
        <v>AprilDECI NC - DCL KY</v>
      </c>
      <c r="B53" s="3" t="s">
        <v>20</v>
      </c>
      <c r="C53" s="4" t="s">
        <v>150</v>
      </c>
      <c r="D53" s="4" t="s">
        <v>175</v>
      </c>
      <c r="E53" s="5">
        <v>43202</v>
      </c>
      <c r="F53" s="4" t="s">
        <v>23</v>
      </c>
      <c r="G53" s="4" t="s">
        <v>176</v>
      </c>
      <c r="H53" s="4" t="s">
        <v>177</v>
      </c>
      <c r="I53" s="4" t="s">
        <v>154</v>
      </c>
      <c r="J53" s="4" t="s">
        <v>172</v>
      </c>
      <c r="K53" s="6">
        <v>1450</v>
      </c>
      <c r="L53" s="6">
        <v>0</v>
      </c>
      <c r="M53" s="6">
        <f t="shared" si="1"/>
        <v>1450</v>
      </c>
      <c r="N53" s="4"/>
      <c r="O53" s="14" t="s">
        <v>176</v>
      </c>
      <c r="P53" s="14" t="s">
        <v>178</v>
      </c>
      <c r="Q53" s="3" t="s">
        <v>179</v>
      </c>
      <c r="R53" s="9">
        <v>43191</v>
      </c>
      <c r="S53" s="9">
        <v>43191</v>
      </c>
      <c r="T53" s="8">
        <f t="shared" si="2"/>
        <v>4</v>
      </c>
      <c r="U53" s="8" t="str">
        <f t="shared" si="3"/>
        <v>April</v>
      </c>
    </row>
    <row r="54" spans="1:21" x14ac:dyDescent="0.55000000000000004">
      <c r="A54" t="str">
        <f t="shared" si="0"/>
        <v>AprilHong Kong - DECI NC</v>
      </c>
      <c r="B54" s="3" t="s">
        <v>20</v>
      </c>
      <c r="C54" s="4" t="s">
        <v>150</v>
      </c>
      <c r="D54" s="4" t="s">
        <v>180</v>
      </c>
      <c r="E54" s="5">
        <v>43204</v>
      </c>
      <c r="F54" s="4" t="s">
        <v>23</v>
      </c>
      <c r="G54" s="4" t="s">
        <v>161</v>
      </c>
      <c r="H54" s="4" t="s">
        <v>181</v>
      </c>
      <c r="I54" s="4" t="s">
        <v>154</v>
      </c>
      <c r="J54" s="4" t="s">
        <v>27</v>
      </c>
      <c r="K54" s="6">
        <v>45</v>
      </c>
      <c r="L54" s="6">
        <v>0</v>
      </c>
      <c r="M54" s="6">
        <f t="shared" si="1"/>
        <v>45</v>
      </c>
      <c r="N54" s="4"/>
      <c r="O54" s="3" t="s">
        <v>161</v>
      </c>
      <c r="P54" s="3" t="s">
        <v>92</v>
      </c>
      <c r="Q54" s="3" t="s">
        <v>182</v>
      </c>
      <c r="R54" s="9">
        <v>43191</v>
      </c>
      <c r="S54" s="9">
        <v>43191</v>
      </c>
      <c r="T54" s="8">
        <f t="shared" si="2"/>
        <v>4</v>
      </c>
      <c r="U54" s="8" t="str">
        <f t="shared" si="3"/>
        <v>April</v>
      </c>
    </row>
    <row r="55" spans="1:21" x14ac:dyDescent="0.55000000000000004">
      <c r="A55" t="str">
        <f t="shared" si="0"/>
        <v>MayChicago IL - Phillips WI</v>
      </c>
      <c r="B55" s="3" t="s">
        <v>20</v>
      </c>
      <c r="C55" s="4" t="s">
        <v>150</v>
      </c>
      <c r="D55" s="4" t="s">
        <v>183</v>
      </c>
      <c r="E55" s="5">
        <v>43224</v>
      </c>
      <c r="F55" s="4" t="s">
        <v>23</v>
      </c>
      <c r="G55" s="4" t="s">
        <v>184</v>
      </c>
      <c r="H55" s="4" t="s">
        <v>185</v>
      </c>
      <c r="I55" s="4" t="s">
        <v>154</v>
      </c>
      <c r="J55" s="4" t="s">
        <v>27</v>
      </c>
      <c r="K55" s="6">
        <v>378.67</v>
      </c>
      <c r="L55" s="6">
        <v>0</v>
      </c>
      <c r="M55" s="6">
        <f t="shared" si="1"/>
        <v>378.67</v>
      </c>
      <c r="N55" s="4"/>
      <c r="O55" s="3" t="s">
        <v>186</v>
      </c>
      <c r="P55" s="8" t="s">
        <v>187</v>
      </c>
      <c r="Q55" s="10">
        <v>90924544</v>
      </c>
      <c r="R55" s="9">
        <v>43221</v>
      </c>
      <c r="S55" s="9">
        <v>43221</v>
      </c>
      <c r="T55" s="8">
        <f t="shared" si="2"/>
        <v>5</v>
      </c>
      <c r="U55" s="8" t="str">
        <f t="shared" si="3"/>
        <v>May</v>
      </c>
    </row>
    <row r="56" spans="1:21" x14ac:dyDescent="0.55000000000000004">
      <c r="A56" t="str">
        <f t="shared" si="0"/>
        <v>MayHong Kong - DCL KY</v>
      </c>
      <c r="B56" s="3" t="s">
        <v>20</v>
      </c>
      <c r="C56" s="4" t="s">
        <v>150</v>
      </c>
      <c r="D56" s="4" t="s">
        <v>188</v>
      </c>
      <c r="E56" s="5">
        <v>43225</v>
      </c>
      <c r="F56" s="4" t="s">
        <v>23</v>
      </c>
      <c r="G56" s="4" t="s">
        <v>161</v>
      </c>
      <c r="H56" s="4" t="s">
        <v>189</v>
      </c>
      <c r="I56" s="4" t="s">
        <v>154</v>
      </c>
      <c r="J56" s="4" t="s">
        <v>27</v>
      </c>
      <c r="K56" s="6">
        <v>48</v>
      </c>
      <c r="L56" s="6">
        <v>0</v>
      </c>
      <c r="M56" s="6">
        <f t="shared" si="1"/>
        <v>48</v>
      </c>
      <c r="N56" s="4"/>
      <c r="O56" s="3" t="s">
        <v>161</v>
      </c>
      <c r="P56" s="3" t="s">
        <v>39</v>
      </c>
      <c r="Q56" s="8" t="s">
        <v>190</v>
      </c>
      <c r="R56" s="9">
        <v>43221</v>
      </c>
      <c r="S56" s="9">
        <v>43221</v>
      </c>
      <c r="T56" s="8">
        <f t="shared" si="2"/>
        <v>5</v>
      </c>
      <c r="U56" s="8" t="str">
        <f t="shared" si="3"/>
        <v>May</v>
      </c>
    </row>
    <row r="57" spans="1:21" x14ac:dyDescent="0.55000000000000004">
      <c r="A57" t="str">
        <f t="shared" si="0"/>
        <v>MayHong Kong - Phillips WI</v>
      </c>
      <c r="B57" s="3" t="s">
        <v>20</v>
      </c>
      <c r="C57" s="4" t="s">
        <v>150</v>
      </c>
      <c r="D57" s="4" t="s">
        <v>191</v>
      </c>
      <c r="E57" s="5">
        <v>43225</v>
      </c>
      <c r="F57" s="4" t="s">
        <v>23</v>
      </c>
      <c r="G57" s="4" t="s">
        <v>161</v>
      </c>
      <c r="H57" s="4" t="s">
        <v>192</v>
      </c>
      <c r="I57" s="4" t="s">
        <v>154</v>
      </c>
      <c r="J57" s="4" t="s">
        <v>27</v>
      </c>
      <c r="K57" s="6">
        <v>72</v>
      </c>
      <c r="L57" s="6">
        <v>0</v>
      </c>
      <c r="M57" s="6">
        <f t="shared" si="1"/>
        <v>72</v>
      </c>
      <c r="N57" s="4"/>
      <c r="O57" s="3" t="s">
        <v>161</v>
      </c>
      <c r="P57" s="3" t="s">
        <v>65</v>
      </c>
      <c r="Q57" s="8" t="s">
        <v>193</v>
      </c>
      <c r="R57" s="9">
        <v>43221</v>
      </c>
      <c r="S57" s="9">
        <v>43221</v>
      </c>
      <c r="T57" s="8">
        <f t="shared" si="2"/>
        <v>5</v>
      </c>
      <c r="U57" s="8" t="str">
        <f t="shared" si="3"/>
        <v>May</v>
      </c>
    </row>
    <row r="58" spans="1:21" x14ac:dyDescent="0.55000000000000004">
      <c r="A58" t="str">
        <f t="shared" si="0"/>
        <v>MayHong Kong - DECI NC</v>
      </c>
      <c r="B58" s="3" t="s">
        <v>20</v>
      </c>
      <c r="C58" s="4" t="s">
        <v>150</v>
      </c>
      <c r="D58" s="4" t="s">
        <v>194</v>
      </c>
      <c r="E58" s="5">
        <v>43231</v>
      </c>
      <c r="F58" s="4" t="s">
        <v>23</v>
      </c>
      <c r="G58" s="4" t="s">
        <v>195</v>
      </c>
      <c r="H58" s="4" t="s">
        <v>196</v>
      </c>
      <c r="I58" s="4" t="s">
        <v>154</v>
      </c>
      <c r="J58" s="4" t="s">
        <v>197</v>
      </c>
      <c r="K58" s="6">
        <v>48</v>
      </c>
      <c r="L58" s="6">
        <v>0</v>
      </c>
      <c r="M58" s="6">
        <f t="shared" si="1"/>
        <v>48</v>
      </c>
      <c r="N58" s="4"/>
      <c r="O58" s="3" t="s">
        <v>161</v>
      </c>
      <c r="P58" s="3" t="s">
        <v>92</v>
      </c>
      <c r="Q58" s="3" t="s">
        <v>198</v>
      </c>
      <c r="R58" s="9">
        <v>43221</v>
      </c>
      <c r="S58" s="9">
        <v>43221</v>
      </c>
      <c r="T58" s="8">
        <f t="shared" si="2"/>
        <v>5</v>
      </c>
      <c r="U58" s="8" t="str">
        <f t="shared" si="3"/>
        <v>May</v>
      </c>
    </row>
    <row r="59" spans="1:21" x14ac:dyDescent="0.55000000000000004">
      <c r="A59" t="str">
        <f t="shared" si="0"/>
        <v>MayHong Kong - DCL KY</v>
      </c>
      <c r="B59" s="3" t="s">
        <v>20</v>
      </c>
      <c r="C59" s="4" t="s">
        <v>150</v>
      </c>
      <c r="D59" s="4" t="s">
        <v>199</v>
      </c>
      <c r="E59" s="5">
        <v>43235</v>
      </c>
      <c r="F59" s="4" t="s">
        <v>23</v>
      </c>
      <c r="G59" s="4" t="s">
        <v>161</v>
      </c>
      <c r="H59" s="4" t="s">
        <v>200</v>
      </c>
      <c r="I59" s="4" t="s">
        <v>154</v>
      </c>
      <c r="J59" s="4" t="s">
        <v>27</v>
      </c>
      <c r="K59" s="6">
        <v>96</v>
      </c>
      <c r="L59" s="6">
        <v>0</v>
      </c>
      <c r="M59" s="6">
        <f t="shared" si="1"/>
        <v>96</v>
      </c>
      <c r="N59" s="4"/>
      <c r="O59" s="3" t="s">
        <v>161</v>
      </c>
      <c r="P59" s="3" t="s">
        <v>39</v>
      </c>
      <c r="Q59" s="8" t="s">
        <v>201</v>
      </c>
      <c r="R59" s="9">
        <v>43221</v>
      </c>
      <c r="S59" s="9">
        <v>43221</v>
      </c>
      <c r="T59" s="8">
        <f t="shared" si="2"/>
        <v>5</v>
      </c>
      <c r="U59" s="8" t="str">
        <f t="shared" si="3"/>
        <v>May</v>
      </c>
    </row>
    <row r="60" spans="1:21" x14ac:dyDescent="0.55000000000000004">
      <c r="A60" t="str">
        <f t="shared" si="0"/>
        <v>MayHong Kong - DCL KY</v>
      </c>
      <c r="B60" s="3" t="s">
        <v>20</v>
      </c>
      <c r="C60" s="4" t="s">
        <v>150</v>
      </c>
      <c r="D60" s="4" t="s">
        <v>202</v>
      </c>
      <c r="E60" s="5">
        <v>43245</v>
      </c>
      <c r="F60" s="4" t="s">
        <v>23</v>
      </c>
      <c r="G60" s="4" t="s">
        <v>161</v>
      </c>
      <c r="H60" s="4" t="s">
        <v>203</v>
      </c>
      <c r="I60" s="4" t="s">
        <v>154</v>
      </c>
      <c r="J60" s="4" t="s">
        <v>27</v>
      </c>
      <c r="K60" s="6">
        <v>60</v>
      </c>
      <c r="L60" s="6">
        <v>0</v>
      </c>
      <c r="M60" s="6">
        <f t="shared" si="1"/>
        <v>60</v>
      </c>
      <c r="N60" s="4"/>
      <c r="O60" s="3" t="s">
        <v>161</v>
      </c>
      <c r="P60" s="3" t="s">
        <v>39</v>
      </c>
      <c r="Q60" s="8" t="s">
        <v>204</v>
      </c>
      <c r="R60" s="9">
        <v>43221</v>
      </c>
      <c r="S60" s="9">
        <v>43221</v>
      </c>
      <c r="T60" s="8">
        <f t="shared" si="2"/>
        <v>5</v>
      </c>
      <c r="U60" s="8" t="str">
        <f t="shared" si="3"/>
        <v>May</v>
      </c>
    </row>
    <row r="61" spans="1:21" x14ac:dyDescent="0.55000000000000004">
      <c r="A61" t="str">
        <f t="shared" si="0"/>
        <v>MayHong Kong - Phillips WI</v>
      </c>
      <c r="B61" s="3" t="s">
        <v>20</v>
      </c>
      <c r="C61" s="4" t="s">
        <v>150</v>
      </c>
      <c r="D61" s="4" t="s">
        <v>205</v>
      </c>
      <c r="E61" s="5">
        <v>43245</v>
      </c>
      <c r="F61" s="4" t="s">
        <v>23</v>
      </c>
      <c r="G61" s="4" t="s">
        <v>161</v>
      </c>
      <c r="H61" s="4" t="s">
        <v>206</v>
      </c>
      <c r="I61" s="4" t="s">
        <v>154</v>
      </c>
      <c r="J61" s="4" t="s">
        <v>27</v>
      </c>
      <c r="K61" s="6">
        <v>36</v>
      </c>
      <c r="L61" s="6">
        <v>0</v>
      </c>
      <c r="M61" s="6">
        <f t="shared" si="1"/>
        <v>36</v>
      </c>
      <c r="N61" s="4"/>
      <c r="O61" s="3" t="s">
        <v>161</v>
      </c>
      <c r="P61" s="3" t="s">
        <v>65</v>
      </c>
      <c r="Q61" s="8" t="s">
        <v>207</v>
      </c>
      <c r="R61" s="9">
        <v>43221</v>
      </c>
      <c r="S61" s="9">
        <v>43221</v>
      </c>
      <c r="T61" s="8">
        <f t="shared" si="2"/>
        <v>5</v>
      </c>
      <c r="U61" s="8" t="str">
        <f t="shared" si="3"/>
        <v>May</v>
      </c>
    </row>
    <row r="62" spans="1:21" x14ac:dyDescent="0.55000000000000004">
      <c r="A62" t="str">
        <f t="shared" si="0"/>
        <v>MayHong Kong - DCL KY</v>
      </c>
      <c r="B62" s="3" t="s">
        <v>20</v>
      </c>
      <c r="C62" s="4" t="s">
        <v>150</v>
      </c>
      <c r="D62" s="4" t="s">
        <v>208</v>
      </c>
      <c r="E62" s="5">
        <v>43245</v>
      </c>
      <c r="F62" s="4" t="s">
        <v>23</v>
      </c>
      <c r="G62" s="4" t="s">
        <v>161</v>
      </c>
      <c r="H62" s="4" t="s">
        <v>209</v>
      </c>
      <c r="I62" s="4" t="s">
        <v>154</v>
      </c>
      <c r="J62" s="4" t="s">
        <v>27</v>
      </c>
      <c r="K62" s="6">
        <v>72</v>
      </c>
      <c r="L62" s="6">
        <v>0</v>
      </c>
      <c r="M62" s="6">
        <f t="shared" si="1"/>
        <v>72</v>
      </c>
      <c r="N62" s="4"/>
      <c r="O62" s="3" t="s">
        <v>161</v>
      </c>
      <c r="P62" s="3" t="s">
        <v>39</v>
      </c>
      <c r="Q62" s="3" t="s">
        <v>210</v>
      </c>
      <c r="R62" s="9">
        <v>43221</v>
      </c>
      <c r="S62" s="9">
        <v>43221</v>
      </c>
      <c r="T62" s="8">
        <f t="shared" si="2"/>
        <v>5</v>
      </c>
      <c r="U62" s="8" t="str">
        <f t="shared" si="3"/>
        <v>May</v>
      </c>
    </row>
    <row r="63" spans="1:21" x14ac:dyDescent="0.55000000000000004">
      <c r="A63" t="str">
        <f t="shared" si="0"/>
        <v>MayHong Kong - Phillips WI</v>
      </c>
      <c r="B63" s="3" t="s">
        <v>20</v>
      </c>
      <c r="C63" s="4" t="s">
        <v>150</v>
      </c>
      <c r="D63" s="4" t="s">
        <v>211</v>
      </c>
      <c r="E63" s="5">
        <v>43245</v>
      </c>
      <c r="F63" s="4" t="s">
        <v>23</v>
      </c>
      <c r="G63" s="4" t="s">
        <v>161</v>
      </c>
      <c r="H63" s="4" t="s">
        <v>212</v>
      </c>
      <c r="I63" s="4" t="s">
        <v>154</v>
      </c>
      <c r="J63" s="4" t="s">
        <v>27</v>
      </c>
      <c r="K63" s="6">
        <v>36</v>
      </c>
      <c r="L63" s="6">
        <v>0</v>
      </c>
      <c r="M63" s="6">
        <f t="shared" si="1"/>
        <v>36</v>
      </c>
      <c r="N63" s="4"/>
      <c r="O63" s="3" t="s">
        <v>161</v>
      </c>
      <c r="P63" s="3" t="s">
        <v>65</v>
      </c>
      <c r="Q63" s="8" t="s">
        <v>213</v>
      </c>
      <c r="R63" s="9">
        <v>43221</v>
      </c>
      <c r="S63" s="9">
        <v>43221</v>
      </c>
      <c r="T63" s="8">
        <f t="shared" si="2"/>
        <v>5</v>
      </c>
      <c r="U63" s="8" t="str">
        <f t="shared" si="3"/>
        <v>May</v>
      </c>
    </row>
    <row r="64" spans="1:21" x14ac:dyDescent="0.55000000000000004">
      <c r="A64" t="str">
        <f t="shared" si="0"/>
        <v>JuneHong Kong - DCL KY</v>
      </c>
      <c r="B64" s="3" t="s">
        <v>20</v>
      </c>
      <c r="C64" s="4" t="s">
        <v>150</v>
      </c>
      <c r="D64" s="4" t="s">
        <v>214</v>
      </c>
      <c r="E64" s="5">
        <v>43252</v>
      </c>
      <c r="F64" s="4" t="s">
        <v>23</v>
      </c>
      <c r="G64" s="4" t="s">
        <v>20</v>
      </c>
      <c r="H64" s="4" t="s">
        <v>215</v>
      </c>
      <c r="I64" s="4" t="s">
        <v>154</v>
      </c>
      <c r="J64" s="4" t="s">
        <v>27</v>
      </c>
      <c r="K64" s="6">
        <v>48</v>
      </c>
      <c r="L64" s="6">
        <v>0</v>
      </c>
      <c r="M64" s="6">
        <f t="shared" si="1"/>
        <v>48</v>
      </c>
      <c r="N64" s="4"/>
      <c r="O64" s="3" t="s">
        <v>161</v>
      </c>
      <c r="P64" s="3" t="s">
        <v>39</v>
      </c>
      <c r="Q64" s="8" t="s">
        <v>216</v>
      </c>
      <c r="R64" s="9">
        <v>43252</v>
      </c>
      <c r="S64" s="9">
        <v>43252</v>
      </c>
      <c r="T64" s="8">
        <f t="shared" si="2"/>
        <v>6</v>
      </c>
      <c r="U64" s="8" t="str">
        <f t="shared" si="3"/>
        <v>June</v>
      </c>
    </row>
    <row r="65" spans="1:21" x14ac:dyDescent="0.55000000000000004">
      <c r="A65" t="str">
        <f t="shared" si="0"/>
        <v>JuneHong Kong - Phillips WI</v>
      </c>
      <c r="B65" s="3" t="s">
        <v>20</v>
      </c>
      <c r="C65" s="4" t="s">
        <v>150</v>
      </c>
      <c r="D65" s="4" t="s">
        <v>217</v>
      </c>
      <c r="E65" s="5">
        <v>43252</v>
      </c>
      <c r="F65" s="4" t="s">
        <v>23</v>
      </c>
      <c r="G65" s="4" t="s">
        <v>161</v>
      </c>
      <c r="H65" s="4" t="s">
        <v>218</v>
      </c>
      <c r="I65" s="4" t="s">
        <v>154</v>
      </c>
      <c r="J65" s="4" t="s">
        <v>27</v>
      </c>
      <c r="K65" s="6">
        <v>12</v>
      </c>
      <c r="L65" s="6">
        <v>0</v>
      </c>
      <c r="M65" s="6">
        <f t="shared" si="1"/>
        <v>12</v>
      </c>
      <c r="N65" s="4"/>
      <c r="O65" s="3" t="s">
        <v>161</v>
      </c>
      <c r="P65" s="3" t="s">
        <v>65</v>
      </c>
      <c r="Q65" s="8" t="s">
        <v>219</v>
      </c>
      <c r="R65" s="9">
        <v>43252</v>
      </c>
      <c r="S65" s="9">
        <v>43252</v>
      </c>
      <c r="T65" s="8">
        <f t="shared" si="2"/>
        <v>6</v>
      </c>
      <c r="U65" s="8" t="str">
        <f t="shared" si="3"/>
        <v>June</v>
      </c>
    </row>
    <row r="66" spans="1:21" x14ac:dyDescent="0.55000000000000004">
      <c r="A66" t="str">
        <f t="shared" si="0"/>
        <v>JuneHong Kong - Flex IL</v>
      </c>
      <c r="B66" s="3" t="s">
        <v>20</v>
      </c>
      <c r="C66" s="4" t="s">
        <v>150</v>
      </c>
      <c r="D66" s="4" t="s">
        <v>220</v>
      </c>
      <c r="E66" s="5">
        <v>43253</v>
      </c>
      <c r="F66" s="4" t="s">
        <v>23</v>
      </c>
      <c r="G66" s="4" t="s">
        <v>161</v>
      </c>
      <c r="H66" s="4" t="s">
        <v>221</v>
      </c>
      <c r="I66" s="4" t="s">
        <v>154</v>
      </c>
      <c r="J66" s="4" t="s">
        <v>27</v>
      </c>
      <c r="K66" s="6">
        <v>36</v>
      </c>
      <c r="L66" s="6">
        <v>0</v>
      </c>
      <c r="M66" s="6">
        <f t="shared" si="1"/>
        <v>36</v>
      </c>
      <c r="N66" s="4"/>
      <c r="O66" s="3" t="s">
        <v>161</v>
      </c>
      <c r="P66" s="3" t="s">
        <v>111</v>
      </c>
      <c r="Q66" s="8" t="s">
        <v>222</v>
      </c>
      <c r="R66" s="9">
        <v>43252</v>
      </c>
      <c r="S66" s="9">
        <v>43252</v>
      </c>
      <c r="T66" s="8">
        <f t="shared" si="2"/>
        <v>6</v>
      </c>
      <c r="U66" s="8" t="str">
        <f t="shared" si="3"/>
        <v>June</v>
      </c>
    </row>
    <row r="67" spans="1:21" x14ac:dyDescent="0.55000000000000004">
      <c r="A67" t="str">
        <f t="shared" ref="A67:A130" si="4">U67&amp;P67</f>
        <v>JuneHong Kong - Phillips WI</v>
      </c>
      <c r="B67" s="3" t="s">
        <v>20</v>
      </c>
      <c r="C67" s="4" t="s">
        <v>150</v>
      </c>
      <c r="D67" s="4" t="s">
        <v>223</v>
      </c>
      <c r="E67" s="5">
        <v>43253</v>
      </c>
      <c r="F67" s="4" t="s">
        <v>23</v>
      </c>
      <c r="G67" s="4" t="s">
        <v>161</v>
      </c>
      <c r="H67" s="4" t="s">
        <v>224</v>
      </c>
      <c r="I67" s="4" t="s">
        <v>154</v>
      </c>
      <c r="J67" s="4" t="s">
        <v>27</v>
      </c>
      <c r="K67" s="6">
        <v>48</v>
      </c>
      <c r="L67" s="6">
        <v>0</v>
      </c>
      <c r="M67" s="6">
        <f t="shared" ref="M67:M128" si="5">K67-L67</f>
        <v>48</v>
      </c>
      <c r="N67" s="4"/>
      <c r="O67" s="3" t="s">
        <v>161</v>
      </c>
      <c r="P67" s="3" t="s">
        <v>65</v>
      </c>
      <c r="Q67" s="8" t="s">
        <v>225</v>
      </c>
      <c r="R67" s="9">
        <v>43252</v>
      </c>
      <c r="S67" s="9">
        <v>43252</v>
      </c>
      <c r="T67" s="8">
        <f t="shared" ref="T67:T130" si="6">MONTH(E67)</f>
        <v>6</v>
      </c>
      <c r="U67" s="8" t="str">
        <f t="shared" ref="U67:U130" si="7">IF(T67=6,"June",IF(T67=5,"May",IF(T67=4,"April",IF(T67=3,"March",0))))</f>
        <v>June</v>
      </c>
    </row>
    <row r="68" spans="1:21" x14ac:dyDescent="0.55000000000000004">
      <c r="A68" t="str">
        <f t="shared" si="4"/>
        <v>JuneHong Kong - Flex IL</v>
      </c>
      <c r="B68" s="3" t="s">
        <v>20</v>
      </c>
      <c r="C68" s="4" t="s">
        <v>150</v>
      </c>
      <c r="D68" s="4" t="s">
        <v>226</v>
      </c>
      <c r="E68" s="5">
        <v>43259</v>
      </c>
      <c r="F68" s="4" t="s">
        <v>23</v>
      </c>
      <c r="G68" s="4" t="s">
        <v>161</v>
      </c>
      <c r="H68" s="4" t="s">
        <v>227</v>
      </c>
      <c r="I68" s="4" t="s">
        <v>154</v>
      </c>
      <c r="J68" s="4" t="s">
        <v>27</v>
      </c>
      <c r="K68" s="6">
        <v>132</v>
      </c>
      <c r="L68" s="6">
        <v>0</v>
      </c>
      <c r="M68" s="6">
        <f t="shared" si="5"/>
        <v>132</v>
      </c>
      <c r="N68" s="4"/>
      <c r="O68" s="3" t="s">
        <v>161</v>
      </c>
      <c r="P68" s="3" t="s">
        <v>111</v>
      </c>
      <c r="Q68" s="8" t="s">
        <v>228</v>
      </c>
      <c r="R68" s="9">
        <v>43252</v>
      </c>
      <c r="S68" s="9">
        <v>43252</v>
      </c>
      <c r="T68" s="8">
        <f t="shared" si="6"/>
        <v>6</v>
      </c>
      <c r="U68" s="8" t="str">
        <f t="shared" si="7"/>
        <v>June</v>
      </c>
    </row>
    <row r="69" spans="1:21" x14ac:dyDescent="0.55000000000000004">
      <c r="A69" t="str">
        <f t="shared" si="4"/>
        <v>JuneHong Kong - Flex IL</v>
      </c>
      <c r="B69" s="3" t="s">
        <v>20</v>
      </c>
      <c r="C69" s="4" t="s">
        <v>150</v>
      </c>
      <c r="D69" s="4" t="s">
        <v>229</v>
      </c>
      <c r="E69" s="5">
        <v>43259</v>
      </c>
      <c r="F69" s="4" t="s">
        <v>23</v>
      </c>
      <c r="G69" s="4" t="s">
        <v>161</v>
      </c>
      <c r="H69" s="4" t="s">
        <v>230</v>
      </c>
      <c r="I69" s="4" t="s">
        <v>154</v>
      </c>
      <c r="J69" s="4" t="s">
        <v>27</v>
      </c>
      <c r="K69" s="6">
        <v>48</v>
      </c>
      <c r="L69" s="6">
        <v>0</v>
      </c>
      <c r="M69" s="6">
        <f t="shared" si="5"/>
        <v>48</v>
      </c>
      <c r="N69" s="4"/>
      <c r="O69" s="3" t="s">
        <v>161</v>
      </c>
      <c r="P69" s="3" t="s">
        <v>111</v>
      </c>
      <c r="Q69" s="8" t="s">
        <v>231</v>
      </c>
      <c r="R69" s="9">
        <v>43252</v>
      </c>
      <c r="S69" s="9">
        <v>43252</v>
      </c>
      <c r="T69" s="8">
        <f t="shared" si="6"/>
        <v>6</v>
      </c>
      <c r="U69" s="8" t="str">
        <f t="shared" si="7"/>
        <v>June</v>
      </c>
    </row>
    <row r="70" spans="1:21" x14ac:dyDescent="0.55000000000000004">
      <c r="A70" t="str">
        <f t="shared" si="4"/>
        <v>JuneHong Kong - Phillips WI</v>
      </c>
      <c r="B70" s="3" t="s">
        <v>20</v>
      </c>
      <c r="C70" s="4" t="s">
        <v>150</v>
      </c>
      <c r="D70" s="4" t="s">
        <v>232</v>
      </c>
      <c r="E70" s="5">
        <v>43266</v>
      </c>
      <c r="F70" s="4" t="s">
        <v>23</v>
      </c>
      <c r="G70" s="4" t="s">
        <v>161</v>
      </c>
      <c r="H70" s="4" t="s">
        <v>233</v>
      </c>
      <c r="I70" s="4" t="s">
        <v>154</v>
      </c>
      <c r="J70" s="4" t="s">
        <v>27</v>
      </c>
      <c r="K70" s="6">
        <v>60</v>
      </c>
      <c r="L70" s="6">
        <v>0</v>
      </c>
      <c r="M70" s="6">
        <f t="shared" si="5"/>
        <v>60</v>
      </c>
      <c r="N70" s="4"/>
      <c r="O70" s="3" t="s">
        <v>161</v>
      </c>
      <c r="P70" s="3" t="s">
        <v>65</v>
      </c>
      <c r="Q70" s="8" t="s">
        <v>234</v>
      </c>
      <c r="R70" s="9">
        <v>43252</v>
      </c>
      <c r="S70" s="9">
        <v>43252</v>
      </c>
      <c r="T70" s="8">
        <f t="shared" si="6"/>
        <v>6</v>
      </c>
      <c r="U70" s="8" t="str">
        <f t="shared" si="7"/>
        <v>June</v>
      </c>
    </row>
    <row r="71" spans="1:21" x14ac:dyDescent="0.55000000000000004">
      <c r="A71" t="str">
        <f t="shared" si="4"/>
        <v>JuneHong Kong - Flex IL</v>
      </c>
      <c r="B71" s="3" t="s">
        <v>20</v>
      </c>
      <c r="C71" s="4" t="s">
        <v>150</v>
      </c>
      <c r="D71" s="4" t="s">
        <v>235</v>
      </c>
      <c r="E71" s="5">
        <v>43266</v>
      </c>
      <c r="F71" s="4" t="s">
        <v>23</v>
      </c>
      <c r="G71" s="4" t="s">
        <v>161</v>
      </c>
      <c r="H71" s="4" t="s">
        <v>236</v>
      </c>
      <c r="I71" s="4" t="s">
        <v>154</v>
      </c>
      <c r="J71" s="4" t="s">
        <v>27</v>
      </c>
      <c r="K71" s="6">
        <v>84</v>
      </c>
      <c r="L71" s="6">
        <v>0</v>
      </c>
      <c r="M71" s="6">
        <f t="shared" si="5"/>
        <v>84</v>
      </c>
      <c r="N71" s="4"/>
      <c r="O71" s="3" t="s">
        <v>161</v>
      </c>
      <c r="P71" s="3" t="s">
        <v>111</v>
      </c>
      <c r="Q71" s="8" t="s">
        <v>237</v>
      </c>
      <c r="R71" s="9">
        <v>43252</v>
      </c>
      <c r="S71" s="9">
        <v>43252</v>
      </c>
      <c r="T71" s="8">
        <f t="shared" si="6"/>
        <v>6</v>
      </c>
      <c r="U71" s="8" t="str">
        <f t="shared" si="7"/>
        <v>June</v>
      </c>
    </row>
    <row r="72" spans="1:21" x14ac:dyDescent="0.55000000000000004">
      <c r="A72" t="str">
        <f t="shared" si="4"/>
        <v>JuneHong Kong - Flex IL</v>
      </c>
      <c r="B72" s="3" t="s">
        <v>20</v>
      </c>
      <c r="C72" s="4" t="s">
        <v>150</v>
      </c>
      <c r="D72" s="4" t="s">
        <v>238</v>
      </c>
      <c r="E72" s="5">
        <v>43266</v>
      </c>
      <c r="F72" s="4" t="s">
        <v>23</v>
      </c>
      <c r="G72" s="4" t="s">
        <v>161</v>
      </c>
      <c r="H72" s="4" t="s">
        <v>239</v>
      </c>
      <c r="I72" s="4" t="s">
        <v>154</v>
      </c>
      <c r="J72" s="4" t="s">
        <v>27</v>
      </c>
      <c r="K72" s="6">
        <v>48</v>
      </c>
      <c r="L72" s="6">
        <v>0</v>
      </c>
      <c r="M72" s="6">
        <f t="shared" si="5"/>
        <v>48</v>
      </c>
      <c r="N72" s="4"/>
      <c r="O72" s="3" t="s">
        <v>161</v>
      </c>
      <c r="P72" s="3" t="s">
        <v>111</v>
      </c>
      <c r="Q72" s="8" t="s">
        <v>240</v>
      </c>
      <c r="R72" s="9">
        <v>43252</v>
      </c>
      <c r="S72" s="9">
        <v>43252</v>
      </c>
      <c r="T72" s="8">
        <f t="shared" si="6"/>
        <v>6</v>
      </c>
      <c r="U72" s="8" t="str">
        <f t="shared" si="7"/>
        <v>June</v>
      </c>
    </row>
    <row r="73" spans="1:21" x14ac:dyDescent="0.55000000000000004">
      <c r="A73" t="str">
        <f t="shared" si="4"/>
        <v>MayAFG Suzho - DECI NC</v>
      </c>
      <c r="B73" s="3" t="s">
        <v>20</v>
      </c>
      <c r="C73" s="4" t="s">
        <v>241</v>
      </c>
      <c r="D73" s="4" t="s">
        <v>242</v>
      </c>
      <c r="E73" s="5">
        <v>43230</v>
      </c>
      <c r="F73" s="4" t="s">
        <v>23</v>
      </c>
      <c r="G73" s="4" t="s">
        <v>243</v>
      </c>
      <c r="H73" s="4" t="s">
        <v>244</v>
      </c>
      <c r="I73" s="4" t="s">
        <v>154</v>
      </c>
      <c r="J73" s="4" t="s">
        <v>27</v>
      </c>
      <c r="K73" s="6">
        <v>6065.83</v>
      </c>
      <c r="L73" s="6">
        <v>0</v>
      </c>
      <c r="M73" s="6">
        <f t="shared" si="5"/>
        <v>6065.83</v>
      </c>
      <c r="N73" s="4"/>
      <c r="O73" s="3"/>
      <c r="P73" s="3" t="s">
        <v>245</v>
      </c>
      <c r="Q73" s="8" t="s">
        <v>246</v>
      </c>
      <c r="R73" s="9">
        <v>43191</v>
      </c>
      <c r="S73" s="9">
        <v>43221</v>
      </c>
      <c r="T73" s="8">
        <f t="shared" si="6"/>
        <v>5</v>
      </c>
      <c r="U73" s="8" t="str">
        <f t="shared" si="7"/>
        <v>May</v>
      </c>
    </row>
    <row r="74" spans="1:21" x14ac:dyDescent="0.55000000000000004">
      <c r="A74" t="str">
        <f t="shared" si="4"/>
        <v>MayAFG Suzho - DCL KY</v>
      </c>
      <c r="B74" s="3" t="s">
        <v>20</v>
      </c>
      <c r="C74" s="4" t="s">
        <v>241</v>
      </c>
      <c r="D74" s="4" t="s">
        <v>242</v>
      </c>
      <c r="E74" s="5">
        <v>43239</v>
      </c>
      <c r="F74" s="4" t="s">
        <v>23</v>
      </c>
      <c r="G74" s="4" t="s">
        <v>243</v>
      </c>
      <c r="H74" s="4" t="s">
        <v>244</v>
      </c>
      <c r="I74" s="4" t="s">
        <v>154</v>
      </c>
      <c r="J74" s="4" t="s">
        <v>27</v>
      </c>
      <c r="K74" s="6">
        <v>73190.63</v>
      </c>
      <c r="L74" s="6">
        <v>0</v>
      </c>
      <c r="M74" s="6">
        <f t="shared" si="5"/>
        <v>73190.63</v>
      </c>
      <c r="N74" s="4"/>
      <c r="O74" s="3"/>
      <c r="P74" s="3" t="s">
        <v>247</v>
      </c>
      <c r="Q74" s="8" t="s">
        <v>248</v>
      </c>
      <c r="R74" s="9">
        <v>43221</v>
      </c>
      <c r="S74" s="9">
        <v>43221</v>
      </c>
      <c r="T74" s="8">
        <f t="shared" si="6"/>
        <v>5</v>
      </c>
      <c r="U74" s="8" t="str">
        <f t="shared" si="7"/>
        <v>May</v>
      </c>
    </row>
    <row r="75" spans="1:21" x14ac:dyDescent="0.55000000000000004">
      <c r="A75" t="str">
        <f t="shared" si="4"/>
        <v>MayAFG Suzho - DCL KY</v>
      </c>
      <c r="B75" s="3" t="s">
        <v>20</v>
      </c>
      <c r="C75" s="4" t="s">
        <v>241</v>
      </c>
      <c r="D75" s="4" t="s">
        <v>242</v>
      </c>
      <c r="E75" s="5">
        <v>43246</v>
      </c>
      <c r="F75" s="4" t="s">
        <v>23</v>
      </c>
      <c r="G75" s="4" t="s">
        <v>243</v>
      </c>
      <c r="H75" s="4" t="s">
        <v>244</v>
      </c>
      <c r="I75" s="4" t="s">
        <v>154</v>
      </c>
      <c r="J75" s="4" t="s">
        <v>27</v>
      </c>
      <c r="K75" s="6">
        <v>9984.5300000000007</v>
      </c>
      <c r="L75" s="6">
        <v>0</v>
      </c>
      <c r="M75" s="6">
        <f t="shared" si="5"/>
        <v>9984.5300000000007</v>
      </c>
      <c r="N75" s="4"/>
      <c r="O75" s="3"/>
      <c r="P75" s="3" t="s">
        <v>247</v>
      </c>
      <c r="Q75" s="8" t="s">
        <v>249</v>
      </c>
      <c r="R75" s="9">
        <v>43221</v>
      </c>
      <c r="S75" s="9">
        <v>43221</v>
      </c>
      <c r="T75" s="8">
        <f t="shared" si="6"/>
        <v>5</v>
      </c>
      <c r="U75" s="8" t="str">
        <f t="shared" si="7"/>
        <v>May</v>
      </c>
    </row>
    <row r="76" spans="1:21" x14ac:dyDescent="0.55000000000000004">
      <c r="A76" t="str">
        <f t="shared" si="4"/>
        <v>MayHong Kong - DECI NC</v>
      </c>
      <c r="B76" s="3" t="s">
        <v>20</v>
      </c>
      <c r="C76" s="4" t="s">
        <v>241</v>
      </c>
      <c r="D76" s="4" t="s">
        <v>242</v>
      </c>
      <c r="E76" s="5">
        <v>43246</v>
      </c>
      <c r="F76" s="4" t="s">
        <v>23</v>
      </c>
      <c r="G76" s="4" t="s">
        <v>243</v>
      </c>
      <c r="H76" s="4" t="s">
        <v>244</v>
      </c>
      <c r="I76" s="4" t="s">
        <v>154</v>
      </c>
      <c r="J76" s="4" t="s">
        <v>27</v>
      </c>
      <c r="K76" s="6">
        <v>7102.8</v>
      </c>
      <c r="L76" s="6">
        <v>0</v>
      </c>
      <c r="M76" s="6">
        <f t="shared" si="5"/>
        <v>7102.8</v>
      </c>
      <c r="N76" s="4"/>
      <c r="O76" s="3"/>
      <c r="P76" s="3" t="s">
        <v>92</v>
      </c>
      <c r="Q76" s="8" t="s">
        <v>250</v>
      </c>
      <c r="R76" s="9">
        <v>43221</v>
      </c>
      <c r="S76" s="9">
        <v>43221</v>
      </c>
      <c r="T76" s="8">
        <f t="shared" si="6"/>
        <v>5</v>
      </c>
      <c r="U76" s="8" t="str">
        <f t="shared" si="7"/>
        <v>May</v>
      </c>
    </row>
    <row r="77" spans="1:21" x14ac:dyDescent="0.55000000000000004">
      <c r="A77" t="str">
        <f t="shared" si="4"/>
        <v>MayAFG Suzho - DECI NC</v>
      </c>
      <c r="B77" s="3" t="s">
        <v>20</v>
      </c>
      <c r="C77" s="4" t="s">
        <v>241</v>
      </c>
      <c r="D77" s="4" t="s">
        <v>242</v>
      </c>
      <c r="E77" s="5">
        <v>43246</v>
      </c>
      <c r="F77" s="4" t="s">
        <v>23</v>
      </c>
      <c r="G77" s="4" t="s">
        <v>243</v>
      </c>
      <c r="H77" s="4" t="s">
        <v>244</v>
      </c>
      <c r="I77" s="4" t="s">
        <v>154</v>
      </c>
      <c r="J77" s="4" t="s">
        <v>27</v>
      </c>
      <c r="K77" s="6">
        <v>57591.86</v>
      </c>
      <c r="L77" s="6">
        <v>0</v>
      </c>
      <c r="M77" s="6">
        <f t="shared" si="5"/>
        <v>57591.86</v>
      </c>
      <c r="N77" s="4"/>
      <c r="O77" s="3"/>
      <c r="P77" s="3" t="s">
        <v>245</v>
      </c>
      <c r="Q77" s="8" t="s">
        <v>251</v>
      </c>
      <c r="R77" s="9">
        <v>43221</v>
      </c>
      <c r="S77" s="9">
        <v>43221</v>
      </c>
      <c r="T77" s="8">
        <f t="shared" si="6"/>
        <v>5</v>
      </c>
      <c r="U77" s="8" t="str">
        <f t="shared" si="7"/>
        <v>May</v>
      </c>
    </row>
    <row r="78" spans="1:21" x14ac:dyDescent="0.55000000000000004">
      <c r="A78" t="str">
        <f t="shared" si="4"/>
        <v>MayAFG Suzho - DCL KY</v>
      </c>
      <c r="B78" s="3" t="s">
        <v>20</v>
      </c>
      <c r="C78" s="4" t="s">
        <v>241</v>
      </c>
      <c r="D78" s="4" t="s">
        <v>242</v>
      </c>
      <c r="E78" s="5">
        <v>43246</v>
      </c>
      <c r="F78" s="4" t="s">
        <v>23</v>
      </c>
      <c r="G78" s="4" t="s">
        <v>243</v>
      </c>
      <c r="H78" s="4" t="s">
        <v>244</v>
      </c>
      <c r="I78" s="4" t="s">
        <v>154</v>
      </c>
      <c r="J78" s="4" t="s">
        <v>27</v>
      </c>
      <c r="K78" s="6">
        <v>18009.23</v>
      </c>
      <c r="L78" s="6">
        <v>0</v>
      </c>
      <c r="M78" s="6">
        <f t="shared" si="5"/>
        <v>18009.23</v>
      </c>
      <c r="N78" s="4"/>
      <c r="O78" s="3"/>
      <c r="P78" s="3" t="s">
        <v>247</v>
      </c>
      <c r="Q78" s="8" t="s">
        <v>252</v>
      </c>
      <c r="R78" s="9">
        <v>43221</v>
      </c>
      <c r="S78" s="9">
        <v>43221</v>
      </c>
      <c r="T78" s="8">
        <f t="shared" si="6"/>
        <v>5</v>
      </c>
      <c r="U78" s="8" t="str">
        <f t="shared" si="7"/>
        <v>May</v>
      </c>
    </row>
    <row r="79" spans="1:21" x14ac:dyDescent="0.55000000000000004">
      <c r="A79" t="str">
        <f t="shared" si="4"/>
        <v>MayAFG Suzho - DECI NC</v>
      </c>
      <c r="B79" s="3" t="s">
        <v>20</v>
      </c>
      <c r="C79" s="4" t="s">
        <v>241</v>
      </c>
      <c r="D79" s="4" t="s">
        <v>242</v>
      </c>
      <c r="E79" s="5">
        <v>43246</v>
      </c>
      <c r="F79" s="4" t="s">
        <v>23</v>
      </c>
      <c r="G79" s="4" t="s">
        <v>243</v>
      </c>
      <c r="H79" s="4" t="s">
        <v>244</v>
      </c>
      <c r="I79" s="4" t="s">
        <v>154</v>
      </c>
      <c r="J79" s="4" t="s">
        <v>27</v>
      </c>
      <c r="K79" s="6">
        <v>49366.27</v>
      </c>
      <c r="L79" s="6">
        <v>0</v>
      </c>
      <c r="M79" s="6">
        <f t="shared" si="5"/>
        <v>49366.27</v>
      </c>
      <c r="N79" s="4"/>
      <c r="O79" s="3"/>
      <c r="P79" s="3" t="s">
        <v>245</v>
      </c>
      <c r="Q79" s="8" t="s">
        <v>253</v>
      </c>
      <c r="R79" s="9">
        <v>43221</v>
      </c>
      <c r="S79" s="9">
        <v>43221</v>
      </c>
      <c r="T79" s="8">
        <f t="shared" si="6"/>
        <v>5</v>
      </c>
      <c r="U79" s="8" t="str">
        <f t="shared" si="7"/>
        <v>May</v>
      </c>
    </row>
    <row r="80" spans="1:21" x14ac:dyDescent="0.55000000000000004">
      <c r="A80" t="str">
        <f t="shared" si="4"/>
        <v>JuneAFG Suzho - DECI NC</v>
      </c>
      <c r="B80" s="3" t="s">
        <v>20</v>
      </c>
      <c r="C80" s="4" t="s">
        <v>241</v>
      </c>
      <c r="D80" s="4" t="s">
        <v>242</v>
      </c>
      <c r="E80" s="5">
        <v>43263</v>
      </c>
      <c r="F80" s="4" t="s">
        <v>23</v>
      </c>
      <c r="G80" s="4" t="s">
        <v>243</v>
      </c>
      <c r="H80" s="4" t="s">
        <v>244</v>
      </c>
      <c r="I80" s="4" t="s">
        <v>154</v>
      </c>
      <c r="J80" s="4" t="s">
        <v>27</v>
      </c>
      <c r="K80" s="6">
        <v>52338.18</v>
      </c>
      <c r="L80" s="6">
        <v>0</v>
      </c>
      <c r="M80" s="6">
        <f t="shared" si="5"/>
        <v>52338.18</v>
      </c>
      <c r="N80" s="4"/>
      <c r="O80" s="3"/>
      <c r="P80" s="3" t="s">
        <v>245</v>
      </c>
      <c r="Q80" s="8" t="s">
        <v>98</v>
      </c>
      <c r="R80" s="9">
        <v>43221</v>
      </c>
      <c r="S80" s="9">
        <v>43221</v>
      </c>
      <c r="T80" s="8">
        <f t="shared" si="6"/>
        <v>6</v>
      </c>
      <c r="U80" s="8" t="str">
        <f t="shared" si="7"/>
        <v>June</v>
      </c>
    </row>
    <row r="81" spans="1:21" x14ac:dyDescent="0.55000000000000004">
      <c r="A81" t="str">
        <f t="shared" si="4"/>
        <v>MayDCL KY - Ontario Can</v>
      </c>
      <c r="B81" s="3" t="s">
        <v>20</v>
      </c>
      <c r="C81" s="4" t="s">
        <v>241</v>
      </c>
      <c r="D81" s="4" t="s">
        <v>242</v>
      </c>
      <c r="E81" s="5">
        <v>43246</v>
      </c>
      <c r="F81" s="4" t="s">
        <v>23</v>
      </c>
      <c r="G81" s="4" t="s">
        <v>243</v>
      </c>
      <c r="H81" s="4" t="s">
        <v>244</v>
      </c>
      <c r="I81" s="4" t="s">
        <v>154</v>
      </c>
      <c r="J81" s="4" t="s">
        <v>27</v>
      </c>
      <c r="K81" s="6">
        <v>3781.09</v>
      </c>
      <c r="L81" s="6">
        <v>0</v>
      </c>
      <c r="M81" s="6">
        <f t="shared" si="5"/>
        <v>3781.09</v>
      </c>
      <c r="N81" s="4"/>
      <c r="O81" s="3"/>
      <c r="P81" s="3" t="s">
        <v>254</v>
      </c>
      <c r="Q81" s="8" t="s">
        <v>255</v>
      </c>
      <c r="R81" s="9">
        <v>43221</v>
      </c>
      <c r="S81" s="9">
        <v>43221</v>
      </c>
      <c r="T81" s="8">
        <f t="shared" si="6"/>
        <v>5</v>
      </c>
      <c r="U81" s="8" t="str">
        <f t="shared" si="7"/>
        <v>May</v>
      </c>
    </row>
    <row r="82" spans="1:21" x14ac:dyDescent="0.55000000000000004">
      <c r="A82" t="str">
        <f t="shared" si="4"/>
        <v>MayHong Kong - Phillips WI</v>
      </c>
      <c r="B82" s="3" t="s">
        <v>20</v>
      </c>
      <c r="C82" s="4" t="s">
        <v>241</v>
      </c>
      <c r="D82" s="4" t="s">
        <v>242</v>
      </c>
      <c r="E82" s="5">
        <v>43246</v>
      </c>
      <c r="F82" s="4" t="s">
        <v>23</v>
      </c>
      <c r="G82" s="4" t="s">
        <v>243</v>
      </c>
      <c r="H82" s="4" t="s">
        <v>244</v>
      </c>
      <c r="I82" s="4" t="s">
        <v>154</v>
      </c>
      <c r="J82" s="4" t="s">
        <v>27</v>
      </c>
      <c r="K82" s="6">
        <v>16928.59</v>
      </c>
      <c r="L82" s="6">
        <v>0</v>
      </c>
      <c r="M82" s="6">
        <f t="shared" si="5"/>
        <v>16928.59</v>
      </c>
      <c r="N82" s="4"/>
      <c r="O82" s="3"/>
      <c r="P82" s="3" t="s">
        <v>65</v>
      </c>
      <c r="Q82" s="8" t="s">
        <v>256</v>
      </c>
      <c r="R82" s="9">
        <v>43221</v>
      </c>
      <c r="S82" s="9">
        <v>43221</v>
      </c>
      <c r="T82" s="8">
        <f t="shared" si="6"/>
        <v>5</v>
      </c>
      <c r="U82" s="8" t="str">
        <f t="shared" si="7"/>
        <v>May</v>
      </c>
    </row>
    <row r="83" spans="1:21" x14ac:dyDescent="0.55000000000000004">
      <c r="A83" t="str">
        <f t="shared" si="4"/>
        <v>JuneHong Kong - DECI NC</v>
      </c>
      <c r="B83" s="3" t="s">
        <v>20</v>
      </c>
      <c r="C83" s="4" t="s">
        <v>241</v>
      </c>
      <c r="D83" s="4" t="s">
        <v>242</v>
      </c>
      <c r="E83" s="5">
        <v>43263</v>
      </c>
      <c r="F83" s="4" t="s">
        <v>23</v>
      </c>
      <c r="G83" s="4" t="s">
        <v>243</v>
      </c>
      <c r="H83" s="4" t="s">
        <v>244</v>
      </c>
      <c r="I83" s="4" t="s">
        <v>154</v>
      </c>
      <c r="J83" s="4" t="s">
        <v>27</v>
      </c>
      <c r="K83" s="6">
        <v>7412.97</v>
      </c>
      <c r="L83" s="6">
        <v>0</v>
      </c>
      <c r="M83" s="6">
        <f t="shared" si="5"/>
        <v>7412.97</v>
      </c>
      <c r="N83" s="4"/>
      <c r="O83" s="3"/>
      <c r="P83" s="3" t="s">
        <v>92</v>
      </c>
      <c r="Q83" s="8" t="s">
        <v>257</v>
      </c>
      <c r="R83" s="9">
        <v>43221</v>
      </c>
      <c r="S83" s="9">
        <v>43221</v>
      </c>
      <c r="T83" s="8">
        <f t="shared" si="6"/>
        <v>6</v>
      </c>
      <c r="U83" s="8" t="str">
        <f t="shared" si="7"/>
        <v>June</v>
      </c>
    </row>
    <row r="84" spans="1:21" x14ac:dyDescent="0.55000000000000004">
      <c r="A84" t="str">
        <f t="shared" si="4"/>
        <v>MayHong Kong - Phillips WI</v>
      </c>
      <c r="B84" s="3" t="s">
        <v>20</v>
      </c>
      <c r="C84" s="4" t="s">
        <v>241</v>
      </c>
      <c r="D84" s="4" t="s">
        <v>242</v>
      </c>
      <c r="E84" s="5">
        <v>43246</v>
      </c>
      <c r="F84" s="4" t="s">
        <v>23</v>
      </c>
      <c r="G84" s="4" t="s">
        <v>243</v>
      </c>
      <c r="H84" s="4" t="s">
        <v>244</v>
      </c>
      <c r="I84" s="4" t="s">
        <v>154</v>
      </c>
      <c r="J84" s="4" t="s">
        <v>27</v>
      </c>
      <c r="K84" s="6">
        <v>9461.81</v>
      </c>
      <c r="L84" s="6">
        <v>0</v>
      </c>
      <c r="M84" s="6">
        <f t="shared" si="5"/>
        <v>9461.81</v>
      </c>
      <c r="N84" s="4"/>
      <c r="O84" s="3"/>
      <c r="P84" s="3" t="s">
        <v>65</v>
      </c>
      <c r="Q84" s="8" t="s">
        <v>258</v>
      </c>
      <c r="R84" s="9">
        <v>43221</v>
      </c>
      <c r="S84" s="9">
        <v>43221</v>
      </c>
      <c r="T84" s="8">
        <f t="shared" si="6"/>
        <v>5</v>
      </c>
      <c r="U84" s="8" t="str">
        <f t="shared" si="7"/>
        <v>May</v>
      </c>
    </row>
    <row r="85" spans="1:21" x14ac:dyDescent="0.55000000000000004">
      <c r="A85" t="str">
        <f t="shared" si="4"/>
        <v>MayHong Kong - DCL KY</v>
      </c>
      <c r="B85" s="3" t="s">
        <v>20</v>
      </c>
      <c r="C85" s="4" t="s">
        <v>241</v>
      </c>
      <c r="D85" s="4" t="s">
        <v>242</v>
      </c>
      <c r="E85" s="5">
        <v>43246</v>
      </c>
      <c r="F85" s="4" t="s">
        <v>23</v>
      </c>
      <c r="G85" s="4" t="s">
        <v>243</v>
      </c>
      <c r="H85" s="4" t="s">
        <v>244</v>
      </c>
      <c r="I85" s="4" t="s">
        <v>154</v>
      </c>
      <c r="J85" s="4" t="s">
        <v>27</v>
      </c>
      <c r="K85" s="6">
        <v>1522.23</v>
      </c>
      <c r="L85" s="6">
        <v>0</v>
      </c>
      <c r="M85" s="6">
        <f t="shared" si="5"/>
        <v>1522.23</v>
      </c>
      <c r="N85" s="4"/>
      <c r="O85" s="3"/>
      <c r="P85" s="3" t="s">
        <v>39</v>
      </c>
      <c r="Q85" s="8" t="s">
        <v>259</v>
      </c>
      <c r="R85" s="9">
        <v>43221</v>
      </c>
      <c r="S85" s="9">
        <v>43221</v>
      </c>
      <c r="T85" s="8">
        <f t="shared" si="6"/>
        <v>5</v>
      </c>
      <c r="U85" s="8" t="str">
        <f t="shared" si="7"/>
        <v>May</v>
      </c>
    </row>
    <row r="86" spans="1:21" x14ac:dyDescent="0.55000000000000004">
      <c r="A86" t="str">
        <f t="shared" si="4"/>
        <v>JuneHong Kong - DECI NC</v>
      </c>
      <c r="B86" s="3" t="s">
        <v>20</v>
      </c>
      <c r="C86" s="4" t="s">
        <v>241</v>
      </c>
      <c r="D86" s="4" t="s">
        <v>242</v>
      </c>
      <c r="E86" s="5">
        <v>43263</v>
      </c>
      <c r="F86" s="4" t="s">
        <v>23</v>
      </c>
      <c r="G86" s="4" t="s">
        <v>243</v>
      </c>
      <c r="H86" s="4" t="s">
        <v>244</v>
      </c>
      <c r="I86" s="4" t="s">
        <v>154</v>
      </c>
      <c r="J86" s="4" t="s">
        <v>27</v>
      </c>
      <c r="K86" s="6">
        <v>7148.81</v>
      </c>
      <c r="L86" s="6">
        <v>0</v>
      </c>
      <c r="M86" s="6">
        <f t="shared" si="5"/>
        <v>7148.81</v>
      </c>
      <c r="N86" s="4"/>
      <c r="O86" s="3"/>
      <c r="P86" s="3" t="s">
        <v>92</v>
      </c>
      <c r="Q86" s="8" t="s">
        <v>93</v>
      </c>
      <c r="R86" s="9">
        <v>43221</v>
      </c>
      <c r="S86" s="9">
        <v>43221</v>
      </c>
      <c r="T86" s="8">
        <f t="shared" si="6"/>
        <v>6</v>
      </c>
      <c r="U86" s="8" t="str">
        <f t="shared" si="7"/>
        <v>June</v>
      </c>
    </row>
    <row r="87" spans="1:21" x14ac:dyDescent="0.55000000000000004">
      <c r="A87" t="str">
        <f t="shared" si="4"/>
        <v>JuneAFG Suzho - DECI NC</v>
      </c>
      <c r="B87" s="3" t="s">
        <v>20</v>
      </c>
      <c r="C87" s="4" t="s">
        <v>241</v>
      </c>
      <c r="D87" s="4" t="s">
        <v>242</v>
      </c>
      <c r="E87" s="5">
        <v>43256</v>
      </c>
      <c r="F87" s="4" t="s">
        <v>23</v>
      </c>
      <c r="G87" s="4" t="s">
        <v>243</v>
      </c>
      <c r="H87" s="4" t="s">
        <v>244</v>
      </c>
      <c r="I87" s="4" t="s">
        <v>154</v>
      </c>
      <c r="J87" s="4" t="s">
        <v>27</v>
      </c>
      <c r="K87" s="6">
        <v>51250.79</v>
      </c>
      <c r="L87" s="6">
        <v>0</v>
      </c>
      <c r="M87" s="6">
        <f t="shared" si="5"/>
        <v>51250.79</v>
      </c>
      <c r="N87" s="4"/>
      <c r="O87" s="3"/>
      <c r="P87" s="3" t="s">
        <v>245</v>
      </c>
      <c r="Q87" s="8" t="s">
        <v>51</v>
      </c>
      <c r="R87" s="9">
        <v>43221</v>
      </c>
      <c r="S87" s="9">
        <v>43221</v>
      </c>
      <c r="T87" s="8">
        <f t="shared" si="6"/>
        <v>6</v>
      </c>
      <c r="U87" s="8" t="str">
        <f t="shared" si="7"/>
        <v>June</v>
      </c>
    </row>
    <row r="88" spans="1:21" x14ac:dyDescent="0.55000000000000004">
      <c r="A88" t="str">
        <f t="shared" si="4"/>
        <v>JuneAFG Suzho - DECI NC</v>
      </c>
      <c r="B88" s="3" t="s">
        <v>20</v>
      </c>
      <c r="C88" s="4" t="s">
        <v>241</v>
      </c>
      <c r="D88" s="4" t="s">
        <v>242</v>
      </c>
      <c r="E88" s="5">
        <v>43256</v>
      </c>
      <c r="F88" s="4" t="s">
        <v>23</v>
      </c>
      <c r="G88" s="4" t="s">
        <v>243</v>
      </c>
      <c r="H88" s="4" t="s">
        <v>244</v>
      </c>
      <c r="I88" s="4" t="s">
        <v>154</v>
      </c>
      <c r="J88" s="4" t="s">
        <v>27</v>
      </c>
      <c r="K88" s="6">
        <v>71474.19</v>
      </c>
      <c r="L88" s="6">
        <v>0</v>
      </c>
      <c r="M88" s="6">
        <f t="shared" si="5"/>
        <v>71474.19</v>
      </c>
      <c r="N88" s="4"/>
      <c r="O88" s="3"/>
      <c r="P88" s="3" t="s">
        <v>245</v>
      </c>
      <c r="Q88" s="8" t="s">
        <v>73</v>
      </c>
      <c r="R88" s="9">
        <v>43221</v>
      </c>
      <c r="S88" s="9">
        <v>43221</v>
      </c>
      <c r="T88" s="8">
        <f t="shared" si="6"/>
        <v>6</v>
      </c>
      <c r="U88" s="8" t="str">
        <f t="shared" si="7"/>
        <v>June</v>
      </c>
    </row>
    <row r="89" spans="1:21" x14ac:dyDescent="0.55000000000000004">
      <c r="A89" t="str">
        <f t="shared" si="4"/>
        <v>JuneAFG Suzho - DCL KY</v>
      </c>
      <c r="B89" s="3" t="s">
        <v>20</v>
      </c>
      <c r="C89" s="4" t="s">
        <v>241</v>
      </c>
      <c r="D89" s="4" t="s">
        <v>242</v>
      </c>
      <c r="E89" s="5">
        <v>43256</v>
      </c>
      <c r="F89" s="4" t="s">
        <v>23</v>
      </c>
      <c r="G89" s="4" t="s">
        <v>243</v>
      </c>
      <c r="H89" s="4" t="s">
        <v>244</v>
      </c>
      <c r="I89" s="4" t="s">
        <v>154</v>
      </c>
      <c r="J89" s="4" t="s">
        <v>27</v>
      </c>
      <c r="K89" s="6">
        <v>9825.7099999999991</v>
      </c>
      <c r="L89" s="6">
        <v>0</v>
      </c>
      <c r="M89" s="6">
        <f t="shared" si="5"/>
        <v>9825.7099999999991</v>
      </c>
      <c r="N89" s="4"/>
      <c r="O89" s="3"/>
      <c r="P89" s="3" t="s">
        <v>247</v>
      </c>
      <c r="Q89" s="8" t="s">
        <v>45</v>
      </c>
      <c r="R89" s="9">
        <v>43221</v>
      </c>
      <c r="S89" s="9">
        <v>43221</v>
      </c>
      <c r="T89" s="8">
        <f t="shared" si="6"/>
        <v>6</v>
      </c>
      <c r="U89" s="8" t="str">
        <f t="shared" si="7"/>
        <v>June</v>
      </c>
    </row>
    <row r="90" spans="1:21" x14ac:dyDescent="0.55000000000000004">
      <c r="A90" t="str">
        <f t="shared" si="4"/>
        <v>JuneAFG Suzho - DCL KY</v>
      </c>
      <c r="B90" s="3" t="s">
        <v>20</v>
      </c>
      <c r="C90" s="4" t="s">
        <v>241</v>
      </c>
      <c r="D90" s="4" t="s">
        <v>242</v>
      </c>
      <c r="E90" s="5">
        <v>43256</v>
      </c>
      <c r="F90" s="4" t="s">
        <v>23</v>
      </c>
      <c r="G90" s="4" t="s">
        <v>243</v>
      </c>
      <c r="H90" s="4" t="s">
        <v>244</v>
      </c>
      <c r="I90" s="4" t="s">
        <v>154</v>
      </c>
      <c r="J90" s="4" t="s">
        <v>27</v>
      </c>
      <c r="K90" s="6">
        <v>47100.97</v>
      </c>
      <c r="L90" s="6">
        <v>0</v>
      </c>
      <c r="M90" s="6">
        <f t="shared" si="5"/>
        <v>47100.97</v>
      </c>
      <c r="N90" s="4"/>
      <c r="O90" s="3"/>
      <c r="P90" s="3" t="s">
        <v>247</v>
      </c>
      <c r="Q90" s="8" t="s">
        <v>55</v>
      </c>
      <c r="R90" s="9">
        <v>43221</v>
      </c>
      <c r="S90" s="9">
        <v>43221</v>
      </c>
      <c r="T90" s="8">
        <f t="shared" si="6"/>
        <v>6</v>
      </c>
      <c r="U90" s="8" t="str">
        <f t="shared" si="7"/>
        <v>June</v>
      </c>
    </row>
    <row r="91" spans="1:21" x14ac:dyDescent="0.55000000000000004">
      <c r="A91" t="str">
        <f t="shared" si="4"/>
        <v>MayAFG Suzho - Flex IL</v>
      </c>
      <c r="B91" s="3" t="s">
        <v>20</v>
      </c>
      <c r="C91" s="4" t="s">
        <v>241</v>
      </c>
      <c r="D91" s="4" t="s">
        <v>242</v>
      </c>
      <c r="E91" s="5">
        <v>43246</v>
      </c>
      <c r="F91" s="4" t="s">
        <v>23</v>
      </c>
      <c r="G91" s="4" t="s">
        <v>243</v>
      </c>
      <c r="H91" s="4" t="s">
        <v>244</v>
      </c>
      <c r="I91" s="4" t="s">
        <v>154</v>
      </c>
      <c r="J91" s="4" t="s">
        <v>27</v>
      </c>
      <c r="K91" s="6">
        <v>5079.68</v>
      </c>
      <c r="L91" s="6">
        <v>0</v>
      </c>
      <c r="M91" s="6">
        <f t="shared" si="5"/>
        <v>5079.68</v>
      </c>
      <c r="N91" s="4"/>
      <c r="O91" s="3"/>
      <c r="P91" s="3" t="s">
        <v>260</v>
      </c>
      <c r="Q91" s="8" t="s">
        <v>261</v>
      </c>
      <c r="R91" s="9">
        <v>43221</v>
      </c>
      <c r="S91" s="9">
        <v>43221</v>
      </c>
      <c r="T91" s="8">
        <f t="shared" si="6"/>
        <v>5</v>
      </c>
      <c r="U91" s="8" t="str">
        <f t="shared" si="7"/>
        <v>May</v>
      </c>
    </row>
    <row r="92" spans="1:21" x14ac:dyDescent="0.55000000000000004">
      <c r="A92" t="str">
        <f t="shared" si="4"/>
        <v>JuneHong Kong - DCL KY</v>
      </c>
      <c r="B92" s="3" t="s">
        <v>20</v>
      </c>
      <c r="C92" s="4" t="s">
        <v>241</v>
      </c>
      <c r="D92" s="4" t="s">
        <v>242</v>
      </c>
      <c r="E92" s="5">
        <v>43256</v>
      </c>
      <c r="F92" s="4" t="s">
        <v>23</v>
      </c>
      <c r="G92" s="4" t="s">
        <v>243</v>
      </c>
      <c r="H92" s="4" t="s">
        <v>244</v>
      </c>
      <c r="I92" s="4" t="s">
        <v>154</v>
      </c>
      <c r="J92" s="4" t="s">
        <v>27</v>
      </c>
      <c r="K92" s="6">
        <v>10996.48</v>
      </c>
      <c r="L92" s="6">
        <v>0</v>
      </c>
      <c r="M92" s="6">
        <f t="shared" si="5"/>
        <v>10996.48</v>
      </c>
      <c r="N92" s="4"/>
      <c r="O92" s="3"/>
      <c r="P92" s="3" t="s">
        <v>39</v>
      </c>
      <c r="Q92" s="8" t="s">
        <v>40</v>
      </c>
      <c r="R92" s="9">
        <v>43221</v>
      </c>
      <c r="S92" s="9">
        <v>43221</v>
      </c>
      <c r="T92" s="8">
        <f t="shared" si="6"/>
        <v>6</v>
      </c>
      <c r="U92" s="8" t="str">
        <f t="shared" si="7"/>
        <v>June</v>
      </c>
    </row>
    <row r="93" spans="1:21" x14ac:dyDescent="0.55000000000000004">
      <c r="A93" t="str">
        <f t="shared" si="4"/>
        <v>JuneHong Kong - DCL KY</v>
      </c>
      <c r="B93" s="3" t="s">
        <v>20</v>
      </c>
      <c r="C93" s="4" t="s">
        <v>241</v>
      </c>
      <c r="D93" s="4" t="s">
        <v>242</v>
      </c>
      <c r="E93" s="5">
        <v>43256</v>
      </c>
      <c r="F93" s="4" t="s">
        <v>23</v>
      </c>
      <c r="G93" s="4" t="s">
        <v>243</v>
      </c>
      <c r="H93" s="4" t="s">
        <v>244</v>
      </c>
      <c r="I93" s="4" t="s">
        <v>154</v>
      </c>
      <c r="J93" s="4" t="s">
        <v>27</v>
      </c>
      <c r="K93" s="6">
        <v>12946.68</v>
      </c>
      <c r="L93" s="6">
        <v>0</v>
      </c>
      <c r="M93" s="6">
        <f t="shared" si="5"/>
        <v>12946.68</v>
      </c>
      <c r="N93" s="4"/>
      <c r="O93" s="3"/>
      <c r="P93" s="3" t="s">
        <v>39</v>
      </c>
      <c r="Q93" s="8" t="s">
        <v>77</v>
      </c>
      <c r="R93" s="9">
        <v>43221</v>
      </c>
      <c r="S93" s="9">
        <v>43221</v>
      </c>
      <c r="T93" s="8">
        <f t="shared" si="6"/>
        <v>6</v>
      </c>
      <c r="U93" s="8" t="str">
        <f t="shared" si="7"/>
        <v>June</v>
      </c>
    </row>
    <row r="94" spans="1:21" x14ac:dyDescent="0.55000000000000004">
      <c r="A94" t="str">
        <f t="shared" si="4"/>
        <v>MayAFG NC - Toronto Can</v>
      </c>
      <c r="B94" s="3" t="s">
        <v>20</v>
      </c>
      <c r="C94" s="4" t="s">
        <v>241</v>
      </c>
      <c r="D94" s="4" t="s">
        <v>242</v>
      </c>
      <c r="E94" s="5">
        <v>43246</v>
      </c>
      <c r="F94" s="4" t="s">
        <v>23</v>
      </c>
      <c r="G94" s="4" t="s">
        <v>243</v>
      </c>
      <c r="H94" s="4" t="s">
        <v>244</v>
      </c>
      <c r="I94" s="4" t="s">
        <v>154</v>
      </c>
      <c r="J94" s="4" t="s">
        <v>27</v>
      </c>
      <c r="K94" s="6">
        <v>427.41</v>
      </c>
      <c r="L94" s="6">
        <v>0</v>
      </c>
      <c r="M94" s="6">
        <f t="shared" si="5"/>
        <v>427.41</v>
      </c>
      <c r="N94" s="4"/>
      <c r="O94" s="3"/>
      <c r="P94" s="3" t="s">
        <v>262</v>
      </c>
      <c r="Q94" s="8" t="s">
        <v>263</v>
      </c>
      <c r="R94" s="9">
        <v>43221</v>
      </c>
      <c r="S94" s="9">
        <v>43221</v>
      </c>
      <c r="T94" s="8">
        <f t="shared" si="6"/>
        <v>5</v>
      </c>
      <c r="U94" s="8" t="str">
        <f t="shared" si="7"/>
        <v>May</v>
      </c>
    </row>
    <row r="95" spans="1:21" x14ac:dyDescent="0.55000000000000004">
      <c r="A95" t="str">
        <f t="shared" si="4"/>
        <v>JuneAFG Suzho - Flex IL</v>
      </c>
      <c r="B95" s="3" t="s">
        <v>20</v>
      </c>
      <c r="C95" s="4" t="s">
        <v>241</v>
      </c>
      <c r="D95" s="4" t="s">
        <v>242</v>
      </c>
      <c r="E95" s="5">
        <v>43256</v>
      </c>
      <c r="F95" s="4" t="s">
        <v>23</v>
      </c>
      <c r="G95" s="4" t="s">
        <v>243</v>
      </c>
      <c r="H95" s="4" t="s">
        <v>244</v>
      </c>
      <c r="I95" s="4" t="s">
        <v>154</v>
      </c>
      <c r="J95" s="4" t="s">
        <v>27</v>
      </c>
      <c r="K95" s="6">
        <v>6553.57</v>
      </c>
      <c r="L95" s="6">
        <v>0</v>
      </c>
      <c r="M95" s="6">
        <f t="shared" si="5"/>
        <v>6553.57</v>
      </c>
      <c r="N95" s="4"/>
      <c r="O95" s="3"/>
      <c r="P95" s="3" t="s">
        <v>260</v>
      </c>
      <c r="Q95" s="8" t="s">
        <v>264</v>
      </c>
      <c r="R95" s="9">
        <v>43221</v>
      </c>
      <c r="S95" s="9">
        <v>43221</v>
      </c>
      <c r="T95" s="8">
        <f t="shared" si="6"/>
        <v>6</v>
      </c>
      <c r="U95" s="8" t="str">
        <f t="shared" si="7"/>
        <v>June</v>
      </c>
    </row>
    <row r="96" spans="1:21" x14ac:dyDescent="0.55000000000000004">
      <c r="A96" t="str">
        <f t="shared" si="4"/>
        <v>JuneAFG Suzho - Flex IL</v>
      </c>
      <c r="B96" s="3" t="s">
        <v>20</v>
      </c>
      <c r="C96" s="4" t="s">
        <v>241</v>
      </c>
      <c r="D96" s="4" t="s">
        <v>242</v>
      </c>
      <c r="E96" s="5">
        <v>43256</v>
      </c>
      <c r="F96" s="4" t="s">
        <v>23</v>
      </c>
      <c r="G96" s="4" t="s">
        <v>243</v>
      </c>
      <c r="H96" s="4" t="s">
        <v>244</v>
      </c>
      <c r="I96" s="4" t="s">
        <v>154</v>
      </c>
      <c r="J96" s="4" t="s">
        <v>27</v>
      </c>
      <c r="K96" s="6">
        <v>4350.2299999999996</v>
      </c>
      <c r="L96" s="6">
        <v>0</v>
      </c>
      <c r="M96" s="6">
        <f t="shared" si="5"/>
        <v>4350.2299999999996</v>
      </c>
      <c r="N96" s="4"/>
      <c r="O96" s="3"/>
      <c r="P96" s="3" t="s">
        <v>260</v>
      </c>
      <c r="Q96" s="8" t="s">
        <v>265</v>
      </c>
      <c r="R96" s="9">
        <v>43221</v>
      </c>
      <c r="S96" s="9">
        <v>43221</v>
      </c>
      <c r="T96" s="8">
        <f t="shared" si="6"/>
        <v>6</v>
      </c>
      <c r="U96" s="8" t="str">
        <f t="shared" si="7"/>
        <v>June</v>
      </c>
    </row>
    <row r="97" spans="1:21" x14ac:dyDescent="0.55000000000000004">
      <c r="A97" t="str">
        <f t="shared" si="4"/>
        <v>JuneAFG Suzho - Flex IL</v>
      </c>
      <c r="B97" s="3" t="s">
        <v>20</v>
      </c>
      <c r="C97" s="4" t="s">
        <v>241</v>
      </c>
      <c r="D97" s="4" t="s">
        <v>242</v>
      </c>
      <c r="E97" s="5">
        <v>43256</v>
      </c>
      <c r="F97" s="4" t="s">
        <v>23</v>
      </c>
      <c r="G97" s="4" t="s">
        <v>243</v>
      </c>
      <c r="H97" s="4" t="s">
        <v>244</v>
      </c>
      <c r="I97" s="4" t="s">
        <v>154</v>
      </c>
      <c r="J97" s="4" t="s">
        <v>27</v>
      </c>
      <c r="K97" s="6">
        <v>2881.33</v>
      </c>
      <c r="L97" s="6">
        <v>0</v>
      </c>
      <c r="M97" s="6">
        <f t="shared" si="5"/>
        <v>2881.33</v>
      </c>
      <c r="N97" s="4"/>
      <c r="O97" s="3"/>
      <c r="P97" s="3" t="s">
        <v>260</v>
      </c>
      <c r="Q97" s="8" t="s">
        <v>266</v>
      </c>
      <c r="R97" s="9">
        <v>43221</v>
      </c>
      <c r="S97" s="9">
        <v>43221</v>
      </c>
      <c r="T97" s="8">
        <f t="shared" si="6"/>
        <v>6</v>
      </c>
      <c r="U97" s="8" t="str">
        <f t="shared" si="7"/>
        <v>June</v>
      </c>
    </row>
    <row r="98" spans="1:21" x14ac:dyDescent="0.55000000000000004">
      <c r="A98" t="str">
        <f t="shared" si="4"/>
        <v>JuneAFG NC - DCL KY</v>
      </c>
      <c r="B98" s="3" t="s">
        <v>20</v>
      </c>
      <c r="C98" s="4" t="s">
        <v>241</v>
      </c>
      <c r="D98" s="4" t="s">
        <v>267</v>
      </c>
      <c r="E98" s="5">
        <v>43257</v>
      </c>
      <c r="F98" s="4" t="s">
        <v>23</v>
      </c>
      <c r="G98" s="4" t="s">
        <v>268</v>
      </c>
      <c r="H98" s="4" t="s">
        <v>269</v>
      </c>
      <c r="I98" s="4" t="s">
        <v>154</v>
      </c>
      <c r="J98" s="4" t="s">
        <v>172</v>
      </c>
      <c r="K98" s="6">
        <v>3100</v>
      </c>
      <c r="L98" s="6">
        <v>0</v>
      </c>
      <c r="M98" s="6">
        <f t="shared" si="5"/>
        <v>3100</v>
      </c>
      <c r="N98" s="4"/>
      <c r="O98" s="3"/>
      <c r="P98" s="3" t="s">
        <v>173</v>
      </c>
      <c r="Q98" s="8" t="s">
        <v>270</v>
      </c>
      <c r="R98" s="9">
        <v>43252</v>
      </c>
      <c r="S98" s="9">
        <v>43252</v>
      </c>
      <c r="T98" s="8">
        <f t="shared" si="6"/>
        <v>6</v>
      </c>
      <c r="U98" s="8" t="str">
        <f t="shared" si="7"/>
        <v>June</v>
      </c>
    </row>
    <row r="99" spans="1:21" x14ac:dyDescent="0.55000000000000004">
      <c r="A99" t="str">
        <f t="shared" si="4"/>
        <v>JuneAFG NC - DCL KY</v>
      </c>
      <c r="B99" s="3" t="s">
        <v>20</v>
      </c>
      <c r="C99" s="4" t="s">
        <v>241</v>
      </c>
      <c r="D99" s="4" t="s">
        <v>267</v>
      </c>
      <c r="E99" s="5">
        <v>43257</v>
      </c>
      <c r="F99" s="4" t="s">
        <v>23</v>
      </c>
      <c r="G99" s="4" t="s">
        <v>268</v>
      </c>
      <c r="H99" s="4" t="s">
        <v>269</v>
      </c>
      <c r="I99" s="4" t="s">
        <v>154</v>
      </c>
      <c r="J99" s="4" t="s">
        <v>172</v>
      </c>
      <c r="K99" s="6">
        <v>3100</v>
      </c>
      <c r="L99" s="6">
        <v>0</v>
      </c>
      <c r="M99" s="6">
        <f t="shared" si="5"/>
        <v>3100</v>
      </c>
      <c r="N99" s="4"/>
      <c r="O99" s="3"/>
      <c r="P99" s="3" t="s">
        <v>173</v>
      </c>
      <c r="Q99" s="8" t="s">
        <v>271</v>
      </c>
      <c r="R99" s="9">
        <v>43252</v>
      </c>
      <c r="S99" s="9">
        <v>43252</v>
      </c>
      <c r="T99" s="8">
        <f t="shared" si="6"/>
        <v>6</v>
      </c>
      <c r="U99" s="8" t="str">
        <f t="shared" si="7"/>
        <v>June</v>
      </c>
    </row>
    <row r="100" spans="1:21" x14ac:dyDescent="0.55000000000000004">
      <c r="A100" t="str">
        <f t="shared" si="4"/>
        <v>JuneAFG NC - DCL KY</v>
      </c>
      <c r="B100" s="3" t="s">
        <v>20</v>
      </c>
      <c r="C100" s="4" t="s">
        <v>241</v>
      </c>
      <c r="D100" s="4" t="s">
        <v>267</v>
      </c>
      <c r="E100" s="5">
        <v>43257</v>
      </c>
      <c r="F100" s="4" t="s">
        <v>23</v>
      </c>
      <c r="G100" s="4" t="s">
        <v>268</v>
      </c>
      <c r="H100" s="4" t="s">
        <v>269</v>
      </c>
      <c r="I100" s="4" t="s">
        <v>154</v>
      </c>
      <c r="J100" s="4" t="s">
        <v>172</v>
      </c>
      <c r="K100" s="6">
        <v>3100</v>
      </c>
      <c r="L100" s="6">
        <v>0</v>
      </c>
      <c r="M100" s="6">
        <f t="shared" si="5"/>
        <v>3100</v>
      </c>
      <c r="N100" s="4"/>
      <c r="O100" s="3"/>
      <c r="P100" s="3" t="s">
        <v>173</v>
      </c>
      <c r="Q100" s="8" t="s">
        <v>272</v>
      </c>
      <c r="R100" s="9">
        <v>43252</v>
      </c>
      <c r="S100" s="9">
        <v>43252</v>
      </c>
      <c r="T100" s="8">
        <f t="shared" si="6"/>
        <v>6</v>
      </c>
      <c r="U100" s="8" t="str">
        <f t="shared" si="7"/>
        <v>June</v>
      </c>
    </row>
    <row r="101" spans="1:21" x14ac:dyDescent="0.55000000000000004">
      <c r="A101" t="str">
        <f t="shared" si="4"/>
        <v>JuneAFG NC - DCL KY</v>
      </c>
      <c r="B101" s="3" t="s">
        <v>20</v>
      </c>
      <c r="C101" s="4" t="s">
        <v>241</v>
      </c>
      <c r="D101" s="4" t="s">
        <v>267</v>
      </c>
      <c r="E101" s="5">
        <v>43257</v>
      </c>
      <c r="F101" s="4" t="s">
        <v>23</v>
      </c>
      <c r="G101" s="4" t="s">
        <v>268</v>
      </c>
      <c r="H101" s="4" t="s">
        <v>269</v>
      </c>
      <c r="I101" s="4" t="s">
        <v>154</v>
      </c>
      <c r="J101" s="4" t="s">
        <v>172</v>
      </c>
      <c r="K101" s="6">
        <v>6000</v>
      </c>
      <c r="L101" s="6">
        <v>0</v>
      </c>
      <c r="M101" s="6">
        <f t="shared" si="5"/>
        <v>6000</v>
      </c>
      <c r="N101" s="4"/>
      <c r="O101" s="3"/>
      <c r="P101" s="3" t="s">
        <v>173</v>
      </c>
      <c r="Q101" s="8" t="s">
        <v>273</v>
      </c>
      <c r="R101" s="9">
        <v>43252</v>
      </c>
      <c r="S101" s="9">
        <v>43252</v>
      </c>
      <c r="T101" s="8">
        <f t="shared" si="6"/>
        <v>6</v>
      </c>
      <c r="U101" s="8" t="str">
        <f t="shared" si="7"/>
        <v>June</v>
      </c>
    </row>
    <row r="102" spans="1:21" x14ac:dyDescent="0.55000000000000004">
      <c r="A102" t="str">
        <f t="shared" si="4"/>
        <v>JuneAFG NC - DCL KY</v>
      </c>
      <c r="B102" s="3" t="s">
        <v>20</v>
      </c>
      <c r="C102" s="4" t="s">
        <v>241</v>
      </c>
      <c r="D102" s="4" t="s">
        <v>267</v>
      </c>
      <c r="E102" s="5">
        <v>43264</v>
      </c>
      <c r="F102" s="4" t="s">
        <v>23</v>
      </c>
      <c r="G102" s="4" t="s">
        <v>268</v>
      </c>
      <c r="H102" s="4" t="s">
        <v>269</v>
      </c>
      <c r="I102" s="4" t="s">
        <v>154</v>
      </c>
      <c r="J102" s="4" t="s">
        <v>172</v>
      </c>
      <c r="K102" s="6">
        <v>1550</v>
      </c>
      <c r="L102" s="6">
        <v>0</v>
      </c>
      <c r="M102" s="6">
        <f t="shared" si="5"/>
        <v>1550</v>
      </c>
      <c r="N102" s="4"/>
      <c r="O102" s="3"/>
      <c r="P102" s="3" t="s">
        <v>173</v>
      </c>
      <c r="Q102" s="8" t="s">
        <v>274</v>
      </c>
      <c r="R102" s="9">
        <v>43252</v>
      </c>
      <c r="S102" s="9">
        <v>43252</v>
      </c>
      <c r="T102" s="8">
        <f t="shared" si="6"/>
        <v>6</v>
      </c>
      <c r="U102" s="8" t="str">
        <f t="shared" si="7"/>
        <v>June</v>
      </c>
    </row>
    <row r="103" spans="1:21" x14ac:dyDescent="0.55000000000000004">
      <c r="A103" t="str">
        <f t="shared" si="4"/>
        <v>JuneAFG NC - DCL KY</v>
      </c>
      <c r="B103" s="3" t="s">
        <v>20</v>
      </c>
      <c r="C103" s="4" t="s">
        <v>241</v>
      </c>
      <c r="D103" s="4" t="s">
        <v>267</v>
      </c>
      <c r="E103" s="5">
        <v>43262</v>
      </c>
      <c r="F103" s="4" t="s">
        <v>23</v>
      </c>
      <c r="G103" s="4" t="s">
        <v>268</v>
      </c>
      <c r="H103" s="4" t="s">
        <v>269</v>
      </c>
      <c r="I103" s="4" t="s">
        <v>154</v>
      </c>
      <c r="J103" s="4" t="s">
        <v>172</v>
      </c>
      <c r="K103" s="6">
        <v>3100</v>
      </c>
      <c r="L103" s="6">
        <v>0</v>
      </c>
      <c r="M103" s="6">
        <f t="shared" si="5"/>
        <v>3100</v>
      </c>
      <c r="N103" s="4"/>
      <c r="O103" s="3"/>
      <c r="P103" s="3" t="s">
        <v>173</v>
      </c>
      <c r="Q103" s="8" t="s">
        <v>275</v>
      </c>
      <c r="R103" s="9">
        <v>43252</v>
      </c>
      <c r="S103" s="9">
        <v>43252</v>
      </c>
      <c r="T103" s="8">
        <f t="shared" si="6"/>
        <v>6</v>
      </c>
      <c r="U103" s="8" t="str">
        <f t="shared" si="7"/>
        <v>June</v>
      </c>
    </row>
    <row r="104" spans="1:21" x14ac:dyDescent="0.55000000000000004">
      <c r="A104" t="str">
        <f t="shared" si="4"/>
        <v>JuneAFG NC - DCL KY</v>
      </c>
      <c r="B104" s="3" t="s">
        <v>20</v>
      </c>
      <c r="C104" s="4" t="s">
        <v>241</v>
      </c>
      <c r="D104" s="4" t="s">
        <v>267</v>
      </c>
      <c r="E104" s="5">
        <v>43262</v>
      </c>
      <c r="F104" s="4" t="s">
        <v>23</v>
      </c>
      <c r="G104" s="4" t="s">
        <v>268</v>
      </c>
      <c r="H104" s="4" t="s">
        <v>269</v>
      </c>
      <c r="I104" s="4" t="s">
        <v>154</v>
      </c>
      <c r="J104" s="4" t="s">
        <v>172</v>
      </c>
      <c r="K104" s="6">
        <v>3100</v>
      </c>
      <c r="L104" s="6">
        <v>0</v>
      </c>
      <c r="M104" s="6">
        <f t="shared" si="5"/>
        <v>3100</v>
      </c>
      <c r="N104" s="4"/>
      <c r="O104" s="3"/>
      <c r="P104" s="3" t="s">
        <v>173</v>
      </c>
      <c r="Q104" s="8" t="s">
        <v>276</v>
      </c>
      <c r="R104" s="9">
        <v>43252</v>
      </c>
      <c r="S104" s="9">
        <v>43252</v>
      </c>
      <c r="T104" s="8">
        <f t="shared" si="6"/>
        <v>6</v>
      </c>
      <c r="U104" s="8" t="str">
        <f t="shared" si="7"/>
        <v>June</v>
      </c>
    </row>
    <row r="105" spans="1:21" x14ac:dyDescent="0.55000000000000004">
      <c r="A105" t="str">
        <f t="shared" si="4"/>
        <v>JuneAFG NC - DCL KY</v>
      </c>
      <c r="B105" s="3" t="s">
        <v>20</v>
      </c>
      <c r="C105" s="4" t="s">
        <v>241</v>
      </c>
      <c r="D105" s="4" t="s">
        <v>267</v>
      </c>
      <c r="E105" s="5">
        <v>43262</v>
      </c>
      <c r="F105" s="4" t="s">
        <v>23</v>
      </c>
      <c r="G105" s="4" t="s">
        <v>268</v>
      </c>
      <c r="H105" s="4" t="s">
        <v>269</v>
      </c>
      <c r="I105" s="4" t="s">
        <v>154</v>
      </c>
      <c r="J105" s="4" t="s">
        <v>172</v>
      </c>
      <c r="K105" s="6">
        <v>4650</v>
      </c>
      <c r="L105" s="6">
        <v>0</v>
      </c>
      <c r="M105" s="6">
        <f t="shared" si="5"/>
        <v>4650</v>
      </c>
      <c r="N105" s="4"/>
      <c r="O105" s="3"/>
      <c r="P105" s="3" t="s">
        <v>173</v>
      </c>
      <c r="Q105" s="8" t="s">
        <v>277</v>
      </c>
      <c r="R105" s="9">
        <v>43252</v>
      </c>
      <c r="S105" s="9">
        <v>43252</v>
      </c>
      <c r="T105" s="8">
        <f t="shared" si="6"/>
        <v>6</v>
      </c>
      <c r="U105" s="8" t="str">
        <f t="shared" si="7"/>
        <v>June</v>
      </c>
    </row>
    <row r="106" spans="1:21" x14ac:dyDescent="0.55000000000000004">
      <c r="A106" t="str">
        <f t="shared" si="4"/>
        <v>JuneAFG NC - DCL KY</v>
      </c>
      <c r="B106" s="3" t="s">
        <v>20</v>
      </c>
      <c r="C106" s="4" t="s">
        <v>241</v>
      </c>
      <c r="D106" s="4" t="s">
        <v>267</v>
      </c>
      <c r="E106" s="5">
        <v>43263</v>
      </c>
      <c r="F106" s="4" t="s">
        <v>23</v>
      </c>
      <c r="G106" s="4" t="s">
        <v>268</v>
      </c>
      <c r="H106" s="4" t="s">
        <v>269</v>
      </c>
      <c r="I106" s="4" t="s">
        <v>154</v>
      </c>
      <c r="J106" s="4" t="s">
        <v>172</v>
      </c>
      <c r="K106" s="6">
        <v>4650</v>
      </c>
      <c r="L106" s="6">
        <v>0</v>
      </c>
      <c r="M106" s="6">
        <f t="shared" si="5"/>
        <v>4650</v>
      </c>
      <c r="N106" s="4"/>
      <c r="O106" s="3"/>
      <c r="P106" s="3" t="s">
        <v>173</v>
      </c>
      <c r="Q106" s="8" t="s">
        <v>278</v>
      </c>
      <c r="R106" s="9">
        <v>43252</v>
      </c>
      <c r="S106" s="9">
        <v>43252</v>
      </c>
      <c r="T106" s="8">
        <f t="shared" si="6"/>
        <v>6</v>
      </c>
      <c r="U106" s="8" t="str">
        <f t="shared" si="7"/>
        <v>June</v>
      </c>
    </row>
    <row r="107" spans="1:21" x14ac:dyDescent="0.55000000000000004">
      <c r="A107" t="str">
        <f t="shared" si="4"/>
        <v>JuneAFG NC - DCL KY</v>
      </c>
      <c r="B107" s="3" t="s">
        <v>20</v>
      </c>
      <c r="C107" s="4" t="s">
        <v>241</v>
      </c>
      <c r="D107" s="4" t="s">
        <v>267</v>
      </c>
      <c r="E107" s="5">
        <v>43264</v>
      </c>
      <c r="F107" s="4" t="s">
        <v>23</v>
      </c>
      <c r="G107" s="4" t="s">
        <v>268</v>
      </c>
      <c r="H107" s="4" t="s">
        <v>269</v>
      </c>
      <c r="I107" s="4" t="s">
        <v>154</v>
      </c>
      <c r="J107" s="4" t="s">
        <v>172</v>
      </c>
      <c r="K107" s="6">
        <v>3100</v>
      </c>
      <c r="L107" s="6">
        <v>0</v>
      </c>
      <c r="M107" s="6">
        <f t="shared" si="5"/>
        <v>3100</v>
      </c>
      <c r="N107" s="4"/>
      <c r="O107" s="3"/>
      <c r="P107" s="3" t="s">
        <v>173</v>
      </c>
      <c r="Q107" s="8" t="s">
        <v>279</v>
      </c>
      <c r="R107" s="9">
        <v>43252</v>
      </c>
      <c r="S107" s="9">
        <v>43252</v>
      </c>
      <c r="T107" s="8">
        <f t="shared" si="6"/>
        <v>6</v>
      </c>
      <c r="U107" s="8" t="str">
        <f t="shared" si="7"/>
        <v>June</v>
      </c>
    </row>
    <row r="108" spans="1:21" x14ac:dyDescent="0.55000000000000004">
      <c r="A108" t="str">
        <f t="shared" si="4"/>
        <v>JunePhillips WI - DCL KY</v>
      </c>
      <c r="B108" s="3" t="s">
        <v>20</v>
      </c>
      <c r="C108" s="4" t="s">
        <v>241</v>
      </c>
      <c r="D108" s="4" t="s">
        <v>267</v>
      </c>
      <c r="E108" s="5">
        <v>43264</v>
      </c>
      <c r="F108" s="4" t="s">
        <v>23</v>
      </c>
      <c r="G108" s="4" t="s">
        <v>268</v>
      </c>
      <c r="H108" s="4" t="s">
        <v>269</v>
      </c>
      <c r="I108" s="4" t="s">
        <v>154</v>
      </c>
      <c r="J108" s="4" t="s">
        <v>172</v>
      </c>
      <c r="K108" s="6">
        <v>541.87</v>
      </c>
      <c r="L108" s="6">
        <v>0</v>
      </c>
      <c r="M108" s="6">
        <f t="shared" si="5"/>
        <v>541.87</v>
      </c>
      <c r="N108" s="4"/>
      <c r="O108" s="3"/>
      <c r="P108" s="3" t="s">
        <v>29</v>
      </c>
      <c r="Q108" s="8" t="s">
        <v>280</v>
      </c>
      <c r="R108" s="9">
        <v>43252</v>
      </c>
      <c r="S108" s="9">
        <v>43252</v>
      </c>
      <c r="T108" s="8">
        <f t="shared" si="6"/>
        <v>6</v>
      </c>
      <c r="U108" s="8" t="str">
        <f t="shared" si="7"/>
        <v>June</v>
      </c>
    </row>
    <row r="109" spans="1:21" x14ac:dyDescent="0.55000000000000004">
      <c r="A109" t="str">
        <f t="shared" si="4"/>
        <v>JuneAFG NC - DCL KY</v>
      </c>
      <c r="B109" s="3" t="s">
        <v>20</v>
      </c>
      <c r="C109" s="4" t="s">
        <v>241</v>
      </c>
      <c r="D109" s="4" t="s">
        <v>267</v>
      </c>
      <c r="E109" s="5">
        <v>43269</v>
      </c>
      <c r="F109" s="4" t="s">
        <v>23</v>
      </c>
      <c r="G109" s="4" t="s">
        <v>268</v>
      </c>
      <c r="H109" s="4" t="s">
        <v>269</v>
      </c>
      <c r="I109" s="4" t="s">
        <v>154</v>
      </c>
      <c r="J109" s="4" t="s">
        <v>172</v>
      </c>
      <c r="K109" s="6">
        <v>3100</v>
      </c>
      <c r="L109" s="6">
        <v>0</v>
      </c>
      <c r="M109" s="6">
        <f t="shared" si="5"/>
        <v>3100</v>
      </c>
      <c r="N109" s="4"/>
      <c r="O109" s="3"/>
      <c r="P109" s="3" t="s">
        <v>173</v>
      </c>
      <c r="Q109" s="8" t="s">
        <v>281</v>
      </c>
      <c r="R109" s="9">
        <v>43252</v>
      </c>
      <c r="S109" s="9">
        <v>43252</v>
      </c>
      <c r="T109" s="8">
        <f t="shared" si="6"/>
        <v>6</v>
      </c>
      <c r="U109" s="8" t="str">
        <f t="shared" si="7"/>
        <v>June</v>
      </c>
    </row>
    <row r="110" spans="1:21" x14ac:dyDescent="0.55000000000000004">
      <c r="A110" t="str">
        <f t="shared" si="4"/>
        <v>JuneAFG NC - DCL KY</v>
      </c>
      <c r="B110" s="3" t="s">
        <v>20</v>
      </c>
      <c r="C110" s="4" t="s">
        <v>241</v>
      </c>
      <c r="D110" s="4" t="s">
        <v>267</v>
      </c>
      <c r="E110" s="5">
        <v>43270</v>
      </c>
      <c r="F110" s="4" t="s">
        <v>23</v>
      </c>
      <c r="G110" s="4" t="s">
        <v>268</v>
      </c>
      <c r="H110" s="4" t="s">
        <v>269</v>
      </c>
      <c r="I110" s="4" t="s">
        <v>154</v>
      </c>
      <c r="J110" s="4" t="s">
        <v>172</v>
      </c>
      <c r="K110" s="6">
        <v>7150</v>
      </c>
      <c r="L110" s="6">
        <v>0</v>
      </c>
      <c r="M110" s="6">
        <f t="shared" si="5"/>
        <v>7150</v>
      </c>
      <c r="N110" s="4"/>
      <c r="O110" s="3"/>
      <c r="P110" s="3" t="s">
        <v>173</v>
      </c>
      <c r="Q110" s="8" t="s">
        <v>282</v>
      </c>
      <c r="R110" s="9">
        <v>43252</v>
      </c>
      <c r="S110" s="9">
        <v>43252</v>
      </c>
      <c r="T110" s="8">
        <f t="shared" si="6"/>
        <v>6</v>
      </c>
      <c r="U110" s="8" t="str">
        <f t="shared" si="7"/>
        <v>June</v>
      </c>
    </row>
    <row r="111" spans="1:21" x14ac:dyDescent="0.55000000000000004">
      <c r="A111" t="str">
        <f t="shared" si="4"/>
        <v>JuneDECI NC - DCL KY</v>
      </c>
      <c r="B111" s="3" t="s">
        <v>20</v>
      </c>
      <c r="C111" s="4" t="s">
        <v>241</v>
      </c>
      <c r="D111" s="4" t="s">
        <v>267</v>
      </c>
      <c r="E111" s="5">
        <v>43270</v>
      </c>
      <c r="F111" s="4" t="s">
        <v>23</v>
      </c>
      <c r="G111" s="4" t="s">
        <v>268</v>
      </c>
      <c r="H111" s="4" t="s">
        <v>269</v>
      </c>
      <c r="I111" s="4" t="s">
        <v>154</v>
      </c>
      <c r="J111" s="4" t="s">
        <v>172</v>
      </c>
      <c r="K111" s="6">
        <v>7150</v>
      </c>
      <c r="L111" s="6">
        <v>0</v>
      </c>
      <c r="M111" s="6">
        <f t="shared" si="5"/>
        <v>7150</v>
      </c>
      <c r="N111" s="4"/>
      <c r="O111" s="3"/>
      <c r="P111" s="3" t="s">
        <v>178</v>
      </c>
      <c r="Q111" s="8" t="s">
        <v>283</v>
      </c>
      <c r="R111" s="9">
        <v>43252</v>
      </c>
      <c r="S111" s="9">
        <v>43252</v>
      </c>
      <c r="T111" s="8">
        <f t="shared" si="6"/>
        <v>6</v>
      </c>
      <c r="U111" s="8" t="str">
        <f t="shared" si="7"/>
        <v>June</v>
      </c>
    </row>
    <row r="112" spans="1:21" x14ac:dyDescent="0.55000000000000004">
      <c r="A112" t="str">
        <f t="shared" si="4"/>
        <v>JuneAFG NC - DCL KY</v>
      </c>
      <c r="B112" s="3" t="s">
        <v>20</v>
      </c>
      <c r="C112" s="4" t="s">
        <v>241</v>
      </c>
      <c r="D112" s="4" t="s">
        <v>267</v>
      </c>
      <c r="E112" s="5">
        <v>43270</v>
      </c>
      <c r="F112" s="4" t="s">
        <v>23</v>
      </c>
      <c r="G112" s="4" t="s">
        <v>268</v>
      </c>
      <c r="H112" s="4" t="s">
        <v>269</v>
      </c>
      <c r="I112" s="4" t="s">
        <v>154</v>
      </c>
      <c r="J112" s="4" t="s">
        <v>172</v>
      </c>
      <c r="K112" s="6">
        <v>3100</v>
      </c>
      <c r="L112" s="6">
        <v>0</v>
      </c>
      <c r="M112" s="6">
        <f t="shared" si="5"/>
        <v>3100</v>
      </c>
      <c r="N112" s="4"/>
      <c r="O112" s="3"/>
      <c r="P112" s="3" t="s">
        <v>173</v>
      </c>
      <c r="Q112" s="8" t="s">
        <v>284</v>
      </c>
      <c r="R112" s="9">
        <v>43252</v>
      </c>
      <c r="S112" s="9">
        <v>43252</v>
      </c>
      <c r="T112" s="8">
        <f t="shared" si="6"/>
        <v>6</v>
      </c>
      <c r="U112" s="8" t="str">
        <f t="shared" si="7"/>
        <v>June</v>
      </c>
    </row>
    <row r="113" spans="1:21" x14ac:dyDescent="0.55000000000000004">
      <c r="A113" t="str">
        <f t="shared" si="4"/>
        <v>JuneDECI NC - DCL KY</v>
      </c>
      <c r="B113" s="3" t="s">
        <v>20</v>
      </c>
      <c r="C113" s="4" t="s">
        <v>241</v>
      </c>
      <c r="D113" s="4" t="s">
        <v>267</v>
      </c>
      <c r="E113" s="5">
        <v>43270</v>
      </c>
      <c r="F113" s="4" t="s">
        <v>23</v>
      </c>
      <c r="G113" s="4" t="s">
        <v>268</v>
      </c>
      <c r="H113" s="4" t="s">
        <v>269</v>
      </c>
      <c r="I113" s="4" t="s">
        <v>154</v>
      </c>
      <c r="J113" s="4" t="s">
        <v>172</v>
      </c>
      <c r="K113" s="6">
        <v>8500</v>
      </c>
      <c r="L113" s="6">
        <v>0</v>
      </c>
      <c r="M113" s="6">
        <f t="shared" si="5"/>
        <v>8500</v>
      </c>
      <c r="N113" s="4"/>
      <c r="O113" s="3"/>
      <c r="P113" s="3" t="s">
        <v>178</v>
      </c>
      <c r="Q113" s="8" t="s">
        <v>285</v>
      </c>
      <c r="R113" s="9">
        <v>43252</v>
      </c>
      <c r="S113" s="9">
        <v>43252</v>
      </c>
      <c r="T113" s="8">
        <f t="shared" si="6"/>
        <v>6</v>
      </c>
      <c r="U113" s="8" t="str">
        <f t="shared" si="7"/>
        <v>June</v>
      </c>
    </row>
    <row r="114" spans="1:21" x14ac:dyDescent="0.55000000000000004">
      <c r="A114" t="str">
        <f t="shared" si="4"/>
        <v>JuneAFG NC - DCL KY</v>
      </c>
      <c r="B114" s="3" t="s">
        <v>20</v>
      </c>
      <c r="C114" s="4" t="s">
        <v>241</v>
      </c>
      <c r="D114" s="4" t="s">
        <v>267</v>
      </c>
      <c r="E114" s="5">
        <v>43270</v>
      </c>
      <c r="F114" s="4" t="s">
        <v>23</v>
      </c>
      <c r="G114" s="4" t="s">
        <v>268</v>
      </c>
      <c r="H114" s="4" t="s">
        <v>269</v>
      </c>
      <c r="I114" s="4" t="s">
        <v>154</v>
      </c>
      <c r="J114" s="4" t="s">
        <v>172</v>
      </c>
      <c r="K114" s="6">
        <v>3100</v>
      </c>
      <c r="L114" s="6">
        <v>0</v>
      </c>
      <c r="M114" s="6">
        <f t="shared" si="5"/>
        <v>3100</v>
      </c>
      <c r="N114" s="4"/>
      <c r="O114" s="3"/>
      <c r="P114" s="3" t="s">
        <v>173</v>
      </c>
      <c r="Q114" s="8" t="s">
        <v>286</v>
      </c>
      <c r="R114" s="9">
        <v>43252</v>
      </c>
      <c r="S114" s="9">
        <v>43252</v>
      </c>
      <c r="T114" s="8">
        <f t="shared" si="6"/>
        <v>6</v>
      </c>
      <c r="U114" s="8" t="str">
        <f t="shared" si="7"/>
        <v>June</v>
      </c>
    </row>
    <row r="115" spans="1:21" x14ac:dyDescent="0.55000000000000004">
      <c r="A115" t="str">
        <f t="shared" si="4"/>
        <v>JuneAFG NC - DCL KY</v>
      </c>
      <c r="B115" s="3" t="s">
        <v>20</v>
      </c>
      <c r="C115" s="4" t="s">
        <v>241</v>
      </c>
      <c r="D115" s="4" t="s">
        <v>267</v>
      </c>
      <c r="E115" s="5">
        <v>43271</v>
      </c>
      <c r="F115" s="4" t="s">
        <v>23</v>
      </c>
      <c r="G115" s="4" t="s">
        <v>268</v>
      </c>
      <c r="H115" s="4" t="s">
        <v>269</v>
      </c>
      <c r="I115" s="4" t="s">
        <v>154</v>
      </c>
      <c r="J115" s="4" t="s">
        <v>172</v>
      </c>
      <c r="K115" s="6">
        <v>3450</v>
      </c>
      <c r="L115" s="6">
        <v>0</v>
      </c>
      <c r="M115" s="6">
        <f t="shared" si="5"/>
        <v>3450</v>
      </c>
      <c r="N115" s="4"/>
      <c r="O115" s="3"/>
      <c r="P115" s="3" t="s">
        <v>173</v>
      </c>
      <c r="Q115" s="8" t="s">
        <v>287</v>
      </c>
      <c r="R115" s="9">
        <v>43252</v>
      </c>
      <c r="S115" s="9">
        <v>43252</v>
      </c>
      <c r="T115" s="8">
        <f t="shared" si="6"/>
        <v>6</v>
      </c>
      <c r="U115" s="8" t="str">
        <f t="shared" si="7"/>
        <v>June</v>
      </c>
    </row>
    <row r="116" spans="1:21" x14ac:dyDescent="0.55000000000000004">
      <c r="A116" t="str">
        <f t="shared" si="4"/>
        <v>JuneAFG NC - DCL KY</v>
      </c>
      <c r="B116" s="3" t="s">
        <v>20</v>
      </c>
      <c r="C116" s="4" t="s">
        <v>241</v>
      </c>
      <c r="D116" s="4" t="s">
        <v>267</v>
      </c>
      <c r="E116" s="5">
        <v>43272</v>
      </c>
      <c r="F116" s="4" t="s">
        <v>23</v>
      </c>
      <c r="G116" s="4" t="s">
        <v>268</v>
      </c>
      <c r="H116" s="4" t="s">
        <v>269</v>
      </c>
      <c r="I116" s="4" t="s">
        <v>154</v>
      </c>
      <c r="J116" s="4" t="s">
        <v>172</v>
      </c>
      <c r="K116" s="6">
        <v>5600</v>
      </c>
      <c r="L116" s="6">
        <v>0</v>
      </c>
      <c r="M116" s="6">
        <f t="shared" si="5"/>
        <v>5600</v>
      </c>
      <c r="N116" s="4"/>
      <c r="O116" s="3"/>
      <c r="P116" s="3" t="s">
        <v>173</v>
      </c>
      <c r="Q116" s="8" t="s">
        <v>288</v>
      </c>
      <c r="R116" s="9">
        <v>43252</v>
      </c>
      <c r="S116" s="9">
        <v>43252</v>
      </c>
      <c r="T116" s="8">
        <f t="shared" si="6"/>
        <v>6</v>
      </c>
      <c r="U116" s="8" t="str">
        <f t="shared" si="7"/>
        <v>June</v>
      </c>
    </row>
    <row r="117" spans="1:21" x14ac:dyDescent="0.55000000000000004">
      <c r="A117" t="str">
        <f t="shared" si="4"/>
        <v>JuneAFG NC - DCL KY</v>
      </c>
      <c r="B117" s="3" t="s">
        <v>20</v>
      </c>
      <c r="C117" s="4" t="s">
        <v>241</v>
      </c>
      <c r="D117" s="4" t="s">
        <v>267</v>
      </c>
      <c r="E117" s="5">
        <v>43276</v>
      </c>
      <c r="F117" s="4" t="s">
        <v>23</v>
      </c>
      <c r="G117" s="4" t="s">
        <v>268</v>
      </c>
      <c r="H117" s="4" t="s">
        <v>269</v>
      </c>
      <c r="I117" s="4" t="s">
        <v>154</v>
      </c>
      <c r="J117" s="4" t="s">
        <v>172</v>
      </c>
      <c r="K117" s="6">
        <v>4650</v>
      </c>
      <c r="L117" s="6">
        <v>0</v>
      </c>
      <c r="M117" s="6">
        <f t="shared" si="5"/>
        <v>4650</v>
      </c>
      <c r="N117" s="4"/>
      <c r="O117" s="3"/>
      <c r="P117" s="3" t="s">
        <v>173</v>
      </c>
      <c r="Q117" s="8" t="s">
        <v>289</v>
      </c>
      <c r="R117" s="9">
        <v>43252</v>
      </c>
      <c r="S117" s="9">
        <v>43252</v>
      </c>
      <c r="T117" s="8">
        <f t="shared" si="6"/>
        <v>6</v>
      </c>
      <c r="U117" s="8" t="str">
        <f t="shared" si="7"/>
        <v>June</v>
      </c>
    </row>
    <row r="118" spans="1:21" x14ac:dyDescent="0.55000000000000004">
      <c r="A118" t="str">
        <f t="shared" si="4"/>
        <v>JuneAFG NC - DCL KY</v>
      </c>
      <c r="B118" s="3" t="s">
        <v>20</v>
      </c>
      <c r="C118" s="4" t="s">
        <v>241</v>
      </c>
      <c r="D118" s="4" t="s">
        <v>267</v>
      </c>
      <c r="E118" s="5">
        <v>43276</v>
      </c>
      <c r="F118" s="4" t="s">
        <v>23</v>
      </c>
      <c r="G118" s="4" t="s">
        <v>268</v>
      </c>
      <c r="H118" s="4" t="s">
        <v>269</v>
      </c>
      <c r="I118" s="4" t="s">
        <v>154</v>
      </c>
      <c r="J118" s="4" t="s">
        <v>172</v>
      </c>
      <c r="K118" s="6">
        <v>4450</v>
      </c>
      <c r="L118" s="6">
        <v>0</v>
      </c>
      <c r="M118" s="6">
        <f t="shared" si="5"/>
        <v>4450</v>
      </c>
      <c r="N118" s="4"/>
      <c r="O118" s="3"/>
      <c r="P118" s="3" t="s">
        <v>173</v>
      </c>
      <c r="Q118" s="8" t="s">
        <v>290</v>
      </c>
      <c r="R118" s="9">
        <v>43252</v>
      </c>
      <c r="S118" s="9">
        <v>43252</v>
      </c>
      <c r="T118" s="8">
        <f t="shared" si="6"/>
        <v>6</v>
      </c>
      <c r="U118" s="8" t="str">
        <f t="shared" si="7"/>
        <v>June</v>
      </c>
    </row>
    <row r="119" spans="1:21" x14ac:dyDescent="0.55000000000000004">
      <c r="A119" t="str">
        <f t="shared" si="4"/>
        <v>JuneAFG NC - DCL KY</v>
      </c>
      <c r="B119" s="3" t="s">
        <v>20</v>
      </c>
      <c r="C119" s="4" t="s">
        <v>241</v>
      </c>
      <c r="D119" s="4" t="s">
        <v>267</v>
      </c>
      <c r="E119" s="5">
        <v>43276</v>
      </c>
      <c r="F119" s="4" t="s">
        <v>23</v>
      </c>
      <c r="G119" s="4" t="s">
        <v>268</v>
      </c>
      <c r="H119" s="4" t="s">
        <v>269</v>
      </c>
      <c r="I119" s="4" t="s">
        <v>154</v>
      </c>
      <c r="J119" s="4" t="s">
        <v>172</v>
      </c>
      <c r="K119" s="6">
        <v>7150</v>
      </c>
      <c r="L119" s="6">
        <v>0</v>
      </c>
      <c r="M119" s="6">
        <f t="shared" si="5"/>
        <v>7150</v>
      </c>
      <c r="N119" s="4"/>
      <c r="O119" s="3"/>
      <c r="P119" s="3" t="s">
        <v>173</v>
      </c>
      <c r="Q119" s="8" t="s">
        <v>291</v>
      </c>
      <c r="R119" s="9">
        <v>43252</v>
      </c>
      <c r="S119" s="9">
        <v>43252</v>
      </c>
      <c r="T119" s="8">
        <f t="shared" si="6"/>
        <v>6</v>
      </c>
      <c r="U119" s="8" t="str">
        <f t="shared" si="7"/>
        <v>June</v>
      </c>
    </row>
    <row r="120" spans="1:21" x14ac:dyDescent="0.55000000000000004">
      <c r="A120" t="str">
        <f t="shared" si="4"/>
        <v>JuneAFG NC - DCL KY</v>
      </c>
      <c r="B120" s="3" t="s">
        <v>20</v>
      </c>
      <c r="C120" s="4" t="s">
        <v>241</v>
      </c>
      <c r="D120" s="4" t="s">
        <v>267</v>
      </c>
      <c r="E120" s="5">
        <v>43277</v>
      </c>
      <c r="F120" s="4" t="s">
        <v>23</v>
      </c>
      <c r="G120" s="4" t="s">
        <v>268</v>
      </c>
      <c r="H120" s="4" t="s">
        <v>269</v>
      </c>
      <c r="I120" s="4" t="s">
        <v>154</v>
      </c>
      <c r="J120" s="4" t="s">
        <v>172</v>
      </c>
      <c r="K120" s="6">
        <v>4650</v>
      </c>
      <c r="L120" s="6">
        <v>0</v>
      </c>
      <c r="M120" s="6">
        <f t="shared" si="5"/>
        <v>4650</v>
      </c>
      <c r="N120" s="4"/>
      <c r="O120" s="3"/>
      <c r="P120" s="3" t="s">
        <v>173</v>
      </c>
      <c r="Q120" s="8" t="s">
        <v>292</v>
      </c>
      <c r="R120" s="9">
        <v>43252</v>
      </c>
      <c r="S120" s="9">
        <v>43252</v>
      </c>
      <c r="T120" s="8">
        <f t="shared" si="6"/>
        <v>6</v>
      </c>
      <c r="U120" s="8" t="str">
        <f t="shared" si="7"/>
        <v>June</v>
      </c>
    </row>
    <row r="121" spans="1:21" x14ac:dyDescent="0.55000000000000004">
      <c r="A121" t="str">
        <f t="shared" si="4"/>
        <v>JuneAFG NC - DCL KY</v>
      </c>
      <c r="B121" s="3" t="s">
        <v>20</v>
      </c>
      <c r="C121" s="4" t="s">
        <v>241</v>
      </c>
      <c r="D121" s="4" t="s">
        <v>267</v>
      </c>
      <c r="E121" s="5">
        <v>43277</v>
      </c>
      <c r="F121" s="4" t="s">
        <v>23</v>
      </c>
      <c r="G121" s="4" t="s">
        <v>268</v>
      </c>
      <c r="H121" s="4" t="s">
        <v>269</v>
      </c>
      <c r="I121" s="4" t="s">
        <v>154</v>
      </c>
      <c r="J121" s="4" t="s">
        <v>172</v>
      </c>
      <c r="K121" s="6">
        <v>3100</v>
      </c>
      <c r="L121" s="6">
        <v>0</v>
      </c>
      <c r="M121" s="6">
        <f t="shared" si="5"/>
        <v>3100</v>
      </c>
      <c r="N121" s="4"/>
      <c r="O121" s="3"/>
      <c r="P121" s="3" t="s">
        <v>173</v>
      </c>
      <c r="Q121" s="8" t="s">
        <v>293</v>
      </c>
      <c r="R121" s="9">
        <v>43252</v>
      </c>
      <c r="S121" s="9">
        <v>43252</v>
      </c>
      <c r="T121" s="8">
        <f t="shared" si="6"/>
        <v>6</v>
      </c>
      <c r="U121" s="8" t="str">
        <f t="shared" si="7"/>
        <v>June</v>
      </c>
    </row>
    <row r="122" spans="1:21" x14ac:dyDescent="0.55000000000000004">
      <c r="A122" t="str">
        <f t="shared" si="4"/>
        <v>JuneAFG NC - DCL KY</v>
      </c>
      <c r="B122" s="3" t="s">
        <v>20</v>
      </c>
      <c r="C122" s="4" t="s">
        <v>241</v>
      </c>
      <c r="D122" s="4" t="s">
        <v>267</v>
      </c>
      <c r="E122" s="5">
        <v>43277</v>
      </c>
      <c r="F122" s="4" t="s">
        <v>23</v>
      </c>
      <c r="G122" s="4" t="s">
        <v>268</v>
      </c>
      <c r="H122" s="4" t="s">
        <v>269</v>
      </c>
      <c r="I122" s="4" t="s">
        <v>154</v>
      </c>
      <c r="J122" s="4" t="s">
        <v>172</v>
      </c>
      <c r="K122" s="6">
        <v>3100</v>
      </c>
      <c r="L122" s="6">
        <v>0</v>
      </c>
      <c r="M122" s="6">
        <f t="shared" si="5"/>
        <v>3100</v>
      </c>
      <c r="N122" s="4"/>
      <c r="O122" s="3"/>
      <c r="P122" s="3" t="s">
        <v>173</v>
      </c>
      <c r="Q122" s="8" t="s">
        <v>294</v>
      </c>
      <c r="R122" s="9">
        <v>43252</v>
      </c>
      <c r="S122" s="9">
        <v>43252</v>
      </c>
      <c r="T122" s="8">
        <f t="shared" si="6"/>
        <v>6</v>
      </c>
      <c r="U122" s="8" t="str">
        <f t="shared" si="7"/>
        <v>June</v>
      </c>
    </row>
    <row r="123" spans="1:21" x14ac:dyDescent="0.55000000000000004">
      <c r="A123" t="str">
        <f t="shared" si="4"/>
        <v>JuneAFG NC - DCL KY</v>
      </c>
      <c r="B123" s="3" t="s">
        <v>20</v>
      </c>
      <c r="C123" s="4" t="s">
        <v>241</v>
      </c>
      <c r="D123" s="4" t="s">
        <v>267</v>
      </c>
      <c r="E123" s="5">
        <v>43277</v>
      </c>
      <c r="F123" s="4" t="s">
        <v>23</v>
      </c>
      <c r="G123" s="4" t="s">
        <v>268</v>
      </c>
      <c r="H123" s="4" t="s">
        <v>269</v>
      </c>
      <c r="I123" s="4" t="s">
        <v>154</v>
      </c>
      <c r="J123" s="4" t="s">
        <v>172</v>
      </c>
      <c r="K123" s="6">
        <v>12550</v>
      </c>
      <c r="L123" s="6">
        <v>0</v>
      </c>
      <c r="M123" s="6">
        <f t="shared" si="5"/>
        <v>12550</v>
      </c>
      <c r="N123" s="4"/>
      <c r="O123" s="3"/>
      <c r="P123" s="3" t="s">
        <v>173</v>
      </c>
      <c r="Q123" s="8" t="s">
        <v>295</v>
      </c>
      <c r="R123" s="9">
        <v>43252</v>
      </c>
      <c r="S123" s="9">
        <v>43252</v>
      </c>
      <c r="T123" s="8">
        <f t="shared" si="6"/>
        <v>6</v>
      </c>
      <c r="U123" s="8" t="str">
        <f t="shared" si="7"/>
        <v>June</v>
      </c>
    </row>
    <row r="124" spans="1:21" x14ac:dyDescent="0.55000000000000004">
      <c r="A124" t="str">
        <f t="shared" si="4"/>
        <v>JuneAFG NC - DCL KY</v>
      </c>
      <c r="B124" s="3" t="s">
        <v>20</v>
      </c>
      <c r="C124" s="4" t="s">
        <v>241</v>
      </c>
      <c r="D124" s="4" t="s">
        <v>267</v>
      </c>
      <c r="E124" s="5">
        <v>43278</v>
      </c>
      <c r="F124" s="4" t="s">
        <v>23</v>
      </c>
      <c r="G124" s="4" t="s">
        <v>268</v>
      </c>
      <c r="H124" s="4" t="s">
        <v>269</v>
      </c>
      <c r="I124" s="4" t="s">
        <v>154</v>
      </c>
      <c r="J124" s="4" t="s">
        <v>172</v>
      </c>
      <c r="K124" s="6">
        <v>6950</v>
      </c>
      <c r="L124" s="6">
        <v>0</v>
      </c>
      <c r="M124" s="6">
        <f t="shared" si="5"/>
        <v>6950</v>
      </c>
      <c r="N124" s="4"/>
      <c r="O124" s="3"/>
      <c r="P124" s="3" t="s">
        <v>173</v>
      </c>
      <c r="Q124" s="8" t="s">
        <v>296</v>
      </c>
      <c r="R124" s="9">
        <v>43252</v>
      </c>
      <c r="S124" s="9">
        <v>43252</v>
      </c>
      <c r="T124" s="8">
        <f t="shared" si="6"/>
        <v>6</v>
      </c>
      <c r="U124" s="8" t="str">
        <f t="shared" si="7"/>
        <v>June</v>
      </c>
    </row>
    <row r="125" spans="1:21" x14ac:dyDescent="0.55000000000000004">
      <c r="A125" t="str">
        <f t="shared" si="4"/>
        <v>MayAFG NC - DCL KY</v>
      </c>
      <c r="B125" s="3" t="s">
        <v>20</v>
      </c>
      <c r="C125" s="4" t="s">
        <v>241</v>
      </c>
      <c r="D125" s="4" t="s">
        <v>267</v>
      </c>
      <c r="E125" s="5">
        <v>43237</v>
      </c>
      <c r="F125" s="4" t="s">
        <v>23</v>
      </c>
      <c r="G125" s="4" t="s">
        <v>268</v>
      </c>
      <c r="H125" s="4" t="s">
        <v>269</v>
      </c>
      <c r="I125" s="4" t="s">
        <v>154</v>
      </c>
      <c r="J125" s="4" t="s">
        <v>172</v>
      </c>
      <c r="K125" s="6">
        <v>-4650</v>
      </c>
      <c r="L125" s="6">
        <v>0</v>
      </c>
      <c r="M125" s="6">
        <f t="shared" si="5"/>
        <v>-4650</v>
      </c>
      <c r="N125" s="4"/>
      <c r="O125" s="3"/>
      <c r="P125" s="3" t="s">
        <v>173</v>
      </c>
      <c r="Q125" s="8" t="s">
        <v>297</v>
      </c>
      <c r="R125" s="9">
        <v>43221</v>
      </c>
      <c r="S125" s="9">
        <v>43221</v>
      </c>
      <c r="T125" s="8">
        <f t="shared" si="6"/>
        <v>5</v>
      </c>
      <c r="U125" s="8" t="str">
        <f t="shared" si="7"/>
        <v>May</v>
      </c>
    </row>
    <row r="126" spans="1:21" x14ac:dyDescent="0.55000000000000004">
      <c r="A126" t="str">
        <f t="shared" si="4"/>
        <v>MayPhillips WI - DCL KY</v>
      </c>
      <c r="B126" s="3" t="s">
        <v>20</v>
      </c>
      <c r="C126" s="4" t="s">
        <v>241</v>
      </c>
      <c r="D126" s="4" t="s">
        <v>267</v>
      </c>
      <c r="E126" s="5">
        <v>43242</v>
      </c>
      <c r="F126" s="4" t="s">
        <v>23</v>
      </c>
      <c r="G126" s="4" t="s">
        <v>268</v>
      </c>
      <c r="H126" s="4" t="s">
        <v>269</v>
      </c>
      <c r="I126" s="4" t="s">
        <v>154</v>
      </c>
      <c r="J126" s="4" t="s">
        <v>172</v>
      </c>
      <c r="K126" s="6">
        <v>-1368.64</v>
      </c>
      <c r="L126" s="6">
        <v>0</v>
      </c>
      <c r="M126" s="6">
        <f t="shared" si="5"/>
        <v>-1368.64</v>
      </c>
      <c r="N126" s="4"/>
      <c r="O126" s="3"/>
      <c r="P126" s="3" t="s">
        <v>29</v>
      </c>
      <c r="Q126" s="8" t="s">
        <v>298</v>
      </c>
      <c r="R126" s="9">
        <v>43221</v>
      </c>
      <c r="S126" s="9">
        <v>43221</v>
      </c>
      <c r="T126" s="8">
        <f t="shared" si="6"/>
        <v>5</v>
      </c>
      <c r="U126" s="8" t="str">
        <f t="shared" si="7"/>
        <v>May</v>
      </c>
    </row>
    <row r="127" spans="1:21" x14ac:dyDescent="0.55000000000000004">
      <c r="A127" t="str">
        <f t="shared" si="4"/>
        <v>MayAFG NC - DCL KY</v>
      </c>
      <c r="B127" s="3" t="s">
        <v>20</v>
      </c>
      <c r="C127" s="4" t="s">
        <v>241</v>
      </c>
      <c r="D127" s="4" t="s">
        <v>267</v>
      </c>
      <c r="E127" s="5">
        <v>43242</v>
      </c>
      <c r="F127" s="4" t="s">
        <v>23</v>
      </c>
      <c r="G127" s="4" t="s">
        <v>268</v>
      </c>
      <c r="H127" s="4" t="s">
        <v>269</v>
      </c>
      <c r="I127" s="4" t="s">
        <v>154</v>
      </c>
      <c r="J127" s="4" t="s">
        <v>172</v>
      </c>
      <c r="K127" s="6">
        <v>-3100</v>
      </c>
      <c r="L127" s="6">
        <v>0</v>
      </c>
      <c r="M127" s="6">
        <f t="shared" si="5"/>
        <v>-3100</v>
      </c>
      <c r="N127" s="4"/>
      <c r="O127" s="3"/>
      <c r="P127" s="3" t="s">
        <v>173</v>
      </c>
      <c r="Q127" s="8" t="s">
        <v>299</v>
      </c>
      <c r="R127" s="9">
        <v>43221</v>
      </c>
      <c r="S127" s="9">
        <v>43221</v>
      </c>
      <c r="T127" s="8">
        <f t="shared" si="6"/>
        <v>5</v>
      </c>
      <c r="U127" s="8" t="str">
        <f t="shared" si="7"/>
        <v>May</v>
      </c>
    </row>
    <row r="128" spans="1:21" x14ac:dyDescent="0.55000000000000004">
      <c r="A128" t="str">
        <f t="shared" si="4"/>
        <v>MayPhillips WI - DCL KY</v>
      </c>
      <c r="B128" s="3" t="s">
        <v>20</v>
      </c>
      <c r="C128" s="4" t="s">
        <v>241</v>
      </c>
      <c r="D128" s="4" t="s">
        <v>267</v>
      </c>
      <c r="E128" s="5">
        <v>43244</v>
      </c>
      <c r="F128" s="4" t="s">
        <v>23</v>
      </c>
      <c r="G128" s="4" t="s">
        <v>268</v>
      </c>
      <c r="H128" s="4" t="s">
        <v>269</v>
      </c>
      <c r="I128" s="4" t="s">
        <v>154</v>
      </c>
      <c r="J128" s="4" t="s">
        <v>172</v>
      </c>
      <c r="K128" s="6">
        <v>-5825</v>
      </c>
      <c r="L128" s="6">
        <v>0</v>
      </c>
      <c r="M128" s="6">
        <f t="shared" si="5"/>
        <v>-5825</v>
      </c>
      <c r="N128" s="4"/>
      <c r="O128" s="3"/>
      <c r="P128" s="3" t="s">
        <v>29</v>
      </c>
      <c r="Q128" s="8" t="s">
        <v>300</v>
      </c>
      <c r="R128" s="9">
        <v>43221</v>
      </c>
      <c r="S128" s="9">
        <v>43221</v>
      </c>
      <c r="T128" s="8">
        <f t="shared" si="6"/>
        <v>5</v>
      </c>
      <c r="U128" s="8" t="str">
        <f t="shared" si="7"/>
        <v>May</v>
      </c>
    </row>
    <row r="129" spans="1:21" x14ac:dyDescent="0.55000000000000004">
      <c r="A129" t="e">
        <f t="shared" si="4"/>
        <v>#VALUE!</v>
      </c>
      <c r="C129" s="24" t="s">
        <v>1</v>
      </c>
      <c r="D129" s="24" t="s">
        <v>2</v>
      </c>
      <c r="E129" s="24" t="s">
        <v>3</v>
      </c>
      <c r="F129" s="24" t="s">
        <v>4</v>
      </c>
      <c r="G129" s="24" t="s">
        <v>5</v>
      </c>
      <c r="H129" s="24" t="s">
        <v>6</v>
      </c>
      <c r="I129" s="24" t="s">
        <v>7</v>
      </c>
      <c r="J129" s="24" t="s">
        <v>8</v>
      </c>
      <c r="K129" s="24" t="s">
        <v>9</v>
      </c>
      <c r="L129" s="24" t="s">
        <v>10</v>
      </c>
      <c r="M129" s="24" t="s">
        <v>11</v>
      </c>
      <c r="N129" s="24" t="s">
        <v>330</v>
      </c>
      <c r="O129" s="25" t="s">
        <v>13</v>
      </c>
      <c r="P129" s="25" t="s">
        <v>14</v>
      </c>
      <c r="Q129" s="25" t="s">
        <v>15</v>
      </c>
      <c r="R129" s="25" t="s">
        <v>16</v>
      </c>
      <c r="S129" s="25" t="s">
        <v>17</v>
      </c>
      <c r="T129" s="8" t="e">
        <f t="shared" si="6"/>
        <v>#VALUE!</v>
      </c>
      <c r="U129" s="8" t="e">
        <f t="shared" si="7"/>
        <v>#VALUE!</v>
      </c>
    </row>
    <row r="130" spans="1:21" x14ac:dyDescent="0.55000000000000004">
      <c r="A130" t="str">
        <f t="shared" si="4"/>
        <v>MarchHong Kong - AFG NC</v>
      </c>
      <c r="B130" s="3" t="s">
        <v>20</v>
      </c>
      <c r="C130" s="26" t="s">
        <v>150</v>
      </c>
      <c r="D130" s="26" t="s">
        <v>331</v>
      </c>
      <c r="E130" s="27">
        <v>43160</v>
      </c>
      <c r="F130" s="26" t="s">
        <v>332</v>
      </c>
      <c r="G130" s="26" t="s">
        <v>20</v>
      </c>
      <c r="H130" s="26" t="s">
        <v>333</v>
      </c>
      <c r="I130" s="26" t="s">
        <v>154</v>
      </c>
      <c r="J130" s="26" t="s">
        <v>27</v>
      </c>
      <c r="K130" s="28">
        <v>72</v>
      </c>
      <c r="L130" s="28">
        <v>0</v>
      </c>
      <c r="M130" s="28">
        <f>K130-L130</f>
        <v>72</v>
      </c>
      <c r="N130" s="26"/>
      <c r="O130" s="8" t="str">
        <f t="shared" ref="O130:O170" si="8">G130</f>
        <v>Freight Inbound</v>
      </c>
      <c r="P130" s="8" t="s">
        <v>334</v>
      </c>
      <c r="Q130" s="8" t="s">
        <v>335</v>
      </c>
      <c r="R130" s="9">
        <v>43132</v>
      </c>
      <c r="S130" s="9">
        <v>43132</v>
      </c>
      <c r="T130" s="8">
        <f t="shared" si="6"/>
        <v>3</v>
      </c>
      <c r="U130" s="8" t="str">
        <f t="shared" si="7"/>
        <v>March</v>
      </c>
    </row>
    <row r="131" spans="1:21" x14ac:dyDescent="0.55000000000000004">
      <c r="A131" t="str">
        <f t="shared" ref="A131:A194" si="9">U131&amp;P131</f>
        <v>MarchHong Kong - DCL KY</v>
      </c>
      <c r="B131" s="3" t="s">
        <v>20</v>
      </c>
      <c r="C131" s="26" t="s">
        <v>150</v>
      </c>
      <c r="D131" s="26" t="s">
        <v>336</v>
      </c>
      <c r="E131" s="27">
        <v>43161</v>
      </c>
      <c r="F131" s="26" t="s">
        <v>332</v>
      </c>
      <c r="G131" s="26" t="s">
        <v>161</v>
      </c>
      <c r="H131" s="26" t="s">
        <v>337</v>
      </c>
      <c r="I131" s="26" t="s">
        <v>154</v>
      </c>
      <c r="J131" s="26" t="s">
        <v>27</v>
      </c>
      <c r="K131" s="28">
        <v>48</v>
      </c>
      <c r="L131" s="28">
        <v>0</v>
      </c>
      <c r="M131" s="28">
        <f t="shared" ref="M131:M194" si="10">K131-L131</f>
        <v>48</v>
      </c>
      <c r="N131" s="26"/>
      <c r="O131" s="8" t="str">
        <f t="shared" si="8"/>
        <v>Pallet Charges</v>
      </c>
      <c r="P131" s="8" t="s">
        <v>39</v>
      </c>
      <c r="Q131" s="8" t="s">
        <v>338</v>
      </c>
      <c r="R131" s="9">
        <v>43160</v>
      </c>
      <c r="S131" s="9">
        <v>43160</v>
      </c>
      <c r="T131" s="8">
        <f t="shared" ref="T131:T194" si="11">MONTH(E131)</f>
        <v>3</v>
      </c>
      <c r="U131" s="8" t="str">
        <f t="shared" ref="U131:U194" si="12">IF(T131=6,"June",IF(T131=5,"May",IF(T131=4,"April",IF(T131=3,"March",0))))</f>
        <v>March</v>
      </c>
    </row>
    <row r="132" spans="1:21" x14ac:dyDescent="0.55000000000000004">
      <c r="A132" t="str">
        <f t="shared" si="9"/>
        <v>MarchHong Kong - DCL KY</v>
      </c>
      <c r="B132" s="3" t="s">
        <v>20</v>
      </c>
      <c r="C132" s="26" t="s">
        <v>150</v>
      </c>
      <c r="D132" s="26" t="s">
        <v>339</v>
      </c>
      <c r="E132" s="27">
        <v>43168</v>
      </c>
      <c r="F132" s="26" t="s">
        <v>332</v>
      </c>
      <c r="G132" s="26" t="s">
        <v>186</v>
      </c>
      <c r="H132" s="26" t="s">
        <v>340</v>
      </c>
      <c r="I132" s="26" t="s">
        <v>154</v>
      </c>
      <c r="J132" s="26" t="s">
        <v>27</v>
      </c>
      <c r="K132" s="28">
        <v>741.66</v>
      </c>
      <c r="L132" s="28">
        <v>0</v>
      </c>
      <c r="M132" s="28">
        <f t="shared" si="10"/>
        <v>741.66</v>
      </c>
      <c r="N132" s="26"/>
      <c r="O132" s="8" t="str">
        <f t="shared" si="8"/>
        <v>Freight Charge</v>
      </c>
      <c r="P132" s="8" t="s">
        <v>39</v>
      </c>
      <c r="Q132" s="8"/>
      <c r="R132" s="9">
        <v>43160</v>
      </c>
      <c r="S132" s="9">
        <v>43160</v>
      </c>
      <c r="T132" s="8">
        <f t="shared" si="11"/>
        <v>3</v>
      </c>
      <c r="U132" s="8" t="str">
        <f t="shared" si="12"/>
        <v>March</v>
      </c>
    </row>
    <row r="133" spans="1:21" x14ac:dyDescent="0.55000000000000004">
      <c r="A133" t="str">
        <f t="shared" si="9"/>
        <v>MarchHong Kong - DCL KY</v>
      </c>
      <c r="B133" s="3" t="s">
        <v>20</v>
      </c>
      <c r="C133" s="26" t="s">
        <v>150</v>
      </c>
      <c r="D133" s="26" t="s">
        <v>341</v>
      </c>
      <c r="E133" s="27">
        <v>43168</v>
      </c>
      <c r="F133" s="26" t="s">
        <v>332</v>
      </c>
      <c r="G133" s="26" t="s">
        <v>161</v>
      </c>
      <c r="H133" s="26" t="s">
        <v>342</v>
      </c>
      <c r="I133" s="26" t="s">
        <v>154</v>
      </c>
      <c r="J133" s="26" t="s">
        <v>27</v>
      </c>
      <c r="K133" s="28">
        <v>24</v>
      </c>
      <c r="L133" s="28">
        <v>0</v>
      </c>
      <c r="M133" s="28">
        <f t="shared" si="10"/>
        <v>24</v>
      </c>
      <c r="N133" s="26"/>
      <c r="O133" s="8" t="str">
        <f t="shared" si="8"/>
        <v>Pallet Charges</v>
      </c>
      <c r="P133" s="8" t="s">
        <v>39</v>
      </c>
      <c r="Q133" s="8"/>
      <c r="R133" s="9">
        <v>43160</v>
      </c>
      <c r="S133" s="9">
        <v>43160</v>
      </c>
      <c r="T133" s="8">
        <f t="shared" si="11"/>
        <v>3</v>
      </c>
      <c r="U133" s="8" t="str">
        <f t="shared" si="12"/>
        <v>March</v>
      </c>
    </row>
    <row r="134" spans="1:21" x14ac:dyDescent="0.55000000000000004">
      <c r="A134" t="str">
        <f t="shared" si="9"/>
        <v>MarchAFG NC - DCL KY</v>
      </c>
      <c r="B134" s="3" t="s">
        <v>20</v>
      </c>
      <c r="C134" s="26" t="s">
        <v>150</v>
      </c>
      <c r="D134" s="26" t="s">
        <v>343</v>
      </c>
      <c r="E134" s="27">
        <v>43185</v>
      </c>
      <c r="F134" s="26" t="s">
        <v>332</v>
      </c>
      <c r="G134" s="26" t="s">
        <v>344</v>
      </c>
      <c r="H134" s="26" t="s">
        <v>345</v>
      </c>
      <c r="I134" s="26" t="s">
        <v>154</v>
      </c>
      <c r="J134" s="26" t="s">
        <v>172</v>
      </c>
      <c r="K134" s="28">
        <v>1725</v>
      </c>
      <c r="L134" s="28">
        <v>0</v>
      </c>
      <c r="M134" s="28">
        <f t="shared" si="10"/>
        <v>1725</v>
      </c>
      <c r="N134" s="26"/>
      <c r="O134" s="8" t="str">
        <f t="shared" si="8"/>
        <v>Freight Inbound-Rec 03/21/18 Morrisville,NC to Louisville,KY</v>
      </c>
      <c r="P134" s="8" t="s">
        <v>173</v>
      </c>
      <c r="Q134" s="8"/>
      <c r="R134" s="9">
        <v>43160</v>
      </c>
      <c r="S134" s="9">
        <v>43160</v>
      </c>
      <c r="T134" s="8">
        <f t="shared" si="11"/>
        <v>3</v>
      </c>
      <c r="U134" s="8" t="str">
        <f t="shared" si="12"/>
        <v>March</v>
      </c>
    </row>
    <row r="135" spans="1:21" x14ac:dyDescent="0.55000000000000004">
      <c r="A135" t="str">
        <f t="shared" si="9"/>
        <v>AprilAFG NC - DCL KY</v>
      </c>
      <c r="B135" s="3" t="s">
        <v>20</v>
      </c>
      <c r="C135" s="26" t="s">
        <v>150</v>
      </c>
      <c r="D135" s="26" t="s">
        <v>346</v>
      </c>
      <c r="E135" s="27">
        <v>43214</v>
      </c>
      <c r="F135" s="26" t="s">
        <v>332</v>
      </c>
      <c r="G135" s="26" t="s">
        <v>347</v>
      </c>
      <c r="H135" s="26" t="s">
        <v>348</v>
      </c>
      <c r="I135" s="26" t="s">
        <v>154</v>
      </c>
      <c r="J135" s="26" t="s">
        <v>172</v>
      </c>
      <c r="K135" s="28">
        <v>3100</v>
      </c>
      <c r="L135" s="28">
        <v>0</v>
      </c>
      <c r="M135" s="28">
        <f t="shared" si="10"/>
        <v>3100</v>
      </c>
      <c r="N135" s="26"/>
      <c r="O135" s="8" t="str">
        <f t="shared" si="8"/>
        <v>Freight Inbound ETA 04/24/18 ASTEELFLASH NC to Louisville KY</v>
      </c>
      <c r="P135" s="8" t="s">
        <v>173</v>
      </c>
      <c r="Q135" s="8"/>
      <c r="R135" s="9">
        <v>43191</v>
      </c>
      <c r="S135" s="9">
        <v>43191</v>
      </c>
      <c r="T135" s="8">
        <f t="shared" si="11"/>
        <v>4</v>
      </c>
      <c r="U135" s="8" t="str">
        <f t="shared" si="12"/>
        <v>April</v>
      </c>
    </row>
    <row r="136" spans="1:21" x14ac:dyDescent="0.55000000000000004">
      <c r="A136" t="str">
        <f t="shared" si="9"/>
        <v>AprilAFG NC - DCL KY</v>
      </c>
      <c r="B136" s="3" t="s">
        <v>20</v>
      </c>
      <c r="C136" s="26" t="s">
        <v>150</v>
      </c>
      <c r="D136" s="26" t="s">
        <v>349</v>
      </c>
      <c r="E136" s="27">
        <v>43216</v>
      </c>
      <c r="F136" s="26" t="s">
        <v>332</v>
      </c>
      <c r="G136" s="26" t="s">
        <v>350</v>
      </c>
      <c r="H136" s="26" t="s">
        <v>351</v>
      </c>
      <c r="I136" s="26" t="s">
        <v>154</v>
      </c>
      <c r="J136" s="26" t="s">
        <v>172</v>
      </c>
      <c r="K136" s="28">
        <v>4650</v>
      </c>
      <c r="L136" s="28">
        <v>0</v>
      </c>
      <c r="M136" s="28">
        <f t="shared" si="10"/>
        <v>4650</v>
      </c>
      <c r="N136" s="26"/>
      <c r="O136" s="8" t="str">
        <f t="shared" si="8"/>
        <v>Freight Inbound ETA 04/26/18 ASTEELFLASH NC to Louisville KY</v>
      </c>
      <c r="P136" s="8" t="s">
        <v>173</v>
      </c>
      <c r="Q136" s="8"/>
      <c r="R136" s="9">
        <v>43191</v>
      </c>
      <c r="S136" s="9">
        <v>43191</v>
      </c>
      <c r="T136" s="8">
        <f t="shared" si="11"/>
        <v>4</v>
      </c>
      <c r="U136" s="8" t="str">
        <f t="shared" si="12"/>
        <v>April</v>
      </c>
    </row>
    <row r="137" spans="1:21" x14ac:dyDescent="0.55000000000000004">
      <c r="A137" t="str">
        <f t="shared" si="9"/>
        <v>AprilAFG NC - DCL KY</v>
      </c>
      <c r="B137" s="3" t="s">
        <v>20</v>
      </c>
      <c r="C137" s="26" t="s">
        <v>150</v>
      </c>
      <c r="D137" s="26" t="s">
        <v>352</v>
      </c>
      <c r="E137" s="27">
        <v>43216</v>
      </c>
      <c r="F137" s="26" t="s">
        <v>332</v>
      </c>
      <c r="G137" s="26" t="s">
        <v>350</v>
      </c>
      <c r="H137" s="26" t="s">
        <v>353</v>
      </c>
      <c r="I137" s="26" t="s">
        <v>154</v>
      </c>
      <c r="J137" s="26" t="s">
        <v>172</v>
      </c>
      <c r="K137" s="28">
        <v>4650</v>
      </c>
      <c r="L137" s="28">
        <v>0</v>
      </c>
      <c r="M137" s="28">
        <f t="shared" si="10"/>
        <v>4650</v>
      </c>
      <c r="N137" s="26"/>
      <c r="O137" s="8" t="str">
        <f t="shared" si="8"/>
        <v>Freight Inbound ETA 04/26/18 ASTEELFLASH NC to Louisville KY</v>
      </c>
      <c r="P137" s="8" t="s">
        <v>173</v>
      </c>
      <c r="Q137" s="8"/>
      <c r="R137" s="9">
        <v>43191</v>
      </c>
      <c r="S137" s="9">
        <v>43191</v>
      </c>
      <c r="T137" s="8">
        <f t="shared" si="11"/>
        <v>4</v>
      </c>
      <c r="U137" s="8" t="str">
        <f t="shared" si="12"/>
        <v>April</v>
      </c>
    </row>
    <row r="138" spans="1:21" x14ac:dyDescent="0.55000000000000004">
      <c r="A138" t="str">
        <f t="shared" si="9"/>
        <v>AprilAFG NC - DCL KY</v>
      </c>
      <c r="B138" s="3" t="s">
        <v>20</v>
      </c>
      <c r="C138" s="26" t="s">
        <v>150</v>
      </c>
      <c r="D138" s="26" t="s">
        <v>354</v>
      </c>
      <c r="E138" s="27">
        <v>43216</v>
      </c>
      <c r="F138" s="26" t="s">
        <v>332</v>
      </c>
      <c r="G138" s="26" t="s">
        <v>355</v>
      </c>
      <c r="H138" s="26" t="s">
        <v>356</v>
      </c>
      <c r="I138" s="26" t="s">
        <v>154</v>
      </c>
      <c r="J138" s="26" t="s">
        <v>172</v>
      </c>
      <c r="K138" s="28">
        <v>1675</v>
      </c>
      <c r="L138" s="28">
        <v>0</v>
      </c>
      <c r="M138" s="28">
        <f t="shared" si="10"/>
        <v>1675</v>
      </c>
      <c r="N138" s="26"/>
      <c r="O138" s="8" t="str">
        <f t="shared" si="8"/>
        <v>Freight Inbound-Rec 04/19/18 Morrisville,NC to Louisville,KY</v>
      </c>
      <c r="P138" s="8" t="s">
        <v>173</v>
      </c>
      <c r="Q138" s="8"/>
      <c r="R138" s="9">
        <v>43191</v>
      </c>
      <c r="S138" s="9">
        <v>43191</v>
      </c>
      <c r="T138" s="8">
        <f t="shared" si="11"/>
        <v>4</v>
      </c>
      <c r="U138" s="8" t="str">
        <f t="shared" si="12"/>
        <v>April</v>
      </c>
    </row>
    <row r="139" spans="1:21" x14ac:dyDescent="0.55000000000000004">
      <c r="A139" t="str">
        <f t="shared" si="9"/>
        <v>AprilAFG NC - DCL KY</v>
      </c>
      <c r="B139" s="3" t="s">
        <v>20</v>
      </c>
      <c r="C139" s="26" t="s">
        <v>150</v>
      </c>
      <c r="D139" s="26" t="s">
        <v>357</v>
      </c>
      <c r="E139" s="27">
        <v>43217</v>
      </c>
      <c r="F139" s="26" t="s">
        <v>332</v>
      </c>
      <c r="G139" s="26" t="s">
        <v>358</v>
      </c>
      <c r="H139" s="26" t="s">
        <v>359</v>
      </c>
      <c r="I139" s="26" t="s">
        <v>154</v>
      </c>
      <c r="J139" s="26" t="s">
        <v>172</v>
      </c>
      <c r="K139" s="28">
        <v>1675</v>
      </c>
      <c r="L139" s="28">
        <v>0</v>
      </c>
      <c r="M139" s="28">
        <f t="shared" si="10"/>
        <v>1675</v>
      </c>
      <c r="N139" s="26"/>
      <c r="O139" s="8" t="str">
        <f t="shared" si="8"/>
        <v>Freight Inbound-Rec 04/24/18 Morrisville,NC to Louisville,KY</v>
      </c>
      <c r="P139" s="8" t="s">
        <v>173</v>
      </c>
      <c r="Q139" s="8"/>
      <c r="R139" s="9">
        <v>43191</v>
      </c>
      <c r="S139" s="9">
        <v>43191</v>
      </c>
      <c r="T139" s="8">
        <f t="shared" si="11"/>
        <v>4</v>
      </c>
      <c r="U139" s="8" t="str">
        <f t="shared" si="12"/>
        <v>April</v>
      </c>
    </row>
    <row r="140" spans="1:21" x14ac:dyDescent="0.55000000000000004">
      <c r="A140" t="str">
        <f t="shared" si="9"/>
        <v>AprilAFG NC - DCL KY</v>
      </c>
      <c r="B140" s="3" t="s">
        <v>20</v>
      </c>
      <c r="C140" s="26" t="s">
        <v>150</v>
      </c>
      <c r="D140" s="26" t="s">
        <v>360</v>
      </c>
      <c r="E140" s="27">
        <v>43217</v>
      </c>
      <c r="F140" s="26" t="s">
        <v>332</v>
      </c>
      <c r="G140" s="26" t="s">
        <v>361</v>
      </c>
      <c r="H140" s="26" t="s">
        <v>362</v>
      </c>
      <c r="I140" s="26" t="s">
        <v>154</v>
      </c>
      <c r="J140" s="26" t="s">
        <v>172</v>
      </c>
      <c r="K140" s="28">
        <v>1675</v>
      </c>
      <c r="L140" s="28">
        <v>0</v>
      </c>
      <c r="M140" s="28">
        <f t="shared" si="10"/>
        <v>1675</v>
      </c>
      <c r="N140" s="26"/>
      <c r="O140" s="8" t="str">
        <f t="shared" si="8"/>
        <v>Freight Inbound-Rec 04/22/18 Morrisville,NC to Louisville,KY</v>
      </c>
      <c r="P140" s="8" t="s">
        <v>173</v>
      </c>
      <c r="Q140" s="8"/>
      <c r="R140" s="9">
        <v>43191</v>
      </c>
      <c r="S140" s="9">
        <v>43191</v>
      </c>
      <c r="T140" s="8">
        <f t="shared" si="11"/>
        <v>4</v>
      </c>
      <c r="U140" s="8" t="str">
        <f t="shared" si="12"/>
        <v>April</v>
      </c>
    </row>
    <row r="141" spans="1:21" x14ac:dyDescent="0.55000000000000004">
      <c r="A141" t="str">
        <f t="shared" si="9"/>
        <v>AprilAFG NC - DCL KY</v>
      </c>
      <c r="B141" s="3" t="s">
        <v>20</v>
      </c>
      <c r="C141" s="26" t="s">
        <v>150</v>
      </c>
      <c r="D141" s="26" t="s">
        <v>363</v>
      </c>
      <c r="E141" s="27">
        <v>43217</v>
      </c>
      <c r="F141" s="26" t="s">
        <v>332</v>
      </c>
      <c r="G141" s="26" t="s">
        <v>364</v>
      </c>
      <c r="H141" s="26" t="s">
        <v>365</v>
      </c>
      <c r="I141" s="26" t="s">
        <v>154</v>
      </c>
      <c r="J141" s="26" t="s">
        <v>172</v>
      </c>
      <c r="K141" s="28">
        <v>1675</v>
      </c>
      <c r="L141" s="28">
        <v>0</v>
      </c>
      <c r="M141" s="28">
        <f t="shared" si="10"/>
        <v>1675</v>
      </c>
      <c r="N141" s="26"/>
      <c r="O141" s="8" t="str">
        <f t="shared" si="8"/>
        <v>Freight Inbound-Rec 04/21/18 Morrisville,NC to Louisville,KY</v>
      </c>
      <c r="P141" s="8" t="s">
        <v>173</v>
      </c>
      <c r="Q141" s="8"/>
      <c r="R141" s="9">
        <v>43191</v>
      </c>
      <c r="S141" s="9">
        <v>43191</v>
      </c>
      <c r="T141" s="8">
        <f t="shared" si="11"/>
        <v>4</v>
      </c>
      <c r="U141" s="8" t="str">
        <f t="shared" si="12"/>
        <v>April</v>
      </c>
    </row>
    <row r="142" spans="1:21" x14ac:dyDescent="0.55000000000000004">
      <c r="A142" t="str">
        <f t="shared" si="9"/>
        <v>AprilAFG NC - DCL KY</v>
      </c>
      <c r="B142" s="3" t="s">
        <v>20</v>
      </c>
      <c r="C142" s="26" t="s">
        <v>150</v>
      </c>
      <c r="D142" s="26" t="s">
        <v>366</v>
      </c>
      <c r="E142" s="27">
        <v>43217</v>
      </c>
      <c r="F142" s="26" t="s">
        <v>332</v>
      </c>
      <c r="G142" s="26" t="s">
        <v>367</v>
      </c>
      <c r="H142" s="26" t="s">
        <v>368</v>
      </c>
      <c r="I142" s="26" t="s">
        <v>154</v>
      </c>
      <c r="J142" s="26" t="s">
        <v>172</v>
      </c>
      <c r="K142" s="28">
        <v>1675</v>
      </c>
      <c r="L142" s="28">
        <v>0</v>
      </c>
      <c r="M142" s="28">
        <f t="shared" si="10"/>
        <v>1675</v>
      </c>
      <c r="N142" s="26"/>
      <c r="O142" s="8" t="str">
        <f t="shared" si="8"/>
        <v>Freight Inbound-Rec 04/17/18 Morrisville,NC to Louisville,KY</v>
      </c>
      <c r="P142" s="8" t="s">
        <v>173</v>
      </c>
      <c r="Q142" s="8"/>
      <c r="R142" s="9">
        <v>43191</v>
      </c>
      <c r="S142" s="9">
        <v>43191</v>
      </c>
      <c r="T142" s="8">
        <f t="shared" si="11"/>
        <v>4</v>
      </c>
      <c r="U142" s="8" t="str">
        <f t="shared" si="12"/>
        <v>April</v>
      </c>
    </row>
    <row r="143" spans="1:21" x14ac:dyDescent="0.55000000000000004">
      <c r="A143" t="str">
        <f t="shared" si="9"/>
        <v>AprilAFG NC - DCL KY</v>
      </c>
      <c r="B143" s="3" t="s">
        <v>20</v>
      </c>
      <c r="C143" s="26" t="s">
        <v>150</v>
      </c>
      <c r="D143" s="26" t="s">
        <v>369</v>
      </c>
      <c r="E143" s="27">
        <v>43220</v>
      </c>
      <c r="F143" s="26" t="s">
        <v>332</v>
      </c>
      <c r="G143" s="26" t="s">
        <v>370</v>
      </c>
      <c r="H143" s="26" t="s">
        <v>371</v>
      </c>
      <c r="I143" s="26" t="s">
        <v>154</v>
      </c>
      <c r="J143" s="26" t="s">
        <v>172</v>
      </c>
      <c r="K143" s="28">
        <v>3100</v>
      </c>
      <c r="L143" s="28">
        <v>0</v>
      </c>
      <c r="M143" s="28">
        <f t="shared" si="10"/>
        <v>3100</v>
      </c>
      <c r="N143" s="26"/>
      <c r="O143" s="8" t="str">
        <f t="shared" si="8"/>
        <v>Freight Inbound ETA 04/29/18 ASTEELFLASH NC to Louisville KY</v>
      </c>
      <c r="P143" s="8" t="s">
        <v>173</v>
      </c>
      <c r="Q143" s="8"/>
      <c r="R143" s="9">
        <v>43191</v>
      </c>
      <c r="S143" s="9">
        <v>43191</v>
      </c>
      <c r="T143" s="8">
        <f t="shared" si="11"/>
        <v>4</v>
      </c>
      <c r="U143" s="8" t="str">
        <f t="shared" si="12"/>
        <v>April</v>
      </c>
    </row>
    <row r="144" spans="1:21" x14ac:dyDescent="0.55000000000000004">
      <c r="A144" t="str">
        <f t="shared" si="9"/>
        <v>AprilAFG NC - DCL KY</v>
      </c>
      <c r="B144" s="3" t="s">
        <v>20</v>
      </c>
      <c r="C144" s="26" t="s">
        <v>150</v>
      </c>
      <c r="D144" s="26" t="s">
        <v>372</v>
      </c>
      <c r="E144" s="27">
        <v>43220</v>
      </c>
      <c r="F144" s="26" t="s">
        <v>332</v>
      </c>
      <c r="G144" s="26" t="s">
        <v>373</v>
      </c>
      <c r="H144" s="26" t="s">
        <v>374</v>
      </c>
      <c r="I144" s="26" t="s">
        <v>154</v>
      </c>
      <c r="J144" s="26" t="s">
        <v>172</v>
      </c>
      <c r="K144" s="28">
        <v>3100</v>
      </c>
      <c r="L144" s="28">
        <v>0</v>
      </c>
      <c r="M144" s="28">
        <f t="shared" si="10"/>
        <v>3100</v>
      </c>
      <c r="N144" s="26"/>
      <c r="O144" s="8" t="str">
        <f t="shared" si="8"/>
        <v>Freight Inbound ETA 05/02/18 ASTEELFLASH NC to Louisville KY</v>
      </c>
      <c r="P144" s="8" t="s">
        <v>173</v>
      </c>
      <c r="Q144" s="8"/>
      <c r="R144" s="9">
        <v>43191</v>
      </c>
      <c r="S144" s="9">
        <v>43191</v>
      </c>
      <c r="T144" s="8">
        <f t="shared" si="11"/>
        <v>4</v>
      </c>
      <c r="U144" s="8" t="str">
        <f t="shared" si="12"/>
        <v>April</v>
      </c>
    </row>
    <row r="145" spans="1:21" x14ac:dyDescent="0.55000000000000004">
      <c r="A145" t="str">
        <f t="shared" si="9"/>
        <v>AprilAFG NC - DCL KY</v>
      </c>
      <c r="B145" s="3" t="s">
        <v>20</v>
      </c>
      <c r="C145" s="26" t="s">
        <v>150</v>
      </c>
      <c r="D145" s="26" t="s">
        <v>375</v>
      </c>
      <c r="E145" s="27">
        <v>43220</v>
      </c>
      <c r="F145" s="26" t="s">
        <v>332</v>
      </c>
      <c r="G145" s="26" t="s">
        <v>376</v>
      </c>
      <c r="H145" s="26" t="s">
        <v>377</v>
      </c>
      <c r="I145" s="26" t="s">
        <v>154</v>
      </c>
      <c r="J145" s="26" t="s">
        <v>172</v>
      </c>
      <c r="K145" s="28">
        <v>4650</v>
      </c>
      <c r="L145" s="28">
        <v>0</v>
      </c>
      <c r="M145" s="28">
        <f t="shared" si="10"/>
        <v>4650</v>
      </c>
      <c r="N145" s="26"/>
      <c r="O145" s="8" t="str">
        <f t="shared" si="8"/>
        <v>Freight Inbound ETA 04/27/18 ASTEELFLASH NC to Louisville KY</v>
      </c>
      <c r="P145" s="8" t="s">
        <v>173</v>
      </c>
      <c r="Q145" s="8"/>
      <c r="R145" s="9">
        <v>43191</v>
      </c>
      <c r="S145" s="9">
        <v>43191</v>
      </c>
      <c r="T145" s="8">
        <f t="shared" si="11"/>
        <v>4</v>
      </c>
      <c r="U145" s="8" t="str">
        <f t="shared" si="12"/>
        <v>April</v>
      </c>
    </row>
    <row r="146" spans="1:21" x14ac:dyDescent="0.55000000000000004">
      <c r="A146" t="str">
        <f t="shared" si="9"/>
        <v>MayHong Kong - DECI NC</v>
      </c>
      <c r="B146" s="3" t="s">
        <v>20</v>
      </c>
      <c r="C146" s="26" t="s">
        <v>150</v>
      </c>
      <c r="D146" s="26" t="s">
        <v>378</v>
      </c>
      <c r="E146" s="27">
        <v>43223</v>
      </c>
      <c r="F146" s="26" t="s">
        <v>332</v>
      </c>
      <c r="G146" s="26" t="s">
        <v>161</v>
      </c>
      <c r="H146" s="26" t="s">
        <v>379</v>
      </c>
      <c r="I146" s="26" t="s">
        <v>154</v>
      </c>
      <c r="J146" s="26" t="s">
        <v>27</v>
      </c>
      <c r="K146" s="28">
        <v>60</v>
      </c>
      <c r="L146" s="28">
        <v>0</v>
      </c>
      <c r="M146" s="28">
        <f t="shared" si="10"/>
        <v>60</v>
      </c>
      <c r="N146" s="26"/>
      <c r="O146" s="8" t="str">
        <f t="shared" si="8"/>
        <v>Pallet Charges</v>
      </c>
      <c r="P146" s="8" t="s">
        <v>92</v>
      </c>
      <c r="Q146" s="8" t="s">
        <v>380</v>
      </c>
      <c r="R146" s="9">
        <v>43221</v>
      </c>
      <c r="S146" s="9">
        <v>43221</v>
      </c>
      <c r="T146" s="8">
        <f t="shared" si="11"/>
        <v>5</v>
      </c>
      <c r="U146" s="8" t="str">
        <f t="shared" si="12"/>
        <v>May</v>
      </c>
    </row>
    <row r="147" spans="1:21" x14ac:dyDescent="0.55000000000000004">
      <c r="A147" t="str">
        <f t="shared" si="9"/>
        <v>MayFlex IL - Flex IL</v>
      </c>
      <c r="B147" s="3" t="s">
        <v>20</v>
      </c>
      <c r="C147" s="26" t="s">
        <v>150</v>
      </c>
      <c r="D147" s="26" t="s">
        <v>381</v>
      </c>
      <c r="E147" s="27">
        <v>43223</v>
      </c>
      <c r="F147" s="26" t="s">
        <v>332</v>
      </c>
      <c r="G147" s="26" t="s">
        <v>382</v>
      </c>
      <c r="H147" s="26" t="s">
        <v>383</v>
      </c>
      <c r="I147" s="26" t="s">
        <v>154</v>
      </c>
      <c r="J147" s="26" t="s">
        <v>172</v>
      </c>
      <c r="K147" s="28">
        <v>1250</v>
      </c>
      <c r="L147" s="28">
        <v>0</v>
      </c>
      <c r="M147" s="28">
        <f t="shared" si="10"/>
        <v>1250</v>
      </c>
      <c r="N147" s="26"/>
      <c r="O147" s="8" t="str">
        <f t="shared" si="8"/>
        <v>Freight Inbound ETA 05/02/18 Chippewa/Flex Buffalo Grove, IL</v>
      </c>
      <c r="P147" s="8" t="s">
        <v>384</v>
      </c>
      <c r="Q147" s="8"/>
      <c r="R147" s="9">
        <v>43221</v>
      </c>
      <c r="S147" s="9">
        <v>43221</v>
      </c>
      <c r="T147" s="8">
        <f t="shared" si="11"/>
        <v>5</v>
      </c>
      <c r="U147" s="8" t="str">
        <f t="shared" si="12"/>
        <v>May</v>
      </c>
    </row>
    <row r="148" spans="1:21" x14ac:dyDescent="0.55000000000000004">
      <c r="A148" t="str">
        <f t="shared" si="9"/>
        <v>MayHong Kong - AFG NC</v>
      </c>
      <c r="B148" s="3" t="s">
        <v>20</v>
      </c>
      <c r="C148" s="26" t="s">
        <v>150</v>
      </c>
      <c r="D148" s="26" t="s">
        <v>385</v>
      </c>
      <c r="E148" s="27">
        <v>43231</v>
      </c>
      <c r="F148" s="26" t="s">
        <v>332</v>
      </c>
      <c r="G148" s="26" t="s">
        <v>161</v>
      </c>
      <c r="H148" s="26" t="s">
        <v>386</v>
      </c>
      <c r="I148" s="26" t="s">
        <v>154</v>
      </c>
      <c r="J148" s="26" t="s">
        <v>27</v>
      </c>
      <c r="K148" s="28">
        <v>48</v>
      </c>
      <c r="L148" s="28">
        <v>0</v>
      </c>
      <c r="M148" s="28">
        <f t="shared" si="10"/>
        <v>48</v>
      </c>
      <c r="N148" s="26"/>
      <c r="O148" s="8" t="str">
        <f t="shared" si="8"/>
        <v>Pallet Charges</v>
      </c>
      <c r="P148" s="8" t="s">
        <v>334</v>
      </c>
      <c r="Q148" s="8"/>
      <c r="R148" s="9">
        <v>43221</v>
      </c>
      <c r="S148" s="9">
        <v>43221</v>
      </c>
      <c r="T148" s="8">
        <f t="shared" si="11"/>
        <v>5</v>
      </c>
      <c r="U148" s="8" t="str">
        <f t="shared" si="12"/>
        <v>May</v>
      </c>
    </row>
    <row r="149" spans="1:21" x14ac:dyDescent="0.55000000000000004">
      <c r="A149" t="str">
        <f t="shared" si="9"/>
        <v>MayHong Kong - AFG NC</v>
      </c>
      <c r="B149" s="3" t="s">
        <v>20</v>
      </c>
      <c r="C149" s="26" t="s">
        <v>150</v>
      </c>
      <c r="D149" s="26" t="s">
        <v>387</v>
      </c>
      <c r="E149" s="27">
        <v>43231</v>
      </c>
      <c r="F149" s="26" t="s">
        <v>332</v>
      </c>
      <c r="G149" s="26" t="s">
        <v>161</v>
      </c>
      <c r="H149" s="26" t="s">
        <v>388</v>
      </c>
      <c r="I149" s="26" t="s">
        <v>154</v>
      </c>
      <c r="J149" s="26" t="s">
        <v>27</v>
      </c>
      <c r="K149" s="28">
        <v>60</v>
      </c>
      <c r="L149" s="28">
        <v>0</v>
      </c>
      <c r="M149" s="28">
        <f t="shared" si="10"/>
        <v>60</v>
      </c>
      <c r="N149" s="26"/>
      <c r="O149" s="8" t="str">
        <f t="shared" si="8"/>
        <v>Pallet Charges</v>
      </c>
      <c r="P149" s="8" t="s">
        <v>334</v>
      </c>
      <c r="Q149" s="8"/>
      <c r="R149" s="9">
        <v>43221</v>
      </c>
      <c r="S149" s="9">
        <v>43221</v>
      </c>
      <c r="T149" s="8">
        <f t="shared" si="11"/>
        <v>5</v>
      </c>
      <c r="U149" s="8" t="str">
        <f t="shared" si="12"/>
        <v>May</v>
      </c>
    </row>
    <row r="150" spans="1:21" x14ac:dyDescent="0.55000000000000004">
      <c r="A150" t="str">
        <f t="shared" si="9"/>
        <v>MayHong Kong - AFG NC</v>
      </c>
      <c r="B150" s="3" t="s">
        <v>20</v>
      </c>
      <c r="C150" s="26" t="s">
        <v>150</v>
      </c>
      <c r="D150" s="26" t="s">
        <v>389</v>
      </c>
      <c r="E150" s="27">
        <v>43231</v>
      </c>
      <c r="F150" s="26" t="s">
        <v>332</v>
      </c>
      <c r="G150" s="26" t="s">
        <v>161</v>
      </c>
      <c r="H150" s="26" t="s">
        <v>390</v>
      </c>
      <c r="I150" s="26" t="s">
        <v>154</v>
      </c>
      <c r="J150" s="26" t="s">
        <v>27</v>
      </c>
      <c r="K150" s="28">
        <v>60</v>
      </c>
      <c r="L150" s="28">
        <v>0</v>
      </c>
      <c r="M150" s="28">
        <f t="shared" si="10"/>
        <v>60</v>
      </c>
      <c r="N150" s="26"/>
      <c r="O150" s="8" t="str">
        <f t="shared" si="8"/>
        <v>Pallet Charges</v>
      </c>
      <c r="P150" s="8" t="s">
        <v>334</v>
      </c>
      <c r="Q150" s="8"/>
      <c r="R150" s="9">
        <v>43221</v>
      </c>
      <c r="S150" s="9">
        <v>43221</v>
      </c>
      <c r="T150" s="8">
        <f t="shared" si="11"/>
        <v>5</v>
      </c>
      <c r="U150" s="8" t="str">
        <f t="shared" si="12"/>
        <v>May</v>
      </c>
    </row>
    <row r="151" spans="1:21" x14ac:dyDescent="0.55000000000000004">
      <c r="A151" t="str">
        <f t="shared" si="9"/>
        <v>MayDECI NC - DCL KY</v>
      </c>
      <c r="B151" s="3" t="s">
        <v>20</v>
      </c>
      <c r="C151" s="26" t="s">
        <v>150</v>
      </c>
      <c r="D151" s="26" t="s">
        <v>391</v>
      </c>
      <c r="E151" s="27">
        <v>43234</v>
      </c>
      <c r="F151" s="26" t="s">
        <v>332</v>
      </c>
      <c r="G151" s="26" t="s">
        <v>392</v>
      </c>
      <c r="H151" s="26" t="s">
        <v>393</v>
      </c>
      <c r="I151" s="26" t="s">
        <v>154</v>
      </c>
      <c r="J151" s="26" t="s">
        <v>172</v>
      </c>
      <c r="K151" s="28">
        <v>1725</v>
      </c>
      <c r="L151" s="28">
        <v>0</v>
      </c>
      <c r="M151" s="28">
        <f t="shared" si="10"/>
        <v>1725</v>
      </c>
      <c r="N151" s="26"/>
      <c r="O151" s="8" t="str">
        <f t="shared" si="8"/>
        <v>Freight Inbound ETA 05/09/18 DECI NC to Louisville KY</v>
      </c>
      <c r="P151" s="8" t="s">
        <v>178</v>
      </c>
      <c r="Q151" s="8"/>
      <c r="R151" s="9">
        <v>43221</v>
      </c>
      <c r="S151" s="9">
        <v>43221</v>
      </c>
      <c r="T151" s="8">
        <f t="shared" si="11"/>
        <v>5</v>
      </c>
      <c r="U151" s="8" t="str">
        <f t="shared" si="12"/>
        <v>May</v>
      </c>
    </row>
    <row r="152" spans="1:21" x14ac:dyDescent="0.55000000000000004">
      <c r="A152" t="str">
        <f t="shared" si="9"/>
        <v>MayAFG NC - DCL KY</v>
      </c>
      <c r="B152" s="3" t="s">
        <v>20</v>
      </c>
      <c r="C152" s="26" t="s">
        <v>150</v>
      </c>
      <c r="D152" s="26" t="s">
        <v>394</v>
      </c>
      <c r="E152" s="27">
        <v>43234</v>
      </c>
      <c r="F152" s="26" t="s">
        <v>332</v>
      </c>
      <c r="G152" s="26" t="s">
        <v>395</v>
      </c>
      <c r="H152" s="26" t="s">
        <v>396</v>
      </c>
      <c r="I152" s="26" t="s">
        <v>154</v>
      </c>
      <c r="J152" s="26" t="s">
        <v>172</v>
      </c>
      <c r="K152" s="28">
        <v>4650</v>
      </c>
      <c r="L152" s="28">
        <v>0</v>
      </c>
      <c r="M152" s="28">
        <f t="shared" si="10"/>
        <v>4650</v>
      </c>
      <c r="N152" s="26"/>
      <c r="O152" s="8" t="str">
        <f t="shared" si="8"/>
        <v>Freight Inbound ETA 05/03/18 ASTEELFLASH NC to Louisville KY</v>
      </c>
      <c r="P152" s="8" t="s">
        <v>173</v>
      </c>
      <c r="Q152" s="8"/>
      <c r="R152" s="9">
        <v>43221</v>
      </c>
      <c r="S152" s="9">
        <v>43221</v>
      </c>
      <c r="T152" s="8">
        <f t="shared" si="11"/>
        <v>5</v>
      </c>
      <c r="U152" s="8" t="str">
        <f t="shared" si="12"/>
        <v>May</v>
      </c>
    </row>
    <row r="153" spans="1:21" x14ac:dyDescent="0.55000000000000004">
      <c r="A153" t="str">
        <f t="shared" si="9"/>
        <v>MayAFG NC - DCL KY</v>
      </c>
      <c r="B153" s="3" t="s">
        <v>20</v>
      </c>
      <c r="C153" s="26" t="s">
        <v>150</v>
      </c>
      <c r="D153" s="26" t="s">
        <v>397</v>
      </c>
      <c r="E153" s="27">
        <v>43234</v>
      </c>
      <c r="F153" s="26" t="s">
        <v>332</v>
      </c>
      <c r="G153" s="26" t="s">
        <v>398</v>
      </c>
      <c r="H153" s="26" t="s">
        <v>399</v>
      </c>
      <c r="I153" s="26" t="s">
        <v>154</v>
      </c>
      <c r="J153" s="26" t="s">
        <v>172</v>
      </c>
      <c r="K153" s="28">
        <v>1550</v>
      </c>
      <c r="L153" s="28">
        <v>0</v>
      </c>
      <c r="M153" s="28">
        <f t="shared" si="10"/>
        <v>1550</v>
      </c>
      <c r="N153" s="26"/>
      <c r="O153" s="8" t="str">
        <f t="shared" si="8"/>
        <v>Freight Inbound ETA 05/06/18 ASTEELFLASH NC to Louisville KY</v>
      </c>
      <c r="P153" s="8" t="s">
        <v>173</v>
      </c>
      <c r="Q153" s="8"/>
      <c r="R153" s="9">
        <v>43221</v>
      </c>
      <c r="S153" s="9">
        <v>43221</v>
      </c>
      <c r="T153" s="8">
        <f t="shared" si="11"/>
        <v>5</v>
      </c>
      <c r="U153" s="8" t="str">
        <f t="shared" si="12"/>
        <v>May</v>
      </c>
    </row>
    <row r="154" spans="1:21" x14ac:dyDescent="0.55000000000000004">
      <c r="A154" t="str">
        <f t="shared" si="9"/>
        <v>MayAFG NC - DCL KY</v>
      </c>
      <c r="B154" s="3" t="s">
        <v>20</v>
      </c>
      <c r="C154" s="26" t="s">
        <v>150</v>
      </c>
      <c r="D154" s="26" t="s">
        <v>400</v>
      </c>
      <c r="E154" s="27">
        <v>43234</v>
      </c>
      <c r="F154" s="26" t="s">
        <v>332</v>
      </c>
      <c r="G154" s="26" t="s">
        <v>401</v>
      </c>
      <c r="H154" s="26" t="s">
        <v>402</v>
      </c>
      <c r="I154" s="26" t="s">
        <v>154</v>
      </c>
      <c r="J154" s="26" t="s">
        <v>172</v>
      </c>
      <c r="K154" s="28">
        <v>3100</v>
      </c>
      <c r="L154" s="28">
        <v>0</v>
      </c>
      <c r="M154" s="28">
        <f t="shared" si="10"/>
        <v>3100</v>
      </c>
      <c r="N154" s="26"/>
      <c r="O154" s="8" t="str">
        <f t="shared" si="8"/>
        <v>Freight Inbound ETA 05/04/18 ASTEELFLASH NC to Louisville KY</v>
      </c>
      <c r="P154" s="8" t="s">
        <v>173</v>
      </c>
      <c r="Q154" s="8"/>
      <c r="R154" s="9">
        <v>43221</v>
      </c>
      <c r="S154" s="9">
        <v>43221</v>
      </c>
      <c r="T154" s="8">
        <f t="shared" si="11"/>
        <v>5</v>
      </c>
      <c r="U154" s="8" t="str">
        <f t="shared" si="12"/>
        <v>May</v>
      </c>
    </row>
    <row r="155" spans="1:21" x14ac:dyDescent="0.55000000000000004">
      <c r="A155" t="str">
        <f t="shared" si="9"/>
        <v>MayAFG NC - DCL KY</v>
      </c>
      <c r="B155" s="3" t="s">
        <v>20</v>
      </c>
      <c r="C155" s="26" t="s">
        <v>150</v>
      </c>
      <c r="D155" s="26" t="s">
        <v>403</v>
      </c>
      <c r="E155" s="27">
        <v>43234</v>
      </c>
      <c r="F155" s="26" t="s">
        <v>332</v>
      </c>
      <c r="G155" s="26" t="s">
        <v>404</v>
      </c>
      <c r="H155" s="26" t="s">
        <v>405</v>
      </c>
      <c r="I155" s="26" t="s">
        <v>154</v>
      </c>
      <c r="J155" s="26" t="s">
        <v>172</v>
      </c>
      <c r="K155" s="28">
        <v>3100</v>
      </c>
      <c r="L155" s="28">
        <v>0</v>
      </c>
      <c r="M155" s="28">
        <f t="shared" si="10"/>
        <v>3100</v>
      </c>
      <c r="N155" s="26"/>
      <c r="O155" s="8" t="str">
        <f t="shared" si="8"/>
        <v>Freight Inbound ETA 05/08/18 ASTEELFLASH NC to Louisville KY</v>
      </c>
      <c r="P155" s="8" t="s">
        <v>173</v>
      </c>
      <c r="Q155" s="8"/>
      <c r="R155" s="9">
        <v>43221</v>
      </c>
      <c r="S155" s="9">
        <v>43221</v>
      </c>
      <c r="T155" s="8">
        <f t="shared" si="11"/>
        <v>5</v>
      </c>
      <c r="U155" s="8" t="str">
        <f t="shared" si="12"/>
        <v>May</v>
      </c>
    </row>
    <row r="156" spans="1:21" x14ac:dyDescent="0.55000000000000004">
      <c r="A156" t="str">
        <f t="shared" si="9"/>
        <v>MayAFG NC - DCL KY</v>
      </c>
      <c r="B156" s="3" t="s">
        <v>20</v>
      </c>
      <c r="C156" s="26" t="s">
        <v>150</v>
      </c>
      <c r="D156" s="26" t="s">
        <v>406</v>
      </c>
      <c r="E156" s="27">
        <v>43234</v>
      </c>
      <c r="F156" s="26" t="s">
        <v>332</v>
      </c>
      <c r="G156" s="26" t="s">
        <v>407</v>
      </c>
      <c r="H156" s="26" t="s">
        <v>408</v>
      </c>
      <c r="I156" s="26" t="s">
        <v>154</v>
      </c>
      <c r="J156" s="26" t="s">
        <v>172</v>
      </c>
      <c r="K156" s="28">
        <v>3100</v>
      </c>
      <c r="L156" s="28">
        <v>0</v>
      </c>
      <c r="M156" s="28">
        <f t="shared" si="10"/>
        <v>3100</v>
      </c>
      <c r="N156" s="26"/>
      <c r="O156" s="8" t="str">
        <f t="shared" si="8"/>
        <v>Freight Inbound ETA 05/01/18 ASTEELFLASH NC to Louisville KY</v>
      </c>
      <c r="P156" s="8" t="s">
        <v>173</v>
      </c>
      <c r="Q156" s="8"/>
      <c r="R156" s="9">
        <v>43221</v>
      </c>
      <c r="S156" s="9">
        <v>43221</v>
      </c>
      <c r="T156" s="8">
        <f t="shared" si="11"/>
        <v>5</v>
      </c>
      <c r="U156" s="8" t="str">
        <f t="shared" si="12"/>
        <v>May</v>
      </c>
    </row>
    <row r="157" spans="1:21" x14ac:dyDescent="0.55000000000000004">
      <c r="A157" t="str">
        <f t="shared" si="9"/>
        <v>MayAFG NC - DCL KY</v>
      </c>
      <c r="B157" s="3" t="s">
        <v>20</v>
      </c>
      <c r="C157" s="26" t="s">
        <v>150</v>
      </c>
      <c r="D157" s="26" t="s">
        <v>409</v>
      </c>
      <c r="E157" s="27">
        <v>43234</v>
      </c>
      <c r="F157" s="26" t="s">
        <v>332</v>
      </c>
      <c r="G157" s="26" t="s">
        <v>410</v>
      </c>
      <c r="H157" s="26" t="s">
        <v>411</v>
      </c>
      <c r="I157" s="26" t="s">
        <v>154</v>
      </c>
      <c r="J157" s="26" t="s">
        <v>172</v>
      </c>
      <c r="K157" s="28">
        <v>3100</v>
      </c>
      <c r="L157" s="28">
        <v>0</v>
      </c>
      <c r="M157" s="28">
        <f t="shared" si="10"/>
        <v>3100</v>
      </c>
      <c r="N157" s="26"/>
      <c r="O157" s="8" t="str">
        <f t="shared" si="8"/>
        <v>Freight Inbound ETA 05/05/18 ASTEELFLASH NC to Louisville KY</v>
      </c>
      <c r="P157" s="8" t="s">
        <v>173</v>
      </c>
      <c r="Q157" s="8"/>
      <c r="R157" s="9">
        <v>43221</v>
      </c>
      <c r="S157" s="9">
        <v>43221</v>
      </c>
      <c r="T157" s="8">
        <f t="shared" si="11"/>
        <v>5</v>
      </c>
      <c r="U157" s="8" t="str">
        <f t="shared" si="12"/>
        <v>May</v>
      </c>
    </row>
    <row r="158" spans="1:21" x14ac:dyDescent="0.55000000000000004">
      <c r="A158" t="str">
        <f t="shared" si="9"/>
        <v>MayAFG NC - DCL KY</v>
      </c>
      <c r="B158" s="3" t="s">
        <v>20</v>
      </c>
      <c r="C158" s="26" t="s">
        <v>150</v>
      </c>
      <c r="D158" s="26" t="s">
        <v>412</v>
      </c>
      <c r="E158" s="27">
        <v>43234</v>
      </c>
      <c r="F158" s="26" t="s">
        <v>332</v>
      </c>
      <c r="G158" s="26" t="s">
        <v>413</v>
      </c>
      <c r="H158" s="26" t="s">
        <v>414</v>
      </c>
      <c r="I158" s="26" t="s">
        <v>154</v>
      </c>
      <c r="J158" s="26" t="s">
        <v>172</v>
      </c>
      <c r="K158" s="28">
        <v>4650</v>
      </c>
      <c r="L158" s="28">
        <v>0</v>
      </c>
      <c r="M158" s="28">
        <f t="shared" si="10"/>
        <v>4650</v>
      </c>
      <c r="N158" s="26"/>
      <c r="O158" s="8" t="str">
        <f t="shared" si="8"/>
        <v>Freight Inbound ETA 05/14/18 ASTEELFLASH NC to Louisville KY</v>
      </c>
      <c r="P158" s="8" t="s">
        <v>173</v>
      </c>
      <c r="Q158" s="8"/>
      <c r="R158" s="9">
        <v>43221</v>
      </c>
      <c r="S158" s="9">
        <v>43221</v>
      </c>
      <c r="T158" s="8">
        <f t="shared" si="11"/>
        <v>5</v>
      </c>
      <c r="U158" s="8" t="str">
        <f t="shared" si="12"/>
        <v>May</v>
      </c>
    </row>
    <row r="159" spans="1:21" x14ac:dyDescent="0.55000000000000004">
      <c r="A159" t="str">
        <f t="shared" si="9"/>
        <v>MayDECI NC - DCL KY</v>
      </c>
      <c r="B159" s="3" t="s">
        <v>20</v>
      </c>
      <c r="C159" s="26" t="s">
        <v>150</v>
      </c>
      <c r="D159" s="26" t="s">
        <v>415</v>
      </c>
      <c r="E159" s="27">
        <v>43234</v>
      </c>
      <c r="F159" s="26" t="s">
        <v>332</v>
      </c>
      <c r="G159" s="26" t="s">
        <v>392</v>
      </c>
      <c r="H159" s="26" t="s">
        <v>416</v>
      </c>
      <c r="I159" s="26" t="s">
        <v>154</v>
      </c>
      <c r="J159" s="26" t="s">
        <v>172</v>
      </c>
      <c r="K159" s="28">
        <v>3275</v>
      </c>
      <c r="L159" s="28">
        <v>0</v>
      </c>
      <c r="M159" s="28">
        <f t="shared" si="10"/>
        <v>3275</v>
      </c>
      <c r="N159" s="26"/>
      <c r="O159" s="8" t="str">
        <f t="shared" si="8"/>
        <v>Freight Inbound ETA 05/09/18 DECI NC to Louisville KY</v>
      </c>
      <c r="P159" s="8" t="s">
        <v>178</v>
      </c>
      <c r="Q159" s="8"/>
      <c r="R159" s="9">
        <v>43221</v>
      </c>
      <c r="S159" s="9">
        <v>43221</v>
      </c>
      <c r="T159" s="8">
        <f t="shared" si="11"/>
        <v>5</v>
      </c>
      <c r="U159" s="8" t="str">
        <f t="shared" si="12"/>
        <v>May</v>
      </c>
    </row>
    <row r="160" spans="1:21" x14ac:dyDescent="0.55000000000000004">
      <c r="A160" t="str">
        <f t="shared" si="9"/>
        <v>MayDECI NC - DCL KY</v>
      </c>
      <c r="B160" s="3" t="s">
        <v>20</v>
      </c>
      <c r="C160" s="26" t="s">
        <v>150</v>
      </c>
      <c r="D160" s="26" t="s">
        <v>417</v>
      </c>
      <c r="E160" s="27">
        <v>43236</v>
      </c>
      <c r="F160" s="26" t="s">
        <v>332</v>
      </c>
      <c r="G160" s="26" t="s">
        <v>418</v>
      </c>
      <c r="H160" s="26" t="s">
        <v>419</v>
      </c>
      <c r="I160" s="26" t="s">
        <v>154</v>
      </c>
      <c r="J160" s="26" t="s">
        <v>172</v>
      </c>
      <c r="K160" s="28">
        <v>1550</v>
      </c>
      <c r="L160" s="28">
        <v>0</v>
      </c>
      <c r="M160" s="28">
        <f t="shared" si="10"/>
        <v>1550</v>
      </c>
      <c r="N160" s="26"/>
      <c r="O160" s="8" t="str">
        <f t="shared" si="8"/>
        <v>Freight Inbound ETA 05/10/18 DECI NC to Louisville KY</v>
      </c>
      <c r="P160" s="8" t="s">
        <v>178</v>
      </c>
      <c r="Q160" s="8"/>
      <c r="R160" s="9">
        <v>43221</v>
      </c>
      <c r="S160" s="9">
        <v>43221</v>
      </c>
      <c r="T160" s="8">
        <f t="shared" si="11"/>
        <v>5</v>
      </c>
      <c r="U160" s="8" t="str">
        <f t="shared" si="12"/>
        <v>May</v>
      </c>
    </row>
    <row r="161" spans="1:21" x14ac:dyDescent="0.55000000000000004">
      <c r="A161" t="str">
        <f t="shared" si="9"/>
        <v>MayAFG NC - DCL KY</v>
      </c>
      <c r="B161" s="3" t="s">
        <v>20</v>
      </c>
      <c r="C161" s="26" t="s">
        <v>150</v>
      </c>
      <c r="D161" s="26" t="s">
        <v>420</v>
      </c>
      <c r="E161" s="27">
        <v>43236</v>
      </c>
      <c r="F161" s="26" t="s">
        <v>332</v>
      </c>
      <c r="G161" s="26" t="s">
        <v>421</v>
      </c>
      <c r="H161" s="26" t="s">
        <v>422</v>
      </c>
      <c r="I161" s="26" t="s">
        <v>154</v>
      </c>
      <c r="J161" s="26" t="s">
        <v>172</v>
      </c>
      <c r="K161" s="28">
        <v>1550</v>
      </c>
      <c r="L161" s="28">
        <v>0</v>
      </c>
      <c r="M161" s="28">
        <f t="shared" si="10"/>
        <v>1550</v>
      </c>
      <c r="N161" s="26"/>
      <c r="O161" s="8" t="str">
        <f t="shared" si="8"/>
        <v>Freight Inbound ETA 05/09/18 ASTEELFLASH NC to Louisville KY</v>
      </c>
      <c r="P161" s="8" t="s">
        <v>173</v>
      </c>
      <c r="Q161" s="8"/>
      <c r="R161" s="9">
        <v>43221</v>
      </c>
      <c r="S161" s="9">
        <v>43221</v>
      </c>
      <c r="T161" s="8">
        <f t="shared" si="11"/>
        <v>5</v>
      </c>
      <c r="U161" s="8" t="str">
        <f t="shared" si="12"/>
        <v>May</v>
      </c>
    </row>
    <row r="162" spans="1:21" x14ac:dyDescent="0.55000000000000004">
      <c r="A162" t="str">
        <f t="shared" si="9"/>
        <v>MayAFG NC - DCL KY</v>
      </c>
      <c r="B162" s="3" t="s">
        <v>20</v>
      </c>
      <c r="C162" s="26" t="s">
        <v>150</v>
      </c>
      <c r="D162" s="26" t="s">
        <v>423</v>
      </c>
      <c r="E162" s="27">
        <v>43237</v>
      </c>
      <c r="F162" s="26" t="s">
        <v>332</v>
      </c>
      <c r="G162" s="26" t="s">
        <v>424</v>
      </c>
      <c r="H162" s="26" t="s">
        <v>425</v>
      </c>
      <c r="I162" s="26" t="s">
        <v>154</v>
      </c>
      <c r="J162" s="26" t="s">
        <v>172</v>
      </c>
      <c r="K162" s="28">
        <v>3100</v>
      </c>
      <c r="L162" s="28">
        <v>0</v>
      </c>
      <c r="M162" s="28">
        <f t="shared" si="10"/>
        <v>3100</v>
      </c>
      <c r="N162" s="26"/>
      <c r="O162" s="8" t="str">
        <f t="shared" si="8"/>
        <v>Freight Inbound ETA 05/15/18 ASTEELFLASH NC to Louisville KY</v>
      </c>
      <c r="P162" s="8" t="s">
        <v>173</v>
      </c>
      <c r="Q162" s="8"/>
      <c r="R162" s="9">
        <v>43221</v>
      </c>
      <c r="S162" s="9">
        <v>43221</v>
      </c>
      <c r="T162" s="8">
        <f t="shared" si="11"/>
        <v>5</v>
      </c>
      <c r="U162" s="8" t="str">
        <f t="shared" si="12"/>
        <v>May</v>
      </c>
    </row>
    <row r="163" spans="1:21" x14ac:dyDescent="0.55000000000000004">
      <c r="A163" t="str">
        <f t="shared" si="9"/>
        <v>MayAFG NC - DCL KY</v>
      </c>
      <c r="B163" s="3" t="s">
        <v>20</v>
      </c>
      <c r="C163" s="26" t="s">
        <v>150</v>
      </c>
      <c r="D163" s="26" t="s">
        <v>426</v>
      </c>
      <c r="E163" s="27">
        <v>43237</v>
      </c>
      <c r="F163" s="26" t="s">
        <v>332</v>
      </c>
      <c r="G163" s="26" t="s">
        <v>427</v>
      </c>
      <c r="H163" s="26" t="s">
        <v>428</v>
      </c>
      <c r="I163" s="26" t="s">
        <v>154</v>
      </c>
      <c r="J163" s="26" t="s">
        <v>172</v>
      </c>
      <c r="K163" s="28">
        <v>3100</v>
      </c>
      <c r="L163" s="28">
        <v>0</v>
      </c>
      <c r="M163" s="28">
        <f t="shared" si="10"/>
        <v>3100</v>
      </c>
      <c r="N163" s="26"/>
      <c r="O163" s="8" t="str">
        <f t="shared" si="8"/>
        <v>Freight Inbound ETA 05/16/18 ASTEELFLASH NC to Louisville KY</v>
      </c>
      <c r="P163" s="8" t="s">
        <v>173</v>
      </c>
      <c r="Q163" s="8"/>
      <c r="R163" s="9">
        <v>43221</v>
      </c>
      <c r="S163" s="9">
        <v>43221</v>
      </c>
      <c r="T163" s="8">
        <f t="shared" si="11"/>
        <v>5</v>
      </c>
      <c r="U163" s="8" t="str">
        <f t="shared" si="12"/>
        <v>May</v>
      </c>
    </row>
    <row r="164" spans="1:21" x14ac:dyDescent="0.55000000000000004">
      <c r="A164" t="str">
        <f t="shared" si="9"/>
        <v>MayAFG NC - DCL KY</v>
      </c>
      <c r="B164" s="3" t="s">
        <v>20</v>
      </c>
      <c r="C164" s="26" t="s">
        <v>150</v>
      </c>
      <c r="D164" s="26" t="s">
        <v>429</v>
      </c>
      <c r="E164" s="27">
        <v>43237</v>
      </c>
      <c r="F164" s="26" t="s">
        <v>332</v>
      </c>
      <c r="G164" s="26" t="s">
        <v>413</v>
      </c>
      <c r="H164" s="26" t="s">
        <v>430</v>
      </c>
      <c r="I164" s="26" t="s">
        <v>154</v>
      </c>
      <c r="J164" s="26" t="s">
        <v>172</v>
      </c>
      <c r="K164" s="28">
        <v>3100</v>
      </c>
      <c r="L164" s="28">
        <v>0</v>
      </c>
      <c r="M164" s="28">
        <f t="shared" si="10"/>
        <v>3100</v>
      </c>
      <c r="N164" s="26"/>
      <c r="O164" s="8" t="str">
        <f t="shared" si="8"/>
        <v>Freight Inbound ETA 05/14/18 ASTEELFLASH NC to Louisville KY</v>
      </c>
      <c r="P164" s="8" t="s">
        <v>173</v>
      </c>
      <c r="Q164" s="8"/>
      <c r="R164" s="9">
        <v>43221</v>
      </c>
      <c r="S164" s="9">
        <v>43221</v>
      </c>
      <c r="T164" s="8">
        <f t="shared" si="11"/>
        <v>5</v>
      </c>
      <c r="U164" s="8" t="str">
        <f t="shared" si="12"/>
        <v>May</v>
      </c>
    </row>
    <row r="165" spans="1:21" x14ac:dyDescent="0.55000000000000004">
      <c r="A165" t="str">
        <f t="shared" si="9"/>
        <v>MaySan Francisco - Canada</v>
      </c>
      <c r="B165" s="3" t="s">
        <v>20</v>
      </c>
      <c r="C165" s="26" t="s">
        <v>150</v>
      </c>
      <c r="D165" s="26" t="s">
        <v>431</v>
      </c>
      <c r="E165" s="27">
        <v>43237</v>
      </c>
      <c r="F165" s="26" t="s">
        <v>332</v>
      </c>
      <c r="G165" s="26" t="s">
        <v>432</v>
      </c>
      <c r="H165" s="26" t="s">
        <v>433</v>
      </c>
      <c r="I165" s="26" t="s">
        <v>154</v>
      </c>
      <c r="J165" s="26" t="s">
        <v>434</v>
      </c>
      <c r="K165" s="28">
        <v>180</v>
      </c>
      <c r="L165" s="28">
        <v>0</v>
      </c>
      <c r="M165" s="28">
        <f t="shared" si="10"/>
        <v>180</v>
      </c>
      <c r="N165" s="26"/>
      <c r="O165" s="8" t="str">
        <f t="shared" si="8"/>
        <v>Freight Inbound Delivered 4/13/18 San Francisco,CA - Canada</v>
      </c>
      <c r="P165" s="8" t="s">
        <v>435</v>
      </c>
      <c r="Q165" s="8"/>
      <c r="R165" s="9">
        <v>43191</v>
      </c>
      <c r="S165" s="9">
        <v>43191</v>
      </c>
      <c r="T165" s="8">
        <f t="shared" si="11"/>
        <v>5</v>
      </c>
      <c r="U165" s="8" t="str">
        <f t="shared" si="12"/>
        <v>May</v>
      </c>
    </row>
    <row r="166" spans="1:21" x14ac:dyDescent="0.55000000000000004">
      <c r="A166" t="str">
        <f t="shared" si="9"/>
        <v>MayAFG NC - DCL KY</v>
      </c>
      <c r="B166" s="3" t="s">
        <v>20</v>
      </c>
      <c r="C166" s="26" t="s">
        <v>150</v>
      </c>
      <c r="D166" s="26" t="s">
        <v>436</v>
      </c>
      <c r="E166" s="27">
        <v>43238</v>
      </c>
      <c r="F166" s="26" t="s">
        <v>332</v>
      </c>
      <c r="G166" s="26" t="s">
        <v>437</v>
      </c>
      <c r="H166" s="26" t="s">
        <v>438</v>
      </c>
      <c r="I166" s="26" t="s">
        <v>154</v>
      </c>
      <c r="J166" s="26" t="s">
        <v>172</v>
      </c>
      <c r="K166" s="28">
        <v>3100</v>
      </c>
      <c r="L166" s="28">
        <v>0</v>
      </c>
      <c r="M166" s="28">
        <f t="shared" si="10"/>
        <v>3100</v>
      </c>
      <c r="N166" s="26"/>
      <c r="O166" s="8" t="str">
        <f t="shared" si="8"/>
        <v>Freight Inbound ETA 05/17/18 ASTEELFLASH NC to Louisville KY</v>
      </c>
      <c r="P166" s="8" t="s">
        <v>173</v>
      </c>
      <c r="Q166" s="8"/>
      <c r="R166" s="9">
        <v>43221</v>
      </c>
      <c r="S166" s="9">
        <v>43221</v>
      </c>
      <c r="T166" s="8">
        <f t="shared" si="11"/>
        <v>5</v>
      </c>
      <c r="U166" s="8" t="str">
        <f t="shared" si="12"/>
        <v>May</v>
      </c>
    </row>
    <row r="167" spans="1:21" x14ac:dyDescent="0.55000000000000004">
      <c r="A167" t="str">
        <f t="shared" si="9"/>
        <v>MayHong Kong - AFG NC</v>
      </c>
      <c r="B167" s="3" t="s">
        <v>20</v>
      </c>
      <c r="C167" s="26" t="s">
        <v>150</v>
      </c>
      <c r="D167" s="26" t="s">
        <v>439</v>
      </c>
      <c r="E167" s="27">
        <v>43238</v>
      </c>
      <c r="F167" s="26" t="s">
        <v>332</v>
      </c>
      <c r="G167" s="26" t="s">
        <v>161</v>
      </c>
      <c r="H167" s="26" t="s">
        <v>440</v>
      </c>
      <c r="I167" s="26" t="s">
        <v>154</v>
      </c>
      <c r="J167" s="26" t="s">
        <v>27</v>
      </c>
      <c r="K167" s="28">
        <v>60</v>
      </c>
      <c r="L167" s="28">
        <v>0</v>
      </c>
      <c r="M167" s="28">
        <f t="shared" si="10"/>
        <v>60</v>
      </c>
      <c r="N167" s="26"/>
      <c r="O167" s="8" t="str">
        <f t="shared" si="8"/>
        <v>Pallet Charges</v>
      </c>
      <c r="P167" s="8" t="s">
        <v>334</v>
      </c>
      <c r="Q167" s="8"/>
      <c r="R167" s="9">
        <v>43221</v>
      </c>
      <c r="S167" s="9">
        <v>43221</v>
      </c>
      <c r="T167" s="8">
        <f t="shared" si="11"/>
        <v>5</v>
      </c>
      <c r="U167" s="8" t="str">
        <f t="shared" si="12"/>
        <v>May</v>
      </c>
    </row>
    <row r="168" spans="1:21" x14ac:dyDescent="0.55000000000000004">
      <c r="A168" t="str">
        <f t="shared" si="9"/>
        <v>MayHong Kong - AFG NC</v>
      </c>
      <c r="B168" s="3" t="s">
        <v>20</v>
      </c>
      <c r="C168" s="26" t="s">
        <v>150</v>
      </c>
      <c r="D168" s="26" t="s">
        <v>441</v>
      </c>
      <c r="E168" s="27">
        <v>43238</v>
      </c>
      <c r="F168" s="26" t="s">
        <v>332</v>
      </c>
      <c r="G168" s="26" t="s">
        <v>161</v>
      </c>
      <c r="H168" s="26" t="s">
        <v>442</v>
      </c>
      <c r="I168" s="26" t="s">
        <v>154</v>
      </c>
      <c r="J168" s="26" t="s">
        <v>27</v>
      </c>
      <c r="K168" s="28">
        <v>12</v>
      </c>
      <c r="L168" s="28">
        <v>0</v>
      </c>
      <c r="M168" s="28">
        <f t="shared" si="10"/>
        <v>12</v>
      </c>
      <c r="N168" s="26"/>
      <c r="O168" s="8" t="str">
        <f t="shared" si="8"/>
        <v>Pallet Charges</v>
      </c>
      <c r="P168" s="8" t="s">
        <v>334</v>
      </c>
      <c r="Q168" s="8"/>
      <c r="R168" s="9">
        <v>43221</v>
      </c>
      <c r="S168" s="9">
        <v>43221</v>
      </c>
      <c r="T168" s="8">
        <f t="shared" si="11"/>
        <v>5</v>
      </c>
      <c r="U168" s="8" t="str">
        <f t="shared" si="12"/>
        <v>May</v>
      </c>
    </row>
    <row r="169" spans="1:21" x14ac:dyDescent="0.55000000000000004">
      <c r="A169" t="str">
        <f t="shared" si="9"/>
        <v>MayHong Kong - AFG NC</v>
      </c>
      <c r="B169" s="3" t="s">
        <v>20</v>
      </c>
      <c r="C169" s="26" t="s">
        <v>150</v>
      </c>
      <c r="D169" s="26" t="s">
        <v>443</v>
      </c>
      <c r="E169" s="27">
        <v>43238</v>
      </c>
      <c r="F169" s="26" t="s">
        <v>332</v>
      </c>
      <c r="G169" s="26" t="s">
        <v>161</v>
      </c>
      <c r="H169" s="26" t="s">
        <v>444</v>
      </c>
      <c r="I169" s="26" t="s">
        <v>154</v>
      </c>
      <c r="J169" s="26" t="s">
        <v>27</v>
      </c>
      <c r="K169" s="28">
        <v>48</v>
      </c>
      <c r="L169" s="28">
        <v>0</v>
      </c>
      <c r="M169" s="28">
        <f t="shared" si="10"/>
        <v>48</v>
      </c>
      <c r="N169" s="26"/>
      <c r="O169" s="8" t="str">
        <f t="shared" si="8"/>
        <v>Pallet Charges</v>
      </c>
      <c r="P169" s="8" t="s">
        <v>334</v>
      </c>
      <c r="Q169" s="8"/>
      <c r="R169" s="9">
        <v>43221</v>
      </c>
      <c r="S169" s="9">
        <v>43221</v>
      </c>
      <c r="T169" s="8">
        <f t="shared" si="11"/>
        <v>5</v>
      </c>
      <c r="U169" s="8" t="str">
        <f t="shared" si="12"/>
        <v>May</v>
      </c>
    </row>
    <row r="170" spans="1:21" x14ac:dyDescent="0.55000000000000004">
      <c r="A170" t="str">
        <f t="shared" si="9"/>
        <v>MayHong Kong - AFG NC</v>
      </c>
      <c r="B170" s="3" t="s">
        <v>20</v>
      </c>
      <c r="C170" s="26" t="s">
        <v>150</v>
      </c>
      <c r="D170" s="26" t="s">
        <v>445</v>
      </c>
      <c r="E170" s="27">
        <v>43238</v>
      </c>
      <c r="F170" s="26" t="s">
        <v>332</v>
      </c>
      <c r="G170" s="26" t="s">
        <v>161</v>
      </c>
      <c r="H170" s="26" t="s">
        <v>446</v>
      </c>
      <c r="I170" s="26" t="s">
        <v>154</v>
      </c>
      <c r="J170" s="26" t="s">
        <v>27</v>
      </c>
      <c r="K170" s="28">
        <v>96</v>
      </c>
      <c r="L170" s="28">
        <v>0</v>
      </c>
      <c r="M170" s="28">
        <f t="shared" si="10"/>
        <v>96</v>
      </c>
      <c r="N170" s="26"/>
      <c r="O170" s="8" t="str">
        <f t="shared" si="8"/>
        <v>Pallet Charges</v>
      </c>
      <c r="P170" s="8" t="s">
        <v>334</v>
      </c>
      <c r="Q170" s="8"/>
      <c r="R170" s="9">
        <v>43221</v>
      </c>
      <c r="S170" s="9">
        <v>43221</v>
      </c>
      <c r="T170" s="8">
        <f t="shared" si="11"/>
        <v>5</v>
      </c>
      <c r="U170" s="8" t="str">
        <f t="shared" si="12"/>
        <v>May</v>
      </c>
    </row>
    <row r="171" spans="1:21" x14ac:dyDescent="0.55000000000000004">
      <c r="A171" t="str">
        <f t="shared" si="9"/>
        <v>MayHong Kong - DECI NC</v>
      </c>
      <c r="B171" s="3" t="s">
        <v>20</v>
      </c>
      <c r="C171" s="26" t="s">
        <v>21</v>
      </c>
      <c r="D171" s="26" t="s">
        <v>447</v>
      </c>
      <c r="E171" s="27">
        <v>43222</v>
      </c>
      <c r="F171" s="26" t="s">
        <v>332</v>
      </c>
      <c r="G171" s="26" t="s">
        <v>47</v>
      </c>
      <c r="H171" s="26" t="s">
        <v>448</v>
      </c>
      <c r="I171" s="26" t="s">
        <v>26</v>
      </c>
      <c r="J171" s="26" t="s">
        <v>27</v>
      </c>
      <c r="K171" s="28">
        <v>791.13</v>
      </c>
      <c r="L171" s="28">
        <v>0</v>
      </c>
      <c r="M171" s="28">
        <f t="shared" si="10"/>
        <v>791.13</v>
      </c>
      <c r="N171" s="29" t="s">
        <v>449</v>
      </c>
      <c r="O171" s="8" t="s">
        <v>450</v>
      </c>
      <c r="P171" s="8" t="s">
        <v>92</v>
      </c>
      <c r="Q171" s="8" t="s">
        <v>451</v>
      </c>
      <c r="R171" s="9">
        <v>43191</v>
      </c>
      <c r="S171" s="9">
        <v>43191</v>
      </c>
      <c r="T171" s="8">
        <f t="shared" si="11"/>
        <v>5</v>
      </c>
      <c r="U171" s="8" t="str">
        <f t="shared" si="12"/>
        <v>May</v>
      </c>
    </row>
    <row r="172" spans="1:21" x14ac:dyDescent="0.55000000000000004">
      <c r="A172" t="str">
        <f t="shared" si="9"/>
        <v>MayHong Kong - DECI NC</v>
      </c>
      <c r="B172" s="3" t="s">
        <v>20</v>
      </c>
      <c r="C172" s="26" t="s">
        <v>21</v>
      </c>
      <c r="D172" s="26" t="s">
        <v>447</v>
      </c>
      <c r="E172" s="27">
        <v>43222</v>
      </c>
      <c r="F172" s="26" t="s">
        <v>332</v>
      </c>
      <c r="G172" s="26" t="s">
        <v>47</v>
      </c>
      <c r="H172" s="26" t="s">
        <v>448</v>
      </c>
      <c r="I172" s="26" t="s">
        <v>26</v>
      </c>
      <c r="J172" s="26" t="s">
        <v>27</v>
      </c>
      <c r="K172" s="28">
        <v>9945.58</v>
      </c>
      <c r="L172" s="28">
        <v>0</v>
      </c>
      <c r="M172" s="28">
        <f t="shared" si="10"/>
        <v>9945.58</v>
      </c>
      <c r="N172" s="29" t="s">
        <v>449</v>
      </c>
      <c r="O172" s="8" t="s">
        <v>450</v>
      </c>
      <c r="P172" s="8" t="s">
        <v>92</v>
      </c>
      <c r="Q172" s="8" t="s">
        <v>451</v>
      </c>
      <c r="R172" s="9">
        <v>43191</v>
      </c>
      <c r="S172" s="9">
        <v>43191</v>
      </c>
      <c r="T172" s="8">
        <f t="shared" si="11"/>
        <v>5</v>
      </c>
      <c r="U172" s="8" t="str">
        <f t="shared" si="12"/>
        <v>May</v>
      </c>
    </row>
    <row r="173" spans="1:21" x14ac:dyDescent="0.55000000000000004">
      <c r="A173" t="str">
        <f t="shared" si="9"/>
        <v>MayHong Kong - DECI NC</v>
      </c>
      <c r="B173" s="3" t="s">
        <v>20</v>
      </c>
      <c r="C173" s="26" t="s">
        <v>21</v>
      </c>
      <c r="D173" s="26" t="s">
        <v>447</v>
      </c>
      <c r="E173" s="27">
        <v>43222</v>
      </c>
      <c r="F173" s="26" t="s">
        <v>332</v>
      </c>
      <c r="G173" s="26" t="s">
        <v>47</v>
      </c>
      <c r="H173" s="26" t="s">
        <v>448</v>
      </c>
      <c r="I173" s="26" t="s">
        <v>26</v>
      </c>
      <c r="J173" s="26" t="s">
        <v>27</v>
      </c>
      <c r="K173" s="28">
        <v>59.33</v>
      </c>
      <c r="L173" s="28">
        <v>0</v>
      </c>
      <c r="M173" s="28">
        <f t="shared" si="10"/>
        <v>59.33</v>
      </c>
      <c r="N173" s="29" t="s">
        <v>449</v>
      </c>
      <c r="O173" s="8" t="s">
        <v>450</v>
      </c>
      <c r="P173" s="8" t="s">
        <v>92</v>
      </c>
      <c r="Q173" s="8" t="s">
        <v>451</v>
      </c>
      <c r="R173" s="9">
        <v>43191</v>
      </c>
      <c r="S173" s="9">
        <v>43191</v>
      </c>
      <c r="T173" s="8">
        <f t="shared" si="11"/>
        <v>5</v>
      </c>
      <c r="U173" s="8" t="str">
        <f t="shared" si="12"/>
        <v>May</v>
      </c>
    </row>
    <row r="174" spans="1:21" x14ac:dyDescent="0.55000000000000004">
      <c r="A174" t="str">
        <f t="shared" si="9"/>
        <v>MayHong Kong - Phillips WI</v>
      </c>
      <c r="B174" s="3" t="s">
        <v>20</v>
      </c>
      <c r="C174" s="26" t="s">
        <v>21</v>
      </c>
      <c r="D174" s="26" t="s">
        <v>452</v>
      </c>
      <c r="E174" s="27">
        <v>43222</v>
      </c>
      <c r="F174" s="26" t="s">
        <v>332</v>
      </c>
      <c r="G174" s="26" t="s">
        <v>85</v>
      </c>
      <c r="H174" s="26" t="s">
        <v>453</v>
      </c>
      <c r="I174" s="26" t="s">
        <v>26</v>
      </c>
      <c r="J174" s="26" t="s">
        <v>27</v>
      </c>
      <c r="K174" s="28">
        <v>6205.66</v>
      </c>
      <c r="L174" s="28">
        <v>0</v>
      </c>
      <c r="M174" s="28">
        <f t="shared" si="10"/>
        <v>6205.66</v>
      </c>
      <c r="N174" s="29" t="s">
        <v>454</v>
      </c>
      <c r="O174" s="8" t="s">
        <v>455</v>
      </c>
      <c r="P174" s="8" t="s">
        <v>65</v>
      </c>
      <c r="Q174" s="8" t="s">
        <v>456</v>
      </c>
      <c r="R174" s="9">
        <v>43191</v>
      </c>
      <c r="S174" s="9">
        <v>43191</v>
      </c>
      <c r="T174" s="8">
        <f t="shared" si="11"/>
        <v>5</v>
      </c>
      <c r="U174" s="8" t="str">
        <f t="shared" si="12"/>
        <v>May</v>
      </c>
    </row>
    <row r="175" spans="1:21" x14ac:dyDescent="0.55000000000000004">
      <c r="A175" t="str">
        <f t="shared" si="9"/>
        <v>MayHong Kong - DCL KY</v>
      </c>
      <c r="B175" s="3" t="s">
        <v>20</v>
      </c>
      <c r="C175" s="26" t="s">
        <v>21</v>
      </c>
      <c r="D175" s="26" t="s">
        <v>457</v>
      </c>
      <c r="E175" s="27">
        <v>43222</v>
      </c>
      <c r="F175" s="26" t="s">
        <v>332</v>
      </c>
      <c r="G175" s="26" t="s">
        <v>78</v>
      </c>
      <c r="H175" s="26" t="s">
        <v>458</v>
      </c>
      <c r="I175" s="26" t="s">
        <v>26</v>
      </c>
      <c r="J175" s="26" t="s">
        <v>27</v>
      </c>
      <c r="K175" s="28">
        <v>3875.53</v>
      </c>
      <c r="L175" s="28">
        <v>0</v>
      </c>
      <c r="M175" s="28">
        <f t="shared" si="10"/>
        <v>3875.53</v>
      </c>
      <c r="N175" s="29" t="s">
        <v>459</v>
      </c>
      <c r="O175" s="8" t="s">
        <v>460</v>
      </c>
      <c r="P175" s="8" t="s">
        <v>39</v>
      </c>
      <c r="Q175" s="8" t="s">
        <v>461</v>
      </c>
      <c r="R175" s="9">
        <v>43191</v>
      </c>
      <c r="S175" s="9">
        <v>43191</v>
      </c>
      <c r="T175" s="8">
        <f t="shared" si="11"/>
        <v>5</v>
      </c>
      <c r="U175" s="8" t="str">
        <f t="shared" si="12"/>
        <v>May</v>
      </c>
    </row>
    <row r="176" spans="1:21" x14ac:dyDescent="0.55000000000000004">
      <c r="A176" t="str">
        <f t="shared" si="9"/>
        <v>MayChina - DCL KY</v>
      </c>
      <c r="B176" s="3" t="s">
        <v>20</v>
      </c>
      <c r="C176" s="26" t="s">
        <v>21</v>
      </c>
      <c r="D176" s="26" t="s">
        <v>462</v>
      </c>
      <c r="E176" s="27">
        <v>43222</v>
      </c>
      <c r="F176" s="26" t="s">
        <v>332</v>
      </c>
      <c r="G176" s="26" t="s">
        <v>36</v>
      </c>
      <c r="H176" s="26" t="s">
        <v>463</v>
      </c>
      <c r="I176" s="26" t="s">
        <v>26</v>
      </c>
      <c r="J176" s="26" t="s">
        <v>27</v>
      </c>
      <c r="K176" s="28">
        <v>2863.12</v>
      </c>
      <c r="L176" s="28">
        <v>0</v>
      </c>
      <c r="M176" s="28">
        <f t="shared" si="10"/>
        <v>2863.12</v>
      </c>
      <c r="N176" s="29" t="s">
        <v>464</v>
      </c>
      <c r="O176" s="8" t="s">
        <v>465</v>
      </c>
      <c r="P176" s="8" t="s">
        <v>82</v>
      </c>
      <c r="Q176" s="8"/>
      <c r="R176" s="9">
        <v>43191</v>
      </c>
      <c r="S176" s="9">
        <v>43191</v>
      </c>
      <c r="T176" s="8">
        <f t="shared" si="11"/>
        <v>5</v>
      </c>
      <c r="U176" s="8" t="str">
        <f t="shared" si="12"/>
        <v>May</v>
      </c>
    </row>
    <row r="177" spans="1:21" x14ac:dyDescent="0.55000000000000004">
      <c r="A177" t="str">
        <f t="shared" si="9"/>
        <v>MayHong Kong - Phillips WI</v>
      </c>
      <c r="B177" s="3" t="s">
        <v>20</v>
      </c>
      <c r="C177" s="26" t="s">
        <v>21</v>
      </c>
      <c r="D177" s="26" t="s">
        <v>466</v>
      </c>
      <c r="E177" s="27">
        <v>43222</v>
      </c>
      <c r="F177" s="26" t="s">
        <v>332</v>
      </c>
      <c r="G177" s="26" t="s">
        <v>85</v>
      </c>
      <c r="H177" s="26" t="s">
        <v>467</v>
      </c>
      <c r="I177" s="26" t="s">
        <v>26</v>
      </c>
      <c r="J177" s="26" t="s">
        <v>27</v>
      </c>
      <c r="K177" s="28">
        <v>13785.41</v>
      </c>
      <c r="L177" s="28">
        <v>0</v>
      </c>
      <c r="M177" s="28">
        <f t="shared" si="10"/>
        <v>13785.41</v>
      </c>
      <c r="N177" s="29" t="s">
        <v>468</v>
      </c>
      <c r="O177" s="8" t="s">
        <v>469</v>
      </c>
      <c r="P177" s="8" t="s">
        <v>65</v>
      </c>
      <c r="Q177" s="8"/>
      <c r="R177" s="9">
        <v>43191</v>
      </c>
      <c r="S177" s="9">
        <v>43191</v>
      </c>
      <c r="T177" s="8">
        <f t="shared" si="11"/>
        <v>5</v>
      </c>
      <c r="U177" s="8" t="str">
        <f t="shared" si="12"/>
        <v>May</v>
      </c>
    </row>
    <row r="178" spans="1:21" x14ac:dyDescent="0.55000000000000004">
      <c r="A178" t="str">
        <f t="shared" si="9"/>
        <v>MayHong Kong - DCL KY</v>
      </c>
      <c r="B178" s="3" t="s">
        <v>20</v>
      </c>
      <c r="C178" s="26" t="s">
        <v>21</v>
      </c>
      <c r="D178" s="26" t="s">
        <v>470</v>
      </c>
      <c r="E178" s="27">
        <v>43222</v>
      </c>
      <c r="F178" s="26" t="s">
        <v>332</v>
      </c>
      <c r="G178" s="26" t="s">
        <v>78</v>
      </c>
      <c r="H178" s="26" t="s">
        <v>471</v>
      </c>
      <c r="I178" s="26" t="s">
        <v>26</v>
      </c>
      <c r="J178" s="26" t="s">
        <v>27</v>
      </c>
      <c r="K178" s="28">
        <v>12411.51</v>
      </c>
      <c r="L178" s="28">
        <v>0</v>
      </c>
      <c r="M178" s="28">
        <f t="shared" si="10"/>
        <v>12411.51</v>
      </c>
      <c r="N178" s="29" t="s">
        <v>472</v>
      </c>
      <c r="O178" s="8" t="s">
        <v>473</v>
      </c>
      <c r="P178" s="8" t="s">
        <v>39</v>
      </c>
      <c r="Q178" s="8"/>
      <c r="R178" s="9">
        <v>43191</v>
      </c>
      <c r="S178" s="9">
        <v>43191</v>
      </c>
      <c r="T178" s="8">
        <f t="shared" si="11"/>
        <v>5</v>
      </c>
      <c r="U178" s="8" t="str">
        <f t="shared" si="12"/>
        <v>May</v>
      </c>
    </row>
    <row r="179" spans="1:21" x14ac:dyDescent="0.55000000000000004">
      <c r="A179" t="str">
        <f t="shared" si="9"/>
        <v>MayHong Kong - DECI NC</v>
      </c>
      <c r="B179" s="3" t="s">
        <v>20</v>
      </c>
      <c r="C179" s="26" t="s">
        <v>21</v>
      </c>
      <c r="D179" s="26" t="s">
        <v>474</v>
      </c>
      <c r="E179" s="27">
        <v>43222</v>
      </c>
      <c r="F179" s="26" t="s">
        <v>332</v>
      </c>
      <c r="G179" s="26" t="s">
        <v>47</v>
      </c>
      <c r="H179" s="26" t="s">
        <v>475</v>
      </c>
      <c r="I179" s="26" t="s">
        <v>26</v>
      </c>
      <c r="J179" s="26" t="s">
        <v>27</v>
      </c>
      <c r="K179" s="28">
        <v>9374.31</v>
      </c>
      <c r="L179" s="28">
        <v>0</v>
      </c>
      <c r="M179" s="28">
        <f t="shared" si="10"/>
        <v>9374.31</v>
      </c>
      <c r="N179" s="29" t="s">
        <v>476</v>
      </c>
      <c r="O179" s="8" t="s">
        <v>450</v>
      </c>
      <c r="P179" s="8" t="s">
        <v>92</v>
      </c>
      <c r="Q179" s="8"/>
      <c r="R179" s="9">
        <v>43191</v>
      </c>
      <c r="S179" s="9">
        <v>43191</v>
      </c>
      <c r="T179" s="8">
        <f t="shared" si="11"/>
        <v>5</v>
      </c>
      <c r="U179" s="8" t="str">
        <f t="shared" si="12"/>
        <v>May</v>
      </c>
    </row>
    <row r="180" spans="1:21" x14ac:dyDescent="0.55000000000000004">
      <c r="A180" t="str">
        <f t="shared" si="9"/>
        <v>MayChina - DCL KY</v>
      </c>
      <c r="B180" s="3" t="s">
        <v>20</v>
      </c>
      <c r="C180" s="26" t="s">
        <v>21</v>
      </c>
      <c r="D180" s="26" t="s">
        <v>477</v>
      </c>
      <c r="E180" s="27">
        <v>43222</v>
      </c>
      <c r="F180" s="26" t="s">
        <v>332</v>
      </c>
      <c r="G180" s="26" t="s">
        <v>36</v>
      </c>
      <c r="H180" s="26" t="s">
        <v>478</v>
      </c>
      <c r="I180" s="26" t="s">
        <v>26</v>
      </c>
      <c r="J180" s="26" t="s">
        <v>27</v>
      </c>
      <c r="K180" s="28">
        <v>38343.42</v>
      </c>
      <c r="L180" s="28">
        <v>0</v>
      </c>
      <c r="M180" s="28">
        <f t="shared" si="10"/>
        <v>38343.42</v>
      </c>
      <c r="N180" s="29" t="s">
        <v>479</v>
      </c>
      <c r="O180" s="8" t="s">
        <v>480</v>
      </c>
      <c r="P180" s="8" t="s">
        <v>82</v>
      </c>
      <c r="Q180" s="8"/>
      <c r="R180" s="9">
        <v>43191</v>
      </c>
      <c r="S180" s="9">
        <v>43191</v>
      </c>
      <c r="T180" s="8">
        <f t="shared" si="11"/>
        <v>5</v>
      </c>
      <c r="U180" s="8" t="str">
        <f t="shared" si="12"/>
        <v>May</v>
      </c>
    </row>
    <row r="181" spans="1:21" x14ac:dyDescent="0.55000000000000004">
      <c r="A181" t="str">
        <f t="shared" si="9"/>
        <v>MayHong Kong - DECI NC</v>
      </c>
      <c r="B181" s="3" t="s">
        <v>20</v>
      </c>
      <c r="C181" s="26" t="s">
        <v>21</v>
      </c>
      <c r="D181" s="26" t="s">
        <v>481</v>
      </c>
      <c r="E181" s="27">
        <v>43222</v>
      </c>
      <c r="F181" s="26" t="s">
        <v>332</v>
      </c>
      <c r="G181" s="26" t="s">
        <v>47</v>
      </c>
      <c r="H181" s="26" t="s">
        <v>482</v>
      </c>
      <c r="I181" s="26" t="s">
        <v>26</v>
      </c>
      <c r="J181" s="26" t="s">
        <v>27</v>
      </c>
      <c r="K181" s="28">
        <v>74.64</v>
      </c>
      <c r="L181" s="28">
        <v>0</v>
      </c>
      <c r="M181" s="28">
        <f t="shared" si="10"/>
        <v>74.64</v>
      </c>
      <c r="N181" s="29" t="s">
        <v>483</v>
      </c>
      <c r="O181" s="8" t="s">
        <v>450</v>
      </c>
      <c r="P181" s="8" t="s">
        <v>92</v>
      </c>
      <c r="Q181" s="8"/>
      <c r="R181" s="9">
        <v>43191</v>
      </c>
      <c r="S181" s="9">
        <v>43191</v>
      </c>
      <c r="T181" s="8">
        <f t="shared" si="11"/>
        <v>5</v>
      </c>
      <c r="U181" s="8" t="str">
        <f t="shared" si="12"/>
        <v>May</v>
      </c>
    </row>
    <row r="182" spans="1:21" x14ac:dyDescent="0.55000000000000004">
      <c r="A182" t="str">
        <f t="shared" si="9"/>
        <v>MayHong Kong - DECI NC</v>
      </c>
      <c r="B182" s="3" t="s">
        <v>20</v>
      </c>
      <c r="C182" s="26" t="s">
        <v>21</v>
      </c>
      <c r="D182" s="26" t="s">
        <v>481</v>
      </c>
      <c r="E182" s="27">
        <v>43222</v>
      </c>
      <c r="F182" s="26" t="s">
        <v>332</v>
      </c>
      <c r="G182" s="26" t="s">
        <v>47</v>
      </c>
      <c r="H182" s="26" t="s">
        <v>482</v>
      </c>
      <c r="I182" s="26" t="s">
        <v>26</v>
      </c>
      <c r="J182" s="26" t="s">
        <v>27</v>
      </c>
      <c r="K182" s="28">
        <v>10744.32</v>
      </c>
      <c r="L182" s="28">
        <v>0</v>
      </c>
      <c r="M182" s="28">
        <f t="shared" si="10"/>
        <v>10744.32</v>
      </c>
      <c r="N182" s="29" t="s">
        <v>483</v>
      </c>
      <c r="O182" s="8" t="s">
        <v>450</v>
      </c>
      <c r="P182" s="8" t="s">
        <v>92</v>
      </c>
      <c r="Q182" s="8"/>
      <c r="R182" s="9">
        <v>43191</v>
      </c>
      <c r="S182" s="9">
        <v>43191</v>
      </c>
      <c r="T182" s="8">
        <f t="shared" si="11"/>
        <v>5</v>
      </c>
      <c r="U182" s="8" t="str">
        <f t="shared" si="12"/>
        <v>May</v>
      </c>
    </row>
    <row r="183" spans="1:21" x14ac:dyDescent="0.55000000000000004">
      <c r="A183" t="str">
        <f t="shared" si="9"/>
        <v>MayChina - DCL KY</v>
      </c>
      <c r="B183" s="3" t="s">
        <v>20</v>
      </c>
      <c r="C183" s="26" t="s">
        <v>21</v>
      </c>
      <c r="D183" s="26" t="s">
        <v>484</v>
      </c>
      <c r="E183" s="27">
        <v>43222</v>
      </c>
      <c r="F183" s="26" t="s">
        <v>332</v>
      </c>
      <c r="G183" s="26" t="s">
        <v>36</v>
      </c>
      <c r="H183" s="26" t="s">
        <v>485</v>
      </c>
      <c r="I183" s="26" t="s">
        <v>26</v>
      </c>
      <c r="J183" s="26" t="s">
        <v>27</v>
      </c>
      <c r="K183" s="28">
        <v>29221.5</v>
      </c>
      <c r="L183" s="28">
        <v>0</v>
      </c>
      <c r="M183" s="28">
        <f t="shared" si="10"/>
        <v>29221.5</v>
      </c>
      <c r="N183" s="29" t="s">
        <v>486</v>
      </c>
      <c r="O183" s="8" t="s">
        <v>487</v>
      </c>
      <c r="P183" s="8" t="s">
        <v>82</v>
      </c>
      <c r="Q183" s="8"/>
      <c r="R183" s="9">
        <v>43191</v>
      </c>
      <c r="S183" s="9">
        <v>43191</v>
      </c>
      <c r="T183" s="8">
        <f t="shared" si="11"/>
        <v>5</v>
      </c>
      <c r="U183" s="8" t="str">
        <f t="shared" si="12"/>
        <v>May</v>
      </c>
    </row>
    <row r="184" spans="1:21" x14ac:dyDescent="0.55000000000000004">
      <c r="A184" t="str">
        <f t="shared" si="9"/>
        <v>MayChina - DCL KY</v>
      </c>
      <c r="B184" s="3" t="s">
        <v>20</v>
      </c>
      <c r="C184" s="26" t="s">
        <v>21</v>
      </c>
      <c r="D184" s="26" t="s">
        <v>488</v>
      </c>
      <c r="E184" s="27">
        <v>43222</v>
      </c>
      <c r="F184" s="26" t="s">
        <v>332</v>
      </c>
      <c r="G184" s="26" t="s">
        <v>36</v>
      </c>
      <c r="H184" s="26" t="s">
        <v>489</v>
      </c>
      <c r="I184" s="26" t="s">
        <v>26</v>
      </c>
      <c r="J184" s="26" t="s">
        <v>27</v>
      </c>
      <c r="K184" s="28">
        <v>23144.15</v>
      </c>
      <c r="L184" s="28">
        <v>0</v>
      </c>
      <c r="M184" s="28">
        <f t="shared" si="10"/>
        <v>23144.15</v>
      </c>
      <c r="N184" s="29" t="s">
        <v>490</v>
      </c>
      <c r="O184" s="8" t="s">
        <v>491</v>
      </c>
      <c r="P184" s="8" t="s">
        <v>82</v>
      </c>
      <c r="Q184" s="8"/>
      <c r="R184" s="9">
        <v>43191</v>
      </c>
      <c r="S184" s="9">
        <v>43191</v>
      </c>
      <c r="T184" s="8">
        <f t="shared" si="11"/>
        <v>5</v>
      </c>
      <c r="U184" s="8" t="str">
        <f t="shared" si="12"/>
        <v>May</v>
      </c>
    </row>
    <row r="185" spans="1:21" x14ac:dyDescent="0.55000000000000004">
      <c r="A185" t="str">
        <f t="shared" si="9"/>
        <v>MayHong Kong - DCL KY</v>
      </c>
      <c r="B185" s="3" t="s">
        <v>20</v>
      </c>
      <c r="C185" s="26" t="s">
        <v>21</v>
      </c>
      <c r="D185" s="26" t="s">
        <v>492</v>
      </c>
      <c r="E185" s="27">
        <v>43222</v>
      </c>
      <c r="F185" s="26" t="s">
        <v>332</v>
      </c>
      <c r="G185" s="26" t="s">
        <v>36</v>
      </c>
      <c r="H185" s="26" t="s">
        <v>493</v>
      </c>
      <c r="I185" s="26" t="s">
        <v>26</v>
      </c>
      <c r="J185" s="26" t="s">
        <v>27</v>
      </c>
      <c r="K185" s="28">
        <v>3536.71</v>
      </c>
      <c r="L185" s="28">
        <v>0</v>
      </c>
      <c r="M185" s="28">
        <f t="shared" si="10"/>
        <v>3536.71</v>
      </c>
      <c r="N185" s="29" t="s">
        <v>494</v>
      </c>
      <c r="O185" s="8" t="s">
        <v>495</v>
      </c>
      <c r="P185" s="8" t="s">
        <v>39</v>
      </c>
      <c r="Q185" s="8"/>
      <c r="R185" s="9">
        <v>43191</v>
      </c>
      <c r="S185" s="9">
        <v>43191</v>
      </c>
      <c r="T185" s="8">
        <f t="shared" si="11"/>
        <v>5</v>
      </c>
      <c r="U185" s="8" t="str">
        <f t="shared" si="12"/>
        <v>May</v>
      </c>
    </row>
    <row r="186" spans="1:21" x14ac:dyDescent="0.55000000000000004">
      <c r="A186" t="str">
        <f t="shared" si="9"/>
        <v>MayHong Kong - DECI NC</v>
      </c>
      <c r="B186" s="3" t="s">
        <v>20</v>
      </c>
      <c r="C186" s="26" t="s">
        <v>21</v>
      </c>
      <c r="D186" s="26" t="s">
        <v>496</v>
      </c>
      <c r="E186" s="27">
        <v>43222</v>
      </c>
      <c r="F186" s="26" t="s">
        <v>332</v>
      </c>
      <c r="G186" s="26" t="s">
        <v>47</v>
      </c>
      <c r="H186" s="26" t="s">
        <v>497</v>
      </c>
      <c r="I186" s="26" t="s">
        <v>26</v>
      </c>
      <c r="J186" s="26" t="s">
        <v>27</v>
      </c>
      <c r="K186" s="28">
        <v>13035.37</v>
      </c>
      <c r="L186" s="28">
        <v>0</v>
      </c>
      <c r="M186" s="28">
        <f t="shared" si="10"/>
        <v>13035.37</v>
      </c>
      <c r="N186" s="29" t="s">
        <v>498</v>
      </c>
      <c r="O186" s="8" t="s">
        <v>499</v>
      </c>
      <c r="P186" s="8" t="s">
        <v>92</v>
      </c>
      <c r="Q186" s="8" t="s">
        <v>500</v>
      </c>
      <c r="R186" s="9">
        <v>43191</v>
      </c>
      <c r="S186" s="9">
        <v>43191</v>
      </c>
      <c r="T186" s="8">
        <f t="shared" si="11"/>
        <v>5</v>
      </c>
      <c r="U186" s="8" t="str">
        <f t="shared" si="12"/>
        <v>May</v>
      </c>
    </row>
    <row r="187" spans="1:21" x14ac:dyDescent="0.55000000000000004">
      <c r="A187" t="str">
        <f t="shared" si="9"/>
        <v>MayHong Kong - DECI NC</v>
      </c>
      <c r="B187" s="3" t="s">
        <v>20</v>
      </c>
      <c r="C187" s="26" t="s">
        <v>21</v>
      </c>
      <c r="D187" s="26" t="s">
        <v>496</v>
      </c>
      <c r="E187" s="27">
        <v>43222</v>
      </c>
      <c r="F187" s="26" t="s">
        <v>332</v>
      </c>
      <c r="G187" s="26" t="s">
        <v>47</v>
      </c>
      <c r="H187" s="26" t="s">
        <v>497</v>
      </c>
      <c r="I187" s="26" t="s">
        <v>26</v>
      </c>
      <c r="J187" s="26" t="s">
        <v>27</v>
      </c>
      <c r="K187" s="28">
        <v>2673.92</v>
      </c>
      <c r="L187" s="28">
        <v>0</v>
      </c>
      <c r="M187" s="28">
        <f t="shared" si="10"/>
        <v>2673.92</v>
      </c>
      <c r="N187" s="29" t="s">
        <v>498</v>
      </c>
      <c r="O187" s="8" t="s">
        <v>499</v>
      </c>
      <c r="P187" s="8" t="s">
        <v>92</v>
      </c>
      <c r="Q187" s="8" t="s">
        <v>500</v>
      </c>
      <c r="R187" s="9">
        <v>43191</v>
      </c>
      <c r="S187" s="9">
        <v>43191</v>
      </c>
      <c r="T187" s="8">
        <f t="shared" si="11"/>
        <v>5</v>
      </c>
      <c r="U187" s="8" t="str">
        <f t="shared" si="12"/>
        <v>May</v>
      </c>
    </row>
    <row r="188" spans="1:21" x14ac:dyDescent="0.55000000000000004">
      <c r="A188" t="str">
        <f t="shared" si="9"/>
        <v>MayChina - DECI NC</v>
      </c>
      <c r="B188" s="3" t="s">
        <v>20</v>
      </c>
      <c r="C188" s="26" t="s">
        <v>21</v>
      </c>
      <c r="D188" s="26" t="s">
        <v>501</v>
      </c>
      <c r="E188" s="27">
        <v>43222</v>
      </c>
      <c r="F188" s="26" t="s">
        <v>332</v>
      </c>
      <c r="G188" s="26" t="s">
        <v>47</v>
      </c>
      <c r="H188" s="26" t="s">
        <v>502</v>
      </c>
      <c r="I188" s="26" t="s">
        <v>26</v>
      </c>
      <c r="J188" s="26" t="s">
        <v>27</v>
      </c>
      <c r="K188" s="28">
        <v>22858.28</v>
      </c>
      <c r="L188" s="28">
        <v>0</v>
      </c>
      <c r="M188" s="28">
        <f t="shared" si="10"/>
        <v>22858.28</v>
      </c>
      <c r="N188" s="29" t="s">
        <v>503</v>
      </c>
      <c r="O188" s="8" t="s">
        <v>504</v>
      </c>
      <c r="P188" s="8" t="s">
        <v>97</v>
      </c>
      <c r="Q188" s="8"/>
      <c r="R188" s="9">
        <v>43191</v>
      </c>
      <c r="S188" s="9">
        <v>43191</v>
      </c>
      <c r="T188" s="8">
        <f t="shared" si="11"/>
        <v>5</v>
      </c>
      <c r="U188" s="8" t="str">
        <f t="shared" si="12"/>
        <v>May</v>
      </c>
    </row>
    <row r="189" spans="1:21" x14ac:dyDescent="0.55000000000000004">
      <c r="A189" t="str">
        <f t="shared" si="9"/>
        <v>MayChina - DCL KY</v>
      </c>
      <c r="B189" s="3" t="s">
        <v>20</v>
      </c>
      <c r="C189" s="26" t="s">
        <v>21</v>
      </c>
      <c r="D189" s="26" t="s">
        <v>505</v>
      </c>
      <c r="E189" s="27">
        <v>43222</v>
      </c>
      <c r="F189" s="26" t="s">
        <v>332</v>
      </c>
      <c r="G189" s="26" t="s">
        <v>36</v>
      </c>
      <c r="H189" s="26" t="s">
        <v>506</v>
      </c>
      <c r="I189" s="26" t="s">
        <v>26</v>
      </c>
      <c r="J189" s="26" t="s">
        <v>27</v>
      </c>
      <c r="K189" s="28">
        <v>25067.64</v>
      </c>
      <c r="L189" s="28">
        <v>0</v>
      </c>
      <c r="M189" s="28">
        <f t="shared" si="10"/>
        <v>25067.64</v>
      </c>
      <c r="N189" s="29" t="s">
        <v>507</v>
      </c>
      <c r="O189" s="8" t="s">
        <v>508</v>
      </c>
      <c r="P189" s="8" t="s">
        <v>82</v>
      </c>
      <c r="Q189" s="8"/>
      <c r="R189" s="9">
        <v>43191</v>
      </c>
      <c r="S189" s="9">
        <v>43191</v>
      </c>
      <c r="T189" s="8">
        <f t="shared" si="11"/>
        <v>5</v>
      </c>
      <c r="U189" s="8" t="str">
        <f t="shared" si="12"/>
        <v>May</v>
      </c>
    </row>
    <row r="190" spans="1:21" x14ac:dyDescent="0.55000000000000004">
      <c r="A190" t="str">
        <f t="shared" si="9"/>
        <v>MayHong Kong - DCL KY</v>
      </c>
      <c r="B190" s="3" t="s">
        <v>20</v>
      </c>
      <c r="C190" s="26" t="s">
        <v>21</v>
      </c>
      <c r="D190" s="26" t="s">
        <v>509</v>
      </c>
      <c r="E190" s="27">
        <v>43222</v>
      </c>
      <c r="F190" s="26" t="s">
        <v>332</v>
      </c>
      <c r="G190" s="26" t="s">
        <v>36</v>
      </c>
      <c r="H190" s="26" t="s">
        <v>510</v>
      </c>
      <c r="I190" s="26" t="s">
        <v>26</v>
      </c>
      <c r="J190" s="26" t="s">
        <v>27</v>
      </c>
      <c r="K190" s="28">
        <v>2626.48</v>
      </c>
      <c r="L190" s="28">
        <v>0</v>
      </c>
      <c r="M190" s="28">
        <f t="shared" si="10"/>
        <v>2626.48</v>
      </c>
      <c r="N190" s="29" t="s">
        <v>511</v>
      </c>
      <c r="O190" s="8" t="s">
        <v>512</v>
      </c>
      <c r="P190" s="8" t="s">
        <v>39</v>
      </c>
      <c r="Q190" s="8"/>
      <c r="R190" s="9">
        <v>43191</v>
      </c>
      <c r="S190" s="9">
        <v>43191</v>
      </c>
      <c r="T190" s="8">
        <f t="shared" si="11"/>
        <v>5</v>
      </c>
      <c r="U190" s="8" t="str">
        <f t="shared" si="12"/>
        <v>May</v>
      </c>
    </row>
    <row r="191" spans="1:21" x14ac:dyDescent="0.55000000000000004">
      <c r="A191" t="str">
        <f t="shared" si="9"/>
        <v>MayChina - DECI NC</v>
      </c>
      <c r="B191" s="3" t="s">
        <v>20</v>
      </c>
      <c r="C191" s="26" t="s">
        <v>21</v>
      </c>
      <c r="D191" s="26" t="s">
        <v>513</v>
      </c>
      <c r="E191" s="27">
        <v>43227</v>
      </c>
      <c r="F191" s="26" t="s">
        <v>332</v>
      </c>
      <c r="G191" s="26" t="s">
        <v>47</v>
      </c>
      <c r="H191" s="26" t="s">
        <v>514</v>
      </c>
      <c r="I191" s="26" t="s">
        <v>26</v>
      </c>
      <c r="J191" s="26" t="s">
        <v>27</v>
      </c>
      <c r="K191" s="28">
        <v>12159.81</v>
      </c>
      <c r="L191" s="28">
        <v>0</v>
      </c>
      <c r="M191" s="28">
        <f t="shared" si="10"/>
        <v>12159.81</v>
      </c>
      <c r="N191" s="29" t="s">
        <v>515</v>
      </c>
      <c r="O191" s="8" t="s">
        <v>516</v>
      </c>
      <c r="P191" s="8" t="s">
        <v>97</v>
      </c>
      <c r="Q191" s="8"/>
      <c r="R191" s="9">
        <v>43191</v>
      </c>
      <c r="S191" s="9">
        <v>43191</v>
      </c>
      <c r="T191" s="8">
        <f t="shared" si="11"/>
        <v>5</v>
      </c>
      <c r="U191" s="8" t="str">
        <f t="shared" si="12"/>
        <v>May</v>
      </c>
    </row>
    <row r="192" spans="1:21" x14ac:dyDescent="0.55000000000000004">
      <c r="A192" t="str">
        <f t="shared" si="9"/>
        <v>MayHong Kong - DCL KY</v>
      </c>
      <c r="B192" s="3" t="s">
        <v>20</v>
      </c>
      <c r="C192" s="26" t="s">
        <v>21</v>
      </c>
      <c r="D192" s="26" t="s">
        <v>517</v>
      </c>
      <c r="E192" s="27">
        <v>43227</v>
      </c>
      <c r="F192" s="26" t="s">
        <v>332</v>
      </c>
      <c r="G192" s="26" t="s">
        <v>78</v>
      </c>
      <c r="H192" s="26" t="s">
        <v>518</v>
      </c>
      <c r="I192" s="26" t="s">
        <v>26</v>
      </c>
      <c r="J192" s="26" t="s">
        <v>27</v>
      </c>
      <c r="K192" s="28">
        <v>3831.01</v>
      </c>
      <c r="L192" s="28">
        <v>0</v>
      </c>
      <c r="M192" s="28">
        <f t="shared" si="10"/>
        <v>3831.01</v>
      </c>
      <c r="N192" s="29" t="s">
        <v>519</v>
      </c>
      <c r="O192" s="8" t="s">
        <v>520</v>
      </c>
      <c r="P192" s="8" t="s">
        <v>39</v>
      </c>
      <c r="Q192" s="8" t="s">
        <v>521</v>
      </c>
      <c r="R192" s="9">
        <v>43191</v>
      </c>
      <c r="S192" s="9">
        <v>43191</v>
      </c>
      <c r="T192" s="8">
        <f t="shared" si="11"/>
        <v>5</v>
      </c>
      <c r="U192" s="8" t="str">
        <f t="shared" si="12"/>
        <v>May</v>
      </c>
    </row>
    <row r="193" spans="1:21" x14ac:dyDescent="0.55000000000000004">
      <c r="A193" t="str">
        <f t="shared" si="9"/>
        <v>MayChina - DCL KY</v>
      </c>
      <c r="B193" s="3" t="s">
        <v>20</v>
      </c>
      <c r="C193" s="26" t="s">
        <v>21</v>
      </c>
      <c r="D193" s="26" t="s">
        <v>522</v>
      </c>
      <c r="E193" s="27">
        <v>43227</v>
      </c>
      <c r="F193" s="26" t="s">
        <v>332</v>
      </c>
      <c r="G193" s="26" t="s">
        <v>36</v>
      </c>
      <c r="H193" s="26" t="s">
        <v>523</v>
      </c>
      <c r="I193" s="26" t="s">
        <v>26</v>
      </c>
      <c r="J193" s="26" t="s">
        <v>27</v>
      </c>
      <c r="K193" s="28">
        <v>71306.759999999995</v>
      </c>
      <c r="L193" s="28">
        <v>0</v>
      </c>
      <c r="M193" s="28">
        <f t="shared" si="10"/>
        <v>71306.759999999995</v>
      </c>
      <c r="N193" s="29" t="s">
        <v>524</v>
      </c>
      <c r="O193" s="8" t="s">
        <v>525</v>
      </c>
      <c r="P193" s="8" t="s">
        <v>82</v>
      </c>
      <c r="Q193" s="8" t="s">
        <v>526</v>
      </c>
      <c r="R193" s="9">
        <v>43191</v>
      </c>
      <c r="S193" s="9">
        <v>43191</v>
      </c>
      <c r="T193" s="8">
        <f t="shared" si="11"/>
        <v>5</v>
      </c>
      <c r="U193" s="8" t="str">
        <f t="shared" si="12"/>
        <v>May</v>
      </c>
    </row>
    <row r="194" spans="1:21" x14ac:dyDescent="0.55000000000000004">
      <c r="A194" t="str">
        <f t="shared" si="9"/>
        <v>MayHong Kong - DCL KY</v>
      </c>
      <c r="B194" s="3" t="s">
        <v>20</v>
      </c>
      <c r="C194" s="26" t="s">
        <v>21</v>
      </c>
      <c r="D194" s="26" t="s">
        <v>527</v>
      </c>
      <c r="E194" s="27">
        <v>43227</v>
      </c>
      <c r="F194" s="26" t="s">
        <v>332</v>
      </c>
      <c r="G194" s="26" t="s">
        <v>78</v>
      </c>
      <c r="H194" s="26" t="s">
        <v>528</v>
      </c>
      <c r="I194" s="26" t="s">
        <v>26</v>
      </c>
      <c r="J194" s="26" t="s">
        <v>27</v>
      </c>
      <c r="K194" s="28">
        <v>5505.69</v>
      </c>
      <c r="L194" s="28">
        <v>0</v>
      </c>
      <c r="M194" s="28">
        <f t="shared" si="10"/>
        <v>5505.69</v>
      </c>
      <c r="N194" s="29" t="s">
        <v>529</v>
      </c>
      <c r="O194" s="8" t="s">
        <v>520</v>
      </c>
      <c r="P194" s="8" t="s">
        <v>39</v>
      </c>
      <c r="Q194" s="8" t="s">
        <v>530</v>
      </c>
      <c r="R194" s="9">
        <v>43191</v>
      </c>
      <c r="S194" s="9">
        <v>43191</v>
      </c>
      <c r="T194" s="8">
        <f t="shared" si="11"/>
        <v>5</v>
      </c>
      <c r="U194" s="8" t="str">
        <f t="shared" si="12"/>
        <v>May</v>
      </c>
    </row>
    <row r="195" spans="1:21" x14ac:dyDescent="0.55000000000000004">
      <c r="A195" t="str">
        <f t="shared" ref="A195:A258" si="13">U195&amp;P195</f>
        <v>MayHong Kong - DCL KY</v>
      </c>
      <c r="B195" s="3" t="s">
        <v>20</v>
      </c>
      <c r="C195" s="26" t="s">
        <v>21</v>
      </c>
      <c r="D195" s="26" t="s">
        <v>527</v>
      </c>
      <c r="E195" s="27">
        <v>43227</v>
      </c>
      <c r="F195" s="26" t="s">
        <v>332</v>
      </c>
      <c r="G195" s="26" t="s">
        <v>78</v>
      </c>
      <c r="H195" s="26" t="s">
        <v>528</v>
      </c>
      <c r="I195" s="26" t="s">
        <v>26</v>
      </c>
      <c r="J195" s="26" t="s">
        <v>27</v>
      </c>
      <c r="K195" s="28">
        <v>105.88</v>
      </c>
      <c r="L195" s="28">
        <v>0</v>
      </c>
      <c r="M195" s="28">
        <f t="shared" ref="M195:M258" si="14">K195-L195</f>
        <v>105.88</v>
      </c>
      <c r="N195" s="29" t="s">
        <v>529</v>
      </c>
      <c r="O195" s="8" t="s">
        <v>520</v>
      </c>
      <c r="P195" s="8" t="s">
        <v>39</v>
      </c>
      <c r="Q195" s="8" t="s">
        <v>530</v>
      </c>
      <c r="R195" s="9">
        <v>43191</v>
      </c>
      <c r="S195" s="9">
        <v>43191</v>
      </c>
      <c r="T195" s="8">
        <f t="shared" ref="T195:T233" si="15">MONTH(E195)</f>
        <v>5</v>
      </c>
      <c r="U195" s="8" t="str">
        <f t="shared" ref="U195:U233" si="16">IF(T195=6,"June",IF(T195=5,"May",IF(T195=4,"April",IF(T195=3,"March",0))))</f>
        <v>May</v>
      </c>
    </row>
    <row r="196" spans="1:21" x14ac:dyDescent="0.55000000000000004">
      <c r="A196" t="str">
        <f t="shared" si="13"/>
        <v>MayChina - DCL KY</v>
      </c>
      <c r="B196" s="3" t="s">
        <v>20</v>
      </c>
      <c r="C196" s="26" t="s">
        <v>21</v>
      </c>
      <c r="D196" s="26" t="s">
        <v>531</v>
      </c>
      <c r="E196" s="27">
        <v>43227</v>
      </c>
      <c r="F196" s="26" t="s">
        <v>332</v>
      </c>
      <c r="G196" s="26" t="s">
        <v>36</v>
      </c>
      <c r="H196" s="26" t="s">
        <v>532</v>
      </c>
      <c r="I196" s="26" t="s">
        <v>26</v>
      </c>
      <c r="J196" s="26" t="s">
        <v>27</v>
      </c>
      <c r="K196" s="28">
        <v>72328.75</v>
      </c>
      <c r="L196" s="28">
        <v>0</v>
      </c>
      <c r="M196" s="28">
        <f t="shared" si="14"/>
        <v>72328.75</v>
      </c>
      <c r="N196" s="29" t="s">
        <v>533</v>
      </c>
      <c r="O196" s="8" t="s">
        <v>534</v>
      </c>
      <c r="P196" s="8" t="s">
        <v>82</v>
      </c>
      <c r="Q196" s="8" t="s">
        <v>535</v>
      </c>
      <c r="R196" s="9">
        <v>43221</v>
      </c>
      <c r="S196" s="9">
        <v>43221</v>
      </c>
      <c r="T196" s="8">
        <f t="shared" si="15"/>
        <v>5</v>
      </c>
      <c r="U196" s="8" t="str">
        <f t="shared" si="16"/>
        <v>May</v>
      </c>
    </row>
    <row r="197" spans="1:21" x14ac:dyDescent="0.55000000000000004">
      <c r="A197" t="str">
        <f t="shared" si="13"/>
        <v>MayChina - DCL KY</v>
      </c>
      <c r="B197" s="3" t="s">
        <v>20</v>
      </c>
      <c r="C197" s="26" t="s">
        <v>21</v>
      </c>
      <c r="D197" s="26" t="s">
        <v>536</v>
      </c>
      <c r="E197" s="27">
        <v>43227</v>
      </c>
      <c r="F197" s="26" t="s">
        <v>332</v>
      </c>
      <c r="G197" s="26" t="s">
        <v>36</v>
      </c>
      <c r="H197" s="26" t="s">
        <v>537</v>
      </c>
      <c r="I197" s="26" t="s">
        <v>26</v>
      </c>
      <c r="J197" s="26" t="s">
        <v>27</v>
      </c>
      <c r="K197" s="28">
        <v>1442.55</v>
      </c>
      <c r="L197" s="28">
        <v>0</v>
      </c>
      <c r="M197" s="28">
        <f t="shared" si="14"/>
        <v>1442.55</v>
      </c>
      <c r="N197" s="29" t="s">
        <v>538</v>
      </c>
      <c r="O197" s="8" t="s">
        <v>525</v>
      </c>
      <c r="P197" s="8" t="s">
        <v>82</v>
      </c>
      <c r="Q197" s="8" t="s">
        <v>539</v>
      </c>
      <c r="R197" s="9">
        <v>43191</v>
      </c>
      <c r="S197" s="9">
        <v>43191</v>
      </c>
      <c r="T197" s="8">
        <f t="shared" si="15"/>
        <v>5</v>
      </c>
      <c r="U197" s="8" t="str">
        <f t="shared" si="16"/>
        <v>May</v>
      </c>
    </row>
    <row r="198" spans="1:21" x14ac:dyDescent="0.55000000000000004">
      <c r="A198" t="str">
        <f t="shared" si="13"/>
        <v>MayHong Kong - Phillips WI</v>
      </c>
      <c r="B198" s="3" t="s">
        <v>20</v>
      </c>
      <c r="C198" s="26" t="s">
        <v>21</v>
      </c>
      <c r="D198" s="26" t="s">
        <v>540</v>
      </c>
      <c r="E198" s="27">
        <v>43227</v>
      </c>
      <c r="F198" s="26" t="s">
        <v>332</v>
      </c>
      <c r="G198" s="26" t="s">
        <v>85</v>
      </c>
      <c r="H198" s="26" t="s">
        <v>541</v>
      </c>
      <c r="I198" s="26" t="s">
        <v>26</v>
      </c>
      <c r="J198" s="26" t="s">
        <v>27</v>
      </c>
      <c r="K198" s="28">
        <v>6131.46</v>
      </c>
      <c r="L198" s="28">
        <v>0</v>
      </c>
      <c r="M198" s="28">
        <f t="shared" si="14"/>
        <v>6131.46</v>
      </c>
      <c r="N198" s="29" t="s">
        <v>542</v>
      </c>
      <c r="O198" s="8" t="s">
        <v>543</v>
      </c>
      <c r="P198" s="8" t="s">
        <v>65</v>
      </c>
      <c r="Q198" s="8" t="s">
        <v>544</v>
      </c>
      <c r="R198" s="9">
        <v>43191</v>
      </c>
      <c r="S198" s="9">
        <v>43191</v>
      </c>
      <c r="T198" s="8">
        <f t="shared" si="15"/>
        <v>5</v>
      </c>
      <c r="U198" s="8" t="str">
        <f t="shared" si="16"/>
        <v>May</v>
      </c>
    </row>
    <row r="199" spans="1:21" x14ac:dyDescent="0.55000000000000004">
      <c r="A199" t="str">
        <f t="shared" si="13"/>
        <v>MayHong Kong - Phillips WI</v>
      </c>
      <c r="B199" s="3" t="s">
        <v>20</v>
      </c>
      <c r="C199" s="26" t="s">
        <v>21</v>
      </c>
      <c r="D199" s="26" t="s">
        <v>545</v>
      </c>
      <c r="E199" s="27">
        <v>43227</v>
      </c>
      <c r="F199" s="26" t="s">
        <v>332</v>
      </c>
      <c r="G199" s="26" t="s">
        <v>85</v>
      </c>
      <c r="H199" s="26" t="s">
        <v>546</v>
      </c>
      <c r="I199" s="26" t="s">
        <v>26</v>
      </c>
      <c r="J199" s="26" t="s">
        <v>27</v>
      </c>
      <c r="K199" s="28">
        <v>20079.22</v>
      </c>
      <c r="L199" s="28">
        <v>0</v>
      </c>
      <c r="M199" s="28">
        <f t="shared" si="14"/>
        <v>20079.22</v>
      </c>
      <c r="N199" s="29" t="s">
        <v>547</v>
      </c>
      <c r="O199" s="8" t="s">
        <v>548</v>
      </c>
      <c r="P199" s="8" t="s">
        <v>65</v>
      </c>
      <c r="Q199" s="8" t="s">
        <v>549</v>
      </c>
      <c r="R199" s="9">
        <v>43191</v>
      </c>
      <c r="S199" s="9">
        <v>43191</v>
      </c>
      <c r="T199" s="8">
        <f t="shared" si="15"/>
        <v>5</v>
      </c>
      <c r="U199" s="8" t="str">
        <f t="shared" si="16"/>
        <v>May</v>
      </c>
    </row>
    <row r="200" spans="1:21" x14ac:dyDescent="0.55000000000000004">
      <c r="A200" t="str">
        <f t="shared" si="13"/>
        <v>MayChina - DCL KY</v>
      </c>
      <c r="B200" s="3" t="s">
        <v>20</v>
      </c>
      <c r="C200" s="26" t="s">
        <v>21</v>
      </c>
      <c r="D200" s="26" t="s">
        <v>550</v>
      </c>
      <c r="E200" s="27">
        <v>43227</v>
      </c>
      <c r="F200" s="26" t="s">
        <v>332</v>
      </c>
      <c r="G200" s="26" t="s">
        <v>36</v>
      </c>
      <c r="H200" s="26" t="s">
        <v>551</v>
      </c>
      <c r="I200" s="26" t="s">
        <v>26</v>
      </c>
      <c r="J200" s="26" t="s">
        <v>27</v>
      </c>
      <c r="K200" s="28">
        <v>65</v>
      </c>
      <c r="L200" s="28">
        <v>0</v>
      </c>
      <c r="M200" s="28">
        <f t="shared" si="14"/>
        <v>65</v>
      </c>
      <c r="N200" s="29" t="s">
        <v>552</v>
      </c>
      <c r="O200" s="8" t="s">
        <v>487</v>
      </c>
      <c r="P200" s="8" t="s">
        <v>82</v>
      </c>
      <c r="Q200" s="8"/>
      <c r="R200" s="9">
        <v>43191</v>
      </c>
      <c r="S200" s="9">
        <v>43191</v>
      </c>
      <c r="T200" s="8">
        <f t="shared" si="15"/>
        <v>5</v>
      </c>
      <c r="U200" s="8" t="str">
        <f t="shared" si="16"/>
        <v>May</v>
      </c>
    </row>
    <row r="201" spans="1:21" x14ac:dyDescent="0.55000000000000004">
      <c r="A201" t="str">
        <f t="shared" si="13"/>
        <v>MayChina - DECI NC</v>
      </c>
      <c r="B201" s="3" t="s">
        <v>20</v>
      </c>
      <c r="C201" s="26" t="s">
        <v>21</v>
      </c>
      <c r="D201" s="26" t="s">
        <v>553</v>
      </c>
      <c r="E201" s="27">
        <v>43228</v>
      </c>
      <c r="F201" s="26" t="s">
        <v>332</v>
      </c>
      <c r="G201" s="26" t="s">
        <v>47</v>
      </c>
      <c r="H201" s="26" t="s">
        <v>554</v>
      </c>
      <c r="I201" s="26" t="s">
        <v>26</v>
      </c>
      <c r="J201" s="26" t="s">
        <v>27</v>
      </c>
      <c r="K201" s="28">
        <v>43216.07</v>
      </c>
      <c r="L201" s="28">
        <v>0</v>
      </c>
      <c r="M201" s="28">
        <f t="shared" si="14"/>
        <v>43216.07</v>
      </c>
      <c r="N201" s="29" t="s">
        <v>555</v>
      </c>
      <c r="O201" s="8" t="s">
        <v>556</v>
      </c>
      <c r="P201" s="8" t="s">
        <v>97</v>
      </c>
      <c r="Q201" s="8"/>
      <c r="R201" s="9">
        <v>43191</v>
      </c>
      <c r="S201" s="9">
        <v>43191</v>
      </c>
      <c r="T201" s="8">
        <f t="shared" si="15"/>
        <v>5</v>
      </c>
      <c r="U201" s="8" t="str">
        <f t="shared" si="16"/>
        <v>May</v>
      </c>
    </row>
    <row r="202" spans="1:21" x14ac:dyDescent="0.55000000000000004">
      <c r="A202" t="str">
        <f t="shared" si="13"/>
        <v>MayHong Kong - DECI NC</v>
      </c>
      <c r="B202" s="3" t="s">
        <v>20</v>
      </c>
      <c r="C202" s="26" t="s">
        <v>21</v>
      </c>
      <c r="D202" s="26" t="s">
        <v>557</v>
      </c>
      <c r="E202" s="27">
        <v>43228</v>
      </c>
      <c r="F202" s="26" t="s">
        <v>332</v>
      </c>
      <c r="G202" s="26" t="s">
        <v>47</v>
      </c>
      <c r="H202" s="26" t="s">
        <v>558</v>
      </c>
      <c r="I202" s="26" t="s">
        <v>26</v>
      </c>
      <c r="J202" s="26" t="s">
        <v>27</v>
      </c>
      <c r="K202" s="28">
        <v>12744.23</v>
      </c>
      <c r="L202" s="28">
        <v>0</v>
      </c>
      <c r="M202" s="28">
        <f t="shared" si="14"/>
        <v>12744.23</v>
      </c>
      <c r="N202" s="29" t="s">
        <v>559</v>
      </c>
      <c r="O202" s="8" t="s">
        <v>560</v>
      </c>
      <c r="P202" s="8" t="s">
        <v>92</v>
      </c>
      <c r="Q202" s="8"/>
      <c r="R202" s="9">
        <v>43191</v>
      </c>
      <c r="S202" s="9">
        <v>43191</v>
      </c>
      <c r="T202" s="8">
        <f t="shared" si="15"/>
        <v>5</v>
      </c>
      <c r="U202" s="8" t="str">
        <f t="shared" si="16"/>
        <v>May</v>
      </c>
    </row>
    <row r="203" spans="1:21" x14ac:dyDescent="0.55000000000000004">
      <c r="A203" t="str">
        <f t="shared" si="13"/>
        <v>MayHong Kong - DECI NC</v>
      </c>
      <c r="B203" s="3" t="s">
        <v>20</v>
      </c>
      <c r="C203" s="26" t="s">
        <v>21</v>
      </c>
      <c r="D203" s="26" t="s">
        <v>557</v>
      </c>
      <c r="E203" s="27">
        <v>43228</v>
      </c>
      <c r="F203" s="26" t="s">
        <v>332</v>
      </c>
      <c r="G203" s="26" t="s">
        <v>47</v>
      </c>
      <c r="H203" s="26" t="s">
        <v>558</v>
      </c>
      <c r="I203" s="26" t="s">
        <v>26</v>
      </c>
      <c r="J203" s="26" t="s">
        <v>27</v>
      </c>
      <c r="K203" s="28">
        <v>505.72</v>
      </c>
      <c r="L203" s="28">
        <v>0</v>
      </c>
      <c r="M203" s="28">
        <f t="shared" si="14"/>
        <v>505.72</v>
      </c>
      <c r="N203" s="29" t="s">
        <v>559</v>
      </c>
      <c r="O203" s="8" t="s">
        <v>560</v>
      </c>
      <c r="P203" s="8" t="s">
        <v>92</v>
      </c>
      <c r="Q203" s="8"/>
      <c r="R203" s="9">
        <v>43191</v>
      </c>
      <c r="S203" s="9">
        <v>43191</v>
      </c>
      <c r="T203" s="8">
        <f t="shared" si="15"/>
        <v>5</v>
      </c>
      <c r="U203" s="8" t="str">
        <f t="shared" si="16"/>
        <v>May</v>
      </c>
    </row>
    <row r="204" spans="1:21" x14ac:dyDescent="0.55000000000000004">
      <c r="A204" t="str">
        <f t="shared" si="13"/>
        <v>MayHong Kong - DECI NC</v>
      </c>
      <c r="B204" s="3" t="s">
        <v>20</v>
      </c>
      <c r="C204" s="26" t="s">
        <v>21</v>
      </c>
      <c r="D204" s="26" t="s">
        <v>561</v>
      </c>
      <c r="E204" s="27">
        <v>43229</v>
      </c>
      <c r="F204" s="26" t="s">
        <v>332</v>
      </c>
      <c r="G204" s="26" t="s">
        <v>47</v>
      </c>
      <c r="H204" s="26" t="s">
        <v>562</v>
      </c>
      <c r="I204" s="26" t="s">
        <v>26</v>
      </c>
      <c r="J204" s="26" t="s">
        <v>27</v>
      </c>
      <c r="K204" s="28">
        <v>9102.51</v>
      </c>
      <c r="L204" s="28">
        <v>0</v>
      </c>
      <c r="M204" s="28">
        <f t="shared" si="14"/>
        <v>9102.51</v>
      </c>
      <c r="N204" s="29" t="s">
        <v>563</v>
      </c>
      <c r="O204" s="8" t="s">
        <v>564</v>
      </c>
      <c r="P204" s="8" t="s">
        <v>92</v>
      </c>
      <c r="Q204" s="8" t="s">
        <v>565</v>
      </c>
      <c r="R204" s="9">
        <v>43191</v>
      </c>
      <c r="S204" s="9">
        <v>43191</v>
      </c>
      <c r="T204" s="8">
        <f t="shared" si="15"/>
        <v>5</v>
      </c>
      <c r="U204" s="8" t="str">
        <f t="shared" si="16"/>
        <v>May</v>
      </c>
    </row>
    <row r="205" spans="1:21" x14ac:dyDescent="0.55000000000000004">
      <c r="A205" t="str">
        <f t="shared" si="13"/>
        <v>MayHong Kong - DECI NC</v>
      </c>
      <c r="B205" s="3" t="s">
        <v>20</v>
      </c>
      <c r="C205" s="26" t="s">
        <v>21</v>
      </c>
      <c r="D205" s="26" t="s">
        <v>561</v>
      </c>
      <c r="E205" s="27">
        <v>43229</v>
      </c>
      <c r="F205" s="26" t="s">
        <v>332</v>
      </c>
      <c r="G205" s="26" t="s">
        <v>47</v>
      </c>
      <c r="H205" s="26" t="s">
        <v>562</v>
      </c>
      <c r="I205" s="26" t="s">
        <v>26</v>
      </c>
      <c r="J205" s="26" t="s">
        <v>27</v>
      </c>
      <c r="K205" s="28">
        <v>1456.4</v>
      </c>
      <c r="L205" s="28">
        <v>0</v>
      </c>
      <c r="M205" s="28">
        <f t="shared" si="14"/>
        <v>1456.4</v>
      </c>
      <c r="N205" s="29" t="s">
        <v>563</v>
      </c>
      <c r="O205" s="8" t="s">
        <v>564</v>
      </c>
      <c r="P205" s="8" t="s">
        <v>92</v>
      </c>
      <c r="Q205" s="8" t="s">
        <v>565</v>
      </c>
      <c r="R205" s="9">
        <v>43191</v>
      </c>
      <c r="S205" s="9">
        <v>43191</v>
      </c>
      <c r="T205" s="8">
        <f t="shared" si="15"/>
        <v>5</v>
      </c>
      <c r="U205" s="8" t="str">
        <f t="shared" si="16"/>
        <v>May</v>
      </c>
    </row>
    <row r="206" spans="1:21" x14ac:dyDescent="0.55000000000000004">
      <c r="A206" t="str">
        <f t="shared" si="13"/>
        <v>MayChina - DCL KY</v>
      </c>
      <c r="B206" s="3" t="s">
        <v>20</v>
      </c>
      <c r="C206" s="26" t="s">
        <v>21</v>
      </c>
      <c r="D206" s="26" t="s">
        <v>566</v>
      </c>
      <c r="E206" s="27">
        <v>43230</v>
      </c>
      <c r="F206" s="26" t="s">
        <v>332</v>
      </c>
      <c r="G206" s="26" t="s">
        <v>36</v>
      </c>
      <c r="H206" s="26" t="s">
        <v>567</v>
      </c>
      <c r="I206" s="26" t="s">
        <v>26</v>
      </c>
      <c r="J206" s="26" t="s">
        <v>27</v>
      </c>
      <c r="K206" s="28">
        <v>11965.12</v>
      </c>
      <c r="L206" s="28">
        <v>0</v>
      </c>
      <c r="M206" s="28">
        <f t="shared" si="14"/>
        <v>11965.12</v>
      </c>
      <c r="N206" s="29" t="s">
        <v>568</v>
      </c>
      <c r="O206" s="8" t="s">
        <v>569</v>
      </c>
      <c r="P206" s="8" t="s">
        <v>82</v>
      </c>
      <c r="Q206" s="8" t="s">
        <v>570</v>
      </c>
      <c r="R206" s="9">
        <v>43226</v>
      </c>
      <c r="S206" s="9">
        <v>43226</v>
      </c>
      <c r="T206" s="8">
        <f t="shared" si="15"/>
        <v>5</v>
      </c>
      <c r="U206" s="8" t="str">
        <f t="shared" si="16"/>
        <v>May</v>
      </c>
    </row>
    <row r="207" spans="1:21" x14ac:dyDescent="0.55000000000000004">
      <c r="A207" t="str">
        <f t="shared" si="13"/>
        <v>MayHong Kong - Phillips WI</v>
      </c>
      <c r="B207" s="3" t="s">
        <v>20</v>
      </c>
      <c r="C207" s="26" t="s">
        <v>21</v>
      </c>
      <c r="D207" s="26" t="s">
        <v>571</v>
      </c>
      <c r="E207" s="27">
        <v>43230</v>
      </c>
      <c r="F207" s="26" t="s">
        <v>332</v>
      </c>
      <c r="G207" s="26" t="s">
        <v>85</v>
      </c>
      <c r="H207" s="26" t="s">
        <v>572</v>
      </c>
      <c r="I207" s="26" t="s">
        <v>26</v>
      </c>
      <c r="J207" s="26" t="s">
        <v>27</v>
      </c>
      <c r="K207" s="28">
        <v>13489.41</v>
      </c>
      <c r="L207" s="28">
        <v>0</v>
      </c>
      <c r="M207" s="28">
        <f t="shared" si="14"/>
        <v>13489.41</v>
      </c>
      <c r="N207" s="29" t="s">
        <v>573</v>
      </c>
      <c r="O207" s="8" t="s">
        <v>574</v>
      </c>
      <c r="P207" s="8" t="s">
        <v>65</v>
      </c>
      <c r="Q207" s="8" t="s">
        <v>575</v>
      </c>
      <c r="R207" s="9">
        <v>43221</v>
      </c>
      <c r="S207" s="9">
        <v>43221</v>
      </c>
      <c r="T207" s="8">
        <f t="shared" si="15"/>
        <v>5</v>
      </c>
      <c r="U207" s="8" t="str">
        <f t="shared" si="16"/>
        <v>May</v>
      </c>
    </row>
    <row r="208" spans="1:21" x14ac:dyDescent="0.55000000000000004">
      <c r="A208" t="str">
        <f t="shared" si="13"/>
        <v>MayHong Kong - Phillips WI</v>
      </c>
      <c r="B208" s="3" t="s">
        <v>20</v>
      </c>
      <c r="C208" s="26" t="s">
        <v>21</v>
      </c>
      <c r="D208" s="26" t="s">
        <v>576</v>
      </c>
      <c r="E208" s="27">
        <v>43230</v>
      </c>
      <c r="F208" s="26" t="s">
        <v>332</v>
      </c>
      <c r="G208" s="26" t="s">
        <v>85</v>
      </c>
      <c r="H208" s="26" t="s">
        <v>577</v>
      </c>
      <c r="I208" s="26" t="s">
        <v>26</v>
      </c>
      <c r="J208" s="26" t="s">
        <v>27</v>
      </c>
      <c r="K208" s="28">
        <v>10336.94</v>
      </c>
      <c r="L208" s="28">
        <v>0</v>
      </c>
      <c r="M208" s="28">
        <f t="shared" si="14"/>
        <v>10336.94</v>
      </c>
      <c r="N208" s="29" t="s">
        <v>578</v>
      </c>
      <c r="O208" s="8" t="s">
        <v>574</v>
      </c>
      <c r="P208" s="8" t="s">
        <v>65</v>
      </c>
      <c r="Q208" s="8" t="s">
        <v>579</v>
      </c>
      <c r="R208" s="9">
        <v>43221</v>
      </c>
      <c r="S208" s="9">
        <v>43221</v>
      </c>
      <c r="T208" s="8">
        <f t="shared" si="15"/>
        <v>5</v>
      </c>
      <c r="U208" s="8" t="str">
        <f t="shared" si="16"/>
        <v>May</v>
      </c>
    </row>
    <row r="209" spans="1:21" x14ac:dyDescent="0.55000000000000004">
      <c r="A209" t="str">
        <f t="shared" si="13"/>
        <v>MayHong Kong - Phillips WI</v>
      </c>
      <c r="B209" s="3" t="s">
        <v>20</v>
      </c>
      <c r="C209" s="26" t="s">
        <v>21</v>
      </c>
      <c r="D209" s="26" t="s">
        <v>576</v>
      </c>
      <c r="E209" s="27">
        <v>43230</v>
      </c>
      <c r="F209" s="26" t="s">
        <v>332</v>
      </c>
      <c r="G209" s="26" t="s">
        <v>85</v>
      </c>
      <c r="H209" s="26" t="s">
        <v>577</v>
      </c>
      <c r="I209" s="26" t="s">
        <v>26</v>
      </c>
      <c r="J209" s="26" t="s">
        <v>27</v>
      </c>
      <c r="K209" s="28">
        <v>2558.98</v>
      </c>
      <c r="L209" s="28">
        <v>0</v>
      </c>
      <c r="M209" s="28">
        <f t="shared" si="14"/>
        <v>2558.98</v>
      </c>
      <c r="N209" s="29" t="s">
        <v>578</v>
      </c>
      <c r="O209" s="8" t="s">
        <v>574</v>
      </c>
      <c r="P209" s="8" t="s">
        <v>65</v>
      </c>
      <c r="Q209" s="8" t="s">
        <v>579</v>
      </c>
      <c r="R209" s="9">
        <v>43221</v>
      </c>
      <c r="S209" s="9">
        <v>43221</v>
      </c>
      <c r="T209" s="8">
        <f t="shared" si="15"/>
        <v>5</v>
      </c>
      <c r="U209" s="8" t="str">
        <f t="shared" si="16"/>
        <v>May</v>
      </c>
    </row>
    <row r="210" spans="1:21" x14ac:dyDescent="0.55000000000000004">
      <c r="A210" t="str">
        <f t="shared" si="13"/>
        <v>MayChina - DCL KY</v>
      </c>
      <c r="B210" s="3" t="s">
        <v>20</v>
      </c>
      <c r="C210" s="26" t="s">
        <v>21</v>
      </c>
      <c r="D210" s="26" t="s">
        <v>580</v>
      </c>
      <c r="E210" s="27">
        <v>43230</v>
      </c>
      <c r="F210" s="26" t="s">
        <v>332</v>
      </c>
      <c r="G210" s="26" t="s">
        <v>36</v>
      </c>
      <c r="H210" s="26" t="s">
        <v>581</v>
      </c>
      <c r="I210" s="26" t="s">
        <v>26</v>
      </c>
      <c r="J210" s="26" t="s">
        <v>27</v>
      </c>
      <c r="K210" s="28">
        <v>2107.84</v>
      </c>
      <c r="L210" s="28">
        <v>0</v>
      </c>
      <c r="M210" s="28">
        <f t="shared" si="14"/>
        <v>2107.84</v>
      </c>
      <c r="N210" s="29" t="s">
        <v>582</v>
      </c>
      <c r="O210" s="8" t="s">
        <v>583</v>
      </c>
      <c r="P210" s="8" t="s">
        <v>82</v>
      </c>
      <c r="Q210" s="8" t="s">
        <v>584</v>
      </c>
      <c r="R210" s="9">
        <v>43221</v>
      </c>
      <c r="S210" s="9">
        <v>43221</v>
      </c>
      <c r="T210" s="8">
        <f t="shared" si="15"/>
        <v>5</v>
      </c>
      <c r="U210" s="8" t="str">
        <f t="shared" si="16"/>
        <v>May</v>
      </c>
    </row>
    <row r="211" spans="1:21" x14ac:dyDescent="0.55000000000000004">
      <c r="A211" t="str">
        <f t="shared" si="13"/>
        <v>MayChina - DCL KY</v>
      </c>
      <c r="B211" s="3" t="s">
        <v>20</v>
      </c>
      <c r="C211" s="26" t="s">
        <v>21</v>
      </c>
      <c r="D211" s="26" t="s">
        <v>580</v>
      </c>
      <c r="E211" s="27">
        <v>43230</v>
      </c>
      <c r="F211" s="26" t="s">
        <v>332</v>
      </c>
      <c r="G211" s="26" t="s">
        <v>36</v>
      </c>
      <c r="H211" s="26" t="s">
        <v>581</v>
      </c>
      <c r="I211" s="26" t="s">
        <v>26</v>
      </c>
      <c r="J211" s="26" t="s">
        <v>27</v>
      </c>
      <c r="K211" s="28">
        <v>27016.42</v>
      </c>
      <c r="L211" s="28">
        <v>0</v>
      </c>
      <c r="M211" s="28">
        <f t="shared" si="14"/>
        <v>27016.42</v>
      </c>
      <c r="N211" s="29" t="s">
        <v>582</v>
      </c>
      <c r="O211" s="8" t="s">
        <v>583</v>
      </c>
      <c r="P211" s="8" t="s">
        <v>82</v>
      </c>
      <c r="Q211" s="8" t="s">
        <v>584</v>
      </c>
      <c r="R211" s="9">
        <v>43221</v>
      </c>
      <c r="S211" s="9">
        <v>43221</v>
      </c>
      <c r="T211" s="8">
        <f t="shared" si="15"/>
        <v>5</v>
      </c>
      <c r="U211" s="8" t="str">
        <f t="shared" si="16"/>
        <v>May</v>
      </c>
    </row>
    <row r="212" spans="1:21" x14ac:dyDescent="0.55000000000000004">
      <c r="A212" t="str">
        <f t="shared" si="13"/>
        <v>MayHong Kong - DCL KY</v>
      </c>
      <c r="B212" s="3" t="s">
        <v>20</v>
      </c>
      <c r="C212" s="26" t="s">
        <v>21</v>
      </c>
      <c r="D212" s="26" t="s">
        <v>585</v>
      </c>
      <c r="E212" s="27">
        <v>43231</v>
      </c>
      <c r="F212" s="26" t="s">
        <v>332</v>
      </c>
      <c r="G212" s="26" t="s">
        <v>62</v>
      </c>
      <c r="H212" s="26" t="s">
        <v>586</v>
      </c>
      <c r="I212" s="26" t="s">
        <v>26</v>
      </c>
      <c r="J212" s="26" t="s">
        <v>27</v>
      </c>
      <c r="K212" s="28">
        <v>907.83</v>
      </c>
      <c r="L212" s="28">
        <v>0</v>
      </c>
      <c r="M212" s="28">
        <f t="shared" si="14"/>
        <v>907.83</v>
      </c>
      <c r="N212" s="29" t="s">
        <v>587</v>
      </c>
      <c r="O212" s="8" t="s">
        <v>588</v>
      </c>
      <c r="P212" s="8" t="s">
        <v>39</v>
      </c>
      <c r="Q212" s="8" t="s">
        <v>589</v>
      </c>
      <c r="R212" s="9">
        <v>43221</v>
      </c>
      <c r="S212" s="9">
        <v>43221</v>
      </c>
      <c r="T212" s="8">
        <f t="shared" si="15"/>
        <v>5</v>
      </c>
      <c r="U212" s="8" t="str">
        <f t="shared" si="16"/>
        <v>May</v>
      </c>
    </row>
    <row r="213" spans="1:21" x14ac:dyDescent="0.55000000000000004">
      <c r="A213" t="str">
        <f t="shared" si="13"/>
        <v>MayHong Kong - DCL KY</v>
      </c>
      <c r="B213" s="3" t="s">
        <v>20</v>
      </c>
      <c r="C213" s="26" t="s">
        <v>21</v>
      </c>
      <c r="D213" s="26" t="s">
        <v>585</v>
      </c>
      <c r="E213" s="27">
        <v>43231</v>
      </c>
      <c r="F213" s="26" t="s">
        <v>332</v>
      </c>
      <c r="G213" s="26" t="s">
        <v>62</v>
      </c>
      <c r="H213" s="26" t="s">
        <v>586</v>
      </c>
      <c r="I213" s="26" t="s">
        <v>26</v>
      </c>
      <c r="J213" s="26" t="s">
        <v>27</v>
      </c>
      <c r="K213" s="28">
        <v>5212.66</v>
      </c>
      <c r="L213" s="28">
        <v>0</v>
      </c>
      <c r="M213" s="28">
        <f t="shared" si="14"/>
        <v>5212.66</v>
      </c>
      <c r="N213" s="29" t="s">
        <v>587</v>
      </c>
      <c r="O213" s="8" t="s">
        <v>588</v>
      </c>
      <c r="P213" s="8" t="s">
        <v>39</v>
      </c>
      <c r="Q213" s="8" t="s">
        <v>589</v>
      </c>
      <c r="R213" s="9">
        <v>43221</v>
      </c>
      <c r="S213" s="9">
        <v>43221</v>
      </c>
      <c r="T213" s="8">
        <f t="shared" si="15"/>
        <v>5</v>
      </c>
      <c r="U213" s="8" t="str">
        <f t="shared" si="16"/>
        <v>May</v>
      </c>
    </row>
    <row r="214" spans="1:21" x14ac:dyDescent="0.55000000000000004">
      <c r="A214" t="str">
        <f t="shared" si="13"/>
        <v>MayChina - DECI NC</v>
      </c>
      <c r="B214" s="3" t="s">
        <v>20</v>
      </c>
      <c r="C214" s="26" t="s">
        <v>21</v>
      </c>
      <c r="D214" s="26" t="s">
        <v>590</v>
      </c>
      <c r="E214" s="27">
        <v>43231</v>
      </c>
      <c r="F214" s="26" t="s">
        <v>332</v>
      </c>
      <c r="G214" s="26" t="s">
        <v>47</v>
      </c>
      <c r="H214" s="26" t="s">
        <v>591</v>
      </c>
      <c r="I214" s="26" t="s">
        <v>26</v>
      </c>
      <c r="J214" s="26" t="s">
        <v>27</v>
      </c>
      <c r="K214" s="28">
        <v>4075.43</v>
      </c>
      <c r="L214" s="28">
        <v>0</v>
      </c>
      <c r="M214" s="28">
        <f t="shared" si="14"/>
        <v>4075.43</v>
      </c>
      <c r="N214" s="29" t="s">
        <v>592</v>
      </c>
      <c r="O214" s="8" t="s">
        <v>593</v>
      </c>
      <c r="P214" s="8" t="s">
        <v>97</v>
      </c>
      <c r="Q214" s="8" t="s">
        <v>594</v>
      </c>
      <c r="R214" s="9">
        <v>43221</v>
      </c>
      <c r="S214" s="9">
        <v>43221</v>
      </c>
      <c r="T214" s="8">
        <f t="shared" si="15"/>
        <v>5</v>
      </c>
      <c r="U214" s="8" t="str">
        <f t="shared" si="16"/>
        <v>May</v>
      </c>
    </row>
    <row r="215" spans="1:21" x14ac:dyDescent="0.55000000000000004">
      <c r="A215" t="str">
        <f t="shared" si="13"/>
        <v>MayChina - DECI NC</v>
      </c>
      <c r="B215" s="3" t="s">
        <v>20</v>
      </c>
      <c r="C215" s="26" t="s">
        <v>21</v>
      </c>
      <c r="D215" s="26" t="s">
        <v>590</v>
      </c>
      <c r="E215" s="27">
        <v>43231</v>
      </c>
      <c r="F215" s="26" t="s">
        <v>332</v>
      </c>
      <c r="G215" s="26" t="s">
        <v>47</v>
      </c>
      <c r="H215" s="26" t="s">
        <v>591</v>
      </c>
      <c r="I215" s="26" t="s">
        <v>26</v>
      </c>
      <c r="J215" s="26" t="s">
        <v>27</v>
      </c>
      <c r="K215" s="28">
        <v>1722.46</v>
      </c>
      <c r="L215" s="28">
        <v>0</v>
      </c>
      <c r="M215" s="28">
        <f t="shared" si="14"/>
        <v>1722.46</v>
      </c>
      <c r="N215" s="29" t="s">
        <v>592</v>
      </c>
      <c r="O215" s="8" t="s">
        <v>593</v>
      </c>
      <c r="P215" s="8" t="s">
        <v>97</v>
      </c>
      <c r="Q215" s="8" t="s">
        <v>594</v>
      </c>
      <c r="R215" s="9">
        <v>43221</v>
      </c>
      <c r="S215" s="9">
        <v>43221</v>
      </c>
      <c r="T215" s="8">
        <f t="shared" si="15"/>
        <v>5</v>
      </c>
      <c r="U215" s="8" t="str">
        <f t="shared" si="16"/>
        <v>May</v>
      </c>
    </row>
    <row r="216" spans="1:21" x14ac:dyDescent="0.55000000000000004">
      <c r="A216" t="str">
        <f t="shared" si="13"/>
        <v>MayChina - DCL KY</v>
      </c>
      <c r="B216" s="3" t="s">
        <v>20</v>
      </c>
      <c r="C216" s="26" t="s">
        <v>21</v>
      </c>
      <c r="D216" s="26" t="s">
        <v>595</v>
      </c>
      <c r="E216" s="27">
        <v>43231</v>
      </c>
      <c r="F216" s="26" t="s">
        <v>332</v>
      </c>
      <c r="G216" s="26" t="s">
        <v>36</v>
      </c>
      <c r="H216" s="26" t="s">
        <v>596</v>
      </c>
      <c r="I216" s="26" t="s">
        <v>26</v>
      </c>
      <c r="J216" s="26" t="s">
        <v>27</v>
      </c>
      <c r="K216" s="28">
        <v>292.5</v>
      </c>
      <c r="L216" s="28">
        <v>0</v>
      </c>
      <c r="M216" s="28">
        <f t="shared" si="14"/>
        <v>292.5</v>
      </c>
      <c r="N216" s="29" t="s">
        <v>597</v>
      </c>
      <c r="O216" s="8" t="s">
        <v>480</v>
      </c>
      <c r="P216" s="8" t="s">
        <v>82</v>
      </c>
      <c r="Q216" s="8" t="s">
        <v>598</v>
      </c>
      <c r="R216" s="9">
        <v>43191</v>
      </c>
      <c r="S216" s="9">
        <v>43191</v>
      </c>
      <c r="T216" s="8">
        <f t="shared" si="15"/>
        <v>5</v>
      </c>
      <c r="U216" s="8" t="str">
        <f t="shared" si="16"/>
        <v>May</v>
      </c>
    </row>
    <row r="217" spans="1:21" x14ac:dyDescent="0.55000000000000004">
      <c r="A217" t="str">
        <f t="shared" si="13"/>
        <v>MayChina - DECI NC</v>
      </c>
      <c r="B217" s="3" t="s">
        <v>20</v>
      </c>
      <c r="C217" s="26" t="s">
        <v>21</v>
      </c>
      <c r="D217" s="26" t="s">
        <v>599</v>
      </c>
      <c r="E217" s="27">
        <v>43231</v>
      </c>
      <c r="F217" s="26" t="s">
        <v>332</v>
      </c>
      <c r="G217" s="26" t="s">
        <v>47</v>
      </c>
      <c r="H217" s="26" t="s">
        <v>600</v>
      </c>
      <c r="I217" s="26" t="s">
        <v>26</v>
      </c>
      <c r="J217" s="26" t="s">
        <v>27</v>
      </c>
      <c r="K217" s="28">
        <v>41977.52</v>
      </c>
      <c r="L217" s="28">
        <v>0</v>
      </c>
      <c r="M217" s="28">
        <f t="shared" si="14"/>
        <v>41977.52</v>
      </c>
      <c r="N217" s="29" t="s">
        <v>601</v>
      </c>
      <c r="O217" s="8" t="s">
        <v>593</v>
      </c>
      <c r="P217" s="8" t="s">
        <v>97</v>
      </c>
      <c r="Q217" s="8" t="s">
        <v>602</v>
      </c>
      <c r="R217" s="9">
        <v>43221</v>
      </c>
      <c r="S217" s="9">
        <v>43221</v>
      </c>
      <c r="T217" s="8">
        <f t="shared" si="15"/>
        <v>5</v>
      </c>
      <c r="U217" s="8" t="str">
        <f t="shared" si="16"/>
        <v>May</v>
      </c>
    </row>
    <row r="218" spans="1:21" x14ac:dyDescent="0.55000000000000004">
      <c r="A218" t="str">
        <f t="shared" si="13"/>
        <v>MayChina - DECI NC</v>
      </c>
      <c r="B218" s="3" t="s">
        <v>20</v>
      </c>
      <c r="C218" s="26" t="s">
        <v>21</v>
      </c>
      <c r="D218" s="26" t="s">
        <v>599</v>
      </c>
      <c r="E218" s="27">
        <v>43231</v>
      </c>
      <c r="F218" s="26" t="s">
        <v>332</v>
      </c>
      <c r="G218" s="26" t="s">
        <v>47</v>
      </c>
      <c r="H218" s="26" t="s">
        <v>600</v>
      </c>
      <c r="I218" s="26" t="s">
        <v>26</v>
      </c>
      <c r="J218" s="26" t="s">
        <v>27</v>
      </c>
      <c r="K218" s="28">
        <v>1354.11</v>
      </c>
      <c r="L218" s="28">
        <v>0</v>
      </c>
      <c r="M218" s="28">
        <f t="shared" si="14"/>
        <v>1354.11</v>
      </c>
      <c r="N218" s="29" t="s">
        <v>601</v>
      </c>
      <c r="O218" s="8" t="s">
        <v>593</v>
      </c>
      <c r="P218" s="8" t="s">
        <v>97</v>
      </c>
      <c r="Q218" s="8" t="s">
        <v>602</v>
      </c>
      <c r="R218" s="9">
        <v>43221</v>
      </c>
      <c r="S218" s="9">
        <v>43221</v>
      </c>
      <c r="T218" s="8">
        <f t="shared" si="15"/>
        <v>5</v>
      </c>
      <c r="U218" s="8" t="str">
        <f t="shared" si="16"/>
        <v>May</v>
      </c>
    </row>
    <row r="219" spans="1:21" x14ac:dyDescent="0.55000000000000004">
      <c r="A219" t="str">
        <f t="shared" si="13"/>
        <v>MayHong Kong - DECI NC</v>
      </c>
      <c r="B219" s="3" t="s">
        <v>20</v>
      </c>
      <c r="C219" s="26" t="s">
        <v>21</v>
      </c>
      <c r="D219" s="26" t="s">
        <v>603</v>
      </c>
      <c r="E219" s="27">
        <v>43231</v>
      </c>
      <c r="F219" s="26" t="s">
        <v>332</v>
      </c>
      <c r="G219" s="26" t="s">
        <v>47</v>
      </c>
      <c r="H219" s="26" t="s">
        <v>604</v>
      </c>
      <c r="I219" s="26" t="s">
        <v>26</v>
      </c>
      <c r="J219" s="26" t="s">
        <v>27</v>
      </c>
      <c r="K219" s="28">
        <v>62.36</v>
      </c>
      <c r="L219" s="28">
        <v>0</v>
      </c>
      <c r="M219" s="28">
        <f t="shared" si="14"/>
        <v>62.36</v>
      </c>
      <c r="N219" s="29" t="s">
        <v>605</v>
      </c>
      <c r="O219" s="8" t="s">
        <v>606</v>
      </c>
      <c r="P219" s="8" t="s">
        <v>92</v>
      </c>
      <c r="Q219" s="8"/>
      <c r="R219" s="9">
        <v>43221</v>
      </c>
      <c r="S219" s="9">
        <v>43221</v>
      </c>
      <c r="T219" s="8">
        <f t="shared" si="15"/>
        <v>5</v>
      </c>
      <c r="U219" s="8" t="str">
        <f t="shared" si="16"/>
        <v>May</v>
      </c>
    </row>
    <row r="220" spans="1:21" x14ac:dyDescent="0.55000000000000004">
      <c r="A220" t="str">
        <f t="shared" si="13"/>
        <v>MayHong Kong - DECI NC</v>
      </c>
      <c r="B220" s="3" t="s">
        <v>20</v>
      </c>
      <c r="C220" s="26" t="s">
        <v>21</v>
      </c>
      <c r="D220" s="26" t="s">
        <v>603</v>
      </c>
      <c r="E220" s="27">
        <v>43231</v>
      </c>
      <c r="F220" s="26" t="s">
        <v>332</v>
      </c>
      <c r="G220" s="26" t="s">
        <v>47</v>
      </c>
      <c r="H220" s="26" t="s">
        <v>604</v>
      </c>
      <c r="I220" s="26" t="s">
        <v>26</v>
      </c>
      <c r="J220" s="26" t="s">
        <v>27</v>
      </c>
      <c r="K220" s="28">
        <v>8527.9500000000007</v>
      </c>
      <c r="L220" s="28">
        <v>0</v>
      </c>
      <c r="M220" s="28">
        <f t="shared" si="14"/>
        <v>8527.9500000000007</v>
      </c>
      <c r="N220" s="29" t="s">
        <v>605</v>
      </c>
      <c r="O220" s="8" t="s">
        <v>606</v>
      </c>
      <c r="P220" s="8" t="s">
        <v>92</v>
      </c>
      <c r="Q220" s="8"/>
      <c r="R220" s="9">
        <v>43221</v>
      </c>
      <c r="S220" s="9">
        <v>43221</v>
      </c>
      <c r="T220" s="8">
        <f t="shared" si="15"/>
        <v>5</v>
      </c>
      <c r="U220" s="8" t="str">
        <f t="shared" si="16"/>
        <v>May</v>
      </c>
    </row>
    <row r="221" spans="1:21" x14ac:dyDescent="0.55000000000000004">
      <c r="A221" t="str">
        <f t="shared" si="13"/>
        <v>MaySan Francisco - Canada</v>
      </c>
      <c r="B221" s="3" t="s">
        <v>20</v>
      </c>
      <c r="C221" s="26" t="s">
        <v>21</v>
      </c>
      <c r="D221" s="26" t="s">
        <v>607</v>
      </c>
      <c r="E221" s="27">
        <v>43237</v>
      </c>
      <c r="F221" s="26" t="s">
        <v>332</v>
      </c>
      <c r="G221" s="26" t="s">
        <v>47</v>
      </c>
      <c r="H221" s="26" t="s">
        <v>608</v>
      </c>
      <c r="I221" s="26" t="s">
        <v>26</v>
      </c>
      <c r="J221" s="26" t="s">
        <v>27</v>
      </c>
      <c r="K221" s="28">
        <v>181.25</v>
      </c>
      <c r="L221" s="28">
        <v>0</v>
      </c>
      <c r="M221" s="28">
        <f t="shared" si="14"/>
        <v>181.25</v>
      </c>
      <c r="N221" s="29" t="s">
        <v>609</v>
      </c>
      <c r="O221" s="8" t="s">
        <v>610</v>
      </c>
      <c r="P221" s="8" t="s">
        <v>435</v>
      </c>
      <c r="Q221" s="8" t="s">
        <v>611</v>
      </c>
      <c r="R221" s="9">
        <v>43191</v>
      </c>
      <c r="S221" s="9">
        <v>43191</v>
      </c>
      <c r="T221" s="8">
        <f t="shared" si="15"/>
        <v>5</v>
      </c>
      <c r="U221" s="8" t="str">
        <f t="shared" si="16"/>
        <v>May</v>
      </c>
    </row>
    <row r="222" spans="1:21" x14ac:dyDescent="0.55000000000000004">
      <c r="A222" t="str">
        <f t="shared" si="13"/>
        <v>MayHong Kong - Phillips WI</v>
      </c>
      <c r="B222" s="3" t="s">
        <v>20</v>
      </c>
      <c r="C222" s="26" t="s">
        <v>21</v>
      </c>
      <c r="D222" s="26" t="s">
        <v>612</v>
      </c>
      <c r="E222" s="27">
        <v>43238</v>
      </c>
      <c r="F222" s="26" t="s">
        <v>332</v>
      </c>
      <c r="G222" s="26" t="s">
        <v>85</v>
      </c>
      <c r="H222" s="26" t="s">
        <v>613</v>
      </c>
      <c r="I222" s="26" t="s">
        <v>26</v>
      </c>
      <c r="J222" s="26" t="s">
        <v>27</v>
      </c>
      <c r="K222" s="28">
        <v>7128.67</v>
      </c>
      <c r="L222" s="28">
        <v>0</v>
      </c>
      <c r="M222" s="28">
        <f t="shared" si="14"/>
        <v>7128.67</v>
      </c>
      <c r="N222" s="29" t="s">
        <v>614</v>
      </c>
      <c r="O222" s="8" t="s">
        <v>615</v>
      </c>
      <c r="P222" s="8" t="s">
        <v>65</v>
      </c>
      <c r="Q222" s="8"/>
      <c r="R222" s="9">
        <v>43221</v>
      </c>
      <c r="S222" s="9">
        <v>43221</v>
      </c>
      <c r="T222" s="8">
        <f t="shared" si="15"/>
        <v>5</v>
      </c>
      <c r="U222" s="8" t="str">
        <f t="shared" si="16"/>
        <v>May</v>
      </c>
    </row>
    <row r="223" spans="1:21" x14ac:dyDescent="0.55000000000000004">
      <c r="A223" t="str">
        <f t="shared" si="13"/>
        <v>MayHong Kong - Flex IL</v>
      </c>
      <c r="B223" s="3" t="s">
        <v>20</v>
      </c>
      <c r="C223" s="26" t="s">
        <v>21</v>
      </c>
      <c r="D223" s="26" t="s">
        <v>616</v>
      </c>
      <c r="E223" s="27">
        <v>43238</v>
      </c>
      <c r="F223" s="26" t="s">
        <v>332</v>
      </c>
      <c r="G223" s="26" t="s">
        <v>104</v>
      </c>
      <c r="H223" s="26" t="s">
        <v>617</v>
      </c>
      <c r="I223" s="26" t="s">
        <v>26</v>
      </c>
      <c r="J223" s="26" t="s">
        <v>27</v>
      </c>
      <c r="K223" s="28">
        <v>9580.94</v>
      </c>
      <c r="L223" s="28">
        <v>0</v>
      </c>
      <c r="M223" s="28">
        <f t="shared" si="14"/>
        <v>9580.94</v>
      </c>
      <c r="N223" s="29" t="s">
        <v>618</v>
      </c>
      <c r="O223" s="8" t="s">
        <v>619</v>
      </c>
      <c r="P223" s="8" t="s">
        <v>111</v>
      </c>
      <c r="Q223" s="8"/>
      <c r="R223" s="9">
        <v>43221</v>
      </c>
      <c r="S223" s="9">
        <v>43221</v>
      </c>
      <c r="T223" s="8">
        <f t="shared" si="15"/>
        <v>5</v>
      </c>
      <c r="U223" s="8" t="str">
        <f t="shared" si="16"/>
        <v>May</v>
      </c>
    </row>
    <row r="224" spans="1:21" x14ac:dyDescent="0.55000000000000004">
      <c r="A224" t="str">
        <f t="shared" si="13"/>
        <v>MayHong Kong - Phillips WI</v>
      </c>
      <c r="B224" s="3" t="s">
        <v>20</v>
      </c>
      <c r="C224" s="26" t="s">
        <v>21</v>
      </c>
      <c r="D224" s="26" t="s">
        <v>620</v>
      </c>
      <c r="E224" s="27">
        <v>43238</v>
      </c>
      <c r="F224" s="26" t="s">
        <v>332</v>
      </c>
      <c r="G224" s="26" t="s">
        <v>85</v>
      </c>
      <c r="H224" s="26" t="s">
        <v>621</v>
      </c>
      <c r="I224" s="26" t="s">
        <v>26</v>
      </c>
      <c r="J224" s="26" t="s">
        <v>27</v>
      </c>
      <c r="K224" s="28">
        <v>11236.45</v>
      </c>
      <c r="L224" s="28">
        <v>0</v>
      </c>
      <c r="M224" s="28">
        <f t="shared" si="14"/>
        <v>11236.45</v>
      </c>
      <c r="N224" s="29" t="s">
        <v>622</v>
      </c>
      <c r="O224" s="8" t="s">
        <v>623</v>
      </c>
      <c r="P224" s="8" t="s">
        <v>65</v>
      </c>
      <c r="Q224" s="8" t="s">
        <v>624</v>
      </c>
      <c r="R224" s="9">
        <v>43221</v>
      </c>
      <c r="S224" s="9">
        <v>43221</v>
      </c>
      <c r="T224" s="8">
        <f t="shared" si="15"/>
        <v>5</v>
      </c>
      <c r="U224" s="8" t="str">
        <f t="shared" si="16"/>
        <v>May</v>
      </c>
    </row>
    <row r="225" spans="1:21" x14ac:dyDescent="0.55000000000000004">
      <c r="A225" t="str">
        <f t="shared" si="13"/>
        <v>MayHong Kong - DECI NC</v>
      </c>
      <c r="B225" s="3" t="s">
        <v>20</v>
      </c>
      <c r="C225" s="26" t="s">
        <v>21</v>
      </c>
      <c r="D225" s="26" t="s">
        <v>625</v>
      </c>
      <c r="E225" s="27">
        <v>43238</v>
      </c>
      <c r="F225" s="26" t="s">
        <v>332</v>
      </c>
      <c r="G225" s="26" t="s">
        <v>47</v>
      </c>
      <c r="H225" s="26" t="s">
        <v>626</v>
      </c>
      <c r="I225" s="26" t="s">
        <v>26</v>
      </c>
      <c r="J225" s="26" t="s">
        <v>27</v>
      </c>
      <c r="K225" s="28">
        <v>89.07</v>
      </c>
      <c r="L225" s="28">
        <v>0</v>
      </c>
      <c r="M225" s="28">
        <f t="shared" si="14"/>
        <v>89.07</v>
      </c>
      <c r="N225" s="29" t="s">
        <v>627</v>
      </c>
      <c r="O225" s="8" t="s">
        <v>628</v>
      </c>
      <c r="P225" s="8" t="s">
        <v>92</v>
      </c>
      <c r="Q225" s="8"/>
      <c r="R225" s="9">
        <v>43221</v>
      </c>
      <c r="S225" s="9">
        <v>43221</v>
      </c>
      <c r="T225" s="8">
        <f t="shared" si="15"/>
        <v>5</v>
      </c>
      <c r="U225" s="8" t="str">
        <f t="shared" si="16"/>
        <v>May</v>
      </c>
    </row>
    <row r="226" spans="1:21" x14ac:dyDescent="0.55000000000000004">
      <c r="A226" t="str">
        <f t="shared" si="13"/>
        <v>MayHong Kong - DECI NC</v>
      </c>
      <c r="B226" s="3" t="s">
        <v>20</v>
      </c>
      <c r="C226" s="26" t="s">
        <v>21</v>
      </c>
      <c r="D226" s="26" t="s">
        <v>625</v>
      </c>
      <c r="E226" s="27">
        <v>43238</v>
      </c>
      <c r="F226" s="26" t="s">
        <v>332</v>
      </c>
      <c r="G226" s="26" t="s">
        <v>47</v>
      </c>
      <c r="H226" s="26" t="s">
        <v>626</v>
      </c>
      <c r="I226" s="26" t="s">
        <v>26</v>
      </c>
      <c r="J226" s="26" t="s">
        <v>27</v>
      </c>
      <c r="K226" s="28">
        <v>12181.19</v>
      </c>
      <c r="L226" s="28">
        <v>0</v>
      </c>
      <c r="M226" s="28">
        <f t="shared" si="14"/>
        <v>12181.19</v>
      </c>
      <c r="N226" s="29" t="s">
        <v>627</v>
      </c>
      <c r="O226" s="8" t="s">
        <v>628</v>
      </c>
      <c r="P226" s="8" t="s">
        <v>92</v>
      </c>
      <c r="Q226" s="8"/>
      <c r="R226" s="9">
        <v>43221</v>
      </c>
      <c r="S226" s="9">
        <v>43221</v>
      </c>
      <c r="T226" s="8">
        <f t="shared" si="15"/>
        <v>5</v>
      </c>
      <c r="U226" s="8" t="str">
        <f t="shared" si="16"/>
        <v>May</v>
      </c>
    </row>
    <row r="227" spans="1:21" x14ac:dyDescent="0.55000000000000004">
      <c r="A227" t="str">
        <f t="shared" si="13"/>
        <v>MayChina - DECI NC</v>
      </c>
      <c r="B227" s="3" t="s">
        <v>20</v>
      </c>
      <c r="C227" s="26" t="s">
        <v>21</v>
      </c>
      <c r="D227" s="26" t="s">
        <v>629</v>
      </c>
      <c r="E227" s="27">
        <v>43238</v>
      </c>
      <c r="F227" s="26" t="s">
        <v>332</v>
      </c>
      <c r="G227" s="26" t="s">
        <v>47</v>
      </c>
      <c r="H227" s="26" t="s">
        <v>630</v>
      </c>
      <c r="I227" s="26" t="s">
        <v>26</v>
      </c>
      <c r="J227" s="26" t="s">
        <v>27</v>
      </c>
      <c r="K227" s="28">
        <v>7039.96</v>
      </c>
      <c r="L227" s="28">
        <v>0</v>
      </c>
      <c r="M227" s="28">
        <f t="shared" si="14"/>
        <v>7039.96</v>
      </c>
      <c r="N227" s="29" t="s">
        <v>631</v>
      </c>
      <c r="O227" s="8" t="s">
        <v>632</v>
      </c>
      <c r="P227" s="8" t="s">
        <v>97</v>
      </c>
      <c r="Q227" s="8" t="s">
        <v>633</v>
      </c>
      <c r="R227" s="9">
        <v>43221</v>
      </c>
      <c r="S227" s="9">
        <v>43221</v>
      </c>
      <c r="T227" s="8">
        <f t="shared" si="15"/>
        <v>5</v>
      </c>
      <c r="U227" s="8" t="str">
        <f t="shared" si="16"/>
        <v>May</v>
      </c>
    </row>
    <row r="228" spans="1:21" x14ac:dyDescent="0.55000000000000004">
      <c r="A228" t="str">
        <f t="shared" si="13"/>
        <v>MayChina - DECI NC</v>
      </c>
      <c r="B228" s="3" t="s">
        <v>20</v>
      </c>
      <c r="C228" s="26" t="s">
        <v>21</v>
      </c>
      <c r="D228" s="26" t="s">
        <v>629</v>
      </c>
      <c r="E228" s="27">
        <v>43238</v>
      </c>
      <c r="F228" s="26" t="s">
        <v>332</v>
      </c>
      <c r="G228" s="26" t="s">
        <v>47</v>
      </c>
      <c r="H228" s="26" t="s">
        <v>630</v>
      </c>
      <c r="I228" s="26" t="s">
        <v>26</v>
      </c>
      <c r="J228" s="26" t="s">
        <v>27</v>
      </c>
      <c r="K228" s="28">
        <v>40673.599999999999</v>
      </c>
      <c r="L228" s="28">
        <v>0</v>
      </c>
      <c r="M228" s="28">
        <f t="shared" si="14"/>
        <v>40673.599999999999</v>
      </c>
      <c r="N228" s="29" t="s">
        <v>631</v>
      </c>
      <c r="O228" s="8" t="s">
        <v>632</v>
      </c>
      <c r="P228" s="8" t="s">
        <v>97</v>
      </c>
      <c r="Q228" s="8" t="s">
        <v>633</v>
      </c>
      <c r="R228" s="9">
        <v>43221</v>
      </c>
      <c r="S228" s="9">
        <v>43221</v>
      </c>
      <c r="T228" s="8">
        <f t="shared" si="15"/>
        <v>5</v>
      </c>
      <c r="U228" s="8" t="str">
        <f t="shared" si="16"/>
        <v>May</v>
      </c>
    </row>
    <row r="229" spans="1:21" x14ac:dyDescent="0.55000000000000004">
      <c r="A229" t="str">
        <f t="shared" si="13"/>
        <v>MayChina - DCL KY</v>
      </c>
      <c r="B229" s="3" t="s">
        <v>20</v>
      </c>
      <c r="C229" s="26" t="s">
        <v>21</v>
      </c>
      <c r="D229" s="26" t="s">
        <v>634</v>
      </c>
      <c r="E229" s="27">
        <v>43238</v>
      </c>
      <c r="F229" s="26" t="s">
        <v>332</v>
      </c>
      <c r="G229" s="26" t="s">
        <v>36</v>
      </c>
      <c r="H229" s="26" t="s">
        <v>635</v>
      </c>
      <c r="I229" s="26" t="s">
        <v>26</v>
      </c>
      <c r="J229" s="26" t="s">
        <v>27</v>
      </c>
      <c r="K229" s="28">
        <v>18897.03</v>
      </c>
      <c r="L229" s="28">
        <v>0</v>
      </c>
      <c r="M229" s="28">
        <f t="shared" si="14"/>
        <v>18897.03</v>
      </c>
      <c r="N229" s="29" t="s">
        <v>636</v>
      </c>
      <c r="O229" s="8" t="s">
        <v>637</v>
      </c>
      <c r="P229" s="8" t="s">
        <v>82</v>
      </c>
      <c r="Q229" s="8"/>
      <c r="R229" s="9">
        <v>43221</v>
      </c>
      <c r="S229" s="9">
        <v>43221</v>
      </c>
      <c r="T229" s="8">
        <f t="shared" si="15"/>
        <v>5</v>
      </c>
      <c r="U229" s="8" t="str">
        <f t="shared" si="16"/>
        <v>May</v>
      </c>
    </row>
    <row r="230" spans="1:21" x14ac:dyDescent="0.55000000000000004">
      <c r="A230" t="str">
        <f t="shared" si="13"/>
        <v>MayChina - DCL KY</v>
      </c>
      <c r="B230" s="3" t="s">
        <v>20</v>
      </c>
      <c r="C230" s="26" t="s">
        <v>21</v>
      </c>
      <c r="D230" s="26" t="s">
        <v>634</v>
      </c>
      <c r="E230" s="27">
        <v>43238</v>
      </c>
      <c r="F230" s="26" t="s">
        <v>332</v>
      </c>
      <c r="G230" s="26" t="s">
        <v>36</v>
      </c>
      <c r="H230" s="26" t="s">
        <v>635</v>
      </c>
      <c r="I230" s="26" t="s">
        <v>26</v>
      </c>
      <c r="J230" s="26" t="s">
        <v>27</v>
      </c>
      <c r="K230" s="28">
        <v>4112.25</v>
      </c>
      <c r="L230" s="28">
        <v>0</v>
      </c>
      <c r="M230" s="28">
        <f t="shared" si="14"/>
        <v>4112.25</v>
      </c>
      <c r="N230" s="29" t="s">
        <v>636</v>
      </c>
      <c r="O230" s="8" t="s">
        <v>637</v>
      </c>
      <c r="P230" s="8" t="s">
        <v>82</v>
      </c>
      <c r="Q230" s="8"/>
      <c r="R230" s="9">
        <v>43221</v>
      </c>
      <c r="S230" s="9">
        <v>43221</v>
      </c>
      <c r="T230" s="8">
        <f t="shared" si="15"/>
        <v>5</v>
      </c>
      <c r="U230" s="8" t="str">
        <f t="shared" si="16"/>
        <v>May</v>
      </c>
    </row>
    <row r="231" spans="1:21" x14ac:dyDescent="0.55000000000000004">
      <c r="A231" t="str">
        <f t="shared" si="13"/>
        <v>MayHong Kong - DECI NC</v>
      </c>
      <c r="B231" s="3" t="s">
        <v>20</v>
      </c>
      <c r="C231" s="26" t="s">
        <v>21</v>
      </c>
      <c r="D231" s="26" t="s">
        <v>638</v>
      </c>
      <c r="E231" s="27">
        <v>43243</v>
      </c>
      <c r="F231" s="26" t="s">
        <v>332</v>
      </c>
      <c r="G231" s="26" t="s">
        <v>47</v>
      </c>
      <c r="H231" s="26" t="s">
        <v>639</v>
      </c>
      <c r="I231" s="26" t="s">
        <v>26</v>
      </c>
      <c r="J231" s="26" t="s">
        <v>27</v>
      </c>
      <c r="K231" s="28">
        <v>9951.08</v>
      </c>
      <c r="L231" s="28">
        <v>0</v>
      </c>
      <c r="M231" s="28">
        <f t="shared" si="14"/>
        <v>9951.08</v>
      </c>
      <c r="N231" s="29" t="s">
        <v>640</v>
      </c>
      <c r="O231" s="8" t="s">
        <v>606</v>
      </c>
      <c r="P231" s="8" t="s">
        <v>92</v>
      </c>
      <c r="Q231" s="8" t="s">
        <v>641</v>
      </c>
      <c r="R231" s="9">
        <v>43221</v>
      </c>
      <c r="S231" s="9">
        <v>43221</v>
      </c>
      <c r="T231" s="8">
        <f t="shared" si="15"/>
        <v>5</v>
      </c>
      <c r="U231" s="8" t="str">
        <f t="shared" si="16"/>
        <v>May</v>
      </c>
    </row>
    <row r="232" spans="1:21" x14ac:dyDescent="0.55000000000000004">
      <c r="A232" t="str">
        <f t="shared" si="13"/>
        <v>MayHong Kong - DECI NC</v>
      </c>
      <c r="B232" s="3" t="s">
        <v>20</v>
      </c>
      <c r="C232" s="26" t="s">
        <v>21</v>
      </c>
      <c r="D232" s="26" t="s">
        <v>638</v>
      </c>
      <c r="E232" s="27">
        <v>43243</v>
      </c>
      <c r="F232" s="26" t="s">
        <v>332</v>
      </c>
      <c r="G232" s="26" t="s">
        <v>47</v>
      </c>
      <c r="H232" s="26" t="s">
        <v>639</v>
      </c>
      <c r="I232" s="26" t="s">
        <v>26</v>
      </c>
      <c r="J232" s="26" t="s">
        <v>27</v>
      </c>
      <c r="K232" s="28">
        <v>4569.37</v>
      </c>
      <c r="L232" s="28">
        <v>0</v>
      </c>
      <c r="M232" s="28">
        <f t="shared" si="14"/>
        <v>4569.37</v>
      </c>
      <c r="N232" s="29" t="s">
        <v>640</v>
      </c>
      <c r="O232" s="8" t="s">
        <v>606</v>
      </c>
      <c r="P232" s="8" t="s">
        <v>92</v>
      </c>
      <c r="Q232" s="8" t="s">
        <v>641</v>
      </c>
      <c r="R232" s="9">
        <v>43221</v>
      </c>
      <c r="S232" s="9">
        <v>43221</v>
      </c>
      <c r="T232" s="8">
        <f t="shared" si="15"/>
        <v>5</v>
      </c>
      <c r="U232" s="8" t="str">
        <f t="shared" si="16"/>
        <v>May</v>
      </c>
    </row>
    <row r="233" spans="1:21" x14ac:dyDescent="0.55000000000000004">
      <c r="A233" t="str">
        <f t="shared" si="13"/>
        <v>MayHong Kong - DECI NC</v>
      </c>
      <c r="B233" s="3" t="s">
        <v>20</v>
      </c>
      <c r="C233" s="26" t="s">
        <v>21</v>
      </c>
      <c r="D233" s="26" t="s">
        <v>638</v>
      </c>
      <c r="E233" s="27">
        <v>43243</v>
      </c>
      <c r="F233" s="26" t="s">
        <v>332</v>
      </c>
      <c r="G233" s="26" t="s">
        <v>47</v>
      </c>
      <c r="H233" s="26" t="s">
        <v>639</v>
      </c>
      <c r="I233" s="26" t="s">
        <v>26</v>
      </c>
      <c r="J233" s="26" t="s">
        <v>27</v>
      </c>
      <c r="K233" s="28">
        <v>1763.78</v>
      </c>
      <c r="L233" s="28">
        <v>0</v>
      </c>
      <c r="M233" s="28">
        <f t="shared" si="14"/>
        <v>1763.78</v>
      </c>
      <c r="N233" s="29" t="s">
        <v>640</v>
      </c>
      <c r="O233" s="8" t="s">
        <v>606</v>
      </c>
      <c r="P233" s="8" t="s">
        <v>92</v>
      </c>
      <c r="Q233" s="8" t="s">
        <v>641</v>
      </c>
      <c r="R233" s="9">
        <v>43221</v>
      </c>
      <c r="S233" s="9">
        <v>43221</v>
      </c>
      <c r="T233" s="8">
        <f t="shared" si="15"/>
        <v>5</v>
      </c>
      <c r="U233" s="8" t="str">
        <f t="shared" si="16"/>
        <v>May</v>
      </c>
    </row>
    <row r="234" spans="1:21" x14ac:dyDescent="0.55000000000000004">
      <c r="A234" t="str">
        <f t="shared" si="13"/>
        <v>MonthFreight Code</v>
      </c>
      <c r="B234" s="3" t="s">
        <v>20</v>
      </c>
      <c r="C234" s="24" t="s">
        <v>1</v>
      </c>
      <c r="D234" s="24" t="s">
        <v>2</v>
      </c>
      <c r="E234" s="24" t="s">
        <v>3</v>
      </c>
      <c r="F234" s="24" t="s">
        <v>4</v>
      </c>
      <c r="G234" s="24" t="s">
        <v>5</v>
      </c>
      <c r="H234" s="24" t="s">
        <v>6</v>
      </c>
      <c r="I234" s="24" t="s">
        <v>7</v>
      </c>
      <c r="J234" s="24" t="s">
        <v>8</v>
      </c>
      <c r="K234" s="24" t="s">
        <v>9</v>
      </c>
      <c r="L234" s="24" t="s">
        <v>10</v>
      </c>
      <c r="M234" s="1" t="s">
        <v>11</v>
      </c>
      <c r="N234" s="24" t="s">
        <v>330</v>
      </c>
      <c r="O234" s="25" t="s">
        <v>13</v>
      </c>
      <c r="P234" s="25" t="s">
        <v>14</v>
      </c>
      <c r="Q234" s="25" t="s">
        <v>15</v>
      </c>
      <c r="R234" s="25" t="s">
        <v>16</v>
      </c>
      <c r="S234" s="25" t="s">
        <v>17</v>
      </c>
      <c r="T234" s="2" t="s">
        <v>18</v>
      </c>
      <c r="U234" s="2" t="s">
        <v>19</v>
      </c>
    </row>
    <row r="235" spans="1:21" x14ac:dyDescent="0.55000000000000004">
      <c r="A235" t="str">
        <f t="shared" si="13"/>
        <v>MarchHong Kong - DECI NC</v>
      </c>
      <c r="B235" s="3" t="s">
        <v>20</v>
      </c>
      <c r="C235" s="26" t="s">
        <v>241</v>
      </c>
      <c r="D235" s="26" t="s">
        <v>643</v>
      </c>
      <c r="E235" s="27">
        <v>43189</v>
      </c>
      <c r="F235" s="26" t="s">
        <v>332</v>
      </c>
      <c r="G235" s="26" t="s">
        <v>644</v>
      </c>
      <c r="H235" s="26" t="s">
        <v>645</v>
      </c>
      <c r="I235" s="26" t="s">
        <v>646</v>
      </c>
      <c r="J235" s="26" t="s">
        <v>27</v>
      </c>
      <c r="K235" s="31">
        <v>11426.21</v>
      </c>
      <c r="L235" s="28">
        <v>0</v>
      </c>
      <c r="M235" s="28">
        <f t="shared" si="14"/>
        <v>11426.21</v>
      </c>
      <c r="N235" s="26"/>
      <c r="O235" t="s">
        <v>644</v>
      </c>
      <c r="P235" s="8" t="s">
        <v>92</v>
      </c>
      <c r="Q235" s="8" t="s">
        <v>647</v>
      </c>
      <c r="R235" s="9">
        <v>43160</v>
      </c>
      <c r="S235" s="9">
        <v>43160</v>
      </c>
      <c r="T235" s="8">
        <f t="shared" ref="T235:T298" si="17">MONTH(E235)</f>
        <v>3</v>
      </c>
      <c r="U235" s="8" t="str">
        <f>IF(T235=6,"June",IF(T235=5,"May",IF(T235=4,"April",IF(T235=3,"March",0))))</f>
        <v>March</v>
      </c>
    </row>
    <row r="236" spans="1:21" x14ac:dyDescent="0.55000000000000004">
      <c r="A236" t="str">
        <f t="shared" si="13"/>
        <v>MarchHong Kong - DECI NC</v>
      </c>
      <c r="B236" s="3" t="s">
        <v>20</v>
      </c>
      <c r="C236" s="26" t="s">
        <v>241</v>
      </c>
      <c r="D236" s="26" t="s">
        <v>648</v>
      </c>
      <c r="E236" s="27">
        <v>43189</v>
      </c>
      <c r="F236" s="26" t="s">
        <v>332</v>
      </c>
      <c r="G236" s="26" t="s">
        <v>644</v>
      </c>
      <c r="H236" s="26" t="s">
        <v>649</v>
      </c>
      <c r="I236" s="26" t="s">
        <v>646</v>
      </c>
      <c r="J236" s="26" t="s">
        <v>27</v>
      </c>
      <c r="K236" s="31">
        <v>13267.81</v>
      </c>
      <c r="L236" s="28">
        <v>0</v>
      </c>
      <c r="M236" s="28">
        <f t="shared" si="14"/>
        <v>13267.81</v>
      </c>
      <c r="N236" s="26"/>
      <c r="O236" t="s">
        <v>644</v>
      </c>
      <c r="P236" s="8" t="s">
        <v>92</v>
      </c>
      <c r="Q236" s="8"/>
      <c r="R236" s="9">
        <v>43160</v>
      </c>
      <c r="S236" s="9">
        <v>43160</v>
      </c>
      <c r="T236" s="8">
        <f t="shared" si="17"/>
        <v>3</v>
      </c>
      <c r="U236" s="8" t="str">
        <f t="shared" ref="U236:U299" si="18">IF(T236=6,"June",IF(T236=5,"May",IF(T236=4,"April",IF(T236=3,"March",0))))</f>
        <v>March</v>
      </c>
    </row>
    <row r="237" spans="1:21" x14ac:dyDescent="0.55000000000000004">
      <c r="A237" t="str">
        <f t="shared" si="13"/>
        <v>MarchHong Kong - DECI NC</v>
      </c>
      <c r="B237" s="3" t="s">
        <v>20</v>
      </c>
      <c r="C237" s="26" t="s">
        <v>241</v>
      </c>
      <c r="D237" s="26" t="s">
        <v>650</v>
      </c>
      <c r="E237" s="27">
        <v>43189</v>
      </c>
      <c r="F237" s="26" t="s">
        <v>332</v>
      </c>
      <c r="G237" s="26" t="s">
        <v>651</v>
      </c>
      <c r="H237" s="26" t="s">
        <v>652</v>
      </c>
      <c r="I237" s="26" t="s">
        <v>646</v>
      </c>
      <c r="J237" s="26" t="s">
        <v>27</v>
      </c>
      <c r="K237" s="31">
        <v>8290.41</v>
      </c>
      <c r="L237" s="28">
        <v>0</v>
      </c>
      <c r="M237" s="28">
        <f t="shared" si="14"/>
        <v>8290.41</v>
      </c>
      <c r="N237" s="26"/>
      <c r="O237" t="s">
        <v>651</v>
      </c>
      <c r="P237" s="8" t="s">
        <v>92</v>
      </c>
      <c r="Q237" s="8"/>
      <c r="R237" s="9">
        <v>43160</v>
      </c>
      <c r="S237" s="9">
        <v>43160</v>
      </c>
      <c r="T237" s="8">
        <f t="shared" si="17"/>
        <v>3</v>
      </c>
      <c r="U237" s="8" t="str">
        <f t="shared" si="18"/>
        <v>March</v>
      </c>
    </row>
    <row r="238" spans="1:21" x14ac:dyDescent="0.55000000000000004">
      <c r="A238" t="str">
        <f t="shared" si="13"/>
        <v>MarchChina - DCL KY</v>
      </c>
      <c r="B238" s="3" t="s">
        <v>20</v>
      </c>
      <c r="C238" s="26" t="s">
        <v>241</v>
      </c>
      <c r="D238" s="26" t="s">
        <v>653</v>
      </c>
      <c r="E238" s="27">
        <v>43189</v>
      </c>
      <c r="F238" s="26" t="s">
        <v>332</v>
      </c>
      <c r="G238" s="26" t="s">
        <v>654</v>
      </c>
      <c r="H238" s="26" t="s">
        <v>655</v>
      </c>
      <c r="I238" s="26" t="s">
        <v>646</v>
      </c>
      <c r="J238" s="26" t="s">
        <v>27</v>
      </c>
      <c r="K238" s="31">
        <v>30091.58</v>
      </c>
      <c r="L238" s="28">
        <v>0</v>
      </c>
      <c r="M238" s="28">
        <f t="shared" si="14"/>
        <v>30091.58</v>
      </c>
      <c r="N238" s="26"/>
      <c r="O238" t="s">
        <v>654</v>
      </c>
      <c r="P238" s="8" t="s">
        <v>82</v>
      </c>
      <c r="Q238" s="8"/>
      <c r="R238" s="9">
        <v>43160</v>
      </c>
      <c r="S238" s="9">
        <v>43160</v>
      </c>
      <c r="T238" s="8">
        <f t="shared" si="17"/>
        <v>3</v>
      </c>
      <c r="U238" s="8" t="str">
        <f t="shared" si="18"/>
        <v>March</v>
      </c>
    </row>
    <row r="239" spans="1:21" x14ac:dyDescent="0.55000000000000004">
      <c r="A239" t="str">
        <f t="shared" si="13"/>
        <v>MarchHong Kong - DECI NC</v>
      </c>
      <c r="B239" s="3" t="s">
        <v>20</v>
      </c>
      <c r="C239" s="26" t="s">
        <v>241</v>
      </c>
      <c r="D239" s="26" t="s">
        <v>656</v>
      </c>
      <c r="E239" s="27">
        <v>43189</v>
      </c>
      <c r="F239" s="26" t="s">
        <v>332</v>
      </c>
      <c r="G239" s="26" t="s">
        <v>644</v>
      </c>
      <c r="H239" s="26" t="s">
        <v>657</v>
      </c>
      <c r="I239" s="26" t="s">
        <v>646</v>
      </c>
      <c r="J239" s="26" t="s">
        <v>27</v>
      </c>
      <c r="K239" s="31">
        <v>9881.7999999999993</v>
      </c>
      <c r="L239" s="28">
        <v>0</v>
      </c>
      <c r="M239" s="28">
        <f t="shared" si="14"/>
        <v>9881.7999999999993</v>
      </c>
      <c r="N239" s="26"/>
      <c r="O239" t="s">
        <v>644</v>
      </c>
      <c r="P239" s="8" t="s">
        <v>92</v>
      </c>
      <c r="Q239" s="8"/>
      <c r="R239" s="9">
        <v>43160</v>
      </c>
      <c r="S239" s="9">
        <v>43160</v>
      </c>
      <c r="T239" s="8">
        <f t="shared" si="17"/>
        <v>3</v>
      </c>
      <c r="U239" s="8" t="str">
        <f t="shared" si="18"/>
        <v>March</v>
      </c>
    </row>
    <row r="240" spans="1:21" x14ac:dyDescent="0.55000000000000004">
      <c r="A240" t="str">
        <f t="shared" si="13"/>
        <v>MarchHong Kong - DCL KY</v>
      </c>
      <c r="B240" s="3" t="s">
        <v>20</v>
      </c>
      <c r="C240" s="26" t="s">
        <v>241</v>
      </c>
      <c r="D240" s="26" t="s">
        <v>658</v>
      </c>
      <c r="E240" s="27">
        <v>43189</v>
      </c>
      <c r="F240" s="26" t="s">
        <v>332</v>
      </c>
      <c r="G240" s="26" t="s">
        <v>659</v>
      </c>
      <c r="H240" s="26" t="s">
        <v>660</v>
      </c>
      <c r="I240" s="26" t="s">
        <v>646</v>
      </c>
      <c r="J240" s="26" t="s">
        <v>27</v>
      </c>
      <c r="K240" s="31">
        <v>12626.39</v>
      </c>
      <c r="L240" s="28">
        <v>0</v>
      </c>
      <c r="M240" s="28">
        <f t="shared" si="14"/>
        <v>12626.39</v>
      </c>
      <c r="N240" s="26"/>
      <c r="O240" t="s">
        <v>659</v>
      </c>
      <c r="P240" s="8" t="s">
        <v>39</v>
      </c>
      <c r="Q240" s="8"/>
      <c r="R240" s="9">
        <v>43160</v>
      </c>
      <c r="S240" s="9">
        <v>43160</v>
      </c>
      <c r="T240" s="8">
        <f t="shared" si="17"/>
        <v>3</v>
      </c>
      <c r="U240" s="8" t="str">
        <f t="shared" si="18"/>
        <v>March</v>
      </c>
    </row>
    <row r="241" spans="1:21" x14ac:dyDescent="0.55000000000000004">
      <c r="A241" t="str">
        <f t="shared" si="13"/>
        <v>MarchHong Kong - DCL KY</v>
      </c>
      <c r="B241" s="3" t="s">
        <v>20</v>
      </c>
      <c r="C241" s="26" t="s">
        <v>241</v>
      </c>
      <c r="D241" s="26" t="s">
        <v>661</v>
      </c>
      <c r="E241" s="27">
        <v>43189</v>
      </c>
      <c r="F241" s="26" t="s">
        <v>332</v>
      </c>
      <c r="G241" s="26" t="s">
        <v>662</v>
      </c>
      <c r="H241" s="26" t="s">
        <v>663</v>
      </c>
      <c r="I241" s="26" t="s">
        <v>646</v>
      </c>
      <c r="J241" s="26" t="s">
        <v>27</v>
      </c>
      <c r="K241" s="31">
        <v>20178.599999999999</v>
      </c>
      <c r="L241" s="28">
        <v>0</v>
      </c>
      <c r="M241" s="28">
        <f t="shared" si="14"/>
        <v>20178.599999999999</v>
      </c>
      <c r="N241" s="26"/>
      <c r="O241" t="s">
        <v>662</v>
      </c>
      <c r="P241" s="8" t="s">
        <v>39</v>
      </c>
      <c r="Q241" s="8"/>
      <c r="R241" s="9">
        <v>43160</v>
      </c>
      <c r="S241" s="9">
        <v>43160</v>
      </c>
      <c r="T241" s="8">
        <f t="shared" si="17"/>
        <v>3</v>
      </c>
      <c r="U241" s="8" t="str">
        <f t="shared" si="18"/>
        <v>March</v>
      </c>
    </row>
    <row r="242" spans="1:21" x14ac:dyDescent="0.55000000000000004">
      <c r="A242" t="str">
        <f t="shared" si="13"/>
        <v>MarchChina - DCL KY</v>
      </c>
      <c r="B242" s="3" t="s">
        <v>20</v>
      </c>
      <c r="C242" s="26" t="s">
        <v>241</v>
      </c>
      <c r="D242" s="26" t="s">
        <v>664</v>
      </c>
      <c r="E242" s="27">
        <v>43189</v>
      </c>
      <c r="F242" s="26" t="s">
        <v>332</v>
      </c>
      <c r="G242" s="26" t="s">
        <v>665</v>
      </c>
      <c r="H242" s="26" t="s">
        <v>666</v>
      </c>
      <c r="I242" s="26" t="s">
        <v>646</v>
      </c>
      <c r="J242" s="26" t="s">
        <v>27</v>
      </c>
      <c r="K242" s="31">
        <v>566.25</v>
      </c>
      <c r="L242" s="28">
        <v>0</v>
      </c>
      <c r="M242" s="28">
        <f t="shared" si="14"/>
        <v>566.25</v>
      </c>
      <c r="N242" s="26"/>
      <c r="O242" t="s">
        <v>665</v>
      </c>
      <c r="P242" s="8" t="s">
        <v>82</v>
      </c>
      <c r="Q242" s="8"/>
      <c r="R242" s="9">
        <v>43160</v>
      </c>
      <c r="S242" s="9">
        <v>43160</v>
      </c>
      <c r="T242" s="8">
        <f t="shared" si="17"/>
        <v>3</v>
      </c>
      <c r="U242" s="8" t="str">
        <f t="shared" si="18"/>
        <v>March</v>
      </c>
    </row>
    <row r="243" spans="1:21" x14ac:dyDescent="0.55000000000000004">
      <c r="A243" t="str">
        <f t="shared" si="13"/>
        <v>MarchHong Kong - DCL KY</v>
      </c>
      <c r="B243" s="3" t="s">
        <v>20</v>
      </c>
      <c r="C243" s="26" t="s">
        <v>241</v>
      </c>
      <c r="D243" s="26" t="s">
        <v>667</v>
      </c>
      <c r="E243" s="27">
        <v>43189</v>
      </c>
      <c r="F243" s="26" t="s">
        <v>332</v>
      </c>
      <c r="G243" s="26" t="s">
        <v>659</v>
      </c>
      <c r="H243" s="26" t="s">
        <v>668</v>
      </c>
      <c r="I243" s="26" t="s">
        <v>646</v>
      </c>
      <c r="J243" s="26" t="s">
        <v>27</v>
      </c>
      <c r="K243" s="31">
        <v>22131.759999999998</v>
      </c>
      <c r="L243" s="28">
        <v>0</v>
      </c>
      <c r="M243" s="28">
        <f t="shared" si="14"/>
        <v>22131.759999999998</v>
      </c>
      <c r="N243" s="26"/>
      <c r="O243" t="s">
        <v>659</v>
      </c>
      <c r="P243" s="8" t="s">
        <v>39</v>
      </c>
      <c r="Q243" s="8"/>
      <c r="R243" s="9">
        <v>43160</v>
      </c>
      <c r="S243" s="9">
        <v>43160</v>
      </c>
      <c r="T243" s="8">
        <f t="shared" si="17"/>
        <v>3</v>
      </c>
      <c r="U243" s="8" t="str">
        <f t="shared" si="18"/>
        <v>March</v>
      </c>
    </row>
    <row r="244" spans="1:21" x14ac:dyDescent="0.55000000000000004">
      <c r="A244" t="str">
        <f t="shared" si="13"/>
        <v>MarchChina - DCL KY</v>
      </c>
      <c r="B244" s="3" t="s">
        <v>20</v>
      </c>
      <c r="C244" s="26" t="s">
        <v>241</v>
      </c>
      <c r="D244" s="26" t="s">
        <v>669</v>
      </c>
      <c r="E244" s="27">
        <v>43189</v>
      </c>
      <c r="F244" s="26" t="s">
        <v>332</v>
      </c>
      <c r="G244" s="26" t="s">
        <v>665</v>
      </c>
      <c r="H244" s="26" t="s">
        <v>670</v>
      </c>
      <c r="I244" s="26" t="s">
        <v>646</v>
      </c>
      <c r="J244" s="26" t="s">
        <v>27</v>
      </c>
      <c r="K244" s="31">
        <v>29986.6</v>
      </c>
      <c r="L244" s="28">
        <v>0</v>
      </c>
      <c r="M244" s="28">
        <f t="shared" si="14"/>
        <v>29986.6</v>
      </c>
      <c r="N244" s="26"/>
      <c r="O244" t="s">
        <v>665</v>
      </c>
      <c r="P244" s="8" t="s">
        <v>82</v>
      </c>
      <c r="Q244" s="8"/>
      <c r="R244" s="9">
        <v>43160</v>
      </c>
      <c r="S244" s="9">
        <v>43160</v>
      </c>
      <c r="T244" s="8">
        <f t="shared" si="17"/>
        <v>3</v>
      </c>
      <c r="U244" s="8" t="str">
        <f t="shared" si="18"/>
        <v>March</v>
      </c>
    </row>
    <row r="245" spans="1:21" x14ac:dyDescent="0.55000000000000004">
      <c r="A245" t="str">
        <f t="shared" si="13"/>
        <v>MarchChina - DCL KY</v>
      </c>
      <c r="B245" s="3" t="s">
        <v>20</v>
      </c>
      <c r="C245" s="26" t="s">
        <v>241</v>
      </c>
      <c r="D245" s="26" t="s">
        <v>671</v>
      </c>
      <c r="E245" s="27">
        <v>43189</v>
      </c>
      <c r="F245" s="26" t="s">
        <v>332</v>
      </c>
      <c r="G245" s="26" t="s">
        <v>654</v>
      </c>
      <c r="H245" s="26" t="s">
        <v>672</v>
      </c>
      <c r="I245" s="26" t="s">
        <v>646</v>
      </c>
      <c r="J245" s="26" t="s">
        <v>27</v>
      </c>
      <c r="K245" s="31">
        <v>570.29999999999995</v>
      </c>
      <c r="L245" s="28">
        <v>0</v>
      </c>
      <c r="M245" s="28">
        <f t="shared" si="14"/>
        <v>570.29999999999995</v>
      </c>
      <c r="N245" s="26"/>
      <c r="O245" t="s">
        <v>654</v>
      </c>
      <c r="P245" s="8" t="s">
        <v>82</v>
      </c>
      <c r="Q245" s="8"/>
      <c r="R245" s="9">
        <v>43160</v>
      </c>
      <c r="S245" s="9">
        <v>43160</v>
      </c>
      <c r="T245" s="8">
        <f t="shared" si="17"/>
        <v>3</v>
      </c>
      <c r="U245" s="8" t="str">
        <f t="shared" si="18"/>
        <v>March</v>
      </c>
    </row>
    <row r="246" spans="1:21" x14ac:dyDescent="0.55000000000000004">
      <c r="A246" t="str">
        <f t="shared" si="13"/>
        <v>MarchHong Kong - DECI NC</v>
      </c>
      <c r="B246" s="3" t="s">
        <v>20</v>
      </c>
      <c r="C246" s="26" t="s">
        <v>241</v>
      </c>
      <c r="D246" s="26" t="s">
        <v>673</v>
      </c>
      <c r="E246" s="27">
        <v>43189</v>
      </c>
      <c r="F246" s="26" t="s">
        <v>332</v>
      </c>
      <c r="G246" s="26" t="s">
        <v>674</v>
      </c>
      <c r="H246" s="26" t="s">
        <v>675</v>
      </c>
      <c r="I246" s="26" t="s">
        <v>646</v>
      </c>
      <c r="J246" s="26" t="s">
        <v>27</v>
      </c>
      <c r="K246" s="31">
        <v>5275.15</v>
      </c>
      <c r="L246" s="28">
        <v>0</v>
      </c>
      <c r="M246" s="28">
        <f t="shared" si="14"/>
        <v>5275.15</v>
      </c>
      <c r="N246" s="26"/>
      <c r="O246" t="s">
        <v>674</v>
      </c>
      <c r="P246" s="8" t="s">
        <v>92</v>
      </c>
      <c r="Q246" s="8"/>
      <c r="R246" s="9">
        <v>43160</v>
      </c>
      <c r="S246" s="9">
        <v>43160</v>
      </c>
      <c r="T246" s="8">
        <f t="shared" si="17"/>
        <v>3</v>
      </c>
      <c r="U246" s="8" t="str">
        <f t="shared" si="18"/>
        <v>March</v>
      </c>
    </row>
    <row r="247" spans="1:21" x14ac:dyDescent="0.55000000000000004">
      <c r="A247" t="str">
        <f t="shared" si="13"/>
        <v>MarchHong Kong - DECI NC</v>
      </c>
      <c r="B247" s="3" t="s">
        <v>20</v>
      </c>
      <c r="C247" s="26" t="s">
        <v>241</v>
      </c>
      <c r="D247" s="26" t="s">
        <v>676</v>
      </c>
      <c r="E247" s="27">
        <v>43189</v>
      </c>
      <c r="F247" s="26" t="s">
        <v>332</v>
      </c>
      <c r="G247" s="26" t="s">
        <v>651</v>
      </c>
      <c r="H247" s="26" t="s">
        <v>677</v>
      </c>
      <c r="I247" s="26" t="s">
        <v>646</v>
      </c>
      <c r="J247" s="26" t="s">
        <v>27</v>
      </c>
      <c r="K247" s="31">
        <v>10771.91</v>
      </c>
      <c r="L247" s="28">
        <v>0</v>
      </c>
      <c r="M247" s="28">
        <f t="shared" si="14"/>
        <v>10771.91</v>
      </c>
      <c r="N247" s="26"/>
      <c r="O247" t="s">
        <v>651</v>
      </c>
      <c r="P247" s="8" t="s">
        <v>92</v>
      </c>
      <c r="Q247" s="8"/>
      <c r="R247" s="9">
        <v>43160</v>
      </c>
      <c r="S247" s="9">
        <v>43160</v>
      </c>
      <c r="T247" s="8">
        <f t="shared" si="17"/>
        <v>3</v>
      </c>
      <c r="U247" s="8" t="str">
        <f t="shared" si="18"/>
        <v>March</v>
      </c>
    </row>
    <row r="248" spans="1:21" x14ac:dyDescent="0.55000000000000004">
      <c r="A248" t="str">
        <f t="shared" si="13"/>
        <v>MarchChina - DCL KY</v>
      </c>
      <c r="B248" s="3" t="s">
        <v>20</v>
      </c>
      <c r="C248" s="26" t="s">
        <v>241</v>
      </c>
      <c r="D248" s="26" t="s">
        <v>678</v>
      </c>
      <c r="E248" s="27">
        <v>43189</v>
      </c>
      <c r="F248" s="26" t="s">
        <v>332</v>
      </c>
      <c r="G248" s="26" t="s">
        <v>679</v>
      </c>
      <c r="H248" s="26" t="s">
        <v>680</v>
      </c>
      <c r="I248" s="26" t="s">
        <v>646</v>
      </c>
      <c r="J248" s="26" t="s">
        <v>27</v>
      </c>
      <c r="K248" s="31">
        <v>849.45</v>
      </c>
      <c r="L248" s="28">
        <v>0</v>
      </c>
      <c r="M248" s="28">
        <f t="shared" si="14"/>
        <v>849.45</v>
      </c>
      <c r="N248" s="26"/>
      <c r="O248" t="s">
        <v>679</v>
      </c>
      <c r="P248" s="8" t="s">
        <v>82</v>
      </c>
      <c r="Q248" s="8"/>
      <c r="R248" s="9">
        <v>43160</v>
      </c>
      <c r="S248" s="9">
        <v>43160</v>
      </c>
      <c r="T248" s="8">
        <f t="shared" si="17"/>
        <v>3</v>
      </c>
      <c r="U248" s="8" t="str">
        <f t="shared" si="18"/>
        <v>March</v>
      </c>
    </row>
    <row r="249" spans="1:21" x14ac:dyDescent="0.55000000000000004">
      <c r="A249" t="str">
        <f t="shared" si="13"/>
        <v>AprilHong Kong - DCL KY</v>
      </c>
      <c r="B249" s="3" t="s">
        <v>20</v>
      </c>
      <c r="C249" s="26" t="s">
        <v>241</v>
      </c>
      <c r="D249" s="26" t="s">
        <v>681</v>
      </c>
      <c r="E249" s="27">
        <v>43195</v>
      </c>
      <c r="F249" s="26" t="s">
        <v>332</v>
      </c>
      <c r="G249" s="26" t="s">
        <v>682</v>
      </c>
      <c r="H249" s="26" t="s">
        <v>683</v>
      </c>
      <c r="I249" s="26" t="s">
        <v>646</v>
      </c>
      <c r="J249" s="26" t="s">
        <v>27</v>
      </c>
      <c r="K249" s="31">
        <v>22773.46</v>
      </c>
      <c r="L249" s="28">
        <v>0</v>
      </c>
      <c r="M249" s="28">
        <f t="shared" si="14"/>
        <v>22773.46</v>
      </c>
      <c r="N249" s="26"/>
      <c r="O249" t="s">
        <v>682</v>
      </c>
      <c r="P249" s="8" t="s">
        <v>39</v>
      </c>
      <c r="Q249" s="8"/>
      <c r="R249" s="9">
        <v>43191</v>
      </c>
      <c r="S249" s="9">
        <v>43191</v>
      </c>
      <c r="T249" s="8">
        <f t="shared" si="17"/>
        <v>4</v>
      </c>
      <c r="U249" s="8" t="str">
        <f t="shared" si="18"/>
        <v>April</v>
      </c>
    </row>
    <row r="250" spans="1:21" x14ac:dyDescent="0.55000000000000004">
      <c r="A250" t="str">
        <f t="shared" si="13"/>
        <v>AprilChina - Phillips WI</v>
      </c>
      <c r="B250" s="3" t="s">
        <v>20</v>
      </c>
      <c r="C250" s="26" t="s">
        <v>241</v>
      </c>
      <c r="D250" s="26" t="s">
        <v>684</v>
      </c>
      <c r="E250" s="27">
        <v>43195</v>
      </c>
      <c r="F250" s="26" t="s">
        <v>332</v>
      </c>
      <c r="G250" s="26" t="s">
        <v>685</v>
      </c>
      <c r="H250" s="26" t="s">
        <v>686</v>
      </c>
      <c r="I250" s="26" t="s">
        <v>646</v>
      </c>
      <c r="J250" s="26" t="s">
        <v>27</v>
      </c>
      <c r="K250" s="31">
        <v>18457.07</v>
      </c>
      <c r="L250" s="28">
        <v>0</v>
      </c>
      <c r="M250" s="28">
        <f t="shared" si="14"/>
        <v>18457.07</v>
      </c>
      <c r="N250" s="26"/>
      <c r="O250" t="s">
        <v>685</v>
      </c>
      <c r="P250" s="8" t="s">
        <v>687</v>
      </c>
      <c r="Q250" s="8"/>
      <c r="R250" s="9">
        <v>43191</v>
      </c>
      <c r="S250" s="9">
        <v>43191</v>
      </c>
      <c r="T250" s="8">
        <f t="shared" si="17"/>
        <v>4</v>
      </c>
      <c r="U250" s="8" t="str">
        <f t="shared" si="18"/>
        <v>April</v>
      </c>
    </row>
    <row r="251" spans="1:21" x14ac:dyDescent="0.55000000000000004">
      <c r="A251" t="str">
        <f t="shared" si="13"/>
        <v>AprilChina - DECI NC</v>
      </c>
      <c r="B251" s="3" t="s">
        <v>20</v>
      </c>
      <c r="C251" s="26" t="s">
        <v>241</v>
      </c>
      <c r="D251" s="26" t="s">
        <v>688</v>
      </c>
      <c r="E251" s="27">
        <v>43195</v>
      </c>
      <c r="F251" s="26" t="s">
        <v>332</v>
      </c>
      <c r="G251" s="26" t="s">
        <v>689</v>
      </c>
      <c r="H251" s="26" t="s">
        <v>690</v>
      </c>
      <c r="I251" s="26" t="s">
        <v>646</v>
      </c>
      <c r="J251" s="26" t="s">
        <v>27</v>
      </c>
      <c r="K251" s="31">
        <v>21747.58</v>
      </c>
      <c r="L251" s="28">
        <v>0</v>
      </c>
      <c r="M251" s="28">
        <f t="shared" si="14"/>
        <v>21747.58</v>
      </c>
      <c r="N251" s="26"/>
      <c r="O251" t="s">
        <v>689</v>
      </c>
      <c r="P251" s="8" t="s">
        <v>97</v>
      </c>
      <c r="Q251" s="8"/>
      <c r="R251" s="9">
        <v>43191</v>
      </c>
      <c r="S251" s="9">
        <v>43191</v>
      </c>
      <c r="T251" s="8">
        <f t="shared" si="17"/>
        <v>4</v>
      </c>
      <c r="U251" s="8" t="str">
        <f t="shared" si="18"/>
        <v>April</v>
      </c>
    </row>
    <row r="252" spans="1:21" x14ac:dyDescent="0.55000000000000004">
      <c r="A252" t="str">
        <f t="shared" si="13"/>
        <v>AprilChina - DECI NC</v>
      </c>
      <c r="B252" s="3" t="s">
        <v>20</v>
      </c>
      <c r="C252" s="26" t="s">
        <v>241</v>
      </c>
      <c r="D252" s="26" t="s">
        <v>691</v>
      </c>
      <c r="E252" s="27">
        <v>43200</v>
      </c>
      <c r="F252" s="26" t="s">
        <v>332</v>
      </c>
      <c r="G252" s="26" t="s">
        <v>692</v>
      </c>
      <c r="H252" s="26" t="s">
        <v>693</v>
      </c>
      <c r="I252" s="26" t="s">
        <v>646</v>
      </c>
      <c r="J252" s="26" t="s">
        <v>27</v>
      </c>
      <c r="K252" s="31">
        <v>11359.39</v>
      </c>
      <c r="L252" s="28">
        <v>0</v>
      </c>
      <c r="M252" s="28">
        <f t="shared" si="14"/>
        <v>11359.39</v>
      </c>
      <c r="N252" s="26"/>
      <c r="O252" t="s">
        <v>692</v>
      </c>
      <c r="P252" s="8" t="s">
        <v>97</v>
      </c>
      <c r="Q252" s="8"/>
      <c r="R252" s="9">
        <v>43191</v>
      </c>
      <c r="S252" s="9">
        <v>43191</v>
      </c>
      <c r="T252" s="8">
        <f t="shared" si="17"/>
        <v>4</v>
      </c>
      <c r="U252" s="8" t="str">
        <f t="shared" si="18"/>
        <v>April</v>
      </c>
    </row>
    <row r="253" spans="1:21" x14ac:dyDescent="0.55000000000000004">
      <c r="A253" t="str">
        <f t="shared" si="13"/>
        <v>AprilHong Kong - DCL KY</v>
      </c>
      <c r="B253" s="3" t="s">
        <v>20</v>
      </c>
      <c r="C253" s="26" t="s">
        <v>241</v>
      </c>
      <c r="D253" s="26" t="s">
        <v>694</v>
      </c>
      <c r="E253" s="27">
        <v>43200</v>
      </c>
      <c r="F253" s="26" t="s">
        <v>332</v>
      </c>
      <c r="G253" s="26" t="s">
        <v>695</v>
      </c>
      <c r="H253" s="26" t="s">
        <v>696</v>
      </c>
      <c r="I253" s="26" t="s">
        <v>646</v>
      </c>
      <c r="J253" s="26" t="s">
        <v>27</v>
      </c>
      <c r="K253" s="31">
        <v>2974.8</v>
      </c>
      <c r="L253" s="28">
        <v>0</v>
      </c>
      <c r="M253" s="28">
        <f t="shared" si="14"/>
        <v>2974.8</v>
      </c>
      <c r="N253" s="26"/>
      <c r="O253" t="s">
        <v>695</v>
      </c>
      <c r="P253" s="8" t="s">
        <v>39</v>
      </c>
      <c r="Q253" s="8"/>
      <c r="R253" s="9">
        <v>43191</v>
      </c>
      <c r="S253" s="9">
        <v>43191</v>
      </c>
      <c r="T253" s="8">
        <f t="shared" si="17"/>
        <v>4</v>
      </c>
      <c r="U253" s="8" t="str">
        <f t="shared" si="18"/>
        <v>April</v>
      </c>
    </row>
    <row r="254" spans="1:21" x14ac:dyDescent="0.55000000000000004">
      <c r="A254" t="str">
        <f t="shared" si="13"/>
        <v>AprilHong Kong - DECI NC</v>
      </c>
      <c r="B254" s="3" t="s">
        <v>20</v>
      </c>
      <c r="C254" s="26" t="s">
        <v>241</v>
      </c>
      <c r="D254" s="26" t="s">
        <v>697</v>
      </c>
      <c r="E254" s="27">
        <v>43200</v>
      </c>
      <c r="F254" s="26" t="s">
        <v>332</v>
      </c>
      <c r="G254" s="26" t="s">
        <v>698</v>
      </c>
      <c r="H254" s="26" t="s">
        <v>699</v>
      </c>
      <c r="I254" s="26" t="s">
        <v>646</v>
      </c>
      <c r="J254" s="26" t="s">
        <v>27</v>
      </c>
      <c r="K254" s="31">
        <v>8437.25</v>
      </c>
      <c r="L254" s="28">
        <v>0</v>
      </c>
      <c r="M254" s="28">
        <f t="shared" si="14"/>
        <v>8437.25</v>
      </c>
      <c r="N254" s="26"/>
      <c r="O254" t="s">
        <v>698</v>
      </c>
      <c r="P254" s="8" t="s">
        <v>92</v>
      </c>
      <c r="Q254" s="8"/>
      <c r="R254" s="9">
        <v>43191</v>
      </c>
      <c r="S254" s="9">
        <v>43191</v>
      </c>
      <c r="T254" s="8">
        <f t="shared" si="17"/>
        <v>4</v>
      </c>
      <c r="U254" s="8" t="str">
        <f t="shared" si="18"/>
        <v>April</v>
      </c>
    </row>
    <row r="255" spans="1:21" x14ac:dyDescent="0.55000000000000004">
      <c r="A255" t="str">
        <f t="shared" si="13"/>
        <v>AprilHong Kong - DECI NC</v>
      </c>
      <c r="B255" s="3" t="s">
        <v>20</v>
      </c>
      <c r="C255" s="26" t="s">
        <v>241</v>
      </c>
      <c r="D255" s="26" t="s">
        <v>700</v>
      </c>
      <c r="E255" s="27">
        <v>43200</v>
      </c>
      <c r="F255" s="26" t="s">
        <v>332</v>
      </c>
      <c r="G255" s="26" t="s">
        <v>698</v>
      </c>
      <c r="H255" s="26" t="s">
        <v>701</v>
      </c>
      <c r="I255" s="26" t="s">
        <v>646</v>
      </c>
      <c r="J255" s="26" t="s">
        <v>27</v>
      </c>
      <c r="K255" s="31">
        <v>3499.33</v>
      </c>
      <c r="L255" s="28">
        <v>0</v>
      </c>
      <c r="M255" s="28">
        <f t="shared" si="14"/>
        <v>3499.33</v>
      </c>
      <c r="N255" s="26"/>
      <c r="O255" t="s">
        <v>698</v>
      </c>
      <c r="P255" s="8" t="s">
        <v>92</v>
      </c>
      <c r="Q255" s="8"/>
      <c r="R255" s="9">
        <v>43191</v>
      </c>
      <c r="S255" s="9">
        <v>43191</v>
      </c>
      <c r="T255" s="8">
        <f t="shared" si="17"/>
        <v>4</v>
      </c>
      <c r="U255" s="8" t="str">
        <f t="shared" si="18"/>
        <v>April</v>
      </c>
    </row>
    <row r="256" spans="1:21" x14ac:dyDescent="0.55000000000000004">
      <c r="A256" t="str">
        <f t="shared" si="13"/>
        <v>AprilHong Kong - DCL KY</v>
      </c>
      <c r="B256" s="3" t="s">
        <v>20</v>
      </c>
      <c r="C256" s="26" t="s">
        <v>241</v>
      </c>
      <c r="D256" s="26" t="s">
        <v>702</v>
      </c>
      <c r="E256" s="27">
        <v>43200</v>
      </c>
      <c r="F256" s="26" t="s">
        <v>332</v>
      </c>
      <c r="G256" s="26" t="s">
        <v>703</v>
      </c>
      <c r="H256" s="26" t="s">
        <v>704</v>
      </c>
      <c r="I256" s="26" t="s">
        <v>646</v>
      </c>
      <c r="J256" s="26" t="s">
        <v>27</v>
      </c>
      <c r="K256" s="31">
        <v>5524.27</v>
      </c>
      <c r="L256" s="28">
        <v>0</v>
      </c>
      <c r="M256" s="28">
        <f t="shared" si="14"/>
        <v>5524.27</v>
      </c>
      <c r="N256" s="26"/>
      <c r="O256" t="s">
        <v>703</v>
      </c>
      <c r="P256" s="8" t="s">
        <v>39</v>
      </c>
      <c r="Q256" s="8"/>
      <c r="R256" s="9">
        <v>43191</v>
      </c>
      <c r="S256" s="9">
        <v>43191</v>
      </c>
      <c r="T256" s="8">
        <f t="shared" si="17"/>
        <v>4</v>
      </c>
      <c r="U256" s="8" t="str">
        <f t="shared" si="18"/>
        <v>April</v>
      </c>
    </row>
    <row r="257" spans="1:21" x14ac:dyDescent="0.55000000000000004">
      <c r="A257" t="str">
        <f t="shared" si="13"/>
        <v>AprilHong Kong - DCL KY</v>
      </c>
      <c r="B257" s="3" t="s">
        <v>20</v>
      </c>
      <c r="C257" s="26" t="s">
        <v>241</v>
      </c>
      <c r="D257" s="26" t="s">
        <v>705</v>
      </c>
      <c r="E257" s="27">
        <v>43200</v>
      </c>
      <c r="F257" s="26" t="s">
        <v>332</v>
      </c>
      <c r="G257" s="26" t="s">
        <v>706</v>
      </c>
      <c r="H257" s="26" t="s">
        <v>707</v>
      </c>
      <c r="I257" s="26" t="s">
        <v>646</v>
      </c>
      <c r="J257" s="26" t="s">
        <v>27</v>
      </c>
      <c r="K257" s="31">
        <v>41455</v>
      </c>
      <c r="L257" s="28">
        <v>0</v>
      </c>
      <c r="M257" s="28">
        <f t="shared" si="14"/>
        <v>41455</v>
      </c>
      <c r="N257" s="26"/>
      <c r="O257" t="s">
        <v>706</v>
      </c>
      <c r="P257" s="8" t="s">
        <v>39</v>
      </c>
      <c r="Q257" s="8"/>
      <c r="R257" s="9">
        <v>43191</v>
      </c>
      <c r="S257" s="9">
        <v>43191</v>
      </c>
      <c r="T257" s="8">
        <f t="shared" si="17"/>
        <v>4</v>
      </c>
      <c r="U257" s="8" t="str">
        <f t="shared" si="18"/>
        <v>April</v>
      </c>
    </row>
    <row r="258" spans="1:21" x14ac:dyDescent="0.55000000000000004">
      <c r="A258" t="str">
        <f t="shared" si="13"/>
        <v>AprilChina - DECI NC</v>
      </c>
      <c r="B258" s="3" t="s">
        <v>20</v>
      </c>
      <c r="C258" s="26" t="s">
        <v>241</v>
      </c>
      <c r="D258" s="26" t="s">
        <v>708</v>
      </c>
      <c r="E258" s="27">
        <v>43200</v>
      </c>
      <c r="F258" s="26" t="s">
        <v>332</v>
      </c>
      <c r="G258" s="26" t="s">
        <v>689</v>
      </c>
      <c r="H258" s="26" t="s">
        <v>709</v>
      </c>
      <c r="I258" s="26" t="s">
        <v>646</v>
      </c>
      <c r="J258" s="26" t="s">
        <v>27</v>
      </c>
      <c r="K258" s="31">
        <v>21776.25</v>
      </c>
      <c r="L258" s="28">
        <v>0</v>
      </c>
      <c r="M258" s="28">
        <f t="shared" si="14"/>
        <v>21776.25</v>
      </c>
      <c r="N258" s="26"/>
      <c r="O258" t="s">
        <v>689</v>
      </c>
      <c r="P258" s="8" t="s">
        <v>97</v>
      </c>
      <c r="Q258" s="8"/>
      <c r="R258" s="9">
        <v>43191</v>
      </c>
      <c r="S258" s="9">
        <v>43191</v>
      </c>
      <c r="T258" s="8">
        <f t="shared" si="17"/>
        <v>4</v>
      </c>
      <c r="U258" s="8" t="str">
        <f t="shared" si="18"/>
        <v>April</v>
      </c>
    </row>
    <row r="259" spans="1:21" x14ac:dyDescent="0.55000000000000004">
      <c r="A259" t="str">
        <f t="shared" ref="A259:A322" si="19">U259&amp;P259</f>
        <v>AprilChina - DECI NC</v>
      </c>
      <c r="B259" s="3" t="s">
        <v>20</v>
      </c>
      <c r="C259" s="26" t="s">
        <v>241</v>
      </c>
      <c r="D259" s="26" t="s">
        <v>710</v>
      </c>
      <c r="E259" s="27">
        <v>43200</v>
      </c>
      <c r="F259" s="26" t="s">
        <v>332</v>
      </c>
      <c r="G259" s="26" t="s">
        <v>692</v>
      </c>
      <c r="H259" s="26" t="s">
        <v>711</v>
      </c>
      <c r="I259" s="26" t="s">
        <v>646</v>
      </c>
      <c r="J259" s="26" t="s">
        <v>27</v>
      </c>
      <c r="K259" s="31">
        <v>27069.54</v>
      </c>
      <c r="L259" s="28">
        <v>0</v>
      </c>
      <c r="M259" s="28">
        <f t="shared" ref="M259:M322" si="20">K259-L259</f>
        <v>27069.54</v>
      </c>
      <c r="N259" s="26"/>
      <c r="O259" t="s">
        <v>692</v>
      </c>
      <c r="P259" s="8" t="s">
        <v>97</v>
      </c>
      <c r="Q259" s="8"/>
      <c r="R259" s="9">
        <v>43191</v>
      </c>
      <c r="S259" s="9">
        <v>43191</v>
      </c>
      <c r="T259" s="8">
        <f t="shared" si="17"/>
        <v>4</v>
      </c>
      <c r="U259" s="8" t="str">
        <f t="shared" si="18"/>
        <v>April</v>
      </c>
    </row>
    <row r="260" spans="1:21" x14ac:dyDescent="0.55000000000000004">
      <c r="A260" t="str">
        <f t="shared" si="19"/>
        <v>AprilHong Kong - DECI NC</v>
      </c>
      <c r="B260" s="3" t="s">
        <v>20</v>
      </c>
      <c r="C260" s="26" t="s">
        <v>241</v>
      </c>
      <c r="D260" s="26" t="s">
        <v>712</v>
      </c>
      <c r="E260" s="27">
        <v>43200</v>
      </c>
      <c r="F260" s="26" t="s">
        <v>332</v>
      </c>
      <c r="G260" s="26" t="s">
        <v>698</v>
      </c>
      <c r="H260" s="26" t="s">
        <v>713</v>
      </c>
      <c r="I260" s="26" t="s">
        <v>646</v>
      </c>
      <c r="J260" s="26" t="s">
        <v>27</v>
      </c>
      <c r="K260" s="31">
        <v>12564.9</v>
      </c>
      <c r="L260" s="28">
        <v>0</v>
      </c>
      <c r="M260" s="28">
        <f t="shared" si="20"/>
        <v>12564.9</v>
      </c>
      <c r="N260" s="26"/>
      <c r="O260" t="s">
        <v>698</v>
      </c>
      <c r="P260" s="8" t="s">
        <v>92</v>
      </c>
      <c r="Q260" s="8"/>
      <c r="R260" s="9">
        <v>43191</v>
      </c>
      <c r="S260" s="9">
        <v>43191</v>
      </c>
      <c r="T260" s="8">
        <f t="shared" si="17"/>
        <v>4</v>
      </c>
      <c r="U260" s="8" t="str">
        <f t="shared" si="18"/>
        <v>April</v>
      </c>
    </row>
    <row r="261" spans="1:21" x14ac:dyDescent="0.55000000000000004">
      <c r="A261" t="str">
        <f t="shared" si="19"/>
        <v>AprilChina - DCL KY</v>
      </c>
      <c r="B261" s="3" t="s">
        <v>20</v>
      </c>
      <c r="C261" s="26" t="s">
        <v>241</v>
      </c>
      <c r="D261" s="26" t="s">
        <v>714</v>
      </c>
      <c r="E261" s="27">
        <v>43200</v>
      </c>
      <c r="F261" s="26" t="s">
        <v>332</v>
      </c>
      <c r="G261" s="26" t="s">
        <v>715</v>
      </c>
      <c r="H261" s="26" t="s">
        <v>716</v>
      </c>
      <c r="I261" s="26" t="s">
        <v>646</v>
      </c>
      <c r="J261" s="26" t="s">
        <v>27</v>
      </c>
      <c r="K261" s="31">
        <v>27284.99</v>
      </c>
      <c r="L261" s="28">
        <v>0</v>
      </c>
      <c r="M261" s="28">
        <f t="shared" si="20"/>
        <v>27284.99</v>
      </c>
      <c r="N261" s="26"/>
      <c r="O261" t="s">
        <v>715</v>
      </c>
      <c r="P261" s="8" t="s">
        <v>82</v>
      </c>
      <c r="Q261" s="8"/>
      <c r="R261" s="9">
        <v>43191</v>
      </c>
      <c r="S261" s="9">
        <v>43191</v>
      </c>
      <c r="T261" s="8">
        <f t="shared" si="17"/>
        <v>4</v>
      </c>
      <c r="U261" s="8" t="str">
        <f t="shared" si="18"/>
        <v>April</v>
      </c>
    </row>
    <row r="262" spans="1:21" x14ac:dyDescent="0.55000000000000004">
      <c r="A262" t="str">
        <f t="shared" si="19"/>
        <v>AprilChina - DCL KY</v>
      </c>
      <c r="B262" s="3" t="s">
        <v>20</v>
      </c>
      <c r="C262" s="26" t="s">
        <v>241</v>
      </c>
      <c r="D262" s="26" t="s">
        <v>717</v>
      </c>
      <c r="E262" s="27">
        <v>43206</v>
      </c>
      <c r="F262" s="26" t="s">
        <v>332</v>
      </c>
      <c r="G262" s="26" t="s">
        <v>718</v>
      </c>
      <c r="H262" s="26" t="s">
        <v>719</v>
      </c>
      <c r="I262" s="26" t="s">
        <v>646</v>
      </c>
      <c r="J262" s="26" t="s">
        <v>27</v>
      </c>
      <c r="K262" s="31">
        <v>9857.26</v>
      </c>
      <c r="L262" s="28">
        <v>0</v>
      </c>
      <c r="M262" s="28">
        <f t="shared" si="20"/>
        <v>9857.26</v>
      </c>
      <c r="N262" s="26"/>
      <c r="O262" t="s">
        <v>718</v>
      </c>
      <c r="P262" s="8" t="s">
        <v>82</v>
      </c>
      <c r="Q262" s="8"/>
      <c r="R262" s="9">
        <v>43191</v>
      </c>
      <c r="S262" s="9">
        <v>43191</v>
      </c>
      <c r="T262" s="8">
        <f t="shared" si="17"/>
        <v>4</v>
      </c>
      <c r="U262" s="8" t="str">
        <f t="shared" si="18"/>
        <v>April</v>
      </c>
    </row>
    <row r="263" spans="1:21" x14ac:dyDescent="0.55000000000000004">
      <c r="A263" t="str">
        <f t="shared" si="19"/>
        <v>AprilHong Kong - DCL KY</v>
      </c>
      <c r="B263" s="3" t="s">
        <v>20</v>
      </c>
      <c r="C263" s="26" t="s">
        <v>241</v>
      </c>
      <c r="D263" s="26" t="s">
        <v>720</v>
      </c>
      <c r="E263" s="27">
        <v>43206</v>
      </c>
      <c r="F263" s="26" t="s">
        <v>332</v>
      </c>
      <c r="G263" s="26" t="s">
        <v>721</v>
      </c>
      <c r="H263" s="26" t="s">
        <v>722</v>
      </c>
      <c r="I263" s="26" t="s">
        <v>646</v>
      </c>
      <c r="J263" s="26" t="s">
        <v>27</v>
      </c>
      <c r="K263" s="31">
        <v>24380.83</v>
      </c>
      <c r="L263" s="28">
        <v>0</v>
      </c>
      <c r="M263" s="28">
        <f t="shared" si="20"/>
        <v>24380.83</v>
      </c>
      <c r="N263" s="26"/>
      <c r="O263" t="s">
        <v>721</v>
      </c>
      <c r="P263" s="8" t="s">
        <v>39</v>
      </c>
      <c r="Q263" s="8"/>
      <c r="R263" s="9">
        <v>43191</v>
      </c>
      <c r="S263" s="9">
        <v>43191</v>
      </c>
      <c r="T263" s="8">
        <f t="shared" si="17"/>
        <v>4</v>
      </c>
      <c r="U263" s="8" t="str">
        <f t="shared" si="18"/>
        <v>April</v>
      </c>
    </row>
    <row r="264" spans="1:21" x14ac:dyDescent="0.55000000000000004">
      <c r="A264" t="str">
        <f t="shared" si="19"/>
        <v>AprilHong Kong - DCL KY</v>
      </c>
      <c r="B264" s="3" t="s">
        <v>20</v>
      </c>
      <c r="C264" s="26" t="s">
        <v>241</v>
      </c>
      <c r="D264" s="26" t="s">
        <v>723</v>
      </c>
      <c r="E264" s="27">
        <v>43206</v>
      </c>
      <c r="F264" s="26" t="s">
        <v>332</v>
      </c>
      <c r="G264" s="26" t="s">
        <v>724</v>
      </c>
      <c r="H264" s="26" t="s">
        <v>725</v>
      </c>
      <c r="I264" s="26" t="s">
        <v>646</v>
      </c>
      <c r="J264" s="26" t="s">
        <v>27</v>
      </c>
      <c r="K264" s="31">
        <v>8973.2800000000007</v>
      </c>
      <c r="L264" s="28">
        <v>0</v>
      </c>
      <c r="M264" s="28">
        <f t="shared" si="20"/>
        <v>8973.2800000000007</v>
      </c>
      <c r="N264" s="26"/>
      <c r="O264" t="s">
        <v>724</v>
      </c>
      <c r="P264" s="8" t="s">
        <v>39</v>
      </c>
      <c r="Q264" s="8"/>
      <c r="R264" s="9">
        <v>43191</v>
      </c>
      <c r="S264" s="9">
        <v>43191</v>
      </c>
      <c r="T264" s="8">
        <f t="shared" si="17"/>
        <v>4</v>
      </c>
      <c r="U264" s="8" t="str">
        <f t="shared" si="18"/>
        <v>April</v>
      </c>
    </row>
    <row r="265" spans="1:21" x14ac:dyDescent="0.55000000000000004">
      <c r="A265" t="str">
        <f t="shared" si="19"/>
        <v>AprilHong Kong - DCL KY</v>
      </c>
      <c r="B265" s="3" t="s">
        <v>20</v>
      </c>
      <c r="C265" s="26" t="s">
        <v>241</v>
      </c>
      <c r="D265" s="26" t="s">
        <v>726</v>
      </c>
      <c r="E265" s="27">
        <v>43206</v>
      </c>
      <c r="F265" s="26" t="s">
        <v>332</v>
      </c>
      <c r="G265" s="26" t="s">
        <v>727</v>
      </c>
      <c r="H265" s="26" t="s">
        <v>728</v>
      </c>
      <c r="I265" s="26" t="s">
        <v>646</v>
      </c>
      <c r="J265" s="26" t="s">
        <v>27</v>
      </c>
      <c r="K265" s="31">
        <v>4020.61</v>
      </c>
      <c r="L265" s="28">
        <v>0</v>
      </c>
      <c r="M265" s="28">
        <f t="shared" si="20"/>
        <v>4020.61</v>
      </c>
      <c r="N265" s="26"/>
      <c r="O265" t="s">
        <v>727</v>
      </c>
      <c r="P265" s="8" t="s">
        <v>39</v>
      </c>
      <c r="Q265" s="8"/>
      <c r="R265" s="9">
        <v>43191</v>
      </c>
      <c r="S265" s="9">
        <v>43191</v>
      </c>
      <c r="T265" s="8">
        <f t="shared" si="17"/>
        <v>4</v>
      </c>
      <c r="U265" s="8" t="str">
        <f t="shared" si="18"/>
        <v>April</v>
      </c>
    </row>
    <row r="266" spans="1:21" x14ac:dyDescent="0.55000000000000004">
      <c r="A266" t="str">
        <f t="shared" si="19"/>
        <v>AprilHong Kong - DCL KY</v>
      </c>
      <c r="B266" s="3" t="s">
        <v>20</v>
      </c>
      <c r="C266" s="26" t="s">
        <v>241</v>
      </c>
      <c r="D266" s="26" t="s">
        <v>729</v>
      </c>
      <c r="E266" s="27">
        <v>43206</v>
      </c>
      <c r="F266" s="26" t="s">
        <v>332</v>
      </c>
      <c r="G266" s="26" t="s">
        <v>730</v>
      </c>
      <c r="H266" s="26" t="s">
        <v>731</v>
      </c>
      <c r="I266" s="26" t="s">
        <v>646</v>
      </c>
      <c r="J266" s="26" t="s">
        <v>27</v>
      </c>
      <c r="K266" s="31">
        <v>4831.8900000000003</v>
      </c>
      <c r="L266" s="28">
        <v>0</v>
      </c>
      <c r="M266" s="28">
        <f t="shared" si="20"/>
        <v>4831.8900000000003</v>
      </c>
      <c r="N266" s="26"/>
      <c r="O266" t="s">
        <v>730</v>
      </c>
      <c r="P266" s="8" t="s">
        <v>39</v>
      </c>
      <c r="Q266" s="8"/>
      <c r="R266" s="9">
        <v>43191</v>
      </c>
      <c r="S266" s="9">
        <v>43191</v>
      </c>
      <c r="T266" s="8">
        <f t="shared" si="17"/>
        <v>4</v>
      </c>
      <c r="U266" s="8" t="str">
        <f t="shared" si="18"/>
        <v>April</v>
      </c>
    </row>
    <row r="267" spans="1:21" x14ac:dyDescent="0.55000000000000004">
      <c r="A267" t="str">
        <f t="shared" si="19"/>
        <v>AprilHong Kong - DCL KY</v>
      </c>
      <c r="B267" s="3" t="s">
        <v>20</v>
      </c>
      <c r="C267" s="26" t="s">
        <v>241</v>
      </c>
      <c r="D267" s="26" t="s">
        <v>732</v>
      </c>
      <c r="E267" s="27">
        <v>43206</v>
      </c>
      <c r="F267" s="26" t="s">
        <v>332</v>
      </c>
      <c r="G267" s="26" t="s">
        <v>730</v>
      </c>
      <c r="H267" s="26" t="s">
        <v>733</v>
      </c>
      <c r="I267" s="26" t="s">
        <v>646</v>
      </c>
      <c r="J267" s="26" t="s">
        <v>27</v>
      </c>
      <c r="K267" s="31">
        <v>2068.1999999999998</v>
      </c>
      <c r="L267" s="28">
        <v>0</v>
      </c>
      <c r="M267" s="28">
        <f t="shared" si="20"/>
        <v>2068.1999999999998</v>
      </c>
      <c r="N267" s="26"/>
      <c r="O267" t="s">
        <v>730</v>
      </c>
      <c r="P267" s="8" t="s">
        <v>39</v>
      </c>
      <c r="Q267" s="8"/>
      <c r="R267" s="9">
        <v>43191</v>
      </c>
      <c r="S267" s="9">
        <v>43191</v>
      </c>
      <c r="T267" s="8">
        <f t="shared" si="17"/>
        <v>4</v>
      </c>
      <c r="U267" s="8" t="str">
        <f t="shared" si="18"/>
        <v>April</v>
      </c>
    </row>
    <row r="268" spans="1:21" x14ac:dyDescent="0.55000000000000004">
      <c r="A268" t="str">
        <f t="shared" si="19"/>
        <v>AprilChina - DCL KY</v>
      </c>
      <c r="B268" s="3" t="s">
        <v>20</v>
      </c>
      <c r="C268" s="26" t="s">
        <v>241</v>
      </c>
      <c r="D268" s="26" t="s">
        <v>734</v>
      </c>
      <c r="E268" s="27">
        <v>43206</v>
      </c>
      <c r="F268" s="26" t="s">
        <v>332</v>
      </c>
      <c r="G268" s="26" t="s">
        <v>735</v>
      </c>
      <c r="H268" s="26" t="s">
        <v>736</v>
      </c>
      <c r="I268" s="26" t="s">
        <v>646</v>
      </c>
      <c r="J268" s="26" t="s">
        <v>27</v>
      </c>
      <c r="K268" s="31">
        <v>24923.06</v>
      </c>
      <c r="L268" s="28">
        <v>0</v>
      </c>
      <c r="M268" s="28">
        <f t="shared" si="20"/>
        <v>24923.06</v>
      </c>
      <c r="N268" s="26"/>
      <c r="O268" t="s">
        <v>735</v>
      </c>
      <c r="P268" s="8" t="s">
        <v>82</v>
      </c>
      <c r="Q268" s="8"/>
      <c r="R268" s="9">
        <v>43191</v>
      </c>
      <c r="S268" s="9">
        <v>43191</v>
      </c>
      <c r="T268" s="8">
        <f t="shared" si="17"/>
        <v>4</v>
      </c>
      <c r="U268" s="8" t="str">
        <f t="shared" si="18"/>
        <v>April</v>
      </c>
    </row>
    <row r="269" spans="1:21" x14ac:dyDescent="0.55000000000000004">
      <c r="A269" t="str">
        <f t="shared" si="19"/>
        <v>AprilChina - DECI NC</v>
      </c>
      <c r="B269" s="3" t="s">
        <v>20</v>
      </c>
      <c r="C269" s="26" t="s">
        <v>241</v>
      </c>
      <c r="D269" s="26" t="s">
        <v>737</v>
      </c>
      <c r="E269" s="27">
        <v>43206</v>
      </c>
      <c r="F269" s="26" t="s">
        <v>332</v>
      </c>
      <c r="G269" s="26" t="s">
        <v>692</v>
      </c>
      <c r="H269" s="26" t="s">
        <v>738</v>
      </c>
      <c r="I269" s="26" t="s">
        <v>646</v>
      </c>
      <c r="J269" s="26" t="s">
        <v>27</v>
      </c>
      <c r="K269" s="31">
        <v>6083.1</v>
      </c>
      <c r="L269" s="28">
        <v>0</v>
      </c>
      <c r="M269" s="28">
        <f t="shared" si="20"/>
        <v>6083.1</v>
      </c>
      <c r="N269" s="26"/>
      <c r="O269" t="s">
        <v>692</v>
      </c>
      <c r="P269" s="8" t="s">
        <v>97</v>
      </c>
      <c r="Q269" s="8"/>
      <c r="R269" s="9">
        <v>43191</v>
      </c>
      <c r="S269" s="9">
        <v>43191</v>
      </c>
      <c r="T269" s="8">
        <f t="shared" si="17"/>
        <v>4</v>
      </c>
      <c r="U269" s="8" t="str">
        <f t="shared" si="18"/>
        <v>April</v>
      </c>
    </row>
    <row r="270" spans="1:21" x14ac:dyDescent="0.55000000000000004">
      <c r="A270" t="str">
        <f t="shared" si="19"/>
        <v>AprilChina - DECI NC</v>
      </c>
      <c r="B270" s="3" t="s">
        <v>20</v>
      </c>
      <c r="C270" s="26" t="s">
        <v>241</v>
      </c>
      <c r="D270" s="26" t="s">
        <v>739</v>
      </c>
      <c r="E270" s="27">
        <v>43206</v>
      </c>
      <c r="F270" s="26" t="s">
        <v>332</v>
      </c>
      <c r="G270" s="26" t="s">
        <v>740</v>
      </c>
      <c r="H270" s="26" t="s">
        <v>741</v>
      </c>
      <c r="I270" s="26" t="s">
        <v>646</v>
      </c>
      <c r="J270" s="26" t="s">
        <v>27</v>
      </c>
      <c r="K270" s="31">
        <v>32244.75</v>
      </c>
      <c r="L270" s="28">
        <v>0</v>
      </c>
      <c r="M270" s="28">
        <f t="shared" si="20"/>
        <v>32244.75</v>
      </c>
      <c r="N270" s="26"/>
      <c r="O270" t="s">
        <v>740</v>
      </c>
      <c r="P270" s="8" t="s">
        <v>97</v>
      </c>
      <c r="Q270" s="8"/>
      <c r="R270" s="9">
        <v>43191</v>
      </c>
      <c r="S270" s="9">
        <v>43191</v>
      </c>
      <c r="T270" s="8">
        <f t="shared" si="17"/>
        <v>4</v>
      </c>
      <c r="U270" s="8" t="str">
        <f t="shared" si="18"/>
        <v>April</v>
      </c>
    </row>
    <row r="271" spans="1:21" x14ac:dyDescent="0.55000000000000004">
      <c r="A271" t="str">
        <f t="shared" si="19"/>
        <v>AprilHong Kong - DECI NC</v>
      </c>
      <c r="B271" s="3" t="s">
        <v>20</v>
      </c>
      <c r="C271" s="26" t="s">
        <v>241</v>
      </c>
      <c r="D271" s="26" t="s">
        <v>742</v>
      </c>
      <c r="E271" s="27">
        <v>43214</v>
      </c>
      <c r="F271" s="26" t="s">
        <v>332</v>
      </c>
      <c r="G271" s="26" t="s">
        <v>743</v>
      </c>
      <c r="H271" s="26" t="s">
        <v>744</v>
      </c>
      <c r="I271" s="26" t="s">
        <v>646</v>
      </c>
      <c r="J271" s="26" t="s">
        <v>27</v>
      </c>
      <c r="K271" s="31">
        <v>6470.94</v>
      </c>
      <c r="L271" s="28">
        <v>0</v>
      </c>
      <c r="M271" s="28">
        <f t="shared" si="20"/>
        <v>6470.94</v>
      </c>
      <c r="N271" s="26"/>
      <c r="O271" t="s">
        <v>743</v>
      </c>
      <c r="P271" s="8" t="s">
        <v>92</v>
      </c>
      <c r="Q271" s="8"/>
      <c r="R271" s="9">
        <v>43191</v>
      </c>
      <c r="S271" s="9">
        <v>43191</v>
      </c>
      <c r="T271" s="8">
        <f t="shared" si="17"/>
        <v>4</v>
      </c>
      <c r="U271" s="8" t="str">
        <f t="shared" si="18"/>
        <v>April</v>
      </c>
    </row>
    <row r="272" spans="1:21" x14ac:dyDescent="0.55000000000000004">
      <c r="A272" t="str">
        <f t="shared" si="19"/>
        <v>AprilChina - DECI NC</v>
      </c>
      <c r="B272" s="3" t="s">
        <v>20</v>
      </c>
      <c r="C272" s="26" t="s">
        <v>241</v>
      </c>
      <c r="D272" s="26" t="s">
        <v>745</v>
      </c>
      <c r="E272" s="27">
        <v>43214</v>
      </c>
      <c r="F272" s="26" t="s">
        <v>332</v>
      </c>
      <c r="G272" s="26" t="s">
        <v>746</v>
      </c>
      <c r="H272" s="26" t="s">
        <v>747</v>
      </c>
      <c r="I272" s="26" t="s">
        <v>646</v>
      </c>
      <c r="J272" s="26" t="s">
        <v>27</v>
      </c>
      <c r="K272" s="31">
        <v>16670.330000000002</v>
      </c>
      <c r="L272" s="28">
        <v>0</v>
      </c>
      <c r="M272" s="28">
        <f t="shared" si="20"/>
        <v>16670.330000000002</v>
      </c>
      <c r="N272" s="26"/>
      <c r="O272" t="s">
        <v>746</v>
      </c>
      <c r="P272" s="8" t="s">
        <v>97</v>
      </c>
      <c r="Q272" s="8"/>
      <c r="R272" s="9">
        <v>43191</v>
      </c>
      <c r="S272" s="9">
        <v>43191</v>
      </c>
      <c r="T272" s="8">
        <f t="shared" si="17"/>
        <v>4</v>
      </c>
      <c r="U272" s="8" t="str">
        <f t="shared" si="18"/>
        <v>April</v>
      </c>
    </row>
    <row r="273" spans="1:21" x14ac:dyDescent="0.55000000000000004">
      <c r="A273" t="str">
        <f t="shared" si="19"/>
        <v>AprilHong Kong - DECI NC</v>
      </c>
      <c r="B273" s="3" t="s">
        <v>20</v>
      </c>
      <c r="C273" s="26" t="s">
        <v>241</v>
      </c>
      <c r="D273" s="26" t="s">
        <v>748</v>
      </c>
      <c r="E273" s="27">
        <v>43214</v>
      </c>
      <c r="F273" s="26" t="s">
        <v>332</v>
      </c>
      <c r="G273" s="26" t="s">
        <v>749</v>
      </c>
      <c r="H273" s="26" t="s">
        <v>750</v>
      </c>
      <c r="I273" s="26" t="s">
        <v>646</v>
      </c>
      <c r="J273" s="26" t="s">
        <v>27</v>
      </c>
      <c r="K273" s="31">
        <v>11373.11</v>
      </c>
      <c r="L273" s="28">
        <v>0</v>
      </c>
      <c r="M273" s="28">
        <f t="shared" si="20"/>
        <v>11373.11</v>
      </c>
      <c r="N273" s="26"/>
      <c r="O273" t="s">
        <v>749</v>
      </c>
      <c r="P273" s="8" t="s">
        <v>92</v>
      </c>
      <c r="Q273" s="8"/>
      <c r="R273" s="9">
        <v>43191</v>
      </c>
      <c r="S273" s="9">
        <v>43191</v>
      </c>
      <c r="T273" s="8">
        <f t="shared" si="17"/>
        <v>4</v>
      </c>
      <c r="U273" s="8" t="str">
        <f t="shared" si="18"/>
        <v>April</v>
      </c>
    </row>
    <row r="274" spans="1:21" x14ac:dyDescent="0.55000000000000004">
      <c r="A274" t="str">
        <f t="shared" si="19"/>
        <v>AprilChina - DCL KY</v>
      </c>
      <c r="B274" s="3" t="s">
        <v>20</v>
      </c>
      <c r="C274" s="26" t="s">
        <v>241</v>
      </c>
      <c r="D274" s="26" t="s">
        <v>751</v>
      </c>
      <c r="E274" s="27">
        <v>43214</v>
      </c>
      <c r="F274" s="26" t="s">
        <v>332</v>
      </c>
      <c r="G274" s="26" t="s">
        <v>752</v>
      </c>
      <c r="H274" s="26" t="s">
        <v>753</v>
      </c>
      <c r="I274" s="26" t="s">
        <v>646</v>
      </c>
      <c r="J274" s="26" t="s">
        <v>27</v>
      </c>
      <c r="K274" s="31">
        <v>24775.32</v>
      </c>
      <c r="L274" s="28">
        <v>0</v>
      </c>
      <c r="M274" s="28">
        <f t="shared" si="20"/>
        <v>24775.32</v>
      </c>
      <c r="N274" s="26"/>
      <c r="O274" t="s">
        <v>752</v>
      </c>
      <c r="P274" s="8" t="s">
        <v>82</v>
      </c>
      <c r="Q274" s="8"/>
      <c r="R274" s="9">
        <v>43191</v>
      </c>
      <c r="S274" s="9">
        <v>43191</v>
      </c>
      <c r="T274" s="8">
        <f t="shared" si="17"/>
        <v>4</v>
      </c>
      <c r="U274" s="8" t="str">
        <f t="shared" si="18"/>
        <v>April</v>
      </c>
    </row>
    <row r="275" spans="1:21" x14ac:dyDescent="0.55000000000000004">
      <c r="A275" t="str">
        <f t="shared" si="19"/>
        <v>AprilHong Kong - Flex IL</v>
      </c>
      <c r="B275" s="3" t="s">
        <v>20</v>
      </c>
      <c r="C275" s="26" t="s">
        <v>241</v>
      </c>
      <c r="D275" s="26" t="s">
        <v>754</v>
      </c>
      <c r="E275" s="27">
        <v>43214</v>
      </c>
      <c r="F275" s="26" t="s">
        <v>332</v>
      </c>
      <c r="G275" s="26" t="s">
        <v>755</v>
      </c>
      <c r="H275" s="26" t="s">
        <v>756</v>
      </c>
      <c r="I275" s="26" t="s">
        <v>646</v>
      </c>
      <c r="J275" s="26" t="s">
        <v>27</v>
      </c>
      <c r="K275" s="31">
        <v>3903.36</v>
      </c>
      <c r="L275" s="28">
        <v>0</v>
      </c>
      <c r="M275" s="28">
        <f t="shared" si="20"/>
        <v>3903.36</v>
      </c>
      <c r="N275" s="26"/>
      <c r="O275" t="s">
        <v>755</v>
      </c>
      <c r="P275" s="8" t="s">
        <v>111</v>
      </c>
      <c r="Q275" s="8"/>
      <c r="R275" s="9">
        <v>43191</v>
      </c>
      <c r="S275" s="9">
        <v>43191</v>
      </c>
      <c r="T275" s="8">
        <f t="shared" si="17"/>
        <v>4</v>
      </c>
      <c r="U275" s="8" t="str">
        <f t="shared" si="18"/>
        <v>April</v>
      </c>
    </row>
    <row r="276" spans="1:21" x14ac:dyDescent="0.55000000000000004">
      <c r="A276" t="str">
        <f t="shared" si="19"/>
        <v>AprilChina - DECI NC</v>
      </c>
      <c r="B276" s="3" t="s">
        <v>20</v>
      </c>
      <c r="C276" s="26" t="s">
        <v>241</v>
      </c>
      <c r="D276" s="26" t="s">
        <v>757</v>
      </c>
      <c r="E276" s="27">
        <v>43214</v>
      </c>
      <c r="F276" s="26" t="s">
        <v>332</v>
      </c>
      <c r="G276" s="26" t="s">
        <v>746</v>
      </c>
      <c r="H276" s="26" t="s">
        <v>758</v>
      </c>
      <c r="I276" s="26" t="s">
        <v>646</v>
      </c>
      <c r="J276" s="26" t="s">
        <v>27</v>
      </c>
      <c r="K276" s="31">
        <v>32179.18</v>
      </c>
      <c r="L276" s="28">
        <v>0</v>
      </c>
      <c r="M276" s="28">
        <f t="shared" si="20"/>
        <v>32179.18</v>
      </c>
      <c r="N276" s="26"/>
      <c r="O276" t="s">
        <v>746</v>
      </c>
      <c r="P276" s="8" t="s">
        <v>97</v>
      </c>
      <c r="Q276" s="8"/>
      <c r="R276" s="9">
        <v>43191</v>
      </c>
      <c r="S276" s="9">
        <v>43191</v>
      </c>
      <c r="T276" s="8">
        <f t="shared" si="17"/>
        <v>4</v>
      </c>
      <c r="U276" s="8" t="str">
        <f t="shared" si="18"/>
        <v>April</v>
      </c>
    </row>
    <row r="277" spans="1:21" x14ac:dyDescent="0.55000000000000004">
      <c r="A277" t="str">
        <f t="shared" si="19"/>
        <v>AprilHong Kong - DECI NC</v>
      </c>
      <c r="B277" s="3" t="s">
        <v>20</v>
      </c>
      <c r="C277" s="26" t="s">
        <v>241</v>
      </c>
      <c r="D277" s="26" t="s">
        <v>759</v>
      </c>
      <c r="E277" s="27">
        <v>43214</v>
      </c>
      <c r="F277" s="26" t="s">
        <v>332</v>
      </c>
      <c r="G277" s="26" t="s">
        <v>760</v>
      </c>
      <c r="H277" s="26" t="s">
        <v>761</v>
      </c>
      <c r="I277" s="26" t="s">
        <v>646</v>
      </c>
      <c r="J277" s="26" t="s">
        <v>27</v>
      </c>
      <c r="K277" s="31">
        <v>9563.8700000000008</v>
      </c>
      <c r="L277" s="28">
        <v>0</v>
      </c>
      <c r="M277" s="28">
        <f t="shared" si="20"/>
        <v>9563.8700000000008</v>
      </c>
      <c r="N277" s="26"/>
      <c r="O277" t="s">
        <v>760</v>
      </c>
      <c r="P277" s="8" t="s">
        <v>92</v>
      </c>
      <c r="Q277" s="8"/>
      <c r="R277" s="9">
        <v>43191</v>
      </c>
      <c r="S277" s="9">
        <v>43191</v>
      </c>
      <c r="T277" s="8">
        <f t="shared" si="17"/>
        <v>4</v>
      </c>
      <c r="U277" s="8" t="str">
        <f t="shared" si="18"/>
        <v>April</v>
      </c>
    </row>
    <row r="278" spans="1:21" x14ac:dyDescent="0.55000000000000004">
      <c r="A278" t="str">
        <f t="shared" si="19"/>
        <v>AprilHong Kong - DECI NC</v>
      </c>
      <c r="B278" s="3" t="s">
        <v>20</v>
      </c>
      <c r="C278" s="26" t="s">
        <v>241</v>
      </c>
      <c r="D278" s="26" t="s">
        <v>762</v>
      </c>
      <c r="E278" s="27">
        <v>43214</v>
      </c>
      <c r="F278" s="26" t="s">
        <v>332</v>
      </c>
      <c r="G278" s="26" t="s">
        <v>760</v>
      </c>
      <c r="H278" s="26" t="s">
        <v>763</v>
      </c>
      <c r="I278" s="26" t="s">
        <v>646</v>
      </c>
      <c r="J278" s="26" t="s">
        <v>27</v>
      </c>
      <c r="K278" s="31">
        <v>16566.87</v>
      </c>
      <c r="L278" s="28">
        <v>0</v>
      </c>
      <c r="M278" s="28">
        <f t="shared" si="20"/>
        <v>16566.87</v>
      </c>
      <c r="N278" s="26"/>
      <c r="O278" t="s">
        <v>760</v>
      </c>
      <c r="P278" s="8" t="s">
        <v>92</v>
      </c>
      <c r="Q278" s="8"/>
      <c r="R278" s="9">
        <v>43191</v>
      </c>
      <c r="S278" s="9">
        <v>43191</v>
      </c>
      <c r="T278" s="8">
        <f t="shared" si="17"/>
        <v>4</v>
      </c>
      <c r="U278" s="8" t="str">
        <f t="shared" si="18"/>
        <v>April</v>
      </c>
    </row>
    <row r="279" spans="1:21" x14ac:dyDescent="0.55000000000000004">
      <c r="A279" t="str">
        <f t="shared" si="19"/>
        <v>AprilHong Kong - DECI NC</v>
      </c>
      <c r="B279" s="3" t="s">
        <v>20</v>
      </c>
      <c r="C279" s="26" t="s">
        <v>241</v>
      </c>
      <c r="D279" s="26" t="s">
        <v>764</v>
      </c>
      <c r="E279" s="27">
        <v>43214</v>
      </c>
      <c r="F279" s="26" t="s">
        <v>332</v>
      </c>
      <c r="G279" s="26" t="s">
        <v>765</v>
      </c>
      <c r="H279" s="26" t="s">
        <v>766</v>
      </c>
      <c r="I279" s="26" t="s">
        <v>646</v>
      </c>
      <c r="J279" s="26" t="s">
        <v>27</v>
      </c>
      <c r="K279" s="31">
        <v>8641.7099999999991</v>
      </c>
      <c r="L279" s="28">
        <v>0</v>
      </c>
      <c r="M279" s="28">
        <f t="shared" si="20"/>
        <v>8641.7099999999991</v>
      </c>
      <c r="N279" s="26"/>
      <c r="O279" t="s">
        <v>765</v>
      </c>
      <c r="P279" s="8" t="s">
        <v>92</v>
      </c>
      <c r="Q279" s="8"/>
      <c r="R279" s="9">
        <v>43191</v>
      </c>
      <c r="S279" s="9">
        <v>43191</v>
      </c>
      <c r="T279" s="8">
        <f t="shared" si="17"/>
        <v>4</v>
      </c>
      <c r="U279" s="8" t="str">
        <f t="shared" si="18"/>
        <v>April</v>
      </c>
    </row>
    <row r="280" spans="1:21" x14ac:dyDescent="0.55000000000000004">
      <c r="A280" t="str">
        <f t="shared" si="19"/>
        <v>AprilHong Kong - DECI NC</v>
      </c>
      <c r="B280" s="3" t="s">
        <v>20</v>
      </c>
      <c r="C280" s="26" t="s">
        <v>241</v>
      </c>
      <c r="D280" s="26" t="s">
        <v>767</v>
      </c>
      <c r="E280" s="27">
        <v>43214</v>
      </c>
      <c r="F280" s="26" t="s">
        <v>332</v>
      </c>
      <c r="G280" s="26" t="s">
        <v>765</v>
      </c>
      <c r="H280" s="26" t="s">
        <v>768</v>
      </c>
      <c r="I280" s="26" t="s">
        <v>646</v>
      </c>
      <c r="J280" s="26" t="s">
        <v>27</v>
      </c>
      <c r="K280" s="31">
        <v>15738.3</v>
      </c>
      <c r="L280" s="28">
        <v>0</v>
      </c>
      <c r="M280" s="28">
        <f t="shared" si="20"/>
        <v>15738.3</v>
      </c>
      <c r="N280" s="26"/>
      <c r="O280" t="s">
        <v>765</v>
      </c>
      <c r="P280" s="8" t="s">
        <v>92</v>
      </c>
      <c r="Q280" s="8"/>
      <c r="R280" s="9">
        <v>43191</v>
      </c>
      <c r="S280" s="9">
        <v>43191</v>
      </c>
      <c r="T280" s="8">
        <f t="shared" si="17"/>
        <v>4</v>
      </c>
      <c r="U280" s="8" t="str">
        <f t="shared" si="18"/>
        <v>April</v>
      </c>
    </row>
    <row r="281" spans="1:21" x14ac:dyDescent="0.55000000000000004">
      <c r="A281" t="str">
        <f t="shared" si="19"/>
        <v>AprilHong Kong - DCL KY</v>
      </c>
      <c r="B281" s="3" t="s">
        <v>20</v>
      </c>
      <c r="C281" s="26" t="s">
        <v>241</v>
      </c>
      <c r="D281" s="26" t="s">
        <v>769</v>
      </c>
      <c r="E281" s="27">
        <v>43214</v>
      </c>
      <c r="F281" s="26" t="s">
        <v>332</v>
      </c>
      <c r="G281" s="26" t="s">
        <v>770</v>
      </c>
      <c r="H281" s="26" t="s">
        <v>771</v>
      </c>
      <c r="I281" s="26" t="s">
        <v>646</v>
      </c>
      <c r="J281" s="26" t="s">
        <v>27</v>
      </c>
      <c r="K281" s="31">
        <v>13045.21</v>
      </c>
      <c r="L281" s="28">
        <v>0</v>
      </c>
      <c r="M281" s="28">
        <f t="shared" si="20"/>
        <v>13045.21</v>
      </c>
      <c r="N281" s="26"/>
      <c r="O281" t="s">
        <v>770</v>
      </c>
      <c r="P281" s="8" t="s">
        <v>39</v>
      </c>
      <c r="Q281" s="8"/>
      <c r="R281" s="9">
        <v>43191</v>
      </c>
      <c r="S281" s="9">
        <v>43191</v>
      </c>
      <c r="T281" s="8">
        <f t="shared" si="17"/>
        <v>4</v>
      </c>
      <c r="U281" s="8" t="str">
        <f t="shared" si="18"/>
        <v>April</v>
      </c>
    </row>
    <row r="282" spans="1:21" x14ac:dyDescent="0.55000000000000004">
      <c r="A282" t="str">
        <f t="shared" si="19"/>
        <v>AprilHong Kong - DECI NC</v>
      </c>
      <c r="B282" s="3" t="s">
        <v>20</v>
      </c>
      <c r="C282" s="26" t="s">
        <v>241</v>
      </c>
      <c r="D282" s="26" t="s">
        <v>772</v>
      </c>
      <c r="E282" s="27">
        <v>43214</v>
      </c>
      <c r="F282" s="26" t="s">
        <v>332</v>
      </c>
      <c r="G282" s="26" t="s">
        <v>749</v>
      </c>
      <c r="H282" s="26" t="s">
        <v>773</v>
      </c>
      <c r="I282" s="26" t="s">
        <v>646</v>
      </c>
      <c r="J282" s="26" t="s">
        <v>27</v>
      </c>
      <c r="K282" s="31">
        <v>20551.78</v>
      </c>
      <c r="L282" s="28">
        <v>0</v>
      </c>
      <c r="M282" s="28">
        <f t="shared" si="20"/>
        <v>20551.78</v>
      </c>
      <c r="N282" s="26"/>
      <c r="O282" t="s">
        <v>749</v>
      </c>
      <c r="P282" s="8" t="s">
        <v>92</v>
      </c>
      <c r="Q282" s="8"/>
      <c r="R282" s="9">
        <v>43191</v>
      </c>
      <c r="S282" s="9">
        <v>43191</v>
      </c>
      <c r="T282" s="8">
        <f t="shared" si="17"/>
        <v>4</v>
      </c>
      <c r="U282" s="8" t="str">
        <f t="shared" si="18"/>
        <v>April</v>
      </c>
    </row>
    <row r="283" spans="1:21" x14ac:dyDescent="0.55000000000000004">
      <c r="A283" t="str">
        <f t="shared" si="19"/>
        <v>AprilChina - DCL KY</v>
      </c>
      <c r="B283" s="3" t="s">
        <v>20</v>
      </c>
      <c r="C283" s="26" t="s">
        <v>241</v>
      </c>
      <c r="D283" s="26" t="s">
        <v>774</v>
      </c>
      <c r="E283" s="27">
        <v>43214</v>
      </c>
      <c r="F283" s="26" t="s">
        <v>332</v>
      </c>
      <c r="G283" s="26" t="s">
        <v>775</v>
      </c>
      <c r="H283" s="26" t="s">
        <v>776</v>
      </c>
      <c r="I283" s="26" t="s">
        <v>646</v>
      </c>
      <c r="J283" s="26" t="s">
        <v>27</v>
      </c>
      <c r="K283" s="31">
        <v>10191.59</v>
      </c>
      <c r="L283" s="28">
        <v>0</v>
      </c>
      <c r="M283" s="28">
        <f t="shared" si="20"/>
        <v>10191.59</v>
      </c>
      <c r="N283" s="26"/>
      <c r="O283" t="s">
        <v>775</v>
      </c>
      <c r="P283" s="8" t="s">
        <v>82</v>
      </c>
      <c r="Q283" s="8"/>
      <c r="R283" s="9">
        <v>43191</v>
      </c>
      <c r="S283" s="9">
        <v>43191</v>
      </c>
      <c r="T283" s="8">
        <f t="shared" si="17"/>
        <v>4</v>
      </c>
      <c r="U283" s="8" t="str">
        <f t="shared" si="18"/>
        <v>April</v>
      </c>
    </row>
    <row r="284" spans="1:21" x14ac:dyDescent="0.55000000000000004">
      <c r="A284" t="str">
        <f t="shared" si="19"/>
        <v>AprilHong Kong - DCL KY</v>
      </c>
      <c r="B284" s="3" t="s">
        <v>20</v>
      </c>
      <c r="C284" s="26" t="s">
        <v>241</v>
      </c>
      <c r="D284" s="26" t="s">
        <v>777</v>
      </c>
      <c r="E284" s="27">
        <v>43214</v>
      </c>
      <c r="F284" s="26" t="s">
        <v>332</v>
      </c>
      <c r="G284" s="26" t="s">
        <v>778</v>
      </c>
      <c r="H284" s="26" t="s">
        <v>779</v>
      </c>
      <c r="I284" s="26" t="s">
        <v>646</v>
      </c>
      <c r="J284" s="26" t="s">
        <v>27</v>
      </c>
      <c r="K284" s="31">
        <v>15403.66</v>
      </c>
      <c r="L284" s="28">
        <v>0</v>
      </c>
      <c r="M284" s="28">
        <f t="shared" si="20"/>
        <v>15403.66</v>
      </c>
      <c r="N284" s="26"/>
      <c r="O284" t="s">
        <v>778</v>
      </c>
      <c r="P284" s="8" t="s">
        <v>39</v>
      </c>
      <c r="Q284" s="8"/>
      <c r="R284" s="9">
        <v>43191</v>
      </c>
      <c r="S284" s="9">
        <v>43191</v>
      </c>
      <c r="T284" s="8">
        <f t="shared" si="17"/>
        <v>4</v>
      </c>
      <c r="U284" s="8" t="str">
        <f t="shared" si="18"/>
        <v>April</v>
      </c>
    </row>
    <row r="285" spans="1:21" x14ac:dyDescent="0.55000000000000004">
      <c r="A285" t="str">
        <f t="shared" si="19"/>
        <v>AprilChina - DCL KY</v>
      </c>
      <c r="B285" s="3" t="s">
        <v>20</v>
      </c>
      <c r="C285" s="26" t="s">
        <v>241</v>
      </c>
      <c r="D285" s="26" t="s">
        <v>780</v>
      </c>
      <c r="E285" s="27">
        <v>43214</v>
      </c>
      <c r="F285" s="26" t="s">
        <v>332</v>
      </c>
      <c r="G285" s="26" t="s">
        <v>781</v>
      </c>
      <c r="H285" s="26" t="s">
        <v>782</v>
      </c>
      <c r="I285" s="26" t="s">
        <v>646</v>
      </c>
      <c r="J285" s="26" t="s">
        <v>27</v>
      </c>
      <c r="K285" s="31">
        <v>18761.95</v>
      </c>
      <c r="L285" s="28">
        <v>0</v>
      </c>
      <c r="M285" s="28">
        <f t="shared" si="20"/>
        <v>18761.95</v>
      </c>
      <c r="N285" s="26"/>
      <c r="O285" t="s">
        <v>781</v>
      </c>
      <c r="P285" s="8" t="s">
        <v>82</v>
      </c>
      <c r="Q285" s="8"/>
      <c r="R285" s="9">
        <v>43191</v>
      </c>
      <c r="S285" s="9">
        <v>43191</v>
      </c>
      <c r="T285" s="8">
        <f t="shared" si="17"/>
        <v>4</v>
      </c>
      <c r="U285" s="8" t="str">
        <f t="shared" si="18"/>
        <v>April</v>
      </c>
    </row>
    <row r="286" spans="1:21" x14ac:dyDescent="0.55000000000000004">
      <c r="A286" t="str">
        <f t="shared" si="19"/>
        <v>AprilHong Kong - DECI NC</v>
      </c>
      <c r="B286" s="3" t="s">
        <v>20</v>
      </c>
      <c r="C286" s="26" t="s">
        <v>241</v>
      </c>
      <c r="D286" s="26" t="s">
        <v>783</v>
      </c>
      <c r="E286" s="27">
        <v>43216</v>
      </c>
      <c r="F286" s="26" t="s">
        <v>332</v>
      </c>
      <c r="G286" s="26" t="s">
        <v>749</v>
      </c>
      <c r="H286" s="26" t="s">
        <v>784</v>
      </c>
      <c r="I286" s="26" t="s">
        <v>646</v>
      </c>
      <c r="J286" s="26" t="s">
        <v>27</v>
      </c>
      <c r="K286" s="31">
        <v>12609.53</v>
      </c>
      <c r="L286" s="28">
        <v>0</v>
      </c>
      <c r="M286" s="28">
        <f t="shared" si="20"/>
        <v>12609.53</v>
      </c>
      <c r="N286" s="26"/>
      <c r="O286" t="s">
        <v>749</v>
      </c>
      <c r="P286" s="8" t="s">
        <v>92</v>
      </c>
      <c r="Q286" s="8"/>
      <c r="R286" s="9">
        <v>43191</v>
      </c>
      <c r="S286" s="9">
        <v>43191</v>
      </c>
      <c r="T286" s="8">
        <f t="shared" si="17"/>
        <v>4</v>
      </c>
      <c r="U286" s="8" t="str">
        <f t="shared" si="18"/>
        <v>April</v>
      </c>
    </row>
    <row r="287" spans="1:21" x14ac:dyDescent="0.55000000000000004">
      <c r="A287" t="str">
        <f t="shared" si="19"/>
        <v>AprilChina - JUUL HQ</v>
      </c>
      <c r="B287" s="3" t="s">
        <v>20</v>
      </c>
      <c r="C287" s="26" t="s">
        <v>241</v>
      </c>
      <c r="D287" s="26" t="s">
        <v>785</v>
      </c>
      <c r="E287" s="27">
        <v>43216</v>
      </c>
      <c r="F287" s="26" t="s">
        <v>332</v>
      </c>
      <c r="G287" s="26" t="s">
        <v>786</v>
      </c>
      <c r="H287" s="26" t="s">
        <v>787</v>
      </c>
      <c r="I287" s="26" t="s">
        <v>646</v>
      </c>
      <c r="J287" s="26" t="s">
        <v>27</v>
      </c>
      <c r="K287" s="31">
        <v>1766.46</v>
      </c>
      <c r="L287" s="28">
        <v>0</v>
      </c>
      <c r="M287" s="28">
        <f t="shared" si="20"/>
        <v>1766.46</v>
      </c>
      <c r="N287" s="26"/>
      <c r="O287" t="s">
        <v>786</v>
      </c>
      <c r="P287" s="8" t="s">
        <v>788</v>
      </c>
      <c r="Q287" s="8"/>
      <c r="R287" s="9">
        <v>43191</v>
      </c>
      <c r="S287" s="9">
        <v>43191</v>
      </c>
      <c r="T287" s="8">
        <f t="shared" si="17"/>
        <v>4</v>
      </c>
      <c r="U287" s="8" t="str">
        <f t="shared" si="18"/>
        <v>April</v>
      </c>
    </row>
    <row r="288" spans="1:21" x14ac:dyDescent="0.55000000000000004">
      <c r="A288" t="str">
        <f t="shared" si="19"/>
        <v>AprilChina - DCL KY</v>
      </c>
      <c r="B288" s="3" t="s">
        <v>20</v>
      </c>
      <c r="C288" s="26" t="s">
        <v>241</v>
      </c>
      <c r="D288" s="26" t="s">
        <v>789</v>
      </c>
      <c r="E288" s="27">
        <v>43216</v>
      </c>
      <c r="F288" s="26" t="s">
        <v>332</v>
      </c>
      <c r="G288" s="26" t="s">
        <v>790</v>
      </c>
      <c r="H288" s="26" t="s">
        <v>791</v>
      </c>
      <c r="I288" s="26" t="s">
        <v>646</v>
      </c>
      <c r="J288" s="26" t="s">
        <v>27</v>
      </c>
      <c r="K288" s="31">
        <v>40485.040000000001</v>
      </c>
      <c r="L288" s="28">
        <v>0</v>
      </c>
      <c r="M288" s="28">
        <f t="shared" si="20"/>
        <v>40485.040000000001</v>
      </c>
      <c r="N288" s="26"/>
      <c r="O288" t="s">
        <v>790</v>
      </c>
      <c r="P288" s="8" t="s">
        <v>82</v>
      </c>
      <c r="Q288" s="8"/>
      <c r="R288" s="9">
        <v>43191</v>
      </c>
      <c r="S288" s="9">
        <v>43191</v>
      </c>
      <c r="T288" s="8">
        <f t="shared" si="17"/>
        <v>4</v>
      </c>
      <c r="U288" s="8" t="str">
        <f t="shared" si="18"/>
        <v>April</v>
      </c>
    </row>
    <row r="289" spans="1:21" x14ac:dyDescent="0.55000000000000004">
      <c r="A289" t="str">
        <f t="shared" si="19"/>
        <v>AprilChina - DECI NC</v>
      </c>
      <c r="B289" s="3" t="s">
        <v>20</v>
      </c>
      <c r="C289" s="26" t="s">
        <v>241</v>
      </c>
      <c r="D289" s="26" t="s">
        <v>792</v>
      </c>
      <c r="E289" s="27">
        <v>43216</v>
      </c>
      <c r="F289" s="26" t="s">
        <v>332</v>
      </c>
      <c r="G289" s="26" t="s">
        <v>793</v>
      </c>
      <c r="H289" s="26" t="s">
        <v>794</v>
      </c>
      <c r="I289" s="26" t="s">
        <v>646</v>
      </c>
      <c r="J289" s="26" t="s">
        <v>27</v>
      </c>
      <c r="K289" s="31">
        <v>21807.88</v>
      </c>
      <c r="L289" s="28">
        <v>0</v>
      </c>
      <c r="M289" s="28">
        <f t="shared" si="20"/>
        <v>21807.88</v>
      </c>
      <c r="N289" s="26"/>
      <c r="O289" t="s">
        <v>793</v>
      </c>
      <c r="P289" s="8" t="s">
        <v>97</v>
      </c>
      <c r="Q289" s="8"/>
      <c r="R289" s="9">
        <v>43191</v>
      </c>
      <c r="S289" s="9">
        <v>43191</v>
      </c>
      <c r="T289" s="8">
        <f t="shared" si="17"/>
        <v>4</v>
      </c>
      <c r="U289" s="8" t="str">
        <f t="shared" si="18"/>
        <v>April</v>
      </c>
    </row>
    <row r="290" spans="1:21" x14ac:dyDescent="0.55000000000000004">
      <c r="A290" t="str">
        <f t="shared" si="19"/>
        <v>AprilChina - DECI NC</v>
      </c>
      <c r="B290" s="3" t="s">
        <v>20</v>
      </c>
      <c r="C290" s="26" t="s">
        <v>241</v>
      </c>
      <c r="D290" s="26" t="s">
        <v>795</v>
      </c>
      <c r="E290" s="27">
        <v>43217</v>
      </c>
      <c r="F290" s="26" t="s">
        <v>332</v>
      </c>
      <c r="G290" s="26" t="s">
        <v>793</v>
      </c>
      <c r="H290" s="26" t="s">
        <v>796</v>
      </c>
      <c r="I290" s="26" t="s">
        <v>646</v>
      </c>
      <c r="J290" s="26" t="s">
        <v>27</v>
      </c>
      <c r="K290" s="31">
        <v>15458.87</v>
      </c>
      <c r="L290" s="28">
        <v>0</v>
      </c>
      <c r="M290" s="28">
        <f t="shared" si="20"/>
        <v>15458.87</v>
      </c>
      <c r="N290" s="26"/>
      <c r="O290" t="s">
        <v>793</v>
      </c>
      <c r="P290" s="8" t="s">
        <v>97</v>
      </c>
      <c r="Q290" s="8"/>
      <c r="R290" s="9">
        <v>43191</v>
      </c>
      <c r="S290" s="9">
        <v>43191</v>
      </c>
      <c r="T290" s="8">
        <f t="shared" si="17"/>
        <v>4</v>
      </c>
      <c r="U290" s="8" t="str">
        <f t="shared" si="18"/>
        <v>April</v>
      </c>
    </row>
    <row r="291" spans="1:21" x14ac:dyDescent="0.55000000000000004">
      <c r="A291" t="str">
        <f t="shared" si="19"/>
        <v>AprilChina - DECI NC</v>
      </c>
      <c r="B291" s="3" t="s">
        <v>20</v>
      </c>
      <c r="C291" s="26" t="s">
        <v>241</v>
      </c>
      <c r="D291" s="26" t="s">
        <v>797</v>
      </c>
      <c r="E291" s="27">
        <v>43217</v>
      </c>
      <c r="F291" s="26" t="s">
        <v>332</v>
      </c>
      <c r="G291" s="26" t="s">
        <v>793</v>
      </c>
      <c r="H291" s="26" t="s">
        <v>798</v>
      </c>
      <c r="I291" s="26" t="s">
        <v>646</v>
      </c>
      <c r="J291" s="26" t="s">
        <v>27</v>
      </c>
      <c r="K291" s="31">
        <v>17882.41</v>
      </c>
      <c r="L291" s="28">
        <v>0</v>
      </c>
      <c r="M291" s="28">
        <f t="shared" si="20"/>
        <v>17882.41</v>
      </c>
      <c r="N291" s="26"/>
      <c r="O291" t="s">
        <v>793</v>
      </c>
      <c r="P291" s="8" t="s">
        <v>97</v>
      </c>
      <c r="Q291" s="8"/>
      <c r="R291" s="9">
        <v>43191</v>
      </c>
      <c r="S291" s="9">
        <v>43191</v>
      </c>
      <c r="T291" s="8">
        <f t="shared" si="17"/>
        <v>4</v>
      </c>
      <c r="U291" s="8" t="str">
        <f t="shared" si="18"/>
        <v>April</v>
      </c>
    </row>
    <row r="292" spans="1:21" x14ac:dyDescent="0.55000000000000004">
      <c r="A292" t="str">
        <f t="shared" si="19"/>
        <v>MayAFG Suzho - DECI NC</v>
      </c>
      <c r="B292" s="3" t="s">
        <v>20</v>
      </c>
      <c r="C292" s="26" t="s">
        <v>241</v>
      </c>
      <c r="D292" s="26"/>
      <c r="E292" s="27">
        <v>43230</v>
      </c>
      <c r="F292" s="26" t="s">
        <v>332</v>
      </c>
      <c r="G292" s="26" t="s">
        <v>800</v>
      </c>
      <c r="H292" s="26"/>
      <c r="I292" s="26"/>
      <c r="J292" s="26"/>
      <c r="K292" s="28">
        <v>-6065.83</v>
      </c>
      <c r="L292" s="28">
        <v>0</v>
      </c>
      <c r="M292" s="28">
        <f t="shared" si="20"/>
        <v>-6065.83</v>
      </c>
      <c r="N292" s="29"/>
      <c r="O292" s="8" t="s">
        <v>799</v>
      </c>
      <c r="P292" s="8" t="s">
        <v>245</v>
      </c>
      <c r="Q292" s="8" t="s">
        <v>246</v>
      </c>
      <c r="R292" s="9">
        <v>43191</v>
      </c>
      <c r="S292" s="9">
        <v>43221</v>
      </c>
      <c r="T292" s="8">
        <f t="shared" si="17"/>
        <v>5</v>
      </c>
      <c r="U292" s="8" t="str">
        <f t="shared" si="18"/>
        <v>May</v>
      </c>
    </row>
    <row r="293" spans="1:21" x14ac:dyDescent="0.55000000000000004">
      <c r="A293" t="str">
        <f t="shared" si="19"/>
        <v>MayAFG Suzho - DCL KY</v>
      </c>
      <c r="B293" s="3" t="s">
        <v>20</v>
      </c>
      <c r="C293" s="26" t="s">
        <v>241</v>
      </c>
      <c r="D293" s="26"/>
      <c r="E293" s="27">
        <v>43239</v>
      </c>
      <c r="F293" s="26" t="s">
        <v>332</v>
      </c>
      <c r="G293" s="26" t="s">
        <v>800</v>
      </c>
      <c r="H293" s="26"/>
      <c r="I293" s="26"/>
      <c r="J293" s="26"/>
      <c r="K293" s="28">
        <v>-73190.63</v>
      </c>
      <c r="L293" s="28">
        <v>0</v>
      </c>
      <c r="M293" s="28">
        <f t="shared" si="20"/>
        <v>-73190.63</v>
      </c>
      <c r="N293" s="29"/>
      <c r="O293" s="8" t="s">
        <v>801</v>
      </c>
      <c r="P293" s="8" t="s">
        <v>247</v>
      </c>
      <c r="Q293" s="8" t="s">
        <v>248</v>
      </c>
      <c r="R293" s="9">
        <v>43221</v>
      </c>
      <c r="S293" s="9">
        <v>43221</v>
      </c>
      <c r="T293" s="8">
        <f t="shared" si="17"/>
        <v>5</v>
      </c>
      <c r="U293" s="8" t="str">
        <f t="shared" si="18"/>
        <v>May</v>
      </c>
    </row>
    <row r="294" spans="1:21" x14ac:dyDescent="0.55000000000000004">
      <c r="A294" t="str">
        <f t="shared" si="19"/>
        <v>MayAFG Suzho - DCL KY</v>
      </c>
      <c r="B294" s="3" t="s">
        <v>20</v>
      </c>
      <c r="C294" s="26" t="s">
        <v>241</v>
      </c>
      <c r="D294" s="26"/>
      <c r="E294" s="27">
        <v>43246</v>
      </c>
      <c r="F294" s="26" t="s">
        <v>332</v>
      </c>
      <c r="G294" s="26" t="s">
        <v>800</v>
      </c>
      <c r="H294" s="26"/>
      <c r="I294" s="26"/>
      <c r="J294" s="26"/>
      <c r="K294" s="28">
        <v>-9984.5300000000007</v>
      </c>
      <c r="L294" s="28">
        <v>0</v>
      </c>
      <c r="M294" s="28">
        <f t="shared" si="20"/>
        <v>-9984.5300000000007</v>
      </c>
      <c r="N294" s="29"/>
      <c r="O294" s="8" t="s">
        <v>802</v>
      </c>
      <c r="P294" s="8" t="s">
        <v>247</v>
      </c>
      <c r="Q294" s="8" t="s">
        <v>249</v>
      </c>
      <c r="R294" s="9">
        <v>43221</v>
      </c>
      <c r="S294" s="9">
        <v>43221</v>
      </c>
      <c r="T294" s="8">
        <f t="shared" si="17"/>
        <v>5</v>
      </c>
      <c r="U294" s="8" t="str">
        <f t="shared" si="18"/>
        <v>May</v>
      </c>
    </row>
    <row r="295" spans="1:21" x14ac:dyDescent="0.55000000000000004">
      <c r="A295" t="str">
        <f t="shared" si="19"/>
        <v>MayHong Kong - DECI NC</v>
      </c>
      <c r="B295" s="3" t="s">
        <v>20</v>
      </c>
      <c r="C295" s="26" t="s">
        <v>241</v>
      </c>
      <c r="D295" s="26"/>
      <c r="E295" s="27">
        <v>43246</v>
      </c>
      <c r="F295" s="26" t="s">
        <v>332</v>
      </c>
      <c r="G295" s="26" t="s">
        <v>800</v>
      </c>
      <c r="H295" s="26"/>
      <c r="I295" s="26"/>
      <c r="J295" s="26"/>
      <c r="K295" s="28">
        <v>-7102.8</v>
      </c>
      <c r="L295" s="28">
        <v>0</v>
      </c>
      <c r="M295" s="28">
        <f t="shared" si="20"/>
        <v>-7102.8</v>
      </c>
      <c r="N295" s="29"/>
      <c r="O295" s="8" t="s">
        <v>803</v>
      </c>
      <c r="P295" s="8" t="s">
        <v>92</v>
      </c>
      <c r="Q295" s="8" t="s">
        <v>250</v>
      </c>
      <c r="R295" s="9">
        <v>43221</v>
      </c>
      <c r="S295" s="9">
        <v>43221</v>
      </c>
      <c r="T295" s="8">
        <f t="shared" si="17"/>
        <v>5</v>
      </c>
      <c r="U295" s="8" t="str">
        <f t="shared" si="18"/>
        <v>May</v>
      </c>
    </row>
    <row r="296" spans="1:21" x14ac:dyDescent="0.55000000000000004">
      <c r="A296" t="str">
        <f t="shared" si="19"/>
        <v>MayAFG Suzho - DECI NC</v>
      </c>
      <c r="B296" s="3" t="s">
        <v>20</v>
      </c>
      <c r="C296" s="26" t="s">
        <v>241</v>
      </c>
      <c r="D296" s="26"/>
      <c r="E296" s="27">
        <v>43246</v>
      </c>
      <c r="F296" s="26" t="s">
        <v>332</v>
      </c>
      <c r="G296" s="26" t="s">
        <v>800</v>
      </c>
      <c r="H296" s="26"/>
      <c r="I296" s="26"/>
      <c r="J296" s="26"/>
      <c r="K296" s="28">
        <v>-57591.86</v>
      </c>
      <c r="L296" s="28">
        <v>0</v>
      </c>
      <c r="M296" s="28">
        <f t="shared" si="20"/>
        <v>-57591.86</v>
      </c>
      <c r="N296" s="29"/>
      <c r="O296" s="8" t="s">
        <v>804</v>
      </c>
      <c r="P296" s="8" t="s">
        <v>245</v>
      </c>
      <c r="Q296" s="8" t="s">
        <v>251</v>
      </c>
      <c r="R296" s="9">
        <v>43221</v>
      </c>
      <c r="S296" s="9">
        <v>43221</v>
      </c>
      <c r="T296" s="8">
        <f t="shared" si="17"/>
        <v>5</v>
      </c>
      <c r="U296" s="8" t="str">
        <f t="shared" si="18"/>
        <v>May</v>
      </c>
    </row>
    <row r="297" spans="1:21" x14ac:dyDescent="0.55000000000000004">
      <c r="A297" t="str">
        <f t="shared" si="19"/>
        <v>MayAFG Suzho - DCL KY</v>
      </c>
      <c r="B297" s="3" t="s">
        <v>20</v>
      </c>
      <c r="C297" s="26" t="s">
        <v>241</v>
      </c>
      <c r="D297" s="26"/>
      <c r="E297" s="27">
        <v>43246</v>
      </c>
      <c r="F297" s="26" t="s">
        <v>332</v>
      </c>
      <c r="G297" s="26" t="s">
        <v>800</v>
      </c>
      <c r="H297" s="26"/>
      <c r="I297" s="26"/>
      <c r="J297" s="26"/>
      <c r="K297" s="28">
        <v>-18009.23</v>
      </c>
      <c r="L297" s="28">
        <v>0</v>
      </c>
      <c r="M297" s="28">
        <f t="shared" si="20"/>
        <v>-18009.23</v>
      </c>
      <c r="N297" s="29"/>
      <c r="O297" s="8" t="s">
        <v>805</v>
      </c>
      <c r="P297" s="8" t="s">
        <v>247</v>
      </c>
      <c r="Q297" s="8" t="s">
        <v>252</v>
      </c>
      <c r="R297" s="9">
        <v>43221</v>
      </c>
      <c r="S297" s="9">
        <v>43221</v>
      </c>
      <c r="T297" s="8">
        <f t="shared" si="17"/>
        <v>5</v>
      </c>
      <c r="U297" s="8" t="str">
        <f t="shared" si="18"/>
        <v>May</v>
      </c>
    </row>
    <row r="298" spans="1:21" x14ac:dyDescent="0.55000000000000004">
      <c r="A298" t="str">
        <f t="shared" si="19"/>
        <v>MayAFG Suzho - DECI NC</v>
      </c>
      <c r="B298" s="3" t="s">
        <v>20</v>
      </c>
      <c r="C298" s="26" t="s">
        <v>241</v>
      </c>
      <c r="D298" s="26"/>
      <c r="E298" s="27">
        <v>43246</v>
      </c>
      <c r="F298" s="26" t="s">
        <v>332</v>
      </c>
      <c r="G298" s="26" t="s">
        <v>800</v>
      </c>
      <c r="H298" s="26"/>
      <c r="I298" s="26"/>
      <c r="J298" s="26"/>
      <c r="K298" s="28">
        <v>-49366.27</v>
      </c>
      <c r="L298" s="28">
        <v>0</v>
      </c>
      <c r="M298" s="28">
        <f t="shared" si="20"/>
        <v>-49366.27</v>
      </c>
      <c r="N298" s="29"/>
      <c r="O298" s="8" t="s">
        <v>806</v>
      </c>
      <c r="P298" s="8" t="s">
        <v>245</v>
      </c>
      <c r="Q298" s="8" t="s">
        <v>253</v>
      </c>
      <c r="R298" s="9">
        <v>43221</v>
      </c>
      <c r="S298" s="9">
        <v>43221</v>
      </c>
      <c r="T298" s="8">
        <f t="shared" si="17"/>
        <v>5</v>
      </c>
      <c r="U298" s="8" t="str">
        <f t="shared" si="18"/>
        <v>May</v>
      </c>
    </row>
    <row r="299" spans="1:21" x14ac:dyDescent="0.55000000000000004">
      <c r="A299" t="str">
        <f t="shared" si="19"/>
        <v>JuneAFG Suzho - DECI NC</v>
      </c>
      <c r="B299" s="3" t="s">
        <v>20</v>
      </c>
      <c r="C299" s="26" t="s">
        <v>241</v>
      </c>
      <c r="D299" s="26"/>
      <c r="E299" s="27">
        <v>43263</v>
      </c>
      <c r="F299" s="26" t="s">
        <v>332</v>
      </c>
      <c r="G299" s="26" t="s">
        <v>800</v>
      </c>
      <c r="H299" s="26"/>
      <c r="I299" s="26"/>
      <c r="J299" s="26"/>
      <c r="K299" s="28">
        <v>-52338.18</v>
      </c>
      <c r="L299" s="28">
        <v>0</v>
      </c>
      <c r="M299" s="28">
        <f t="shared" si="20"/>
        <v>-52338.18</v>
      </c>
      <c r="N299" s="29"/>
      <c r="O299" s="8" t="s">
        <v>807</v>
      </c>
      <c r="P299" s="8" t="s">
        <v>245</v>
      </c>
      <c r="Q299" s="8" t="s">
        <v>98</v>
      </c>
      <c r="R299" s="9">
        <v>43221</v>
      </c>
      <c r="S299" s="9">
        <v>43221</v>
      </c>
      <c r="T299" s="8">
        <f t="shared" ref="T299:T333" si="21">MONTH(E299)</f>
        <v>6</v>
      </c>
      <c r="U299" s="8" t="str">
        <f t="shared" si="18"/>
        <v>June</v>
      </c>
    </row>
    <row r="300" spans="1:21" x14ac:dyDescent="0.55000000000000004">
      <c r="A300" t="str">
        <f t="shared" si="19"/>
        <v>MayDCL KY - Ontario Can</v>
      </c>
      <c r="B300" s="3" t="s">
        <v>20</v>
      </c>
      <c r="C300" s="26" t="s">
        <v>241</v>
      </c>
      <c r="D300" s="26"/>
      <c r="E300" s="27">
        <v>43246</v>
      </c>
      <c r="F300" s="26" t="s">
        <v>332</v>
      </c>
      <c r="G300" s="26" t="s">
        <v>800</v>
      </c>
      <c r="H300" s="26"/>
      <c r="I300" s="26"/>
      <c r="J300" s="26"/>
      <c r="K300" s="28">
        <v>-3781.09</v>
      </c>
      <c r="L300" s="28">
        <v>0</v>
      </c>
      <c r="M300" s="28">
        <f t="shared" si="20"/>
        <v>-3781.09</v>
      </c>
      <c r="N300" s="29"/>
      <c r="O300" s="8" t="s">
        <v>808</v>
      </c>
      <c r="P300" s="8" t="s">
        <v>254</v>
      </c>
      <c r="Q300" s="8" t="s">
        <v>255</v>
      </c>
      <c r="R300" s="9">
        <v>43221</v>
      </c>
      <c r="S300" s="9">
        <v>43221</v>
      </c>
      <c r="T300" s="8">
        <f t="shared" si="21"/>
        <v>5</v>
      </c>
      <c r="U300" s="8" t="str">
        <f t="shared" ref="U300:U333" si="22">IF(T300=6,"June",IF(T300=5,"May",IF(T300=4,"April",IF(T300=3,"March",0))))</f>
        <v>May</v>
      </c>
    </row>
    <row r="301" spans="1:21" x14ac:dyDescent="0.55000000000000004">
      <c r="A301" t="str">
        <f t="shared" si="19"/>
        <v>MayHong Kong - Phillips WI</v>
      </c>
      <c r="B301" s="3" t="s">
        <v>20</v>
      </c>
      <c r="C301" s="26" t="s">
        <v>241</v>
      </c>
      <c r="D301" s="26"/>
      <c r="E301" s="27">
        <v>43246</v>
      </c>
      <c r="F301" s="26" t="s">
        <v>332</v>
      </c>
      <c r="G301" s="26" t="s">
        <v>800</v>
      </c>
      <c r="H301" s="26"/>
      <c r="I301" s="26"/>
      <c r="J301" s="26"/>
      <c r="K301" s="28">
        <v>-16928.59</v>
      </c>
      <c r="L301" s="28">
        <v>0</v>
      </c>
      <c r="M301" s="28">
        <f t="shared" si="20"/>
        <v>-16928.59</v>
      </c>
      <c r="N301" s="29"/>
      <c r="O301" s="8" t="s">
        <v>809</v>
      </c>
      <c r="P301" s="8" t="s">
        <v>65</v>
      </c>
      <c r="Q301" s="8" t="s">
        <v>256</v>
      </c>
      <c r="R301" s="9">
        <v>43221</v>
      </c>
      <c r="S301" s="9">
        <v>43221</v>
      </c>
      <c r="T301" s="8">
        <f t="shared" si="21"/>
        <v>5</v>
      </c>
      <c r="U301" s="8" t="str">
        <f t="shared" si="22"/>
        <v>May</v>
      </c>
    </row>
    <row r="302" spans="1:21" x14ac:dyDescent="0.55000000000000004">
      <c r="A302" t="str">
        <f t="shared" si="19"/>
        <v>JuneHong Kong - DECI NC</v>
      </c>
      <c r="B302" s="3" t="s">
        <v>20</v>
      </c>
      <c r="C302" s="26" t="s">
        <v>241</v>
      </c>
      <c r="D302" s="26"/>
      <c r="E302" s="27">
        <v>43263</v>
      </c>
      <c r="F302" s="26" t="s">
        <v>332</v>
      </c>
      <c r="G302" s="26" t="s">
        <v>800</v>
      </c>
      <c r="H302" s="26"/>
      <c r="I302" s="26"/>
      <c r="J302" s="26"/>
      <c r="K302" s="28">
        <v>-7412.97</v>
      </c>
      <c r="L302" s="28">
        <v>0</v>
      </c>
      <c r="M302" s="28">
        <f t="shared" si="20"/>
        <v>-7412.97</v>
      </c>
      <c r="N302" s="29"/>
      <c r="O302" s="8" t="s">
        <v>810</v>
      </c>
      <c r="P302" s="8" t="s">
        <v>92</v>
      </c>
      <c r="Q302" s="8" t="s">
        <v>257</v>
      </c>
      <c r="R302" s="9">
        <v>43221</v>
      </c>
      <c r="S302" s="9">
        <v>43221</v>
      </c>
      <c r="T302" s="8">
        <f t="shared" si="21"/>
        <v>6</v>
      </c>
      <c r="U302" s="8" t="str">
        <f t="shared" si="22"/>
        <v>June</v>
      </c>
    </row>
    <row r="303" spans="1:21" x14ac:dyDescent="0.55000000000000004">
      <c r="A303" t="str">
        <f t="shared" si="19"/>
        <v>MayHong Kong - Phillips WI</v>
      </c>
      <c r="B303" s="3" t="s">
        <v>20</v>
      </c>
      <c r="C303" s="26" t="s">
        <v>241</v>
      </c>
      <c r="D303" s="26"/>
      <c r="E303" s="27">
        <v>43246</v>
      </c>
      <c r="F303" s="26" t="s">
        <v>332</v>
      </c>
      <c r="G303" s="26" t="s">
        <v>800</v>
      </c>
      <c r="H303" s="26"/>
      <c r="I303" s="26"/>
      <c r="J303" s="26"/>
      <c r="K303" s="28">
        <v>-9461.81</v>
      </c>
      <c r="L303" s="28">
        <v>0</v>
      </c>
      <c r="M303" s="28">
        <f t="shared" si="20"/>
        <v>-9461.81</v>
      </c>
      <c r="N303" s="29"/>
      <c r="O303" s="8" t="s">
        <v>811</v>
      </c>
      <c r="P303" s="8" t="s">
        <v>65</v>
      </c>
      <c r="Q303" s="8" t="s">
        <v>258</v>
      </c>
      <c r="R303" s="9">
        <v>43221</v>
      </c>
      <c r="S303" s="9">
        <v>43221</v>
      </c>
      <c r="T303" s="8">
        <f t="shared" si="21"/>
        <v>5</v>
      </c>
      <c r="U303" s="8" t="str">
        <f t="shared" si="22"/>
        <v>May</v>
      </c>
    </row>
    <row r="304" spans="1:21" x14ac:dyDescent="0.55000000000000004">
      <c r="A304" t="str">
        <f t="shared" si="19"/>
        <v>MayHong Kong - DCL KY</v>
      </c>
      <c r="B304" s="3" t="s">
        <v>20</v>
      </c>
      <c r="C304" s="26" t="s">
        <v>241</v>
      </c>
      <c r="D304" s="26"/>
      <c r="E304" s="27">
        <v>43246</v>
      </c>
      <c r="F304" s="26" t="s">
        <v>332</v>
      </c>
      <c r="G304" s="26" t="s">
        <v>800</v>
      </c>
      <c r="H304" s="26"/>
      <c r="I304" s="26"/>
      <c r="J304" s="26"/>
      <c r="K304" s="28">
        <v>-1522.23</v>
      </c>
      <c r="L304" s="28">
        <v>0</v>
      </c>
      <c r="M304" s="28">
        <f t="shared" si="20"/>
        <v>-1522.23</v>
      </c>
      <c r="N304" s="29"/>
      <c r="O304" s="8" t="s">
        <v>812</v>
      </c>
      <c r="P304" s="8" t="s">
        <v>39</v>
      </c>
      <c r="Q304" s="8" t="s">
        <v>259</v>
      </c>
      <c r="R304" s="9">
        <v>43221</v>
      </c>
      <c r="S304" s="9">
        <v>43221</v>
      </c>
      <c r="T304" s="8">
        <f t="shared" si="21"/>
        <v>5</v>
      </c>
      <c r="U304" s="8" t="str">
        <f t="shared" si="22"/>
        <v>May</v>
      </c>
    </row>
    <row r="305" spans="1:21" x14ac:dyDescent="0.55000000000000004">
      <c r="A305" t="str">
        <f t="shared" si="19"/>
        <v>JuneHong Kong - DECI NC</v>
      </c>
      <c r="B305" s="3" t="s">
        <v>20</v>
      </c>
      <c r="C305" s="26" t="s">
        <v>241</v>
      </c>
      <c r="D305" s="26"/>
      <c r="E305" s="27">
        <v>43263</v>
      </c>
      <c r="F305" s="26" t="s">
        <v>332</v>
      </c>
      <c r="G305" s="26" t="s">
        <v>800</v>
      </c>
      <c r="H305" s="26"/>
      <c r="I305" s="26"/>
      <c r="J305" s="26"/>
      <c r="K305" s="28">
        <v>-7148.81</v>
      </c>
      <c r="L305" s="28">
        <v>0</v>
      </c>
      <c r="M305" s="28">
        <f t="shared" si="20"/>
        <v>-7148.81</v>
      </c>
      <c r="N305" s="29"/>
      <c r="O305" s="8" t="s">
        <v>813</v>
      </c>
      <c r="P305" s="8" t="s">
        <v>92</v>
      </c>
      <c r="Q305" s="8" t="s">
        <v>93</v>
      </c>
      <c r="R305" s="9">
        <v>43221</v>
      </c>
      <c r="S305" s="9">
        <v>43221</v>
      </c>
      <c r="T305" s="8">
        <f t="shared" si="21"/>
        <v>6</v>
      </c>
      <c r="U305" s="8" t="str">
        <f t="shared" si="22"/>
        <v>June</v>
      </c>
    </row>
    <row r="306" spans="1:21" x14ac:dyDescent="0.55000000000000004">
      <c r="A306" t="str">
        <f t="shared" si="19"/>
        <v>JuneAFG Suzho - DECI NC</v>
      </c>
      <c r="B306" s="3" t="s">
        <v>20</v>
      </c>
      <c r="C306" s="26" t="s">
        <v>241</v>
      </c>
      <c r="D306" s="26"/>
      <c r="E306" s="27">
        <v>43256</v>
      </c>
      <c r="F306" s="26" t="s">
        <v>332</v>
      </c>
      <c r="G306" s="26" t="s">
        <v>800</v>
      </c>
      <c r="H306" s="26"/>
      <c r="I306" s="26"/>
      <c r="J306" s="26"/>
      <c r="K306" s="28">
        <v>-51250.79</v>
      </c>
      <c r="L306" s="28">
        <v>0</v>
      </c>
      <c r="M306" s="28">
        <f t="shared" si="20"/>
        <v>-51250.79</v>
      </c>
      <c r="N306" s="29"/>
      <c r="O306" s="8" t="s">
        <v>814</v>
      </c>
      <c r="P306" s="8" t="s">
        <v>245</v>
      </c>
      <c r="Q306" s="8" t="s">
        <v>51</v>
      </c>
      <c r="R306" s="9">
        <v>43221</v>
      </c>
      <c r="S306" s="9">
        <v>43221</v>
      </c>
      <c r="T306" s="8">
        <f t="shared" si="21"/>
        <v>6</v>
      </c>
      <c r="U306" s="8" t="str">
        <f t="shared" si="22"/>
        <v>June</v>
      </c>
    </row>
    <row r="307" spans="1:21" x14ac:dyDescent="0.55000000000000004">
      <c r="A307" t="str">
        <f t="shared" si="19"/>
        <v>JuneAFG Suzho - DECI NC</v>
      </c>
      <c r="B307" s="3" t="s">
        <v>20</v>
      </c>
      <c r="C307" s="26" t="s">
        <v>241</v>
      </c>
      <c r="D307" s="26"/>
      <c r="E307" s="27">
        <v>43256</v>
      </c>
      <c r="F307" s="26" t="s">
        <v>332</v>
      </c>
      <c r="G307" s="26" t="s">
        <v>800</v>
      </c>
      <c r="H307" s="26"/>
      <c r="I307" s="26"/>
      <c r="J307" s="26"/>
      <c r="K307" s="28">
        <v>-71474.19</v>
      </c>
      <c r="L307" s="28">
        <v>0</v>
      </c>
      <c r="M307" s="28">
        <f t="shared" si="20"/>
        <v>-71474.19</v>
      </c>
      <c r="N307" s="29"/>
      <c r="O307" s="8" t="s">
        <v>815</v>
      </c>
      <c r="P307" s="8" t="s">
        <v>245</v>
      </c>
      <c r="Q307" s="8" t="s">
        <v>73</v>
      </c>
      <c r="R307" s="9">
        <v>43221</v>
      </c>
      <c r="S307" s="9">
        <v>43221</v>
      </c>
      <c r="T307" s="8">
        <f t="shared" si="21"/>
        <v>6</v>
      </c>
      <c r="U307" s="8" t="str">
        <f t="shared" si="22"/>
        <v>June</v>
      </c>
    </row>
    <row r="308" spans="1:21" x14ac:dyDescent="0.55000000000000004">
      <c r="A308" t="str">
        <f t="shared" si="19"/>
        <v>JuneAFG Suzho - DCL KY</v>
      </c>
      <c r="B308" s="3" t="s">
        <v>20</v>
      </c>
      <c r="C308" s="26" t="s">
        <v>241</v>
      </c>
      <c r="D308" s="26"/>
      <c r="E308" s="27">
        <v>43256</v>
      </c>
      <c r="F308" s="26" t="s">
        <v>332</v>
      </c>
      <c r="G308" s="26" t="s">
        <v>800</v>
      </c>
      <c r="H308" s="26"/>
      <c r="I308" s="26"/>
      <c r="J308" s="26"/>
      <c r="K308" s="28">
        <v>-9825.7099999999991</v>
      </c>
      <c r="L308" s="28">
        <v>0</v>
      </c>
      <c r="M308" s="28">
        <f t="shared" si="20"/>
        <v>-9825.7099999999991</v>
      </c>
      <c r="N308" s="29"/>
      <c r="O308" s="8" t="s">
        <v>816</v>
      </c>
      <c r="P308" s="8" t="s">
        <v>247</v>
      </c>
      <c r="Q308" s="8" t="s">
        <v>45</v>
      </c>
      <c r="R308" s="9">
        <v>43221</v>
      </c>
      <c r="S308" s="9">
        <v>43221</v>
      </c>
      <c r="T308" s="8">
        <f t="shared" si="21"/>
        <v>6</v>
      </c>
      <c r="U308" s="8" t="str">
        <f t="shared" si="22"/>
        <v>June</v>
      </c>
    </row>
    <row r="309" spans="1:21" x14ac:dyDescent="0.55000000000000004">
      <c r="A309" t="str">
        <f t="shared" si="19"/>
        <v>JuneAFG Suzho - DCL KY</v>
      </c>
      <c r="B309" s="3" t="s">
        <v>20</v>
      </c>
      <c r="C309" s="26" t="s">
        <v>241</v>
      </c>
      <c r="D309" s="26"/>
      <c r="E309" s="27">
        <v>43256</v>
      </c>
      <c r="F309" s="26" t="s">
        <v>332</v>
      </c>
      <c r="G309" s="26" t="s">
        <v>800</v>
      </c>
      <c r="H309" s="26"/>
      <c r="I309" s="26"/>
      <c r="J309" s="26"/>
      <c r="K309" s="28">
        <v>-47100.97</v>
      </c>
      <c r="L309" s="28">
        <v>0</v>
      </c>
      <c r="M309" s="28">
        <f t="shared" si="20"/>
        <v>-47100.97</v>
      </c>
      <c r="N309" s="29"/>
      <c r="O309" s="8" t="s">
        <v>817</v>
      </c>
      <c r="P309" s="8" t="s">
        <v>247</v>
      </c>
      <c r="Q309" s="8" t="s">
        <v>55</v>
      </c>
      <c r="R309" s="9">
        <v>43221</v>
      </c>
      <c r="S309" s="9">
        <v>43221</v>
      </c>
      <c r="T309" s="8">
        <f t="shared" si="21"/>
        <v>6</v>
      </c>
      <c r="U309" s="8" t="str">
        <f t="shared" si="22"/>
        <v>June</v>
      </c>
    </row>
    <row r="310" spans="1:21" x14ac:dyDescent="0.55000000000000004">
      <c r="A310" t="str">
        <f t="shared" si="19"/>
        <v>MayAFG Suzho - Flex IL</v>
      </c>
      <c r="B310" s="3" t="s">
        <v>20</v>
      </c>
      <c r="C310" s="26" t="s">
        <v>241</v>
      </c>
      <c r="D310" s="26"/>
      <c r="E310" s="27">
        <v>43246</v>
      </c>
      <c r="F310" s="26" t="s">
        <v>332</v>
      </c>
      <c r="G310" s="26" t="s">
        <v>800</v>
      </c>
      <c r="H310" s="26"/>
      <c r="I310" s="26"/>
      <c r="J310" s="26"/>
      <c r="K310" s="28">
        <v>-5079.68</v>
      </c>
      <c r="L310" s="28">
        <v>0</v>
      </c>
      <c r="M310" s="28">
        <f t="shared" si="20"/>
        <v>-5079.68</v>
      </c>
      <c r="N310" s="29"/>
      <c r="O310" s="8" t="s">
        <v>818</v>
      </c>
      <c r="P310" s="8" t="s">
        <v>260</v>
      </c>
      <c r="Q310" s="8" t="s">
        <v>261</v>
      </c>
      <c r="R310" s="9">
        <v>43221</v>
      </c>
      <c r="S310" s="9">
        <v>43221</v>
      </c>
      <c r="T310" s="8">
        <f t="shared" si="21"/>
        <v>5</v>
      </c>
      <c r="U310" s="8" t="str">
        <f t="shared" si="22"/>
        <v>May</v>
      </c>
    </row>
    <row r="311" spans="1:21" x14ac:dyDescent="0.55000000000000004">
      <c r="A311" t="str">
        <f t="shared" si="19"/>
        <v>JuneHong Kong - DCL KY</v>
      </c>
      <c r="B311" s="3" t="s">
        <v>20</v>
      </c>
      <c r="C311" s="26" t="s">
        <v>241</v>
      </c>
      <c r="D311" s="26"/>
      <c r="E311" s="27">
        <v>43256</v>
      </c>
      <c r="F311" s="26" t="s">
        <v>332</v>
      </c>
      <c r="G311" s="26" t="s">
        <v>800</v>
      </c>
      <c r="H311" s="26"/>
      <c r="I311" s="26"/>
      <c r="J311" s="26"/>
      <c r="K311" s="28">
        <v>-10996.48</v>
      </c>
      <c r="L311" s="28">
        <v>0</v>
      </c>
      <c r="M311" s="28">
        <f t="shared" si="20"/>
        <v>-10996.48</v>
      </c>
      <c r="N311" s="29"/>
      <c r="O311" s="8" t="s">
        <v>819</v>
      </c>
      <c r="P311" s="8" t="s">
        <v>39</v>
      </c>
      <c r="Q311" s="8" t="s">
        <v>40</v>
      </c>
      <c r="R311" s="9">
        <v>43221</v>
      </c>
      <c r="S311" s="9">
        <v>43221</v>
      </c>
      <c r="T311" s="8">
        <f t="shared" si="21"/>
        <v>6</v>
      </c>
      <c r="U311" s="8" t="str">
        <f t="shared" si="22"/>
        <v>June</v>
      </c>
    </row>
    <row r="312" spans="1:21" x14ac:dyDescent="0.55000000000000004">
      <c r="A312" t="str">
        <f t="shared" si="19"/>
        <v>JuneHong Kong - DCL KY</v>
      </c>
      <c r="B312" s="3" t="s">
        <v>20</v>
      </c>
      <c r="C312" s="26" t="s">
        <v>241</v>
      </c>
      <c r="D312" s="26"/>
      <c r="E312" s="27">
        <v>43256</v>
      </c>
      <c r="F312" s="26" t="s">
        <v>332</v>
      </c>
      <c r="G312" s="26" t="s">
        <v>800</v>
      </c>
      <c r="H312" s="26"/>
      <c r="I312" s="26"/>
      <c r="J312" s="26"/>
      <c r="K312" s="28">
        <v>-12946.68</v>
      </c>
      <c r="L312" s="28">
        <v>0</v>
      </c>
      <c r="M312" s="28">
        <f t="shared" si="20"/>
        <v>-12946.68</v>
      </c>
      <c r="N312" s="29"/>
      <c r="O312" s="8" t="s">
        <v>820</v>
      </c>
      <c r="P312" s="8" t="s">
        <v>39</v>
      </c>
      <c r="Q312" s="8" t="s">
        <v>77</v>
      </c>
      <c r="R312" s="9">
        <v>43221</v>
      </c>
      <c r="S312" s="9">
        <v>43221</v>
      </c>
      <c r="T312" s="8">
        <f t="shared" si="21"/>
        <v>6</v>
      </c>
      <c r="U312" s="8" t="str">
        <f t="shared" si="22"/>
        <v>June</v>
      </c>
    </row>
    <row r="313" spans="1:21" x14ac:dyDescent="0.55000000000000004">
      <c r="A313" t="str">
        <f t="shared" si="19"/>
        <v xml:space="preserve">MayAFG NC - </v>
      </c>
      <c r="B313" s="3" t="s">
        <v>20</v>
      </c>
      <c r="C313" s="26" t="s">
        <v>241</v>
      </c>
      <c r="D313" s="26"/>
      <c r="E313" s="27">
        <v>43246</v>
      </c>
      <c r="F313" s="26" t="s">
        <v>332</v>
      </c>
      <c r="G313" s="26" t="s">
        <v>800</v>
      </c>
      <c r="H313" s="26"/>
      <c r="I313" s="26"/>
      <c r="J313" s="26"/>
      <c r="K313" s="28">
        <v>-427.41</v>
      </c>
      <c r="L313" s="28">
        <v>0</v>
      </c>
      <c r="M313" s="28">
        <f t="shared" si="20"/>
        <v>-427.41</v>
      </c>
      <c r="N313" s="29"/>
      <c r="O313" s="8" t="s">
        <v>821</v>
      </c>
      <c r="P313" s="8" t="s">
        <v>822</v>
      </c>
      <c r="Q313" s="8" t="s">
        <v>263</v>
      </c>
      <c r="R313" s="9">
        <v>43221</v>
      </c>
      <c r="S313" s="9">
        <v>43221</v>
      </c>
      <c r="T313" s="8">
        <f t="shared" si="21"/>
        <v>5</v>
      </c>
      <c r="U313" s="8" t="str">
        <f t="shared" si="22"/>
        <v>May</v>
      </c>
    </row>
    <row r="314" spans="1:21" x14ac:dyDescent="0.55000000000000004">
      <c r="A314" t="str">
        <f t="shared" si="19"/>
        <v>JuneAFG Suzho - Flex IL</v>
      </c>
      <c r="B314" s="3" t="s">
        <v>20</v>
      </c>
      <c r="C314" s="26" t="s">
        <v>241</v>
      </c>
      <c r="D314" s="26"/>
      <c r="E314" s="27">
        <v>43256</v>
      </c>
      <c r="F314" s="26" t="s">
        <v>332</v>
      </c>
      <c r="G314" s="26" t="s">
        <v>800</v>
      </c>
      <c r="H314" s="26"/>
      <c r="I314" s="26"/>
      <c r="J314" s="26"/>
      <c r="K314" s="28">
        <v>-6553.57</v>
      </c>
      <c r="L314" s="28">
        <v>0</v>
      </c>
      <c r="M314" s="28">
        <f t="shared" si="20"/>
        <v>-6553.57</v>
      </c>
      <c r="N314" s="29"/>
      <c r="O314" s="8" t="s">
        <v>823</v>
      </c>
      <c r="P314" s="8" t="s">
        <v>260</v>
      </c>
      <c r="Q314" s="8" t="s">
        <v>264</v>
      </c>
      <c r="R314" s="9">
        <v>43221</v>
      </c>
      <c r="S314" s="9">
        <v>43221</v>
      </c>
      <c r="T314" s="8">
        <f t="shared" si="21"/>
        <v>6</v>
      </c>
      <c r="U314" s="8" t="str">
        <f t="shared" si="22"/>
        <v>June</v>
      </c>
    </row>
    <row r="315" spans="1:21" x14ac:dyDescent="0.55000000000000004">
      <c r="A315" t="str">
        <f t="shared" si="19"/>
        <v>JuneAFG Suzho - Flex IL</v>
      </c>
      <c r="B315" s="3" t="s">
        <v>20</v>
      </c>
      <c r="C315" s="26" t="s">
        <v>241</v>
      </c>
      <c r="D315" s="26"/>
      <c r="E315" s="27">
        <v>43256</v>
      </c>
      <c r="F315" s="26" t="s">
        <v>332</v>
      </c>
      <c r="G315" s="26" t="s">
        <v>800</v>
      </c>
      <c r="H315" s="26"/>
      <c r="I315" s="26"/>
      <c r="J315" s="26"/>
      <c r="K315" s="28">
        <v>-4350.2299999999996</v>
      </c>
      <c r="L315" s="28">
        <v>0</v>
      </c>
      <c r="M315" s="28">
        <f t="shared" si="20"/>
        <v>-4350.2299999999996</v>
      </c>
      <c r="N315" s="29"/>
      <c r="O315" s="8" t="s">
        <v>824</v>
      </c>
      <c r="P315" s="8" t="s">
        <v>260</v>
      </c>
      <c r="Q315" s="8" t="s">
        <v>265</v>
      </c>
      <c r="R315" s="9">
        <v>43221</v>
      </c>
      <c r="S315" s="9">
        <v>43221</v>
      </c>
      <c r="T315" s="8">
        <f t="shared" si="21"/>
        <v>6</v>
      </c>
      <c r="U315" s="8" t="str">
        <f t="shared" si="22"/>
        <v>June</v>
      </c>
    </row>
    <row r="316" spans="1:21" x14ac:dyDescent="0.55000000000000004">
      <c r="A316" t="str">
        <f t="shared" si="19"/>
        <v>JuneAFG Suzho - Flex IL</v>
      </c>
      <c r="B316" s="3" t="s">
        <v>20</v>
      </c>
      <c r="C316" s="26" t="s">
        <v>241</v>
      </c>
      <c r="D316" s="26"/>
      <c r="E316" s="27">
        <v>43256</v>
      </c>
      <c r="F316" s="26" t="s">
        <v>332</v>
      </c>
      <c r="G316" s="26" t="s">
        <v>800</v>
      </c>
      <c r="H316" s="26"/>
      <c r="I316" s="26"/>
      <c r="J316" s="26"/>
      <c r="K316" s="28">
        <v>-2881.33</v>
      </c>
      <c r="L316" s="28">
        <v>0</v>
      </c>
      <c r="M316" s="28">
        <f t="shared" si="20"/>
        <v>-2881.33</v>
      </c>
      <c r="N316" s="29"/>
      <c r="O316" s="8" t="s">
        <v>825</v>
      </c>
      <c r="P316" s="8" t="s">
        <v>260</v>
      </c>
      <c r="Q316" s="8" t="s">
        <v>266</v>
      </c>
      <c r="R316" s="9">
        <v>43221</v>
      </c>
      <c r="S316" s="9">
        <v>43221</v>
      </c>
      <c r="T316" s="8">
        <f t="shared" si="21"/>
        <v>6</v>
      </c>
      <c r="U316" s="8" t="str">
        <f t="shared" si="22"/>
        <v>June</v>
      </c>
    </row>
    <row r="317" spans="1:21" x14ac:dyDescent="0.55000000000000004">
      <c r="A317" t="str">
        <f t="shared" si="19"/>
        <v>MayAFG NC - DCL KY</v>
      </c>
      <c r="B317" s="3" t="s">
        <v>20</v>
      </c>
      <c r="C317" s="26" t="s">
        <v>241</v>
      </c>
      <c r="D317" s="26"/>
      <c r="E317" s="27">
        <v>43250</v>
      </c>
      <c r="F317" s="26" t="s">
        <v>332</v>
      </c>
      <c r="G317" s="26"/>
      <c r="H317" s="26"/>
      <c r="I317" s="26"/>
      <c r="J317" s="26"/>
      <c r="K317" s="28">
        <v>1550</v>
      </c>
      <c r="L317" s="28">
        <v>1</v>
      </c>
      <c r="M317" s="28">
        <f t="shared" si="20"/>
        <v>1549</v>
      </c>
      <c r="N317" s="29"/>
      <c r="O317" s="8"/>
      <c r="P317" s="8" t="s">
        <v>173</v>
      </c>
      <c r="Q317" s="8" t="s">
        <v>826</v>
      </c>
      <c r="R317" s="9">
        <v>43221</v>
      </c>
      <c r="S317" s="9">
        <v>43221</v>
      </c>
      <c r="T317" s="8">
        <f t="shared" si="21"/>
        <v>5</v>
      </c>
      <c r="U317" s="8" t="str">
        <f t="shared" si="22"/>
        <v>May</v>
      </c>
    </row>
    <row r="318" spans="1:21" x14ac:dyDescent="0.55000000000000004">
      <c r="A318" t="str">
        <f t="shared" si="19"/>
        <v>MayAFG NC - DCL KY</v>
      </c>
      <c r="B318" s="3" t="s">
        <v>20</v>
      </c>
      <c r="C318" s="26" t="s">
        <v>241</v>
      </c>
      <c r="D318" s="26"/>
      <c r="E318" s="27">
        <v>43250</v>
      </c>
      <c r="F318" s="26" t="s">
        <v>332</v>
      </c>
      <c r="G318" s="26"/>
      <c r="H318" s="26"/>
      <c r="I318" s="26"/>
      <c r="J318" s="26"/>
      <c r="K318" s="28">
        <v>5350</v>
      </c>
      <c r="L318" s="28">
        <v>2</v>
      </c>
      <c r="M318" s="28">
        <f t="shared" si="20"/>
        <v>5348</v>
      </c>
      <c r="N318" s="29"/>
      <c r="O318" s="8"/>
      <c r="P318" s="8" t="s">
        <v>173</v>
      </c>
      <c r="Q318" s="8" t="s">
        <v>827</v>
      </c>
      <c r="R318" s="9">
        <v>43221</v>
      </c>
      <c r="S318" s="9">
        <v>43221</v>
      </c>
      <c r="T318" s="8">
        <f t="shared" si="21"/>
        <v>5</v>
      </c>
      <c r="U318" s="8" t="str">
        <f t="shared" si="22"/>
        <v>May</v>
      </c>
    </row>
    <row r="319" spans="1:21" x14ac:dyDescent="0.55000000000000004">
      <c r="A319" t="str">
        <f t="shared" si="19"/>
        <v>MayAFG NC - DCL KY</v>
      </c>
      <c r="B319" s="3" t="s">
        <v>20</v>
      </c>
      <c r="C319" s="26" t="s">
        <v>241</v>
      </c>
      <c r="D319" s="26"/>
      <c r="E319" s="27">
        <v>43250</v>
      </c>
      <c r="F319" s="26" t="s">
        <v>332</v>
      </c>
      <c r="G319" s="26"/>
      <c r="H319" s="26"/>
      <c r="I319" s="26"/>
      <c r="J319" s="26"/>
      <c r="K319" s="28">
        <v>3100</v>
      </c>
      <c r="L319" s="28">
        <v>3</v>
      </c>
      <c r="M319" s="28">
        <f t="shared" si="20"/>
        <v>3097</v>
      </c>
      <c r="N319" s="29"/>
      <c r="O319" s="8"/>
      <c r="P319" s="8" t="s">
        <v>173</v>
      </c>
      <c r="Q319" s="8" t="s">
        <v>828</v>
      </c>
      <c r="R319" s="9">
        <v>43221</v>
      </c>
      <c r="S319" s="9">
        <v>43221</v>
      </c>
      <c r="T319" s="8">
        <f t="shared" si="21"/>
        <v>5</v>
      </c>
      <c r="U319" s="8" t="str">
        <f t="shared" si="22"/>
        <v>May</v>
      </c>
    </row>
    <row r="320" spans="1:21" x14ac:dyDescent="0.55000000000000004">
      <c r="A320" t="str">
        <f t="shared" si="19"/>
        <v>MayAFG NC - DCL KY</v>
      </c>
      <c r="B320" s="3" t="s">
        <v>20</v>
      </c>
      <c r="C320" s="26" t="s">
        <v>241</v>
      </c>
      <c r="D320" s="26"/>
      <c r="E320" s="27">
        <v>43250</v>
      </c>
      <c r="F320" s="26" t="s">
        <v>332</v>
      </c>
      <c r="G320" s="26"/>
      <c r="H320" s="26"/>
      <c r="I320" s="26"/>
      <c r="J320" s="26"/>
      <c r="K320" s="28">
        <v>8275</v>
      </c>
      <c r="L320" s="28">
        <v>4</v>
      </c>
      <c r="M320" s="28">
        <f t="shared" si="20"/>
        <v>8271</v>
      </c>
      <c r="N320" s="29"/>
      <c r="O320" s="8"/>
      <c r="P320" s="8" t="s">
        <v>173</v>
      </c>
      <c r="Q320" s="8" t="s">
        <v>829</v>
      </c>
      <c r="R320" s="9">
        <v>43221</v>
      </c>
      <c r="S320" s="9">
        <v>43221</v>
      </c>
      <c r="T320" s="8">
        <f t="shared" si="21"/>
        <v>5</v>
      </c>
      <c r="U320" s="8" t="str">
        <f t="shared" si="22"/>
        <v>May</v>
      </c>
    </row>
    <row r="321" spans="1:21" x14ac:dyDescent="0.55000000000000004">
      <c r="A321" t="str">
        <f t="shared" si="19"/>
        <v>MayAFG NC - DCL KY</v>
      </c>
      <c r="B321" s="3" t="s">
        <v>20</v>
      </c>
      <c r="C321" s="26" t="s">
        <v>241</v>
      </c>
      <c r="D321" s="26"/>
      <c r="E321" s="27">
        <v>43250</v>
      </c>
      <c r="F321" s="26" t="s">
        <v>332</v>
      </c>
      <c r="G321" s="26"/>
      <c r="H321" s="26"/>
      <c r="I321" s="26"/>
      <c r="J321" s="26"/>
      <c r="K321" s="28">
        <v>11200</v>
      </c>
      <c r="L321" s="28">
        <v>5</v>
      </c>
      <c r="M321" s="28">
        <f t="shared" si="20"/>
        <v>11195</v>
      </c>
      <c r="N321" s="29"/>
      <c r="O321" s="8"/>
      <c r="P321" s="8" t="s">
        <v>173</v>
      </c>
      <c r="Q321" s="8" t="s">
        <v>830</v>
      </c>
      <c r="R321" s="9">
        <v>43221</v>
      </c>
      <c r="S321" s="9">
        <v>43221</v>
      </c>
      <c r="T321" s="8">
        <f t="shared" si="21"/>
        <v>5</v>
      </c>
      <c r="U321" s="8" t="str">
        <f t="shared" si="22"/>
        <v>May</v>
      </c>
    </row>
    <row r="322" spans="1:21" x14ac:dyDescent="0.55000000000000004">
      <c r="A322" t="str">
        <f t="shared" si="19"/>
        <v>MayAFG NC - DCL KY</v>
      </c>
      <c r="B322" s="3" t="s">
        <v>20</v>
      </c>
      <c r="C322" s="26" t="s">
        <v>241</v>
      </c>
      <c r="D322" s="26"/>
      <c r="E322" s="27">
        <v>43251</v>
      </c>
      <c r="F322" s="26" t="s">
        <v>332</v>
      </c>
      <c r="G322" s="26"/>
      <c r="H322" s="26"/>
      <c r="I322" s="26"/>
      <c r="J322" s="26"/>
      <c r="K322" s="28">
        <v>9650</v>
      </c>
      <c r="L322" s="28">
        <v>6</v>
      </c>
      <c r="M322" s="28">
        <f t="shared" si="20"/>
        <v>9644</v>
      </c>
      <c r="N322" s="29"/>
      <c r="O322" s="8"/>
      <c r="P322" s="8" t="s">
        <v>173</v>
      </c>
      <c r="Q322" s="8" t="s">
        <v>831</v>
      </c>
      <c r="R322" s="9">
        <v>43221</v>
      </c>
      <c r="S322" s="9">
        <v>43221</v>
      </c>
      <c r="T322" s="8">
        <f t="shared" si="21"/>
        <v>5</v>
      </c>
      <c r="U322" s="8" t="str">
        <f t="shared" si="22"/>
        <v>May</v>
      </c>
    </row>
    <row r="323" spans="1:21" x14ac:dyDescent="0.55000000000000004">
      <c r="A323" t="str">
        <f t="shared" ref="A323:A333" si="23">U323&amp;P323</f>
        <v>MayAFG NC - DCL KY</v>
      </c>
      <c r="B323" s="3" t="s">
        <v>20</v>
      </c>
      <c r="C323" s="26" t="s">
        <v>241</v>
      </c>
      <c r="D323" s="26"/>
      <c r="E323" s="27">
        <v>43237</v>
      </c>
      <c r="F323" s="26" t="s">
        <v>332</v>
      </c>
      <c r="G323" s="26"/>
      <c r="H323" s="26"/>
      <c r="I323" s="26"/>
      <c r="J323" s="26"/>
      <c r="K323" s="28">
        <v>4650</v>
      </c>
      <c r="L323" s="28">
        <v>7</v>
      </c>
      <c r="M323" s="28">
        <f t="shared" ref="M323:M333" si="24">K323-L323</f>
        <v>4643</v>
      </c>
      <c r="N323" s="29"/>
      <c r="O323" s="8"/>
      <c r="P323" s="8" t="s">
        <v>173</v>
      </c>
      <c r="Q323" s="8" t="s">
        <v>297</v>
      </c>
      <c r="R323" s="9">
        <v>43221</v>
      </c>
      <c r="S323" s="9">
        <v>43221</v>
      </c>
      <c r="T323" s="8">
        <f t="shared" si="21"/>
        <v>5</v>
      </c>
      <c r="U323" s="8" t="str">
        <f t="shared" si="22"/>
        <v>May</v>
      </c>
    </row>
    <row r="324" spans="1:21" x14ac:dyDescent="0.55000000000000004">
      <c r="A324" t="str">
        <f t="shared" si="23"/>
        <v>MayPhillips WI - DCL KY</v>
      </c>
      <c r="B324" s="3" t="s">
        <v>20</v>
      </c>
      <c r="C324" s="26" t="s">
        <v>241</v>
      </c>
      <c r="D324" s="26"/>
      <c r="E324" s="27">
        <v>43242</v>
      </c>
      <c r="F324" s="26" t="s">
        <v>332</v>
      </c>
      <c r="G324" s="26"/>
      <c r="H324" s="26"/>
      <c r="I324" s="26"/>
      <c r="J324" s="26"/>
      <c r="K324" s="28">
        <v>1368.64</v>
      </c>
      <c r="L324" s="28">
        <v>8</v>
      </c>
      <c r="M324" s="28">
        <f t="shared" si="24"/>
        <v>1360.64</v>
      </c>
      <c r="N324" s="29"/>
      <c r="O324" s="8"/>
      <c r="P324" s="8" t="s">
        <v>29</v>
      </c>
      <c r="Q324" s="8" t="s">
        <v>298</v>
      </c>
      <c r="R324" s="9">
        <v>43221</v>
      </c>
      <c r="S324" s="9">
        <v>43221</v>
      </c>
      <c r="T324" s="8">
        <f t="shared" si="21"/>
        <v>5</v>
      </c>
      <c r="U324" s="8" t="str">
        <f t="shared" si="22"/>
        <v>May</v>
      </c>
    </row>
    <row r="325" spans="1:21" x14ac:dyDescent="0.55000000000000004">
      <c r="A325" t="str">
        <f t="shared" si="23"/>
        <v>MayAFG NC - Phillips WI</v>
      </c>
      <c r="B325" s="3" t="s">
        <v>20</v>
      </c>
      <c r="C325" s="26" t="s">
        <v>241</v>
      </c>
      <c r="D325" s="26"/>
      <c r="E325" s="27">
        <v>43242</v>
      </c>
      <c r="F325" s="26" t="s">
        <v>332</v>
      </c>
      <c r="G325" s="26"/>
      <c r="H325" s="26"/>
      <c r="I325" s="26"/>
      <c r="J325" s="26"/>
      <c r="K325" s="28">
        <v>1775</v>
      </c>
      <c r="L325" s="28">
        <v>9</v>
      </c>
      <c r="M325" s="28">
        <f t="shared" si="24"/>
        <v>1766</v>
      </c>
      <c r="N325" s="29"/>
      <c r="O325" s="8"/>
      <c r="P325" s="8" t="s">
        <v>833</v>
      </c>
      <c r="Q325" s="8" t="s">
        <v>832</v>
      </c>
      <c r="R325" s="9">
        <v>43221</v>
      </c>
      <c r="S325" s="9">
        <v>43221</v>
      </c>
      <c r="T325" s="8">
        <f t="shared" si="21"/>
        <v>5</v>
      </c>
      <c r="U325" s="8" t="str">
        <f t="shared" si="22"/>
        <v>May</v>
      </c>
    </row>
    <row r="326" spans="1:21" x14ac:dyDescent="0.55000000000000004">
      <c r="A326" t="str">
        <f t="shared" si="23"/>
        <v>MayAFG NC - DCL KY</v>
      </c>
      <c r="B326" s="3" t="s">
        <v>20</v>
      </c>
      <c r="C326" s="26" t="s">
        <v>241</v>
      </c>
      <c r="D326" s="26"/>
      <c r="E326" s="27">
        <v>43242</v>
      </c>
      <c r="F326" s="26" t="s">
        <v>332</v>
      </c>
      <c r="G326" s="26"/>
      <c r="H326" s="26"/>
      <c r="I326" s="26"/>
      <c r="J326" s="26"/>
      <c r="K326" s="28">
        <v>3100</v>
      </c>
      <c r="L326" s="28">
        <v>10</v>
      </c>
      <c r="M326" s="28">
        <f t="shared" si="24"/>
        <v>3090</v>
      </c>
      <c r="N326" s="29"/>
      <c r="O326" s="8"/>
      <c r="P326" s="8" t="s">
        <v>173</v>
      </c>
      <c r="Q326" s="8" t="s">
        <v>299</v>
      </c>
      <c r="R326" s="9">
        <v>43221</v>
      </c>
      <c r="S326" s="9">
        <v>43221</v>
      </c>
      <c r="T326" s="8">
        <f t="shared" si="21"/>
        <v>5</v>
      </c>
      <c r="U326" s="8" t="str">
        <f t="shared" si="22"/>
        <v>May</v>
      </c>
    </row>
    <row r="327" spans="1:21" x14ac:dyDescent="0.55000000000000004">
      <c r="A327" t="str">
        <f t="shared" si="23"/>
        <v>MayAFG NC - DCL KY</v>
      </c>
      <c r="B327" s="3" t="s">
        <v>20</v>
      </c>
      <c r="C327" s="26" t="s">
        <v>241</v>
      </c>
      <c r="D327" s="26"/>
      <c r="E327" s="27">
        <v>43244</v>
      </c>
      <c r="F327" s="26" t="s">
        <v>332</v>
      </c>
      <c r="G327" s="26"/>
      <c r="H327" s="26"/>
      <c r="I327" s="26"/>
      <c r="J327" s="26"/>
      <c r="K327" s="28">
        <v>1550</v>
      </c>
      <c r="L327" s="28">
        <v>11</v>
      </c>
      <c r="M327" s="28">
        <f t="shared" si="24"/>
        <v>1539</v>
      </c>
      <c r="N327" s="29"/>
      <c r="O327" s="8"/>
      <c r="P327" s="8" t="s">
        <v>173</v>
      </c>
      <c r="Q327" s="8" t="s">
        <v>834</v>
      </c>
      <c r="R327" s="9">
        <v>43221</v>
      </c>
      <c r="S327" s="9">
        <v>43221</v>
      </c>
      <c r="T327" s="8">
        <f t="shared" si="21"/>
        <v>5</v>
      </c>
      <c r="U327" s="8" t="str">
        <f t="shared" si="22"/>
        <v>May</v>
      </c>
    </row>
    <row r="328" spans="1:21" x14ac:dyDescent="0.55000000000000004">
      <c r="A328" t="str">
        <f t="shared" si="23"/>
        <v>MayAFG NC - DCL KY</v>
      </c>
      <c r="B328" s="3" t="s">
        <v>20</v>
      </c>
      <c r="C328" s="26" t="s">
        <v>241</v>
      </c>
      <c r="D328" s="26"/>
      <c r="E328" s="27">
        <v>43244</v>
      </c>
      <c r="F328" s="26" t="s">
        <v>332</v>
      </c>
      <c r="G328" s="26"/>
      <c r="H328" s="26"/>
      <c r="I328" s="26"/>
      <c r="J328" s="26"/>
      <c r="K328" s="28">
        <v>3100</v>
      </c>
      <c r="L328" s="28">
        <v>12</v>
      </c>
      <c r="M328" s="28">
        <f t="shared" si="24"/>
        <v>3088</v>
      </c>
      <c r="N328" s="29"/>
      <c r="O328" s="8"/>
      <c r="P328" s="8" t="s">
        <v>173</v>
      </c>
      <c r="Q328" s="8" t="s">
        <v>835</v>
      </c>
      <c r="R328" s="9">
        <v>43221</v>
      </c>
      <c r="S328" s="9">
        <v>43221</v>
      </c>
      <c r="T328" s="8">
        <f t="shared" si="21"/>
        <v>5</v>
      </c>
      <c r="U328" s="8" t="str">
        <f t="shared" si="22"/>
        <v>May</v>
      </c>
    </row>
    <row r="329" spans="1:21" x14ac:dyDescent="0.55000000000000004">
      <c r="A329" t="str">
        <f t="shared" si="23"/>
        <v>MayAFG NC - DCL KY</v>
      </c>
      <c r="B329" s="3" t="s">
        <v>20</v>
      </c>
      <c r="C329" s="26" t="s">
        <v>241</v>
      </c>
      <c r="D329" s="26"/>
      <c r="E329" s="27">
        <v>43244</v>
      </c>
      <c r="F329" s="26" t="s">
        <v>332</v>
      </c>
      <c r="G329" s="26"/>
      <c r="H329" s="26"/>
      <c r="I329" s="26"/>
      <c r="J329" s="26"/>
      <c r="K329" s="28">
        <v>4650</v>
      </c>
      <c r="L329" s="28">
        <v>13</v>
      </c>
      <c r="M329" s="28">
        <f t="shared" si="24"/>
        <v>4637</v>
      </c>
      <c r="N329" s="29"/>
      <c r="O329" s="8"/>
      <c r="P329" s="8" t="s">
        <v>173</v>
      </c>
      <c r="Q329" s="8" t="s">
        <v>836</v>
      </c>
      <c r="R329" s="9">
        <v>43221</v>
      </c>
      <c r="S329" s="9">
        <v>43221</v>
      </c>
      <c r="T329" s="8">
        <f t="shared" si="21"/>
        <v>5</v>
      </c>
      <c r="U329" s="8" t="str">
        <f t="shared" si="22"/>
        <v>May</v>
      </c>
    </row>
    <row r="330" spans="1:21" x14ac:dyDescent="0.55000000000000004">
      <c r="A330" t="str">
        <f t="shared" si="23"/>
        <v>MayAFG NC - DCL KY</v>
      </c>
      <c r="B330" s="3" t="s">
        <v>20</v>
      </c>
      <c r="C330" s="26" t="s">
        <v>241</v>
      </c>
      <c r="D330" s="26"/>
      <c r="E330" s="27">
        <v>43244</v>
      </c>
      <c r="F330" s="26" t="s">
        <v>332</v>
      </c>
      <c r="G330" s="26"/>
      <c r="H330" s="26"/>
      <c r="I330" s="26"/>
      <c r="J330" s="26"/>
      <c r="K330" s="28">
        <v>4650</v>
      </c>
      <c r="L330" s="28">
        <v>14</v>
      </c>
      <c r="M330" s="28">
        <f t="shared" si="24"/>
        <v>4636</v>
      </c>
      <c r="N330" s="29"/>
      <c r="O330" s="8"/>
      <c r="P330" s="8" t="s">
        <v>173</v>
      </c>
      <c r="Q330" s="8" t="s">
        <v>837</v>
      </c>
      <c r="R330" s="9">
        <v>43221</v>
      </c>
      <c r="S330" s="9">
        <v>43221</v>
      </c>
      <c r="T330" s="8">
        <f t="shared" si="21"/>
        <v>5</v>
      </c>
      <c r="U330" s="8" t="str">
        <f t="shared" si="22"/>
        <v>May</v>
      </c>
    </row>
    <row r="331" spans="1:21" x14ac:dyDescent="0.55000000000000004">
      <c r="A331" t="str">
        <f t="shared" si="23"/>
        <v>MayPhillips WI - DCL KY</v>
      </c>
      <c r="B331" s="3" t="s">
        <v>20</v>
      </c>
      <c r="C331" s="26" t="s">
        <v>241</v>
      </c>
      <c r="D331" s="26"/>
      <c r="E331" s="27">
        <v>43244</v>
      </c>
      <c r="F331" s="26" t="s">
        <v>332</v>
      </c>
      <c r="G331" s="26"/>
      <c r="H331" s="26"/>
      <c r="I331" s="26"/>
      <c r="J331" s="26"/>
      <c r="K331" s="28">
        <v>5825</v>
      </c>
      <c r="L331" s="28">
        <v>15</v>
      </c>
      <c r="M331" s="28">
        <f t="shared" si="24"/>
        <v>5810</v>
      </c>
      <c r="N331" s="29"/>
      <c r="O331" s="8"/>
      <c r="P331" s="8" t="s">
        <v>29</v>
      </c>
      <c r="Q331" s="8" t="s">
        <v>300</v>
      </c>
      <c r="R331" s="9">
        <v>43221</v>
      </c>
      <c r="S331" s="9">
        <v>43221</v>
      </c>
      <c r="T331" s="8">
        <f t="shared" si="21"/>
        <v>5</v>
      </c>
      <c r="U331" s="8" t="str">
        <f t="shared" si="22"/>
        <v>May</v>
      </c>
    </row>
    <row r="332" spans="1:21" x14ac:dyDescent="0.55000000000000004">
      <c r="A332" t="str">
        <f t="shared" si="23"/>
        <v>MayDECI NC - DCL KY</v>
      </c>
      <c r="B332" s="3" t="s">
        <v>20</v>
      </c>
      <c r="C332" s="26" t="s">
        <v>241</v>
      </c>
      <c r="D332" s="26"/>
      <c r="E332" s="27">
        <v>43244</v>
      </c>
      <c r="F332" s="26" t="s">
        <v>332</v>
      </c>
      <c r="G332" s="26"/>
      <c r="H332" s="26"/>
      <c r="I332" s="26"/>
      <c r="J332" s="26"/>
      <c r="K332" s="28">
        <v>12300</v>
      </c>
      <c r="L332" s="28">
        <v>16</v>
      </c>
      <c r="M332" s="28">
        <f t="shared" si="24"/>
        <v>12284</v>
      </c>
      <c r="N332" s="29"/>
      <c r="O332" s="8"/>
      <c r="P332" s="8" t="s">
        <v>178</v>
      </c>
      <c r="Q332" s="8" t="s">
        <v>838</v>
      </c>
      <c r="R332" s="9">
        <v>43221</v>
      </c>
      <c r="S332" s="9">
        <v>43221</v>
      </c>
      <c r="T332" s="8">
        <f t="shared" si="21"/>
        <v>5</v>
      </c>
      <c r="U332" s="8" t="str">
        <f t="shared" si="22"/>
        <v>May</v>
      </c>
    </row>
    <row r="333" spans="1:21" x14ac:dyDescent="0.55000000000000004">
      <c r="A333" t="str">
        <f t="shared" si="23"/>
        <v>JunePhillips WI - DCL KY</v>
      </c>
      <c r="B333" s="3" t="s">
        <v>20</v>
      </c>
      <c r="C333" s="26" t="s">
        <v>241</v>
      </c>
      <c r="D333" s="26"/>
      <c r="E333" s="27" t="s">
        <v>840</v>
      </c>
      <c r="F333" s="26" t="s">
        <v>332</v>
      </c>
      <c r="G333" s="26"/>
      <c r="H333" s="26"/>
      <c r="I333" s="26"/>
      <c r="J333" s="26"/>
      <c r="K333" s="28">
        <v>5600</v>
      </c>
      <c r="L333" s="28">
        <v>17</v>
      </c>
      <c r="M333" s="28">
        <f t="shared" si="24"/>
        <v>5583</v>
      </c>
      <c r="N333" s="29"/>
      <c r="O333" s="8"/>
      <c r="P333" s="8" t="s">
        <v>29</v>
      </c>
      <c r="Q333" s="8" t="s">
        <v>839</v>
      </c>
      <c r="R333" s="9">
        <v>43221</v>
      </c>
      <c r="S333" s="9">
        <v>43252</v>
      </c>
      <c r="T333" s="8">
        <f t="shared" si="21"/>
        <v>6</v>
      </c>
      <c r="U333" s="8" t="str">
        <f t="shared" si="22"/>
        <v>June</v>
      </c>
    </row>
    <row r="334" spans="1:21" x14ac:dyDescent="0.55000000000000004">
      <c r="A334" t="s">
        <v>642</v>
      </c>
      <c r="B334" s="1" t="s">
        <v>0</v>
      </c>
      <c r="C334" s="1" t="s">
        <v>1</v>
      </c>
      <c r="D334" s="1" t="s">
        <v>2</v>
      </c>
      <c r="E334" s="1" t="s">
        <v>3</v>
      </c>
      <c r="F334" s="1" t="s">
        <v>4</v>
      </c>
      <c r="G334" s="1" t="s">
        <v>5</v>
      </c>
      <c r="H334" s="1" t="s">
        <v>6</v>
      </c>
      <c r="I334" s="1" t="s">
        <v>7</v>
      </c>
      <c r="J334" s="1" t="s">
        <v>8</v>
      </c>
      <c r="K334" s="1" t="s">
        <v>9</v>
      </c>
      <c r="L334" s="1" t="s">
        <v>10</v>
      </c>
      <c r="M334" s="1" t="s">
        <v>11</v>
      </c>
      <c r="N334" s="30" t="s">
        <v>12</v>
      </c>
      <c r="O334" s="2" t="s">
        <v>13</v>
      </c>
      <c r="P334" s="2" t="s">
        <v>14</v>
      </c>
      <c r="Q334" s="2" t="s">
        <v>15</v>
      </c>
      <c r="R334" s="2" t="s">
        <v>16</v>
      </c>
      <c r="S334" s="2" t="s">
        <v>17</v>
      </c>
      <c r="T334" s="2" t="s">
        <v>18</v>
      </c>
      <c r="U334" s="2" t="s">
        <v>19</v>
      </c>
    </row>
    <row r="335" spans="1:21" x14ac:dyDescent="0.55000000000000004">
      <c r="A335" t="str">
        <f t="shared" ref="A335:A398" si="25">U335&amp;P335</f>
        <v>MayHong Kong - DECI NC</v>
      </c>
      <c r="B335" s="3" t="s">
        <v>20</v>
      </c>
      <c r="C335" s="4" t="s">
        <v>150</v>
      </c>
      <c r="D335" s="4" t="s">
        <v>841</v>
      </c>
      <c r="E335" s="5">
        <v>43225</v>
      </c>
      <c r="F335" s="4" t="s">
        <v>842</v>
      </c>
      <c r="G335" s="4" t="s">
        <v>843</v>
      </c>
      <c r="H335" s="4" t="s">
        <v>844</v>
      </c>
      <c r="I335" s="4" t="s">
        <v>154</v>
      </c>
      <c r="J335" s="4" t="s">
        <v>27</v>
      </c>
      <c r="K335" s="6">
        <v>30</v>
      </c>
      <c r="L335" s="6">
        <v>0</v>
      </c>
      <c r="M335" s="6">
        <f>K335-L335</f>
        <v>30</v>
      </c>
      <c r="N335" s="6"/>
      <c r="O335" s="4" t="s">
        <v>843</v>
      </c>
      <c r="P335" s="3" t="s">
        <v>92</v>
      </c>
      <c r="Q335" s="8"/>
      <c r="R335" s="8"/>
      <c r="S335" s="9">
        <v>43221</v>
      </c>
      <c r="T335" s="8">
        <f t="shared" ref="T335:T398" si="26">MONTH(E335)</f>
        <v>5</v>
      </c>
      <c r="U335" s="8" t="str">
        <f>IF(T335=6,"June",IF(T335=5,"May",IF(T335=4,"April",IF(T335=3,"March",IF(T335=7,"July",0)))))</f>
        <v>May</v>
      </c>
    </row>
    <row r="336" spans="1:21" x14ac:dyDescent="0.55000000000000004">
      <c r="A336" t="str">
        <f t="shared" si="25"/>
        <v>MayHong Kong - DECI NC</v>
      </c>
      <c r="B336" s="3" t="s">
        <v>20</v>
      </c>
      <c r="C336" s="4" t="s">
        <v>150</v>
      </c>
      <c r="D336" s="4" t="s">
        <v>845</v>
      </c>
      <c r="E336" s="5">
        <v>43228</v>
      </c>
      <c r="F336" s="4" t="s">
        <v>842</v>
      </c>
      <c r="G336" s="4" t="s">
        <v>161</v>
      </c>
      <c r="H336" s="4" t="s">
        <v>846</v>
      </c>
      <c r="I336" s="4" t="s">
        <v>154</v>
      </c>
      <c r="J336" s="4" t="s">
        <v>27</v>
      </c>
      <c r="K336" s="6">
        <v>45</v>
      </c>
      <c r="L336" s="6">
        <v>0</v>
      </c>
      <c r="M336" s="6">
        <f t="shared" ref="M336:M399" si="27">K336-L336</f>
        <v>45</v>
      </c>
      <c r="N336" s="6"/>
      <c r="O336" s="4" t="s">
        <v>161</v>
      </c>
      <c r="P336" s="3" t="s">
        <v>92</v>
      </c>
      <c r="Q336" s="8"/>
      <c r="R336" s="8"/>
      <c r="S336" s="9">
        <v>43221</v>
      </c>
      <c r="T336" s="8">
        <f t="shared" si="26"/>
        <v>5</v>
      </c>
      <c r="U336" s="8" t="str">
        <f t="shared" ref="U336:U399" si="28">IF(T336=6,"June",IF(T336=5,"May",IF(T336=4,"April",IF(T336=3,"March",IF(T336=7,"July",0)))))</f>
        <v>May</v>
      </c>
    </row>
    <row r="337" spans="1:21" x14ac:dyDescent="0.55000000000000004">
      <c r="A337" t="str">
        <f t="shared" si="25"/>
        <v>MayAFG NC - DCL KY</v>
      </c>
      <c r="B337" s="3" t="s">
        <v>20</v>
      </c>
      <c r="C337" s="4" t="s">
        <v>150</v>
      </c>
      <c r="D337" s="4" t="s">
        <v>847</v>
      </c>
      <c r="E337" s="5">
        <v>43244</v>
      </c>
      <c r="F337" s="4" t="s">
        <v>842</v>
      </c>
      <c r="G337" s="4" t="s">
        <v>848</v>
      </c>
      <c r="H337" s="4" t="s">
        <v>849</v>
      </c>
      <c r="I337" s="4" t="s">
        <v>154</v>
      </c>
      <c r="J337" s="4" t="s">
        <v>27</v>
      </c>
      <c r="K337" s="6">
        <v>12300</v>
      </c>
      <c r="L337" s="6">
        <v>0</v>
      </c>
      <c r="M337" s="6">
        <f t="shared" si="27"/>
        <v>12300</v>
      </c>
      <c r="N337" s="6"/>
      <c r="O337" s="4" t="s">
        <v>848</v>
      </c>
      <c r="P337" t="s">
        <v>173</v>
      </c>
      <c r="Q337" s="8"/>
      <c r="R337" s="8"/>
      <c r="S337" s="9">
        <v>43221</v>
      </c>
      <c r="T337" s="8">
        <f t="shared" si="26"/>
        <v>5</v>
      </c>
      <c r="U337" s="8" t="str">
        <f t="shared" si="28"/>
        <v>May</v>
      </c>
    </row>
    <row r="338" spans="1:21" x14ac:dyDescent="0.55000000000000004">
      <c r="A338" t="str">
        <f t="shared" si="25"/>
        <v>MayAFG NC - DCL KY</v>
      </c>
      <c r="B338" s="3" t="s">
        <v>20</v>
      </c>
      <c r="C338" s="4" t="s">
        <v>150</v>
      </c>
      <c r="D338" s="4" t="s">
        <v>850</v>
      </c>
      <c r="E338" s="5">
        <v>43244</v>
      </c>
      <c r="F338" s="4" t="s">
        <v>842</v>
      </c>
      <c r="G338" s="4" t="s">
        <v>851</v>
      </c>
      <c r="H338" s="4" t="s">
        <v>852</v>
      </c>
      <c r="I338" s="4" t="s">
        <v>154</v>
      </c>
      <c r="J338" s="4" t="s">
        <v>27</v>
      </c>
      <c r="K338" s="6">
        <v>4650</v>
      </c>
      <c r="L338" s="6">
        <v>0</v>
      </c>
      <c r="M338" s="6">
        <f t="shared" si="27"/>
        <v>4650</v>
      </c>
      <c r="N338" s="6"/>
      <c r="O338" s="4" t="s">
        <v>851</v>
      </c>
      <c r="P338" t="s">
        <v>173</v>
      </c>
      <c r="Q338" s="8"/>
      <c r="R338" s="8"/>
      <c r="S338" s="9">
        <v>43221</v>
      </c>
      <c r="T338" s="8">
        <f t="shared" si="26"/>
        <v>5</v>
      </c>
      <c r="U338" s="8" t="str">
        <f t="shared" si="28"/>
        <v>May</v>
      </c>
    </row>
    <row r="339" spans="1:21" x14ac:dyDescent="0.55000000000000004">
      <c r="A339" t="str">
        <f t="shared" si="25"/>
        <v>MayAFG NC - DCL KY</v>
      </c>
      <c r="B339" s="3" t="s">
        <v>20</v>
      </c>
      <c r="C339" s="4" t="s">
        <v>150</v>
      </c>
      <c r="D339" s="4" t="s">
        <v>853</v>
      </c>
      <c r="E339" s="5">
        <v>43244</v>
      </c>
      <c r="F339" s="4" t="s">
        <v>842</v>
      </c>
      <c r="G339" s="4" t="s">
        <v>854</v>
      </c>
      <c r="H339" s="4" t="s">
        <v>855</v>
      </c>
      <c r="I339" s="4" t="s">
        <v>154</v>
      </c>
      <c r="J339" s="4" t="s">
        <v>27</v>
      </c>
      <c r="K339" s="6">
        <v>3100</v>
      </c>
      <c r="L339" s="6">
        <v>0</v>
      </c>
      <c r="M339" s="6">
        <f t="shared" si="27"/>
        <v>3100</v>
      </c>
      <c r="N339" s="6"/>
      <c r="O339" s="4" t="s">
        <v>854</v>
      </c>
      <c r="P339" t="s">
        <v>173</v>
      </c>
      <c r="Q339" s="8"/>
      <c r="R339" s="8"/>
      <c r="S339" s="9">
        <v>43221</v>
      </c>
      <c r="T339" s="8">
        <f t="shared" si="26"/>
        <v>5</v>
      </c>
      <c r="U339" s="8" t="str">
        <f t="shared" si="28"/>
        <v>May</v>
      </c>
    </row>
    <row r="340" spans="1:21" x14ac:dyDescent="0.55000000000000004">
      <c r="A340" t="str">
        <f t="shared" si="25"/>
        <v>MayAFG NC - DCL KY</v>
      </c>
      <c r="B340" s="3" t="s">
        <v>20</v>
      </c>
      <c r="C340" s="4" t="s">
        <v>150</v>
      </c>
      <c r="D340" s="4" t="s">
        <v>856</v>
      </c>
      <c r="E340" s="5">
        <v>43244</v>
      </c>
      <c r="F340" s="4" t="s">
        <v>842</v>
      </c>
      <c r="G340" s="4" t="s">
        <v>857</v>
      </c>
      <c r="H340" s="4" t="s">
        <v>858</v>
      </c>
      <c r="I340" s="4" t="s">
        <v>154</v>
      </c>
      <c r="J340" s="4" t="s">
        <v>27</v>
      </c>
      <c r="K340" s="6">
        <v>4650</v>
      </c>
      <c r="L340" s="6">
        <v>0</v>
      </c>
      <c r="M340" s="6">
        <f t="shared" si="27"/>
        <v>4650</v>
      </c>
      <c r="N340" s="6"/>
      <c r="O340" s="4" t="s">
        <v>857</v>
      </c>
      <c r="P340" t="s">
        <v>173</v>
      </c>
      <c r="Q340" s="8"/>
      <c r="R340" s="8"/>
      <c r="S340" s="9">
        <v>43221</v>
      </c>
      <c r="T340" s="8">
        <f t="shared" si="26"/>
        <v>5</v>
      </c>
      <c r="U340" s="8" t="str">
        <f t="shared" si="28"/>
        <v>May</v>
      </c>
    </row>
    <row r="341" spans="1:21" x14ac:dyDescent="0.55000000000000004">
      <c r="A341" t="str">
        <f t="shared" si="25"/>
        <v>MayAFG NC - DCL KY</v>
      </c>
      <c r="B341" s="3" t="s">
        <v>20</v>
      </c>
      <c r="C341" s="4" t="s">
        <v>150</v>
      </c>
      <c r="D341" s="4" t="s">
        <v>859</v>
      </c>
      <c r="E341" s="5">
        <v>43244</v>
      </c>
      <c r="F341" s="4" t="s">
        <v>842</v>
      </c>
      <c r="G341" s="4" t="s">
        <v>860</v>
      </c>
      <c r="H341" s="4" t="s">
        <v>861</v>
      </c>
      <c r="I341" s="4" t="s">
        <v>154</v>
      </c>
      <c r="J341" s="4" t="s">
        <v>27</v>
      </c>
      <c r="K341" s="6">
        <v>1550</v>
      </c>
      <c r="L341" s="6">
        <v>0</v>
      </c>
      <c r="M341" s="6">
        <f t="shared" si="27"/>
        <v>1550</v>
      </c>
      <c r="N341" s="6"/>
      <c r="O341" s="4" t="s">
        <v>860</v>
      </c>
      <c r="P341" t="s">
        <v>173</v>
      </c>
      <c r="Q341" s="8"/>
      <c r="R341" s="8"/>
      <c r="S341" s="9">
        <v>43221</v>
      </c>
      <c r="T341" s="8">
        <f t="shared" si="26"/>
        <v>5</v>
      </c>
      <c r="U341" s="8" t="str">
        <f t="shared" si="28"/>
        <v>May</v>
      </c>
    </row>
    <row r="342" spans="1:21" x14ac:dyDescent="0.55000000000000004">
      <c r="A342" t="str">
        <f t="shared" si="25"/>
        <v>MayDCL KY - Ontario CA</v>
      </c>
      <c r="B342" s="3" t="s">
        <v>20</v>
      </c>
      <c r="C342" s="4" t="s">
        <v>150</v>
      </c>
      <c r="D342" s="4" t="s">
        <v>862</v>
      </c>
      <c r="E342" s="5">
        <v>43245</v>
      </c>
      <c r="F342" s="4" t="s">
        <v>842</v>
      </c>
      <c r="G342" s="4" t="s">
        <v>863</v>
      </c>
      <c r="H342" s="4" t="s">
        <v>864</v>
      </c>
      <c r="I342" s="4" t="s">
        <v>154</v>
      </c>
      <c r="J342" s="4" t="s">
        <v>27</v>
      </c>
      <c r="K342" s="6">
        <v>3781.09</v>
      </c>
      <c r="L342" s="6">
        <v>0</v>
      </c>
      <c r="M342" s="6">
        <f t="shared" si="27"/>
        <v>3781.09</v>
      </c>
      <c r="N342" s="6"/>
      <c r="O342" s="4" t="s">
        <v>863</v>
      </c>
      <c r="P342" s="3" t="s">
        <v>865</v>
      </c>
      <c r="Q342" s="8"/>
      <c r="R342" s="8"/>
      <c r="S342" s="9">
        <v>43221</v>
      </c>
      <c r="T342" s="8">
        <f t="shared" si="26"/>
        <v>5</v>
      </c>
      <c r="U342" s="8" t="str">
        <f t="shared" si="28"/>
        <v>May</v>
      </c>
    </row>
    <row r="343" spans="1:21" x14ac:dyDescent="0.55000000000000004">
      <c r="A343" t="str">
        <f t="shared" si="25"/>
        <v>MayAFG NC - DCL KY</v>
      </c>
      <c r="B343" s="3" t="s">
        <v>20</v>
      </c>
      <c r="C343" s="4" t="s">
        <v>150</v>
      </c>
      <c r="D343" s="4" t="s">
        <v>866</v>
      </c>
      <c r="E343" s="5">
        <v>43250</v>
      </c>
      <c r="F343" s="4" t="s">
        <v>842</v>
      </c>
      <c r="G343" s="4" t="s">
        <v>867</v>
      </c>
      <c r="H343" s="4" t="s">
        <v>868</v>
      </c>
      <c r="I343" s="4" t="s">
        <v>154</v>
      </c>
      <c r="J343" s="4" t="s">
        <v>27</v>
      </c>
      <c r="K343" s="6">
        <v>1550</v>
      </c>
      <c r="L343" s="6">
        <v>0</v>
      </c>
      <c r="M343" s="6">
        <f t="shared" si="27"/>
        <v>1550</v>
      </c>
      <c r="N343" s="6"/>
      <c r="O343" s="4" t="s">
        <v>867</v>
      </c>
      <c r="P343" t="s">
        <v>173</v>
      </c>
      <c r="Q343" s="8"/>
      <c r="R343" s="8"/>
      <c r="S343" s="9">
        <v>43221</v>
      </c>
      <c r="T343" s="8">
        <f t="shared" si="26"/>
        <v>5</v>
      </c>
      <c r="U343" s="8" t="str">
        <f t="shared" si="28"/>
        <v>May</v>
      </c>
    </row>
    <row r="344" spans="1:21" x14ac:dyDescent="0.55000000000000004">
      <c r="A344" t="str">
        <f t="shared" si="25"/>
        <v>MayAFG NC - DCL KY</v>
      </c>
      <c r="B344" s="3" t="s">
        <v>20</v>
      </c>
      <c r="C344" s="4" t="s">
        <v>150</v>
      </c>
      <c r="D344" s="4" t="s">
        <v>869</v>
      </c>
      <c r="E344" s="5">
        <v>43250</v>
      </c>
      <c r="F344" s="4" t="s">
        <v>842</v>
      </c>
      <c r="G344" s="4" t="s">
        <v>870</v>
      </c>
      <c r="H344" s="4" t="s">
        <v>871</v>
      </c>
      <c r="I344" s="4" t="s">
        <v>154</v>
      </c>
      <c r="J344" s="4" t="s">
        <v>27</v>
      </c>
      <c r="K344" s="6">
        <v>11200</v>
      </c>
      <c r="L344" s="6">
        <v>0</v>
      </c>
      <c r="M344" s="6">
        <f t="shared" si="27"/>
        <v>11200</v>
      </c>
      <c r="N344" s="6"/>
      <c r="O344" s="4" t="s">
        <v>870</v>
      </c>
      <c r="P344" t="s">
        <v>173</v>
      </c>
      <c r="Q344" s="8"/>
      <c r="R344" s="8"/>
      <c r="S344" s="9">
        <v>43221</v>
      </c>
      <c r="T344" s="8">
        <f t="shared" si="26"/>
        <v>5</v>
      </c>
      <c r="U344" s="8" t="str">
        <f t="shared" si="28"/>
        <v>May</v>
      </c>
    </row>
    <row r="345" spans="1:21" x14ac:dyDescent="0.55000000000000004">
      <c r="A345" t="str">
        <f t="shared" si="25"/>
        <v>MayAFG NC - DCL KY</v>
      </c>
      <c r="B345" s="3" t="s">
        <v>20</v>
      </c>
      <c r="C345" s="4" t="s">
        <v>150</v>
      </c>
      <c r="D345" s="4" t="s">
        <v>872</v>
      </c>
      <c r="E345" s="5">
        <v>43250</v>
      </c>
      <c r="F345" s="4" t="s">
        <v>842</v>
      </c>
      <c r="G345" s="4" t="s">
        <v>873</v>
      </c>
      <c r="H345" s="4" t="s">
        <v>874</v>
      </c>
      <c r="I345" s="4" t="s">
        <v>154</v>
      </c>
      <c r="J345" s="4" t="s">
        <v>27</v>
      </c>
      <c r="K345" s="6">
        <v>3100</v>
      </c>
      <c r="L345" s="6">
        <v>0</v>
      </c>
      <c r="M345" s="6">
        <f t="shared" si="27"/>
        <v>3100</v>
      </c>
      <c r="N345" s="6"/>
      <c r="O345" s="4" t="s">
        <v>873</v>
      </c>
      <c r="P345" t="s">
        <v>173</v>
      </c>
      <c r="Q345" s="8"/>
      <c r="R345" s="8"/>
      <c r="S345" s="9">
        <v>43221</v>
      </c>
      <c r="T345" s="8">
        <f t="shared" si="26"/>
        <v>5</v>
      </c>
      <c r="U345" s="8" t="str">
        <f t="shared" si="28"/>
        <v>May</v>
      </c>
    </row>
    <row r="346" spans="1:21" x14ac:dyDescent="0.55000000000000004">
      <c r="A346" t="str">
        <f t="shared" si="25"/>
        <v>MayAFG NC - DCL KY</v>
      </c>
      <c r="B346" s="3" t="s">
        <v>20</v>
      </c>
      <c r="C346" s="4" t="s">
        <v>150</v>
      </c>
      <c r="D346" s="4" t="s">
        <v>875</v>
      </c>
      <c r="E346" s="5">
        <v>43250</v>
      </c>
      <c r="F346" s="4" t="s">
        <v>842</v>
      </c>
      <c r="G346" s="4" t="s">
        <v>876</v>
      </c>
      <c r="H346" s="4" t="s">
        <v>877</v>
      </c>
      <c r="I346" s="4" t="s">
        <v>154</v>
      </c>
      <c r="J346" s="4" t="s">
        <v>27</v>
      </c>
      <c r="K346" s="6">
        <v>8275</v>
      </c>
      <c r="L346" s="6">
        <v>0</v>
      </c>
      <c r="M346" s="6">
        <f t="shared" si="27"/>
        <v>8275</v>
      </c>
      <c r="N346" s="6"/>
      <c r="O346" s="4" t="s">
        <v>876</v>
      </c>
      <c r="P346" t="s">
        <v>173</v>
      </c>
      <c r="Q346" s="8"/>
      <c r="R346" s="8"/>
      <c r="S346" s="9">
        <v>43221</v>
      </c>
      <c r="T346" s="8">
        <f t="shared" si="26"/>
        <v>5</v>
      </c>
      <c r="U346" s="8" t="str">
        <f t="shared" si="28"/>
        <v>May</v>
      </c>
    </row>
    <row r="347" spans="1:21" x14ac:dyDescent="0.55000000000000004">
      <c r="A347" t="str">
        <f t="shared" si="25"/>
        <v>MayAFG NC - DCL KY</v>
      </c>
      <c r="B347" s="3" t="s">
        <v>20</v>
      </c>
      <c r="C347" s="4" t="s">
        <v>150</v>
      </c>
      <c r="D347" s="4" t="s">
        <v>878</v>
      </c>
      <c r="E347" s="5">
        <v>43250</v>
      </c>
      <c r="F347" s="4" t="s">
        <v>842</v>
      </c>
      <c r="G347" s="4" t="s">
        <v>867</v>
      </c>
      <c r="H347" s="4" t="s">
        <v>879</v>
      </c>
      <c r="I347" s="4" t="s">
        <v>154</v>
      </c>
      <c r="J347" s="4" t="s">
        <v>27</v>
      </c>
      <c r="K347" s="6">
        <v>5350</v>
      </c>
      <c r="L347" s="6">
        <v>0</v>
      </c>
      <c r="M347" s="6">
        <f t="shared" si="27"/>
        <v>5350</v>
      </c>
      <c r="N347" s="6"/>
      <c r="O347" s="4" t="s">
        <v>867</v>
      </c>
      <c r="P347" t="s">
        <v>173</v>
      </c>
      <c r="Q347" s="8"/>
      <c r="R347" s="8"/>
      <c r="S347" s="9">
        <v>43221</v>
      </c>
      <c r="T347" s="8">
        <f t="shared" si="26"/>
        <v>5</v>
      </c>
      <c r="U347" s="8" t="str">
        <f t="shared" si="28"/>
        <v>May</v>
      </c>
    </row>
    <row r="348" spans="1:21" x14ac:dyDescent="0.55000000000000004">
      <c r="A348" t="str">
        <f t="shared" si="25"/>
        <v>MayAFG NC - DCL KY</v>
      </c>
      <c r="B348" s="3" t="s">
        <v>20</v>
      </c>
      <c r="C348" s="4" t="s">
        <v>150</v>
      </c>
      <c r="D348" s="4" t="s">
        <v>880</v>
      </c>
      <c r="E348" s="5">
        <v>43251</v>
      </c>
      <c r="F348" s="4" t="s">
        <v>842</v>
      </c>
      <c r="G348" s="4" t="s">
        <v>881</v>
      </c>
      <c r="H348" s="4" t="s">
        <v>882</v>
      </c>
      <c r="I348" s="4" t="s">
        <v>154</v>
      </c>
      <c r="J348" s="4" t="s">
        <v>27</v>
      </c>
      <c r="K348" s="6">
        <v>9650</v>
      </c>
      <c r="L348" s="6">
        <v>0</v>
      </c>
      <c r="M348" s="6">
        <f t="shared" si="27"/>
        <v>9650</v>
      </c>
      <c r="N348" s="6"/>
      <c r="O348" s="4" t="s">
        <v>881</v>
      </c>
      <c r="P348" t="s">
        <v>173</v>
      </c>
      <c r="Q348" s="8"/>
      <c r="R348" s="8"/>
      <c r="S348" s="9">
        <v>43221</v>
      </c>
      <c r="T348" s="8">
        <f t="shared" si="26"/>
        <v>5</v>
      </c>
      <c r="U348" s="8" t="str">
        <f t="shared" si="28"/>
        <v>May</v>
      </c>
    </row>
    <row r="349" spans="1:21" x14ac:dyDescent="0.55000000000000004">
      <c r="A349" t="str">
        <f t="shared" si="25"/>
        <v>JuneChina - Flex IL</v>
      </c>
      <c r="B349" s="3" t="s">
        <v>20</v>
      </c>
      <c r="C349" s="4" t="s">
        <v>150</v>
      </c>
      <c r="D349" s="4" t="s">
        <v>883</v>
      </c>
      <c r="E349" s="5">
        <v>43255</v>
      </c>
      <c r="F349" s="4" t="s">
        <v>842</v>
      </c>
      <c r="G349" s="4" t="s">
        <v>884</v>
      </c>
      <c r="H349" s="4" t="s">
        <v>885</v>
      </c>
      <c r="I349" s="4" t="s">
        <v>154</v>
      </c>
      <c r="J349" s="4" t="s">
        <v>27</v>
      </c>
      <c r="K349" s="6">
        <v>6553.57</v>
      </c>
      <c r="L349" s="6">
        <v>0</v>
      </c>
      <c r="M349" s="6">
        <f t="shared" si="27"/>
        <v>6553.57</v>
      </c>
      <c r="N349" s="6"/>
      <c r="O349" s="4" t="s">
        <v>884</v>
      </c>
      <c r="P349" s="3" t="s">
        <v>886</v>
      </c>
      <c r="Q349" s="8"/>
      <c r="R349" s="8"/>
      <c r="S349" s="9">
        <v>43221</v>
      </c>
      <c r="T349" s="8">
        <f t="shared" si="26"/>
        <v>6</v>
      </c>
      <c r="U349" s="8" t="str">
        <f t="shared" si="28"/>
        <v>June</v>
      </c>
    </row>
    <row r="350" spans="1:21" x14ac:dyDescent="0.55000000000000004">
      <c r="A350" t="str">
        <f t="shared" si="25"/>
        <v>JuneChina - Flex IL</v>
      </c>
      <c r="B350" s="3" t="s">
        <v>20</v>
      </c>
      <c r="C350" s="4" t="s">
        <v>150</v>
      </c>
      <c r="D350" s="4" t="s">
        <v>887</v>
      </c>
      <c r="E350" s="5">
        <v>43256</v>
      </c>
      <c r="F350" s="4" t="s">
        <v>842</v>
      </c>
      <c r="G350" s="4" t="s">
        <v>888</v>
      </c>
      <c r="H350" s="4" t="s">
        <v>889</v>
      </c>
      <c r="I350" s="4" t="s">
        <v>154</v>
      </c>
      <c r="J350" s="4" t="s">
        <v>27</v>
      </c>
      <c r="K350" s="6">
        <v>4350.2299999999996</v>
      </c>
      <c r="L350" s="6">
        <v>0</v>
      </c>
      <c r="M350" s="6">
        <f t="shared" si="27"/>
        <v>4350.2299999999996</v>
      </c>
      <c r="N350" s="6"/>
      <c r="O350" s="4" t="s">
        <v>888</v>
      </c>
      <c r="P350" s="3" t="s">
        <v>886</v>
      </c>
      <c r="Q350" s="8"/>
      <c r="R350" s="8"/>
      <c r="S350" s="9">
        <v>43221</v>
      </c>
      <c r="T350" s="8">
        <f t="shared" si="26"/>
        <v>6</v>
      </c>
      <c r="U350" s="8" t="str">
        <f t="shared" si="28"/>
        <v>June</v>
      </c>
    </row>
    <row r="351" spans="1:21" x14ac:dyDescent="0.55000000000000004">
      <c r="A351" t="str">
        <f t="shared" si="25"/>
        <v>JuneChina - Flex IL</v>
      </c>
      <c r="B351" s="3" t="s">
        <v>20</v>
      </c>
      <c r="C351" s="4" t="s">
        <v>150</v>
      </c>
      <c r="D351" s="4" t="s">
        <v>890</v>
      </c>
      <c r="E351" s="5">
        <v>43256</v>
      </c>
      <c r="F351" s="4" t="s">
        <v>842</v>
      </c>
      <c r="G351" s="4" t="s">
        <v>891</v>
      </c>
      <c r="H351" s="4" t="s">
        <v>892</v>
      </c>
      <c r="I351" s="4" t="s">
        <v>154</v>
      </c>
      <c r="J351" s="4" t="s">
        <v>27</v>
      </c>
      <c r="K351" s="6">
        <v>2881.33</v>
      </c>
      <c r="L351" s="6">
        <v>0</v>
      </c>
      <c r="M351" s="6">
        <f t="shared" si="27"/>
        <v>2881.33</v>
      </c>
      <c r="N351" s="6"/>
      <c r="O351" s="4" t="s">
        <v>891</v>
      </c>
      <c r="P351" s="3" t="s">
        <v>886</v>
      </c>
      <c r="Q351" s="8"/>
      <c r="R351" s="8"/>
      <c r="S351" s="9">
        <v>43221</v>
      </c>
      <c r="T351" s="8">
        <f t="shared" si="26"/>
        <v>6</v>
      </c>
      <c r="U351" s="8" t="str">
        <f t="shared" si="28"/>
        <v>June</v>
      </c>
    </row>
    <row r="352" spans="1:21" x14ac:dyDescent="0.55000000000000004">
      <c r="A352" t="str">
        <f t="shared" si="25"/>
        <v>JuneFlex IL - UK</v>
      </c>
      <c r="B352" s="3" t="s">
        <v>20</v>
      </c>
      <c r="C352" s="4" t="s">
        <v>150</v>
      </c>
      <c r="D352" s="4" t="s">
        <v>893</v>
      </c>
      <c r="E352" s="5">
        <v>43256</v>
      </c>
      <c r="F352" s="4" t="s">
        <v>842</v>
      </c>
      <c r="G352" s="4" t="s">
        <v>20</v>
      </c>
      <c r="H352" s="4" t="s">
        <v>894</v>
      </c>
      <c r="I352" s="4" t="s">
        <v>154</v>
      </c>
      <c r="J352" s="4" t="s">
        <v>27</v>
      </c>
      <c r="K352" s="6">
        <v>4566.9399999999996</v>
      </c>
      <c r="L352" s="6">
        <v>0</v>
      </c>
      <c r="M352" s="6">
        <f t="shared" si="27"/>
        <v>4566.9399999999996</v>
      </c>
      <c r="N352" s="6"/>
      <c r="O352" s="4" t="s">
        <v>20</v>
      </c>
      <c r="P352" s="3" t="s">
        <v>895</v>
      </c>
      <c r="Q352" s="8"/>
      <c r="R352" s="8"/>
      <c r="S352" s="9">
        <v>43252</v>
      </c>
      <c r="T352" s="8">
        <f t="shared" si="26"/>
        <v>6</v>
      </c>
      <c r="U352" s="8" t="str">
        <f t="shared" si="28"/>
        <v>June</v>
      </c>
    </row>
    <row r="353" spans="1:21" x14ac:dyDescent="0.55000000000000004">
      <c r="A353" t="str">
        <f t="shared" si="25"/>
        <v>JuneAFG NC - DCL KY</v>
      </c>
      <c r="B353" s="3" t="s">
        <v>20</v>
      </c>
      <c r="C353" s="4" t="s">
        <v>150</v>
      </c>
      <c r="D353" s="4" t="s">
        <v>896</v>
      </c>
      <c r="E353" s="5">
        <v>43257</v>
      </c>
      <c r="F353" s="4" t="s">
        <v>842</v>
      </c>
      <c r="G353" s="4" t="s">
        <v>897</v>
      </c>
      <c r="H353" s="4" t="s">
        <v>898</v>
      </c>
      <c r="I353" s="4" t="s">
        <v>154</v>
      </c>
      <c r="J353" s="4" t="s">
        <v>27</v>
      </c>
      <c r="K353" s="6">
        <v>3100</v>
      </c>
      <c r="L353" s="6">
        <v>0</v>
      </c>
      <c r="M353" s="6">
        <f t="shared" si="27"/>
        <v>3100</v>
      </c>
      <c r="N353" s="6"/>
      <c r="O353" s="4" t="s">
        <v>897</v>
      </c>
      <c r="P353" t="s">
        <v>173</v>
      </c>
      <c r="Q353" s="8"/>
      <c r="R353" s="8"/>
      <c r="S353" s="9">
        <v>43252</v>
      </c>
      <c r="T353" s="8">
        <f t="shared" si="26"/>
        <v>6</v>
      </c>
      <c r="U353" s="8" t="str">
        <f t="shared" si="28"/>
        <v>June</v>
      </c>
    </row>
    <row r="354" spans="1:21" x14ac:dyDescent="0.55000000000000004">
      <c r="A354" t="str">
        <f t="shared" si="25"/>
        <v>JuneAFG NC - DCL KY</v>
      </c>
      <c r="B354" s="3" t="s">
        <v>20</v>
      </c>
      <c r="C354" s="4" t="s">
        <v>150</v>
      </c>
      <c r="D354" s="4" t="s">
        <v>899</v>
      </c>
      <c r="E354" s="5">
        <v>43257</v>
      </c>
      <c r="F354" s="4" t="s">
        <v>842</v>
      </c>
      <c r="G354" s="4" t="s">
        <v>897</v>
      </c>
      <c r="H354" s="4" t="s">
        <v>900</v>
      </c>
      <c r="I354" s="4" t="s">
        <v>154</v>
      </c>
      <c r="J354" s="4" t="s">
        <v>27</v>
      </c>
      <c r="K354" s="6">
        <v>3100</v>
      </c>
      <c r="L354" s="6">
        <v>0</v>
      </c>
      <c r="M354" s="6">
        <f t="shared" si="27"/>
        <v>3100</v>
      </c>
      <c r="N354" s="6"/>
      <c r="O354" s="4" t="s">
        <v>897</v>
      </c>
      <c r="P354" t="s">
        <v>173</v>
      </c>
      <c r="Q354" s="8"/>
      <c r="R354" s="8"/>
      <c r="S354" s="9">
        <v>43252</v>
      </c>
      <c r="T354" s="8">
        <f t="shared" si="26"/>
        <v>6</v>
      </c>
      <c r="U354" s="8" t="str">
        <f t="shared" si="28"/>
        <v>June</v>
      </c>
    </row>
    <row r="355" spans="1:21" x14ac:dyDescent="0.55000000000000004">
      <c r="A355" t="str">
        <f t="shared" si="25"/>
        <v>JuneAFG NC - DCL KY</v>
      </c>
      <c r="B355" s="3" t="s">
        <v>20</v>
      </c>
      <c r="C355" s="4" t="s">
        <v>150</v>
      </c>
      <c r="D355" s="4" t="s">
        <v>901</v>
      </c>
      <c r="E355" s="5">
        <v>43257</v>
      </c>
      <c r="F355" s="4" t="s">
        <v>842</v>
      </c>
      <c r="G355" s="4" t="s">
        <v>902</v>
      </c>
      <c r="H355" s="4" t="s">
        <v>903</v>
      </c>
      <c r="I355" s="4" t="s">
        <v>154</v>
      </c>
      <c r="J355" s="4" t="s">
        <v>27</v>
      </c>
      <c r="K355" s="6">
        <v>6000</v>
      </c>
      <c r="L355" s="6">
        <v>0</v>
      </c>
      <c r="M355" s="6">
        <f t="shared" si="27"/>
        <v>6000</v>
      </c>
      <c r="N355" s="6"/>
      <c r="O355" s="4" t="s">
        <v>902</v>
      </c>
      <c r="P355" t="s">
        <v>173</v>
      </c>
      <c r="Q355" s="8"/>
      <c r="R355" s="8"/>
      <c r="S355" s="9">
        <v>43252</v>
      </c>
      <c r="T355" s="8">
        <f t="shared" si="26"/>
        <v>6</v>
      </c>
      <c r="U355" s="8" t="str">
        <f t="shared" si="28"/>
        <v>June</v>
      </c>
    </row>
    <row r="356" spans="1:21" x14ac:dyDescent="0.55000000000000004">
      <c r="A356" t="str">
        <f t="shared" si="25"/>
        <v>JuneChina - Flex IL</v>
      </c>
      <c r="B356" s="3" t="s">
        <v>20</v>
      </c>
      <c r="C356" s="4" t="s">
        <v>150</v>
      </c>
      <c r="D356" s="4" t="s">
        <v>904</v>
      </c>
      <c r="E356" s="5">
        <v>43259</v>
      </c>
      <c r="F356" s="4" t="s">
        <v>842</v>
      </c>
      <c r="G356" s="4" t="s">
        <v>905</v>
      </c>
      <c r="H356" s="4" t="s">
        <v>906</v>
      </c>
      <c r="I356" s="4" t="s">
        <v>154</v>
      </c>
      <c r="J356" s="4" t="s">
        <v>27</v>
      </c>
      <c r="K356" s="6">
        <v>3615.78</v>
      </c>
      <c r="L356" s="6">
        <v>0</v>
      </c>
      <c r="M356" s="6">
        <f t="shared" si="27"/>
        <v>3615.78</v>
      </c>
      <c r="N356" s="6"/>
      <c r="O356" s="4" t="s">
        <v>905</v>
      </c>
      <c r="P356" s="3" t="s">
        <v>886</v>
      </c>
      <c r="Q356" s="8"/>
      <c r="R356" s="8"/>
      <c r="S356" s="9">
        <v>43252</v>
      </c>
      <c r="T356" s="8">
        <f t="shared" si="26"/>
        <v>6</v>
      </c>
      <c r="U356" s="8" t="str">
        <f t="shared" si="28"/>
        <v>June</v>
      </c>
    </row>
    <row r="357" spans="1:21" x14ac:dyDescent="0.55000000000000004">
      <c r="A357" t="str">
        <f t="shared" si="25"/>
        <v>JuneAFG NC - DCL KY</v>
      </c>
      <c r="B357" s="3" t="s">
        <v>20</v>
      </c>
      <c r="C357" s="4" t="s">
        <v>150</v>
      </c>
      <c r="D357" s="4" t="s">
        <v>907</v>
      </c>
      <c r="E357" s="5">
        <v>43262</v>
      </c>
      <c r="F357" s="4" t="s">
        <v>842</v>
      </c>
      <c r="G357" s="4" t="s">
        <v>908</v>
      </c>
      <c r="H357" s="4" t="s">
        <v>909</v>
      </c>
      <c r="I357" s="4" t="s">
        <v>154</v>
      </c>
      <c r="J357" s="4" t="s">
        <v>27</v>
      </c>
      <c r="K357" s="6">
        <v>4650</v>
      </c>
      <c r="L357" s="6">
        <v>0</v>
      </c>
      <c r="M357" s="6">
        <f t="shared" si="27"/>
        <v>4650</v>
      </c>
      <c r="N357" s="6"/>
      <c r="O357" s="4" t="s">
        <v>908</v>
      </c>
      <c r="P357" t="s">
        <v>173</v>
      </c>
      <c r="Q357" s="8"/>
      <c r="R357" s="8"/>
      <c r="S357" s="9">
        <v>43252</v>
      </c>
      <c r="T357" s="8">
        <f t="shared" si="26"/>
        <v>6</v>
      </c>
      <c r="U357" s="8" t="str">
        <f t="shared" si="28"/>
        <v>June</v>
      </c>
    </row>
    <row r="358" spans="1:21" x14ac:dyDescent="0.55000000000000004">
      <c r="A358" t="str">
        <f t="shared" si="25"/>
        <v>JuneAFG NC - DCL KY</v>
      </c>
      <c r="B358" s="3" t="s">
        <v>20</v>
      </c>
      <c r="C358" s="4" t="s">
        <v>150</v>
      </c>
      <c r="D358" s="4" t="s">
        <v>910</v>
      </c>
      <c r="E358" s="5">
        <v>43262</v>
      </c>
      <c r="F358" s="4" t="s">
        <v>842</v>
      </c>
      <c r="G358" s="4" t="s">
        <v>911</v>
      </c>
      <c r="H358" s="4" t="s">
        <v>912</v>
      </c>
      <c r="I358" s="4" t="s">
        <v>154</v>
      </c>
      <c r="J358" s="4" t="s">
        <v>27</v>
      </c>
      <c r="K358" s="6">
        <v>3100</v>
      </c>
      <c r="L358" s="6">
        <v>0</v>
      </c>
      <c r="M358" s="6">
        <f t="shared" si="27"/>
        <v>3100</v>
      </c>
      <c r="N358" s="6"/>
      <c r="O358" s="4" t="s">
        <v>911</v>
      </c>
      <c r="P358" t="s">
        <v>173</v>
      </c>
      <c r="Q358" s="8"/>
      <c r="R358" s="8"/>
      <c r="S358" s="9">
        <v>43252</v>
      </c>
      <c r="T358" s="8">
        <f t="shared" si="26"/>
        <v>6</v>
      </c>
      <c r="U358" s="8" t="str">
        <f t="shared" si="28"/>
        <v>June</v>
      </c>
    </row>
    <row r="359" spans="1:21" x14ac:dyDescent="0.55000000000000004">
      <c r="A359" t="str">
        <f t="shared" si="25"/>
        <v>JuneFlex IL - UK</v>
      </c>
      <c r="B359" s="3" t="s">
        <v>20</v>
      </c>
      <c r="C359" s="4" t="s">
        <v>150</v>
      </c>
      <c r="D359" s="4" t="s">
        <v>913</v>
      </c>
      <c r="E359" s="5">
        <v>43264</v>
      </c>
      <c r="F359" s="4" t="s">
        <v>842</v>
      </c>
      <c r="G359" s="4" t="s">
        <v>914</v>
      </c>
      <c r="H359" s="4" t="s">
        <v>915</v>
      </c>
      <c r="I359" s="4" t="s">
        <v>154</v>
      </c>
      <c r="J359" s="4" t="s">
        <v>27</v>
      </c>
      <c r="K359" s="6">
        <v>649.4</v>
      </c>
      <c r="L359" s="6">
        <v>0</v>
      </c>
      <c r="M359" s="6">
        <f t="shared" si="27"/>
        <v>649.4</v>
      </c>
      <c r="N359" s="6"/>
      <c r="O359" s="4" t="s">
        <v>914</v>
      </c>
      <c r="P359" s="3" t="s">
        <v>895</v>
      </c>
      <c r="Q359" s="8"/>
      <c r="R359" s="8"/>
      <c r="S359" s="9">
        <v>43252</v>
      </c>
      <c r="T359" s="8">
        <f t="shared" si="26"/>
        <v>6</v>
      </c>
      <c r="U359" s="8" t="str">
        <f t="shared" si="28"/>
        <v>June</v>
      </c>
    </row>
    <row r="360" spans="1:21" x14ac:dyDescent="0.55000000000000004">
      <c r="A360" t="str">
        <f t="shared" si="25"/>
        <v>JuneAFG NC - DCL KY</v>
      </c>
      <c r="B360" s="3" t="s">
        <v>20</v>
      </c>
      <c r="C360" s="4" t="s">
        <v>150</v>
      </c>
      <c r="D360" s="4" t="s">
        <v>916</v>
      </c>
      <c r="E360" s="5">
        <v>43264</v>
      </c>
      <c r="F360" s="4" t="s">
        <v>842</v>
      </c>
      <c r="G360" s="4" t="s">
        <v>917</v>
      </c>
      <c r="H360" s="4" t="s">
        <v>918</v>
      </c>
      <c r="I360" s="4" t="s">
        <v>154</v>
      </c>
      <c r="J360" s="4" t="s">
        <v>27</v>
      </c>
      <c r="K360" s="6">
        <v>3100</v>
      </c>
      <c r="L360" s="6">
        <v>0</v>
      </c>
      <c r="M360" s="6">
        <f t="shared" si="27"/>
        <v>3100</v>
      </c>
      <c r="N360" s="6"/>
      <c r="O360" s="4" t="s">
        <v>917</v>
      </c>
      <c r="P360" t="s">
        <v>173</v>
      </c>
      <c r="Q360" s="8"/>
      <c r="R360" s="8"/>
      <c r="S360" s="9">
        <v>43252</v>
      </c>
      <c r="T360" s="8">
        <f t="shared" si="26"/>
        <v>6</v>
      </c>
      <c r="U360" s="8" t="str">
        <f t="shared" si="28"/>
        <v>June</v>
      </c>
    </row>
    <row r="361" spans="1:21" x14ac:dyDescent="0.55000000000000004">
      <c r="A361" t="str">
        <f t="shared" si="25"/>
        <v>JuneAFG NC - DCL KY</v>
      </c>
      <c r="B361" s="3" t="s">
        <v>20</v>
      </c>
      <c r="C361" s="4" t="s">
        <v>150</v>
      </c>
      <c r="D361" s="4" t="s">
        <v>919</v>
      </c>
      <c r="E361" s="5">
        <v>43264</v>
      </c>
      <c r="F361" s="4" t="s">
        <v>842</v>
      </c>
      <c r="G361" s="4" t="s">
        <v>920</v>
      </c>
      <c r="H361" s="4" t="s">
        <v>921</v>
      </c>
      <c r="I361" s="4" t="s">
        <v>154</v>
      </c>
      <c r="J361" s="4" t="s">
        <v>27</v>
      </c>
      <c r="K361" s="6">
        <v>1550</v>
      </c>
      <c r="L361" s="6">
        <v>0</v>
      </c>
      <c r="M361" s="6">
        <f t="shared" si="27"/>
        <v>1550</v>
      </c>
      <c r="N361" s="6"/>
      <c r="O361" s="4" t="s">
        <v>920</v>
      </c>
      <c r="P361" t="s">
        <v>173</v>
      </c>
      <c r="Q361" s="8"/>
      <c r="R361" s="8"/>
      <c r="S361" s="9">
        <v>43252</v>
      </c>
      <c r="T361" s="8">
        <f t="shared" si="26"/>
        <v>6</v>
      </c>
      <c r="U361" s="8" t="str">
        <f t="shared" si="28"/>
        <v>June</v>
      </c>
    </row>
    <row r="362" spans="1:21" x14ac:dyDescent="0.55000000000000004">
      <c r="A362" t="str">
        <f t="shared" si="25"/>
        <v>JunePhillips WI - DCL KY</v>
      </c>
      <c r="B362" s="3" t="s">
        <v>20</v>
      </c>
      <c r="C362" s="4" t="s">
        <v>150</v>
      </c>
      <c r="D362" s="4" t="s">
        <v>922</v>
      </c>
      <c r="E362" s="5">
        <v>43264</v>
      </c>
      <c r="F362" s="4" t="s">
        <v>842</v>
      </c>
      <c r="G362" s="4" t="s">
        <v>923</v>
      </c>
      <c r="H362" s="4" t="s">
        <v>924</v>
      </c>
      <c r="I362" s="4" t="s">
        <v>154</v>
      </c>
      <c r="J362" s="4" t="s">
        <v>27</v>
      </c>
      <c r="K362" s="6">
        <v>541.87</v>
      </c>
      <c r="L362" s="6">
        <v>0</v>
      </c>
      <c r="M362" s="6">
        <f t="shared" si="27"/>
        <v>541.87</v>
      </c>
      <c r="N362" s="6"/>
      <c r="O362" s="4" t="s">
        <v>923</v>
      </c>
      <c r="P362" t="s">
        <v>29</v>
      </c>
      <c r="Q362" s="8"/>
      <c r="R362" s="8"/>
      <c r="S362" s="9">
        <v>43252</v>
      </c>
      <c r="T362" s="8">
        <f t="shared" si="26"/>
        <v>6</v>
      </c>
      <c r="U362" s="8" t="str">
        <f t="shared" si="28"/>
        <v>June</v>
      </c>
    </row>
    <row r="363" spans="1:21" x14ac:dyDescent="0.55000000000000004">
      <c r="A363" t="str">
        <f t="shared" si="25"/>
        <v>JuneFlex IL - UK</v>
      </c>
      <c r="B363" s="3" t="s">
        <v>20</v>
      </c>
      <c r="C363" s="4" t="s">
        <v>150</v>
      </c>
      <c r="D363" s="4" t="s">
        <v>925</v>
      </c>
      <c r="E363" s="5">
        <v>43264</v>
      </c>
      <c r="F363" s="4" t="s">
        <v>842</v>
      </c>
      <c r="G363" s="4" t="s">
        <v>914</v>
      </c>
      <c r="H363" s="4" t="s">
        <v>926</v>
      </c>
      <c r="I363" s="4" t="s">
        <v>154</v>
      </c>
      <c r="J363" s="4" t="s">
        <v>27</v>
      </c>
      <c r="K363" s="6">
        <v>0</v>
      </c>
      <c r="L363" s="6">
        <v>649.4</v>
      </c>
      <c r="M363" s="6">
        <f t="shared" si="27"/>
        <v>-649.4</v>
      </c>
      <c r="N363" s="6"/>
      <c r="O363" s="4" t="s">
        <v>914</v>
      </c>
      <c r="P363" s="3" t="s">
        <v>895</v>
      </c>
      <c r="Q363" s="8"/>
      <c r="R363" s="8"/>
      <c r="S363" s="9">
        <v>43252</v>
      </c>
      <c r="T363" s="8">
        <f t="shared" si="26"/>
        <v>6</v>
      </c>
      <c r="U363" s="8" t="str">
        <f t="shared" si="28"/>
        <v>June</v>
      </c>
    </row>
    <row r="364" spans="1:21" x14ac:dyDescent="0.55000000000000004">
      <c r="A364" t="str">
        <f t="shared" si="25"/>
        <v>JuneFlex IL - UK</v>
      </c>
      <c r="B364" s="3" t="s">
        <v>20</v>
      </c>
      <c r="C364" s="4" t="s">
        <v>150</v>
      </c>
      <c r="D364" s="4" t="s">
        <v>927</v>
      </c>
      <c r="E364" s="5">
        <v>43264</v>
      </c>
      <c r="F364" s="4" t="s">
        <v>842</v>
      </c>
      <c r="G364" s="4" t="s">
        <v>914</v>
      </c>
      <c r="H364" s="4" t="s">
        <v>928</v>
      </c>
      <c r="I364" s="4" t="s">
        <v>154</v>
      </c>
      <c r="J364" s="4" t="s">
        <v>929</v>
      </c>
      <c r="K364" s="6">
        <v>649.4</v>
      </c>
      <c r="L364" s="6">
        <v>0</v>
      </c>
      <c r="M364" s="6">
        <f t="shared" si="27"/>
        <v>649.4</v>
      </c>
      <c r="N364" s="6"/>
      <c r="O364" s="4" t="s">
        <v>914</v>
      </c>
      <c r="P364" s="3" t="s">
        <v>895</v>
      </c>
      <c r="Q364" s="8"/>
      <c r="R364" s="8"/>
      <c r="S364" s="9">
        <v>43252</v>
      </c>
      <c r="T364" s="8">
        <f t="shared" si="26"/>
        <v>6</v>
      </c>
      <c r="U364" s="8" t="str">
        <f t="shared" si="28"/>
        <v>June</v>
      </c>
    </row>
    <row r="365" spans="1:21" x14ac:dyDescent="0.55000000000000004">
      <c r="A365" t="str">
        <f t="shared" si="25"/>
        <v>JuneFlorida - Phillips WI</v>
      </c>
      <c r="B365" s="3" t="s">
        <v>20</v>
      </c>
      <c r="C365" s="4" t="s">
        <v>150</v>
      </c>
      <c r="D365" s="4" t="s">
        <v>930</v>
      </c>
      <c r="E365" s="5">
        <v>43269</v>
      </c>
      <c r="F365" s="4" t="s">
        <v>842</v>
      </c>
      <c r="G365" s="4" t="s">
        <v>931</v>
      </c>
      <c r="H365" s="4" t="s">
        <v>932</v>
      </c>
      <c r="I365" s="4" t="s">
        <v>154</v>
      </c>
      <c r="J365" s="4" t="s">
        <v>27</v>
      </c>
      <c r="K365" s="6">
        <v>834.39</v>
      </c>
      <c r="L365" s="6">
        <v>0</v>
      </c>
      <c r="M365" s="6">
        <f t="shared" si="27"/>
        <v>834.39</v>
      </c>
      <c r="N365" s="6"/>
      <c r="O365" s="4" t="s">
        <v>931</v>
      </c>
      <c r="P365" s="3" t="s">
        <v>933</v>
      </c>
      <c r="Q365" s="8"/>
      <c r="R365" s="8"/>
      <c r="S365" s="9">
        <v>43252</v>
      </c>
      <c r="T365" s="8">
        <f t="shared" si="26"/>
        <v>6</v>
      </c>
      <c r="U365" s="8" t="str">
        <f t="shared" si="28"/>
        <v>June</v>
      </c>
    </row>
    <row r="366" spans="1:21" x14ac:dyDescent="0.55000000000000004">
      <c r="A366" t="str">
        <f t="shared" si="25"/>
        <v>JuneChina - Flex IL</v>
      </c>
      <c r="B366" s="3" t="s">
        <v>20</v>
      </c>
      <c r="C366" s="4" t="s">
        <v>150</v>
      </c>
      <c r="D366" s="4" t="s">
        <v>934</v>
      </c>
      <c r="E366" s="5">
        <v>43273</v>
      </c>
      <c r="F366" s="4" t="s">
        <v>842</v>
      </c>
      <c r="G366" s="4" t="s">
        <v>935</v>
      </c>
      <c r="H366" s="4" t="s">
        <v>936</v>
      </c>
      <c r="I366" s="4" t="s">
        <v>154</v>
      </c>
      <c r="J366" s="4" t="s">
        <v>27</v>
      </c>
      <c r="K366" s="6">
        <v>11327.49</v>
      </c>
      <c r="L366" s="6">
        <v>0</v>
      </c>
      <c r="M366" s="6">
        <f t="shared" si="27"/>
        <v>11327.49</v>
      </c>
      <c r="N366" s="6"/>
      <c r="O366" s="4" t="s">
        <v>935</v>
      </c>
      <c r="P366" s="3" t="s">
        <v>886</v>
      </c>
      <c r="Q366" s="8"/>
      <c r="R366" s="8"/>
      <c r="S366" s="9">
        <v>43252</v>
      </c>
      <c r="T366" s="8">
        <f t="shared" si="26"/>
        <v>6</v>
      </c>
      <c r="U366" s="8" t="str">
        <f t="shared" si="28"/>
        <v>June</v>
      </c>
    </row>
    <row r="367" spans="1:21" x14ac:dyDescent="0.55000000000000004">
      <c r="A367" t="str">
        <f t="shared" si="25"/>
        <v>JuneHong Kong - Flex IL</v>
      </c>
      <c r="B367" s="3" t="s">
        <v>20</v>
      </c>
      <c r="C367" s="4" t="s">
        <v>150</v>
      </c>
      <c r="D367" s="4" t="s">
        <v>937</v>
      </c>
      <c r="E367" s="5">
        <v>43273</v>
      </c>
      <c r="F367" s="4" t="s">
        <v>842</v>
      </c>
      <c r="G367" s="4" t="s">
        <v>161</v>
      </c>
      <c r="H367" s="4" t="s">
        <v>938</v>
      </c>
      <c r="I367" s="4" t="s">
        <v>154</v>
      </c>
      <c r="J367" s="4" t="s">
        <v>27</v>
      </c>
      <c r="K367" s="6">
        <v>72</v>
      </c>
      <c r="L367" s="6">
        <v>0</v>
      </c>
      <c r="M367" s="6">
        <f t="shared" si="27"/>
        <v>72</v>
      </c>
      <c r="N367" s="6"/>
      <c r="O367" s="4" t="s">
        <v>161</v>
      </c>
      <c r="P367" s="3" t="s">
        <v>111</v>
      </c>
      <c r="Q367" s="8"/>
      <c r="R367" s="8"/>
      <c r="S367" s="9">
        <v>43252</v>
      </c>
      <c r="T367" s="8">
        <f t="shared" si="26"/>
        <v>6</v>
      </c>
      <c r="U367" s="8" t="str">
        <f t="shared" si="28"/>
        <v>June</v>
      </c>
    </row>
    <row r="368" spans="1:21" x14ac:dyDescent="0.55000000000000004">
      <c r="A368" t="str">
        <f t="shared" si="25"/>
        <v>JuneHong Kong - Flex IL</v>
      </c>
      <c r="B368" s="3" t="s">
        <v>20</v>
      </c>
      <c r="C368" s="4" t="s">
        <v>150</v>
      </c>
      <c r="D368" s="4" t="s">
        <v>939</v>
      </c>
      <c r="E368" s="5">
        <v>43273</v>
      </c>
      <c r="F368" s="4" t="s">
        <v>842</v>
      </c>
      <c r="G368" s="4" t="s">
        <v>161</v>
      </c>
      <c r="H368" s="4" t="s">
        <v>940</v>
      </c>
      <c r="I368" s="4" t="s">
        <v>154</v>
      </c>
      <c r="J368" s="4" t="s">
        <v>27</v>
      </c>
      <c r="K368" s="6">
        <v>24</v>
      </c>
      <c r="L368" s="6">
        <v>0</v>
      </c>
      <c r="M368" s="6">
        <f t="shared" si="27"/>
        <v>24</v>
      </c>
      <c r="N368" s="6"/>
      <c r="O368" s="4" t="s">
        <v>161</v>
      </c>
      <c r="P368" s="3" t="s">
        <v>111</v>
      </c>
      <c r="Q368" s="8"/>
      <c r="R368" s="8"/>
      <c r="S368" s="9">
        <v>43252</v>
      </c>
      <c r="T368" s="8">
        <f t="shared" si="26"/>
        <v>6</v>
      </c>
      <c r="U368" s="8" t="str">
        <f t="shared" si="28"/>
        <v>June</v>
      </c>
    </row>
    <row r="369" spans="1:21" x14ac:dyDescent="0.55000000000000004">
      <c r="A369" t="str">
        <f t="shared" si="25"/>
        <v>JuneHong Kong - Phillips WI</v>
      </c>
      <c r="B369" s="3" t="s">
        <v>20</v>
      </c>
      <c r="C369" s="4" t="s">
        <v>150</v>
      </c>
      <c r="D369" s="4" t="s">
        <v>941</v>
      </c>
      <c r="E369" s="5">
        <v>43273</v>
      </c>
      <c r="F369" s="4" t="s">
        <v>842</v>
      </c>
      <c r="G369" s="4" t="s">
        <v>161</v>
      </c>
      <c r="H369" s="4" t="s">
        <v>942</v>
      </c>
      <c r="I369" s="4" t="s">
        <v>154</v>
      </c>
      <c r="J369" s="4" t="s">
        <v>27</v>
      </c>
      <c r="K369" s="6">
        <v>96</v>
      </c>
      <c r="L369" s="6">
        <v>0</v>
      </c>
      <c r="M369" s="6">
        <f t="shared" si="27"/>
        <v>96</v>
      </c>
      <c r="N369" s="6"/>
      <c r="O369" s="4" t="s">
        <v>161</v>
      </c>
      <c r="P369" s="3" t="s">
        <v>65</v>
      </c>
      <c r="Q369" s="8"/>
      <c r="R369" s="8"/>
      <c r="S369" s="9">
        <v>43252</v>
      </c>
      <c r="T369" s="8">
        <f t="shared" si="26"/>
        <v>6</v>
      </c>
      <c r="U369" s="8" t="str">
        <f t="shared" si="28"/>
        <v>June</v>
      </c>
    </row>
    <row r="370" spans="1:21" x14ac:dyDescent="0.55000000000000004">
      <c r="A370" t="str">
        <f t="shared" si="25"/>
        <v>JuneChina - Flex IL</v>
      </c>
      <c r="B370" s="3" t="s">
        <v>20</v>
      </c>
      <c r="C370" s="4" t="s">
        <v>150</v>
      </c>
      <c r="D370" s="4" t="s">
        <v>943</v>
      </c>
      <c r="E370" s="5">
        <v>43273</v>
      </c>
      <c r="F370" s="4" t="s">
        <v>842</v>
      </c>
      <c r="G370" s="4" t="s">
        <v>944</v>
      </c>
      <c r="H370" s="4" t="s">
        <v>945</v>
      </c>
      <c r="I370" s="4" t="s">
        <v>154</v>
      </c>
      <c r="J370" s="4" t="s">
        <v>27</v>
      </c>
      <c r="K370" s="6">
        <v>2389.1</v>
      </c>
      <c r="L370" s="6">
        <v>0</v>
      </c>
      <c r="M370" s="6">
        <f t="shared" si="27"/>
        <v>2389.1</v>
      </c>
      <c r="N370" s="6"/>
      <c r="O370" s="4" t="s">
        <v>944</v>
      </c>
      <c r="P370" s="3" t="s">
        <v>886</v>
      </c>
      <c r="Q370" s="8"/>
      <c r="R370" s="8"/>
      <c r="S370" s="9">
        <v>43252</v>
      </c>
      <c r="T370" s="8">
        <f t="shared" si="26"/>
        <v>6</v>
      </c>
      <c r="U370" s="8" t="str">
        <f t="shared" si="28"/>
        <v>June</v>
      </c>
    </row>
    <row r="371" spans="1:21" x14ac:dyDescent="0.55000000000000004">
      <c r="A371" t="str">
        <f t="shared" si="25"/>
        <v>JuneChina - Flex IL</v>
      </c>
      <c r="B371" s="3" t="s">
        <v>20</v>
      </c>
      <c r="C371" s="4" t="s">
        <v>150</v>
      </c>
      <c r="D371" s="4" t="s">
        <v>946</v>
      </c>
      <c r="E371" s="5">
        <v>43273</v>
      </c>
      <c r="F371" s="4" t="s">
        <v>842</v>
      </c>
      <c r="G371" s="4" t="s">
        <v>947</v>
      </c>
      <c r="H371" s="4" t="s">
        <v>948</v>
      </c>
      <c r="I371" s="4" t="s">
        <v>154</v>
      </c>
      <c r="J371" s="4" t="s">
        <v>27</v>
      </c>
      <c r="K371" s="6">
        <v>3248.56</v>
      </c>
      <c r="L371" s="6">
        <v>0</v>
      </c>
      <c r="M371" s="6">
        <f t="shared" si="27"/>
        <v>3248.56</v>
      </c>
      <c r="N371" s="6"/>
      <c r="O371" s="4" t="s">
        <v>947</v>
      </c>
      <c r="P371" s="3" t="s">
        <v>886</v>
      </c>
      <c r="Q371" s="8"/>
      <c r="R371" s="8"/>
      <c r="S371" s="9">
        <v>43252</v>
      </c>
      <c r="T371" s="8">
        <f t="shared" si="26"/>
        <v>6</v>
      </c>
      <c r="U371" s="8" t="str">
        <f t="shared" si="28"/>
        <v>June</v>
      </c>
    </row>
    <row r="372" spans="1:21" x14ac:dyDescent="0.55000000000000004">
      <c r="A372" t="str">
        <f t="shared" si="25"/>
        <v>JuneHong Kong - Phillips WI</v>
      </c>
      <c r="B372" s="3" t="s">
        <v>20</v>
      </c>
      <c r="C372" s="4" t="s">
        <v>150</v>
      </c>
      <c r="D372" s="4" t="s">
        <v>949</v>
      </c>
      <c r="E372" s="5">
        <v>43280</v>
      </c>
      <c r="F372" s="4" t="s">
        <v>842</v>
      </c>
      <c r="G372" s="4" t="s">
        <v>161</v>
      </c>
      <c r="H372" s="4" t="s">
        <v>950</v>
      </c>
      <c r="I372" s="4" t="s">
        <v>154</v>
      </c>
      <c r="J372" s="4" t="s">
        <v>27</v>
      </c>
      <c r="K372" s="6">
        <v>96</v>
      </c>
      <c r="L372" s="6">
        <v>0</v>
      </c>
      <c r="M372" s="6">
        <f t="shared" si="27"/>
        <v>96</v>
      </c>
      <c r="N372" s="6"/>
      <c r="O372" s="4" t="s">
        <v>161</v>
      </c>
      <c r="P372" s="3" t="s">
        <v>65</v>
      </c>
      <c r="Q372" s="8"/>
      <c r="R372" s="8"/>
      <c r="S372" s="9">
        <v>43252</v>
      </c>
      <c r="T372" s="8">
        <f t="shared" si="26"/>
        <v>6</v>
      </c>
      <c r="U372" s="8" t="str">
        <f t="shared" si="28"/>
        <v>June</v>
      </c>
    </row>
    <row r="373" spans="1:21" x14ac:dyDescent="0.55000000000000004">
      <c r="A373" t="str">
        <f t="shared" si="25"/>
        <v>JuneHong Kong - AFG NC</v>
      </c>
      <c r="B373" s="3" t="s">
        <v>20</v>
      </c>
      <c r="C373" s="4" t="s">
        <v>150</v>
      </c>
      <c r="D373" s="4" t="s">
        <v>951</v>
      </c>
      <c r="E373" s="5">
        <v>43280</v>
      </c>
      <c r="F373" s="4" t="s">
        <v>842</v>
      </c>
      <c r="G373" s="4" t="s">
        <v>161</v>
      </c>
      <c r="H373" s="13">
        <v>1011789</v>
      </c>
      <c r="I373" s="4" t="s">
        <v>154</v>
      </c>
      <c r="J373" s="4" t="s">
        <v>27</v>
      </c>
      <c r="K373" s="6">
        <v>48</v>
      </c>
      <c r="L373" s="6">
        <v>0</v>
      </c>
      <c r="M373" s="6">
        <f t="shared" si="27"/>
        <v>48</v>
      </c>
      <c r="N373" s="6"/>
      <c r="O373" s="4" t="s">
        <v>161</v>
      </c>
      <c r="P373" s="3" t="s">
        <v>334</v>
      </c>
      <c r="Q373" s="8"/>
      <c r="R373" s="8"/>
      <c r="S373" s="9">
        <v>43252</v>
      </c>
      <c r="T373" s="8">
        <f t="shared" si="26"/>
        <v>6</v>
      </c>
      <c r="U373" s="8" t="str">
        <f t="shared" si="28"/>
        <v>June</v>
      </c>
    </row>
    <row r="374" spans="1:21" x14ac:dyDescent="0.55000000000000004">
      <c r="A374" t="str">
        <f t="shared" si="25"/>
        <v>JuneHong Kong - AFG NC</v>
      </c>
      <c r="B374" s="3" t="s">
        <v>20</v>
      </c>
      <c r="C374" s="4" t="s">
        <v>150</v>
      </c>
      <c r="D374" s="4" t="s">
        <v>952</v>
      </c>
      <c r="E374" s="5">
        <v>43280</v>
      </c>
      <c r="F374" s="4" t="s">
        <v>842</v>
      </c>
      <c r="G374" s="4" t="s">
        <v>161</v>
      </c>
      <c r="H374" s="4" t="s">
        <v>953</v>
      </c>
      <c r="I374" s="4" t="s">
        <v>154</v>
      </c>
      <c r="J374" s="4" t="s">
        <v>27</v>
      </c>
      <c r="K374" s="6">
        <v>48</v>
      </c>
      <c r="L374" s="6">
        <v>0</v>
      </c>
      <c r="M374" s="6">
        <f t="shared" si="27"/>
        <v>48</v>
      </c>
      <c r="N374" s="6"/>
      <c r="O374" s="4" t="s">
        <v>161</v>
      </c>
      <c r="P374" s="3" t="s">
        <v>334</v>
      </c>
      <c r="Q374" s="8"/>
      <c r="R374" s="8"/>
      <c r="S374" s="9">
        <v>43252</v>
      </c>
      <c r="T374" s="8">
        <f t="shared" si="26"/>
        <v>6</v>
      </c>
      <c r="U374" s="8" t="str">
        <f t="shared" si="28"/>
        <v>June</v>
      </c>
    </row>
    <row r="375" spans="1:21" x14ac:dyDescent="0.55000000000000004">
      <c r="A375" t="str">
        <f t="shared" si="25"/>
        <v>JuneChina - Flex IL</v>
      </c>
      <c r="B375" s="3" t="s">
        <v>20</v>
      </c>
      <c r="C375" s="4" t="s">
        <v>150</v>
      </c>
      <c r="D375" s="4" t="s">
        <v>954</v>
      </c>
      <c r="E375" s="5">
        <v>43281</v>
      </c>
      <c r="F375" s="4" t="s">
        <v>842</v>
      </c>
      <c r="G375" s="4" t="s">
        <v>955</v>
      </c>
      <c r="H375" s="4" t="s">
        <v>956</v>
      </c>
      <c r="I375" s="4" t="s">
        <v>154</v>
      </c>
      <c r="J375" s="4" t="s">
        <v>27</v>
      </c>
      <c r="K375" s="6">
        <v>3891.2</v>
      </c>
      <c r="L375" s="6">
        <v>0</v>
      </c>
      <c r="M375" s="6">
        <f t="shared" si="27"/>
        <v>3891.2</v>
      </c>
      <c r="N375" s="6"/>
      <c r="O375" s="4" t="s">
        <v>955</v>
      </c>
      <c r="P375" s="3" t="s">
        <v>886</v>
      </c>
      <c r="Q375" s="8"/>
      <c r="R375" s="8"/>
      <c r="S375" s="9">
        <v>43252</v>
      </c>
      <c r="T375" s="8">
        <f t="shared" si="26"/>
        <v>6</v>
      </c>
      <c r="U375" s="8" t="str">
        <f t="shared" si="28"/>
        <v>June</v>
      </c>
    </row>
    <row r="376" spans="1:21" x14ac:dyDescent="0.55000000000000004">
      <c r="A376" t="str">
        <f t="shared" si="25"/>
        <v>JulySan Francisco - Ontario</v>
      </c>
      <c r="B376" s="3" t="s">
        <v>20</v>
      </c>
      <c r="C376" s="4" t="s">
        <v>150</v>
      </c>
      <c r="D376" s="4" t="s">
        <v>957</v>
      </c>
      <c r="E376" s="5">
        <v>43291</v>
      </c>
      <c r="F376" s="4" t="s">
        <v>842</v>
      </c>
      <c r="G376" s="4" t="s">
        <v>958</v>
      </c>
      <c r="H376" s="4" t="s">
        <v>959</v>
      </c>
      <c r="I376" s="4" t="s">
        <v>154</v>
      </c>
      <c r="J376" s="4" t="s">
        <v>27</v>
      </c>
      <c r="K376" s="6">
        <v>307.51</v>
      </c>
      <c r="L376" s="6">
        <v>0</v>
      </c>
      <c r="M376" s="6">
        <f t="shared" si="27"/>
        <v>307.51</v>
      </c>
      <c r="N376" s="6"/>
      <c r="O376" s="4" t="s">
        <v>958</v>
      </c>
      <c r="P376" s="3" t="s">
        <v>960</v>
      </c>
      <c r="Q376" s="8"/>
      <c r="R376" s="8"/>
      <c r="S376" s="9">
        <v>43252</v>
      </c>
      <c r="T376" s="8">
        <f t="shared" si="26"/>
        <v>7</v>
      </c>
      <c r="U376" s="8" t="str">
        <f t="shared" si="28"/>
        <v>July</v>
      </c>
    </row>
    <row r="377" spans="1:21" x14ac:dyDescent="0.55000000000000004">
      <c r="A377" t="str">
        <f t="shared" si="25"/>
        <v>JulyChina - Flex IL</v>
      </c>
      <c r="B377" s="3" t="s">
        <v>20</v>
      </c>
      <c r="C377" s="4" t="s">
        <v>150</v>
      </c>
      <c r="D377" s="4" t="s">
        <v>961</v>
      </c>
      <c r="E377" s="5">
        <v>43291</v>
      </c>
      <c r="F377" s="4" t="s">
        <v>842</v>
      </c>
      <c r="G377" s="4" t="s">
        <v>891</v>
      </c>
      <c r="H377" s="4" t="s">
        <v>962</v>
      </c>
      <c r="I377" s="4" t="s">
        <v>154</v>
      </c>
      <c r="J377" s="4" t="s">
        <v>27</v>
      </c>
      <c r="K377" s="6">
        <v>1975.63</v>
      </c>
      <c r="L377" s="6">
        <v>0</v>
      </c>
      <c r="M377" s="6">
        <f t="shared" si="27"/>
        <v>1975.63</v>
      </c>
      <c r="N377" s="6"/>
      <c r="O377" s="4" t="s">
        <v>891</v>
      </c>
      <c r="P377" s="3" t="s">
        <v>886</v>
      </c>
      <c r="Q377" s="8"/>
      <c r="R377" s="8"/>
      <c r="S377" s="9">
        <v>43221</v>
      </c>
      <c r="T377" s="8">
        <f t="shared" si="26"/>
        <v>7</v>
      </c>
      <c r="U377" s="8" t="str">
        <f t="shared" si="28"/>
        <v>July</v>
      </c>
    </row>
    <row r="378" spans="1:21" x14ac:dyDescent="0.55000000000000004">
      <c r="A378" t="str">
        <f t="shared" si="25"/>
        <v>JulyHong Kong - Flex IL</v>
      </c>
      <c r="B378" s="3" t="s">
        <v>20</v>
      </c>
      <c r="C378" s="4" t="s">
        <v>150</v>
      </c>
      <c r="D378" s="4" t="s">
        <v>963</v>
      </c>
      <c r="E378" s="5">
        <v>43294</v>
      </c>
      <c r="F378" s="4" t="s">
        <v>842</v>
      </c>
      <c r="G378" s="4" t="s">
        <v>161</v>
      </c>
      <c r="H378" s="4" t="s">
        <v>964</v>
      </c>
      <c r="I378" s="4" t="s">
        <v>154</v>
      </c>
      <c r="J378" s="4" t="s">
        <v>27</v>
      </c>
      <c r="K378" s="6">
        <v>12</v>
      </c>
      <c r="L378" s="6">
        <v>0</v>
      </c>
      <c r="M378" s="6">
        <f t="shared" si="27"/>
        <v>12</v>
      </c>
      <c r="N378" s="6"/>
      <c r="O378" s="4" t="s">
        <v>161</v>
      </c>
      <c r="P378" s="3" t="s">
        <v>111</v>
      </c>
      <c r="Q378" s="8"/>
      <c r="R378" s="8"/>
      <c r="S378" s="9">
        <v>43282</v>
      </c>
      <c r="T378" s="8">
        <f t="shared" si="26"/>
        <v>7</v>
      </c>
      <c r="U378" s="8" t="str">
        <f t="shared" si="28"/>
        <v>July</v>
      </c>
    </row>
    <row r="379" spans="1:21" x14ac:dyDescent="0.55000000000000004">
      <c r="A379" t="str">
        <f t="shared" si="25"/>
        <v>JulyHong Kong - Flex IL</v>
      </c>
      <c r="B379" s="3" t="s">
        <v>20</v>
      </c>
      <c r="C379" s="4" t="s">
        <v>150</v>
      </c>
      <c r="D379" s="4" t="s">
        <v>965</v>
      </c>
      <c r="E379" s="5">
        <v>43294</v>
      </c>
      <c r="F379" s="4" t="s">
        <v>842</v>
      </c>
      <c r="G379" s="4" t="s">
        <v>161</v>
      </c>
      <c r="H379" s="13">
        <v>1012277</v>
      </c>
      <c r="I379" s="4" t="s">
        <v>154</v>
      </c>
      <c r="J379" s="4" t="s">
        <v>27</v>
      </c>
      <c r="K379" s="6">
        <v>48</v>
      </c>
      <c r="L379" s="6">
        <v>0</v>
      </c>
      <c r="M379" s="6">
        <f t="shared" si="27"/>
        <v>48</v>
      </c>
      <c r="N379" s="6"/>
      <c r="O379" s="4" t="s">
        <v>161</v>
      </c>
      <c r="P379" s="3" t="s">
        <v>111</v>
      </c>
      <c r="Q379" s="8"/>
      <c r="R379" s="8"/>
      <c r="S379" s="9">
        <v>43282</v>
      </c>
      <c r="T379" s="8">
        <f t="shared" si="26"/>
        <v>7</v>
      </c>
      <c r="U379" s="8" t="str">
        <f t="shared" si="28"/>
        <v>July</v>
      </c>
    </row>
    <row r="380" spans="1:21" x14ac:dyDescent="0.55000000000000004">
      <c r="A380" t="str">
        <f t="shared" si="25"/>
        <v>JulyHong Kong - AFG NC</v>
      </c>
      <c r="B380" s="3" t="s">
        <v>20</v>
      </c>
      <c r="C380" s="4" t="s">
        <v>150</v>
      </c>
      <c r="D380" s="4" t="s">
        <v>966</v>
      </c>
      <c r="E380" s="5">
        <v>43294</v>
      </c>
      <c r="F380" s="4" t="s">
        <v>842</v>
      </c>
      <c r="G380" s="4" t="s">
        <v>161</v>
      </c>
      <c r="H380" s="4" t="s">
        <v>967</v>
      </c>
      <c r="I380" s="4" t="s">
        <v>154</v>
      </c>
      <c r="J380" s="4" t="s">
        <v>27</v>
      </c>
      <c r="K380" s="6">
        <v>60</v>
      </c>
      <c r="L380" s="6">
        <v>0</v>
      </c>
      <c r="M380" s="6">
        <f t="shared" si="27"/>
        <v>60</v>
      </c>
      <c r="N380" s="6"/>
      <c r="O380" s="4" t="s">
        <v>161</v>
      </c>
      <c r="P380" s="3" t="s">
        <v>334</v>
      </c>
      <c r="Q380" s="8"/>
      <c r="R380" s="8"/>
      <c r="S380" s="9">
        <v>43282</v>
      </c>
      <c r="T380" s="8">
        <f t="shared" si="26"/>
        <v>7</v>
      </c>
      <c r="U380" s="8" t="str">
        <f t="shared" si="28"/>
        <v>July</v>
      </c>
    </row>
    <row r="381" spans="1:21" x14ac:dyDescent="0.55000000000000004">
      <c r="A381" t="str">
        <f t="shared" si="25"/>
        <v>JulyHong Kong - Phillips WI</v>
      </c>
      <c r="B381" s="3" t="s">
        <v>20</v>
      </c>
      <c r="C381" s="4" t="s">
        <v>150</v>
      </c>
      <c r="D381" s="4" t="s">
        <v>968</v>
      </c>
      <c r="E381" s="5">
        <v>43294</v>
      </c>
      <c r="F381" s="4" t="s">
        <v>842</v>
      </c>
      <c r="G381" s="4" t="s">
        <v>161</v>
      </c>
      <c r="H381" s="4" t="s">
        <v>969</v>
      </c>
      <c r="I381" s="4" t="s">
        <v>154</v>
      </c>
      <c r="J381" s="4" t="s">
        <v>27</v>
      </c>
      <c r="K381" s="6">
        <v>96</v>
      </c>
      <c r="L381" s="6">
        <v>0</v>
      </c>
      <c r="M381" s="6">
        <f t="shared" si="27"/>
        <v>96</v>
      </c>
      <c r="N381" s="6"/>
      <c r="O381" s="4" t="s">
        <v>161</v>
      </c>
      <c r="P381" s="3" t="s">
        <v>65</v>
      </c>
      <c r="Q381" s="8"/>
      <c r="R381" s="8"/>
      <c r="S381" s="9">
        <v>43282</v>
      </c>
      <c r="T381" s="8">
        <f t="shared" si="26"/>
        <v>7</v>
      </c>
      <c r="U381" s="8" t="str">
        <f t="shared" si="28"/>
        <v>July</v>
      </c>
    </row>
    <row r="382" spans="1:21" x14ac:dyDescent="0.55000000000000004">
      <c r="A382" t="str">
        <f t="shared" si="25"/>
        <v>JulyHong Kong - Phillips WI</v>
      </c>
      <c r="B382" s="3" t="s">
        <v>20</v>
      </c>
      <c r="C382" s="4" t="s">
        <v>150</v>
      </c>
      <c r="D382" s="4" t="s">
        <v>970</v>
      </c>
      <c r="E382" s="5">
        <v>43282</v>
      </c>
      <c r="F382" s="4" t="s">
        <v>842</v>
      </c>
      <c r="G382" s="4" t="s">
        <v>971</v>
      </c>
      <c r="H382" s="4" t="s">
        <v>972</v>
      </c>
      <c r="I382" s="4" t="s">
        <v>26</v>
      </c>
      <c r="J382" s="4" t="s">
        <v>27</v>
      </c>
      <c r="K382" s="32">
        <v>16364.14</v>
      </c>
      <c r="L382" s="6">
        <v>0</v>
      </c>
      <c r="M382" s="6">
        <f t="shared" si="27"/>
        <v>16364.14</v>
      </c>
      <c r="N382" s="6"/>
      <c r="O382" s="8" t="s">
        <v>971</v>
      </c>
      <c r="P382" s="3" t="s">
        <v>65</v>
      </c>
      <c r="Q382" s="8"/>
      <c r="R382" s="8"/>
      <c r="S382" s="9">
        <v>43252</v>
      </c>
      <c r="T382" s="8">
        <f t="shared" si="26"/>
        <v>7</v>
      </c>
      <c r="U382" s="8" t="str">
        <f t="shared" si="28"/>
        <v>July</v>
      </c>
    </row>
    <row r="383" spans="1:21" x14ac:dyDescent="0.55000000000000004">
      <c r="A383" t="str">
        <f t="shared" si="25"/>
        <v>JulyHong Kong - Flex IL</v>
      </c>
      <c r="B383" s="3" t="s">
        <v>20</v>
      </c>
      <c r="C383" s="4" t="s">
        <v>150</v>
      </c>
      <c r="D383" s="4" t="s">
        <v>973</v>
      </c>
      <c r="E383" s="5">
        <v>43282</v>
      </c>
      <c r="F383" s="4" t="s">
        <v>842</v>
      </c>
      <c r="G383" s="4" t="s">
        <v>132</v>
      </c>
      <c r="H383" s="4" t="s">
        <v>974</v>
      </c>
      <c r="I383" s="4" t="s">
        <v>26</v>
      </c>
      <c r="J383" s="4" t="s">
        <v>27</v>
      </c>
      <c r="K383" s="32">
        <v>12227.18</v>
      </c>
      <c r="L383" s="6">
        <v>0</v>
      </c>
      <c r="M383" s="6">
        <f t="shared" si="27"/>
        <v>12227.18</v>
      </c>
      <c r="N383" s="6"/>
      <c r="O383" s="8" t="s">
        <v>132</v>
      </c>
      <c r="P383" t="s">
        <v>111</v>
      </c>
      <c r="Q383" s="8"/>
      <c r="R383" s="8"/>
      <c r="S383" s="9">
        <v>43252</v>
      </c>
      <c r="T383" s="8">
        <f t="shared" si="26"/>
        <v>7</v>
      </c>
      <c r="U383" s="8" t="str">
        <f t="shared" si="28"/>
        <v>July</v>
      </c>
    </row>
    <row r="384" spans="1:21" x14ac:dyDescent="0.55000000000000004">
      <c r="A384" t="str">
        <f t="shared" si="25"/>
        <v>JulyHong Kong - Flex IL</v>
      </c>
      <c r="B384" s="3" t="s">
        <v>20</v>
      </c>
      <c r="C384" s="4" t="s">
        <v>150</v>
      </c>
      <c r="D384" s="4" t="s">
        <v>975</v>
      </c>
      <c r="E384" s="5">
        <v>43282</v>
      </c>
      <c r="F384" s="4" t="s">
        <v>842</v>
      </c>
      <c r="G384" s="4" t="s">
        <v>976</v>
      </c>
      <c r="H384" s="4" t="s">
        <v>977</v>
      </c>
      <c r="I384" s="4" t="s">
        <v>26</v>
      </c>
      <c r="J384" s="4" t="s">
        <v>27</v>
      </c>
      <c r="K384" s="32">
        <v>4303.04</v>
      </c>
      <c r="L384" s="6">
        <v>0</v>
      </c>
      <c r="M384" s="6">
        <f t="shared" si="27"/>
        <v>4303.04</v>
      </c>
      <c r="N384" s="6"/>
      <c r="O384" s="8" t="s">
        <v>976</v>
      </c>
      <c r="P384" t="s">
        <v>111</v>
      </c>
      <c r="Q384" s="8"/>
      <c r="R384" s="8"/>
      <c r="S384" s="9">
        <v>43252</v>
      </c>
      <c r="T384" s="8">
        <f t="shared" si="26"/>
        <v>7</v>
      </c>
      <c r="U384" s="8" t="str">
        <f t="shared" si="28"/>
        <v>July</v>
      </c>
    </row>
    <row r="385" spans="1:21" x14ac:dyDescent="0.55000000000000004">
      <c r="A385" t="str">
        <f t="shared" si="25"/>
        <v>JulyChina - DECI NC</v>
      </c>
      <c r="B385" s="3" t="s">
        <v>20</v>
      </c>
      <c r="C385" s="4" t="s">
        <v>150</v>
      </c>
      <c r="D385" s="4" t="s">
        <v>978</v>
      </c>
      <c r="E385" s="5">
        <v>43291</v>
      </c>
      <c r="F385" s="4" t="s">
        <v>842</v>
      </c>
      <c r="G385" s="4" t="s">
        <v>979</v>
      </c>
      <c r="H385" s="4" t="s">
        <v>980</v>
      </c>
      <c r="I385" s="4" t="s">
        <v>26</v>
      </c>
      <c r="J385" s="4" t="s">
        <v>27</v>
      </c>
      <c r="K385" s="32">
        <v>3131.11</v>
      </c>
      <c r="L385" s="6">
        <v>0</v>
      </c>
      <c r="M385" s="6">
        <f t="shared" si="27"/>
        <v>3131.11</v>
      </c>
      <c r="N385" s="6"/>
      <c r="O385" s="8" t="s">
        <v>979</v>
      </c>
      <c r="P385" s="3" t="s">
        <v>97</v>
      </c>
      <c r="Q385" s="8"/>
      <c r="R385" s="8"/>
      <c r="S385" s="9">
        <v>43282</v>
      </c>
      <c r="T385" s="8">
        <f t="shared" si="26"/>
        <v>7</v>
      </c>
      <c r="U385" s="8" t="str">
        <f t="shared" si="28"/>
        <v>July</v>
      </c>
    </row>
    <row r="386" spans="1:21" x14ac:dyDescent="0.55000000000000004">
      <c r="A386" t="str">
        <f t="shared" si="25"/>
        <v>JulyChina - DCL KY</v>
      </c>
      <c r="B386" s="3" t="s">
        <v>20</v>
      </c>
      <c r="C386" s="4" t="s">
        <v>150</v>
      </c>
      <c r="D386" s="4" t="s">
        <v>981</v>
      </c>
      <c r="E386" s="5">
        <v>43291</v>
      </c>
      <c r="F386" s="4" t="s">
        <v>842</v>
      </c>
      <c r="G386" s="4" t="s">
        <v>982</v>
      </c>
      <c r="H386" s="4" t="s">
        <v>983</v>
      </c>
      <c r="I386" s="4" t="s">
        <v>26</v>
      </c>
      <c r="J386" s="4" t="s">
        <v>27</v>
      </c>
      <c r="K386" s="32">
        <v>8329.76</v>
      </c>
      <c r="L386" s="6">
        <v>0</v>
      </c>
      <c r="M386" s="6">
        <f t="shared" si="27"/>
        <v>8329.76</v>
      </c>
      <c r="N386" s="6"/>
      <c r="O386" s="8" t="s">
        <v>982</v>
      </c>
      <c r="P386" s="3" t="s">
        <v>82</v>
      </c>
      <c r="Q386" s="8"/>
      <c r="R386" s="8"/>
      <c r="S386" s="9">
        <v>43252</v>
      </c>
      <c r="T386" s="8">
        <f t="shared" si="26"/>
        <v>7</v>
      </c>
      <c r="U386" s="8" t="str">
        <f t="shared" si="28"/>
        <v>July</v>
      </c>
    </row>
    <row r="387" spans="1:21" x14ac:dyDescent="0.55000000000000004">
      <c r="A387" t="str">
        <f t="shared" si="25"/>
        <v>JulyChina - DCL KY</v>
      </c>
      <c r="B387" s="3" t="s">
        <v>20</v>
      </c>
      <c r="C387" s="4" t="s">
        <v>150</v>
      </c>
      <c r="D387" s="4" t="s">
        <v>984</v>
      </c>
      <c r="E387" s="5">
        <v>43291</v>
      </c>
      <c r="F387" s="4" t="s">
        <v>842</v>
      </c>
      <c r="G387" s="4" t="s">
        <v>985</v>
      </c>
      <c r="H387" s="4" t="s">
        <v>986</v>
      </c>
      <c r="I387" s="4" t="s">
        <v>26</v>
      </c>
      <c r="J387" s="4" t="s">
        <v>27</v>
      </c>
      <c r="K387" s="32">
        <v>55666.45</v>
      </c>
      <c r="L387" s="6">
        <v>0</v>
      </c>
      <c r="M387" s="6">
        <f t="shared" si="27"/>
        <v>55666.45</v>
      </c>
      <c r="N387" s="6"/>
      <c r="O387" s="8" t="s">
        <v>985</v>
      </c>
      <c r="P387" s="3" t="s">
        <v>82</v>
      </c>
      <c r="Q387" s="8"/>
      <c r="R387" s="8"/>
      <c r="S387" s="9">
        <v>43282</v>
      </c>
      <c r="T387" s="8">
        <f t="shared" si="26"/>
        <v>7</v>
      </c>
      <c r="U387" s="8" t="str">
        <f t="shared" si="28"/>
        <v>July</v>
      </c>
    </row>
    <row r="388" spans="1:21" x14ac:dyDescent="0.55000000000000004">
      <c r="A388" t="str">
        <f t="shared" si="25"/>
        <v>MayChina - DCL KY</v>
      </c>
      <c r="B388" s="3" t="s">
        <v>20</v>
      </c>
      <c r="C388" s="4" t="s">
        <v>150</v>
      </c>
      <c r="D388" s="4" t="s">
        <v>987</v>
      </c>
      <c r="E388" s="5">
        <v>43245</v>
      </c>
      <c r="F388" s="4" t="s">
        <v>842</v>
      </c>
      <c r="G388" s="4" t="s">
        <v>988</v>
      </c>
      <c r="H388" s="4" t="s">
        <v>989</v>
      </c>
      <c r="I388" s="4" t="s">
        <v>646</v>
      </c>
      <c r="J388" s="4" t="s">
        <v>27</v>
      </c>
      <c r="K388" s="32">
        <v>9984.5300000000007</v>
      </c>
      <c r="L388" s="6">
        <v>0</v>
      </c>
      <c r="M388" s="6">
        <f t="shared" si="27"/>
        <v>9984.5300000000007</v>
      </c>
      <c r="N388" s="6"/>
      <c r="O388" s="4" t="s">
        <v>988</v>
      </c>
      <c r="P388" t="s">
        <v>82</v>
      </c>
      <c r="Q388" s="8"/>
      <c r="R388" s="8"/>
      <c r="S388" s="9">
        <v>43221</v>
      </c>
      <c r="T388" s="8">
        <f t="shared" si="26"/>
        <v>5</v>
      </c>
      <c r="U388" s="8" t="str">
        <f t="shared" si="28"/>
        <v>May</v>
      </c>
    </row>
    <row r="389" spans="1:21" x14ac:dyDescent="0.55000000000000004">
      <c r="A389" t="str">
        <f t="shared" si="25"/>
        <v>MayChina - DCL KY</v>
      </c>
      <c r="B389" s="3" t="s">
        <v>20</v>
      </c>
      <c r="C389" s="4" t="s">
        <v>150</v>
      </c>
      <c r="D389" s="4" t="s">
        <v>990</v>
      </c>
      <c r="E389" s="5">
        <v>43245</v>
      </c>
      <c r="F389" s="4" t="s">
        <v>842</v>
      </c>
      <c r="G389" s="4" t="s">
        <v>988</v>
      </c>
      <c r="H389" s="4" t="s">
        <v>991</v>
      </c>
      <c r="I389" s="4" t="s">
        <v>646</v>
      </c>
      <c r="J389" s="4" t="s">
        <v>27</v>
      </c>
      <c r="K389" s="32">
        <v>18009.23</v>
      </c>
      <c r="L389" s="6">
        <v>0</v>
      </c>
      <c r="M389" s="6">
        <f t="shared" si="27"/>
        <v>18009.23</v>
      </c>
      <c r="N389" s="6"/>
      <c r="O389" s="4" t="s">
        <v>988</v>
      </c>
      <c r="P389" t="s">
        <v>82</v>
      </c>
      <c r="Q389" s="8"/>
      <c r="R389" s="8"/>
      <c r="S389" s="9">
        <v>43221</v>
      </c>
      <c r="T389" s="8">
        <f t="shared" si="26"/>
        <v>5</v>
      </c>
      <c r="U389" s="8" t="str">
        <f t="shared" si="28"/>
        <v>May</v>
      </c>
    </row>
    <row r="390" spans="1:21" x14ac:dyDescent="0.55000000000000004">
      <c r="A390" t="str">
        <f t="shared" si="25"/>
        <v>JunePhillips WI - DCL KY</v>
      </c>
      <c r="B390" s="3" t="s">
        <v>20</v>
      </c>
      <c r="C390" s="4" t="s">
        <v>150</v>
      </c>
      <c r="D390" s="4" t="s">
        <v>992</v>
      </c>
      <c r="E390" s="5">
        <v>43255</v>
      </c>
      <c r="F390" s="4" t="s">
        <v>842</v>
      </c>
      <c r="G390" s="4" t="s">
        <v>28</v>
      </c>
      <c r="H390" s="4" t="s">
        <v>993</v>
      </c>
      <c r="I390" s="4" t="s">
        <v>646</v>
      </c>
      <c r="J390" s="4" t="s">
        <v>27</v>
      </c>
      <c r="K390" s="32">
        <v>5600</v>
      </c>
      <c r="L390" s="6">
        <v>0</v>
      </c>
      <c r="M390" s="6">
        <f t="shared" si="27"/>
        <v>5600</v>
      </c>
      <c r="N390" s="6"/>
      <c r="O390" s="4" t="s">
        <v>28</v>
      </c>
      <c r="P390" t="s">
        <v>29</v>
      </c>
      <c r="Q390" s="8"/>
      <c r="R390" s="8"/>
      <c r="S390" s="9">
        <v>43252</v>
      </c>
      <c r="T390" s="8">
        <f t="shared" si="26"/>
        <v>6</v>
      </c>
      <c r="U390" s="8" t="str">
        <f t="shared" si="28"/>
        <v>June</v>
      </c>
    </row>
    <row r="391" spans="1:21" x14ac:dyDescent="0.55000000000000004">
      <c r="A391" t="str">
        <f t="shared" si="25"/>
        <v>JuneChina - DCL KY</v>
      </c>
      <c r="B391" s="3" t="s">
        <v>20</v>
      </c>
      <c r="C391" s="4" t="s">
        <v>150</v>
      </c>
      <c r="D391" s="4" t="s">
        <v>994</v>
      </c>
      <c r="E391" s="5">
        <v>43256</v>
      </c>
      <c r="F391" s="4" t="s">
        <v>842</v>
      </c>
      <c r="G391" s="4" t="s">
        <v>81</v>
      </c>
      <c r="H391" s="4" t="s">
        <v>995</v>
      </c>
      <c r="I391" s="4" t="s">
        <v>646</v>
      </c>
      <c r="J391" s="4" t="s">
        <v>27</v>
      </c>
      <c r="K391" s="32">
        <v>42961.93</v>
      </c>
      <c r="L391" s="6">
        <v>0</v>
      </c>
      <c r="M391" s="6">
        <f t="shared" si="27"/>
        <v>42961.93</v>
      </c>
      <c r="N391" s="6"/>
      <c r="O391" s="4" t="s">
        <v>81</v>
      </c>
      <c r="P391" t="s">
        <v>82</v>
      </c>
      <c r="Q391" s="8"/>
      <c r="R391" s="8"/>
      <c r="S391" s="9">
        <v>43252</v>
      </c>
      <c r="T391" s="8">
        <f t="shared" si="26"/>
        <v>6</v>
      </c>
      <c r="U391" s="8" t="str">
        <f t="shared" si="28"/>
        <v>June</v>
      </c>
    </row>
    <row r="392" spans="1:21" x14ac:dyDescent="0.55000000000000004">
      <c r="A392" t="str">
        <f t="shared" si="25"/>
        <v>JuneHong Kong - AFG NC</v>
      </c>
      <c r="B392" s="3" t="s">
        <v>20</v>
      </c>
      <c r="C392" s="4" t="s">
        <v>150</v>
      </c>
      <c r="D392" s="4" t="s">
        <v>996</v>
      </c>
      <c r="E392" s="5">
        <v>43259</v>
      </c>
      <c r="F392" s="4" t="s">
        <v>842</v>
      </c>
      <c r="G392" s="4" t="s">
        <v>997</v>
      </c>
      <c r="H392" s="4" t="s">
        <v>998</v>
      </c>
      <c r="I392" s="4" t="s">
        <v>646</v>
      </c>
      <c r="J392" s="4" t="s">
        <v>27</v>
      </c>
      <c r="K392" s="32">
        <v>5877.96</v>
      </c>
      <c r="L392" s="6">
        <v>0</v>
      </c>
      <c r="M392" s="6">
        <f t="shared" si="27"/>
        <v>5877.96</v>
      </c>
      <c r="N392" s="6"/>
      <c r="O392" s="4" t="s">
        <v>997</v>
      </c>
      <c r="P392" s="3" t="s">
        <v>334</v>
      </c>
      <c r="Q392" s="8"/>
      <c r="R392" s="8"/>
      <c r="S392" s="9">
        <v>43252</v>
      </c>
      <c r="T392" s="8">
        <f t="shared" si="26"/>
        <v>6</v>
      </c>
      <c r="U392" s="8" t="str">
        <f t="shared" si="28"/>
        <v>June</v>
      </c>
    </row>
    <row r="393" spans="1:21" x14ac:dyDescent="0.55000000000000004">
      <c r="A393" t="str">
        <f t="shared" si="25"/>
        <v>JuneHong Kong - DECI NC</v>
      </c>
      <c r="B393" s="3" t="s">
        <v>20</v>
      </c>
      <c r="C393" s="4" t="s">
        <v>150</v>
      </c>
      <c r="D393" s="4" t="s">
        <v>999</v>
      </c>
      <c r="E393" s="5">
        <v>43262</v>
      </c>
      <c r="F393" s="4" t="s">
        <v>842</v>
      </c>
      <c r="G393" s="4" t="s">
        <v>91</v>
      </c>
      <c r="H393" s="4" t="s">
        <v>1000</v>
      </c>
      <c r="I393" s="4" t="s">
        <v>646</v>
      </c>
      <c r="J393" s="4" t="s">
        <v>27</v>
      </c>
      <c r="K393" s="32">
        <v>7148.81</v>
      </c>
      <c r="L393" s="6">
        <v>0</v>
      </c>
      <c r="M393" s="6">
        <f t="shared" si="27"/>
        <v>7148.81</v>
      </c>
      <c r="N393" s="6"/>
      <c r="O393" s="4" t="s">
        <v>91</v>
      </c>
      <c r="P393" t="s">
        <v>92</v>
      </c>
      <c r="Q393" s="8"/>
      <c r="R393" s="8"/>
      <c r="S393" s="9">
        <v>43221</v>
      </c>
      <c r="T393" s="8">
        <f t="shared" si="26"/>
        <v>6</v>
      </c>
      <c r="U393" s="8" t="str">
        <f t="shared" si="28"/>
        <v>June</v>
      </c>
    </row>
    <row r="394" spans="1:21" x14ac:dyDescent="0.55000000000000004">
      <c r="A394" t="str">
        <f t="shared" si="25"/>
        <v>JuneChina - DECI NC</v>
      </c>
      <c r="B394" s="3" t="s">
        <v>20</v>
      </c>
      <c r="C394" s="4" t="s">
        <v>150</v>
      </c>
      <c r="D394" s="4" t="s">
        <v>1001</v>
      </c>
      <c r="E394" s="5">
        <v>43262</v>
      </c>
      <c r="F394" s="4" t="s">
        <v>842</v>
      </c>
      <c r="G394" s="4" t="s">
        <v>96</v>
      </c>
      <c r="H394" s="4" t="s">
        <v>1002</v>
      </c>
      <c r="I394" s="4" t="s">
        <v>646</v>
      </c>
      <c r="J394" s="4" t="s">
        <v>27</v>
      </c>
      <c r="K394" s="32">
        <v>52338.18</v>
      </c>
      <c r="L394" s="6">
        <v>0</v>
      </c>
      <c r="M394" s="6">
        <f t="shared" si="27"/>
        <v>52338.18</v>
      </c>
      <c r="N394" s="6"/>
      <c r="O394" s="4" t="s">
        <v>96</v>
      </c>
      <c r="P394" s="3" t="s">
        <v>97</v>
      </c>
      <c r="Q394" s="8"/>
      <c r="R394" s="8"/>
      <c r="S394" s="9">
        <v>43252</v>
      </c>
      <c r="T394" s="8">
        <f t="shared" si="26"/>
        <v>6</v>
      </c>
      <c r="U394" s="8" t="str">
        <f t="shared" si="28"/>
        <v>June</v>
      </c>
    </row>
    <row r="395" spans="1:21" x14ac:dyDescent="0.55000000000000004">
      <c r="A395" t="str">
        <f t="shared" si="25"/>
        <v>JuneHong Kong - DECI NC</v>
      </c>
      <c r="B395" s="3" t="s">
        <v>20</v>
      </c>
      <c r="C395" s="4" t="s">
        <v>150</v>
      </c>
      <c r="D395" s="4" t="s">
        <v>1003</v>
      </c>
      <c r="E395" s="5">
        <v>43262</v>
      </c>
      <c r="F395" s="4" t="s">
        <v>842</v>
      </c>
      <c r="G395" s="4" t="s">
        <v>1004</v>
      </c>
      <c r="H395" s="4" t="s">
        <v>1005</v>
      </c>
      <c r="I395" s="4" t="s">
        <v>646</v>
      </c>
      <c r="J395" s="4" t="s">
        <v>27</v>
      </c>
      <c r="K395" s="32">
        <v>7412.97</v>
      </c>
      <c r="L395" s="6">
        <v>0</v>
      </c>
      <c r="M395" s="6">
        <f t="shared" si="27"/>
        <v>7412.97</v>
      </c>
      <c r="N395" s="6"/>
      <c r="O395" s="4" t="s">
        <v>1004</v>
      </c>
      <c r="P395" t="s">
        <v>92</v>
      </c>
      <c r="Q395" s="8"/>
      <c r="R395" s="8"/>
      <c r="S395" s="9">
        <v>43221</v>
      </c>
      <c r="T395" s="8">
        <f t="shared" si="26"/>
        <v>6</v>
      </c>
      <c r="U395" s="8" t="str">
        <f t="shared" si="28"/>
        <v>June</v>
      </c>
    </row>
    <row r="396" spans="1:21" x14ac:dyDescent="0.55000000000000004">
      <c r="A396" t="str">
        <f t="shared" si="25"/>
        <v>JuneChina - DCL KY</v>
      </c>
      <c r="B396" s="3" t="s">
        <v>20</v>
      </c>
      <c r="C396" s="4" t="s">
        <v>150</v>
      </c>
      <c r="D396" s="4" t="s">
        <v>1006</v>
      </c>
      <c r="E396" s="5">
        <v>43263</v>
      </c>
      <c r="F396" s="4" t="s">
        <v>842</v>
      </c>
      <c r="G396" s="4" t="s">
        <v>101</v>
      </c>
      <c r="H396" s="4" t="s">
        <v>1007</v>
      </c>
      <c r="I396" s="4" t="s">
        <v>646</v>
      </c>
      <c r="J396" s="4" t="s">
        <v>27</v>
      </c>
      <c r="K396" s="32">
        <v>11245.77</v>
      </c>
      <c r="L396" s="6">
        <v>0</v>
      </c>
      <c r="M396" s="6">
        <f t="shared" si="27"/>
        <v>11245.77</v>
      </c>
      <c r="N396" s="6"/>
      <c r="O396" s="4" t="s">
        <v>101</v>
      </c>
      <c r="P396" t="s">
        <v>82</v>
      </c>
      <c r="Q396" s="8"/>
      <c r="R396" s="8"/>
      <c r="S396" s="9">
        <v>43252</v>
      </c>
      <c r="T396" s="8">
        <f t="shared" si="26"/>
        <v>6</v>
      </c>
      <c r="U396" s="8" t="str">
        <f t="shared" si="28"/>
        <v>June</v>
      </c>
    </row>
    <row r="397" spans="1:21" x14ac:dyDescent="0.55000000000000004">
      <c r="A397" t="str">
        <f t="shared" si="25"/>
        <v>JuneHong Kong - DCL KY</v>
      </c>
      <c r="B397" s="3" t="s">
        <v>20</v>
      </c>
      <c r="C397" s="4" t="s">
        <v>150</v>
      </c>
      <c r="D397" s="4" t="s">
        <v>1008</v>
      </c>
      <c r="E397" s="5">
        <v>43263</v>
      </c>
      <c r="F397" s="4" t="s">
        <v>842</v>
      </c>
      <c r="G397" s="4" t="s">
        <v>106</v>
      </c>
      <c r="H397" s="4" t="s">
        <v>1009</v>
      </c>
      <c r="I397" s="4" t="s">
        <v>646</v>
      </c>
      <c r="J397" s="4" t="s">
        <v>27</v>
      </c>
      <c r="K397" s="32">
        <v>7429.4</v>
      </c>
      <c r="L397" s="6">
        <v>0</v>
      </c>
      <c r="M397" s="6">
        <f t="shared" si="27"/>
        <v>7429.4</v>
      </c>
      <c r="N397" s="6"/>
      <c r="O397" s="4" t="s">
        <v>106</v>
      </c>
      <c r="P397" s="3" t="s">
        <v>39</v>
      </c>
      <c r="Q397" s="8"/>
      <c r="R397" s="8"/>
      <c r="S397" s="9">
        <v>43252</v>
      </c>
      <c r="T397" s="8">
        <f t="shared" si="26"/>
        <v>6</v>
      </c>
      <c r="U397" s="8" t="str">
        <f t="shared" si="28"/>
        <v>June</v>
      </c>
    </row>
    <row r="398" spans="1:21" x14ac:dyDescent="0.55000000000000004">
      <c r="A398" t="str">
        <f t="shared" si="25"/>
        <v>JuneHong Kong - Flex IL</v>
      </c>
      <c r="B398" s="3" t="s">
        <v>20</v>
      </c>
      <c r="C398" s="4" t="s">
        <v>150</v>
      </c>
      <c r="D398" s="4" t="s">
        <v>1010</v>
      </c>
      <c r="E398" s="5">
        <v>43264</v>
      </c>
      <c r="F398" s="4" t="s">
        <v>842</v>
      </c>
      <c r="G398" s="4" t="s">
        <v>110</v>
      </c>
      <c r="H398" s="4" t="s">
        <v>1011</v>
      </c>
      <c r="I398" s="4" t="s">
        <v>646</v>
      </c>
      <c r="J398" s="4" t="s">
        <v>27</v>
      </c>
      <c r="K398" s="32">
        <v>10009.51</v>
      </c>
      <c r="L398" s="6">
        <v>0</v>
      </c>
      <c r="M398" s="6">
        <f t="shared" si="27"/>
        <v>10009.51</v>
      </c>
      <c r="N398" s="6"/>
      <c r="O398" s="4" t="s">
        <v>110</v>
      </c>
      <c r="P398" t="s">
        <v>111</v>
      </c>
      <c r="Q398" s="8"/>
      <c r="R398" s="8"/>
      <c r="S398" s="9">
        <v>43252</v>
      </c>
      <c r="T398" s="8">
        <f t="shared" si="26"/>
        <v>6</v>
      </c>
      <c r="U398" s="8" t="str">
        <f t="shared" si="28"/>
        <v>June</v>
      </c>
    </row>
    <row r="399" spans="1:21" x14ac:dyDescent="0.55000000000000004">
      <c r="A399" t="str">
        <f t="shared" ref="A399:A462" si="29">U399&amp;P399</f>
        <v>JuneHong Kong - Phillips WI</v>
      </c>
      <c r="B399" s="3" t="s">
        <v>20</v>
      </c>
      <c r="C399" s="4" t="s">
        <v>150</v>
      </c>
      <c r="D399" s="4" t="s">
        <v>1012</v>
      </c>
      <c r="E399" s="5">
        <v>43264</v>
      </c>
      <c r="F399" s="4" t="s">
        <v>842</v>
      </c>
      <c r="G399" s="4" t="s">
        <v>115</v>
      </c>
      <c r="H399" s="4" t="s">
        <v>1013</v>
      </c>
      <c r="I399" s="4" t="s">
        <v>646</v>
      </c>
      <c r="J399" s="4" t="s">
        <v>27</v>
      </c>
      <c r="K399" s="32">
        <v>2754.83</v>
      </c>
      <c r="L399" s="6">
        <v>0</v>
      </c>
      <c r="M399" s="6">
        <f t="shared" si="27"/>
        <v>2754.83</v>
      </c>
      <c r="N399" s="6"/>
      <c r="O399" s="4" t="s">
        <v>115</v>
      </c>
      <c r="P399" s="3" t="s">
        <v>65</v>
      </c>
      <c r="Q399" s="8"/>
      <c r="R399" s="8"/>
      <c r="S399" s="9">
        <v>43252</v>
      </c>
      <c r="T399" s="8">
        <f t="shared" ref="T399:T462" si="30">MONTH(E399)</f>
        <v>6</v>
      </c>
      <c r="U399" s="8" t="str">
        <f t="shared" si="28"/>
        <v>June</v>
      </c>
    </row>
    <row r="400" spans="1:21" x14ac:dyDescent="0.55000000000000004">
      <c r="A400" t="str">
        <f t="shared" si="29"/>
        <v>JuneHong Kong - Phillips WI</v>
      </c>
      <c r="B400" s="3" t="s">
        <v>20</v>
      </c>
      <c r="C400" s="4" t="s">
        <v>150</v>
      </c>
      <c r="D400" s="4" t="s">
        <v>1014</v>
      </c>
      <c r="E400" s="5">
        <v>43267</v>
      </c>
      <c r="F400" s="4" t="s">
        <v>842</v>
      </c>
      <c r="G400" s="4" t="s">
        <v>119</v>
      </c>
      <c r="H400" s="4" t="s">
        <v>1015</v>
      </c>
      <c r="I400" s="4" t="s">
        <v>646</v>
      </c>
      <c r="J400" s="4" t="s">
        <v>27</v>
      </c>
      <c r="K400" s="32">
        <v>7507.9</v>
      </c>
      <c r="L400" s="6">
        <v>0</v>
      </c>
      <c r="M400" s="6">
        <f t="shared" ref="M400:M435" si="31">K400-L400</f>
        <v>7507.9</v>
      </c>
      <c r="N400" s="6"/>
      <c r="O400" s="4" t="s">
        <v>119</v>
      </c>
      <c r="P400" s="3" t="s">
        <v>65</v>
      </c>
      <c r="Q400" s="8"/>
      <c r="R400" s="8"/>
      <c r="S400" s="9">
        <v>43252</v>
      </c>
      <c r="T400" s="8">
        <f t="shared" si="30"/>
        <v>6</v>
      </c>
      <c r="U400" s="8" t="str">
        <f t="shared" ref="U400:U463" si="32">IF(T400=6,"June",IF(T400=5,"May",IF(T400=4,"April",IF(T400=3,"March",IF(T400=7,"July",0)))))</f>
        <v>June</v>
      </c>
    </row>
    <row r="401" spans="1:21" x14ac:dyDescent="0.55000000000000004">
      <c r="A401" t="str">
        <f t="shared" si="29"/>
        <v>JuneAFG NC - DCL KY</v>
      </c>
      <c r="B401" s="3" t="s">
        <v>20</v>
      </c>
      <c r="C401" s="4" t="s">
        <v>150</v>
      </c>
      <c r="D401" s="4" t="s">
        <v>1016</v>
      </c>
      <c r="E401" s="5">
        <v>43270</v>
      </c>
      <c r="F401" s="4" t="s">
        <v>842</v>
      </c>
      <c r="G401" s="4" t="s">
        <v>1017</v>
      </c>
      <c r="H401" s="4" t="s">
        <v>1018</v>
      </c>
      <c r="I401" s="4" t="s">
        <v>646</v>
      </c>
      <c r="J401" s="4" t="s">
        <v>27</v>
      </c>
      <c r="K401" s="32">
        <v>7150</v>
      </c>
      <c r="L401" s="6">
        <v>0</v>
      </c>
      <c r="M401" s="6">
        <f t="shared" si="31"/>
        <v>7150</v>
      </c>
      <c r="N401" s="6"/>
      <c r="O401" s="4" t="s">
        <v>1017</v>
      </c>
      <c r="P401" t="s">
        <v>173</v>
      </c>
      <c r="Q401" s="8"/>
      <c r="R401" s="8"/>
      <c r="S401" s="9">
        <v>43252</v>
      </c>
      <c r="T401" s="8">
        <f t="shared" si="30"/>
        <v>6</v>
      </c>
      <c r="U401" s="8" t="str">
        <f t="shared" si="32"/>
        <v>June</v>
      </c>
    </row>
    <row r="402" spans="1:21" x14ac:dyDescent="0.55000000000000004">
      <c r="A402" t="str">
        <f t="shared" si="29"/>
        <v>JuneChina - DECI NC</v>
      </c>
      <c r="B402" s="3" t="s">
        <v>20</v>
      </c>
      <c r="C402" s="4" t="s">
        <v>150</v>
      </c>
      <c r="D402" s="4" t="s">
        <v>1019</v>
      </c>
      <c r="E402" s="5">
        <v>43273</v>
      </c>
      <c r="F402" s="4" t="s">
        <v>842</v>
      </c>
      <c r="G402" s="4" t="s">
        <v>123</v>
      </c>
      <c r="H402" s="4" t="s">
        <v>1020</v>
      </c>
      <c r="I402" s="4" t="s">
        <v>646</v>
      </c>
      <c r="J402" s="4" t="s">
        <v>27</v>
      </c>
      <c r="K402" s="32">
        <v>51914.86</v>
      </c>
      <c r="L402" s="6">
        <v>0</v>
      </c>
      <c r="M402" s="6">
        <f t="shared" si="31"/>
        <v>51914.86</v>
      </c>
      <c r="N402" s="6"/>
      <c r="O402" s="4" t="s">
        <v>123</v>
      </c>
      <c r="P402" s="3" t="s">
        <v>97</v>
      </c>
      <c r="Q402" s="8"/>
      <c r="R402" s="8"/>
      <c r="S402" s="9">
        <v>43252</v>
      </c>
      <c r="T402" s="8">
        <f t="shared" si="30"/>
        <v>6</v>
      </c>
      <c r="U402" s="8" t="str">
        <f t="shared" si="32"/>
        <v>June</v>
      </c>
    </row>
    <row r="403" spans="1:21" x14ac:dyDescent="0.55000000000000004">
      <c r="A403" t="str">
        <f t="shared" si="29"/>
        <v>JuneTaiwan - DCL KY</v>
      </c>
      <c r="B403" s="3" t="s">
        <v>20</v>
      </c>
      <c r="C403" s="4" t="s">
        <v>150</v>
      </c>
      <c r="D403" s="4" t="s">
        <v>1021</v>
      </c>
      <c r="E403" s="5">
        <v>43273</v>
      </c>
      <c r="F403" s="4" t="s">
        <v>842</v>
      </c>
      <c r="G403" s="4" t="s">
        <v>127</v>
      </c>
      <c r="H403" s="4" t="s">
        <v>1022</v>
      </c>
      <c r="I403" s="4" t="s">
        <v>646</v>
      </c>
      <c r="J403" s="4" t="s">
        <v>27</v>
      </c>
      <c r="K403" s="32">
        <v>3801.38</v>
      </c>
      <c r="L403" s="6">
        <v>0</v>
      </c>
      <c r="M403" s="6">
        <f t="shared" si="31"/>
        <v>3801.38</v>
      </c>
      <c r="N403" s="6"/>
      <c r="O403" s="4" t="s">
        <v>127</v>
      </c>
      <c r="P403" t="s">
        <v>128</v>
      </c>
      <c r="Q403" s="8"/>
      <c r="R403" s="8"/>
      <c r="S403" s="9">
        <v>43252</v>
      </c>
      <c r="T403" s="8">
        <f t="shared" si="30"/>
        <v>6</v>
      </c>
      <c r="U403" s="8" t="str">
        <f t="shared" si="32"/>
        <v>June</v>
      </c>
    </row>
    <row r="404" spans="1:21" x14ac:dyDescent="0.55000000000000004">
      <c r="A404" t="str">
        <f t="shared" si="29"/>
        <v>JuneHong Kong - Flex IL</v>
      </c>
      <c r="B404" s="3" t="s">
        <v>20</v>
      </c>
      <c r="C404" s="4" t="s">
        <v>150</v>
      </c>
      <c r="D404" s="4" t="s">
        <v>1023</v>
      </c>
      <c r="E404" s="5">
        <v>43273</v>
      </c>
      <c r="F404" s="4" t="s">
        <v>842</v>
      </c>
      <c r="G404" s="4" t="s">
        <v>132</v>
      </c>
      <c r="H404" s="4" t="s">
        <v>1024</v>
      </c>
      <c r="I404" s="4" t="s">
        <v>646</v>
      </c>
      <c r="J404" s="4" t="s">
        <v>27</v>
      </c>
      <c r="K404" s="32">
        <v>23469.06</v>
      </c>
      <c r="L404" s="6">
        <v>0</v>
      </c>
      <c r="M404" s="6">
        <f t="shared" si="31"/>
        <v>23469.06</v>
      </c>
      <c r="N404" s="6"/>
      <c r="O404" s="4" t="s">
        <v>132</v>
      </c>
      <c r="P404" t="s">
        <v>111</v>
      </c>
      <c r="Q404" s="8"/>
      <c r="R404" s="8"/>
      <c r="S404" s="9">
        <v>43252</v>
      </c>
      <c r="T404" s="8">
        <f t="shared" si="30"/>
        <v>6</v>
      </c>
      <c r="U404" s="8" t="str">
        <f t="shared" si="32"/>
        <v>June</v>
      </c>
    </row>
    <row r="405" spans="1:21" x14ac:dyDescent="0.55000000000000004">
      <c r="A405" t="str">
        <f t="shared" si="29"/>
        <v>JuneChina - DECI NC</v>
      </c>
      <c r="B405" s="3" t="s">
        <v>20</v>
      </c>
      <c r="C405" s="4" t="s">
        <v>150</v>
      </c>
      <c r="D405" s="4" t="s">
        <v>1025</v>
      </c>
      <c r="E405" s="5">
        <v>43273</v>
      </c>
      <c r="F405" s="4" t="s">
        <v>842</v>
      </c>
      <c r="G405" s="4" t="s">
        <v>136</v>
      </c>
      <c r="H405" s="4" t="s">
        <v>1026</v>
      </c>
      <c r="I405" s="4" t="s">
        <v>646</v>
      </c>
      <c r="J405" s="4" t="s">
        <v>27</v>
      </c>
      <c r="K405" s="32">
        <v>17334.48</v>
      </c>
      <c r="L405" s="6">
        <v>0</v>
      </c>
      <c r="M405" s="6">
        <f t="shared" si="31"/>
        <v>17334.48</v>
      </c>
      <c r="N405" s="6"/>
      <c r="O405" s="4" t="s">
        <v>136</v>
      </c>
      <c r="P405" s="3" t="s">
        <v>97</v>
      </c>
      <c r="Q405" s="8"/>
      <c r="R405" s="8"/>
      <c r="S405" s="9">
        <v>43252</v>
      </c>
      <c r="T405" s="8">
        <f t="shared" si="30"/>
        <v>6</v>
      </c>
      <c r="U405" s="8" t="str">
        <f t="shared" si="32"/>
        <v>June</v>
      </c>
    </row>
    <row r="406" spans="1:21" x14ac:dyDescent="0.55000000000000004">
      <c r="A406" t="str">
        <f t="shared" si="29"/>
        <v>JuneHong Kong - Flex IL</v>
      </c>
      <c r="B406" s="3" t="s">
        <v>20</v>
      </c>
      <c r="C406" s="4" t="s">
        <v>150</v>
      </c>
      <c r="D406" s="4" t="s">
        <v>1027</v>
      </c>
      <c r="E406" s="5">
        <v>43273</v>
      </c>
      <c r="F406" s="4" t="s">
        <v>842</v>
      </c>
      <c r="G406" s="4" t="s">
        <v>140</v>
      </c>
      <c r="H406" s="4" t="s">
        <v>1028</v>
      </c>
      <c r="I406" s="4" t="s">
        <v>646</v>
      </c>
      <c r="J406" s="4" t="s">
        <v>27</v>
      </c>
      <c r="K406" s="32">
        <v>8964.3700000000008</v>
      </c>
      <c r="L406" s="6">
        <v>0</v>
      </c>
      <c r="M406" s="6">
        <f t="shared" si="31"/>
        <v>8964.3700000000008</v>
      </c>
      <c r="N406" s="6"/>
      <c r="O406" s="4" t="s">
        <v>140</v>
      </c>
      <c r="P406" t="s">
        <v>111</v>
      </c>
      <c r="Q406" s="8"/>
      <c r="R406" s="8"/>
      <c r="S406" s="9">
        <v>43252</v>
      </c>
      <c r="T406" s="8">
        <f t="shared" si="30"/>
        <v>6</v>
      </c>
      <c r="U406" s="8" t="str">
        <f t="shared" si="32"/>
        <v>June</v>
      </c>
    </row>
    <row r="407" spans="1:21" x14ac:dyDescent="0.55000000000000004">
      <c r="A407" t="str">
        <f t="shared" si="29"/>
        <v>JuneChina - DECI NC</v>
      </c>
      <c r="B407" s="3" t="s">
        <v>20</v>
      </c>
      <c r="C407" s="4" t="s">
        <v>150</v>
      </c>
      <c r="D407" s="4" t="s">
        <v>1029</v>
      </c>
      <c r="E407" s="5">
        <v>43273</v>
      </c>
      <c r="F407" s="4" t="s">
        <v>842</v>
      </c>
      <c r="G407" s="4" t="s">
        <v>144</v>
      </c>
      <c r="H407" s="4" t="s">
        <v>1030</v>
      </c>
      <c r="I407" s="4" t="s">
        <v>646</v>
      </c>
      <c r="J407" s="4" t="s">
        <v>27</v>
      </c>
      <c r="K407" s="32">
        <v>7264.62</v>
      </c>
      <c r="L407" s="6">
        <v>0</v>
      </c>
      <c r="M407" s="6">
        <f t="shared" si="31"/>
        <v>7264.62</v>
      </c>
      <c r="N407" s="6"/>
      <c r="O407" s="4" t="s">
        <v>144</v>
      </c>
      <c r="P407" s="3" t="s">
        <v>97</v>
      </c>
      <c r="Q407" s="8"/>
      <c r="R407" s="8"/>
      <c r="S407" s="9">
        <v>43252</v>
      </c>
      <c r="T407" s="8">
        <f t="shared" si="30"/>
        <v>6</v>
      </c>
      <c r="U407" s="8" t="str">
        <f t="shared" si="32"/>
        <v>June</v>
      </c>
    </row>
    <row r="408" spans="1:21" x14ac:dyDescent="0.55000000000000004">
      <c r="A408" t="str">
        <f t="shared" si="29"/>
        <v>JuneHong Kong - DCL KY</v>
      </c>
      <c r="B408" s="3" t="s">
        <v>20</v>
      </c>
      <c r="C408" s="4" t="s">
        <v>150</v>
      </c>
      <c r="D408" s="4" t="s">
        <v>1031</v>
      </c>
      <c r="E408" s="5">
        <v>43273</v>
      </c>
      <c r="F408" s="4" t="s">
        <v>842</v>
      </c>
      <c r="G408" s="4" t="s">
        <v>148</v>
      </c>
      <c r="H408" s="4" t="s">
        <v>1032</v>
      </c>
      <c r="I408" s="4" t="s">
        <v>646</v>
      </c>
      <c r="J408" s="4" t="s">
        <v>27</v>
      </c>
      <c r="K408" s="32">
        <v>4242.34</v>
      </c>
      <c r="L408" s="6">
        <v>0</v>
      </c>
      <c r="M408" s="6">
        <f t="shared" si="31"/>
        <v>4242.34</v>
      </c>
      <c r="N408" s="6"/>
      <c r="O408" s="4" t="s">
        <v>148</v>
      </c>
      <c r="P408" t="s">
        <v>39</v>
      </c>
      <c r="Q408" s="8"/>
      <c r="R408" s="8"/>
      <c r="S408" s="9">
        <v>43252</v>
      </c>
      <c r="T408" s="8">
        <f t="shared" si="30"/>
        <v>6</v>
      </c>
      <c r="U408" s="8" t="str">
        <f t="shared" si="32"/>
        <v>June</v>
      </c>
    </row>
    <row r="409" spans="1:21" x14ac:dyDescent="0.55000000000000004">
      <c r="A409" t="str">
        <f t="shared" si="29"/>
        <v>JuneHong Kong - Flex IL</v>
      </c>
      <c r="B409" s="3" t="s">
        <v>20</v>
      </c>
      <c r="C409" s="4" t="s">
        <v>150</v>
      </c>
      <c r="D409" s="4" t="s">
        <v>1033</v>
      </c>
      <c r="E409" s="5">
        <v>43280</v>
      </c>
      <c r="F409" s="4" t="s">
        <v>842</v>
      </c>
      <c r="G409" s="4" t="s">
        <v>1034</v>
      </c>
      <c r="H409" s="4" t="s">
        <v>1035</v>
      </c>
      <c r="I409" s="4" t="s">
        <v>646</v>
      </c>
      <c r="J409" s="4" t="s">
        <v>27</v>
      </c>
      <c r="K409" s="32">
        <v>8642.42</v>
      </c>
      <c r="L409" s="6">
        <v>0</v>
      </c>
      <c r="M409" s="6">
        <f t="shared" si="31"/>
        <v>8642.42</v>
      </c>
      <c r="N409" s="6"/>
      <c r="O409" s="4" t="s">
        <v>1034</v>
      </c>
      <c r="P409" t="s">
        <v>111</v>
      </c>
      <c r="Q409" s="8"/>
      <c r="R409" s="8"/>
      <c r="S409" s="9">
        <v>43252</v>
      </c>
      <c r="T409" s="8">
        <f t="shared" si="30"/>
        <v>6</v>
      </c>
      <c r="U409" s="8" t="str">
        <f t="shared" si="32"/>
        <v>June</v>
      </c>
    </row>
    <row r="410" spans="1:21" x14ac:dyDescent="0.55000000000000004">
      <c r="A410" t="str">
        <f t="shared" si="29"/>
        <v>JuneHong Kong - Flex IL</v>
      </c>
      <c r="B410" s="3" t="s">
        <v>20</v>
      </c>
      <c r="C410" s="4" t="s">
        <v>150</v>
      </c>
      <c r="D410" s="4" t="s">
        <v>1036</v>
      </c>
      <c r="E410" s="5">
        <v>43280</v>
      </c>
      <c r="F410" s="4" t="s">
        <v>842</v>
      </c>
      <c r="G410" s="4" t="s">
        <v>1034</v>
      </c>
      <c r="H410" s="4" t="s">
        <v>1037</v>
      </c>
      <c r="I410" s="4" t="s">
        <v>646</v>
      </c>
      <c r="J410" s="4" t="s">
        <v>27</v>
      </c>
      <c r="K410" s="32">
        <v>14622.09</v>
      </c>
      <c r="L410" s="6">
        <v>0</v>
      </c>
      <c r="M410" s="6">
        <f t="shared" si="31"/>
        <v>14622.09</v>
      </c>
      <c r="N410" s="6"/>
      <c r="O410" s="4" t="s">
        <v>1034</v>
      </c>
      <c r="P410" t="s">
        <v>111</v>
      </c>
      <c r="Q410" s="8"/>
      <c r="R410" s="8"/>
      <c r="S410" s="9">
        <v>43252</v>
      </c>
      <c r="T410" s="8">
        <f t="shared" si="30"/>
        <v>6</v>
      </c>
      <c r="U410" s="8" t="str">
        <f t="shared" si="32"/>
        <v>June</v>
      </c>
    </row>
    <row r="411" spans="1:21" x14ac:dyDescent="0.55000000000000004">
      <c r="A411" t="str">
        <f t="shared" si="29"/>
        <v>JuneChina - DCL KY</v>
      </c>
      <c r="B411" s="3" t="s">
        <v>20</v>
      </c>
      <c r="C411" s="4" t="s">
        <v>150</v>
      </c>
      <c r="D411" s="4" t="s">
        <v>1038</v>
      </c>
      <c r="E411" s="5">
        <v>43280</v>
      </c>
      <c r="F411" s="4" t="s">
        <v>842</v>
      </c>
      <c r="G411" s="4" t="s">
        <v>1039</v>
      </c>
      <c r="H411" s="4" t="s">
        <v>1040</v>
      </c>
      <c r="I411" s="4" t="s">
        <v>646</v>
      </c>
      <c r="J411" s="4" t="s">
        <v>27</v>
      </c>
      <c r="K411" s="32">
        <v>106557.88</v>
      </c>
      <c r="L411" s="6">
        <v>0</v>
      </c>
      <c r="M411" s="6">
        <f t="shared" si="31"/>
        <v>106557.88</v>
      </c>
      <c r="N411" s="6"/>
      <c r="O411" s="4" t="s">
        <v>1039</v>
      </c>
      <c r="P411" s="3" t="s">
        <v>82</v>
      </c>
      <c r="Q411" s="8"/>
      <c r="R411" s="8"/>
      <c r="S411" s="9">
        <v>43252</v>
      </c>
      <c r="T411" s="8">
        <f t="shared" si="30"/>
        <v>6</v>
      </c>
      <c r="U411" s="8" t="str">
        <f t="shared" si="32"/>
        <v>June</v>
      </c>
    </row>
    <row r="412" spans="1:21" x14ac:dyDescent="0.55000000000000004">
      <c r="A412" t="str">
        <f t="shared" si="29"/>
        <v>JuneChina - DECI NC</v>
      </c>
      <c r="B412" s="3" t="s">
        <v>20</v>
      </c>
      <c r="C412" s="4" t="s">
        <v>150</v>
      </c>
      <c r="D412" s="4" t="s">
        <v>1041</v>
      </c>
      <c r="E412" s="5">
        <v>43281</v>
      </c>
      <c r="F412" s="4" t="s">
        <v>842</v>
      </c>
      <c r="G412" s="4" t="s">
        <v>1042</v>
      </c>
      <c r="H412" s="4" t="s">
        <v>1043</v>
      </c>
      <c r="I412" s="4" t="s">
        <v>646</v>
      </c>
      <c r="J412" s="4" t="s">
        <v>27</v>
      </c>
      <c r="K412" s="32">
        <v>5982.05</v>
      </c>
      <c r="L412" s="6">
        <v>0</v>
      </c>
      <c r="M412" s="6">
        <f t="shared" si="31"/>
        <v>5982.05</v>
      </c>
      <c r="N412" s="6"/>
      <c r="O412" s="4" t="s">
        <v>1042</v>
      </c>
      <c r="P412" s="3" t="s">
        <v>97</v>
      </c>
      <c r="Q412" s="8"/>
      <c r="R412" s="8"/>
      <c r="S412" s="9">
        <v>43252</v>
      </c>
      <c r="T412" s="8">
        <f t="shared" si="30"/>
        <v>6</v>
      </c>
      <c r="U412" s="8" t="str">
        <f t="shared" si="32"/>
        <v>June</v>
      </c>
    </row>
    <row r="413" spans="1:21" x14ac:dyDescent="0.55000000000000004">
      <c r="A413" t="str">
        <f t="shared" si="29"/>
        <v>JuneTaiwan - DCL KY</v>
      </c>
      <c r="B413" s="3" t="s">
        <v>20</v>
      </c>
      <c r="C413" s="4" t="s">
        <v>150</v>
      </c>
      <c r="D413" s="4" t="s">
        <v>1044</v>
      </c>
      <c r="E413" s="5">
        <v>43281</v>
      </c>
      <c r="F413" s="4" t="s">
        <v>842</v>
      </c>
      <c r="G413" s="4" t="s">
        <v>1045</v>
      </c>
      <c r="H413" s="4" t="s">
        <v>1046</v>
      </c>
      <c r="I413" s="4" t="s">
        <v>646</v>
      </c>
      <c r="J413" s="4" t="s">
        <v>27</v>
      </c>
      <c r="K413" s="32">
        <v>13479.41</v>
      </c>
      <c r="L413" s="6">
        <v>0</v>
      </c>
      <c r="M413" s="6">
        <f t="shared" si="31"/>
        <v>13479.41</v>
      </c>
      <c r="N413" s="6"/>
      <c r="O413" s="4" t="s">
        <v>1045</v>
      </c>
      <c r="P413" t="s">
        <v>128</v>
      </c>
      <c r="Q413" s="8"/>
      <c r="R413" s="8"/>
      <c r="S413" s="9">
        <v>43252</v>
      </c>
      <c r="T413" s="8">
        <f t="shared" si="30"/>
        <v>6</v>
      </c>
      <c r="U413" s="8" t="str">
        <f t="shared" si="32"/>
        <v>June</v>
      </c>
    </row>
    <row r="414" spans="1:21" x14ac:dyDescent="0.55000000000000004">
      <c r="A414" t="str">
        <f t="shared" si="29"/>
        <v>JuneChina - DCL KY</v>
      </c>
      <c r="B414" s="3" t="s">
        <v>20</v>
      </c>
      <c r="C414" s="4" t="s">
        <v>150</v>
      </c>
      <c r="D414" s="4" t="s">
        <v>1047</v>
      </c>
      <c r="E414" s="5">
        <v>43281</v>
      </c>
      <c r="F414" s="4" t="s">
        <v>842</v>
      </c>
      <c r="G414" s="4" t="s">
        <v>1048</v>
      </c>
      <c r="H414" s="4" t="s">
        <v>1049</v>
      </c>
      <c r="I414" s="4" t="s">
        <v>646</v>
      </c>
      <c r="J414" s="4" t="s">
        <v>27</v>
      </c>
      <c r="K414" s="32">
        <v>2529.36</v>
      </c>
      <c r="L414" s="6">
        <v>0</v>
      </c>
      <c r="M414" s="6">
        <f t="shared" si="31"/>
        <v>2529.36</v>
      </c>
      <c r="N414" s="6"/>
      <c r="O414" s="4" t="s">
        <v>1048</v>
      </c>
      <c r="P414" s="3" t="s">
        <v>82</v>
      </c>
      <c r="Q414" s="8"/>
      <c r="R414" s="8"/>
      <c r="S414" s="9">
        <v>43252</v>
      </c>
      <c r="T414" s="8">
        <f t="shared" si="30"/>
        <v>6</v>
      </c>
      <c r="U414" s="8" t="str">
        <f t="shared" si="32"/>
        <v>June</v>
      </c>
    </row>
    <row r="415" spans="1:21" x14ac:dyDescent="0.55000000000000004">
      <c r="A415" t="str">
        <f t="shared" si="29"/>
        <v>MayHong Kong - DCL KY</v>
      </c>
      <c r="B415" s="3" t="s">
        <v>20</v>
      </c>
      <c r="C415" s="4" t="s">
        <v>150</v>
      </c>
      <c r="D415" s="4" t="s">
        <v>1050</v>
      </c>
      <c r="E415" s="5">
        <v>43245</v>
      </c>
      <c r="F415" s="4" t="s">
        <v>842</v>
      </c>
      <c r="G415" s="4" t="s">
        <v>1051</v>
      </c>
      <c r="H415" s="4" t="s">
        <v>1052</v>
      </c>
      <c r="I415" s="4" t="s">
        <v>646</v>
      </c>
      <c r="J415" s="4" t="s">
        <v>27</v>
      </c>
      <c r="K415" s="32">
        <v>1522.23</v>
      </c>
      <c r="L415" s="6">
        <v>0</v>
      </c>
      <c r="M415" s="6">
        <f t="shared" si="31"/>
        <v>1522.23</v>
      </c>
      <c r="N415" s="6"/>
      <c r="O415" s="4" t="s">
        <v>1051</v>
      </c>
      <c r="P415" s="3" t="s">
        <v>39</v>
      </c>
      <c r="Q415" s="8"/>
      <c r="R415" s="8"/>
      <c r="S415" s="9">
        <v>43221</v>
      </c>
      <c r="T415" s="8">
        <f t="shared" si="30"/>
        <v>5</v>
      </c>
      <c r="U415" s="8" t="str">
        <f t="shared" si="32"/>
        <v>May</v>
      </c>
    </row>
    <row r="416" spans="1:21" x14ac:dyDescent="0.55000000000000004">
      <c r="A416" t="str">
        <f t="shared" si="29"/>
        <v>MayHong Kong - Phillips WI</v>
      </c>
      <c r="B416" s="3" t="s">
        <v>20</v>
      </c>
      <c r="C416" s="4" t="s">
        <v>150</v>
      </c>
      <c r="D416" s="4" t="s">
        <v>1053</v>
      </c>
      <c r="E416" s="5">
        <v>43245</v>
      </c>
      <c r="F416" s="4" t="s">
        <v>842</v>
      </c>
      <c r="G416" s="4" t="s">
        <v>1054</v>
      </c>
      <c r="H416" s="4" t="s">
        <v>1055</v>
      </c>
      <c r="I416" s="4" t="s">
        <v>646</v>
      </c>
      <c r="J416" s="4" t="s">
        <v>27</v>
      </c>
      <c r="K416" s="32">
        <v>9461.81</v>
      </c>
      <c r="L416" s="6">
        <v>0</v>
      </c>
      <c r="M416" s="6">
        <f t="shared" si="31"/>
        <v>9461.81</v>
      </c>
      <c r="N416" s="6"/>
      <c r="O416" s="4" t="s">
        <v>1054</v>
      </c>
      <c r="P416" s="3" t="s">
        <v>65</v>
      </c>
      <c r="Q416" s="8"/>
      <c r="R416" s="8"/>
      <c r="S416" s="9">
        <v>43221</v>
      </c>
      <c r="T416" s="8">
        <f t="shared" si="30"/>
        <v>5</v>
      </c>
      <c r="U416" s="8" t="str">
        <f t="shared" si="32"/>
        <v>May</v>
      </c>
    </row>
    <row r="417" spans="1:21" x14ac:dyDescent="0.55000000000000004">
      <c r="A417" t="str">
        <f t="shared" si="29"/>
        <v>MayHong Kong - Phillips WI</v>
      </c>
      <c r="B417" s="3" t="s">
        <v>20</v>
      </c>
      <c r="C417" s="4" t="s">
        <v>150</v>
      </c>
      <c r="D417" s="4" t="s">
        <v>1056</v>
      </c>
      <c r="E417" s="5">
        <v>43245</v>
      </c>
      <c r="F417" s="4" t="s">
        <v>842</v>
      </c>
      <c r="G417" s="4" t="s">
        <v>1057</v>
      </c>
      <c r="H417" s="4" t="s">
        <v>1058</v>
      </c>
      <c r="I417" s="4" t="s">
        <v>646</v>
      </c>
      <c r="J417" s="4" t="s">
        <v>27</v>
      </c>
      <c r="K417" s="32">
        <v>16928.59</v>
      </c>
      <c r="L417" s="6">
        <v>0</v>
      </c>
      <c r="M417" s="6">
        <f t="shared" si="31"/>
        <v>16928.59</v>
      </c>
      <c r="N417" s="6"/>
      <c r="O417" s="4" t="s">
        <v>1057</v>
      </c>
      <c r="P417" s="3" t="s">
        <v>65</v>
      </c>
      <c r="Q417" s="8"/>
      <c r="R417" s="8"/>
      <c r="S417" s="9">
        <v>43221</v>
      </c>
      <c r="T417" s="8">
        <f t="shared" si="30"/>
        <v>5</v>
      </c>
      <c r="U417" s="8" t="str">
        <f t="shared" si="32"/>
        <v>May</v>
      </c>
    </row>
    <row r="418" spans="1:21" x14ac:dyDescent="0.55000000000000004">
      <c r="A418" t="str">
        <f t="shared" si="29"/>
        <v>MayChina - DECI NC</v>
      </c>
      <c r="B418" s="3" t="s">
        <v>20</v>
      </c>
      <c r="C418" s="4" t="s">
        <v>150</v>
      </c>
      <c r="D418" s="4" t="s">
        <v>1059</v>
      </c>
      <c r="E418" s="5">
        <v>43245</v>
      </c>
      <c r="F418" s="4" t="s">
        <v>842</v>
      </c>
      <c r="G418" s="4" t="s">
        <v>1060</v>
      </c>
      <c r="H418" s="4" t="s">
        <v>1061</v>
      </c>
      <c r="I418" s="4" t="s">
        <v>646</v>
      </c>
      <c r="J418" s="4" t="s">
        <v>27</v>
      </c>
      <c r="K418" s="32">
        <v>57591.86</v>
      </c>
      <c r="L418" s="6">
        <v>0</v>
      </c>
      <c r="M418" s="6">
        <f t="shared" si="31"/>
        <v>57591.86</v>
      </c>
      <c r="N418" s="6"/>
      <c r="O418" s="4" t="s">
        <v>1060</v>
      </c>
      <c r="P418" s="3" t="s">
        <v>97</v>
      </c>
      <c r="Q418" s="8"/>
      <c r="R418" s="8"/>
      <c r="S418" s="9">
        <v>43221</v>
      </c>
      <c r="T418" s="8">
        <f t="shared" si="30"/>
        <v>5</v>
      </c>
      <c r="U418" s="8" t="str">
        <f t="shared" si="32"/>
        <v>May</v>
      </c>
    </row>
    <row r="419" spans="1:21" x14ac:dyDescent="0.55000000000000004">
      <c r="A419" t="str">
        <f t="shared" si="29"/>
        <v>MayHong Kong - Flex IL</v>
      </c>
      <c r="B419" s="3" t="s">
        <v>20</v>
      </c>
      <c r="C419" s="4" t="s">
        <v>150</v>
      </c>
      <c r="D419" s="4" t="s">
        <v>1062</v>
      </c>
      <c r="E419" s="5">
        <v>43245</v>
      </c>
      <c r="F419" s="4" t="s">
        <v>842</v>
      </c>
      <c r="G419" s="4" t="s">
        <v>1063</v>
      </c>
      <c r="H419" s="4" t="s">
        <v>1064</v>
      </c>
      <c r="I419" s="4" t="s">
        <v>646</v>
      </c>
      <c r="J419" s="4" t="s">
        <v>27</v>
      </c>
      <c r="K419" s="32">
        <v>5079.68</v>
      </c>
      <c r="L419" s="6">
        <v>0</v>
      </c>
      <c r="M419" s="6">
        <f t="shared" si="31"/>
        <v>5079.68</v>
      </c>
      <c r="N419" s="6"/>
      <c r="O419" s="4" t="s">
        <v>1063</v>
      </c>
      <c r="P419" t="s">
        <v>111</v>
      </c>
      <c r="Q419" s="8"/>
      <c r="R419" s="8"/>
      <c r="S419" s="9">
        <v>43221</v>
      </c>
      <c r="T419" s="8">
        <f t="shared" si="30"/>
        <v>5</v>
      </c>
      <c r="U419" s="8" t="str">
        <f t="shared" si="32"/>
        <v>May</v>
      </c>
    </row>
    <row r="420" spans="1:21" x14ac:dyDescent="0.55000000000000004">
      <c r="A420" t="str">
        <f t="shared" si="29"/>
        <v>MayPhillips WI - DCL KY</v>
      </c>
      <c r="B420" s="3" t="s">
        <v>20</v>
      </c>
      <c r="C420" s="4" t="s">
        <v>150</v>
      </c>
      <c r="D420" s="4" t="s">
        <v>1065</v>
      </c>
      <c r="E420" s="5">
        <v>43244</v>
      </c>
      <c r="F420" s="4" t="s">
        <v>842</v>
      </c>
      <c r="G420" s="4" t="s">
        <v>1066</v>
      </c>
      <c r="H420" s="4" t="s">
        <v>1067</v>
      </c>
      <c r="I420" s="4" t="s">
        <v>646</v>
      </c>
      <c r="J420" s="4" t="s">
        <v>27</v>
      </c>
      <c r="K420" s="32">
        <v>5825</v>
      </c>
      <c r="L420" s="6">
        <v>0</v>
      </c>
      <c r="M420" s="6">
        <f t="shared" si="31"/>
        <v>5825</v>
      </c>
      <c r="N420" s="6"/>
      <c r="O420" s="4" t="s">
        <v>1066</v>
      </c>
      <c r="P420" t="s">
        <v>29</v>
      </c>
      <c r="Q420" s="8"/>
      <c r="R420" s="8"/>
      <c r="S420" s="9">
        <v>43221</v>
      </c>
      <c r="T420" s="8">
        <f t="shared" si="30"/>
        <v>5</v>
      </c>
      <c r="U420" s="8" t="str">
        <f t="shared" si="32"/>
        <v>May</v>
      </c>
    </row>
    <row r="421" spans="1:21" x14ac:dyDescent="0.55000000000000004">
      <c r="A421" t="str">
        <f t="shared" si="29"/>
        <v>MayAFG NC - DCL KY</v>
      </c>
      <c r="B421" s="3" t="s">
        <v>20</v>
      </c>
      <c r="C421" s="4" t="s">
        <v>150</v>
      </c>
      <c r="D421" s="4" t="s">
        <v>1068</v>
      </c>
      <c r="E421" s="5">
        <v>43242</v>
      </c>
      <c r="F421" s="4" t="s">
        <v>842</v>
      </c>
      <c r="G421" s="4" t="s">
        <v>1069</v>
      </c>
      <c r="H421" s="4" t="s">
        <v>1070</v>
      </c>
      <c r="I421" s="4" t="s">
        <v>646</v>
      </c>
      <c r="J421" s="4" t="s">
        <v>27</v>
      </c>
      <c r="K421" s="32">
        <v>1368.64</v>
      </c>
      <c r="L421" s="6">
        <v>0</v>
      </c>
      <c r="M421" s="6">
        <f t="shared" si="31"/>
        <v>1368.64</v>
      </c>
      <c r="N421" s="6"/>
      <c r="O421" s="4" t="s">
        <v>1069</v>
      </c>
      <c r="P421" t="s">
        <v>173</v>
      </c>
      <c r="Q421" s="8"/>
      <c r="R421" s="8"/>
      <c r="S421" s="9">
        <v>43221</v>
      </c>
      <c r="T421" s="8">
        <f t="shared" si="30"/>
        <v>5</v>
      </c>
      <c r="U421" s="8" t="str">
        <f t="shared" si="32"/>
        <v>May</v>
      </c>
    </row>
    <row r="422" spans="1:21" x14ac:dyDescent="0.55000000000000004">
      <c r="A422" t="str">
        <f t="shared" si="29"/>
        <v>MayShanghai - DCL KTY</v>
      </c>
      <c r="B422" s="3" t="s">
        <v>20</v>
      </c>
      <c r="C422" s="4" t="s">
        <v>150</v>
      </c>
      <c r="D422" s="4" t="s">
        <v>1071</v>
      </c>
      <c r="E422" s="5">
        <v>43238</v>
      </c>
      <c r="F422" s="4" t="s">
        <v>842</v>
      </c>
      <c r="G422" s="4" t="s">
        <v>1072</v>
      </c>
      <c r="H422" s="4" t="s">
        <v>1073</v>
      </c>
      <c r="I422" s="4" t="s">
        <v>646</v>
      </c>
      <c r="J422" s="4" t="s">
        <v>27</v>
      </c>
      <c r="K422" s="32">
        <v>73190.63</v>
      </c>
      <c r="L422" s="6">
        <v>0</v>
      </c>
      <c r="M422" s="6">
        <f t="shared" si="31"/>
        <v>73190.63</v>
      </c>
      <c r="N422" s="6"/>
      <c r="O422" s="4" t="s">
        <v>1072</v>
      </c>
      <c r="P422" s="3" t="s">
        <v>1074</v>
      </c>
      <c r="Q422" s="8"/>
      <c r="R422" s="8"/>
      <c r="S422" s="9">
        <v>43221</v>
      </c>
      <c r="T422" s="8">
        <f t="shared" si="30"/>
        <v>5</v>
      </c>
      <c r="U422" s="8" t="str">
        <f t="shared" si="32"/>
        <v>May</v>
      </c>
    </row>
    <row r="423" spans="1:21" x14ac:dyDescent="0.55000000000000004">
      <c r="A423" t="str">
        <f t="shared" si="29"/>
        <v>MayAFG NC - DCL KY</v>
      </c>
      <c r="B423" s="3" t="s">
        <v>20</v>
      </c>
      <c r="C423" s="4" t="s">
        <v>150</v>
      </c>
      <c r="D423" s="4" t="s">
        <v>1075</v>
      </c>
      <c r="E423" s="5">
        <v>43237</v>
      </c>
      <c r="F423" s="4" t="s">
        <v>842</v>
      </c>
      <c r="G423" s="4" t="s">
        <v>427</v>
      </c>
      <c r="H423" s="4" t="s">
        <v>1076</v>
      </c>
      <c r="I423" s="4" t="s">
        <v>646</v>
      </c>
      <c r="J423" s="4" t="s">
        <v>27</v>
      </c>
      <c r="K423" s="32">
        <v>4650</v>
      </c>
      <c r="L423" s="6">
        <v>0</v>
      </c>
      <c r="M423" s="6">
        <f t="shared" si="31"/>
        <v>4650</v>
      </c>
      <c r="N423" s="6"/>
      <c r="O423" s="4" t="s">
        <v>427</v>
      </c>
      <c r="P423" t="s">
        <v>173</v>
      </c>
      <c r="Q423" s="8"/>
      <c r="R423" s="8"/>
      <c r="S423" s="9">
        <v>43221</v>
      </c>
      <c r="T423" s="8">
        <f t="shared" si="30"/>
        <v>5</v>
      </c>
      <c r="U423" s="8" t="str">
        <f t="shared" si="32"/>
        <v>May</v>
      </c>
    </row>
    <row r="424" spans="1:21" x14ac:dyDescent="0.55000000000000004">
      <c r="A424" t="str">
        <f t="shared" si="29"/>
        <v>AprilChina - DECI NC</v>
      </c>
      <c r="B424" s="3" t="s">
        <v>20</v>
      </c>
      <c r="C424" s="4" t="s">
        <v>150</v>
      </c>
      <c r="D424" s="4" t="s">
        <v>795</v>
      </c>
      <c r="E424" s="5">
        <v>43217</v>
      </c>
      <c r="F424" s="4" t="s">
        <v>842</v>
      </c>
      <c r="G424" s="4" t="s">
        <v>793</v>
      </c>
      <c r="H424" s="4" t="s">
        <v>796</v>
      </c>
      <c r="I424" s="4" t="s">
        <v>646</v>
      </c>
      <c r="J424" s="4" t="s">
        <v>27</v>
      </c>
      <c r="K424" s="32">
        <v>15458.87</v>
      </c>
      <c r="L424" s="6">
        <v>0</v>
      </c>
      <c r="M424" s="6">
        <f t="shared" si="31"/>
        <v>15458.87</v>
      </c>
      <c r="N424" s="6"/>
      <c r="O424" s="4" t="s">
        <v>793</v>
      </c>
      <c r="P424" s="3" t="s">
        <v>97</v>
      </c>
      <c r="Q424" s="8"/>
      <c r="R424" s="8"/>
      <c r="S424" s="9">
        <v>43191</v>
      </c>
      <c r="T424" s="8">
        <f t="shared" si="30"/>
        <v>4</v>
      </c>
      <c r="U424" s="8" t="str">
        <f t="shared" si="32"/>
        <v>April</v>
      </c>
    </row>
    <row r="425" spans="1:21" x14ac:dyDescent="0.55000000000000004">
      <c r="A425" t="str">
        <f t="shared" si="29"/>
        <v>AprilChina - DECI NC</v>
      </c>
      <c r="B425" s="3" t="s">
        <v>20</v>
      </c>
      <c r="C425" s="4" t="s">
        <v>150</v>
      </c>
      <c r="D425" s="4" t="s">
        <v>797</v>
      </c>
      <c r="E425" s="5">
        <v>43217</v>
      </c>
      <c r="F425" s="4" t="s">
        <v>842</v>
      </c>
      <c r="G425" s="4" t="s">
        <v>793</v>
      </c>
      <c r="H425" s="4" t="s">
        <v>798</v>
      </c>
      <c r="I425" s="4" t="s">
        <v>646</v>
      </c>
      <c r="J425" s="4" t="s">
        <v>27</v>
      </c>
      <c r="K425" s="32">
        <v>17882.41</v>
      </c>
      <c r="L425" s="6">
        <v>0</v>
      </c>
      <c r="M425" s="6">
        <f t="shared" si="31"/>
        <v>17882.41</v>
      </c>
      <c r="N425" s="6"/>
      <c r="O425" s="4" t="s">
        <v>793</v>
      </c>
      <c r="P425" s="3" t="s">
        <v>97</v>
      </c>
      <c r="Q425" s="8"/>
      <c r="R425" s="8"/>
      <c r="S425" s="9">
        <v>43191</v>
      </c>
      <c r="T425" s="8">
        <f t="shared" si="30"/>
        <v>4</v>
      </c>
      <c r="U425" s="8" t="str">
        <f t="shared" si="32"/>
        <v>April</v>
      </c>
    </row>
    <row r="426" spans="1:21" x14ac:dyDescent="0.55000000000000004">
      <c r="A426" t="str">
        <f t="shared" si="29"/>
        <v>AprilHong Kong - DECI NC</v>
      </c>
      <c r="B426" s="3" t="s">
        <v>20</v>
      </c>
      <c r="C426" s="4" t="s">
        <v>150</v>
      </c>
      <c r="D426" s="4" t="s">
        <v>783</v>
      </c>
      <c r="E426" s="5">
        <v>43216</v>
      </c>
      <c r="F426" s="4" t="s">
        <v>842</v>
      </c>
      <c r="G426" s="4" t="s">
        <v>749</v>
      </c>
      <c r="H426" s="4" t="s">
        <v>784</v>
      </c>
      <c r="I426" s="4" t="s">
        <v>646</v>
      </c>
      <c r="J426" s="4" t="s">
        <v>27</v>
      </c>
      <c r="K426" s="32">
        <v>12609.53</v>
      </c>
      <c r="L426" s="6">
        <v>0</v>
      </c>
      <c r="M426" s="6">
        <f t="shared" si="31"/>
        <v>12609.53</v>
      </c>
      <c r="N426" s="6"/>
      <c r="O426" s="4" t="s">
        <v>749</v>
      </c>
      <c r="P426" t="s">
        <v>92</v>
      </c>
      <c r="Q426" s="8"/>
      <c r="R426" s="8"/>
      <c r="S426" s="9">
        <v>43191</v>
      </c>
      <c r="T426" s="8">
        <f t="shared" si="30"/>
        <v>4</v>
      </c>
      <c r="U426" s="8" t="str">
        <f t="shared" si="32"/>
        <v>April</v>
      </c>
    </row>
    <row r="427" spans="1:21" x14ac:dyDescent="0.55000000000000004">
      <c r="A427" t="str">
        <f t="shared" si="29"/>
        <v>AprilChina - San Francisco</v>
      </c>
      <c r="B427" s="3" t="s">
        <v>20</v>
      </c>
      <c r="C427" s="4" t="s">
        <v>150</v>
      </c>
      <c r="D427" s="4" t="s">
        <v>785</v>
      </c>
      <c r="E427" s="5">
        <v>43216</v>
      </c>
      <c r="F427" s="4" t="s">
        <v>842</v>
      </c>
      <c r="G427" s="4" t="s">
        <v>786</v>
      </c>
      <c r="H427" s="4" t="s">
        <v>787</v>
      </c>
      <c r="I427" s="4" t="s">
        <v>646</v>
      </c>
      <c r="J427" s="4" t="s">
        <v>27</v>
      </c>
      <c r="K427" s="32">
        <v>1766.46</v>
      </c>
      <c r="L427" s="6">
        <v>0</v>
      </c>
      <c r="M427" s="6">
        <f t="shared" si="31"/>
        <v>1766.46</v>
      </c>
      <c r="N427" s="6"/>
      <c r="O427" s="4" t="s">
        <v>786</v>
      </c>
      <c r="P427" s="3" t="s">
        <v>1077</v>
      </c>
      <c r="Q427" s="8"/>
      <c r="R427" s="8"/>
      <c r="S427" s="9">
        <v>43191</v>
      </c>
      <c r="T427" s="8">
        <f t="shared" si="30"/>
        <v>4</v>
      </c>
      <c r="U427" s="8" t="str">
        <f t="shared" si="32"/>
        <v>April</v>
      </c>
    </row>
    <row r="428" spans="1:21" x14ac:dyDescent="0.55000000000000004">
      <c r="A428" t="str">
        <f t="shared" si="29"/>
        <v>AprilChina - DCL KY</v>
      </c>
      <c r="B428" s="3" t="s">
        <v>20</v>
      </c>
      <c r="C428" s="4" t="s">
        <v>150</v>
      </c>
      <c r="D428" s="4" t="s">
        <v>789</v>
      </c>
      <c r="E428" s="5">
        <v>43216</v>
      </c>
      <c r="F428" s="4" t="s">
        <v>842</v>
      </c>
      <c r="G428" s="4" t="s">
        <v>790</v>
      </c>
      <c r="H428" s="4" t="s">
        <v>791</v>
      </c>
      <c r="I428" s="4" t="s">
        <v>646</v>
      </c>
      <c r="J428" s="4" t="s">
        <v>27</v>
      </c>
      <c r="K428" s="32">
        <v>40485.040000000001</v>
      </c>
      <c r="L428" s="6">
        <v>0</v>
      </c>
      <c r="M428" s="6">
        <f t="shared" si="31"/>
        <v>40485.040000000001</v>
      </c>
      <c r="N428" s="6"/>
      <c r="O428" s="4" t="s">
        <v>790</v>
      </c>
      <c r="P428" s="3" t="s">
        <v>82</v>
      </c>
      <c r="Q428" s="8"/>
      <c r="R428" s="8"/>
      <c r="S428" s="9">
        <v>43191</v>
      </c>
      <c r="T428" s="8">
        <f t="shared" si="30"/>
        <v>4</v>
      </c>
      <c r="U428" s="8" t="str">
        <f t="shared" si="32"/>
        <v>April</v>
      </c>
    </row>
    <row r="429" spans="1:21" x14ac:dyDescent="0.55000000000000004">
      <c r="A429" t="str">
        <f t="shared" si="29"/>
        <v>AprilChina - DECI NC</v>
      </c>
      <c r="B429" s="3" t="s">
        <v>20</v>
      </c>
      <c r="C429" s="4" t="s">
        <v>150</v>
      </c>
      <c r="D429" s="4" t="s">
        <v>792</v>
      </c>
      <c r="E429" s="5">
        <v>43216</v>
      </c>
      <c r="F429" s="4" t="s">
        <v>842</v>
      </c>
      <c r="G429" s="4" t="s">
        <v>793</v>
      </c>
      <c r="H429" s="4" t="s">
        <v>794</v>
      </c>
      <c r="I429" s="4" t="s">
        <v>646</v>
      </c>
      <c r="J429" s="4" t="s">
        <v>27</v>
      </c>
      <c r="K429" s="32">
        <v>21807.88</v>
      </c>
      <c r="L429" s="6">
        <v>0</v>
      </c>
      <c r="M429" s="6">
        <f t="shared" si="31"/>
        <v>21807.88</v>
      </c>
      <c r="N429" s="6"/>
      <c r="O429" s="4" t="s">
        <v>793</v>
      </c>
      <c r="P429" s="3" t="s">
        <v>97</v>
      </c>
      <c r="Q429" s="8"/>
      <c r="R429" s="8"/>
      <c r="S429" s="9">
        <v>43191</v>
      </c>
      <c r="T429" s="8">
        <f t="shared" si="30"/>
        <v>4</v>
      </c>
      <c r="U429" s="8" t="str">
        <f t="shared" si="32"/>
        <v>April</v>
      </c>
    </row>
    <row r="430" spans="1:21" x14ac:dyDescent="0.55000000000000004">
      <c r="A430" t="str">
        <f t="shared" si="29"/>
        <v>AprilHong Kong - DCL KY</v>
      </c>
      <c r="B430" s="3" t="s">
        <v>20</v>
      </c>
      <c r="C430" s="4" t="s">
        <v>150</v>
      </c>
      <c r="D430" s="4" t="s">
        <v>777</v>
      </c>
      <c r="E430" s="5">
        <v>43214</v>
      </c>
      <c r="F430" s="4" t="s">
        <v>842</v>
      </c>
      <c r="G430" s="4" t="s">
        <v>778</v>
      </c>
      <c r="H430" s="4" t="s">
        <v>779</v>
      </c>
      <c r="I430" s="4" t="s">
        <v>646</v>
      </c>
      <c r="J430" s="4" t="s">
        <v>27</v>
      </c>
      <c r="K430" s="32">
        <v>15403.66</v>
      </c>
      <c r="L430" s="6">
        <v>0</v>
      </c>
      <c r="M430" s="6">
        <f t="shared" si="31"/>
        <v>15403.66</v>
      </c>
      <c r="N430" s="6"/>
      <c r="O430" s="4" t="s">
        <v>778</v>
      </c>
      <c r="P430" t="s">
        <v>39</v>
      </c>
      <c r="Q430" s="8"/>
      <c r="R430" s="8"/>
      <c r="S430" s="9">
        <v>43191</v>
      </c>
      <c r="T430" s="8">
        <f t="shared" si="30"/>
        <v>4</v>
      </c>
      <c r="U430" s="8" t="str">
        <f t="shared" si="32"/>
        <v>April</v>
      </c>
    </row>
    <row r="431" spans="1:21" x14ac:dyDescent="0.55000000000000004">
      <c r="A431" t="str">
        <f t="shared" si="29"/>
        <v>AprilChina - DCL KY</v>
      </c>
      <c r="B431" s="3" t="s">
        <v>20</v>
      </c>
      <c r="C431" s="4" t="s">
        <v>150</v>
      </c>
      <c r="D431" s="4" t="s">
        <v>780</v>
      </c>
      <c r="E431" s="5">
        <v>43214</v>
      </c>
      <c r="F431" s="4" t="s">
        <v>842</v>
      </c>
      <c r="G431" s="4" t="s">
        <v>781</v>
      </c>
      <c r="H431" s="4" t="s">
        <v>782</v>
      </c>
      <c r="I431" s="4" t="s">
        <v>646</v>
      </c>
      <c r="J431" s="4" t="s">
        <v>27</v>
      </c>
      <c r="K431" s="32">
        <v>18761.95</v>
      </c>
      <c r="L431" s="6">
        <v>0</v>
      </c>
      <c r="M431" s="6">
        <f t="shared" si="31"/>
        <v>18761.95</v>
      </c>
      <c r="N431" s="6"/>
      <c r="O431" s="4" t="s">
        <v>781</v>
      </c>
      <c r="P431" s="3" t="s">
        <v>82</v>
      </c>
      <c r="Q431" s="8"/>
      <c r="R431" s="8"/>
      <c r="S431" s="9">
        <v>43191</v>
      </c>
      <c r="T431" s="8">
        <f t="shared" si="30"/>
        <v>4</v>
      </c>
      <c r="U431" s="8" t="str">
        <f t="shared" si="32"/>
        <v>April</v>
      </c>
    </row>
    <row r="432" spans="1:21" x14ac:dyDescent="0.55000000000000004">
      <c r="A432" t="str">
        <f t="shared" si="29"/>
        <v>AprilHong Kong - DCL KY</v>
      </c>
      <c r="B432" s="3" t="s">
        <v>20</v>
      </c>
      <c r="C432" s="4" t="s">
        <v>150</v>
      </c>
      <c r="D432" s="4" t="s">
        <v>1078</v>
      </c>
      <c r="E432" s="5">
        <v>43200</v>
      </c>
      <c r="F432" s="4" t="s">
        <v>842</v>
      </c>
      <c r="G432" s="4" t="s">
        <v>703</v>
      </c>
      <c r="H432" s="4" t="s">
        <v>1079</v>
      </c>
      <c r="I432" s="4" t="s">
        <v>646</v>
      </c>
      <c r="J432" s="4" t="s">
        <v>27</v>
      </c>
      <c r="K432" s="32">
        <v>5217.04</v>
      </c>
      <c r="L432" s="6">
        <v>0</v>
      </c>
      <c r="M432" s="6">
        <f t="shared" si="31"/>
        <v>5217.04</v>
      </c>
      <c r="N432" s="6"/>
      <c r="O432" s="4" t="s">
        <v>703</v>
      </c>
      <c r="P432" t="s">
        <v>39</v>
      </c>
      <c r="Q432" s="8"/>
      <c r="R432" s="8"/>
      <c r="S432" s="9">
        <v>43191</v>
      </c>
      <c r="T432" s="8">
        <f t="shared" si="30"/>
        <v>4</v>
      </c>
      <c r="U432" s="8" t="str">
        <f t="shared" si="32"/>
        <v>April</v>
      </c>
    </row>
    <row r="433" spans="1:21" x14ac:dyDescent="0.55000000000000004">
      <c r="A433" t="str">
        <f t="shared" si="29"/>
        <v>AprilChina - DECI NC</v>
      </c>
      <c r="B433" s="3" t="s">
        <v>20</v>
      </c>
      <c r="C433" s="4" t="s">
        <v>150</v>
      </c>
      <c r="D433" s="4" t="s">
        <v>688</v>
      </c>
      <c r="E433" s="5">
        <v>43195</v>
      </c>
      <c r="F433" s="4" t="s">
        <v>842</v>
      </c>
      <c r="G433" s="4" t="s">
        <v>689</v>
      </c>
      <c r="H433" s="4" t="s">
        <v>690</v>
      </c>
      <c r="I433" s="4" t="s">
        <v>646</v>
      </c>
      <c r="J433" s="4" t="s">
        <v>27</v>
      </c>
      <c r="K433" s="32">
        <v>21747.58</v>
      </c>
      <c r="L433" s="6">
        <v>0</v>
      </c>
      <c r="M433" s="6">
        <f t="shared" si="31"/>
        <v>21747.58</v>
      </c>
      <c r="N433" s="6"/>
      <c r="O433" s="4" t="s">
        <v>689</v>
      </c>
      <c r="P433" s="3" t="s">
        <v>97</v>
      </c>
      <c r="Q433" s="8"/>
      <c r="R433" s="8"/>
      <c r="S433" s="9">
        <v>43191</v>
      </c>
      <c r="T433" s="8">
        <f t="shared" si="30"/>
        <v>4</v>
      </c>
      <c r="U433" s="8" t="str">
        <f t="shared" si="32"/>
        <v>April</v>
      </c>
    </row>
    <row r="434" spans="1:21" x14ac:dyDescent="0.55000000000000004">
      <c r="A434" t="str">
        <f t="shared" si="29"/>
        <v>JulyHong Kong - DCL KY</v>
      </c>
      <c r="B434" s="3" t="s">
        <v>20</v>
      </c>
      <c r="C434" s="4" t="s">
        <v>241</v>
      </c>
      <c r="D434" s="4" t="s">
        <v>1080</v>
      </c>
      <c r="E434" s="5">
        <v>43312</v>
      </c>
      <c r="F434" s="4" t="s">
        <v>842</v>
      </c>
      <c r="G434" s="4" t="s">
        <v>1081</v>
      </c>
      <c r="H434" s="4"/>
      <c r="I434" s="4" t="s">
        <v>154</v>
      </c>
      <c r="J434" s="4" t="s">
        <v>197</v>
      </c>
      <c r="K434" s="6">
        <v>21214.3</v>
      </c>
      <c r="L434" s="6">
        <v>0</v>
      </c>
      <c r="M434" s="6">
        <f t="shared" si="31"/>
        <v>21214.3</v>
      </c>
      <c r="N434" s="6"/>
      <c r="O434" s="4" t="s">
        <v>1081</v>
      </c>
      <c r="P434" s="3" t="s">
        <v>39</v>
      </c>
      <c r="Q434" s="8"/>
      <c r="R434" s="8"/>
      <c r="S434" s="9">
        <v>43282</v>
      </c>
      <c r="T434" s="8">
        <f t="shared" si="30"/>
        <v>7</v>
      </c>
      <c r="U434" s="8" t="str">
        <f t="shared" si="32"/>
        <v>July</v>
      </c>
    </row>
    <row r="435" spans="1:21" x14ac:dyDescent="0.55000000000000004">
      <c r="A435" t="str">
        <f t="shared" si="29"/>
        <v>JulyHong Kong - DCL KY</v>
      </c>
      <c r="B435" s="3" t="s">
        <v>20</v>
      </c>
      <c r="C435" s="4" t="s">
        <v>241</v>
      </c>
      <c r="D435" s="4" t="s">
        <v>1082</v>
      </c>
      <c r="E435" s="5">
        <v>43312</v>
      </c>
      <c r="F435" s="4" t="s">
        <v>842</v>
      </c>
      <c r="G435" s="4" t="s">
        <v>1083</v>
      </c>
      <c r="H435" s="4"/>
      <c r="I435" s="4" t="s">
        <v>154</v>
      </c>
      <c r="J435" s="4" t="s">
        <v>197</v>
      </c>
      <c r="K435" s="6">
        <v>313892.63</v>
      </c>
      <c r="L435" s="6">
        <v>0</v>
      </c>
      <c r="M435" s="6">
        <f t="shared" si="31"/>
        <v>313892.63</v>
      </c>
      <c r="N435" s="6"/>
      <c r="O435" s="4" t="s">
        <v>1083</v>
      </c>
      <c r="P435" s="3" t="s">
        <v>39</v>
      </c>
      <c r="Q435" s="8"/>
      <c r="R435" s="8"/>
      <c r="S435" s="9">
        <v>43282</v>
      </c>
      <c r="T435" s="8">
        <f t="shared" si="30"/>
        <v>7</v>
      </c>
      <c r="U435" s="8" t="str">
        <f t="shared" si="32"/>
        <v>July</v>
      </c>
    </row>
    <row r="436" spans="1:21" x14ac:dyDescent="0.55000000000000004">
      <c r="A436" t="str">
        <f t="shared" si="29"/>
        <v>JuneAFG NC - DCL KY</v>
      </c>
      <c r="B436" s="3" t="s">
        <v>20</v>
      </c>
      <c r="C436" s="4" t="s">
        <v>241</v>
      </c>
      <c r="D436" s="4" t="s">
        <v>267</v>
      </c>
      <c r="E436" s="5">
        <v>43257</v>
      </c>
      <c r="F436" s="4" t="s">
        <v>842</v>
      </c>
      <c r="G436" s="4" t="s">
        <v>268</v>
      </c>
      <c r="H436" s="4" t="s">
        <v>269</v>
      </c>
      <c r="I436" s="4" t="s">
        <v>154</v>
      </c>
      <c r="J436" s="4" t="s">
        <v>172</v>
      </c>
      <c r="K436" s="6">
        <v>0</v>
      </c>
      <c r="L436" s="6">
        <v>3100</v>
      </c>
      <c r="M436" s="6">
        <f>K436-L436</f>
        <v>-3100</v>
      </c>
      <c r="N436" s="6"/>
      <c r="O436" s="4"/>
      <c r="P436" s="8" t="s">
        <v>173</v>
      </c>
      <c r="Q436" s="8" t="s">
        <v>270</v>
      </c>
      <c r="R436" s="9">
        <v>43252</v>
      </c>
      <c r="S436" s="9">
        <v>43252</v>
      </c>
      <c r="T436" s="8">
        <f t="shared" si="30"/>
        <v>6</v>
      </c>
      <c r="U436" s="8" t="str">
        <f t="shared" si="32"/>
        <v>June</v>
      </c>
    </row>
    <row r="437" spans="1:21" x14ac:dyDescent="0.55000000000000004">
      <c r="A437" t="str">
        <f t="shared" si="29"/>
        <v>JuneAFG NC - DCL KY</v>
      </c>
      <c r="B437" s="3" t="s">
        <v>20</v>
      </c>
      <c r="C437" s="4" t="s">
        <v>241</v>
      </c>
      <c r="D437" s="4" t="s">
        <v>267</v>
      </c>
      <c r="E437" s="5">
        <v>43257</v>
      </c>
      <c r="F437" s="4" t="s">
        <v>842</v>
      </c>
      <c r="G437" s="4" t="s">
        <v>268</v>
      </c>
      <c r="H437" s="4" t="s">
        <v>269</v>
      </c>
      <c r="I437" s="4" t="s">
        <v>154</v>
      </c>
      <c r="J437" s="4" t="s">
        <v>172</v>
      </c>
      <c r="K437" s="6">
        <v>0</v>
      </c>
      <c r="L437" s="6">
        <v>3100</v>
      </c>
      <c r="M437" s="6">
        <f t="shared" ref="M437:M475" si="33">K437-L437</f>
        <v>-3100</v>
      </c>
      <c r="N437" s="6"/>
      <c r="O437" s="4"/>
      <c r="P437" s="8" t="s">
        <v>173</v>
      </c>
      <c r="Q437" s="8" t="s">
        <v>271</v>
      </c>
      <c r="R437" s="9">
        <v>43252</v>
      </c>
      <c r="S437" s="9">
        <v>43252</v>
      </c>
      <c r="T437" s="8">
        <f t="shared" si="30"/>
        <v>6</v>
      </c>
      <c r="U437" s="8" t="str">
        <f t="shared" si="32"/>
        <v>June</v>
      </c>
    </row>
    <row r="438" spans="1:21" x14ac:dyDescent="0.55000000000000004">
      <c r="A438" t="str">
        <f t="shared" si="29"/>
        <v>JuneAFG NC - DCL KY</v>
      </c>
      <c r="B438" s="3" t="s">
        <v>20</v>
      </c>
      <c r="C438" s="4" t="s">
        <v>241</v>
      </c>
      <c r="D438" s="4" t="s">
        <v>267</v>
      </c>
      <c r="E438" s="5">
        <v>43257</v>
      </c>
      <c r="F438" s="4" t="s">
        <v>842</v>
      </c>
      <c r="G438" s="4" t="s">
        <v>268</v>
      </c>
      <c r="H438" s="4" t="s">
        <v>269</v>
      </c>
      <c r="I438" s="4" t="s">
        <v>154</v>
      </c>
      <c r="J438" s="4" t="s">
        <v>172</v>
      </c>
      <c r="K438" s="6">
        <v>0</v>
      </c>
      <c r="L438" s="6">
        <v>3100</v>
      </c>
      <c r="M438" s="6">
        <f t="shared" si="33"/>
        <v>-3100</v>
      </c>
      <c r="N438" s="6"/>
      <c r="O438" s="4"/>
      <c r="P438" s="8" t="s">
        <v>173</v>
      </c>
      <c r="Q438" s="8" t="s">
        <v>272</v>
      </c>
      <c r="R438" s="9">
        <v>43252</v>
      </c>
      <c r="S438" s="9">
        <v>43252</v>
      </c>
      <c r="T438" s="8">
        <f t="shared" si="30"/>
        <v>6</v>
      </c>
      <c r="U438" s="8" t="str">
        <f t="shared" si="32"/>
        <v>June</v>
      </c>
    </row>
    <row r="439" spans="1:21" x14ac:dyDescent="0.55000000000000004">
      <c r="A439" t="str">
        <f t="shared" si="29"/>
        <v>JuneAFG NC - DCL KY</v>
      </c>
      <c r="B439" s="3" t="s">
        <v>20</v>
      </c>
      <c r="C439" s="4" t="s">
        <v>241</v>
      </c>
      <c r="D439" s="4" t="s">
        <v>267</v>
      </c>
      <c r="E439" s="5">
        <v>43257</v>
      </c>
      <c r="F439" s="4" t="s">
        <v>842</v>
      </c>
      <c r="G439" s="4" t="s">
        <v>268</v>
      </c>
      <c r="H439" s="4" t="s">
        <v>269</v>
      </c>
      <c r="I439" s="4" t="s">
        <v>154</v>
      </c>
      <c r="J439" s="4" t="s">
        <v>172</v>
      </c>
      <c r="K439" s="6">
        <v>0</v>
      </c>
      <c r="L439" s="6">
        <v>6000</v>
      </c>
      <c r="M439" s="6">
        <f t="shared" si="33"/>
        <v>-6000</v>
      </c>
      <c r="N439" s="6"/>
      <c r="O439" s="4"/>
      <c r="P439" s="8" t="s">
        <v>173</v>
      </c>
      <c r="Q439" s="8" t="s">
        <v>273</v>
      </c>
      <c r="R439" s="9">
        <v>43252</v>
      </c>
      <c r="S439" s="9">
        <v>43252</v>
      </c>
      <c r="T439" s="8">
        <f t="shared" si="30"/>
        <v>6</v>
      </c>
      <c r="U439" s="8" t="str">
        <f t="shared" si="32"/>
        <v>June</v>
      </c>
    </row>
    <row r="440" spans="1:21" x14ac:dyDescent="0.55000000000000004">
      <c r="A440" t="str">
        <f t="shared" si="29"/>
        <v>JuneAFG NC - DCL KY</v>
      </c>
      <c r="B440" s="3" t="s">
        <v>20</v>
      </c>
      <c r="C440" s="4" t="s">
        <v>241</v>
      </c>
      <c r="D440" s="4" t="s">
        <v>267</v>
      </c>
      <c r="E440" s="5">
        <v>43264</v>
      </c>
      <c r="F440" s="4" t="s">
        <v>842</v>
      </c>
      <c r="G440" s="4" t="s">
        <v>268</v>
      </c>
      <c r="H440" s="4" t="s">
        <v>269</v>
      </c>
      <c r="I440" s="4" t="s">
        <v>154</v>
      </c>
      <c r="J440" s="4" t="s">
        <v>172</v>
      </c>
      <c r="K440" s="6">
        <v>0</v>
      </c>
      <c r="L440" s="6">
        <v>1550</v>
      </c>
      <c r="M440" s="6">
        <f t="shared" si="33"/>
        <v>-1550</v>
      </c>
      <c r="N440" s="6"/>
      <c r="O440" s="4"/>
      <c r="P440" s="8" t="s">
        <v>173</v>
      </c>
      <c r="Q440" s="8" t="s">
        <v>274</v>
      </c>
      <c r="R440" s="9">
        <v>43252</v>
      </c>
      <c r="S440" s="9">
        <v>43252</v>
      </c>
      <c r="T440" s="8">
        <f t="shared" si="30"/>
        <v>6</v>
      </c>
      <c r="U440" s="8" t="str">
        <f t="shared" si="32"/>
        <v>June</v>
      </c>
    </row>
    <row r="441" spans="1:21" x14ac:dyDescent="0.55000000000000004">
      <c r="A441" t="str">
        <f t="shared" si="29"/>
        <v>JuneAFG NC - DCL KY</v>
      </c>
      <c r="B441" s="3" t="s">
        <v>20</v>
      </c>
      <c r="C441" s="4" t="s">
        <v>241</v>
      </c>
      <c r="D441" s="4" t="s">
        <v>267</v>
      </c>
      <c r="E441" s="5">
        <v>43262</v>
      </c>
      <c r="F441" s="4" t="s">
        <v>842</v>
      </c>
      <c r="G441" s="4" t="s">
        <v>268</v>
      </c>
      <c r="H441" s="4" t="s">
        <v>269</v>
      </c>
      <c r="I441" s="4" t="s">
        <v>154</v>
      </c>
      <c r="J441" s="4" t="s">
        <v>172</v>
      </c>
      <c r="K441" s="6">
        <v>0</v>
      </c>
      <c r="L441" s="6">
        <v>3100</v>
      </c>
      <c r="M441" s="6">
        <f t="shared" si="33"/>
        <v>-3100</v>
      </c>
      <c r="N441" s="6"/>
      <c r="O441" s="4"/>
      <c r="P441" s="8" t="s">
        <v>173</v>
      </c>
      <c r="Q441" s="8" t="s">
        <v>275</v>
      </c>
      <c r="R441" s="9">
        <v>43252</v>
      </c>
      <c r="S441" s="9">
        <v>43252</v>
      </c>
      <c r="T441" s="8">
        <f t="shared" si="30"/>
        <v>6</v>
      </c>
      <c r="U441" s="8" t="str">
        <f t="shared" si="32"/>
        <v>June</v>
      </c>
    </row>
    <row r="442" spans="1:21" x14ac:dyDescent="0.55000000000000004">
      <c r="A442" t="str">
        <f t="shared" si="29"/>
        <v>JuneAFG NC - DCL KY</v>
      </c>
      <c r="B442" s="3" t="s">
        <v>20</v>
      </c>
      <c r="C442" s="4" t="s">
        <v>241</v>
      </c>
      <c r="D442" s="4" t="s">
        <v>267</v>
      </c>
      <c r="E442" s="5">
        <v>43262</v>
      </c>
      <c r="F442" s="4" t="s">
        <v>842</v>
      </c>
      <c r="G442" s="4" t="s">
        <v>268</v>
      </c>
      <c r="H442" s="4" t="s">
        <v>269</v>
      </c>
      <c r="I442" s="4" t="s">
        <v>154</v>
      </c>
      <c r="J442" s="4" t="s">
        <v>172</v>
      </c>
      <c r="K442" s="6">
        <v>0</v>
      </c>
      <c r="L442" s="6">
        <v>3100</v>
      </c>
      <c r="M442" s="6">
        <f t="shared" si="33"/>
        <v>-3100</v>
      </c>
      <c r="N442" s="6"/>
      <c r="O442" s="4"/>
      <c r="P442" s="8" t="s">
        <v>173</v>
      </c>
      <c r="Q442" s="8" t="s">
        <v>276</v>
      </c>
      <c r="R442" s="9">
        <v>43252</v>
      </c>
      <c r="S442" s="9">
        <v>43252</v>
      </c>
      <c r="T442" s="8">
        <f t="shared" si="30"/>
        <v>6</v>
      </c>
      <c r="U442" s="8" t="str">
        <f t="shared" si="32"/>
        <v>June</v>
      </c>
    </row>
    <row r="443" spans="1:21" x14ac:dyDescent="0.55000000000000004">
      <c r="A443" t="str">
        <f t="shared" si="29"/>
        <v>JuneAFG NC - DCL KY</v>
      </c>
      <c r="B443" s="3" t="s">
        <v>20</v>
      </c>
      <c r="C443" s="4" t="s">
        <v>241</v>
      </c>
      <c r="D443" s="4" t="s">
        <v>267</v>
      </c>
      <c r="E443" s="5">
        <v>43262</v>
      </c>
      <c r="F443" s="4" t="s">
        <v>842</v>
      </c>
      <c r="G443" s="4" t="s">
        <v>268</v>
      </c>
      <c r="H443" s="4" t="s">
        <v>269</v>
      </c>
      <c r="I443" s="4" t="s">
        <v>154</v>
      </c>
      <c r="J443" s="4" t="s">
        <v>172</v>
      </c>
      <c r="K443" s="6">
        <v>0</v>
      </c>
      <c r="L443" s="6">
        <v>4650</v>
      </c>
      <c r="M443" s="6">
        <f t="shared" si="33"/>
        <v>-4650</v>
      </c>
      <c r="N443" s="6"/>
      <c r="O443" s="4"/>
      <c r="P443" s="8" t="s">
        <v>173</v>
      </c>
      <c r="Q443" s="8" t="s">
        <v>277</v>
      </c>
      <c r="R443" s="9">
        <v>43252</v>
      </c>
      <c r="S443" s="9">
        <v>43252</v>
      </c>
      <c r="T443" s="8">
        <f t="shared" si="30"/>
        <v>6</v>
      </c>
      <c r="U443" s="8" t="str">
        <f t="shared" si="32"/>
        <v>June</v>
      </c>
    </row>
    <row r="444" spans="1:21" x14ac:dyDescent="0.55000000000000004">
      <c r="A444" t="str">
        <f t="shared" si="29"/>
        <v>JuneAFG NC - DCL KY</v>
      </c>
      <c r="B444" s="3" t="s">
        <v>20</v>
      </c>
      <c r="C444" s="4" t="s">
        <v>241</v>
      </c>
      <c r="D444" s="4" t="s">
        <v>267</v>
      </c>
      <c r="E444" s="5">
        <v>43263</v>
      </c>
      <c r="F444" s="4" t="s">
        <v>842</v>
      </c>
      <c r="G444" s="4" t="s">
        <v>268</v>
      </c>
      <c r="H444" s="4" t="s">
        <v>269</v>
      </c>
      <c r="I444" s="4" t="s">
        <v>154</v>
      </c>
      <c r="J444" s="4" t="s">
        <v>172</v>
      </c>
      <c r="K444" s="6">
        <v>0</v>
      </c>
      <c r="L444" s="6">
        <v>4650</v>
      </c>
      <c r="M444" s="6">
        <f t="shared" si="33"/>
        <v>-4650</v>
      </c>
      <c r="N444" s="6"/>
      <c r="O444" s="4"/>
      <c r="P444" s="8" t="s">
        <v>173</v>
      </c>
      <c r="Q444" s="8" t="s">
        <v>278</v>
      </c>
      <c r="R444" s="9">
        <v>43252</v>
      </c>
      <c r="S444" s="9">
        <v>43252</v>
      </c>
      <c r="T444" s="8">
        <f t="shared" si="30"/>
        <v>6</v>
      </c>
      <c r="U444" s="8" t="str">
        <f t="shared" si="32"/>
        <v>June</v>
      </c>
    </row>
    <row r="445" spans="1:21" x14ac:dyDescent="0.55000000000000004">
      <c r="A445" t="str">
        <f t="shared" si="29"/>
        <v>JuneAFG NC - DCL KY</v>
      </c>
      <c r="B445" s="3" t="s">
        <v>20</v>
      </c>
      <c r="C445" s="4" t="s">
        <v>241</v>
      </c>
      <c r="D445" s="4" t="s">
        <v>267</v>
      </c>
      <c r="E445" s="5">
        <v>43264</v>
      </c>
      <c r="F445" s="4" t="s">
        <v>842</v>
      </c>
      <c r="G445" s="4" t="s">
        <v>268</v>
      </c>
      <c r="H445" s="4" t="s">
        <v>269</v>
      </c>
      <c r="I445" s="4" t="s">
        <v>154</v>
      </c>
      <c r="J445" s="4" t="s">
        <v>172</v>
      </c>
      <c r="K445" s="6">
        <v>0</v>
      </c>
      <c r="L445" s="6">
        <v>3100</v>
      </c>
      <c r="M445" s="6">
        <f t="shared" si="33"/>
        <v>-3100</v>
      </c>
      <c r="N445" s="6"/>
      <c r="O445" s="4"/>
      <c r="P445" s="8" t="s">
        <v>173</v>
      </c>
      <c r="Q445" s="8" t="s">
        <v>279</v>
      </c>
      <c r="R445" s="9">
        <v>43252</v>
      </c>
      <c r="S445" s="9">
        <v>43252</v>
      </c>
      <c r="T445" s="8">
        <f t="shared" si="30"/>
        <v>6</v>
      </c>
      <c r="U445" s="8" t="str">
        <f t="shared" si="32"/>
        <v>June</v>
      </c>
    </row>
    <row r="446" spans="1:21" x14ac:dyDescent="0.55000000000000004">
      <c r="A446" t="str">
        <f t="shared" si="29"/>
        <v>JunePhillips WI - DCL KY</v>
      </c>
      <c r="B446" s="3" t="s">
        <v>20</v>
      </c>
      <c r="C446" s="4" t="s">
        <v>241</v>
      </c>
      <c r="D446" s="4" t="s">
        <v>267</v>
      </c>
      <c r="E446" s="5">
        <v>43264</v>
      </c>
      <c r="F446" s="4" t="s">
        <v>842</v>
      </c>
      <c r="G446" s="4" t="s">
        <v>268</v>
      </c>
      <c r="H446" s="4" t="s">
        <v>269</v>
      </c>
      <c r="I446" s="4" t="s">
        <v>154</v>
      </c>
      <c r="J446" s="4" t="s">
        <v>172</v>
      </c>
      <c r="K446" s="6">
        <v>0</v>
      </c>
      <c r="L446" s="6">
        <v>541.87</v>
      </c>
      <c r="M446" s="6">
        <f t="shared" si="33"/>
        <v>-541.87</v>
      </c>
      <c r="N446" s="6"/>
      <c r="O446" s="4"/>
      <c r="P446" s="8" t="s">
        <v>29</v>
      </c>
      <c r="Q446" s="8" t="s">
        <v>280</v>
      </c>
      <c r="R446" s="9">
        <v>43252</v>
      </c>
      <c r="S446" s="9">
        <v>43252</v>
      </c>
      <c r="T446" s="8">
        <f t="shared" si="30"/>
        <v>6</v>
      </c>
      <c r="U446" s="8" t="str">
        <f t="shared" si="32"/>
        <v>June</v>
      </c>
    </row>
    <row r="447" spans="1:21" x14ac:dyDescent="0.55000000000000004">
      <c r="A447" t="str">
        <f t="shared" si="29"/>
        <v>JuneAFG NC - DCL KY</v>
      </c>
      <c r="B447" s="3" t="s">
        <v>20</v>
      </c>
      <c r="C447" s="4" t="s">
        <v>241</v>
      </c>
      <c r="D447" s="4" t="s">
        <v>267</v>
      </c>
      <c r="E447" s="5">
        <v>43269</v>
      </c>
      <c r="F447" s="4" t="s">
        <v>842</v>
      </c>
      <c r="G447" s="4" t="s">
        <v>268</v>
      </c>
      <c r="H447" s="4" t="s">
        <v>269</v>
      </c>
      <c r="I447" s="4" t="s">
        <v>154</v>
      </c>
      <c r="J447" s="4" t="s">
        <v>172</v>
      </c>
      <c r="K447" s="6">
        <v>0</v>
      </c>
      <c r="L447" s="6">
        <v>3100</v>
      </c>
      <c r="M447" s="6">
        <f t="shared" si="33"/>
        <v>-3100</v>
      </c>
      <c r="N447" s="6"/>
      <c r="O447" s="4"/>
      <c r="P447" s="8" t="s">
        <v>173</v>
      </c>
      <c r="Q447" s="8" t="s">
        <v>281</v>
      </c>
      <c r="R447" s="9">
        <v>43252</v>
      </c>
      <c r="S447" s="9">
        <v>43252</v>
      </c>
      <c r="T447" s="8">
        <f t="shared" si="30"/>
        <v>6</v>
      </c>
      <c r="U447" s="8" t="str">
        <f t="shared" si="32"/>
        <v>June</v>
      </c>
    </row>
    <row r="448" spans="1:21" x14ac:dyDescent="0.55000000000000004">
      <c r="A448" t="str">
        <f t="shared" si="29"/>
        <v>JuneAFG NC - DCL KY</v>
      </c>
      <c r="B448" s="3" t="s">
        <v>20</v>
      </c>
      <c r="C448" s="4" t="s">
        <v>241</v>
      </c>
      <c r="D448" s="4" t="s">
        <v>267</v>
      </c>
      <c r="E448" s="5">
        <v>43270</v>
      </c>
      <c r="F448" s="4" t="s">
        <v>842</v>
      </c>
      <c r="G448" s="4" t="s">
        <v>268</v>
      </c>
      <c r="H448" s="4" t="s">
        <v>269</v>
      </c>
      <c r="I448" s="4" t="s">
        <v>154</v>
      </c>
      <c r="J448" s="4" t="s">
        <v>172</v>
      </c>
      <c r="K448" s="6">
        <v>0</v>
      </c>
      <c r="L448" s="6">
        <v>7150</v>
      </c>
      <c r="M448" s="6">
        <f t="shared" si="33"/>
        <v>-7150</v>
      </c>
      <c r="N448" s="6"/>
      <c r="O448" s="4"/>
      <c r="P448" s="8" t="s">
        <v>173</v>
      </c>
      <c r="Q448" s="8" t="s">
        <v>282</v>
      </c>
      <c r="R448" s="9">
        <v>43252</v>
      </c>
      <c r="S448" s="9">
        <v>43252</v>
      </c>
      <c r="T448" s="8">
        <f t="shared" si="30"/>
        <v>6</v>
      </c>
      <c r="U448" s="8" t="str">
        <f t="shared" si="32"/>
        <v>June</v>
      </c>
    </row>
    <row r="449" spans="1:21" x14ac:dyDescent="0.55000000000000004">
      <c r="A449" t="str">
        <f t="shared" si="29"/>
        <v>JuneDECI NC - DCL KY</v>
      </c>
      <c r="B449" s="3" t="s">
        <v>20</v>
      </c>
      <c r="C449" s="4" t="s">
        <v>241</v>
      </c>
      <c r="D449" s="4" t="s">
        <v>267</v>
      </c>
      <c r="E449" s="5">
        <v>43270</v>
      </c>
      <c r="F449" s="4" t="s">
        <v>842</v>
      </c>
      <c r="G449" s="4" t="s">
        <v>268</v>
      </c>
      <c r="H449" s="4" t="s">
        <v>269</v>
      </c>
      <c r="I449" s="4" t="s">
        <v>154</v>
      </c>
      <c r="J449" s="4" t="s">
        <v>172</v>
      </c>
      <c r="K449" s="6">
        <v>0</v>
      </c>
      <c r="L449" s="6">
        <v>7150</v>
      </c>
      <c r="M449" s="6">
        <f t="shared" si="33"/>
        <v>-7150</v>
      </c>
      <c r="N449" s="6"/>
      <c r="O449" s="4"/>
      <c r="P449" s="8" t="s">
        <v>178</v>
      </c>
      <c r="Q449" s="8" t="s">
        <v>283</v>
      </c>
      <c r="R449" s="9">
        <v>43252</v>
      </c>
      <c r="S449" s="9">
        <v>43252</v>
      </c>
      <c r="T449" s="8">
        <f t="shared" si="30"/>
        <v>6</v>
      </c>
      <c r="U449" s="8" t="str">
        <f t="shared" si="32"/>
        <v>June</v>
      </c>
    </row>
    <row r="450" spans="1:21" x14ac:dyDescent="0.55000000000000004">
      <c r="A450" t="str">
        <f t="shared" si="29"/>
        <v>JuneAFG NC - DCL KY</v>
      </c>
      <c r="B450" s="3" t="s">
        <v>20</v>
      </c>
      <c r="C450" s="4" t="s">
        <v>241</v>
      </c>
      <c r="D450" s="4" t="s">
        <v>267</v>
      </c>
      <c r="E450" s="5">
        <v>43270</v>
      </c>
      <c r="F450" s="4" t="s">
        <v>842</v>
      </c>
      <c r="G450" s="4" t="s">
        <v>268</v>
      </c>
      <c r="H450" s="4" t="s">
        <v>269</v>
      </c>
      <c r="I450" s="4" t="s">
        <v>154</v>
      </c>
      <c r="J450" s="4" t="s">
        <v>172</v>
      </c>
      <c r="K450" s="6">
        <v>0</v>
      </c>
      <c r="L450" s="6">
        <v>3100</v>
      </c>
      <c r="M450" s="6">
        <f t="shared" si="33"/>
        <v>-3100</v>
      </c>
      <c r="N450" s="6"/>
      <c r="O450" s="4"/>
      <c r="P450" s="8" t="s">
        <v>173</v>
      </c>
      <c r="Q450" s="8" t="s">
        <v>284</v>
      </c>
      <c r="R450" s="9">
        <v>43252</v>
      </c>
      <c r="S450" s="9">
        <v>43252</v>
      </c>
      <c r="T450" s="8">
        <f t="shared" si="30"/>
        <v>6</v>
      </c>
      <c r="U450" s="8" t="str">
        <f t="shared" si="32"/>
        <v>June</v>
      </c>
    </row>
    <row r="451" spans="1:21" x14ac:dyDescent="0.55000000000000004">
      <c r="A451" t="str">
        <f t="shared" si="29"/>
        <v>JuneDECI NC - DCL KY</v>
      </c>
      <c r="B451" s="3" t="s">
        <v>20</v>
      </c>
      <c r="C451" s="4" t="s">
        <v>241</v>
      </c>
      <c r="D451" s="4" t="s">
        <v>267</v>
      </c>
      <c r="E451" s="5">
        <v>43270</v>
      </c>
      <c r="F451" s="4" t="s">
        <v>842</v>
      </c>
      <c r="G451" s="4" t="s">
        <v>268</v>
      </c>
      <c r="H451" s="4" t="s">
        <v>269</v>
      </c>
      <c r="I451" s="4" t="s">
        <v>154</v>
      </c>
      <c r="J451" s="4" t="s">
        <v>172</v>
      </c>
      <c r="K451" s="6">
        <v>0</v>
      </c>
      <c r="L451" s="6">
        <v>8500</v>
      </c>
      <c r="M451" s="6">
        <f t="shared" si="33"/>
        <v>-8500</v>
      </c>
      <c r="N451" s="6"/>
      <c r="O451" s="4"/>
      <c r="P451" s="8" t="s">
        <v>178</v>
      </c>
      <c r="Q451" s="8" t="s">
        <v>285</v>
      </c>
      <c r="R451" s="9">
        <v>43252</v>
      </c>
      <c r="S451" s="9">
        <v>43252</v>
      </c>
      <c r="T451" s="8">
        <f t="shared" si="30"/>
        <v>6</v>
      </c>
      <c r="U451" s="8" t="str">
        <f t="shared" si="32"/>
        <v>June</v>
      </c>
    </row>
    <row r="452" spans="1:21" x14ac:dyDescent="0.55000000000000004">
      <c r="A452" t="str">
        <f t="shared" si="29"/>
        <v>JuneAFG NC - DCL KY</v>
      </c>
      <c r="B452" s="3" t="s">
        <v>20</v>
      </c>
      <c r="C452" s="4" t="s">
        <v>241</v>
      </c>
      <c r="D452" s="4" t="s">
        <v>267</v>
      </c>
      <c r="E452" s="5">
        <v>43270</v>
      </c>
      <c r="F452" s="4" t="s">
        <v>842</v>
      </c>
      <c r="G452" s="4" t="s">
        <v>268</v>
      </c>
      <c r="H452" s="4" t="s">
        <v>269</v>
      </c>
      <c r="I452" s="4" t="s">
        <v>154</v>
      </c>
      <c r="J452" s="4" t="s">
        <v>172</v>
      </c>
      <c r="K452" s="6">
        <v>0</v>
      </c>
      <c r="L452" s="6">
        <v>3100</v>
      </c>
      <c r="M452" s="6">
        <f t="shared" si="33"/>
        <v>-3100</v>
      </c>
      <c r="N452" s="6"/>
      <c r="O452" s="4"/>
      <c r="P452" s="8" t="s">
        <v>173</v>
      </c>
      <c r="Q452" s="8" t="s">
        <v>286</v>
      </c>
      <c r="R452" s="9">
        <v>43252</v>
      </c>
      <c r="S452" s="9">
        <v>43252</v>
      </c>
      <c r="T452" s="8">
        <f t="shared" si="30"/>
        <v>6</v>
      </c>
      <c r="U452" s="8" t="str">
        <f t="shared" si="32"/>
        <v>June</v>
      </c>
    </row>
    <row r="453" spans="1:21" x14ac:dyDescent="0.55000000000000004">
      <c r="A453" t="str">
        <f t="shared" si="29"/>
        <v>JuneAFG NC - DCL KY</v>
      </c>
      <c r="B453" s="3" t="s">
        <v>20</v>
      </c>
      <c r="C453" s="4" t="s">
        <v>241</v>
      </c>
      <c r="D453" s="4" t="s">
        <v>267</v>
      </c>
      <c r="E453" s="5">
        <v>43271</v>
      </c>
      <c r="F453" s="4" t="s">
        <v>842</v>
      </c>
      <c r="G453" s="4" t="s">
        <v>268</v>
      </c>
      <c r="H453" s="4" t="s">
        <v>269</v>
      </c>
      <c r="I453" s="4" t="s">
        <v>154</v>
      </c>
      <c r="J453" s="4" t="s">
        <v>172</v>
      </c>
      <c r="K453" s="6">
        <v>0</v>
      </c>
      <c r="L453" s="6">
        <v>3450</v>
      </c>
      <c r="M453" s="6">
        <f t="shared" si="33"/>
        <v>-3450</v>
      </c>
      <c r="N453" s="6"/>
      <c r="O453" s="4"/>
      <c r="P453" s="8" t="s">
        <v>173</v>
      </c>
      <c r="Q453" s="8" t="s">
        <v>287</v>
      </c>
      <c r="R453" s="9">
        <v>43252</v>
      </c>
      <c r="S453" s="9">
        <v>43252</v>
      </c>
      <c r="T453" s="8">
        <f t="shared" si="30"/>
        <v>6</v>
      </c>
      <c r="U453" s="8" t="str">
        <f t="shared" si="32"/>
        <v>June</v>
      </c>
    </row>
    <row r="454" spans="1:21" x14ac:dyDescent="0.55000000000000004">
      <c r="A454" t="str">
        <f t="shared" si="29"/>
        <v>JuneAFG NC - DCL KY</v>
      </c>
      <c r="B454" s="3" t="s">
        <v>20</v>
      </c>
      <c r="C454" s="4" t="s">
        <v>241</v>
      </c>
      <c r="D454" s="4" t="s">
        <v>267</v>
      </c>
      <c r="E454" s="5">
        <v>43272</v>
      </c>
      <c r="F454" s="4" t="s">
        <v>842</v>
      </c>
      <c r="G454" s="4" t="s">
        <v>268</v>
      </c>
      <c r="H454" s="4" t="s">
        <v>269</v>
      </c>
      <c r="I454" s="4" t="s">
        <v>154</v>
      </c>
      <c r="J454" s="4" t="s">
        <v>172</v>
      </c>
      <c r="K454" s="6">
        <v>0</v>
      </c>
      <c r="L454" s="6">
        <v>5600</v>
      </c>
      <c r="M454" s="6">
        <f t="shared" si="33"/>
        <v>-5600</v>
      </c>
      <c r="N454" s="6"/>
      <c r="O454" s="4"/>
      <c r="P454" s="8" t="s">
        <v>173</v>
      </c>
      <c r="Q454" s="8" t="s">
        <v>288</v>
      </c>
      <c r="R454" s="9">
        <v>43252</v>
      </c>
      <c r="S454" s="9">
        <v>43252</v>
      </c>
      <c r="T454" s="8">
        <f t="shared" si="30"/>
        <v>6</v>
      </c>
      <c r="U454" s="8" t="str">
        <f t="shared" si="32"/>
        <v>June</v>
      </c>
    </row>
    <row r="455" spans="1:21" x14ac:dyDescent="0.55000000000000004">
      <c r="A455" t="str">
        <f t="shared" si="29"/>
        <v>JuneAFG NC - DCL KY</v>
      </c>
      <c r="B455" s="3" t="s">
        <v>20</v>
      </c>
      <c r="C455" s="4" t="s">
        <v>241</v>
      </c>
      <c r="D455" s="4" t="s">
        <v>267</v>
      </c>
      <c r="E455" s="5">
        <v>43276</v>
      </c>
      <c r="F455" s="4" t="s">
        <v>842</v>
      </c>
      <c r="G455" s="4" t="s">
        <v>268</v>
      </c>
      <c r="H455" s="4" t="s">
        <v>269</v>
      </c>
      <c r="I455" s="4" t="s">
        <v>154</v>
      </c>
      <c r="J455" s="4" t="s">
        <v>172</v>
      </c>
      <c r="K455" s="6">
        <v>0</v>
      </c>
      <c r="L455" s="6">
        <v>4650</v>
      </c>
      <c r="M455" s="6">
        <f t="shared" si="33"/>
        <v>-4650</v>
      </c>
      <c r="N455" s="6"/>
      <c r="O455" s="4"/>
      <c r="P455" s="8" t="s">
        <v>173</v>
      </c>
      <c r="Q455" s="8" t="s">
        <v>289</v>
      </c>
      <c r="R455" s="9">
        <v>43252</v>
      </c>
      <c r="S455" s="9">
        <v>43252</v>
      </c>
      <c r="T455" s="8">
        <f t="shared" si="30"/>
        <v>6</v>
      </c>
      <c r="U455" s="8" t="str">
        <f t="shared" si="32"/>
        <v>June</v>
      </c>
    </row>
    <row r="456" spans="1:21" x14ac:dyDescent="0.55000000000000004">
      <c r="A456" t="str">
        <f t="shared" si="29"/>
        <v>JuneAFG NC - DCL KY</v>
      </c>
      <c r="B456" s="3" t="s">
        <v>20</v>
      </c>
      <c r="C456" s="4" t="s">
        <v>241</v>
      </c>
      <c r="D456" s="4" t="s">
        <v>267</v>
      </c>
      <c r="E456" s="5">
        <v>43276</v>
      </c>
      <c r="F456" s="4" t="s">
        <v>842</v>
      </c>
      <c r="G456" s="4" t="s">
        <v>268</v>
      </c>
      <c r="H456" s="4" t="s">
        <v>269</v>
      </c>
      <c r="I456" s="4" t="s">
        <v>154</v>
      </c>
      <c r="J456" s="4" t="s">
        <v>172</v>
      </c>
      <c r="K456" s="6">
        <v>0</v>
      </c>
      <c r="L456" s="6">
        <v>4450</v>
      </c>
      <c r="M456" s="6">
        <f t="shared" si="33"/>
        <v>-4450</v>
      </c>
      <c r="N456" s="6"/>
      <c r="O456" s="4"/>
      <c r="P456" s="8" t="s">
        <v>173</v>
      </c>
      <c r="Q456" s="8" t="s">
        <v>290</v>
      </c>
      <c r="R456" s="9">
        <v>43252</v>
      </c>
      <c r="S456" s="9">
        <v>43252</v>
      </c>
      <c r="T456" s="8">
        <f t="shared" si="30"/>
        <v>6</v>
      </c>
      <c r="U456" s="8" t="str">
        <f t="shared" si="32"/>
        <v>June</v>
      </c>
    </row>
    <row r="457" spans="1:21" x14ac:dyDescent="0.55000000000000004">
      <c r="A457" t="str">
        <f t="shared" si="29"/>
        <v>JuneAFG NC - DCL KY</v>
      </c>
      <c r="B457" s="3" t="s">
        <v>20</v>
      </c>
      <c r="C457" s="4" t="s">
        <v>241</v>
      </c>
      <c r="D457" s="4" t="s">
        <v>267</v>
      </c>
      <c r="E457" s="5">
        <v>43276</v>
      </c>
      <c r="F457" s="4" t="s">
        <v>842</v>
      </c>
      <c r="G457" s="4" t="s">
        <v>268</v>
      </c>
      <c r="H457" s="4" t="s">
        <v>269</v>
      </c>
      <c r="I457" s="4" t="s">
        <v>154</v>
      </c>
      <c r="J457" s="4" t="s">
        <v>172</v>
      </c>
      <c r="K457" s="6">
        <v>0</v>
      </c>
      <c r="L457" s="6">
        <v>7150</v>
      </c>
      <c r="M457" s="6">
        <f t="shared" si="33"/>
        <v>-7150</v>
      </c>
      <c r="N457" s="6"/>
      <c r="O457" s="4"/>
      <c r="P457" s="8" t="s">
        <v>173</v>
      </c>
      <c r="Q457" s="8" t="s">
        <v>291</v>
      </c>
      <c r="R457" s="9">
        <v>43252</v>
      </c>
      <c r="S457" s="9">
        <v>43252</v>
      </c>
      <c r="T457" s="8">
        <f t="shared" si="30"/>
        <v>6</v>
      </c>
      <c r="U457" s="8" t="str">
        <f t="shared" si="32"/>
        <v>June</v>
      </c>
    </row>
    <row r="458" spans="1:21" x14ac:dyDescent="0.55000000000000004">
      <c r="A458" t="str">
        <f t="shared" si="29"/>
        <v>JuneAFG NC - DCL KY</v>
      </c>
      <c r="B458" s="3" t="s">
        <v>20</v>
      </c>
      <c r="C458" s="4" t="s">
        <v>241</v>
      </c>
      <c r="D458" s="4" t="s">
        <v>267</v>
      </c>
      <c r="E458" s="5">
        <v>43277</v>
      </c>
      <c r="F458" s="4" t="s">
        <v>842</v>
      </c>
      <c r="G458" s="4" t="s">
        <v>268</v>
      </c>
      <c r="H458" s="4" t="s">
        <v>269</v>
      </c>
      <c r="I458" s="4" t="s">
        <v>154</v>
      </c>
      <c r="J458" s="4" t="s">
        <v>172</v>
      </c>
      <c r="K458" s="6">
        <v>0</v>
      </c>
      <c r="L458" s="6">
        <v>4650</v>
      </c>
      <c r="M458" s="6">
        <f t="shared" si="33"/>
        <v>-4650</v>
      </c>
      <c r="N458" s="6"/>
      <c r="O458" s="4"/>
      <c r="P458" s="8" t="s">
        <v>173</v>
      </c>
      <c r="Q458" s="8" t="s">
        <v>292</v>
      </c>
      <c r="R458" s="9">
        <v>43252</v>
      </c>
      <c r="S458" s="9">
        <v>43252</v>
      </c>
      <c r="T458" s="8">
        <f t="shared" si="30"/>
        <v>6</v>
      </c>
      <c r="U458" s="8" t="str">
        <f t="shared" si="32"/>
        <v>June</v>
      </c>
    </row>
    <row r="459" spans="1:21" x14ac:dyDescent="0.55000000000000004">
      <c r="A459" t="str">
        <f t="shared" si="29"/>
        <v>JuneAFG NC - DCL KY</v>
      </c>
      <c r="B459" s="3" t="s">
        <v>20</v>
      </c>
      <c r="C459" s="4" t="s">
        <v>241</v>
      </c>
      <c r="D459" s="4" t="s">
        <v>267</v>
      </c>
      <c r="E459" s="5">
        <v>43277</v>
      </c>
      <c r="F459" s="4" t="s">
        <v>842</v>
      </c>
      <c r="G459" s="4" t="s">
        <v>268</v>
      </c>
      <c r="H459" s="4" t="s">
        <v>269</v>
      </c>
      <c r="I459" s="4" t="s">
        <v>154</v>
      </c>
      <c r="J459" s="4" t="s">
        <v>172</v>
      </c>
      <c r="K459" s="6">
        <v>0</v>
      </c>
      <c r="L459" s="6">
        <v>3100</v>
      </c>
      <c r="M459" s="6">
        <f t="shared" si="33"/>
        <v>-3100</v>
      </c>
      <c r="N459" s="6"/>
      <c r="O459" s="4"/>
      <c r="P459" s="8" t="s">
        <v>173</v>
      </c>
      <c r="Q459" s="8" t="s">
        <v>293</v>
      </c>
      <c r="R459" s="9">
        <v>43252</v>
      </c>
      <c r="S459" s="9">
        <v>43252</v>
      </c>
      <c r="T459" s="8">
        <f t="shared" si="30"/>
        <v>6</v>
      </c>
      <c r="U459" s="8" t="str">
        <f t="shared" si="32"/>
        <v>June</v>
      </c>
    </row>
    <row r="460" spans="1:21" x14ac:dyDescent="0.55000000000000004">
      <c r="A460" t="str">
        <f t="shared" si="29"/>
        <v>JuneAFG NC - DCL KY</v>
      </c>
      <c r="B460" s="3" t="s">
        <v>20</v>
      </c>
      <c r="C460" s="4" t="s">
        <v>241</v>
      </c>
      <c r="D460" s="4" t="s">
        <v>267</v>
      </c>
      <c r="E460" s="5">
        <v>43277</v>
      </c>
      <c r="F460" s="4" t="s">
        <v>842</v>
      </c>
      <c r="G460" s="4" t="s">
        <v>268</v>
      </c>
      <c r="H460" s="4" t="s">
        <v>269</v>
      </c>
      <c r="I460" s="4" t="s">
        <v>154</v>
      </c>
      <c r="J460" s="4" t="s">
        <v>172</v>
      </c>
      <c r="K460" s="6">
        <v>0</v>
      </c>
      <c r="L460" s="6">
        <v>3100</v>
      </c>
      <c r="M460" s="6">
        <f t="shared" si="33"/>
        <v>-3100</v>
      </c>
      <c r="N460" s="6"/>
      <c r="O460" s="4"/>
      <c r="P460" s="8" t="s">
        <v>173</v>
      </c>
      <c r="Q460" s="8" t="s">
        <v>294</v>
      </c>
      <c r="R460" s="9">
        <v>43252</v>
      </c>
      <c r="S460" s="9">
        <v>43252</v>
      </c>
      <c r="T460" s="8">
        <f t="shared" si="30"/>
        <v>6</v>
      </c>
      <c r="U460" s="8" t="str">
        <f t="shared" si="32"/>
        <v>June</v>
      </c>
    </row>
    <row r="461" spans="1:21" x14ac:dyDescent="0.55000000000000004">
      <c r="A461" t="str">
        <f t="shared" si="29"/>
        <v>JuneAFG NC - DCL KY</v>
      </c>
      <c r="B461" s="3" t="s">
        <v>20</v>
      </c>
      <c r="C461" s="4" t="s">
        <v>241</v>
      </c>
      <c r="D461" s="4" t="s">
        <v>267</v>
      </c>
      <c r="E461" s="5">
        <v>43277</v>
      </c>
      <c r="F461" s="4" t="s">
        <v>842</v>
      </c>
      <c r="G461" s="4" t="s">
        <v>268</v>
      </c>
      <c r="H461" s="4" t="s">
        <v>269</v>
      </c>
      <c r="I461" s="4" t="s">
        <v>154</v>
      </c>
      <c r="J461" s="4" t="s">
        <v>172</v>
      </c>
      <c r="K461" s="6">
        <v>0</v>
      </c>
      <c r="L461" s="6">
        <v>12550</v>
      </c>
      <c r="M461" s="6">
        <f t="shared" si="33"/>
        <v>-12550</v>
      </c>
      <c r="N461" s="6"/>
      <c r="O461" s="4"/>
      <c r="P461" s="8" t="s">
        <v>173</v>
      </c>
      <c r="Q461" s="8" t="s">
        <v>295</v>
      </c>
      <c r="R461" s="9">
        <v>43252</v>
      </c>
      <c r="S461" s="9">
        <v>43252</v>
      </c>
      <c r="T461" s="8">
        <f t="shared" si="30"/>
        <v>6</v>
      </c>
      <c r="U461" s="8" t="str">
        <f t="shared" si="32"/>
        <v>June</v>
      </c>
    </row>
    <row r="462" spans="1:21" x14ac:dyDescent="0.55000000000000004">
      <c r="A462" t="str">
        <f t="shared" si="29"/>
        <v>JuneAFG NC - DCL KY</v>
      </c>
      <c r="B462" s="3" t="s">
        <v>20</v>
      </c>
      <c r="C462" s="4" t="s">
        <v>241</v>
      </c>
      <c r="D462" s="4" t="s">
        <v>267</v>
      </c>
      <c r="E462" s="5">
        <v>43278</v>
      </c>
      <c r="F462" s="4" t="s">
        <v>842</v>
      </c>
      <c r="G462" s="4" t="s">
        <v>268</v>
      </c>
      <c r="H462" s="4" t="s">
        <v>269</v>
      </c>
      <c r="I462" s="4" t="s">
        <v>154</v>
      </c>
      <c r="J462" s="4" t="s">
        <v>172</v>
      </c>
      <c r="K462" s="6">
        <v>0</v>
      </c>
      <c r="L462" s="6">
        <v>6950</v>
      </c>
      <c r="M462" s="6">
        <f t="shared" si="33"/>
        <v>-6950</v>
      </c>
      <c r="N462" s="6"/>
      <c r="O462" s="4"/>
      <c r="P462" s="8" t="s">
        <v>173</v>
      </c>
      <c r="Q462" s="8" t="s">
        <v>296</v>
      </c>
      <c r="R462" s="9">
        <v>43252</v>
      </c>
      <c r="S462" s="9">
        <v>43252</v>
      </c>
      <c r="T462" s="8">
        <f t="shared" si="30"/>
        <v>6</v>
      </c>
      <c r="U462" s="8" t="str">
        <f t="shared" si="32"/>
        <v>June</v>
      </c>
    </row>
    <row r="463" spans="1:21" x14ac:dyDescent="0.55000000000000004">
      <c r="A463" t="str">
        <f t="shared" ref="A463:A475" si="34">U463&amp;P463</f>
        <v>MayAFG NC - DCL KY</v>
      </c>
      <c r="B463" s="3" t="s">
        <v>20</v>
      </c>
      <c r="C463" s="4" t="s">
        <v>241</v>
      </c>
      <c r="D463" s="4" t="s">
        <v>267</v>
      </c>
      <c r="E463" s="5">
        <v>43244</v>
      </c>
      <c r="F463" s="4" t="s">
        <v>842</v>
      </c>
      <c r="G463" s="4" t="s">
        <v>268</v>
      </c>
      <c r="H463" s="4" t="s">
        <v>269</v>
      </c>
      <c r="I463" s="4" t="s">
        <v>154</v>
      </c>
      <c r="J463" s="4" t="s">
        <v>172</v>
      </c>
      <c r="K463" s="6">
        <v>0</v>
      </c>
      <c r="L463" s="6">
        <v>1550</v>
      </c>
      <c r="M463" s="6">
        <f t="shared" si="33"/>
        <v>-1550</v>
      </c>
      <c r="N463" s="6"/>
      <c r="O463" s="4"/>
      <c r="P463" s="8" t="s">
        <v>173</v>
      </c>
      <c r="Q463" s="8" t="s">
        <v>834</v>
      </c>
      <c r="R463" s="9">
        <v>43221</v>
      </c>
      <c r="S463" s="9">
        <v>43221</v>
      </c>
      <c r="T463" s="8">
        <f t="shared" ref="T463:T475" si="35">MONTH(E463)</f>
        <v>5</v>
      </c>
      <c r="U463" s="8" t="str">
        <f t="shared" si="32"/>
        <v>May</v>
      </c>
    </row>
    <row r="464" spans="1:21" x14ac:dyDescent="0.55000000000000004">
      <c r="A464" t="str">
        <f t="shared" si="34"/>
        <v>MayAFG NC - DCL KY</v>
      </c>
      <c r="B464" s="3" t="s">
        <v>20</v>
      </c>
      <c r="C464" s="4" t="s">
        <v>241</v>
      </c>
      <c r="D464" s="4" t="s">
        <v>267</v>
      </c>
      <c r="E464" s="5">
        <v>43250</v>
      </c>
      <c r="F464" s="4" t="s">
        <v>842</v>
      </c>
      <c r="G464" s="4" t="s">
        <v>268</v>
      </c>
      <c r="H464" s="4" t="s">
        <v>269</v>
      </c>
      <c r="I464" s="4" t="s">
        <v>154</v>
      </c>
      <c r="J464" s="4" t="s">
        <v>172</v>
      </c>
      <c r="K464" s="6">
        <v>0</v>
      </c>
      <c r="L464" s="6">
        <v>1550</v>
      </c>
      <c r="M464" s="6">
        <f t="shared" si="33"/>
        <v>-1550</v>
      </c>
      <c r="N464" s="6"/>
      <c r="O464" s="4"/>
      <c r="P464" s="8" t="s">
        <v>173</v>
      </c>
      <c r="Q464" s="8" t="s">
        <v>826</v>
      </c>
      <c r="R464" s="9">
        <v>43221</v>
      </c>
      <c r="S464" s="9">
        <v>43221</v>
      </c>
      <c r="T464" s="8">
        <f t="shared" si="35"/>
        <v>5</v>
      </c>
      <c r="U464" s="8" t="str">
        <f t="shared" ref="U464:U475" si="36">IF(T464=6,"June",IF(T464=5,"May",IF(T464=4,"April",IF(T464=3,"March",IF(T464=7,"July",0)))))</f>
        <v>May</v>
      </c>
    </row>
    <row r="465" spans="1:21" x14ac:dyDescent="0.55000000000000004">
      <c r="A465" t="str">
        <f t="shared" si="34"/>
        <v>MayAFG NC - Phillips WI</v>
      </c>
      <c r="B465" s="3" t="s">
        <v>20</v>
      </c>
      <c r="C465" s="4" t="s">
        <v>241</v>
      </c>
      <c r="D465" s="4" t="s">
        <v>267</v>
      </c>
      <c r="E465" s="5">
        <v>43242</v>
      </c>
      <c r="F465" s="4" t="s">
        <v>842</v>
      </c>
      <c r="G465" s="4" t="s">
        <v>268</v>
      </c>
      <c r="H465" s="4" t="s">
        <v>269</v>
      </c>
      <c r="I465" s="4" t="s">
        <v>154</v>
      </c>
      <c r="J465" s="4" t="s">
        <v>172</v>
      </c>
      <c r="K465" s="6">
        <v>0</v>
      </c>
      <c r="L465" s="6">
        <v>1775</v>
      </c>
      <c r="M465" s="6">
        <f t="shared" si="33"/>
        <v>-1775</v>
      </c>
      <c r="N465" s="6"/>
      <c r="O465" s="4"/>
      <c r="P465" s="8" t="s">
        <v>833</v>
      </c>
      <c r="Q465" s="8" t="s">
        <v>832</v>
      </c>
      <c r="R465" s="9">
        <v>43221</v>
      </c>
      <c r="S465" s="9">
        <v>43221</v>
      </c>
      <c r="T465" s="8">
        <f t="shared" si="35"/>
        <v>5</v>
      </c>
      <c r="U465" s="8" t="str">
        <f t="shared" si="36"/>
        <v>May</v>
      </c>
    </row>
    <row r="466" spans="1:21" x14ac:dyDescent="0.55000000000000004">
      <c r="A466" t="str">
        <f t="shared" si="34"/>
        <v>MayAFG NC - DCL KY</v>
      </c>
      <c r="B466" s="3" t="s">
        <v>20</v>
      </c>
      <c r="C466" s="4" t="s">
        <v>241</v>
      </c>
      <c r="D466" s="4" t="s">
        <v>267</v>
      </c>
      <c r="E466" s="5">
        <v>43244</v>
      </c>
      <c r="F466" s="4" t="s">
        <v>842</v>
      </c>
      <c r="G466" s="4" t="s">
        <v>268</v>
      </c>
      <c r="H466" s="4" t="s">
        <v>269</v>
      </c>
      <c r="I466" s="4" t="s">
        <v>154</v>
      </c>
      <c r="J466" s="4" t="s">
        <v>172</v>
      </c>
      <c r="K466" s="6">
        <v>0</v>
      </c>
      <c r="L466" s="6">
        <v>3100</v>
      </c>
      <c r="M466" s="6">
        <f t="shared" si="33"/>
        <v>-3100</v>
      </c>
      <c r="N466" s="6"/>
      <c r="O466" s="4"/>
      <c r="P466" s="8" t="s">
        <v>173</v>
      </c>
      <c r="Q466" s="8" t="s">
        <v>835</v>
      </c>
      <c r="R466" s="9">
        <v>43221</v>
      </c>
      <c r="S466" s="9">
        <v>43221</v>
      </c>
      <c r="T466" s="8">
        <f t="shared" si="35"/>
        <v>5</v>
      </c>
      <c r="U466" s="8" t="str">
        <f t="shared" si="36"/>
        <v>May</v>
      </c>
    </row>
    <row r="467" spans="1:21" x14ac:dyDescent="0.55000000000000004">
      <c r="A467" t="str">
        <f t="shared" si="34"/>
        <v>MayAFG NC - DCL KY</v>
      </c>
      <c r="B467" s="3" t="s">
        <v>20</v>
      </c>
      <c r="C467" s="4" t="s">
        <v>241</v>
      </c>
      <c r="D467" s="4" t="s">
        <v>267</v>
      </c>
      <c r="E467" s="5">
        <v>43250</v>
      </c>
      <c r="F467" s="4" t="s">
        <v>842</v>
      </c>
      <c r="G467" s="4" t="s">
        <v>268</v>
      </c>
      <c r="H467" s="4" t="s">
        <v>269</v>
      </c>
      <c r="I467" s="4" t="s">
        <v>154</v>
      </c>
      <c r="J467" s="4" t="s">
        <v>172</v>
      </c>
      <c r="K467" s="6">
        <v>0</v>
      </c>
      <c r="L467" s="6">
        <v>3100</v>
      </c>
      <c r="M467" s="6">
        <f t="shared" si="33"/>
        <v>-3100</v>
      </c>
      <c r="N467" s="6"/>
      <c r="O467" s="4"/>
      <c r="P467" s="8" t="s">
        <v>173</v>
      </c>
      <c r="Q467" s="8" t="s">
        <v>828</v>
      </c>
      <c r="R467" s="9">
        <v>43221</v>
      </c>
      <c r="S467" s="9">
        <v>43221</v>
      </c>
      <c r="T467" s="8">
        <f t="shared" si="35"/>
        <v>5</v>
      </c>
      <c r="U467" s="8" t="str">
        <f t="shared" si="36"/>
        <v>May</v>
      </c>
    </row>
    <row r="468" spans="1:21" x14ac:dyDescent="0.55000000000000004">
      <c r="A468" t="str">
        <f t="shared" si="34"/>
        <v>MayAFG NC - DCL KY</v>
      </c>
      <c r="B468" s="3" t="s">
        <v>20</v>
      </c>
      <c r="C468" s="4" t="s">
        <v>241</v>
      </c>
      <c r="D468" s="4" t="s">
        <v>267</v>
      </c>
      <c r="E468" s="5">
        <v>43244</v>
      </c>
      <c r="F468" s="4" t="s">
        <v>842</v>
      </c>
      <c r="G468" s="4" t="s">
        <v>268</v>
      </c>
      <c r="H468" s="4" t="s">
        <v>269</v>
      </c>
      <c r="I468" s="4" t="s">
        <v>154</v>
      </c>
      <c r="J468" s="4" t="s">
        <v>172</v>
      </c>
      <c r="K468" s="6">
        <v>0</v>
      </c>
      <c r="L468" s="6">
        <v>4650</v>
      </c>
      <c r="M468" s="6">
        <f t="shared" si="33"/>
        <v>-4650</v>
      </c>
      <c r="N468" s="6"/>
      <c r="O468" s="4"/>
      <c r="P468" s="8" t="s">
        <v>173</v>
      </c>
      <c r="Q468" s="8" t="s">
        <v>836</v>
      </c>
      <c r="R468" s="9">
        <v>43221</v>
      </c>
      <c r="S468" s="9">
        <v>43221</v>
      </c>
      <c r="T468" s="8">
        <f t="shared" si="35"/>
        <v>5</v>
      </c>
      <c r="U468" s="8" t="str">
        <f t="shared" si="36"/>
        <v>May</v>
      </c>
    </row>
    <row r="469" spans="1:21" x14ac:dyDescent="0.55000000000000004">
      <c r="A469" t="str">
        <f t="shared" si="34"/>
        <v>MayAFG NC - DCL KY</v>
      </c>
      <c r="B469" s="3" t="s">
        <v>20</v>
      </c>
      <c r="C469" s="4" t="s">
        <v>241</v>
      </c>
      <c r="D469" s="4" t="s">
        <v>267</v>
      </c>
      <c r="E469" s="5">
        <v>43244</v>
      </c>
      <c r="F469" s="4" t="s">
        <v>842</v>
      </c>
      <c r="G469" s="4" t="s">
        <v>268</v>
      </c>
      <c r="H469" s="4" t="s">
        <v>269</v>
      </c>
      <c r="I469" s="4" t="s">
        <v>154</v>
      </c>
      <c r="J469" s="4" t="s">
        <v>172</v>
      </c>
      <c r="K469" s="6">
        <v>0</v>
      </c>
      <c r="L469" s="6">
        <v>4650</v>
      </c>
      <c r="M469" s="6">
        <f t="shared" si="33"/>
        <v>-4650</v>
      </c>
      <c r="N469" s="6"/>
      <c r="O469" s="4"/>
      <c r="P469" s="8" t="s">
        <v>173</v>
      </c>
      <c r="Q469" s="8" t="s">
        <v>837</v>
      </c>
      <c r="R469" s="9">
        <v>43221</v>
      </c>
      <c r="S469" s="9">
        <v>43221</v>
      </c>
      <c r="T469" s="8">
        <f t="shared" si="35"/>
        <v>5</v>
      </c>
      <c r="U469" s="8" t="str">
        <f t="shared" si="36"/>
        <v>May</v>
      </c>
    </row>
    <row r="470" spans="1:21" x14ac:dyDescent="0.55000000000000004">
      <c r="A470" t="str">
        <f t="shared" si="34"/>
        <v>MayAFG NC - DCL KY</v>
      </c>
      <c r="B470" s="3" t="s">
        <v>20</v>
      </c>
      <c r="C470" s="4" t="s">
        <v>241</v>
      </c>
      <c r="D470" s="4" t="s">
        <v>267</v>
      </c>
      <c r="E470" s="5">
        <v>43250</v>
      </c>
      <c r="F470" s="4" t="s">
        <v>842</v>
      </c>
      <c r="G470" s="4" t="s">
        <v>268</v>
      </c>
      <c r="H470" s="4" t="s">
        <v>269</v>
      </c>
      <c r="I470" s="4" t="s">
        <v>154</v>
      </c>
      <c r="J470" s="4" t="s">
        <v>172</v>
      </c>
      <c r="K470" s="6">
        <v>0</v>
      </c>
      <c r="L470" s="6">
        <v>5350</v>
      </c>
      <c r="M470" s="6">
        <f t="shared" si="33"/>
        <v>-5350</v>
      </c>
      <c r="N470" s="6"/>
      <c r="O470" s="4"/>
      <c r="P470" s="8" t="s">
        <v>173</v>
      </c>
      <c r="Q470" s="8" t="s">
        <v>827</v>
      </c>
      <c r="R470" s="9">
        <v>43221</v>
      </c>
      <c r="S470" s="9">
        <v>43221</v>
      </c>
      <c r="T470" s="8">
        <f t="shared" si="35"/>
        <v>5</v>
      </c>
      <c r="U470" s="8" t="str">
        <f t="shared" si="36"/>
        <v>May</v>
      </c>
    </row>
    <row r="471" spans="1:21" x14ac:dyDescent="0.55000000000000004">
      <c r="A471" t="str">
        <f t="shared" si="34"/>
        <v>JunePhillips WI - DCL KY</v>
      </c>
      <c r="B471" s="3" t="s">
        <v>20</v>
      </c>
      <c r="C471" s="4" t="s">
        <v>241</v>
      </c>
      <c r="D471" s="4" t="s">
        <v>267</v>
      </c>
      <c r="E471" s="5">
        <v>43255</v>
      </c>
      <c r="F471" s="4" t="s">
        <v>842</v>
      </c>
      <c r="G471" s="4" t="s">
        <v>268</v>
      </c>
      <c r="H471" s="4" t="s">
        <v>269</v>
      </c>
      <c r="I471" s="4" t="s">
        <v>154</v>
      </c>
      <c r="J471" s="4" t="s">
        <v>172</v>
      </c>
      <c r="K471" s="6">
        <v>0</v>
      </c>
      <c r="L471" s="6">
        <v>5600</v>
      </c>
      <c r="M471" s="6">
        <f t="shared" si="33"/>
        <v>-5600</v>
      </c>
      <c r="N471" s="6"/>
      <c r="O471" s="4"/>
      <c r="P471" s="8" t="s">
        <v>29</v>
      </c>
      <c r="Q471" s="8" t="s">
        <v>839</v>
      </c>
      <c r="R471" s="9">
        <v>43221</v>
      </c>
      <c r="S471" s="9">
        <v>43252</v>
      </c>
      <c r="T471" s="8">
        <f t="shared" si="35"/>
        <v>6</v>
      </c>
      <c r="U471" s="8" t="str">
        <f t="shared" si="36"/>
        <v>June</v>
      </c>
    </row>
    <row r="472" spans="1:21" x14ac:dyDescent="0.55000000000000004">
      <c r="A472" t="str">
        <f t="shared" si="34"/>
        <v>MayAFG NC - DCL KY</v>
      </c>
      <c r="B472" s="3" t="s">
        <v>20</v>
      </c>
      <c r="C472" s="4" t="s">
        <v>241</v>
      </c>
      <c r="D472" s="4" t="s">
        <v>267</v>
      </c>
      <c r="E472" s="5">
        <v>43250</v>
      </c>
      <c r="F472" s="4" t="s">
        <v>842</v>
      </c>
      <c r="G472" s="4" t="s">
        <v>268</v>
      </c>
      <c r="H472" s="4" t="s">
        <v>269</v>
      </c>
      <c r="I472" s="4" t="s">
        <v>154</v>
      </c>
      <c r="J472" s="4" t="s">
        <v>172</v>
      </c>
      <c r="K472" s="6">
        <v>0</v>
      </c>
      <c r="L472" s="6">
        <v>8275</v>
      </c>
      <c r="M472" s="6">
        <f t="shared" si="33"/>
        <v>-8275</v>
      </c>
      <c r="N472" s="6"/>
      <c r="O472" s="4"/>
      <c r="P472" s="8" t="s">
        <v>173</v>
      </c>
      <c r="Q472" s="8" t="s">
        <v>829</v>
      </c>
      <c r="R472" s="9">
        <v>43221</v>
      </c>
      <c r="S472" s="9">
        <v>43221</v>
      </c>
      <c r="T472" s="8">
        <f t="shared" si="35"/>
        <v>5</v>
      </c>
      <c r="U472" s="8" t="str">
        <f t="shared" si="36"/>
        <v>May</v>
      </c>
    </row>
    <row r="473" spans="1:21" x14ac:dyDescent="0.55000000000000004">
      <c r="A473" t="str">
        <f t="shared" si="34"/>
        <v>MayAFG NC - DCL KY</v>
      </c>
      <c r="B473" s="3" t="s">
        <v>20</v>
      </c>
      <c r="C473" s="4" t="s">
        <v>241</v>
      </c>
      <c r="D473" s="4" t="s">
        <v>267</v>
      </c>
      <c r="E473" s="5">
        <v>43251</v>
      </c>
      <c r="F473" s="4" t="s">
        <v>842</v>
      </c>
      <c r="G473" s="4" t="s">
        <v>268</v>
      </c>
      <c r="H473" s="4" t="s">
        <v>269</v>
      </c>
      <c r="I473" s="4" t="s">
        <v>154</v>
      </c>
      <c r="J473" s="4" t="s">
        <v>172</v>
      </c>
      <c r="K473" s="6">
        <v>0</v>
      </c>
      <c r="L473" s="6">
        <v>9650</v>
      </c>
      <c r="M473" s="6">
        <f t="shared" si="33"/>
        <v>-9650</v>
      </c>
      <c r="N473" s="6"/>
      <c r="O473" s="4"/>
      <c r="P473" s="8" t="s">
        <v>173</v>
      </c>
      <c r="Q473" s="8" t="s">
        <v>831</v>
      </c>
      <c r="R473" s="9">
        <v>43221</v>
      </c>
      <c r="S473" s="9">
        <v>43221</v>
      </c>
      <c r="T473" s="8">
        <f t="shared" si="35"/>
        <v>5</v>
      </c>
      <c r="U473" s="8" t="str">
        <f t="shared" si="36"/>
        <v>May</v>
      </c>
    </row>
    <row r="474" spans="1:21" x14ac:dyDescent="0.55000000000000004">
      <c r="A474" t="str">
        <f t="shared" si="34"/>
        <v>MayAFG NC - DCL KY</v>
      </c>
      <c r="B474" s="3" t="s">
        <v>20</v>
      </c>
      <c r="C474" s="4" t="s">
        <v>241</v>
      </c>
      <c r="D474" s="4" t="s">
        <v>267</v>
      </c>
      <c r="E474" s="5">
        <v>43250</v>
      </c>
      <c r="F474" s="4" t="s">
        <v>842</v>
      </c>
      <c r="G474" s="4" t="s">
        <v>268</v>
      </c>
      <c r="H474" s="4" t="s">
        <v>269</v>
      </c>
      <c r="I474" s="4" t="s">
        <v>154</v>
      </c>
      <c r="J474" s="4" t="s">
        <v>172</v>
      </c>
      <c r="K474" s="6">
        <v>0</v>
      </c>
      <c r="L474" s="6">
        <v>11200</v>
      </c>
      <c r="M474" s="6">
        <f t="shared" si="33"/>
        <v>-11200</v>
      </c>
      <c r="N474" s="6"/>
      <c r="O474" s="4"/>
      <c r="P474" s="8" t="s">
        <v>173</v>
      </c>
      <c r="Q474" s="8" t="s">
        <v>830</v>
      </c>
      <c r="R474" s="9">
        <v>43221</v>
      </c>
      <c r="S474" s="9">
        <v>43221</v>
      </c>
      <c r="T474" s="8">
        <f t="shared" si="35"/>
        <v>5</v>
      </c>
      <c r="U474" s="8" t="str">
        <f t="shared" si="36"/>
        <v>May</v>
      </c>
    </row>
    <row r="475" spans="1:21" x14ac:dyDescent="0.55000000000000004">
      <c r="A475" t="str">
        <f t="shared" si="34"/>
        <v>MayDECI NC - DCL KY</v>
      </c>
      <c r="B475" s="3" t="s">
        <v>20</v>
      </c>
      <c r="C475" s="4" t="s">
        <v>241</v>
      </c>
      <c r="D475" s="4" t="s">
        <v>267</v>
      </c>
      <c r="E475" s="5">
        <v>43244</v>
      </c>
      <c r="F475" s="4" t="s">
        <v>842</v>
      </c>
      <c r="G475" s="4" t="s">
        <v>268</v>
      </c>
      <c r="H475" s="4" t="s">
        <v>269</v>
      </c>
      <c r="I475" s="4" t="s">
        <v>154</v>
      </c>
      <c r="J475" s="4" t="s">
        <v>172</v>
      </c>
      <c r="K475" s="6">
        <v>0</v>
      </c>
      <c r="L475" s="6">
        <v>12300</v>
      </c>
      <c r="M475" s="6">
        <f t="shared" si="33"/>
        <v>-12300</v>
      </c>
      <c r="N475" s="6"/>
      <c r="O475" s="4"/>
      <c r="P475" s="8" t="s">
        <v>178</v>
      </c>
      <c r="Q475" s="8" t="s">
        <v>838</v>
      </c>
      <c r="R475" s="9">
        <v>43221</v>
      </c>
      <c r="S475" s="9">
        <v>43221</v>
      </c>
      <c r="T475" s="8">
        <f t="shared" si="35"/>
        <v>5</v>
      </c>
      <c r="U475" s="8" t="str">
        <f t="shared" si="36"/>
        <v>May</v>
      </c>
    </row>
  </sheetData>
  <conditionalFormatting sqref="AG62:AG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Data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Barajas</dc:creator>
  <cp:lastModifiedBy>Alejandro Barajas</cp:lastModifiedBy>
  <dcterms:created xsi:type="dcterms:W3CDTF">2018-08-09T17:33:24Z</dcterms:created>
  <dcterms:modified xsi:type="dcterms:W3CDTF">2018-09-24T17:20:41Z</dcterms:modified>
</cp:coreProperties>
</file>