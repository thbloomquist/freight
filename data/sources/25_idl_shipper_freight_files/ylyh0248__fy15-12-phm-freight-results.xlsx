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5" yWindow="225" windowWidth="15420" windowHeight="3885" tabRatio="893"/>
  </bookViews>
  <sheets>
    <sheet name="Report" sheetId="18" r:id="rId1"/>
    <sheet name="Freight report" sheetId="17" state="hidden" r:id="rId2"/>
    <sheet name="Act vs Budget - revised format" sheetId="15" state="hidden" r:id="rId3"/>
    <sheet name="Net Sales Actual" sheetId="9" state="hidden" r:id="rId4"/>
    <sheet name="Net Sales Budget" sheetId="10" state="hidden" r:id="rId5"/>
    <sheet name="FY15 Budget" sheetId="14" r:id="rId6"/>
    <sheet name="FY15 Current Forecast" sheetId="16" r:id="rId7"/>
    <sheet name="FY15 Working Forecast" sheetId="19" r:id="rId8"/>
    <sheet name="check" sheetId="20" r:id="rId9"/>
  </sheets>
  <definedNames>
    <definedName name="_xlnm._FilterDatabase" localSheetId="6" hidden="1">'FY15 Current Forecast'!$A$7:$Q$78</definedName>
    <definedName name="_xlnm._FilterDatabase" localSheetId="7" hidden="1">'FY15 Working Forecast'!$A$1:$P$384</definedName>
    <definedName name="EssAliasTable" localSheetId="8">"Default"</definedName>
    <definedName name="EssAliasTable" localSheetId="5">"Default"</definedName>
    <definedName name="EssAliasTable" localSheetId="6">"Default"</definedName>
    <definedName name="EssAliasTable" localSheetId="7">"Default"</definedName>
    <definedName name="EssfHasNonUnique" localSheetId="8">FALSE</definedName>
    <definedName name="EssfHasNonUnique" localSheetId="5">FALSE</definedName>
    <definedName name="EssfHasNonUnique" localSheetId="6">FALSE</definedName>
    <definedName name="EssfHasNonUnique" localSheetId="7">FALSE</definedName>
    <definedName name="EssLatest" localSheetId="8">"Beg Bal"</definedName>
    <definedName name="EssLatest" localSheetId="5">"Beg Bal"</definedName>
    <definedName name="EssLatest" localSheetId="6">"Beg Bal"</definedName>
    <definedName name="EssLatest" localSheetId="7">"Beg Bal"</definedName>
    <definedName name="EssOptions" localSheetId="8">"A3100000000111000000001100020_020 00"</definedName>
    <definedName name="EssOptions" localSheetId="5">"A3100000000111000000001100020_020 00"</definedName>
    <definedName name="EssOptions" localSheetId="6">"A1100000000111000000001100020_020 00"</definedName>
    <definedName name="EssOptions" localSheetId="7">"A1100000000111000000001100020_020 00"</definedName>
    <definedName name="EssSamplingValue" localSheetId="8">100</definedName>
    <definedName name="EssSamplingValue" localSheetId="5">100</definedName>
    <definedName name="EssSamplingValue" localSheetId="6">100</definedName>
    <definedName name="EssSamplingValue" localSheetId="7">100</definedName>
    <definedName name="_xlnm.Print_Titles" localSheetId="5">'FY15 Budget'!$1:$7</definedName>
  </definedNames>
  <calcPr calcId="145621"/>
</workbook>
</file>

<file path=xl/calcChain.xml><?xml version="1.0" encoding="utf-8"?>
<calcChain xmlns="http://schemas.openxmlformats.org/spreadsheetml/2006/main">
  <c r="D76" i="18" l="1"/>
  <c r="I76" i="18"/>
  <c r="J76" i="18"/>
  <c r="E76" i="18"/>
  <c r="D29" i="20"/>
  <c r="I28" i="20"/>
  <c r="I29" i="20" s="1"/>
  <c r="H28" i="20"/>
  <c r="H29" i="20" s="1"/>
  <c r="G28" i="20"/>
  <c r="G29" i="20" s="1"/>
  <c r="F28" i="20"/>
  <c r="F29" i="20" s="1"/>
  <c r="E28" i="20"/>
  <c r="E29" i="20" s="1"/>
  <c r="D28" i="20"/>
  <c r="C28" i="20"/>
  <c r="C29" i="20" s="1"/>
  <c r="B28" i="20"/>
  <c r="B29" i="20" s="1"/>
  <c r="O334" i="16"/>
  <c r="O333" i="16"/>
  <c r="O332" i="16"/>
  <c r="O331" i="16"/>
  <c r="O330" i="16"/>
  <c r="O329" i="16"/>
  <c r="O328" i="16"/>
  <c r="O327" i="16"/>
  <c r="O326" i="16"/>
  <c r="O322" i="16"/>
  <c r="O321" i="16"/>
  <c r="O320" i="16"/>
  <c r="O319" i="16"/>
  <c r="O318" i="16"/>
  <c r="O317" i="16"/>
  <c r="O316" i="16"/>
  <c r="O315" i="16"/>
  <c r="O314" i="16"/>
  <c r="O313" i="16"/>
  <c r="O312" i="16"/>
  <c r="O311" i="16"/>
  <c r="O310" i="16"/>
  <c r="O309" i="16"/>
  <c r="O308" i="16"/>
  <c r="O307" i="16"/>
  <c r="O306" i="16"/>
  <c r="O305" i="16"/>
  <c r="O304" i="16"/>
  <c r="O303" i="16"/>
  <c r="O302" i="16"/>
  <c r="O301" i="16"/>
  <c r="O300" i="16"/>
  <c r="O299" i="16"/>
  <c r="O298" i="16"/>
  <c r="O297" i="16"/>
  <c r="O296" i="16"/>
  <c r="O295" i="16"/>
  <c r="O294" i="16"/>
  <c r="O293" i="16"/>
  <c r="O292" i="16"/>
  <c r="O291" i="16"/>
  <c r="O290" i="16"/>
  <c r="O289" i="16"/>
  <c r="O288" i="16"/>
  <c r="O287" i="16"/>
  <c r="O286" i="16"/>
  <c r="O285" i="16"/>
  <c r="O284" i="16"/>
  <c r="O283" i="16"/>
  <c r="O282" i="16"/>
  <c r="O281" i="16"/>
  <c r="O280" i="16"/>
  <c r="O279" i="16"/>
  <c r="O278" i="16"/>
  <c r="O277" i="16"/>
  <c r="O276" i="16"/>
  <c r="O275" i="16"/>
  <c r="O253" i="16"/>
  <c r="O252" i="16"/>
  <c r="O251" i="16"/>
  <c r="O250" i="16"/>
  <c r="O249" i="16"/>
  <c r="O248" i="16"/>
  <c r="O247" i="16"/>
  <c r="O246" i="16"/>
  <c r="O245" i="16"/>
  <c r="O244" i="16"/>
  <c r="O243" i="16"/>
  <c r="O242" i="16"/>
  <c r="O241" i="16"/>
  <c r="O240" i="16"/>
  <c r="O239" i="16"/>
  <c r="O238" i="16"/>
  <c r="N236" i="16"/>
  <c r="M236" i="16"/>
  <c r="L236" i="16"/>
  <c r="K236" i="16"/>
  <c r="J236" i="16"/>
  <c r="I236" i="16"/>
  <c r="H236" i="16"/>
  <c r="G236" i="16"/>
  <c r="F236" i="16"/>
  <c r="E236" i="16"/>
  <c r="D236" i="16"/>
  <c r="C236" i="16"/>
  <c r="O235" i="16"/>
  <c r="O234" i="16"/>
  <c r="O233" i="16"/>
  <c r="O232" i="16"/>
  <c r="O231" i="16"/>
  <c r="O230" i="16"/>
  <c r="O229" i="16"/>
  <c r="O228" i="16"/>
  <c r="O227" i="16"/>
  <c r="O226" i="16"/>
  <c r="O225" i="16"/>
  <c r="O224" i="16"/>
  <c r="O223" i="16"/>
  <c r="O222" i="16"/>
  <c r="O236" i="16" s="1"/>
  <c r="M219" i="16"/>
  <c r="M368" i="16" s="1"/>
  <c r="I219" i="16"/>
  <c r="I368" i="16" s="1"/>
  <c r="E219" i="16"/>
  <c r="E368" i="16" s="1"/>
  <c r="N217" i="16"/>
  <c r="N219" i="16" s="1"/>
  <c r="N368" i="16" s="1"/>
  <c r="M217" i="16"/>
  <c r="L217" i="16"/>
  <c r="L219" i="16" s="1"/>
  <c r="L368" i="16" s="1"/>
  <c r="K217" i="16"/>
  <c r="K219" i="16" s="1"/>
  <c r="K368" i="16" s="1"/>
  <c r="J217" i="16"/>
  <c r="J219" i="16" s="1"/>
  <c r="J368" i="16" s="1"/>
  <c r="I217" i="16"/>
  <c r="H217" i="16"/>
  <c r="H219" i="16" s="1"/>
  <c r="H368" i="16" s="1"/>
  <c r="G217" i="16"/>
  <c r="G219" i="16" s="1"/>
  <c r="G368" i="16" s="1"/>
  <c r="F217" i="16"/>
  <c r="F219" i="16" s="1"/>
  <c r="F368" i="16" s="1"/>
  <c r="E217" i="16"/>
  <c r="D217" i="16"/>
  <c r="D219" i="16" s="1"/>
  <c r="D368" i="16" s="1"/>
  <c r="C217" i="16"/>
  <c r="C219" i="16" s="1"/>
  <c r="C368" i="16" s="1"/>
  <c r="O216" i="16"/>
  <c r="O215" i="16"/>
  <c r="O214" i="16"/>
  <c r="O213" i="16"/>
  <c r="O212" i="16"/>
  <c r="O211" i="16"/>
  <c r="O210" i="16"/>
  <c r="O209" i="16"/>
  <c r="O208" i="16"/>
  <c r="O207" i="16"/>
  <c r="O206" i="16"/>
  <c r="O205" i="16"/>
  <c r="O204" i="16"/>
  <c r="O203" i="16"/>
  <c r="O202" i="16"/>
  <c r="O201" i="16"/>
  <c r="O200" i="16"/>
  <c r="O199" i="16"/>
  <c r="O198" i="16"/>
  <c r="O197" i="16"/>
  <c r="O196" i="16"/>
  <c r="O195" i="16"/>
  <c r="O194" i="16"/>
  <c r="O193" i="16"/>
  <c r="O192" i="16"/>
  <c r="O191" i="16"/>
  <c r="O190" i="16"/>
  <c r="O189" i="16"/>
  <c r="O188" i="16"/>
  <c r="O187" i="16"/>
  <c r="O186" i="16"/>
  <c r="O185" i="16"/>
  <c r="O184" i="16"/>
  <c r="O183" i="16"/>
  <c r="O182" i="16"/>
  <c r="O181" i="16"/>
  <c r="O180" i="16"/>
  <c r="O179" i="16"/>
  <c r="O178" i="16"/>
  <c r="O177" i="16"/>
  <c r="O176" i="16"/>
  <c r="O175" i="16"/>
  <c r="O174" i="16"/>
  <c r="O173" i="16"/>
  <c r="O172" i="16"/>
  <c r="O171" i="16"/>
  <c r="O170" i="16"/>
  <c r="O169" i="16"/>
  <c r="O168" i="16"/>
  <c r="O167" i="16"/>
  <c r="O166" i="16"/>
  <c r="O165" i="16"/>
  <c r="O164" i="16"/>
  <c r="O163" i="16"/>
  <c r="O162" i="16"/>
  <c r="O161" i="16"/>
  <c r="O160" i="16"/>
  <c r="O159" i="16"/>
  <c r="O158" i="16"/>
  <c r="O157" i="16"/>
  <c r="O156" i="16"/>
  <c r="O155" i="16"/>
  <c r="O154" i="16"/>
  <c r="O153" i="16"/>
  <c r="O152" i="16"/>
  <c r="O151" i="16"/>
  <c r="O150" i="16"/>
  <c r="O149" i="16"/>
  <c r="O148" i="16"/>
  <c r="O147" i="16"/>
  <c r="O146" i="16"/>
  <c r="O145" i="16"/>
  <c r="O144" i="16"/>
  <c r="O143" i="16"/>
  <c r="O142" i="16"/>
  <c r="O141" i="16"/>
  <c r="O140" i="16"/>
  <c r="O139" i="16"/>
  <c r="O138" i="16"/>
  <c r="O137" i="16"/>
  <c r="O136" i="16"/>
  <c r="O135" i="16"/>
  <c r="O134" i="16"/>
  <c r="O133" i="16"/>
  <c r="O132" i="16"/>
  <c r="O131" i="16"/>
  <c r="O130" i="16"/>
  <c r="O129" i="16"/>
  <c r="O128" i="16"/>
  <c r="O127" i="16"/>
  <c r="O126" i="16"/>
  <c r="O125" i="16"/>
  <c r="O124" i="16"/>
  <c r="O123" i="16"/>
  <c r="O122" i="16"/>
  <c r="O121" i="16"/>
  <c r="O120" i="16"/>
  <c r="O119" i="16"/>
  <c r="O118" i="16"/>
  <c r="O117" i="16"/>
  <c r="O116" i="16"/>
  <c r="O115" i="16"/>
  <c r="O114" i="16"/>
  <c r="O113" i="16"/>
  <c r="O112" i="16"/>
  <c r="O111" i="16"/>
  <c r="O110" i="16"/>
  <c r="O109" i="16"/>
  <c r="O108" i="16"/>
  <c r="O107" i="16"/>
  <c r="O106" i="16"/>
  <c r="O105" i="16"/>
  <c r="O104" i="16"/>
  <c r="O103" i="16"/>
  <c r="O102" i="16"/>
  <c r="O101" i="16"/>
  <c r="O100" i="16"/>
  <c r="O99" i="16"/>
  <c r="O98" i="16"/>
  <c r="O97" i="16"/>
  <c r="O96" i="16"/>
  <c r="O95" i="16"/>
  <c r="O94" i="16"/>
  <c r="O93" i="16"/>
  <c r="O92" i="16"/>
  <c r="O91" i="16"/>
  <c r="O90" i="16"/>
  <c r="O89" i="16"/>
  <c r="O88" i="16"/>
  <c r="O87" i="16"/>
  <c r="O86" i="16"/>
  <c r="O85" i="16"/>
  <c r="O84" i="16"/>
  <c r="O83" i="16"/>
  <c r="O82" i="16"/>
  <c r="O81" i="16"/>
  <c r="O80" i="16"/>
  <c r="O217" i="16" s="1"/>
  <c r="N78" i="16"/>
  <c r="M78" i="16"/>
  <c r="L78" i="16"/>
  <c r="K78" i="16"/>
  <c r="J78" i="16"/>
  <c r="I78" i="16"/>
  <c r="H78" i="16"/>
  <c r="G78" i="16"/>
  <c r="F78" i="16"/>
  <c r="E78" i="16"/>
  <c r="D78" i="16"/>
  <c r="C78" i="16"/>
  <c r="O77" i="16"/>
  <c r="O76" i="16"/>
  <c r="O75" i="16"/>
  <c r="O74" i="16"/>
  <c r="O70" i="16"/>
  <c r="O69" i="16"/>
  <c r="O68" i="16"/>
  <c r="O67" i="16"/>
  <c r="O66" i="16"/>
  <c r="O65" i="16"/>
  <c r="O64" i="16"/>
  <c r="O63" i="16"/>
  <c r="O62" i="16"/>
  <c r="O61" i="16"/>
  <c r="O60" i="16"/>
  <c r="O59" i="16"/>
  <c r="O58" i="16"/>
  <c r="O57" i="16"/>
  <c r="O56" i="16"/>
  <c r="O55" i="16"/>
  <c r="O54" i="16"/>
  <c r="O53" i="16"/>
  <c r="O52" i="16"/>
  <c r="O51" i="16"/>
  <c r="O50" i="16"/>
  <c r="O49" i="16"/>
  <c r="O48" i="16"/>
  <c r="O47" i="16"/>
  <c r="O46" i="16"/>
  <c r="O45" i="16"/>
  <c r="O44" i="16"/>
  <c r="O43" i="16"/>
  <c r="O42" i="16"/>
  <c r="O41" i="16"/>
  <c r="O40" i="16"/>
  <c r="O39" i="16"/>
  <c r="O38" i="16"/>
  <c r="O37" i="16"/>
  <c r="O36" i="16"/>
  <c r="O35" i="16"/>
  <c r="O34" i="16"/>
  <c r="O33" i="16"/>
  <c r="O32" i="16"/>
  <c r="O31" i="16"/>
  <c r="O30" i="16"/>
  <c r="O29" i="16"/>
  <c r="O28" i="16"/>
  <c r="O27" i="16"/>
  <c r="O26" i="16"/>
  <c r="O25" i="16"/>
  <c r="O24" i="16"/>
  <c r="O23" i="16"/>
  <c r="O22" i="16"/>
  <c r="O21" i="16"/>
  <c r="O20" i="16"/>
  <c r="O19" i="16"/>
  <c r="O18" i="16"/>
  <c r="O17" i="16"/>
  <c r="O16" i="16"/>
  <c r="O15" i="16"/>
  <c r="O14" i="16"/>
  <c r="O13" i="16"/>
  <c r="O12" i="16"/>
  <c r="O11" i="16"/>
  <c r="O10" i="16"/>
  <c r="O9" i="16"/>
  <c r="O8" i="16"/>
  <c r="O78" i="16" s="1"/>
  <c r="O334" i="19"/>
  <c r="O333" i="19"/>
  <c r="O332" i="19"/>
  <c r="O331" i="19"/>
  <c r="O330" i="19"/>
  <c r="O329" i="19"/>
  <c r="O328" i="19"/>
  <c r="O327" i="19"/>
  <c r="O326" i="19"/>
  <c r="O322" i="19"/>
  <c r="O321" i="19"/>
  <c r="O320" i="19"/>
  <c r="O319" i="19"/>
  <c r="O318" i="19"/>
  <c r="O317" i="19"/>
  <c r="O316" i="19"/>
  <c r="O315" i="19"/>
  <c r="O314" i="19"/>
  <c r="O313" i="19"/>
  <c r="O312" i="19"/>
  <c r="O311" i="19"/>
  <c r="O310" i="19"/>
  <c r="O309" i="19"/>
  <c r="O308" i="19"/>
  <c r="O307" i="19"/>
  <c r="O306" i="19"/>
  <c r="O305" i="19"/>
  <c r="O304" i="19"/>
  <c r="O303" i="19"/>
  <c r="O302" i="19"/>
  <c r="O301" i="19"/>
  <c r="O300" i="19"/>
  <c r="O299" i="19"/>
  <c r="O298" i="19"/>
  <c r="O297" i="19"/>
  <c r="O296" i="19"/>
  <c r="O295" i="19"/>
  <c r="O294" i="19"/>
  <c r="O293" i="19"/>
  <c r="O292" i="19"/>
  <c r="O291" i="19"/>
  <c r="O290" i="19"/>
  <c r="O289" i="19"/>
  <c r="O288" i="19"/>
  <c r="O287" i="19"/>
  <c r="O286" i="19"/>
  <c r="O285" i="19"/>
  <c r="O284" i="19"/>
  <c r="O283" i="19"/>
  <c r="O282" i="19"/>
  <c r="O281" i="19"/>
  <c r="O280" i="19"/>
  <c r="O279" i="19"/>
  <c r="O278" i="19"/>
  <c r="O277" i="19"/>
  <c r="O276" i="19"/>
  <c r="O275" i="19"/>
  <c r="O253" i="19"/>
  <c r="O252" i="19"/>
  <c r="O251" i="19"/>
  <c r="O250" i="19"/>
  <c r="O249" i="19"/>
  <c r="O248" i="19"/>
  <c r="O247" i="19"/>
  <c r="O246" i="19"/>
  <c r="O245" i="19"/>
  <c r="O244" i="19"/>
  <c r="O243" i="19"/>
  <c r="O242" i="19"/>
  <c r="O241" i="19"/>
  <c r="O240" i="19"/>
  <c r="O239" i="19"/>
  <c r="O238" i="19"/>
  <c r="N236" i="19"/>
  <c r="M236" i="19"/>
  <c r="L236" i="19"/>
  <c r="K236" i="19"/>
  <c r="J236" i="19"/>
  <c r="I236" i="19"/>
  <c r="H236" i="19"/>
  <c r="G236" i="19"/>
  <c r="F236" i="19"/>
  <c r="E236" i="19"/>
  <c r="D236" i="19"/>
  <c r="C236" i="19"/>
  <c r="O235" i="19"/>
  <c r="O234" i="19"/>
  <c r="O233" i="19"/>
  <c r="O232" i="19"/>
  <c r="O231" i="19"/>
  <c r="O230" i="19"/>
  <c r="O229" i="19"/>
  <c r="O228" i="19"/>
  <c r="O227" i="19"/>
  <c r="O226" i="19"/>
  <c r="O225" i="19"/>
  <c r="O224" i="19"/>
  <c r="O223" i="19"/>
  <c r="O222" i="19"/>
  <c r="O236" i="19" s="1"/>
  <c r="L219" i="19"/>
  <c r="L368" i="19" s="1"/>
  <c r="H219" i="19"/>
  <c r="H368" i="19" s="1"/>
  <c r="D219" i="19"/>
  <c r="D368" i="19" s="1"/>
  <c r="N217" i="19"/>
  <c r="N219" i="19" s="1"/>
  <c r="N368" i="19" s="1"/>
  <c r="M217" i="19"/>
  <c r="M219" i="19" s="1"/>
  <c r="M368" i="19" s="1"/>
  <c r="L217" i="19"/>
  <c r="K217" i="19"/>
  <c r="K219" i="19" s="1"/>
  <c r="K368" i="19" s="1"/>
  <c r="J217" i="19"/>
  <c r="J219" i="19" s="1"/>
  <c r="J368" i="19" s="1"/>
  <c r="I217" i="19"/>
  <c r="I219" i="19" s="1"/>
  <c r="I368" i="19" s="1"/>
  <c r="H217" i="19"/>
  <c r="G217" i="19"/>
  <c r="G219" i="19" s="1"/>
  <c r="G368" i="19" s="1"/>
  <c r="F217" i="19"/>
  <c r="F219" i="19" s="1"/>
  <c r="F368" i="19" s="1"/>
  <c r="E217" i="19"/>
  <c r="E219" i="19" s="1"/>
  <c r="E368" i="19" s="1"/>
  <c r="D217" i="19"/>
  <c r="C217" i="19"/>
  <c r="C219" i="19" s="1"/>
  <c r="C368" i="19" s="1"/>
  <c r="O216" i="19"/>
  <c r="O215" i="19"/>
  <c r="O214" i="19"/>
  <c r="O213" i="19"/>
  <c r="O212" i="19"/>
  <c r="O211" i="19"/>
  <c r="O210" i="19"/>
  <c r="O209" i="19"/>
  <c r="O208" i="19"/>
  <c r="O207" i="19"/>
  <c r="O206" i="19"/>
  <c r="O205" i="19"/>
  <c r="O204" i="19"/>
  <c r="O203" i="19"/>
  <c r="O202" i="19"/>
  <c r="O201" i="19"/>
  <c r="O200" i="19"/>
  <c r="O199" i="19"/>
  <c r="O198" i="19"/>
  <c r="O197" i="19"/>
  <c r="O196" i="19"/>
  <c r="O195" i="19"/>
  <c r="O194" i="19"/>
  <c r="O193" i="19"/>
  <c r="O192" i="19"/>
  <c r="O191" i="19"/>
  <c r="O190" i="19"/>
  <c r="O189" i="19"/>
  <c r="O188" i="19"/>
  <c r="O187" i="19"/>
  <c r="O186" i="19"/>
  <c r="O185" i="19"/>
  <c r="O184" i="19"/>
  <c r="O183" i="19"/>
  <c r="O182" i="19"/>
  <c r="O181" i="19"/>
  <c r="O180" i="19"/>
  <c r="O179" i="19"/>
  <c r="O178" i="19"/>
  <c r="O177" i="19"/>
  <c r="O176" i="19"/>
  <c r="O175" i="19"/>
  <c r="O174" i="19"/>
  <c r="O173" i="19"/>
  <c r="O172" i="19"/>
  <c r="O171" i="19"/>
  <c r="O170" i="19"/>
  <c r="O169" i="19"/>
  <c r="O168" i="19"/>
  <c r="O167" i="19"/>
  <c r="O166" i="19"/>
  <c r="O165" i="19"/>
  <c r="O164" i="19"/>
  <c r="O163" i="19"/>
  <c r="O162" i="19"/>
  <c r="O161" i="19"/>
  <c r="O160" i="19"/>
  <c r="O159" i="19"/>
  <c r="O158" i="19"/>
  <c r="O157" i="19"/>
  <c r="O156" i="19"/>
  <c r="O155" i="19"/>
  <c r="O154" i="19"/>
  <c r="O153" i="19"/>
  <c r="O152" i="19"/>
  <c r="O151" i="19"/>
  <c r="O150" i="19"/>
  <c r="O149" i="19"/>
  <c r="O148" i="19"/>
  <c r="O147" i="19"/>
  <c r="O146" i="19"/>
  <c r="O145" i="19"/>
  <c r="O144" i="19"/>
  <c r="O143" i="19"/>
  <c r="O142" i="19"/>
  <c r="O141" i="19"/>
  <c r="O140" i="19"/>
  <c r="O139" i="19"/>
  <c r="O138" i="19"/>
  <c r="O137" i="19"/>
  <c r="O136" i="19"/>
  <c r="O135" i="19"/>
  <c r="O134" i="19"/>
  <c r="O133" i="19"/>
  <c r="O132" i="19"/>
  <c r="O131" i="19"/>
  <c r="O130" i="19"/>
  <c r="O129" i="19"/>
  <c r="O128" i="19"/>
  <c r="O127" i="19"/>
  <c r="O126" i="19"/>
  <c r="O125" i="19"/>
  <c r="O124" i="19"/>
  <c r="O123" i="19"/>
  <c r="O122" i="19"/>
  <c r="O121" i="19"/>
  <c r="O120" i="19"/>
  <c r="O119" i="19"/>
  <c r="O118" i="19"/>
  <c r="O117" i="19"/>
  <c r="O116" i="19"/>
  <c r="O115" i="19"/>
  <c r="O114" i="19"/>
  <c r="O113" i="19"/>
  <c r="O112" i="19"/>
  <c r="O111" i="19"/>
  <c r="O110" i="19"/>
  <c r="O109" i="19"/>
  <c r="O108" i="19"/>
  <c r="O107" i="19"/>
  <c r="O106" i="19"/>
  <c r="O105" i="19"/>
  <c r="O104" i="19"/>
  <c r="O103" i="19"/>
  <c r="O102" i="19"/>
  <c r="O101" i="19"/>
  <c r="O100" i="19"/>
  <c r="O99" i="19"/>
  <c r="O98" i="19"/>
  <c r="O97" i="19"/>
  <c r="O96" i="19"/>
  <c r="O95" i="19"/>
  <c r="O94" i="19"/>
  <c r="O93" i="19"/>
  <c r="O92" i="19"/>
  <c r="O91" i="19"/>
  <c r="O90" i="19"/>
  <c r="O89" i="19"/>
  <c r="O88" i="19"/>
  <c r="O87" i="19"/>
  <c r="O86" i="19"/>
  <c r="O85" i="19"/>
  <c r="O84" i="19"/>
  <c r="O83" i="19"/>
  <c r="O82" i="19"/>
  <c r="O81" i="19"/>
  <c r="O80" i="19"/>
  <c r="O217" i="19" s="1"/>
  <c r="N78" i="19"/>
  <c r="M78" i="19"/>
  <c r="L78" i="19"/>
  <c r="K78" i="19"/>
  <c r="J78" i="19"/>
  <c r="I78" i="19"/>
  <c r="H78" i="19"/>
  <c r="G78" i="19"/>
  <c r="F78" i="19"/>
  <c r="E78" i="19"/>
  <c r="D78" i="19"/>
  <c r="C78" i="19"/>
  <c r="O77" i="19"/>
  <c r="O76" i="19"/>
  <c r="O75" i="19"/>
  <c r="O74" i="19"/>
  <c r="O70" i="19"/>
  <c r="O69" i="19"/>
  <c r="O68" i="19"/>
  <c r="O67" i="19"/>
  <c r="O66" i="19"/>
  <c r="O65" i="19"/>
  <c r="O64" i="19"/>
  <c r="O63" i="19"/>
  <c r="O62" i="19"/>
  <c r="O61" i="19"/>
  <c r="O60" i="19"/>
  <c r="O59" i="19"/>
  <c r="O58" i="19"/>
  <c r="O57" i="19"/>
  <c r="O56" i="19"/>
  <c r="O55" i="19"/>
  <c r="O54" i="19"/>
  <c r="O53" i="19"/>
  <c r="O52" i="19"/>
  <c r="O51" i="19"/>
  <c r="O50" i="19"/>
  <c r="O49" i="19"/>
  <c r="O48" i="19"/>
  <c r="O47" i="19"/>
  <c r="O46" i="19"/>
  <c r="O45" i="19"/>
  <c r="O44" i="19"/>
  <c r="O43" i="19"/>
  <c r="O42" i="19"/>
  <c r="O41" i="19"/>
  <c r="O40" i="19"/>
  <c r="O39" i="19"/>
  <c r="O38" i="19"/>
  <c r="O37" i="19"/>
  <c r="O36" i="19"/>
  <c r="O35" i="19"/>
  <c r="O34" i="19"/>
  <c r="O33" i="19"/>
  <c r="O32" i="19"/>
  <c r="O31" i="19"/>
  <c r="O30" i="19"/>
  <c r="O29" i="19"/>
  <c r="O28" i="19"/>
  <c r="O27" i="19"/>
  <c r="O26" i="19"/>
  <c r="O25" i="19"/>
  <c r="O24" i="19"/>
  <c r="O23" i="19"/>
  <c r="O22" i="19"/>
  <c r="O21" i="19"/>
  <c r="O20" i="19"/>
  <c r="O19" i="19"/>
  <c r="O18" i="19"/>
  <c r="O17" i="19"/>
  <c r="O16" i="19"/>
  <c r="O15" i="19"/>
  <c r="O14" i="19"/>
  <c r="O13" i="19"/>
  <c r="O12" i="19"/>
  <c r="O11" i="19"/>
  <c r="O78" i="19" s="1"/>
  <c r="O10" i="19"/>
  <c r="O9" i="19"/>
  <c r="O8" i="19"/>
  <c r="O219" i="16" l="1"/>
  <c r="O368" i="16" s="1"/>
  <c r="O219" i="19"/>
  <c r="O368" i="19" s="1"/>
  <c r="C76" i="18"/>
  <c r="C31" i="18"/>
  <c r="O298" i="14"/>
  <c r="O297" i="14"/>
  <c r="O296" i="14"/>
  <c r="O295" i="14"/>
  <c r="O294" i="14"/>
  <c r="O288" i="14"/>
  <c r="O287" i="14"/>
  <c r="O285" i="14"/>
  <c r="O277" i="14"/>
  <c r="O276" i="14"/>
  <c r="O275" i="14"/>
  <c r="O274" i="14"/>
  <c r="O273" i="14"/>
  <c r="O272" i="14"/>
  <c r="O271" i="14"/>
  <c r="O270" i="14"/>
  <c r="O269" i="14"/>
  <c r="O268" i="14"/>
  <c r="O267" i="14"/>
  <c r="O266" i="14"/>
  <c r="O265" i="14"/>
  <c r="O264" i="14"/>
  <c r="O263" i="14"/>
  <c r="O262" i="14"/>
  <c r="O261" i="14"/>
  <c r="O260" i="14"/>
  <c r="O259" i="14"/>
  <c r="O258" i="14"/>
  <c r="O257" i="14"/>
  <c r="O256" i="14"/>
  <c r="O255" i="14"/>
  <c r="O254" i="14"/>
  <c r="O253" i="14"/>
  <c r="O252" i="14"/>
  <c r="O251" i="14"/>
  <c r="O250" i="14"/>
  <c r="O249" i="14"/>
  <c r="O248" i="14"/>
  <c r="O247" i="14"/>
  <c r="O244" i="14"/>
  <c r="O243" i="14"/>
  <c r="O218" i="14"/>
  <c r="H76" i="18" s="1"/>
  <c r="O217" i="14"/>
  <c r="O216" i="14"/>
  <c r="O215" i="14"/>
  <c r="O214" i="14"/>
  <c r="O213" i="14"/>
  <c r="O212" i="14"/>
  <c r="O211" i="14"/>
  <c r="O210" i="14"/>
  <c r="O209" i="14"/>
  <c r="O208" i="14"/>
  <c r="O207" i="14"/>
  <c r="N205" i="14"/>
  <c r="M205" i="14"/>
  <c r="L205" i="14"/>
  <c r="K205" i="14"/>
  <c r="J205" i="14"/>
  <c r="I205" i="14"/>
  <c r="H205" i="14"/>
  <c r="G205" i="14"/>
  <c r="F205" i="14"/>
  <c r="E205" i="14"/>
  <c r="D205" i="14"/>
  <c r="C205" i="14"/>
  <c r="O203" i="14"/>
  <c r="O202" i="14"/>
  <c r="O201" i="14"/>
  <c r="O200" i="14"/>
  <c r="O199" i="14"/>
  <c r="O198" i="14"/>
  <c r="O197" i="14"/>
  <c r="O196" i="14"/>
  <c r="O195" i="14"/>
  <c r="O194" i="14"/>
  <c r="O193" i="14"/>
  <c r="O192" i="14"/>
  <c r="O191" i="14"/>
  <c r="N188" i="14"/>
  <c r="N331" i="14" s="1"/>
  <c r="J188" i="14"/>
  <c r="J331" i="14" s="1"/>
  <c r="F188" i="14"/>
  <c r="F331" i="14" s="1"/>
  <c r="N186" i="14"/>
  <c r="M186" i="14"/>
  <c r="M188" i="14" s="1"/>
  <c r="L186" i="14"/>
  <c r="L188" i="14" s="1"/>
  <c r="K186" i="14"/>
  <c r="K188" i="14" s="1"/>
  <c r="K331" i="14" s="1"/>
  <c r="J186" i="14"/>
  <c r="I186" i="14"/>
  <c r="I188" i="14" s="1"/>
  <c r="H186" i="14"/>
  <c r="H188" i="14" s="1"/>
  <c r="G186" i="14"/>
  <c r="G188" i="14" s="1"/>
  <c r="G331" i="14" s="1"/>
  <c r="F186" i="14"/>
  <c r="E186" i="14"/>
  <c r="E188" i="14" s="1"/>
  <c r="D186" i="14"/>
  <c r="D188" i="14" s="1"/>
  <c r="C186" i="14"/>
  <c r="C188" i="14" s="1"/>
  <c r="C331" i="14" s="1"/>
  <c r="O185" i="14"/>
  <c r="O184" i="14"/>
  <c r="H31" i="18" s="1"/>
  <c r="O183" i="14"/>
  <c r="O182" i="14"/>
  <c r="O181" i="14"/>
  <c r="O180" i="14"/>
  <c r="O179" i="14"/>
  <c r="O178" i="14"/>
  <c r="O177" i="14"/>
  <c r="O176" i="14"/>
  <c r="O175" i="14"/>
  <c r="O174" i="14"/>
  <c r="O173" i="14"/>
  <c r="O172" i="14"/>
  <c r="O171" i="14"/>
  <c r="O170" i="14"/>
  <c r="O169" i="14"/>
  <c r="O168" i="14"/>
  <c r="O167" i="14"/>
  <c r="O166" i="14"/>
  <c r="O165" i="14"/>
  <c r="O164" i="14"/>
  <c r="O163" i="14"/>
  <c r="O162" i="14"/>
  <c r="O161" i="14"/>
  <c r="O160" i="14"/>
  <c r="O159" i="14"/>
  <c r="O158" i="14"/>
  <c r="O157" i="14"/>
  <c r="O156" i="14"/>
  <c r="O155" i="14"/>
  <c r="O154" i="14"/>
  <c r="O153" i="14"/>
  <c r="O152" i="14"/>
  <c r="O151" i="14"/>
  <c r="O150" i="14"/>
  <c r="O149" i="14"/>
  <c r="O148" i="14"/>
  <c r="O147" i="14"/>
  <c r="O146" i="14"/>
  <c r="O145" i="14"/>
  <c r="O144" i="14"/>
  <c r="O143" i="14"/>
  <c r="O142" i="14"/>
  <c r="O141" i="14"/>
  <c r="O140" i="14"/>
  <c r="O139" i="14"/>
  <c r="O138" i="14"/>
  <c r="O137" i="14"/>
  <c r="O136" i="14"/>
  <c r="O135" i="14"/>
  <c r="O134" i="14"/>
  <c r="O133" i="14"/>
  <c r="O132" i="14"/>
  <c r="O131" i="14"/>
  <c r="O130" i="14"/>
  <c r="O129" i="14"/>
  <c r="O128" i="14"/>
  <c r="O127" i="14"/>
  <c r="O126" i="14"/>
  <c r="O125" i="14"/>
  <c r="O124" i="14"/>
  <c r="O123" i="14"/>
  <c r="O122" i="14"/>
  <c r="O121" i="14"/>
  <c r="O120" i="14"/>
  <c r="O119" i="14"/>
  <c r="O118" i="14"/>
  <c r="O117" i="14"/>
  <c r="O116" i="14"/>
  <c r="O115" i="14"/>
  <c r="O114" i="14"/>
  <c r="O113" i="14"/>
  <c r="O112" i="14"/>
  <c r="O111" i="14"/>
  <c r="O110" i="14"/>
  <c r="O109" i="14"/>
  <c r="O108" i="14"/>
  <c r="O107" i="14"/>
  <c r="O106" i="14"/>
  <c r="O105" i="14"/>
  <c r="O104" i="14"/>
  <c r="O103" i="14"/>
  <c r="O102" i="14"/>
  <c r="O101" i="14"/>
  <c r="O100" i="14"/>
  <c r="O99" i="14"/>
  <c r="O98" i="14"/>
  <c r="O97" i="14"/>
  <c r="O96" i="14"/>
  <c r="O95" i="14"/>
  <c r="O94" i="14"/>
  <c r="O93" i="14"/>
  <c r="O92" i="14"/>
  <c r="O91" i="14"/>
  <c r="O90" i="14"/>
  <c r="O89" i="14"/>
  <c r="O88" i="14"/>
  <c r="O87" i="14"/>
  <c r="O86" i="14"/>
  <c r="O85" i="14"/>
  <c r="O84" i="14"/>
  <c r="O83" i="14"/>
  <c r="O82" i="14"/>
  <c r="O81" i="14"/>
  <c r="O80" i="14"/>
  <c r="O79" i="14"/>
  <c r="O78" i="14"/>
  <c r="O77" i="14"/>
  <c r="O76" i="14"/>
  <c r="O75" i="14"/>
  <c r="O74" i="14"/>
  <c r="O73" i="14"/>
  <c r="O72" i="14"/>
  <c r="O71" i="14"/>
  <c r="O70" i="14"/>
  <c r="N68" i="14"/>
  <c r="M68" i="14"/>
  <c r="L68" i="14"/>
  <c r="K68" i="14"/>
  <c r="J68" i="14"/>
  <c r="I68" i="14"/>
  <c r="H68" i="14"/>
  <c r="G68" i="14"/>
  <c r="F68" i="14"/>
  <c r="E68" i="14"/>
  <c r="D68" i="14"/>
  <c r="C68" i="14"/>
  <c r="O67" i="14"/>
  <c r="O66" i="14"/>
  <c r="O65" i="14"/>
  <c r="O64" i="14"/>
  <c r="O60" i="14"/>
  <c r="O59" i="14"/>
  <c r="O58" i="14"/>
  <c r="O57" i="14"/>
  <c r="O56" i="14"/>
  <c r="O55" i="14"/>
  <c r="O54" i="14"/>
  <c r="O53" i="14"/>
  <c r="O52" i="14"/>
  <c r="O51" i="14"/>
  <c r="O50" i="14"/>
  <c r="O49" i="14"/>
  <c r="O48" i="14"/>
  <c r="O47" i="14"/>
  <c r="O46" i="14"/>
  <c r="O45" i="14"/>
  <c r="O44" i="14"/>
  <c r="O43" i="14"/>
  <c r="O42" i="14"/>
  <c r="O41" i="14"/>
  <c r="O40" i="14"/>
  <c r="O39" i="14"/>
  <c r="O38" i="14"/>
  <c r="O37" i="14"/>
  <c r="O36" i="14"/>
  <c r="O35" i="14"/>
  <c r="O34" i="14"/>
  <c r="O33" i="14"/>
  <c r="O32" i="14"/>
  <c r="O31" i="14"/>
  <c r="O30" i="14"/>
  <c r="O29" i="14"/>
  <c r="O28" i="14"/>
  <c r="O27" i="14"/>
  <c r="O26" i="14"/>
  <c r="O25" i="14"/>
  <c r="O24" i="14"/>
  <c r="O23" i="14"/>
  <c r="O22" i="14"/>
  <c r="O21" i="14"/>
  <c r="O20" i="14"/>
  <c r="O19" i="14"/>
  <c r="O18" i="14"/>
  <c r="O17" i="14"/>
  <c r="O16" i="14"/>
  <c r="O15" i="14"/>
  <c r="O14" i="14"/>
  <c r="O13" i="14"/>
  <c r="O12" i="14"/>
  <c r="O11" i="14"/>
  <c r="O10" i="14"/>
  <c r="O9" i="14"/>
  <c r="O8" i="14"/>
  <c r="D31" i="18"/>
  <c r="I31" i="18"/>
  <c r="E31" i="18"/>
  <c r="J31" i="18"/>
  <c r="O68" i="14" l="1"/>
  <c r="O205" i="14"/>
  <c r="O186" i="14"/>
  <c r="O188" i="14" s="1"/>
  <c r="O331" i="14"/>
  <c r="D331" i="14"/>
  <c r="H331" i="14"/>
  <c r="L331" i="14"/>
  <c r="E331" i="14"/>
  <c r="I331" i="14"/>
  <c r="M331" i="14"/>
  <c r="E81" i="18"/>
  <c r="J81" i="18"/>
  <c r="E75" i="18"/>
  <c r="D75" i="18"/>
  <c r="C75" i="18"/>
  <c r="E50" i="18"/>
  <c r="D50" i="18"/>
  <c r="C50" i="18"/>
  <c r="E49" i="18"/>
  <c r="D49" i="18"/>
  <c r="C49" i="18"/>
  <c r="E43" i="18"/>
  <c r="D43" i="18"/>
  <c r="C43" i="18"/>
  <c r="E38" i="18"/>
  <c r="D38" i="18"/>
  <c r="C38" i="18"/>
  <c r="E21" i="18"/>
  <c r="D21" i="18"/>
  <c r="C21" i="18"/>
  <c r="E14" i="18"/>
  <c r="D14" i="18"/>
  <c r="C14" i="18"/>
  <c r="E74" i="18"/>
  <c r="D74" i="18"/>
  <c r="C74" i="18"/>
  <c r="E73" i="18"/>
  <c r="D73" i="18"/>
  <c r="C73" i="18"/>
  <c r="E72" i="18"/>
  <c r="D72" i="18"/>
  <c r="E71" i="18"/>
  <c r="D71" i="18"/>
  <c r="C71" i="18"/>
  <c r="E70" i="18"/>
  <c r="D70" i="18"/>
  <c r="C70" i="18"/>
  <c r="E69" i="18"/>
  <c r="D69" i="18"/>
  <c r="C69" i="18"/>
  <c r="E68" i="18"/>
  <c r="D68" i="18"/>
  <c r="E67" i="18"/>
  <c r="D67" i="18"/>
  <c r="C67" i="18"/>
  <c r="E66" i="18"/>
  <c r="D66" i="18"/>
  <c r="C66" i="18"/>
  <c r="E65" i="18"/>
  <c r="D65" i="18"/>
  <c r="C65" i="18"/>
  <c r="E64" i="18"/>
  <c r="D64" i="18"/>
  <c r="C64" i="18"/>
  <c r="E58" i="18"/>
  <c r="D58" i="18"/>
  <c r="C58" i="18"/>
  <c r="E57" i="18"/>
  <c r="D57" i="18"/>
  <c r="C57" i="18"/>
  <c r="E56" i="18"/>
  <c r="D56" i="18"/>
  <c r="C56" i="18"/>
  <c r="E53" i="18"/>
  <c r="D53" i="18"/>
  <c r="C53" i="18"/>
  <c r="E52" i="18"/>
  <c r="D52" i="18"/>
  <c r="E51" i="18"/>
  <c r="D51" i="18"/>
  <c r="C51" i="18"/>
  <c r="E46" i="18"/>
  <c r="D46" i="18"/>
  <c r="C46" i="18"/>
  <c r="E40" i="18"/>
  <c r="D40" i="18"/>
  <c r="C40" i="18"/>
  <c r="E39" i="18"/>
  <c r="D39" i="18"/>
  <c r="C39" i="18"/>
  <c r="E35" i="18"/>
  <c r="D35" i="18"/>
  <c r="C35" i="18"/>
  <c r="E34" i="18"/>
  <c r="D34" i="18"/>
  <c r="C34" i="18"/>
  <c r="E33" i="18"/>
  <c r="D33" i="18"/>
  <c r="C33" i="18"/>
  <c r="E32" i="18"/>
  <c r="D32" i="18"/>
  <c r="C32" i="18"/>
  <c r="E29" i="18"/>
  <c r="D29" i="18"/>
  <c r="C29" i="18"/>
  <c r="E28" i="18"/>
  <c r="D28" i="18"/>
  <c r="C28" i="18"/>
  <c r="E22" i="18"/>
  <c r="D22" i="18"/>
  <c r="C22" i="18"/>
  <c r="E18" i="18"/>
  <c r="D18" i="18"/>
  <c r="C18" i="18"/>
  <c r="E15" i="18"/>
  <c r="D15" i="18"/>
  <c r="C15" i="18"/>
  <c r="E11" i="18"/>
  <c r="D11" i="18"/>
  <c r="C11" i="18"/>
  <c r="E10" i="18"/>
  <c r="D10" i="18"/>
  <c r="C10" i="18"/>
  <c r="E9" i="18"/>
  <c r="D9" i="18"/>
  <c r="C9" i="18"/>
  <c r="E8" i="18"/>
  <c r="D8" i="18"/>
  <c r="C8" i="18"/>
  <c r="E7" i="18"/>
  <c r="D7" i="18"/>
  <c r="J75" i="18" l="1"/>
  <c r="I75" i="18"/>
  <c r="H75" i="18"/>
  <c r="I74" i="18"/>
  <c r="H74" i="18"/>
  <c r="J74" i="18"/>
  <c r="J43" i="18"/>
  <c r="J44" i="18" s="1"/>
  <c r="I43" i="18"/>
  <c r="I44" i="18" s="1"/>
  <c r="H43" i="18"/>
  <c r="H44" i="18" s="1"/>
  <c r="E44" i="18"/>
  <c r="D44" i="18"/>
  <c r="C44" i="18"/>
  <c r="E47" i="18" l="1"/>
  <c r="D47" i="18"/>
  <c r="C47" i="18"/>
  <c r="J39" i="18" l="1"/>
  <c r="J56" i="18"/>
  <c r="I56" i="18" l="1"/>
  <c r="H56" i="18"/>
  <c r="I28" i="18" l="1"/>
  <c r="J28" i="18"/>
  <c r="H28" i="18"/>
  <c r="I81" i="18"/>
  <c r="H39" i="18" l="1"/>
  <c r="I39" i="18"/>
  <c r="J66" i="18" l="1"/>
  <c r="I66" i="18"/>
  <c r="H66" i="18"/>
  <c r="I70" i="18" l="1"/>
  <c r="I52" i="18"/>
  <c r="I53" i="18"/>
  <c r="I34" i="18"/>
  <c r="I32" i="18"/>
  <c r="I38" i="18"/>
  <c r="I29" i="18"/>
  <c r="I46" i="18"/>
  <c r="I47" i="18" s="1"/>
  <c r="I7" i="18"/>
  <c r="I11" i="18"/>
  <c r="I10" i="18"/>
  <c r="I8" i="18"/>
  <c r="J73" i="18"/>
  <c r="J70" i="18"/>
  <c r="J64" i="18"/>
  <c r="J49" i="18"/>
  <c r="J52" i="18"/>
  <c r="J11" i="18"/>
  <c r="J10" i="18"/>
  <c r="J51" i="18"/>
  <c r="J69" i="18"/>
  <c r="J67" i="18"/>
  <c r="D19" i="18"/>
  <c r="H8" i="18"/>
  <c r="H9" i="18"/>
  <c r="I9" i="18"/>
  <c r="H10" i="18"/>
  <c r="H11" i="18"/>
  <c r="H14" i="18"/>
  <c r="I14" i="18"/>
  <c r="H15" i="18"/>
  <c r="I15" i="18"/>
  <c r="H18" i="18"/>
  <c r="H19" i="18" s="1"/>
  <c r="I18" i="18"/>
  <c r="I19" i="18" s="1"/>
  <c r="H21" i="18"/>
  <c r="I21" i="18"/>
  <c r="H22" i="18"/>
  <c r="I22" i="18"/>
  <c r="H29" i="18"/>
  <c r="H32" i="18"/>
  <c r="H33" i="18"/>
  <c r="I33" i="18"/>
  <c r="H34" i="18"/>
  <c r="J34" i="18"/>
  <c r="H35" i="18"/>
  <c r="I35" i="18"/>
  <c r="H38" i="18"/>
  <c r="H40" i="18"/>
  <c r="H46" i="18"/>
  <c r="H47" i="18" s="1"/>
  <c r="H49" i="18"/>
  <c r="I49" i="18"/>
  <c r="H50" i="18"/>
  <c r="I50" i="18"/>
  <c r="H51" i="18"/>
  <c r="I51" i="18"/>
  <c r="H53" i="18"/>
  <c r="J53" i="18"/>
  <c r="H57" i="18"/>
  <c r="I57" i="18"/>
  <c r="H58" i="18"/>
  <c r="I58" i="18"/>
  <c r="H64" i="18"/>
  <c r="I64" i="18"/>
  <c r="H65" i="18"/>
  <c r="I65" i="18"/>
  <c r="H67" i="18"/>
  <c r="I67" i="18"/>
  <c r="I68" i="18"/>
  <c r="H69" i="18"/>
  <c r="I69" i="18"/>
  <c r="H70" i="18"/>
  <c r="H71" i="18"/>
  <c r="I71" i="18"/>
  <c r="I72" i="18"/>
  <c r="H73" i="18"/>
  <c r="I73" i="18"/>
  <c r="J72" i="18"/>
  <c r="J71" i="18"/>
  <c r="J68" i="18"/>
  <c r="J65" i="18"/>
  <c r="J50" i="18"/>
  <c r="J35" i="18"/>
  <c r="J18" i="18"/>
  <c r="J19" i="18" s="1"/>
  <c r="J9" i="18"/>
  <c r="E19" i="18"/>
  <c r="H23" i="18" l="1"/>
  <c r="H16" i="18"/>
  <c r="I16" i="18"/>
  <c r="H12" i="18"/>
  <c r="H41" i="18"/>
  <c r="H36" i="18"/>
  <c r="H77" i="18"/>
  <c r="H59" i="18"/>
  <c r="H54" i="18"/>
  <c r="I77" i="18"/>
  <c r="I36" i="18"/>
  <c r="I40" i="18"/>
  <c r="I41" i="18" s="1"/>
  <c r="D54" i="18"/>
  <c r="D36" i="18"/>
  <c r="D23" i="18"/>
  <c r="D16" i="18"/>
  <c r="I59" i="18"/>
  <c r="I54" i="18"/>
  <c r="D12" i="18"/>
  <c r="D59" i="18"/>
  <c r="D77" i="18"/>
  <c r="I23" i="18"/>
  <c r="I12" i="18"/>
  <c r="J33" i="18"/>
  <c r="J40" i="18"/>
  <c r="J77" i="18"/>
  <c r="J57" i="18"/>
  <c r="J14" i="18"/>
  <c r="J8" i="18"/>
  <c r="J7" i="18"/>
  <c r="J29" i="18"/>
  <c r="J38" i="18"/>
  <c r="J22" i="18"/>
  <c r="J58" i="18"/>
  <c r="J15" i="18"/>
  <c r="J46" i="18"/>
  <c r="J47" i="18" s="1"/>
  <c r="J32" i="18"/>
  <c r="J54" i="18"/>
  <c r="E36" i="18"/>
  <c r="J21" i="18"/>
  <c r="D41" i="18"/>
  <c r="E41" i="18"/>
  <c r="E59" i="18"/>
  <c r="E16" i="18"/>
  <c r="E12" i="18"/>
  <c r="E77" i="18"/>
  <c r="E23" i="18"/>
  <c r="E54" i="18"/>
  <c r="H61" i="18" l="1"/>
  <c r="D61" i="18"/>
  <c r="I61" i="18"/>
  <c r="E61" i="18"/>
  <c r="J16" i="18"/>
  <c r="I25" i="18"/>
  <c r="H25" i="18"/>
  <c r="D25" i="18"/>
  <c r="J12" i="18"/>
  <c r="J23" i="18"/>
  <c r="J41" i="18"/>
  <c r="J59" i="18"/>
  <c r="J36" i="18"/>
  <c r="E25" i="18"/>
  <c r="J61" i="18" l="1"/>
  <c r="I79" i="18"/>
  <c r="H79" i="18"/>
  <c r="D79" i="18"/>
  <c r="J25" i="18"/>
  <c r="J79" i="18" l="1"/>
  <c r="C19" i="18" l="1"/>
  <c r="C77" i="18" l="1"/>
  <c r="H81" i="18" l="1"/>
  <c r="D81" i="18"/>
  <c r="C81" i="18"/>
  <c r="H28" i="17" l="1"/>
  <c r="D54" i="17"/>
  <c r="H54" i="17"/>
  <c r="K54" i="17"/>
  <c r="L54" i="17"/>
  <c r="C35" i="17"/>
  <c r="G54" i="17" l="1"/>
  <c r="C54" i="17"/>
  <c r="H53" i="17"/>
  <c r="H52" i="17"/>
  <c r="H45" i="17"/>
  <c r="H44" i="17"/>
  <c r="H40" i="17"/>
  <c r="H39" i="17"/>
  <c r="H36" i="17"/>
  <c r="H35" i="17"/>
  <c r="H32" i="17"/>
  <c r="H31" i="17"/>
  <c r="H30" i="17"/>
  <c r="H29" i="17"/>
  <c r="H26" i="17"/>
  <c r="H25" i="17"/>
  <c r="H19" i="17"/>
  <c r="H18" i="17"/>
  <c r="H15" i="17"/>
  <c r="H14" i="17"/>
  <c r="H11" i="17"/>
  <c r="H10" i="17"/>
  <c r="H9" i="17"/>
  <c r="H8" i="17"/>
  <c r="D40" i="17"/>
  <c r="D39" i="17"/>
  <c r="D35" i="17"/>
  <c r="D18" i="17"/>
  <c r="D14" i="17"/>
  <c r="C44" i="17"/>
  <c r="C26" i="17"/>
  <c r="C18" i="17"/>
  <c r="C14" i="17"/>
  <c r="D53" i="17"/>
  <c r="C53" i="17"/>
  <c r="D52" i="17"/>
  <c r="C52" i="17"/>
  <c r="D45" i="17"/>
  <c r="C45" i="17"/>
  <c r="D44" i="17"/>
  <c r="C41" i="17"/>
  <c r="C40" i="17"/>
  <c r="C39" i="17"/>
  <c r="D36" i="17"/>
  <c r="C36" i="17"/>
  <c r="D32" i="17"/>
  <c r="D31" i="17"/>
  <c r="C31" i="17"/>
  <c r="D30" i="17"/>
  <c r="C30" i="17"/>
  <c r="D29" i="17"/>
  <c r="C29" i="17"/>
  <c r="D28" i="17"/>
  <c r="C28" i="17"/>
  <c r="C27" i="17"/>
  <c r="D26" i="17"/>
  <c r="D25" i="17"/>
  <c r="C25" i="17"/>
  <c r="D19" i="17"/>
  <c r="C19" i="17"/>
  <c r="D15" i="17"/>
  <c r="C15" i="17"/>
  <c r="D11" i="17"/>
  <c r="C11" i="17"/>
  <c r="D10" i="17"/>
  <c r="C10" i="17"/>
  <c r="D9" i="17"/>
  <c r="C9" i="17"/>
  <c r="D8" i="17"/>
  <c r="C8" i="17"/>
  <c r="C7" i="17"/>
  <c r="C6" i="17"/>
  <c r="G53" i="17" l="1"/>
  <c r="G52" i="17"/>
  <c r="G36" i="17"/>
  <c r="G15" i="17"/>
  <c r="G14" i="17"/>
  <c r="G35" i="17"/>
  <c r="L36" i="17"/>
  <c r="K36" i="17"/>
  <c r="L15" i="17"/>
  <c r="K15" i="17"/>
  <c r="C37" i="17"/>
  <c r="M15" i="17" l="1"/>
  <c r="G16" i="17"/>
  <c r="E36" i="17"/>
  <c r="I36" i="17"/>
  <c r="M36" i="17"/>
  <c r="I15" i="17"/>
  <c r="D16" i="17"/>
  <c r="E15" i="17"/>
  <c r="C16" i="17" l="1"/>
  <c r="G37" i="17"/>
  <c r="C41" i="18"/>
  <c r="C16" i="18"/>
  <c r="H37" i="17"/>
  <c r="H16" i="17"/>
  <c r="D37" i="17"/>
  <c r="L53" i="17"/>
  <c r="K53" i="17"/>
  <c r="M53" i="17" l="1"/>
  <c r="E53" i="17"/>
  <c r="I53" i="17"/>
  <c r="G55" i="17"/>
  <c r="G40" i="17"/>
  <c r="G28" i="17"/>
  <c r="L52" i="17"/>
  <c r="L55" i="17" s="1"/>
  <c r="K52" i="17"/>
  <c r="H55" i="17"/>
  <c r="C55" i="17"/>
  <c r="M52" i="17" l="1"/>
  <c r="M55" i="17" s="1"/>
  <c r="E52" i="17"/>
  <c r="E55" i="17" s="1"/>
  <c r="D55" i="17"/>
  <c r="K55" i="17"/>
  <c r="I52" i="17"/>
  <c r="I55" i="17" s="1"/>
  <c r="L25" i="17"/>
  <c r="L40" i="17"/>
  <c r="L39" i="17"/>
  <c r="L35" i="17"/>
  <c r="L37" i="17" s="1"/>
  <c r="L18" i="17"/>
  <c r="L14" i="17"/>
  <c r="L16" i="17" s="1"/>
  <c r="L45" i="17"/>
  <c r="L44" i="17"/>
  <c r="L41" i="17"/>
  <c r="L32" i="17"/>
  <c r="L31" i="17"/>
  <c r="L30" i="17"/>
  <c r="L29" i="17"/>
  <c r="L28" i="17"/>
  <c r="L26" i="17"/>
  <c r="L19" i="17"/>
  <c r="L11" i="17"/>
  <c r="L10" i="17"/>
  <c r="L9" i="17"/>
  <c r="L8" i="17"/>
  <c r="L7" i="17"/>
  <c r="L47" i="17" l="1"/>
  <c r="L33" i="17"/>
  <c r="L12" i="17"/>
  <c r="L20" i="17"/>
  <c r="L42" i="17"/>
  <c r="L22" i="17" l="1"/>
  <c r="L49" i="17"/>
  <c r="K40" i="17"/>
  <c r="K39" i="17"/>
  <c r="K14" i="17"/>
  <c r="K16" i="17" s="1"/>
  <c r="K45" i="17"/>
  <c r="K44" i="17"/>
  <c r="K32" i="17"/>
  <c r="K31" i="17"/>
  <c r="K30" i="17"/>
  <c r="K26" i="17"/>
  <c r="K11" i="17"/>
  <c r="K10" i="17"/>
  <c r="K9" i="17"/>
  <c r="C59" i="18"/>
  <c r="E79" i="18" l="1"/>
  <c r="L57" i="17"/>
  <c r="K47" i="17"/>
  <c r="C23" i="18"/>
  <c r="K19" i="17"/>
  <c r="K8" i="17"/>
  <c r="K12" i="17" s="1"/>
  <c r="K35" i="17"/>
  <c r="K37" i="17" s="1"/>
  <c r="C12" i="18"/>
  <c r="C36" i="18"/>
  <c r="K28" i="17"/>
  <c r="K18" i="17"/>
  <c r="K25" i="17"/>
  <c r="K29" i="17"/>
  <c r="C54" i="18"/>
  <c r="K42" i="17"/>
  <c r="C61" i="18" l="1"/>
  <c r="C25" i="18"/>
  <c r="K33" i="17"/>
  <c r="K49" i="17" s="1"/>
  <c r="K20" i="17"/>
  <c r="K22" i="17" s="1"/>
  <c r="C79" i="18" l="1"/>
  <c r="K57" i="17"/>
  <c r="G19" i="17"/>
  <c r="M41" i="17" l="1"/>
  <c r="G41" i="17"/>
  <c r="I41" i="17" s="1"/>
  <c r="L60" i="17" l="1"/>
  <c r="G45" i="17"/>
  <c r="M19" i="17"/>
  <c r="E41" i="17"/>
  <c r="E19" i="17"/>
  <c r="I19" i="17"/>
  <c r="D82" i="18" l="1"/>
  <c r="H82" i="18"/>
  <c r="H20" i="17"/>
  <c r="D20" i="17"/>
  <c r="E32" i="17"/>
  <c r="E27" i="17"/>
  <c r="C20" i="17"/>
  <c r="G18" i="17"/>
  <c r="G20" i="17" s="1"/>
  <c r="G25" i="17"/>
  <c r="G26" i="17"/>
  <c r="M46" i="17"/>
  <c r="G46" i="17"/>
  <c r="E46" i="17"/>
  <c r="G39" i="17"/>
  <c r="I32" i="17"/>
  <c r="G31" i="17"/>
  <c r="G30" i="17"/>
  <c r="G29" i="17"/>
  <c r="M27" i="17"/>
  <c r="G27" i="17"/>
  <c r="I27" i="17" s="1"/>
  <c r="G11" i="17"/>
  <c r="G10" i="17"/>
  <c r="G9" i="17"/>
  <c r="G8" i="17"/>
  <c r="G7" i="17"/>
  <c r="M6" i="17"/>
  <c r="G6" i="17"/>
  <c r="E6" i="17"/>
  <c r="C72" i="15"/>
  <c r="H73" i="15"/>
  <c r="H72" i="15"/>
  <c r="H67" i="15"/>
  <c r="H66" i="15"/>
  <c r="H65" i="15"/>
  <c r="H60" i="15"/>
  <c r="H62" i="15" s="1"/>
  <c r="H56" i="15"/>
  <c r="I56" i="15" s="1"/>
  <c r="H55" i="15"/>
  <c r="H54" i="15"/>
  <c r="H53" i="15"/>
  <c r="H45" i="15"/>
  <c r="H42" i="15"/>
  <c r="H41" i="15"/>
  <c r="H33" i="15"/>
  <c r="H29" i="15"/>
  <c r="H27" i="15"/>
  <c r="H21" i="15"/>
  <c r="H22" i="15" s="1"/>
  <c r="H18" i="15"/>
  <c r="H19" i="15" s="1"/>
  <c r="H15" i="15"/>
  <c r="H14" i="15"/>
  <c r="H13" i="15"/>
  <c r="H12" i="15"/>
  <c r="D66" i="15"/>
  <c r="D65" i="15"/>
  <c r="D60" i="15"/>
  <c r="D62" i="15" s="1"/>
  <c r="D21" i="15"/>
  <c r="D22" i="15" s="1"/>
  <c r="D18" i="15"/>
  <c r="D19" i="15" s="1"/>
  <c r="D73" i="15"/>
  <c r="D72" i="15"/>
  <c r="D67" i="15"/>
  <c r="D56" i="15"/>
  <c r="E56" i="15" s="1"/>
  <c r="D55" i="15"/>
  <c r="D54" i="15"/>
  <c r="D53" i="15"/>
  <c r="D45" i="15"/>
  <c r="D42" i="15"/>
  <c r="D41" i="15"/>
  <c r="D33" i="15"/>
  <c r="D29" i="15"/>
  <c r="D27" i="15"/>
  <c r="D15" i="15"/>
  <c r="D14" i="15"/>
  <c r="D13" i="15"/>
  <c r="D12" i="15"/>
  <c r="C60" i="15"/>
  <c r="E60" i="15" s="1"/>
  <c r="E62" i="15" s="1"/>
  <c r="C35" i="15"/>
  <c r="E35" i="15" s="1"/>
  <c r="C18" i="15"/>
  <c r="C19" i="15" s="1"/>
  <c r="C73" i="15"/>
  <c r="E73" i="15" s="1"/>
  <c r="C67" i="15"/>
  <c r="C66" i="15"/>
  <c r="C65" i="15"/>
  <c r="C55" i="15"/>
  <c r="C54" i="15"/>
  <c r="E54" i="15" s="1"/>
  <c r="C53" i="15"/>
  <c r="C52" i="15"/>
  <c r="C51" i="15"/>
  <c r="E51" i="15" s="1"/>
  <c r="C50" i="15"/>
  <c r="E50" i="15" s="1"/>
  <c r="C49" i="15"/>
  <c r="C48" i="15"/>
  <c r="C47" i="15"/>
  <c r="E47" i="15" s="1"/>
  <c r="C46" i="15"/>
  <c r="E46" i="15" s="1"/>
  <c r="C45" i="15"/>
  <c r="C44" i="15"/>
  <c r="E44" i="15" s="1"/>
  <c r="C43" i="15"/>
  <c r="E43" i="15" s="1"/>
  <c r="C42" i="15"/>
  <c r="C41" i="15"/>
  <c r="C40" i="15"/>
  <c r="E40" i="15" s="1"/>
  <c r="C39" i="15"/>
  <c r="E39" i="15" s="1"/>
  <c r="C38" i="15"/>
  <c r="E38" i="15" s="1"/>
  <c r="C37" i="15"/>
  <c r="E37" i="15" s="1"/>
  <c r="C36" i="15"/>
  <c r="E36" i="15" s="1"/>
  <c r="C34" i="15"/>
  <c r="E34" i="15" s="1"/>
  <c r="C33" i="15"/>
  <c r="C32" i="15"/>
  <c r="E32" i="15" s="1"/>
  <c r="C31" i="15"/>
  <c r="E31" i="15" s="1"/>
  <c r="C30" i="15"/>
  <c r="E30" i="15" s="1"/>
  <c r="C29" i="15"/>
  <c r="C28" i="15"/>
  <c r="E28" i="15" s="1"/>
  <c r="C27" i="15"/>
  <c r="C21" i="15"/>
  <c r="C22" i="15" s="1"/>
  <c r="C15" i="15"/>
  <c r="C14" i="15"/>
  <c r="C13" i="15"/>
  <c r="E13" i="15" s="1"/>
  <c r="C12" i="15"/>
  <c r="C11" i="15"/>
  <c r="C8" i="15"/>
  <c r="E8" i="15" s="1"/>
  <c r="L73" i="15"/>
  <c r="K73" i="15"/>
  <c r="G73" i="15"/>
  <c r="I73" i="15" s="1"/>
  <c r="L44" i="15"/>
  <c r="M44" i="15" s="1"/>
  <c r="L31" i="15"/>
  <c r="L72" i="15"/>
  <c r="L35" i="15"/>
  <c r="M35" i="15" s="1"/>
  <c r="E49" i="15"/>
  <c r="E48" i="15"/>
  <c r="L45" i="15"/>
  <c r="L32" i="15"/>
  <c r="M32" i="15" s="1"/>
  <c r="L40" i="15"/>
  <c r="M40" i="15" s="1"/>
  <c r="L49" i="15"/>
  <c r="L43" i="15"/>
  <c r="M43" i="15" s="1"/>
  <c r="L48" i="15"/>
  <c r="M48" i="15" s="1"/>
  <c r="L42" i="15"/>
  <c r="L52" i="15"/>
  <c r="M52" i="15" s="1"/>
  <c r="L46" i="15"/>
  <c r="L47" i="15"/>
  <c r="M47" i="15" s="1"/>
  <c r="L38" i="15"/>
  <c r="M38" i="15" s="1"/>
  <c r="L37" i="15"/>
  <c r="M37" i="15" s="1"/>
  <c r="L36" i="15"/>
  <c r="M36" i="15" s="1"/>
  <c r="L11" i="15"/>
  <c r="G31" i="15"/>
  <c r="I31" i="15" s="1"/>
  <c r="G44" i="15"/>
  <c r="I44" i="15" s="1"/>
  <c r="G28" i="15"/>
  <c r="I28" i="15" s="1"/>
  <c r="L66" i="15"/>
  <c r="L65" i="15"/>
  <c r="L60" i="15"/>
  <c r="L62" i="15" s="1"/>
  <c r="L21" i="15"/>
  <c r="L22" i="15" s="1"/>
  <c r="L18" i="15"/>
  <c r="L19" i="15" s="1"/>
  <c r="K66" i="15"/>
  <c r="K65" i="15"/>
  <c r="K60" i="15"/>
  <c r="K62" i="15" s="1"/>
  <c r="K21" i="15"/>
  <c r="K22" i="15" s="1"/>
  <c r="K18" i="15"/>
  <c r="K19" i="15" s="1"/>
  <c r="K12" i="15"/>
  <c r="K72" i="15"/>
  <c r="K67" i="15"/>
  <c r="K56" i="15"/>
  <c r="K55" i="15"/>
  <c r="K54" i="15"/>
  <c r="K53" i="15"/>
  <c r="K45" i="15"/>
  <c r="K42" i="15"/>
  <c r="K41" i="15"/>
  <c r="K33" i="15"/>
  <c r="K29" i="15"/>
  <c r="K27" i="15"/>
  <c r="K15" i="15"/>
  <c r="K14" i="15"/>
  <c r="K13" i="15"/>
  <c r="L13" i="15"/>
  <c r="L12" i="15"/>
  <c r="M68" i="15"/>
  <c r="L67" i="15"/>
  <c r="L56" i="15"/>
  <c r="L55" i="15"/>
  <c r="L54" i="15"/>
  <c r="L53" i="15"/>
  <c r="L41" i="15"/>
  <c r="L33" i="15"/>
  <c r="L29" i="15"/>
  <c r="L27" i="15"/>
  <c r="L15" i="15"/>
  <c r="L14" i="15"/>
  <c r="M74" i="15"/>
  <c r="M69" i="15"/>
  <c r="M61" i="15"/>
  <c r="M57" i="15"/>
  <c r="M51" i="15"/>
  <c r="M50" i="15"/>
  <c r="M49" i="15"/>
  <c r="M46" i="15"/>
  <c r="M39" i="15"/>
  <c r="M34" i="15"/>
  <c r="M31" i="15"/>
  <c r="M30" i="15"/>
  <c r="M28" i="15"/>
  <c r="M10" i="15"/>
  <c r="M9" i="15"/>
  <c r="M6" i="15"/>
  <c r="G11" i="15"/>
  <c r="E52" i="15"/>
  <c r="G45" i="15"/>
  <c r="G21" i="15"/>
  <c r="G22" i="15" s="1"/>
  <c r="G46" i="15"/>
  <c r="I46" i="15" s="1"/>
  <c r="G37" i="15"/>
  <c r="I37" i="15" s="1"/>
  <c r="G52" i="15"/>
  <c r="I52" i="15" s="1"/>
  <c r="G51" i="15"/>
  <c r="I51" i="15" s="1"/>
  <c r="G50" i="15"/>
  <c r="I50" i="15" s="1"/>
  <c r="G49" i="15"/>
  <c r="I49" i="15" s="1"/>
  <c r="G48" i="15"/>
  <c r="I48" i="15" s="1"/>
  <c r="G74" i="15"/>
  <c r="G72" i="15" s="1"/>
  <c r="G69" i="15"/>
  <c r="I69" i="15" s="1"/>
  <c r="G57" i="15"/>
  <c r="G41" i="15" s="1"/>
  <c r="G61" i="15"/>
  <c r="I61" i="15" s="1"/>
  <c r="I6" i="15"/>
  <c r="E6" i="15"/>
  <c r="G30" i="15"/>
  <c r="I30" i="15" s="1"/>
  <c r="G65" i="15"/>
  <c r="I10" i="15"/>
  <c r="I9" i="15"/>
  <c r="E10" i="15"/>
  <c r="E9" i="15"/>
  <c r="G42" i="15"/>
  <c r="G67" i="15"/>
  <c r="G55" i="15"/>
  <c r="G54" i="15"/>
  <c r="G53" i="15"/>
  <c r="G47" i="15"/>
  <c r="I47" i="15" s="1"/>
  <c r="G43" i="15"/>
  <c r="I43" i="15" s="1"/>
  <c r="G40" i="15"/>
  <c r="I40" i="15" s="1"/>
  <c r="G39" i="15"/>
  <c r="I39" i="15" s="1"/>
  <c r="G38" i="15"/>
  <c r="I38" i="15" s="1"/>
  <c r="G35" i="15"/>
  <c r="I35" i="15" s="1"/>
  <c r="G34" i="15"/>
  <c r="I34" i="15" s="1"/>
  <c r="G33" i="15"/>
  <c r="G32" i="15"/>
  <c r="I32" i="15" s="1"/>
  <c r="G29" i="15"/>
  <c r="G27" i="15"/>
  <c r="G18" i="15"/>
  <c r="G19" i="15" s="1"/>
  <c r="G15" i="15"/>
  <c r="G14" i="15"/>
  <c r="G13" i="15"/>
  <c r="G12" i="15"/>
  <c r="G8" i="15"/>
  <c r="I8" i="15" s="1"/>
  <c r="E74" i="15"/>
  <c r="O16" i="10"/>
  <c r="O15" i="10"/>
  <c r="O14" i="10"/>
  <c r="O13" i="10"/>
  <c r="O12" i="10"/>
  <c r="G60" i="15"/>
  <c r="G62" i="15" s="1"/>
  <c r="E57" i="15"/>
  <c r="E69" i="15"/>
  <c r="E61" i="15"/>
  <c r="G66" i="15"/>
  <c r="C62" i="15"/>
  <c r="M8" i="15"/>
  <c r="E68" i="15"/>
  <c r="I68" i="15"/>
  <c r="G36" i="15"/>
  <c r="I36" i="15" s="1"/>
  <c r="I57" i="15" l="1"/>
  <c r="I41" i="15"/>
  <c r="E41" i="15"/>
  <c r="I13" i="15"/>
  <c r="I54" i="15"/>
  <c r="I14" i="15"/>
  <c r="I55" i="15"/>
  <c r="I65" i="15"/>
  <c r="H75" i="15"/>
  <c r="I46" i="17"/>
  <c r="G44" i="17"/>
  <c r="G47" i="17" s="1"/>
  <c r="G33" i="17"/>
  <c r="E65" i="15"/>
  <c r="I66" i="15"/>
  <c r="E18" i="15"/>
  <c r="E19" i="15" s="1"/>
  <c r="E53" i="15"/>
  <c r="E12" i="15"/>
  <c r="E55" i="15"/>
  <c r="M21" i="15"/>
  <c r="M22" i="15" s="1"/>
  <c r="I42" i="15"/>
  <c r="M15" i="15"/>
  <c r="M41" i="15"/>
  <c r="I27" i="15"/>
  <c r="E82" i="18"/>
  <c r="I82" i="18"/>
  <c r="M12" i="15"/>
  <c r="C82" i="18"/>
  <c r="H58" i="15"/>
  <c r="E67" i="15"/>
  <c r="I12" i="15"/>
  <c r="I33" i="15"/>
  <c r="I53" i="15"/>
  <c r="M27" i="15"/>
  <c r="M55" i="15"/>
  <c r="L75" i="15"/>
  <c r="M25" i="17"/>
  <c r="C47" i="17"/>
  <c r="D58" i="15"/>
  <c r="E26" i="17"/>
  <c r="C70" i="15"/>
  <c r="D42" i="17"/>
  <c r="M54" i="15"/>
  <c r="C42" i="17"/>
  <c r="M72" i="15"/>
  <c r="M42" i="15"/>
  <c r="M65" i="15"/>
  <c r="C58" i="15"/>
  <c r="G70" i="15"/>
  <c r="E18" i="17"/>
  <c r="E20" i="17" s="1"/>
  <c r="M29" i="15"/>
  <c r="K70" i="15"/>
  <c r="M66" i="15"/>
  <c r="E27" i="15"/>
  <c r="D70" i="15"/>
  <c r="M56" i="15"/>
  <c r="M13" i="15"/>
  <c r="E42" i="15"/>
  <c r="M14" i="15"/>
  <c r="M33" i="15"/>
  <c r="M45" i="15"/>
  <c r="D16" i="15"/>
  <c r="D24" i="15" s="1"/>
  <c r="D25" i="15" s="1"/>
  <c r="I18" i="17"/>
  <c r="I20" i="17" s="1"/>
  <c r="G16" i="15"/>
  <c r="G24" i="15" s="1"/>
  <c r="G25" i="15" s="1"/>
  <c r="E21" i="15"/>
  <c r="E22" i="15" s="1"/>
  <c r="E29" i="15"/>
  <c r="E45" i="15"/>
  <c r="I67" i="15"/>
  <c r="C75" i="15"/>
  <c r="E72" i="15"/>
  <c r="E75" i="15" s="1"/>
  <c r="E66" i="15"/>
  <c r="I15" i="15"/>
  <c r="I45" i="15"/>
  <c r="C16" i="15"/>
  <c r="C24" i="15" s="1"/>
  <c r="C25" i="15" s="1"/>
  <c r="D75" i="15"/>
  <c r="D77" i="15" s="1"/>
  <c r="D12" i="17"/>
  <c r="D22" i="17" s="1"/>
  <c r="H42" i="17"/>
  <c r="I18" i="15"/>
  <c r="I19" i="15" s="1"/>
  <c r="I29" i="15"/>
  <c r="K58" i="15"/>
  <c r="K16" i="15"/>
  <c r="K24" i="15" s="1"/>
  <c r="K25" i="15" s="1"/>
  <c r="E14" i="15"/>
  <c r="L16" i="15"/>
  <c r="L24" i="15" s="1"/>
  <c r="L25" i="15" s="1"/>
  <c r="M18" i="15"/>
  <c r="M19" i="15" s="1"/>
  <c r="H70" i="15"/>
  <c r="H16" i="15"/>
  <c r="H24" i="15" s="1"/>
  <c r="H25" i="15" s="1"/>
  <c r="H12" i="17"/>
  <c r="H22" i="17" s="1"/>
  <c r="G75" i="15"/>
  <c r="I72" i="15"/>
  <c r="I75" i="15" s="1"/>
  <c r="L58" i="15"/>
  <c r="G58" i="15"/>
  <c r="I60" i="15"/>
  <c r="I62" i="15" s="1"/>
  <c r="I21" i="15"/>
  <c r="I22" i="15" s="1"/>
  <c r="I74" i="15"/>
  <c r="M53" i="15"/>
  <c r="M67" i="15"/>
  <c r="K75" i="15"/>
  <c r="M60" i="15"/>
  <c r="M62" i="15" s="1"/>
  <c r="M73" i="15"/>
  <c r="E15" i="15"/>
  <c r="E33" i="15"/>
  <c r="M26" i="17"/>
  <c r="E30" i="17"/>
  <c r="C33" i="17"/>
  <c r="G42" i="17"/>
  <c r="G12" i="17"/>
  <c r="G22" i="17" s="1"/>
  <c r="D47" i="17"/>
  <c r="I6" i="17"/>
  <c r="M8" i="17"/>
  <c r="I9" i="17"/>
  <c r="E10" i="17"/>
  <c r="M10" i="17"/>
  <c r="I11" i="17"/>
  <c r="D33" i="17"/>
  <c r="I29" i="17"/>
  <c r="M30" i="17"/>
  <c r="I31" i="17"/>
  <c r="M32" i="17"/>
  <c r="E28" i="17"/>
  <c r="M28" i="17"/>
  <c r="I25" i="17"/>
  <c r="C12" i="17"/>
  <c r="I8" i="17"/>
  <c r="E9" i="17"/>
  <c r="M9" i="17"/>
  <c r="I10" i="17"/>
  <c r="E11" i="17"/>
  <c r="M11" i="17"/>
  <c r="E14" i="17"/>
  <c r="E16" i="17" s="1"/>
  <c r="I26" i="17"/>
  <c r="E29" i="17"/>
  <c r="M29" i="17"/>
  <c r="I30" i="17"/>
  <c r="E31" i="17"/>
  <c r="M31" i="17"/>
  <c r="E35" i="17"/>
  <c r="E37" i="17" s="1"/>
  <c r="M35" i="17"/>
  <c r="M37" i="17" s="1"/>
  <c r="E40" i="17"/>
  <c r="M40" i="17"/>
  <c r="E45" i="17"/>
  <c r="I45" i="17"/>
  <c r="M45" i="17"/>
  <c r="E8" i="17"/>
  <c r="I14" i="17"/>
  <c r="I16" i="17" s="1"/>
  <c r="E25" i="17"/>
  <c r="H33" i="17"/>
  <c r="I39" i="17"/>
  <c r="E44" i="17"/>
  <c r="M44" i="17"/>
  <c r="H47" i="17"/>
  <c r="M14" i="17"/>
  <c r="M16" i="17" s="1"/>
  <c r="E39" i="17"/>
  <c r="M39" i="17"/>
  <c r="L70" i="15"/>
  <c r="E58" i="15" l="1"/>
  <c r="L77" i="15"/>
  <c r="L79" i="15" s="1"/>
  <c r="J82" i="18"/>
  <c r="I70" i="15"/>
  <c r="H77" i="15"/>
  <c r="H79" i="15" s="1"/>
  <c r="E70" i="15"/>
  <c r="I16" i="15"/>
  <c r="I24" i="15" s="1"/>
  <c r="M75" i="15"/>
  <c r="M77" i="15" s="1"/>
  <c r="M58" i="15"/>
  <c r="M70" i="15"/>
  <c r="D49" i="17"/>
  <c r="I58" i="15"/>
  <c r="I77" i="15" s="1"/>
  <c r="E16" i="15"/>
  <c r="E24" i="15" s="1"/>
  <c r="K77" i="15"/>
  <c r="K79" i="15" s="1"/>
  <c r="M16" i="15"/>
  <c r="M24" i="15" s="1"/>
  <c r="C77" i="15"/>
  <c r="C79" i="15" s="1"/>
  <c r="G77" i="15"/>
  <c r="G79" i="15" s="1"/>
  <c r="E33" i="17"/>
  <c r="M18" i="17"/>
  <c r="M20" i="17" s="1"/>
  <c r="I40" i="17"/>
  <c r="I42" i="17" s="1"/>
  <c r="K60" i="17"/>
  <c r="I35" i="17"/>
  <c r="I37" i="17" s="1"/>
  <c r="I44" i="17"/>
  <c r="I47" i="17" s="1"/>
  <c r="M47" i="17"/>
  <c r="G49" i="17"/>
  <c r="I28" i="17"/>
  <c r="I33" i="17" s="1"/>
  <c r="C49" i="17"/>
  <c r="E42" i="17"/>
  <c r="M12" i="17"/>
  <c r="I12" i="17"/>
  <c r="I22" i="17" s="1"/>
  <c r="M42" i="17"/>
  <c r="H49" i="17"/>
  <c r="E47" i="17"/>
  <c r="M33" i="17"/>
  <c r="C22" i="17"/>
  <c r="E12" i="17"/>
  <c r="E22" i="17" s="1"/>
  <c r="D79" i="15"/>
  <c r="E77" i="15" l="1"/>
  <c r="C57" i="17"/>
  <c r="C60" i="17" s="1"/>
  <c r="G57" i="17"/>
  <c r="G60" i="17" s="1"/>
  <c r="H57" i="17"/>
  <c r="H60" i="17" s="1"/>
  <c r="D57" i="17"/>
  <c r="D60" i="17" s="1"/>
  <c r="I79" i="15"/>
  <c r="M22" i="17"/>
  <c r="M79" i="15"/>
  <c r="E79" i="15"/>
  <c r="E49" i="17"/>
  <c r="E57" i="17" s="1"/>
  <c r="M49" i="17"/>
  <c r="I49" i="17"/>
  <c r="I57" i="17" s="1"/>
  <c r="M57" i="17" l="1"/>
</calcChain>
</file>

<file path=xl/sharedStrings.xml><?xml version="1.0" encoding="utf-8"?>
<sst xmlns="http://schemas.openxmlformats.org/spreadsheetml/2006/main" count="12142" uniqueCount="437">
  <si>
    <t>FDC 015 Out-Freight Expense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</si>
  <si>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</si>
  <si>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</si>
  <si>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</si>
  <si>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</si>
  <si>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</si>
  <si>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</si>
  <si>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</si>
  <si>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</si>
  <si>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</si>
  <si>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</si>
  <si>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</si>
  <si>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</si>
  <si>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Annual</t>
  </si>
  <si>
    <t>7165i In-freight Expense</t>
  </si>
  <si>
    <t xml:space="preserve">0 </t>
  </si>
  <si>
    <t>157001150209 FREIGHT</t>
  </si>
  <si>
    <t>157001150210 Frt Exp-Oxycodone Products</t>
  </si>
  <si>
    <t>157001150211 Frt Exp-Hydrocodone Products</t>
  </si>
  <si>
    <t>157001150221 Frt Exp-ADDICTION TREATMENT</t>
  </si>
  <si>
    <t>157001150224 Frt Exp-Other Brand Products</t>
  </si>
  <si>
    <t>157001150225 Frt Exp-CNS Non-Promoted Prod</t>
  </si>
  <si>
    <t>157001150227 Oxycodone ER Products Freight</t>
  </si>
  <si>
    <t>157001150229 Morphine ER-Frt Exp</t>
  </si>
  <si>
    <t>157001150230 Hydromorphone-Frt Exp</t>
  </si>
  <si>
    <t>157001150231 Methadone Generics-Frt Exp</t>
  </si>
  <si>
    <t>157001150232 APAP Codeine-Frt Exp</t>
  </si>
  <si>
    <t>157001150233 APAP Propoxyphene-Frt Exp</t>
  </si>
  <si>
    <t>157001150235 Tussicaps-Frt Exp</t>
  </si>
  <si>
    <t>157001150244 Oxycodone APAP-Frt Exp</t>
  </si>
  <si>
    <t>157001150245 Tofranil-PM/ImipraPam Frt Exp</t>
  </si>
  <si>
    <t>166012150000 Hobart Production Freight</t>
  </si>
  <si>
    <t>575199150990 PAP/APAP</t>
  </si>
  <si>
    <t>575199150992 Stearates &amp; Phosphates</t>
  </si>
  <si>
    <t>109001150208 FREIGHT</t>
  </si>
  <si>
    <t>109001150210 Freight</t>
  </si>
  <si>
    <t>109001150300 REAGENTS</t>
  </si>
  <si>
    <t>109001150400 US Based Phosphates</t>
  </si>
  <si>
    <t>109008150206 FREIGHT</t>
  </si>
  <si>
    <t>157001150219 FREIGHT</t>
  </si>
  <si>
    <t>157001150226 Zydus Freight Expense</t>
  </si>
  <si>
    <t>575199150991 Bulk Narcotics</t>
  </si>
  <si>
    <t>100001152635 BULK NARC CENTRAL AMER EXPORT</t>
  </si>
  <si>
    <t>100001152651 BULK NARCOTICS MEXICO EXPORT</t>
  </si>
  <si>
    <t>100001151632 APAP S AMER EXPORT N ZONE</t>
  </si>
  <si>
    <t>100001152633 BULK NARK SA EXPORT S CONE</t>
  </si>
  <si>
    <t>098001150151 PAP/APAP</t>
  </si>
  <si>
    <t>098001150152 BULK NARCOTICS</t>
  </si>
  <si>
    <t>098001152681 Freight Bulk Narcotics</t>
  </si>
  <si>
    <t>097011150051 FREIGHT</t>
  </si>
  <si>
    <t>097011150052 FREIGHT</t>
  </si>
  <si>
    <t>097011151602 FREIGHT</t>
  </si>
  <si>
    <t>098001150350 FREIGHT</t>
  </si>
  <si>
    <t>098001152682 NARCOTICS-Freight</t>
  </si>
  <si>
    <t>098001151683 AUSTR EXPORT APAP</t>
  </si>
  <si>
    <t>098001153683 AUSTRAL EXPORT PHOS/STEAR</t>
  </si>
  <si>
    <t>098001153671 MISCELLANEOUS</t>
  </si>
  <si>
    <t>100001154634 SPEC CHEM CARIBBEAN EXPORT</t>
  </si>
  <si>
    <t>100001151651 APAP MEXICO EXPORT</t>
  </si>
  <si>
    <t>575000150051 Freight-APAP</t>
  </si>
  <si>
    <t>575000150052 Freight-BULK NARC</t>
  </si>
  <si>
    <t>575000150054 MALL CHEM LTD - PROCESS CHEM</t>
  </si>
  <si>
    <t>695179159100 Canada Non Prod Spec-Freight</t>
  </si>
  <si>
    <t>670000150051 MALL JAPAN-APAP</t>
  </si>
  <si>
    <t>670000150052 FREIGHT EXP-BULK NARC</t>
  </si>
  <si>
    <t>100001151635 APAP CENTRAL AMERICA EXPORT</t>
  </si>
  <si>
    <t>100001151633 APAP S A EXPORT S CONE</t>
  </si>
  <si>
    <t>100001152632 BULK NARC SA EXPORT N ZONE</t>
  </si>
  <si>
    <t>098001152683 AUST EXPORT NARC APIS</t>
  </si>
  <si>
    <t>Net Spending</t>
  </si>
  <si>
    <t>100001151634 APAP CARIBBEAN EXPORT</t>
  </si>
  <si>
    <t>100001151637 APAP US EXPORT LATIN AMERICA</t>
  </si>
  <si>
    <t>157001150234 Fentanyl Lozenge-Frt Exp</t>
  </si>
  <si>
    <t>157001150242 New Brands (External)-Frt Exp</t>
  </si>
  <si>
    <t>157001150247 Morphine Sulfate ER (Kadian)</t>
  </si>
  <si>
    <t>157001150248 Oxymorphone IR (Opana IR)</t>
  </si>
  <si>
    <t>157001150249 Hydrocodone/APAP GR</t>
  </si>
  <si>
    <t>157001150250 Oxyocodone/APAP GR</t>
  </si>
  <si>
    <t>157001150251 Pennsaid Frt Expense</t>
  </si>
  <si>
    <t>157001150252 Exalgo Freight Exp</t>
  </si>
  <si>
    <t>157001150253 Temazepam-Frt Exp</t>
  </si>
  <si>
    <t>575000151151 MC UK Asia APAP Freight Exp</t>
  </si>
  <si>
    <t>157001150236 Fentanyl Patch-Frt Exp</t>
  </si>
  <si>
    <t>In-Freight</t>
  </si>
  <si>
    <t>Out-Freight</t>
  </si>
  <si>
    <t>020019150419 DISTRIBUTION EXP-CONT MEDIA</t>
  </si>
  <si>
    <t>020003151100 OPTIRAY-Freight</t>
  </si>
  <si>
    <t>6656i Postage</t>
  </si>
  <si>
    <t>7163i O/S-Supplier Restock</t>
  </si>
  <si>
    <t>140020150001 LF Income Statement-Freight</t>
  </si>
  <si>
    <t>6759i Freight Interbranch</t>
  </si>
  <si>
    <t>TOTAL CM&amp;DS</t>
  </si>
  <si>
    <t>TOTAL  PHARMA</t>
  </si>
  <si>
    <t>2010 Budget</t>
  </si>
  <si>
    <t>Total US CM&amp;DS (incl SS Alloc) - CYR</t>
  </si>
  <si>
    <t>Budget</t>
  </si>
  <si>
    <t>Actual</t>
  </si>
  <si>
    <t>YTD</t>
  </si>
  <si>
    <t>B/(W)</t>
  </si>
  <si>
    <t xml:space="preserve">B/(W) </t>
  </si>
  <si>
    <t>Net Sales</t>
  </si>
  <si>
    <t>Cincinnati</t>
  </si>
  <si>
    <t>Joliet</t>
  </si>
  <si>
    <t>Out Freight</t>
  </si>
  <si>
    <t>PHARMA</t>
  </si>
  <si>
    <t>Nuclear Direct w/Grp Alloc - CYR</t>
  </si>
  <si>
    <t>Nuclear Pharmacies w/Grp Alloc - CYR</t>
  </si>
  <si>
    <t>Virtual Network w/Grp Alloc - CYR</t>
  </si>
  <si>
    <t>WW Pharm (Excl L&amp;M, Incl SS Alloc) - CYR</t>
  </si>
  <si>
    <t>2010 Actuals</t>
  </si>
  <si>
    <t>Nuc Med Direct</t>
  </si>
  <si>
    <t>Total US Imaging Incl SS Alloc - CYR</t>
  </si>
  <si>
    <t>Canada PHM</t>
  </si>
  <si>
    <t>Hobart</t>
  </si>
  <si>
    <t>STL Plant Stear/Phos</t>
  </si>
  <si>
    <t>STL Plant Narcotics</t>
  </si>
  <si>
    <t>011003150105 NUCLEAR MEDICINE</t>
  </si>
  <si>
    <t>Peptides</t>
  </si>
  <si>
    <t>712000150003 Dublin Freight Expense</t>
  </si>
  <si>
    <t>7991 Non Cost Ctr Supported</t>
  </si>
  <si>
    <t>Japan Narcotics - CYR</t>
  </si>
  <si>
    <t>Total InFreight</t>
  </si>
  <si>
    <t>Sub-Total Contrast</t>
  </si>
  <si>
    <t>Sub-Total Maryland Heights</t>
  </si>
  <si>
    <t>Freight Accrual</t>
  </si>
  <si>
    <t>Goaling</t>
  </si>
  <si>
    <t>097011150054 SPEC CHEM SALES TO EUROPE</t>
  </si>
  <si>
    <t>670000150054 MALL JAPAN-SPEC CHEMICALS</t>
  </si>
  <si>
    <t>011003157105 Nuc Freight Allocated Direct</t>
  </si>
  <si>
    <t>603000150001 Petten Out Freigt Expense</t>
  </si>
  <si>
    <t>099001150052 SLS TO MC CANADA-BULK NARC</t>
  </si>
  <si>
    <t>106187150000 REAGENTS-Gateway</t>
  </si>
  <si>
    <t>Gateway</t>
  </si>
  <si>
    <t>157001150254 Imipramine Pamoate-Frt Exp</t>
  </si>
  <si>
    <t>2011 Actuals</t>
  </si>
  <si>
    <t>Disisional Pharmaceuticals - CYR</t>
  </si>
  <si>
    <t>In Freight</t>
  </si>
  <si>
    <t>API</t>
  </si>
  <si>
    <t>UK PAP/APAP</t>
  </si>
  <si>
    <t>UK Bulk Narcotics</t>
  </si>
  <si>
    <t>UK Stear/Phos</t>
  </si>
  <si>
    <t>Sub-Total API In Freight</t>
  </si>
  <si>
    <t>Dosage</t>
  </si>
  <si>
    <t>Sub-Total Dosage In Freight</t>
  </si>
  <si>
    <t>Imaging</t>
  </si>
  <si>
    <t>Sub-Total Imaging In Freight</t>
  </si>
  <si>
    <t>Canada</t>
  </si>
  <si>
    <t>LATAM</t>
  </si>
  <si>
    <t>EMEA</t>
  </si>
  <si>
    <t>Japan</t>
  </si>
  <si>
    <t>APAC</t>
  </si>
  <si>
    <t>Raleigh APAP</t>
  </si>
  <si>
    <t>Greenville COMPAP</t>
  </si>
  <si>
    <t>Sub-Total API Out Freight</t>
  </si>
  <si>
    <t>Sub-Total Dosage Out Freight</t>
  </si>
  <si>
    <t>Dublin</t>
  </si>
  <si>
    <t>Nuc Med</t>
  </si>
  <si>
    <t>Total Out Freight</t>
  </si>
  <si>
    <t>Total Freight -Pharma</t>
  </si>
  <si>
    <t>Freight Accrual-APAP</t>
  </si>
  <si>
    <t>099001150053 FREIGHT CANADA-APAP-GREENVILLE</t>
  </si>
  <si>
    <t>097011151603 FREIGHT EUROPE GREENVILLE</t>
  </si>
  <si>
    <t>098001150153 PAP/APAP JAPAN FRT GREENVILLE</t>
  </si>
  <si>
    <t>098001151684 Freight APAP ASIA PAC GREENVLE</t>
  </si>
  <si>
    <t>100001151636 APAP CEN AMER EXPORT GREENVILE</t>
  </si>
  <si>
    <t>157001150237 Methylphenidate ER(MedadateCD)</t>
  </si>
  <si>
    <t>157001150238 Methylphenidate ER (Concerta)</t>
  </si>
  <si>
    <t>157001150240 Tussi Suspension-Frt Exp</t>
  </si>
  <si>
    <t>157001150241 OxymorphoneER(OpanaER) Frt Exp</t>
  </si>
  <si>
    <t>157001150243 Buprenorphine/Naloxone(Subxne)</t>
  </si>
  <si>
    <t>157001150260 Buprenorphine(Subutex)</t>
  </si>
  <si>
    <t>100001152637 BULK NARC US EXPORT LATIN AMER</t>
  </si>
  <si>
    <t>FY12</t>
  </si>
  <si>
    <t>098001150151 PAP/APAP FRT JAPAN RALEIGH</t>
  </si>
  <si>
    <t>099001150051 FRT MC CANADA-APAP-RALEIGH</t>
  </si>
  <si>
    <t>100001151635 APAP CENT AMER EXPORT RALEIGH</t>
  </si>
  <si>
    <t>098001151681 Freight APAP ASIA PAC RALEIGH</t>
  </si>
  <si>
    <t>Current Forecast</t>
  </si>
  <si>
    <t>Full Year</t>
  </si>
  <si>
    <t>098001150154 SPEC CHEM Japan Freight</t>
  </si>
  <si>
    <t>097011151602 FREIGHT EUROPE RALEIGH</t>
  </si>
  <si>
    <t>099001150415 FREIGHT</t>
  </si>
  <si>
    <t>Pharma Freight   Actual VS Budget</t>
  </si>
  <si>
    <t>015003150001 CANADA NM I/C FREIGHT</t>
  </si>
  <si>
    <t>011003157101 Nuc Freight Alloc Pharmacy</t>
  </si>
  <si>
    <t>prelim financial statement totals</t>
  </si>
  <si>
    <t>New cost centers added in January?  Investigate Thursday.</t>
  </si>
  <si>
    <t>STL StearPhos/Gateway</t>
  </si>
  <si>
    <t>APAP/COMPAP</t>
  </si>
  <si>
    <t>7165.5000</t>
  </si>
  <si>
    <t>7171.3000</t>
  </si>
  <si>
    <t>7171.5000</t>
  </si>
  <si>
    <t>7165 In-freight Expense</t>
  </si>
  <si>
    <t>7602 TRSF-Miscellaneous</t>
  </si>
  <si>
    <t>7165.3000</t>
  </si>
  <si>
    <t>157001150263 Dextroamphetamine Frt</t>
  </si>
  <si>
    <t>divisional statement</t>
  </si>
  <si>
    <t>difference</t>
  </si>
  <si>
    <t>Actuals</t>
  </si>
  <si>
    <t>USD</t>
  </si>
  <si>
    <t>Actual Rate</t>
  </si>
  <si>
    <t>Forecast Rate</t>
  </si>
  <si>
    <t>FY13</t>
  </si>
  <si>
    <t>596178156080 Canada Freight</t>
  </si>
  <si>
    <t>157001150222 Frt Exp-Methylphenidate</t>
  </si>
  <si>
    <t>157001150268 Roxicodone-Freight</t>
  </si>
  <si>
    <t>100001154651 SPEC CHEM MEXICO EXPORT</t>
  </si>
  <si>
    <t>157001150269 Intrathecal-Freight</t>
  </si>
  <si>
    <t>Contrast</t>
  </si>
  <si>
    <t>Joliet/Cincinnati/KN</t>
  </si>
  <si>
    <t>157001150255 Pennsaid 2% Pump Frt Expense</t>
  </si>
  <si>
    <t>Budget Rate</t>
  </si>
  <si>
    <t>538000156080 Freight</t>
  </si>
  <si>
    <t>International</t>
  </si>
  <si>
    <t>Puerto Rico</t>
  </si>
  <si>
    <t>Total International</t>
  </si>
  <si>
    <t>802000156080 Freight</t>
  </si>
  <si>
    <t>Austrailia</t>
  </si>
  <si>
    <t>168210151269 Intrathecal-Freight-General</t>
  </si>
  <si>
    <t>157210151269 Intrathecal-Freight-General</t>
  </si>
  <si>
    <t>CNS/Intrathecal</t>
  </si>
  <si>
    <t>March</t>
  </si>
  <si>
    <t>Panama</t>
  </si>
  <si>
    <t>541000156080 Freight</t>
  </si>
  <si>
    <t>537000156080 Freight</t>
  </si>
  <si>
    <t>KN/Cincinnati</t>
  </si>
  <si>
    <t>KN</t>
  </si>
  <si>
    <t>Global Pharma/Imaging - CYR</t>
  </si>
  <si>
    <t>WW APIs - CYR</t>
  </si>
  <si>
    <t>U.S. Specialty Generics - CYR</t>
  </si>
  <si>
    <t>US Branded Pharmaceuticals - CYR</t>
  </si>
  <si>
    <t>Operations - CYR</t>
  </si>
  <si>
    <t>US Contrast - CYR</t>
  </si>
  <si>
    <t>US Nuclear - CYR</t>
  </si>
  <si>
    <t>Contract Manufacturing - CYR</t>
  </si>
  <si>
    <t>Canada Pharma/Imaging - CYR</t>
  </si>
  <si>
    <t>Latin America Pharma/IMG - CYR</t>
  </si>
  <si>
    <t>805000156080 Freight</t>
  </si>
  <si>
    <t>Hong Kong</t>
  </si>
  <si>
    <t>Optison</t>
  </si>
  <si>
    <t>External Manufacturing</t>
  </si>
  <si>
    <t>External Manufactuing</t>
  </si>
  <si>
    <t>807000156080 Freight</t>
  </si>
  <si>
    <t>Korea</t>
  </si>
  <si>
    <t>Columbia</t>
  </si>
  <si>
    <t>535000156080 Freight</t>
  </si>
  <si>
    <t>534000156080 Freight</t>
  </si>
  <si>
    <t>Chile</t>
  </si>
  <si>
    <t>Asia Pac Pharma/IMG - CYR</t>
  </si>
  <si>
    <t>Mexico</t>
  </si>
  <si>
    <t>540000156080 Freight</t>
  </si>
  <si>
    <t>7171i Out-freight Expense (Used only with FDC 15. Also see object 6656 and 7170)</t>
  </si>
  <si>
    <t>7171 Out-freight Expense (Used only with FDC 15. Also see object 6656 and 7170)</t>
  </si>
  <si>
    <t>Brazil</t>
  </si>
  <si>
    <t>532000156080 Freight</t>
  </si>
  <si>
    <t>157001150212 Frt Exp-Methylin Oral Solution</t>
  </si>
  <si>
    <t>157001150264 Mxd Amphetamine Salt Combo-FRT</t>
  </si>
  <si>
    <t>157001150270 Exalgo AG Freight</t>
  </si>
  <si>
    <t>157001150271 Frt Exp-AT-Ext Mfg Bup/Nal</t>
  </si>
  <si>
    <t>804000156080 Freight</t>
  </si>
  <si>
    <t>China</t>
  </si>
  <si>
    <t>7556i TRSF-Miscellaneous</t>
  </si>
  <si>
    <t>173041150256 Ofirmev Freight</t>
  </si>
  <si>
    <t>7171.2000</t>
  </si>
  <si>
    <t>098001151682 APAP Freight</t>
  </si>
  <si>
    <t>This report is NOT total Mallinckrodt, OUS regions not converted to E1 are not included in the numbers above.</t>
  </si>
  <si>
    <t>735000156080 Freight</t>
  </si>
  <si>
    <t>799538156080 Astri Freight</t>
  </si>
  <si>
    <t>799541156080 Belgm Freight</t>
  </si>
  <si>
    <t>799550156080 Switz Freight</t>
  </si>
  <si>
    <t>799556156080 Germa Freight</t>
  </si>
  <si>
    <t>799558156080 Dnmrk Freight</t>
  </si>
  <si>
    <t>799564156080 Spain Freight</t>
  </si>
  <si>
    <t>799566156080 Fnlnd Freight</t>
  </si>
  <si>
    <t>799567156080 Franc Freight</t>
  </si>
  <si>
    <t>799569156080 UK Freight</t>
  </si>
  <si>
    <t>799581156080 Ireln Freight</t>
  </si>
  <si>
    <t>799582156080 Israe-Freight</t>
  </si>
  <si>
    <t>799586156080 Italy-Freight</t>
  </si>
  <si>
    <t>799608156080 Nethe-Freight</t>
  </si>
  <si>
    <t>799609156080 Norwa Freight</t>
  </si>
  <si>
    <t>799611156080 Polan-Freight</t>
  </si>
  <si>
    <t>799613156080 Portu-Freight</t>
  </si>
  <si>
    <t>799620156080 Swede-Freight</t>
  </si>
  <si>
    <t>799630156080 Turky-Freight</t>
  </si>
  <si>
    <t>799637156080 SAFRI Freight</t>
  </si>
  <si>
    <t>799694156080 EastEurope Freight</t>
  </si>
  <si>
    <t>799697154205 EHQ Freight</t>
  </si>
  <si>
    <t>799697156080 EHQ Freight</t>
  </si>
  <si>
    <t>799698156080 MidEa Freight</t>
  </si>
  <si>
    <t>Europe sites on E1</t>
  </si>
  <si>
    <t>EMEA Pharm/IMG - CYR</t>
  </si>
  <si>
    <t>Total JDE and E1 In Freight</t>
  </si>
  <si>
    <t>Total JDE and E1 Out Freight</t>
  </si>
  <si>
    <t>Total JDE and E1 Freight -Pharma</t>
  </si>
  <si>
    <t>This report is NOT total Mallinckrodt, OUS regions not converted to E1 are not included</t>
  </si>
  <si>
    <t>140003151100 OPTIRAY-Freight</t>
  </si>
  <si>
    <t>745000156080 Freight</t>
  </si>
  <si>
    <t>799697150005 EHQ Freight OCOS</t>
  </si>
  <si>
    <t>020003153200 OPTISON-Freight</t>
  </si>
  <si>
    <t>590178156080 Canada Freight</t>
  </si>
  <si>
    <t>594215150440 Operations-JT Ferric Freight</t>
  </si>
  <si>
    <t>594215150475 Operations-Support Freight</t>
  </si>
  <si>
    <t>594215150400 Operations-Hillstrom Freight</t>
  </si>
  <si>
    <t>594215150450 Operations-Aviation Freight</t>
  </si>
  <si>
    <t>Questcor</t>
  </si>
  <si>
    <t>Autoimmune</t>
  </si>
  <si>
    <t>Sub-Total Autoimmune</t>
  </si>
  <si>
    <t>174214150450 Acthar Freight</t>
  </si>
  <si>
    <t>Autoimmune and Rare Disease - CYR</t>
  </si>
  <si>
    <t>799000156080 Freight</t>
  </si>
  <si>
    <t>FY15</t>
  </si>
  <si>
    <t>FY 2015</t>
  </si>
  <si>
    <t xml:space="preserve">difference </t>
  </si>
  <si>
    <t>742000156080 Freight</t>
  </si>
  <si>
    <t>747000156080 Freight</t>
  </si>
  <si>
    <t>723000156080 Freight</t>
  </si>
  <si>
    <t>728000156080 Freight</t>
  </si>
  <si>
    <t>731000156080 Freight</t>
  </si>
  <si>
    <t>734000156080 Freight</t>
  </si>
  <si>
    <t>741000156080 Freight</t>
  </si>
  <si>
    <t>748000156080 Freight</t>
  </si>
  <si>
    <t>011000150015 CANADA NM I/C FREIGHT</t>
  </si>
  <si>
    <t>746000156080 Freight</t>
  </si>
  <si>
    <t>011000150037 EUROPE NM I/C FREIGHT</t>
  </si>
  <si>
    <t>011003150001 EUROPE NM I/C FREIGHT</t>
  </si>
  <si>
    <t>140003151103 EMEA Other - Domestic Related</t>
  </si>
  <si>
    <t>603000151001 Petten Commercial GER_PETTEN</t>
  </si>
  <si>
    <t>603000151004 Petten Commercial ISR_PETTEN</t>
  </si>
  <si>
    <t>603000151005 Petten Commercial HQ PETTEN</t>
  </si>
  <si>
    <t>603000151006 Petten Commercial EMEA PETTEN</t>
  </si>
  <si>
    <t>161001151661 Gen Export Freight-Colombia</t>
  </si>
  <si>
    <t>161001151662 Gen Export Freight-Venezuela</t>
  </si>
  <si>
    <t>161001151663 Gen Export Freight-Peru</t>
  </si>
  <si>
    <t>011003155302 LAT AMER NM EXPORT FREIGHT</t>
  </si>
  <si>
    <t>011003156701 MEXICO NUC MED FREIGHT</t>
  </si>
  <si>
    <t>053003150002 LAT AMER NM EXPORT FREIGHT</t>
  </si>
  <si>
    <t>060003150001 CARIBE NM I/C FREIGHT</t>
  </si>
  <si>
    <t>067003150001 MEXICO NUC MED FREIGHT</t>
  </si>
  <si>
    <t>140003151102 LATAM Other - Domestic Related</t>
  </si>
  <si>
    <t>161001151644 Gen Export Freight-China</t>
  </si>
  <si>
    <t>161001151680 Gen Export Freight-Vietnam</t>
  </si>
  <si>
    <t>140003151104 ASIA Other - Domestic Related</t>
  </si>
  <si>
    <t>603000151007 Petten Commercial Freight</t>
  </si>
  <si>
    <t>140003151101 JAPAN Other - Domestic Related</t>
  </si>
  <si>
    <t>161001151693 Canada Spec. Gen Freight</t>
  </si>
  <si>
    <t>Petten</t>
  </si>
  <si>
    <t>EMEA Pharma/Imaging - CYR</t>
  </si>
  <si>
    <t>Latin America Pharma/ Imaging - CYR</t>
  </si>
  <si>
    <t>Asia Pacific &amp; Japan Pharma/Imaging - CYR</t>
  </si>
  <si>
    <t>Canada Export-Sp Generic - CYR</t>
  </si>
  <si>
    <t>7171.6000</t>
  </si>
  <si>
    <t>107001150210 Freight</t>
  </si>
  <si>
    <t>107001150300 REAGENTS</t>
  </si>
  <si>
    <t>752000157455 ARD Freight</t>
  </si>
  <si>
    <t>109011159702 FREIGHT EUROPE RALEIGH</t>
  </si>
  <si>
    <t>109011159703 FREIGHT EUROPE GREENVILLE</t>
  </si>
  <si>
    <t>109011159881 Freight APAP ASIA PAC RALEIGH</t>
  </si>
  <si>
    <t>109011159884 Freight APAP ASIA PAC GREENVLE</t>
  </si>
  <si>
    <t>109011159851 PAP/APAP FRT JAPAN RALEIGH</t>
  </si>
  <si>
    <t>109011159853 PAP/APAP JAPAN FRT GREENVILLE</t>
  </si>
  <si>
    <t>109001150051 FRT MC CANADA-APAP-RALEIGH</t>
  </si>
  <si>
    <t>109011151632 APAP S AMER EXPORT N ZONE</t>
  </si>
  <si>
    <t>109011151633 APAP S A EXPORT S CONE</t>
  </si>
  <si>
    <t>109011151635 APAP CENT AMER EXPORT RALEIGH</t>
  </si>
  <si>
    <t>109011151636 APAP CEN AMER EXPORT GREENVILE</t>
  </si>
  <si>
    <t>109011151651 APAP MEXICO EXPORT</t>
  </si>
  <si>
    <t>799577156080 GREEC Freight</t>
  </si>
  <si>
    <t>161001151653 Europe Export Dosage Narc</t>
  </si>
  <si>
    <t>011003155302 LAT AMER NM FREIGHT</t>
  </si>
  <si>
    <t>TOTAL  PHARM</t>
  </si>
  <si>
    <t>805000156472 Freight-China</t>
  </si>
  <si>
    <t>596178156231 Canada Methadose Freight</t>
  </si>
  <si>
    <t>011003158301 AUSTRALIA NM I/C FREIGHT</t>
  </si>
  <si>
    <t>107001150400 US Based Phosphates</t>
  </si>
  <si>
    <t>736697154205 EHQ Freight</t>
  </si>
  <si>
    <t>736697156080 EHQ Freight</t>
  </si>
  <si>
    <t>011003157301 JAPAN - NUC MED Freight</t>
  </si>
  <si>
    <t>736538156080 Astri Freight</t>
  </si>
  <si>
    <t>736541156080 Belgm Freight</t>
  </si>
  <si>
    <t>736550156080 Switz Freight</t>
  </si>
  <si>
    <t>736556156080 Germa Freight</t>
  </si>
  <si>
    <t>736558156080 Dnmrk Freight</t>
  </si>
  <si>
    <t>736564156080 Spain Freight</t>
  </si>
  <si>
    <t>736566156080 Finlnd Freight</t>
  </si>
  <si>
    <t>736567156080 Franc Freight</t>
  </si>
  <si>
    <t>736569156080 UK Freight</t>
  </si>
  <si>
    <t>736581156080 Irela Freight</t>
  </si>
  <si>
    <t>736586156080 Italy Freight</t>
  </si>
  <si>
    <t>736608156080 Nethe-Freight</t>
  </si>
  <si>
    <t>736609156080 Norwa-Freight</t>
  </si>
  <si>
    <t>736611156080 Polan-Freight</t>
  </si>
  <si>
    <t>736613156080 Portu-Freight</t>
  </si>
  <si>
    <t>736620156080 Swede Freight</t>
  </si>
  <si>
    <t>736630156080 Turky-Freight</t>
  </si>
  <si>
    <t>736637156080 SAfri Freight</t>
  </si>
  <si>
    <t>736694156080 EastEur- Freight</t>
  </si>
  <si>
    <t>736698156080 MidEa Freight</t>
  </si>
  <si>
    <t>011003154301 Southeast Asia NM Freight</t>
  </si>
  <si>
    <t>246222150065 Atlanta RSC</t>
  </si>
  <si>
    <t>246222150066 Chicago RSC</t>
  </si>
  <si>
    <t>246222150067 Dallas RSC</t>
  </si>
  <si>
    <t>246222150068 Los Angeles RSC</t>
  </si>
  <si>
    <t>246222150070 New Jersey RSC</t>
  </si>
  <si>
    <t>246222150071 Port Allen  RSC</t>
  </si>
  <si>
    <t>246222150072 Logistics</t>
  </si>
  <si>
    <t>246222150073 San Francisco RSC</t>
  </si>
  <si>
    <t>246223150053 Port Allen Distribution</t>
  </si>
  <si>
    <t>246223150056 Manufacturing</t>
  </si>
  <si>
    <t>246223150069 Port Allen Backup Mfg</t>
  </si>
  <si>
    <t>246224150015 Device Manufacturing</t>
  </si>
  <si>
    <t>246222150077 Canada COGS</t>
  </si>
  <si>
    <t>246222150081 Japan COGS</t>
  </si>
  <si>
    <t>246222150001 Australia COGS</t>
  </si>
  <si>
    <t>812000150101 Australia COGS</t>
  </si>
  <si>
    <t>246222150085 Mexico COGS</t>
  </si>
  <si>
    <t>246222151503 Linde - Parts &amp; Gas</t>
  </si>
  <si>
    <t>815000150024 Japan Stearates Out Frt</t>
  </si>
  <si>
    <t>815000150023 Japan Other Narcotics</t>
  </si>
  <si>
    <t>815000159023 API Alloc - OthNarcotic FrtOut</t>
  </si>
  <si>
    <t>815000150022 APAP</t>
  </si>
  <si>
    <t>815000159000 API Alloc - Offset Frt Out</t>
  </si>
  <si>
    <t>815000159022 API Alloc - APAP Freight Out</t>
  </si>
  <si>
    <t>815000159100 API-Freight Out</t>
  </si>
  <si>
    <t>815000159024 API Alloc - Stearates FrtOut</t>
  </si>
  <si>
    <t>531000152200 Freight</t>
  </si>
  <si>
    <t>531000153301 Freight</t>
  </si>
  <si>
    <t>815000155100 Sales &amp; Marketing Frt Out</t>
  </si>
  <si>
    <t>Ikeria</t>
  </si>
  <si>
    <t>Argentina</t>
  </si>
  <si>
    <t>INO Therapeutics</t>
  </si>
  <si>
    <t>September</t>
  </si>
  <si>
    <t>spain</t>
  </si>
  <si>
    <t>100001154637 SPEC CHEM US EXPORT LAT AMER</t>
  </si>
  <si>
    <t>762000156080 Freight</t>
  </si>
  <si>
    <t>736591156080</t>
  </si>
  <si>
    <t>736591156080 Kazak Freight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</si>
</sst>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_(&quot;$&quot;* #,##0_);_(&quot;$&quot;* \(#,##0\);_(&quot;$&quot;* &quot;-&quot;??_);_(@_)"/>
  </numFmts>
  <fonts count="34" x14ac:knownFonts="1">
    <font>
      <sz val="11"/>
      <name val="Arial"/>
    </font>
    <font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u/>
      <sz val="11"/>
      <name val="Arial"/>
      <family val="2"/>
    </font>
    <font>
      <b/>
      <sz val="14"/>
      <name val="Arial"/>
      <family val="2"/>
    </font>
    <font>
      <i/>
      <sz val="11"/>
      <name val="Arial"/>
      <family val="2"/>
    </font>
    <font>
      <b/>
      <u/>
      <sz val="12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1"/>
      <color rgb="FFFF0000"/>
      <name val="Arial"/>
      <family val="2"/>
    </font>
    <font>
      <sz val="8"/>
      <color theme="0" tint="-4.9989318521683403E-2"/>
      <name val="Arial"/>
      <family val="2"/>
    </font>
    <font>
      <b/>
      <sz val="8"/>
      <color theme="0" tint="-4.9989318521683403E-2"/>
      <name val="Arial"/>
      <family val="2"/>
    </font>
    <font>
      <sz val="11"/>
      <color theme="0"/>
      <name val="Arial"/>
      <family val="2"/>
    </font>
    <font>
      <sz val="8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Calibri"/>
      <family val="2"/>
    </font>
    <font>
      <sz val="9"/>
      <color rgb="FFFF0000"/>
      <name val="Arial"/>
      <family val="2"/>
    </font>
    <font>
      <sz val="9"/>
      <color theme="0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i/>
      <sz val="8"/>
      <color theme="1"/>
      <name val="Arial"/>
      <family val="2"/>
    </font>
    <font>
      <i/>
      <sz val="8"/>
      <color theme="0" tint="-4.9989318521683403E-2"/>
      <name val="Arial"/>
      <family val="2"/>
    </font>
    <font>
      <sz val="12"/>
      <color rgb="FFFF0000"/>
      <name val="Arial"/>
      <family val="2"/>
    </font>
    <font>
      <b/>
      <i/>
      <sz val="11"/>
      <name val="Arial"/>
      <family val="2"/>
    </font>
    <font>
      <b/>
      <sz val="11"/>
      <name val="Arial"/>
      <family val="2"/>
    </font>
    <font>
      <i/>
      <sz val="11"/>
      <color rgb="FFFF0000"/>
      <name val="Arial"/>
      <family val="2"/>
    </font>
    <font>
      <b/>
      <sz val="10"/>
      <color rgb="FF7030A0"/>
      <name val="Arial"/>
      <family val="2"/>
    </font>
    <font>
      <b/>
      <sz val="11"/>
      <color rgb="FF000000"/>
      <name val="Calibri"/>
      <family val="2"/>
    </font>
    <font>
      <sz val="8"/>
      <color rgb="FFFF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/>
    <xf numFmtId="0" fontId="2" fillId="0" borderId="0"/>
    <xf numFmtId="9" fontId="1" fillId="0" borderId="0" applyFont="0" applyFill="0" applyBorder="0" applyAlignment="0" applyProtection="0"/>
  </cellStyleXfs>
  <cellXfs count="387">
    <xf numFmtId="0" fontId="0" fillId="0" borderId="0" xfId="0"/>
    <xf numFmtId="0" fontId="3" fillId="0" borderId="0" xfId="4" applyFont="1"/>
    <xf numFmtId="0" fontId="2" fillId="0" borderId="0" xfId="4"/>
    <xf numFmtId="166" fontId="2" fillId="0" borderId="0" xfId="3" applyNumberFormat="1" applyFont="1"/>
    <xf numFmtId="166" fontId="3" fillId="0" borderId="0" xfId="3" applyNumberFormat="1" applyFont="1"/>
    <xf numFmtId="164" fontId="2" fillId="0" borderId="0" xfId="1" applyNumberFormat="1" applyFont="1"/>
    <xf numFmtId="166" fontId="2" fillId="0" borderId="0" xfId="3" quotePrefix="1" applyNumberFormat="1" applyFont="1"/>
    <xf numFmtId="43" fontId="2" fillId="0" borderId="0" xfId="1" quotePrefix="1" applyFont="1"/>
    <xf numFmtId="166" fontId="3" fillId="0" borderId="0" xfId="3" quotePrefix="1" applyNumberFormat="1" applyFont="1"/>
    <xf numFmtId="0" fontId="3" fillId="0" borderId="0" xfId="4" quotePrefix="1" applyFont="1"/>
    <xf numFmtId="0" fontId="2" fillId="0" borderId="0" xfId="4" quotePrefix="1"/>
    <xf numFmtId="164" fontId="2" fillId="0" borderId="0" xfId="1" quotePrefix="1" applyNumberFormat="1" applyFont="1"/>
    <xf numFmtId="0" fontId="2" fillId="0" borderId="0" xfId="4" quotePrefix="1" applyFont="1"/>
    <xf numFmtId="0" fontId="5" fillId="0" borderId="0" xfId="4" quotePrefix="1" applyFont="1"/>
    <xf numFmtId="0" fontId="5" fillId="0" borderId="0" xfId="4" applyFont="1"/>
    <xf numFmtId="0" fontId="0" fillId="0" borderId="0" xfId="0" quotePrefix="1"/>
    <xf numFmtId="0" fontId="3" fillId="0" borderId="1" xfId="4" applyFont="1" applyBorder="1"/>
    <xf numFmtId="0" fontId="2" fillId="0" borderId="1" xfId="4" applyBorder="1"/>
    <xf numFmtId="166" fontId="3" fillId="0" borderId="1" xfId="3" applyNumberFormat="1" applyFont="1" applyBorder="1"/>
    <xf numFmtId="0" fontId="2" fillId="0" borderId="0" xfId="4" applyBorder="1"/>
    <xf numFmtId="0" fontId="3" fillId="0" borderId="1" xfId="4" quotePrefix="1" applyFont="1" applyBorder="1"/>
    <xf numFmtId="43" fontId="2" fillId="0" borderId="0" xfId="1" quotePrefix="1" applyFont="1" applyAlignment="1">
      <alignment wrapText="1"/>
    </xf>
    <xf numFmtId="0" fontId="2" fillId="0" borderId="0" xfId="5"/>
    <xf numFmtId="0" fontId="2" fillId="0" borderId="0" xfId="5" quotePrefix="1"/>
    <xf numFmtId="0" fontId="2" fillId="0" borderId="0" xfId="5" applyFont="1"/>
    <xf numFmtId="164" fontId="2" fillId="0" borderId="0" xfId="5" applyNumberFormat="1"/>
    <xf numFmtId="166" fontId="2" fillId="0" borderId="0" xfId="5" applyNumberFormat="1"/>
    <xf numFmtId="0" fontId="2" fillId="0" borderId="0" xfId="5" quotePrefix="1" applyFont="1"/>
    <xf numFmtId="1" fontId="0" fillId="0" borderId="0" xfId="0" quotePrefix="1" applyNumberFormat="1"/>
    <xf numFmtId="0" fontId="6" fillId="0" borderId="0" xfId="0" quotePrefix="1" applyFont="1"/>
    <xf numFmtId="166" fontId="2" fillId="0" borderId="0" xfId="3" quotePrefix="1" applyNumberFormat="1" applyFont="1" applyFill="1"/>
    <xf numFmtId="166" fontId="2" fillId="0" borderId="0" xfId="3" applyNumberFormat="1" applyFont="1" applyFill="1"/>
    <xf numFmtId="43" fontId="2" fillId="0" borderId="0" xfId="5" applyNumberFormat="1"/>
    <xf numFmtId="166" fontId="2" fillId="0" borderId="0" xfId="0" applyNumberFormat="1" applyFont="1"/>
    <xf numFmtId="43" fontId="2" fillId="0" borderId="0" xfId="1" quotePrefix="1" applyFont="1" applyFill="1"/>
    <xf numFmtId="166" fontId="3" fillId="0" borderId="0" xfId="3" quotePrefix="1" applyNumberFormat="1" applyFont="1" applyFill="1"/>
    <xf numFmtId="44" fontId="2" fillId="0" borderId="0" xfId="3" applyFont="1"/>
    <xf numFmtId="44" fontId="3" fillId="0" borderId="0" xfId="3" quotePrefix="1" applyFont="1"/>
    <xf numFmtId="44" fontId="2" fillId="0" borderId="0" xfId="3" quotePrefix="1" applyFont="1"/>
    <xf numFmtId="0" fontId="2" fillId="0" borderId="0" xfId="4" applyFill="1"/>
    <xf numFmtId="0" fontId="0" fillId="0" borderId="0" xfId="0" quotePrefix="1" applyFill="1"/>
    <xf numFmtId="44" fontId="2" fillId="0" borderId="0" xfId="4" applyNumberFormat="1"/>
    <xf numFmtId="166" fontId="2" fillId="0" borderId="0" xfId="4" applyNumberFormat="1"/>
    <xf numFmtId="0" fontId="7" fillId="2" borderId="0" xfId="5" applyFont="1" applyFill="1"/>
    <xf numFmtId="0" fontId="7" fillId="2" borderId="0" xfId="0" applyFont="1" applyFill="1"/>
    <xf numFmtId="0" fontId="7" fillId="0" borderId="0" xfId="0" applyFont="1"/>
    <xf numFmtId="0" fontId="8" fillId="2" borderId="2" xfId="5" quotePrefix="1" applyFont="1" applyFill="1" applyBorder="1" applyAlignment="1">
      <alignment horizontal="center"/>
    </xf>
    <xf numFmtId="0" fontId="8" fillId="2" borderId="0" xfId="5" quotePrefix="1" applyFont="1" applyFill="1" applyBorder="1" applyAlignment="1">
      <alignment horizontal="center"/>
    </xf>
    <xf numFmtId="0" fontId="8" fillId="2" borderId="3" xfId="5" quotePrefix="1" applyFont="1" applyFill="1" applyBorder="1" applyAlignment="1">
      <alignment horizontal="center" wrapText="1"/>
    </xf>
    <xf numFmtId="0" fontId="8" fillId="2" borderId="3" xfId="5" quotePrefix="1" applyFont="1" applyFill="1" applyBorder="1" applyAlignment="1">
      <alignment horizontal="center"/>
    </xf>
    <xf numFmtId="0" fontId="8" fillId="2" borderId="2" xfId="5" applyFont="1" applyFill="1" applyBorder="1" applyAlignment="1">
      <alignment horizontal="center"/>
    </xf>
    <xf numFmtId="0" fontId="8" fillId="2" borderId="0" xfId="5" applyFont="1" applyFill="1" applyBorder="1" applyAlignment="1">
      <alignment horizontal="center"/>
    </xf>
    <xf numFmtId="0" fontId="8" fillId="2" borderId="3" xfId="5" applyFont="1" applyFill="1" applyBorder="1" applyAlignment="1">
      <alignment horizontal="center"/>
    </xf>
    <xf numFmtId="0" fontId="6" fillId="2" borderId="0" xfId="5" applyFont="1" applyFill="1"/>
    <xf numFmtId="164" fontId="7" fillId="2" borderId="2" xfId="1" quotePrefix="1" applyNumberFormat="1" applyFont="1" applyFill="1" applyBorder="1"/>
    <xf numFmtId="164" fontId="7" fillId="2" borderId="0" xfId="1" quotePrefix="1" applyNumberFormat="1" applyFont="1" applyFill="1" applyBorder="1"/>
    <xf numFmtId="164" fontId="7" fillId="2" borderId="3" xfId="1" applyNumberFormat="1" applyFont="1" applyFill="1" applyBorder="1"/>
    <xf numFmtId="0" fontId="6" fillId="3" borderId="4" xfId="5" applyFont="1" applyFill="1" applyBorder="1" applyAlignment="1">
      <alignment horizontal="center"/>
    </xf>
    <xf numFmtId="0" fontId="7" fillId="3" borderId="5" xfId="5" applyFont="1" applyFill="1" applyBorder="1"/>
    <xf numFmtId="164" fontId="7" fillId="3" borderId="4" xfId="5" applyNumberFormat="1" applyFont="1" applyFill="1" applyBorder="1" applyAlignment="1">
      <alignment horizontal="right"/>
    </xf>
    <xf numFmtId="164" fontId="7" fillId="3" borderId="6" xfId="1" applyNumberFormat="1" applyFont="1" applyFill="1" applyBorder="1"/>
    <xf numFmtId="0" fontId="7" fillId="3" borderId="2" xfId="5" applyFont="1" applyFill="1" applyBorder="1" applyAlignment="1">
      <alignment horizontal="center"/>
    </xf>
    <xf numFmtId="0" fontId="7" fillId="3" borderId="0" xfId="5" applyFont="1" applyFill="1" applyBorder="1"/>
    <xf numFmtId="43" fontId="7" fillId="3" borderId="2" xfId="5" applyNumberFormat="1" applyFont="1" applyFill="1" applyBorder="1" applyAlignment="1">
      <alignment horizontal="right"/>
    </xf>
    <xf numFmtId="164" fontId="7" fillId="3" borderId="3" xfId="1" applyNumberFormat="1" applyFont="1" applyFill="1" applyBorder="1"/>
    <xf numFmtId="0" fontId="7" fillId="3" borderId="2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right"/>
    </xf>
    <xf numFmtId="164" fontId="7" fillId="3" borderId="2" xfId="5" applyNumberFormat="1" applyFont="1" applyFill="1" applyBorder="1" applyAlignment="1">
      <alignment horizontal="right"/>
    </xf>
    <xf numFmtId="164" fontId="7" fillId="3" borderId="2" xfId="1" applyNumberFormat="1" applyFont="1" applyFill="1" applyBorder="1" applyAlignment="1">
      <alignment horizontal="right"/>
    </xf>
    <xf numFmtId="0" fontId="6" fillId="3" borderId="7" xfId="5" applyFont="1" applyFill="1" applyBorder="1" applyAlignment="1">
      <alignment horizontal="center"/>
    </xf>
    <xf numFmtId="0" fontId="6" fillId="3" borderId="8" xfId="5" applyFont="1" applyFill="1" applyBorder="1"/>
    <xf numFmtId="164" fontId="6" fillId="3" borderId="9" xfId="1" applyNumberFormat="1" applyFont="1" applyFill="1" applyBorder="1"/>
    <xf numFmtId="164" fontId="6" fillId="3" borderId="8" xfId="1" applyNumberFormat="1" applyFont="1" applyFill="1" applyBorder="1"/>
    <xf numFmtId="164" fontId="6" fillId="3" borderId="10" xfId="1" applyNumberFormat="1" applyFont="1" applyFill="1" applyBorder="1"/>
    <xf numFmtId="0" fontId="6" fillId="0" borderId="0" xfId="0" applyFont="1"/>
    <xf numFmtId="0" fontId="7" fillId="2" borderId="0" xfId="5" applyFont="1" applyFill="1" applyAlignment="1">
      <alignment horizontal="center"/>
    </xf>
    <xf numFmtId="164" fontId="7" fillId="2" borderId="2" xfId="1" applyNumberFormat="1" applyFont="1" applyFill="1" applyBorder="1"/>
    <xf numFmtId="164" fontId="7" fillId="2" borderId="0" xfId="1" applyNumberFormat="1" applyFont="1" applyFill="1" applyBorder="1"/>
    <xf numFmtId="0" fontId="6" fillId="4" borderId="4" xfId="5" applyFont="1" applyFill="1" applyBorder="1" applyAlignment="1">
      <alignment horizontal="center"/>
    </xf>
    <xf numFmtId="0" fontId="7" fillId="4" borderId="5" xfId="5" applyFont="1" applyFill="1" applyBorder="1"/>
    <xf numFmtId="164" fontId="7" fillId="4" borderId="4" xfId="1" applyNumberFormat="1" applyFont="1" applyFill="1" applyBorder="1"/>
    <xf numFmtId="164" fontId="7" fillId="4" borderId="5" xfId="1" applyNumberFormat="1" applyFont="1" applyFill="1" applyBorder="1"/>
    <xf numFmtId="164" fontId="7" fillId="4" borderId="6" xfId="1" applyNumberFormat="1" applyFont="1" applyFill="1" applyBorder="1"/>
    <xf numFmtId="0" fontId="6" fillId="4" borderId="7" xfId="5" applyFont="1" applyFill="1" applyBorder="1" applyAlignment="1">
      <alignment horizontal="center"/>
    </xf>
    <xf numFmtId="0" fontId="6" fillId="4" borderId="8" xfId="5" applyFont="1" applyFill="1" applyBorder="1"/>
    <xf numFmtId="164" fontId="6" fillId="4" borderId="9" xfId="1" applyNumberFormat="1" applyFont="1" applyFill="1" applyBorder="1"/>
    <xf numFmtId="164" fontId="6" fillId="4" borderId="8" xfId="1" applyNumberFormat="1" applyFont="1" applyFill="1" applyBorder="1"/>
    <xf numFmtId="164" fontId="6" fillId="4" borderId="11" xfId="1" applyNumberFormat="1" applyFont="1" applyFill="1" applyBorder="1"/>
    <xf numFmtId="0" fontId="6" fillId="5" borderId="4" xfId="5" applyFont="1" applyFill="1" applyBorder="1" applyAlignment="1">
      <alignment horizontal="center"/>
    </xf>
    <xf numFmtId="0" fontId="7" fillId="5" borderId="5" xfId="5" applyFont="1" applyFill="1" applyBorder="1"/>
    <xf numFmtId="164" fontId="7" fillId="5" borderId="4" xfId="1" applyNumberFormat="1" applyFont="1" applyFill="1" applyBorder="1"/>
    <xf numFmtId="164" fontId="7" fillId="5" borderId="5" xfId="1" applyNumberFormat="1" applyFont="1" applyFill="1" applyBorder="1"/>
    <xf numFmtId="164" fontId="7" fillId="5" borderId="6" xfId="1" applyNumberFormat="1" applyFont="1" applyFill="1" applyBorder="1"/>
    <xf numFmtId="0" fontId="6" fillId="5" borderId="7" xfId="5" applyFont="1" applyFill="1" applyBorder="1" applyAlignment="1">
      <alignment horizontal="center"/>
    </xf>
    <xf numFmtId="0" fontId="6" fillId="5" borderId="8" xfId="5" applyFont="1" applyFill="1" applyBorder="1"/>
    <xf numFmtId="164" fontId="6" fillId="5" borderId="9" xfId="1" applyNumberFormat="1" applyFont="1" applyFill="1" applyBorder="1"/>
    <xf numFmtId="164" fontId="6" fillId="5" borderId="8" xfId="1" applyNumberFormat="1" applyFont="1" applyFill="1" applyBorder="1"/>
    <xf numFmtId="164" fontId="6" fillId="5" borderId="11" xfId="1" applyNumberFormat="1" applyFont="1" applyFill="1" applyBorder="1"/>
    <xf numFmtId="0" fontId="7" fillId="2" borderId="12" xfId="5" applyFont="1" applyFill="1" applyBorder="1"/>
    <xf numFmtId="0" fontId="6" fillId="2" borderId="13" xfId="5" applyFont="1" applyFill="1" applyBorder="1"/>
    <xf numFmtId="164" fontId="6" fillId="2" borderId="12" xfId="1" applyNumberFormat="1" applyFont="1" applyFill="1" applyBorder="1"/>
    <xf numFmtId="164" fontId="6" fillId="2" borderId="13" xfId="1" applyNumberFormat="1" applyFont="1" applyFill="1" applyBorder="1"/>
    <xf numFmtId="164" fontId="6" fillId="2" borderId="14" xfId="1" applyNumberFormat="1" applyFont="1" applyFill="1" applyBorder="1"/>
    <xf numFmtId="165" fontId="7" fillId="2" borderId="2" xfId="6" applyNumberFormat="1" applyFont="1" applyFill="1" applyBorder="1"/>
    <xf numFmtId="165" fontId="7" fillId="2" borderId="0" xfId="6" applyNumberFormat="1" applyFont="1" applyFill="1" applyBorder="1"/>
    <xf numFmtId="0" fontId="7" fillId="3" borderId="2" xfId="5" quotePrefix="1" applyFont="1" applyFill="1" applyBorder="1" applyAlignment="1">
      <alignment horizontal="center"/>
    </xf>
    <xf numFmtId="0" fontId="7" fillId="3" borderId="0" xfId="0" applyFont="1" applyFill="1" applyBorder="1" applyAlignment="1">
      <alignment horizontal="right"/>
    </xf>
    <xf numFmtId="0" fontId="7" fillId="3" borderId="0" xfId="5" applyFont="1" applyFill="1" applyBorder="1" applyAlignment="1">
      <alignment horizontal="right"/>
    </xf>
    <xf numFmtId="0" fontId="6" fillId="3" borderId="2" xfId="5" applyFont="1" applyFill="1" applyBorder="1" applyAlignment="1">
      <alignment horizontal="center"/>
    </xf>
    <xf numFmtId="0" fontId="14" fillId="3" borderId="0" xfId="5" applyFont="1" applyFill="1" applyBorder="1"/>
    <xf numFmtId="0" fontId="14" fillId="3" borderId="0" xfId="0" applyFont="1" applyFill="1" applyBorder="1" applyAlignment="1">
      <alignment horizontal="right"/>
    </xf>
    <xf numFmtId="0" fontId="14" fillId="3" borderId="0" xfId="5" applyFont="1" applyFill="1" applyBorder="1" applyAlignment="1">
      <alignment horizontal="right"/>
    </xf>
    <xf numFmtId="0" fontId="10" fillId="3" borderId="0" xfId="5" applyFont="1" applyFill="1" applyBorder="1"/>
    <xf numFmtId="0" fontId="7" fillId="2" borderId="0" xfId="0" applyFont="1" applyFill="1" applyAlignment="1">
      <alignment horizontal="center"/>
    </xf>
    <xf numFmtId="0" fontId="7" fillId="2" borderId="4" xfId="0" applyFont="1" applyFill="1" applyBorder="1"/>
    <xf numFmtId="0" fontId="7" fillId="2" borderId="5" xfId="0" applyFont="1" applyFill="1" applyBorder="1"/>
    <xf numFmtId="0" fontId="7" fillId="2" borderId="6" xfId="0" applyFont="1" applyFill="1" applyBorder="1"/>
    <xf numFmtId="0" fontId="6" fillId="4" borderId="2" xfId="5" applyFont="1" applyFill="1" applyBorder="1" applyAlignment="1">
      <alignment horizontal="center"/>
    </xf>
    <xf numFmtId="0" fontId="10" fillId="4" borderId="0" xfId="5" applyFont="1" applyFill="1" applyBorder="1"/>
    <xf numFmtId="164" fontId="7" fillId="4" borderId="0" xfId="1" applyNumberFormat="1" applyFont="1" applyFill="1" applyBorder="1"/>
    <xf numFmtId="164" fontId="7" fillId="4" borderId="3" xfId="1" applyNumberFormat="1" applyFont="1" applyFill="1" applyBorder="1"/>
    <xf numFmtId="164" fontId="7" fillId="4" borderId="2" xfId="1" applyNumberFormat="1" applyFont="1" applyFill="1" applyBorder="1"/>
    <xf numFmtId="0" fontId="7" fillId="5" borderId="2" xfId="5" applyFont="1" applyFill="1" applyBorder="1" applyAlignment="1">
      <alignment horizontal="center"/>
    </xf>
    <xf numFmtId="0" fontId="7" fillId="5" borderId="0" xfId="5" applyFont="1" applyFill="1" applyBorder="1"/>
    <xf numFmtId="164" fontId="7" fillId="5" borderId="2" xfId="1" applyNumberFormat="1" applyFont="1" applyFill="1" applyBorder="1"/>
    <xf numFmtId="164" fontId="7" fillId="5" borderId="0" xfId="1" applyNumberFormat="1" applyFont="1" applyFill="1" applyBorder="1"/>
    <xf numFmtId="164" fontId="7" fillId="5" borderId="3" xfId="1" applyNumberFormat="1" applyFont="1" applyFill="1" applyBorder="1"/>
    <xf numFmtId="0" fontId="7" fillId="5" borderId="2" xfId="0" applyFont="1" applyFill="1" applyBorder="1" applyAlignment="1">
      <alignment horizontal="center"/>
    </xf>
    <xf numFmtId="0" fontId="10" fillId="5" borderId="0" xfId="5" applyFont="1" applyFill="1" applyBorder="1"/>
    <xf numFmtId="0" fontId="7" fillId="5" borderId="7" xfId="0" applyFont="1" applyFill="1" applyBorder="1" applyAlignment="1">
      <alignment horizontal="center"/>
    </xf>
    <xf numFmtId="0" fontId="6" fillId="6" borderId="4" xfId="5" applyFont="1" applyFill="1" applyBorder="1" applyAlignment="1">
      <alignment horizontal="center"/>
    </xf>
    <xf numFmtId="0" fontId="7" fillId="6" borderId="5" xfId="5" applyFont="1" applyFill="1" applyBorder="1"/>
    <xf numFmtId="164" fontId="7" fillId="6" borderId="4" xfId="1" applyNumberFormat="1" applyFont="1" applyFill="1" applyBorder="1"/>
    <xf numFmtId="164" fontId="7" fillId="6" borderId="5" xfId="1" applyNumberFormat="1" applyFont="1" applyFill="1" applyBorder="1"/>
    <xf numFmtId="164" fontId="7" fillId="6" borderId="6" xfId="1" applyNumberFormat="1" applyFont="1" applyFill="1" applyBorder="1"/>
    <xf numFmtId="0" fontId="7" fillId="6" borderId="2" xfId="5" applyFont="1" applyFill="1" applyBorder="1" applyAlignment="1">
      <alignment horizontal="center"/>
    </xf>
    <xf numFmtId="0" fontId="10" fillId="6" borderId="0" xfId="5" applyFont="1" applyFill="1" applyBorder="1"/>
    <xf numFmtId="0" fontId="7" fillId="6" borderId="7" xfId="5" applyFont="1" applyFill="1" applyBorder="1" applyAlignment="1">
      <alignment horizontal="center"/>
    </xf>
    <xf numFmtId="0" fontId="6" fillId="6" borderId="8" xfId="5" applyFont="1" applyFill="1" applyBorder="1"/>
    <xf numFmtId="164" fontId="7" fillId="6" borderId="10" xfId="1" applyNumberFormat="1" applyFont="1" applyFill="1" applyBorder="1"/>
    <xf numFmtId="164" fontId="7" fillId="0" borderId="0" xfId="0" applyNumberFormat="1" applyFont="1"/>
    <xf numFmtId="164" fontId="6" fillId="6" borderId="7" xfId="1" applyNumberFormat="1" applyFont="1" applyFill="1" applyBorder="1"/>
    <xf numFmtId="164" fontId="6" fillId="6" borderId="10" xfId="1" applyNumberFormat="1" applyFont="1" applyFill="1" applyBorder="1"/>
    <xf numFmtId="164" fontId="6" fillId="6" borderId="15" xfId="1" applyNumberFormat="1" applyFont="1" applyFill="1" applyBorder="1"/>
    <xf numFmtId="164" fontId="7" fillId="6" borderId="7" xfId="1" applyNumberFormat="1" applyFont="1" applyFill="1" applyBorder="1"/>
    <xf numFmtId="164" fontId="7" fillId="6" borderId="15" xfId="1" applyNumberFormat="1" applyFont="1" applyFill="1" applyBorder="1"/>
    <xf numFmtId="0" fontId="15" fillId="2" borderId="0" xfId="5" applyFont="1" applyFill="1"/>
    <xf numFmtId="43" fontId="16" fillId="2" borderId="0" xfId="5" quotePrefix="1" applyNumberFormat="1" applyFont="1" applyFill="1"/>
    <xf numFmtId="0" fontId="16" fillId="2" borderId="0" xfId="5" applyFont="1" applyFill="1"/>
    <xf numFmtId="0" fontId="16" fillId="2" borderId="0" xfId="5" quotePrefix="1" applyFont="1" applyFill="1"/>
    <xf numFmtId="0" fontId="16" fillId="2" borderId="0" xfId="0" quotePrefix="1" applyFont="1" applyFill="1"/>
    <xf numFmtId="0" fontId="15" fillId="2" borderId="0" xfId="0" applyFont="1" applyFill="1"/>
    <xf numFmtId="164" fontId="15" fillId="2" borderId="0" xfId="0" applyNumberFormat="1" applyFont="1" applyFill="1"/>
    <xf numFmtId="0" fontId="15" fillId="0" borderId="0" xfId="0" applyFont="1"/>
    <xf numFmtId="164" fontId="7" fillId="0" borderId="3" xfId="1" applyNumberFormat="1" applyFont="1" applyFill="1" applyBorder="1"/>
    <xf numFmtId="164" fontId="6" fillId="3" borderId="7" xfId="1" applyNumberFormat="1" applyFont="1" applyFill="1" applyBorder="1"/>
    <xf numFmtId="164" fontId="7" fillId="3" borderId="4" xfId="1" applyNumberFormat="1" applyFont="1" applyFill="1" applyBorder="1" applyAlignment="1">
      <alignment horizontal="right"/>
    </xf>
    <xf numFmtId="164" fontId="7" fillId="3" borderId="16" xfId="1" applyNumberFormat="1" applyFont="1" applyFill="1" applyBorder="1" applyAlignment="1">
      <alignment horizontal="right"/>
    </xf>
    <xf numFmtId="164" fontId="6" fillId="3" borderId="15" xfId="1" applyNumberFormat="1" applyFont="1" applyFill="1" applyBorder="1"/>
    <xf numFmtId="164" fontId="7" fillId="3" borderId="0" xfId="5" applyNumberFormat="1" applyFont="1" applyFill="1" applyBorder="1" applyAlignment="1">
      <alignment horizontal="right"/>
    </xf>
    <xf numFmtId="43" fontId="7" fillId="3" borderId="0" xfId="5" applyNumberFormat="1" applyFont="1" applyFill="1" applyBorder="1" applyAlignment="1">
      <alignment horizontal="right"/>
    </xf>
    <xf numFmtId="164" fontId="7" fillId="3" borderId="0" xfId="1" applyNumberFormat="1" applyFont="1" applyFill="1" applyBorder="1" applyAlignment="1">
      <alignment horizontal="right"/>
    </xf>
    <xf numFmtId="164" fontId="7" fillId="3" borderId="5" xfId="5" applyNumberFormat="1" applyFont="1" applyFill="1" applyBorder="1" applyAlignment="1">
      <alignment horizontal="right"/>
    </xf>
    <xf numFmtId="164" fontId="7" fillId="3" borderId="7" xfId="1" applyNumberFormat="1" applyFont="1" applyFill="1" applyBorder="1" applyAlignment="1">
      <alignment horizontal="right"/>
    </xf>
    <xf numFmtId="164" fontId="7" fillId="3" borderId="10" xfId="1" applyNumberFormat="1" applyFont="1" applyFill="1" applyBorder="1" applyAlignment="1">
      <alignment horizontal="right"/>
    </xf>
    <xf numFmtId="164" fontId="7" fillId="3" borderId="15" xfId="1" applyNumberFormat="1" applyFont="1" applyFill="1" applyBorder="1"/>
    <xf numFmtId="164" fontId="7" fillId="5" borderId="0" xfId="1" applyNumberFormat="1" applyFont="1" applyFill="1" applyBorder="1" applyAlignment="1">
      <alignment horizontal="right"/>
    </xf>
    <xf numFmtId="164" fontId="7" fillId="3" borderId="5" xfId="1" applyNumberFormat="1" applyFont="1" applyFill="1" applyBorder="1" applyAlignment="1">
      <alignment horizontal="right"/>
    </xf>
    <xf numFmtId="0" fontId="2" fillId="0" borderId="0" xfId="4" quotePrefix="1" applyFont="1" applyFill="1"/>
    <xf numFmtId="38" fontId="2" fillId="0" borderId="0" xfId="1" quotePrefix="1" applyNumberFormat="1" applyFont="1" applyFill="1" applyBorder="1" applyAlignment="1">
      <alignment horizontal="right"/>
    </xf>
    <xf numFmtId="0" fontId="0" fillId="7" borderId="0" xfId="0" quotePrefix="1" applyFill="1"/>
    <xf numFmtId="164" fontId="6" fillId="0" borderId="14" xfId="1" applyNumberFormat="1" applyFont="1" applyFill="1" applyBorder="1"/>
    <xf numFmtId="166" fontId="2" fillId="0" borderId="0" xfId="3" quotePrefix="1" applyNumberFormat="1" applyFont="1" applyAlignment="1">
      <alignment horizontal="right"/>
    </xf>
    <xf numFmtId="166" fontId="2" fillId="0" borderId="0" xfId="3" applyNumberFormat="1" applyFont="1" applyAlignment="1">
      <alignment horizontal="right"/>
    </xf>
    <xf numFmtId="44" fontId="7" fillId="3" borderId="0" xfId="0" applyNumberFormat="1" applyFont="1" applyFill="1" applyBorder="1" applyAlignment="1">
      <alignment horizontal="right"/>
    </xf>
    <xf numFmtId="44" fontId="7" fillId="3" borderId="2" xfId="0" applyNumberFormat="1" applyFont="1" applyFill="1" applyBorder="1" applyAlignment="1">
      <alignment horizontal="right"/>
    </xf>
    <xf numFmtId="164" fontId="6" fillId="3" borderId="11" xfId="1" applyNumberFormat="1" applyFont="1" applyFill="1" applyBorder="1"/>
    <xf numFmtId="164" fontId="7" fillId="5" borderId="2" xfId="1" applyNumberFormat="1" applyFont="1" applyFill="1" applyBorder="1" applyAlignment="1">
      <alignment horizontal="right"/>
    </xf>
    <xf numFmtId="0" fontId="7" fillId="0" borderId="2" xfId="0" applyFont="1" applyBorder="1"/>
    <xf numFmtId="0" fontId="7" fillId="0" borderId="0" xfId="0" applyFont="1" applyBorder="1"/>
    <xf numFmtId="0" fontId="7" fillId="0" borderId="3" xfId="0" applyFont="1" applyBorder="1"/>
    <xf numFmtId="0" fontId="8" fillId="2" borderId="0" xfId="5" applyFont="1" applyFill="1" applyBorder="1" applyAlignment="1">
      <alignment horizontal="center" wrapText="1"/>
    </xf>
    <xf numFmtId="0" fontId="0" fillId="0" borderId="0" xfId="0" quotePrefix="1" applyFont="1"/>
    <xf numFmtId="0" fontId="7" fillId="0" borderId="0" xfId="0" quotePrefix="1" applyFont="1" applyFill="1"/>
    <xf numFmtId="0" fontId="0" fillId="0" borderId="0" xfId="0" quotePrefix="1" applyFont="1" applyFill="1"/>
    <xf numFmtId="0" fontId="9" fillId="2" borderId="0" xfId="5" applyFont="1" applyFill="1" applyAlignment="1">
      <alignment horizontal="left"/>
    </xf>
    <xf numFmtId="0" fontId="11" fillId="2" borderId="0" xfId="5" applyFont="1" applyFill="1" applyBorder="1"/>
    <xf numFmtId="0" fontId="12" fillId="2" borderId="0" xfId="5" applyFont="1" applyFill="1"/>
    <xf numFmtId="0" fontId="13" fillId="2" borderId="0" xfId="5" quotePrefix="1" applyFont="1" applyFill="1"/>
    <xf numFmtId="0" fontId="6" fillId="6" borderId="2" xfId="5" applyFont="1" applyFill="1" applyBorder="1" applyAlignment="1">
      <alignment horizontal="center"/>
    </xf>
    <xf numFmtId="0" fontId="7" fillId="6" borderId="0" xfId="5" applyFont="1" applyFill="1" applyBorder="1"/>
    <xf numFmtId="164" fontId="7" fillId="6" borderId="2" xfId="1" applyNumberFormat="1" applyFont="1" applyFill="1" applyBorder="1"/>
    <xf numFmtId="164" fontId="7" fillId="6" borderId="0" xfId="1" applyNumberFormat="1" applyFont="1" applyFill="1" applyBorder="1"/>
    <xf numFmtId="38" fontId="2" fillId="0" borderId="0" xfId="2" quotePrefix="1" applyNumberFormat="1" applyFont="1" applyFill="1" applyBorder="1" applyAlignment="1">
      <alignment horizontal="right"/>
    </xf>
    <xf numFmtId="38" fontId="2" fillId="0" borderId="0" xfId="1" applyNumberFormat="1" applyFont="1" applyFill="1" applyBorder="1" applyAlignment="1">
      <alignment horizontal="left"/>
    </xf>
    <xf numFmtId="164" fontId="7" fillId="6" borderId="16" xfId="1" applyNumberFormat="1" applyFont="1" applyFill="1" applyBorder="1"/>
    <xf numFmtId="164" fontId="7" fillId="6" borderId="17" xfId="1" applyNumberFormat="1" applyFont="1" applyFill="1" applyBorder="1"/>
    <xf numFmtId="164" fontId="7" fillId="6" borderId="18" xfId="1" applyNumberFormat="1" applyFont="1" applyFill="1" applyBorder="1"/>
    <xf numFmtId="164" fontId="0" fillId="0" borderId="0" xfId="0" applyNumberFormat="1"/>
    <xf numFmtId="1" fontId="0" fillId="0" borderId="0" xfId="0" applyNumberFormat="1"/>
    <xf numFmtId="0" fontId="1" fillId="0" borderId="0" xfId="0" quotePrefix="1" applyFont="1" applyFill="1"/>
    <xf numFmtId="0" fontId="6" fillId="5" borderId="2" xfId="5" applyFont="1" applyFill="1" applyBorder="1" applyAlignment="1">
      <alignment horizontal="center"/>
    </xf>
    <xf numFmtId="0" fontId="1" fillId="5" borderId="0" xfId="5" applyFont="1" applyFill="1" applyBorder="1"/>
    <xf numFmtId="164" fontId="1" fillId="5" borderId="2" xfId="1" applyNumberFormat="1" applyFont="1" applyFill="1" applyBorder="1"/>
    <xf numFmtId="0" fontId="1" fillId="6" borderId="0" xfId="5" applyFont="1" applyFill="1" applyBorder="1"/>
    <xf numFmtId="0" fontId="17" fillId="0" borderId="0" xfId="0" applyFont="1"/>
    <xf numFmtId="0" fontId="8" fillId="2" borderId="3" xfId="5" applyFont="1" applyFill="1" applyBorder="1" applyAlignment="1">
      <alignment horizontal="center" wrapText="1"/>
    </xf>
    <xf numFmtId="0" fontId="8" fillId="2" borderId="7" xfId="5" applyFont="1" applyFill="1" applyBorder="1" applyAlignment="1">
      <alignment horizontal="center"/>
    </xf>
    <xf numFmtId="0" fontId="8" fillId="2" borderId="10" xfId="5" applyFont="1" applyFill="1" applyBorder="1" applyAlignment="1">
      <alignment horizontal="center"/>
    </xf>
    <xf numFmtId="0" fontId="8" fillId="2" borderId="15" xfId="5" applyFont="1" applyFill="1" applyBorder="1" applyAlignment="1">
      <alignment horizontal="center"/>
    </xf>
    <xf numFmtId="164" fontId="7" fillId="3" borderId="6" xfId="5" applyNumberFormat="1" applyFont="1" applyFill="1" applyBorder="1" applyAlignment="1">
      <alignment horizontal="right"/>
    </xf>
    <xf numFmtId="164" fontId="7" fillId="3" borderId="3" xfId="1" applyNumberFormat="1" applyFont="1" applyFill="1" applyBorder="1" applyAlignment="1">
      <alignment horizontal="right"/>
    </xf>
    <xf numFmtId="164" fontId="7" fillId="3" borderId="3" xfId="5" applyNumberFormat="1" applyFont="1" applyFill="1" applyBorder="1" applyAlignment="1">
      <alignment horizontal="right"/>
    </xf>
    <xf numFmtId="164" fontId="7" fillId="3" borderId="15" xfId="1" applyNumberFormat="1" applyFont="1" applyFill="1" applyBorder="1" applyAlignment="1">
      <alignment horizontal="right"/>
    </xf>
    <xf numFmtId="165" fontId="7" fillId="2" borderId="3" xfId="6" applyNumberFormat="1" applyFont="1" applyFill="1" applyBorder="1"/>
    <xf numFmtId="164" fontId="7" fillId="3" borderId="6" xfId="1" applyNumberFormat="1" applyFont="1" applyFill="1" applyBorder="1" applyAlignment="1">
      <alignment horizontal="right"/>
    </xf>
    <xf numFmtId="164" fontId="7" fillId="5" borderId="3" xfId="1" applyNumberFormat="1" applyFont="1" applyFill="1" applyBorder="1" applyAlignment="1">
      <alignment horizontal="right"/>
    </xf>
    <xf numFmtId="0" fontId="14" fillId="0" borderId="0" xfId="0" applyFont="1"/>
    <xf numFmtId="164" fontId="14" fillId="0" borderId="0" xfId="0" applyNumberFormat="1" applyFont="1"/>
    <xf numFmtId="1" fontId="14" fillId="0" borderId="0" xfId="0" applyNumberFormat="1" applyFont="1"/>
    <xf numFmtId="0" fontId="18" fillId="2" borderId="0" xfId="5" applyFont="1" applyFill="1"/>
    <xf numFmtId="164" fontId="18" fillId="2" borderId="0" xfId="5" applyNumberFormat="1" applyFont="1" applyFill="1"/>
    <xf numFmtId="0" fontId="19" fillId="0" borderId="0" xfId="0" applyFont="1"/>
    <xf numFmtId="0" fontId="1" fillId="5" borderId="5" xfId="5" applyFont="1" applyFill="1" applyBorder="1"/>
    <xf numFmtId="0" fontId="20" fillId="0" borderId="0" xfId="0" quotePrefix="1" applyFont="1"/>
    <xf numFmtId="0" fontId="8" fillId="2" borderId="4" xfId="5" quotePrefix="1" applyFont="1" applyFill="1" applyBorder="1" applyAlignment="1">
      <alignment horizontal="center"/>
    </xf>
    <xf numFmtId="0" fontId="8" fillId="2" borderId="5" xfId="5" applyFont="1" applyFill="1" applyBorder="1" applyAlignment="1">
      <alignment horizontal="center" wrapText="1"/>
    </xf>
    <xf numFmtId="0" fontId="8" fillId="2" borderId="6" xfId="5" applyFont="1" applyFill="1" applyBorder="1" applyAlignment="1">
      <alignment horizontal="center" wrapText="1"/>
    </xf>
    <xf numFmtId="0" fontId="7" fillId="2" borderId="0" xfId="5" applyFont="1" applyFill="1" applyBorder="1"/>
    <xf numFmtId="0" fontId="6" fillId="2" borderId="0" xfId="5" applyFont="1" applyFill="1" applyBorder="1"/>
    <xf numFmtId="164" fontId="6" fillId="2" borderId="2" xfId="1" applyNumberFormat="1" applyFont="1" applyFill="1" applyBorder="1"/>
    <xf numFmtId="164" fontId="6" fillId="2" borderId="0" xfId="1" applyNumberFormat="1" applyFont="1" applyFill="1" applyBorder="1"/>
    <xf numFmtId="164" fontId="6" fillId="2" borderId="3" xfId="1" applyNumberFormat="1" applyFont="1" applyFill="1" applyBorder="1"/>
    <xf numFmtId="0" fontId="6" fillId="8" borderId="4" xfId="5" applyFont="1" applyFill="1" applyBorder="1" applyAlignment="1">
      <alignment horizontal="center"/>
    </xf>
    <xf numFmtId="0" fontId="1" fillId="8" borderId="5" xfId="5" applyFont="1" applyFill="1" applyBorder="1"/>
    <xf numFmtId="164" fontId="7" fillId="8" borderId="4" xfId="1" applyNumberFormat="1" applyFont="1" applyFill="1" applyBorder="1" applyAlignment="1">
      <alignment horizontal="right"/>
    </xf>
    <xf numFmtId="164" fontId="7" fillId="8" borderId="5" xfId="1" applyNumberFormat="1" applyFont="1" applyFill="1" applyBorder="1" applyAlignment="1">
      <alignment horizontal="right"/>
    </xf>
    <xf numFmtId="164" fontId="7" fillId="8" borderId="6" xfId="1" applyNumberFormat="1" applyFont="1" applyFill="1" applyBorder="1"/>
    <xf numFmtId="0" fontId="6" fillId="8" borderId="2" xfId="5" applyFont="1" applyFill="1" applyBorder="1" applyAlignment="1">
      <alignment horizontal="center"/>
    </xf>
    <xf numFmtId="164" fontId="7" fillId="8" borderId="2" xfId="1" applyNumberFormat="1" applyFont="1" applyFill="1" applyBorder="1" applyAlignment="1">
      <alignment horizontal="right"/>
    </xf>
    <xf numFmtId="164" fontId="7" fillId="8" borderId="0" xfId="1" applyNumberFormat="1" applyFont="1" applyFill="1" applyBorder="1" applyAlignment="1">
      <alignment horizontal="right"/>
    </xf>
    <xf numFmtId="164" fontId="7" fillId="8" borderId="3" xfId="1" applyNumberFormat="1" applyFont="1" applyFill="1" applyBorder="1"/>
    <xf numFmtId="0" fontId="6" fillId="8" borderId="0" xfId="5" applyFont="1" applyFill="1" applyBorder="1" applyAlignment="1">
      <alignment horizontal="center"/>
    </xf>
    <xf numFmtId="0" fontId="6" fillId="8" borderId="8" xfId="5" applyFont="1" applyFill="1" applyBorder="1"/>
    <xf numFmtId="164" fontId="6" fillId="8" borderId="7" xfId="1" applyNumberFormat="1" applyFont="1" applyFill="1" applyBorder="1"/>
    <xf numFmtId="164" fontId="6" fillId="8" borderId="10" xfId="1" applyNumberFormat="1" applyFont="1" applyFill="1" applyBorder="1"/>
    <xf numFmtId="164" fontId="6" fillId="8" borderId="15" xfId="1" applyNumberFormat="1" applyFont="1" applyFill="1" applyBorder="1"/>
    <xf numFmtId="164" fontId="7" fillId="8" borderId="16" xfId="1" applyNumberFormat="1" applyFont="1" applyFill="1" applyBorder="1" applyAlignment="1">
      <alignment horizontal="right"/>
    </xf>
    <xf numFmtId="164" fontId="7" fillId="8" borderId="17" xfId="1" applyNumberFormat="1" applyFont="1" applyFill="1" applyBorder="1" applyAlignment="1">
      <alignment horizontal="right"/>
    </xf>
    <xf numFmtId="164" fontId="7" fillId="8" borderId="18" xfId="1" applyNumberFormat="1" applyFont="1" applyFill="1" applyBorder="1"/>
    <xf numFmtId="0" fontId="21" fillId="0" borderId="0" xfId="0" applyFont="1"/>
    <xf numFmtId="38" fontId="21" fillId="0" borderId="0" xfId="2" quotePrefix="1" applyNumberFormat="1" applyFont="1" applyFill="1" applyBorder="1" applyAlignment="1">
      <alignment horizontal="right"/>
    </xf>
    <xf numFmtId="38" fontId="21" fillId="0" borderId="0" xfId="1" quotePrefix="1" applyNumberFormat="1" applyFont="1" applyFill="1" applyBorder="1" applyAlignment="1">
      <alignment horizontal="right"/>
    </xf>
    <xf numFmtId="38" fontId="21" fillId="0" borderId="0" xfId="0" applyNumberFormat="1" applyFont="1"/>
    <xf numFmtId="38" fontId="22" fillId="0" borderId="0" xfId="0" applyNumberFormat="1" applyFont="1"/>
    <xf numFmtId="0" fontId="22" fillId="0" borderId="0" xfId="0" applyFont="1"/>
    <xf numFmtId="164" fontId="6" fillId="0" borderId="0" xfId="1" applyNumberFormat="1" applyFont="1" applyFill="1" applyBorder="1"/>
    <xf numFmtId="164" fontId="6" fillId="2" borderId="19" xfId="1" applyNumberFormat="1" applyFont="1" applyFill="1" applyBorder="1"/>
    <xf numFmtId="0" fontId="1" fillId="8" borderId="0" xfId="5" applyFont="1" applyFill="1" applyBorder="1"/>
    <xf numFmtId="164" fontId="6" fillId="8" borderId="5" xfId="1" applyNumberFormat="1" applyFont="1" applyFill="1" applyBorder="1" applyAlignment="1">
      <alignment horizontal="right"/>
    </xf>
    <xf numFmtId="0" fontId="1" fillId="0" borderId="0" xfId="0" quotePrefix="1" applyFont="1"/>
    <xf numFmtId="164" fontId="6" fillId="4" borderId="7" xfId="1" applyNumberFormat="1" applyFont="1" applyFill="1" applyBorder="1"/>
    <xf numFmtId="164" fontId="6" fillId="4" borderId="10" xfId="1" applyNumberFormat="1" applyFont="1" applyFill="1" applyBorder="1"/>
    <xf numFmtId="164" fontId="6" fillId="4" borderId="15" xfId="1" applyNumberFormat="1" applyFont="1" applyFill="1" applyBorder="1"/>
    <xf numFmtId="164" fontId="7" fillId="4" borderId="16" xfId="1" applyNumberFormat="1" applyFont="1" applyFill="1" applyBorder="1"/>
    <xf numFmtId="164" fontId="7" fillId="4" borderId="17" xfId="1" applyNumberFormat="1" applyFont="1" applyFill="1" applyBorder="1"/>
    <xf numFmtId="164" fontId="7" fillId="4" borderId="18" xfId="1" applyNumberFormat="1" applyFont="1" applyFill="1" applyBorder="1"/>
    <xf numFmtId="0" fontId="1" fillId="4" borderId="0" xfId="5" applyFont="1" applyFill="1" applyBorder="1"/>
    <xf numFmtId="43" fontId="0" fillId="0" borderId="0" xfId="2" quotePrefix="1" applyFont="1" applyFill="1"/>
    <xf numFmtId="164" fontId="0" fillId="0" borderId="0" xfId="2" quotePrefix="1" applyNumberFormat="1" applyFont="1" applyFill="1"/>
    <xf numFmtId="0" fontId="0" fillId="0" borderId="0" xfId="0" applyFill="1"/>
    <xf numFmtId="43" fontId="2" fillId="0" borderId="0" xfId="2" quotePrefix="1" applyFont="1" applyFill="1"/>
    <xf numFmtId="43" fontId="2" fillId="0" borderId="0" xfId="2" quotePrefix="1" applyFont="1" applyBorder="1"/>
    <xf numFmtId="164" fontId="2" fillId="0" borderId="0" xfId="2" applyNumberFormat="1" applyFont="1" applyFill="1" applyBorder="1"/>
    <xf numFmtId="164" fontId="2" fillId="0" borderId="0" xfId="2" quotePrefix="1" applyNumberFormat="1" applyFont="1" applyFill="1" applyBorder="1"/>
    <xf numFmtId="43" fontId="0" fillId="0" borderId="0" xfId="2" quotePrefix="1" applyFont="1"/>
    <xf numFmtId="43" fontId="2" fillId="0" borderId="0" xfId="2" quotePrefix="1" applyFont="1"/>
    <xf numFmtId="44" fontId="0" fillId="0" borderId="0" xfId="3" applyFont="1" applyFill="1"/>
    <xf numFmtId="43" fontId="0" fillId="0" borderId="0" xfId="0" applyNumberFormat="1"/>
    <xf numFmtId="164" fontId="7" fillId="8" borderId="3" xfId="1" applyNumberFormat="1" applyFont="1" applyFill="1" applyBorder="1" applyAlignment="1">
      <alignment horizontal="right"/>
    </xf>
    <xf numFmtId="44" fontId="2" fillId="0" borderId="0" xfId="3" quotePrefix="1" applyFont="1" applyFill="1"/>
    <xf numFmtId="166" fontId="3" fillId="0" borderId="0" xfId="4" applyNumberFormat="1" applyFont="1"/>
    <xf numFmtId="43" fontId="14" fillId="0" borderId="0" xfId="2" applyFont="1" applyFill="1"/>
    <xf numFmtId="0" fontId="2" fillId="0" borderId="0" xfId="4" applyFont="1"/>
    <xf numFmtId="0" fontId="13" fillId="0" borderId="0" xfId="0" applyFont="1"/>
    <xf numFmtId="0" fontId="10" fillId="0" borderId="0" xfId="0" quotePrefix="1" applyFont="1"/>
    <xf numFmtId="0" fontId="23" fillId="0" borderId="0" xfId="4" quotePrefix="1" applyFont="1"/>
    <xf numFmtId="166" fontId="23" fillId="0" borderId="0" xfId="3" quotePrefix="1" applyNumberFormat="1" applyFont="1" applyFill="1"/>
    <xf numFmtId="166" fontId="23" fillId="0" borderId="0" xfId="3" quotePrefix="1" applyNumberFormat="1" applyFont="1"/>
    <xf numFmtId="166" fontId="24" fillId="0" borderId="0" xfId="3" quotePrefix="1" applyNumberFormat="1" applyFont="1" applyFill="1"/>
    <xf numFmtId="0" fontId="10" fillId="0" borderId="0" xfId="0" applyFont="1"/>
    <xf numFmtId="0" fontId="10" fillId="8" borderId="0" xfId="5" applyFont="1" applyFill="1" applyBorder="1"/>
    <xf numFmtId="164" fontId="10" fillId="8" borderId="7" xfId="1" applyNumberFormat="1" applyFont="1" applyFill="1" applyBorder="1" applyAlignment="1">
      <alignment horizontal="right"/>
    </xf>
    <xf numFmtId="164" fontId="10" fillId="8" borderId="10" xfId="1" applyNumberFormat="1" applyFont="1" applyFill="1" applyBorder="1" applyAlignment="1">
      <alignment horizontal="right"/>
    </xf>
    <xf numFmtId="164" fontId="10" fillId="8" borderId="15" xfId="1" applyNumberFormat="1" applyFont="1" applyFill="1" applyBorder="1"/>
    <xf numFmtId="164" fontId="25" fillId="2" borderId="0" xfId="5" applyNumberFormat="1" applyFont="1" applyFill="1"/>
    <xf numFmtId="0" fontId="26" fillId="2" borderId="0" xfId="5" applyFont="1" applyFill="1"/>
    <xf numFmtId="166" fontId="2" fillId="0" borderId="0" xfId="3" quotePrefix="1" applyNumberFormat="1" applyFont="1" applyAlignment="1">
      <alignment horizontal="left"/>
    </xf>
    <xf numFmtId="0" fontId="6" fillId="0" borderId="0" xfId="5" applyFont="1" applyFill="1" applyBorder="1" applyAlignment="1">
      <alignment horizontal="center"/>
    </xf>
    <xf numFmtId="0" fontId="6" fillId="0" borderId="0" xfId="5" applyFont="1" applyFill="1" applyBorder="1"/>
    <xf numFmtId="164" fontId="6" fillId="0" borderId="2" xfId="1" applyNumberFormat="1" applyFont="1" applyFill="1" applyBorder="1"/>
    <xf numFmtId="164" fontId="6" fillId="0" borderId="3" xfId="1" applyNumberFormat="1" applyFont="1" applyFill="1" applyBorder="1"/>
    <xf numFmtId="0" fontId="6" fillId="9" borderId="4" xfId="5" applyFont="1" applyFill="1" applyBorder="1" applyAlignment="1">
      <alignment horizontal="center"/>
    </xf>
    <xf numFmtId="0" fontId="1" fillId="9" borderId="5" xfId="5" applyFont="1" applyFill="1" applyBorder="1"/>
    <xf numFmtId="164" fontId="7" fillId="9" borderId="20" xfId="1" applyNumberFormat="1" applyFont="1" applyFill="1" applyBorder="1"/>
    <xf numFmtId="164" fontId="7" fillId="9" borderId="5" xfId="1" applyNumberFormat="1" applyFont="1" applyFill="1" applyBorder="1"/>
    <xf numFmtId="164" fontId="7" fillId="9" borderId="6" xfId="1" applyNumberFormat="1" applyFont="1" applyFill="1" applyBorder="1"/>
    <xf numFmtId="0" fontId="6" fillId="9" borderId="7" xfId="5" applyFont="1" applyFill="1" applyBorder="1" applyAlignment="1">
      <alignment horizontal="center"/>
    </xf>
    <xf numFmtId="0" fontId="6" fillId="9" borderId="8" xfId="5" applyFont="1" applyFill="1" applyBorder="1"/>
    <xf numFmtId="164" fontId="6" fillId="9" borderId="9" xfId="1" applyNumberFormat="1" applyFont="1" applyFill="1" applyBorder="1"/>
    <xf numFmtId="164" fontId="6" fillId="9" borderId="8" xfId="1" applyNumberFormat="1" applyFont="1" applyFill="1" applyBorder="1"/>
    <xf numFmtId="164" fontId="6" fillId="9" borderId="11" xfId="1" applyNumberFormat="1" applyFont="1" applyFill="1" applyBorder="1"/>
    <xf numFmtId="164" fontId="18" fillId="0" borderId="0" xfId="5" applyNumberFormat="1" applyFont="1" applyFill="1" applyBorder="1"/>
    <xf numFmtId="0" fontId="0" fillId="0" borderId="0" xfId="0" applyFill="1" applyBorder="1"/>
    <xf numFmtId="164" fontId="18" fillId="2" borderId="0" xfId="5" applyNumberFormat="1" applyFont="1" applyFill="1" applyBorder="1"/>
    <xf numFmtId="0" fontId="15" fillId="2" borderId="0" xfId="5" applyFont="1" applyFill="1" applyBorder="1"/>
    <xf numFmtId="0" fontId="16" fillId="0" borderId="0" xfId="5" applyFont="1" applyFill="1" applyBorder="1"/>
    <xf numFmtId="0" fontId="16" fillId="2" borderId="0" xfId="5" applyFont="1" applyFill="1" applyBorder="1"/>
    <xf numFmtId="0" fontId="10" fillId="0" borderId="0" xfId="4" quotePrefix="1" applyFont="1"/>
    <xf numFmtId="166" fontId="10" fillId="0" borderId="0" xfId="3" quotePrefix="1" applyNumberFormat="1" applyFont="1" applyFill="1"/>
    <xf numFmtId="166" fontId="10" fillId="0" borderId="0" xfId="3" quotePrefix="1" applyNumberFormat="1" applyFont="1"/>
    <xf numFmtId="166" fontId="28" fillId="0" borderId="0" xfId="3" quotePrefix="1" applyNumberFormat="1" applyFont="1" applyFill="1"/>
    <xf numFmtId="0" fontId="10" fillId="0" borderId="0" xfId="4" applyFont="1"/>
    <xf numFmtId="164" fontId="0" fillId="0" borderId="0" xfId="2" quotePrefix="1" applyNumberFormat="1" applyFont="1" applyFill="1" applyAlignment="1">
      <alignment horizontal="right"/>
    </xf>
    <xf numFmtId="164" fontId="0" fillId="0" borderId="0" xfId="2" applyNumberFormat="1" applyFont="1" applyFill="1" applyAlignment="1">
      <alignment horizontal="right"/>
    </xf>
    <xf numFmtId="164" fontId="1" fillId="0" borderId="0" xfId="2" quotePrefix="1" applyNumberFormat="1" applyFont="1" applyFill="1" applyAlignment="1">
      <alignment horizontal="right"/>
    </xf>
    <xf numFmtId="164" fontId="0" fillId="0" borderId="0" xfId="0" quotePrefix="1" applyNumberFormat="1" applyFill="1" applyAlignment="1">
      <alignment horizontal="right"/>
    </xf>
    <xf numFmtId="164" fontId="7" fillId="6" borderId="3" xfId="1" applyNumberFormat="1" applyFont="1" applyFill="1" applyBorder="1"/>
    <xf numFmtId="166" fontId="2" fillId="7" borderId="0" xfId="3" quotePrefix="1" applyNumberFormat="1" applyFont="1" applyFill="1"/>
    <xf numFmtId="0" fontId="29" fillId="0" borderId="0" xfId="0" quotePrefix="1" applyFont="1"/>
    <xf numFmtId="0" fontId="2" fillId="12" borderId="0" xfId="4" quotePrefix="1" applyFont="1" applyFill="1"/>
    <xf numFmtId="164" fontId="3" fillId="0" borderId="0" xfId="1" applyNumberFormat="1" applyFont="1"/>
    <xf numFmtId="164" fontId="2" fillId="0" borderId="0" xfId="1" applyNumberFormat="1" applyFont="1" applyFill="1"/>
    <xf numFmtId="164" fontId="2" fillId="0" borderId="0" xfId="1" quotePrefix="1" applyNumberFormat="1" applyFont="1" applyFill="1"/>
    <xf numFmtId="164" fontId="2" fillId="0" borderId="0" xfId="1" quotePrefix="1" applyNumberFormat="1" applyFont="1" applyAlignment="1">
      <alignment wrapText="1"/>
    </xf>
    <xf numFmtId="164" fontId="2" fillId="0" borderId="0" xfId="1" quotePrefix="1" applyNumberFormat="1" applyFont="1" applyFill="1" applyAlignment="1">
      <alignment wrapText="1"/>
    </xf>
    <xf numFmtId="164" fontId="3" fillId="0" borderId="0" xfId="1" quotePrefix="1" applyNumberFormat="1" applyFont="1"/>
    <xf numFmtId="164" fontId="3" fillId="0" borderId="0" xfId="1" quotePrefix="1" applyNumberFormat="1" applyFont="1" applyFill="1"/>
    <xf numFmtId="164" fontId="2" fillId="0" borderId="0" xfId="1" quotePrefix="1" applyNumberFormat="1" applyFont="1" applyAlignment="1">
      <alignment horizontal="right"/>
    </xf>
    <xf numFmtId="164" fontId="2" fillId="7" borderId="0" xfId="1" quotePrefix="1" applyNumberFormat="1" applyFont="1" applyFill="1"/>
    <xf numFmtId="164" fontId="3" fillId="0" borderId="0" xfId="1" applyNumberFormat="1" applyFont="1" applyFill="1"/>
    <xf numFmtId="164" fontId="2" fillId="10" borderId="0" xfId="1" quotePrefix="1" applyNumberFormat="1" applyFont="1" applyFill="1"/>
    <xf numFmtId="164" fontId="2" fillId="11" borderId="0" xfId="1" quotePrefix="1" applyNumberFormat="1" applyFont="1" applyFill="1"/>
    <xf numFmtId="164" fontId="3" fillId="0" borderId="1" xfId="1" applyNumberFormat="1" applyFont="1" applyBorder="1"/>
    <xf numFmtId="164" fontId="3" fillId="0" borderId="1" xfId="1" applyNumberFormat="1" applyFont="1" applyFill="1" applyBorder="1"/>
    <xf numFmtId="164" fontId="23" fillId="0" borderId="0" xfId="1" quotePrefix="1" applyNumberFormat="1" applyFont="1" applyFill="1"/>
    <xf numFmtId="164" fontId="23" fillId="0" borderId="0" xfId="1" quotePrefix="1" applyNumberFormat="1" applyFont="1"/>
    <xf numFmtId="164" fontId="24" fillId="0" borderId="0" xfId="1" quotePrefix="1" applyNumberFormat="1" applyFont="1" applyFill="1"/>
    <xf numFmtId="164" fontId="2" fillId="0" borderId="0" xfId="1" applyNumberFormat="1" applyFont="1" applyAlignment="1">
      <alignment horizontal="right"/>
    </xf>
    <xf numFmtId="164" fontId="0" fillId="0" borderId="0" xfId="0" applyNumberFormat="1" applyFill="1" applyAlignment="1">
      <alignment horizontal="right"/>
    </xf>
    <xf numFmtId="164" fontId="0" fillId="0" borderId="0" xfId="0" applyNumberFormat="1" applyFill="1"/>
    <xf numFmtId="0" fontId="0" fillId="0" borderId="0" xfId="0" applyFill="1" applyAlignment="1">
      <alignment horizontal="right"/>
    </xf>
    <xf numFmtId="0" fontId="0" fillId="0" borderId="0" xfId="0" quotePrefix="1" applyFill="1" applyAlignment="1">
      <alignment horizontal="right"/>
    </xf>
    <xf numFmtId="43" fontId="0" fillId="0" borderId="0" xfId="0" applyNumberFormat="1" applyFill="1"/>
    <xf numFmtId="0" fontId="28" fillId="0" borderId="0" xfId="4" quotePrefix="1" applyFont="1"/>
    <xf numFmtId="0" fontId="30" fillId="0" borderId="0" xfId="0" quotePrefix="1" applyFont="1"/>
    <xf numFmtId="0" fontId="31" fillId="0" borderId="0" xfId="4" quotePrefix="1" applyFont="1"/>
    <xf numFmtId="164" fontId="2" fillId="9" borderId="0" xfId="1" quotePrefix="1" applyNumberFormat="1" applyFont="1" applyFill="1"/>
    <xf numFmtId="164" fontId="2" fillId="13" borderId="0" xfId="1" quotePrefix="1" applyNumberFormat="1" applyFont="1" applyFill="1"/>
    <xf numFmtId="164" fontId="2" fillId="14" borderId="0" xfId="1" quotePrefix="1" applyNumberFormat="1" applyFont="1" applyFill="1"/>
    <xf numFmtId="0" fontId="6" fillId="12" borderId="4" xfId="5" applyFont="1" applyFill="1" applyBorder="1" applyAlignment="1">
      <alignment horizontal="center"/>
    </xf>
    <xf numFmtId="0" fontId="1" fillId="12" borderId="5" xfId="5" applyFont="1" applyFill="1" applyBorder="1"/>
    <xf numFmtId="164" fontId="7" fillId="12" borderId="20" xfId="1" applyNumberFormat="1" applyFont="1" applyFill="1" applyBorder="1"/>
    <xf numFmtId="164" fontId="7" fillId="12" borderId="5" xfId="1" applyNumberFormat="1" applyFont="1" applyFill="1" applyBorder="1"/>
    <xf numFmtId="164" fontId="7" fillId="12" borderId="6" xfId="1" applyNumberFormat="1" applyFont="1" applyFill="1" applyBorder="1"/>
    <xf numFmtId="164" fontId="18" fillId="12" borderId="0" xfId="5" applyNumberFormat="1" applyFont="1" applyFill="1" applyBorder="1"/>
    <xf numFmtId="0" fontId="15" fillId="12" borderId="0" xfId="5" applyFont="1" applyFill="1" applyBorder="1"/>
    <xf numFmtId="0" fontId="6" fillId="12" borderId="7" xfId="5" applyFont="1" applyFill="1" applyBorder="1" applyAlignment="1">
      <alignment horizontal="center"/>
    </xf>
    <xf numFmtId="0" fontId="6" fillId="12" borderId="8" xfId="5" applyFont="1" applyFill="1" applyBorder="1"/>
    <xf numFmtId="164" fontId="6" fillId="12" borderId="9" xfId="1" applyNumberFormat="1" applyFont="1" applyFill="1" applyBorder="1"/>
    <xf numFmtId="164" fontId="6" fillId="12" borderId="8" xfId="1" applyNumberFormat="1" applyFont="1" applyFill="1" applyBorder="1"/>
    <xf numFmtId="164" fontId="6" fillId="12" borderId="11" xfId="1" applyNumberFormat="1" applyFont="1" applyFill="1" applyBorder="1"/>
    <xf numFmtId="0" fontId="16" fillId="12" borderId="0" xfId="5" applyFont="1" applyFill="1" applyBorder="1"/>
    <xf numFmtId="0" fontId="3" fillId="0" borderId="0" xfId="4" quotePrefix="1" applyFont="1" applyFill="1"/>
    <xf numFmtId="0" fontId="32" fillId="0" borderId="0" xfId="0" quotePrefix="1" applyFont="1"/>
    <xf numFmtId="0" fontId="21" fillId="0" borderId="0" xfId="0" applyNumberFormat="1" applyFont="1"/>
    <xf numFmtId="0" fontId="33" fillId="0" borderId="0" xfId="0" applyNumberFormat="1" applyFont="1" applyFill="1"/>
    <xf numFmtId="164" fontId="33" fillId="0" borderId="0" xfId="1" quotePrefix="1" applyNumberFormat="1" applyFont="1" applyFill="1" applyBorder="1" applyAlignment="1">
      <alignment horizontal="right"/>
    </xf>
    <xf numFmtId="164" fontId="33" fillId="0" borderId="0" xfId="1" applyNumberFormat="1" applyFont="1" applyFill="1"/>
    <xf numFmtId="0" fontId="6" fillId="2" borderId="4" xfId="5" applyFont="1" applyFill="1" applyBorder="1" applyAlignment="1">
      <alignment horizontal="center"/>
    </xf>
    <xf numFmtId="0" fontId="6" fillId="2" borderId="5" xfId="5" applyFont="1" applyFill="1" applyBorder="1" applyAlignment="1">
      <alignment horizontal="center"/>
    </xf>
    <xf numFmtId="0" fontId="6" fillId="2" borderId="6" xfId="5" applyFont="1" applyFill="1" applyBorder="1" applyAlignment="1">
      <alignment horizontal="center"/>
    </xf>
    <xf numFmtId="0" fontId="6" fillId="2" borderId="12" xfId="5" applyFont="1" applyFill="1" applyBorder="1" applyAlignment="1">
      <alignment horizontal="center"/>
    </xf>
    <xf numFmtId="0" fontId="6" fillId="2" borderId="13" xfId="5" applyFont="1" applyFill="1" applyBorder="1" applyAlignment="1">
      <alignment horizontal="center"/>
    </xf>
    <xf numFmtId="0" fontId="6" fillId="2" borderId="14" xfId="5" applyFont="1" applyFill="1" applyBorder="1" applyAlignment="1">
      <alignment horizontal="center"/>
    </xf>
    <xf numFmtId="0" fontId="27" fillId="2" borderId="0" xfId="5" applyFont="1" applyFill="1" applyAlignment="1">
      <alignment wrapText="1"/>
    </xf>
    <xf numFmtId="0" fontId="27" fillId="2" borderId="3" xfId="5" applyFont="1" applyFill="1" applyBorder="1" applyAlignment="1">
      <alignment wrapText="1"/>
    </xf>
  </cellXfs>
  <cellStyles count="7">
    <cellStyle name="Comma" xfId="1" builtinId="3"/>
    <cellStyle name="Comma 2" xfId="2"/>
    <cellStyle name="Currency" xfId="3" builtinId="4"/>
    <cellStyle name="Normal" xfId="0" builtinId="0"/>
    <cellStyle name="Normal_FY09 Frt IMG  Aug09" xfId="4"/>
    <cellStyle name="Normal_FY09 Frt IMG  Sept09" xfId="5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90"/>
  <sheetViews>
    <sheetView tabSelected="1" topLeftCell="A59" zoomScale="80" zoomScaleNormal="80" workbookViewId="0">
      <selection activeCell="J82" sqref="J82"/>
    </sheetView>
  </sheetViews>
  <sheetFormatPr defaultRowHeight="14.25" x14ac:dyDescent="0.2"/>
  <cols>
    <col min="1" max="1" width="11.125" customWidth="1"/>
    <col min="2" max="2" width="33.5" customWidth="1"/>
    <col min="3" max="3" width="12.625" customWidth="1"/>
    <col min="4" max="4" width="11.625" bestFit="1" customWidth="1"/>
    <col min="5" max="5" width="12.125" customWidth="1"/>
    <col min="6" max="6" width="1.25" style="222" customWidth="1"/>
    <col min="7" max="7" width="1.625" customWidth="1"/>
    <col min="8" max="10" width="13.125" bestFit="1" customWidth="1"/>
    <col min="12" max="12" width="10.875" bestFit="1" customWidth="1"/>
  </cols>
  <sheetData>
    <row r="1" spans="1:10" ht="18.75" thickBot="1" x14ac:dyDescent="0.3">
      <c r="A1" s="188" t="s">
        <v>182</v>
      </c>
      <c r="B1" s="187"/>
      <c r="C1" s="43"/>
      <c r="D1" s="43"/>
      <c r="E1" s="43"/>
      <c r="F1" s="220"/>
      <c r="G1" s="146"/>
      <c r="H1" s="43"/>
      <c r="I1" s="43"/>
      <c r="J1" s="43"/>
    </row>
    <row r="2" spans="1:10" ht="16.5" thickBot="1" x14ac:dyDescent="0.3">
      <c r="A2" s="43"/>
      <c r="B2" s="188" t="s">
        <v>311</v>
      </c>
      <c r="C2" s="379" t="s">
        <v>431</v>
      </c>
      <c r="D2" s="380"/>
      <c r="E2" s="381"/>
      <c r="F2" s="220"/>
      <c r="G2" s="146"/>
      <c r="H2" s="382" t="s">
        <v>178</v>
      </c>
      <c r="I2" s="383"/>
      <c r="J2" s="384"/>
    </row>
    <row r="3" spans="1:10" ht="30" x14ac:dyDescent="0.25">
      <c r="A3" s="385" t="s">
        <v>295</v>
      </c>
      <c r="B3" s="386"/>
      <c r="C3" s="225" t="s">
        <v>95</v>
      </c>
      <c r="D3" s="226" t="s">
        <v>177</v>
      </c>
      <c r="E3" s="227" t="s">
        <v>96</v>
      </c>
      <c r="F3" s="220"/>
      <c r="G3" s="146"/>
      <c r="H3" s="50" t="s">
        <v>95</v>
      </c>
      <c r="I3" s="181" t="s">
        <v>177</v>
      </c>
      <c r="J3" s="206" t="s">
        <v>96</v>
      </c>
    </row>
    <row r="4" spans="1:10" ht="15" x14ac:dyDescent="0.25">
      <c r="A4" s="43"/>
      <c r="B4" s="43"/>
      <c r="C4" s="46"/>
      <c r="D4" s="47"/>
      <c r="E4" s="49"/>
      <c r="F4" s="220"/>
      <c r="G4" s="146"/>
      <c r="H4" s="46"/>
      <c r="I4" s="47"/>
      <c r="J4" s="49"/>
    </row>
    <row r="5" spans="1:10" ht="18.75" thickBot="1" x14ac:dyDescent="0.3">
      <c r="A5" s="185" t="s">
        <v>136</v>
      </c>
      <c r="B5" s="43"/>
      <c r="C5" s="50"/>
      <c r="D5" s="208"/>
      <c r="E5" s="209"/>
      <c r="F5" s="220"/>
      <c r="G5" s="146"/>
      <c r="H5" s="207"/>
      <c r="I5" s="208"/>
      <c r="J5" s="209"/>
    </row>
    <row r="6" spans="1:10" ht="15" x14ac:dyDescent="0.25">
      <c r="A6" s="57" t="s">
        <v>137</v>
      </c>
      <c r="B6" s="58" t="s">
        <v>187</v>
      </c>
      <c r="C6" s="59"/>
      <c r="D6" s="162"/>
      <c r="E6" s="210"/>
      <c r="F6" s="221"/>
      <c r="G6" s="146"/>
      <c r="H6" s="59"/>
      <c r="I6" s="162"/>
      <c r="J6" s="210"/>
    </row>
    <row r="7" spans="1:10" x14ac:dyDescent="0.2">
      <c r="A7" s="65"/>
      <c r="B7" s="62" t="s">
        <v>149</v>
      </c>
      <c r="C7" s="66"/>
      <c r="D7" s="161">
        <f>+'FY15 Current Forecast'!N59+'FY15 Current Forecast'!N61+'FY15 Current Forecast'!N68+'FY15 Current Forecast'!N62+'FY15 Current Forecast'!N63+'FY15 Current Forecast'!N66+'FY15 Current Forecast'!N67+'FY15 Current Forecast'!N60</f>
        <v>0</v>
      </c>
      <c r="E7" s="211">
        <f>+'FY15 Working Forecast'!N59+'FY15 Working Forecast'!N61+'FY15 Working Forecast'!N68+'FY15 Working Forecast'!N62+'FY15 Working Forecast'!N63+'FY15 Working Forecast'!N66+'FY15 Working Forecast'!N67+'FY15 Working Forecast'!N60</f>
        <v>-28487.97</v>
      </c>
      <c r="F7" s="221"/>
      <c r="G7" s="147"/>
      <c r="H7" s="66"/>
      <c r="I7" s="161">
        <f>+'FY15 Current Forecast'!O59+'FY15 Current Forecast'!O61+'FY15 Current Forecast'!O68+'FY15 Current Forecast'!O62+'FY15 Current Forecast'!O63+'FY15 Current Forecast'!O66+'FY15 Current Forecast'!O67+'FY15 Current Forecast'!O60</f>
        <v>0</v>
      </c>
      <c r="J7" s="211">
        <f>+'FY15 Working Forecast'!O59+'FY15 Working Forecast'!O61+'FY15 Working Forecast'!O68+'FY15 Working Forecast'!O62+'FY15 Working Forecast'!O63+'FY15 Working Forecast'!O66+'FY15 Working Forecast'!O67+'FY15 Working Forecast'!O60</f>
        <v>65508.169999999984</v>
      </c>
    </row>
    <row r="8" spans="1:10" x14ac:dyDescent="0.2">
      <c r="A8" s="61"/>
      <c r="B8" s="62" t="s">
        <v>138</v>
      </c>
      <c r="C8" s="67">
        <f>+'FY15 Budget'!N51+'FY15 Budget'!N52+'FY15 Budget'!N55+'FY15 Budget'!N57</f>
        <v>111832.1671269301</v>
      </c>
      <c r="D8" s="159">
        <f>+'FY15 Current Forecast'!N52+'FY15 Current Forecast'!N53+'FY15 Current Forecast'!N55+'FY15 Current Forecast'!N57+'FY15 Current Forecast'!N58</f>
        <v>0</v>
      </c>
      <c r="E8" s="212">
        <f>+'FY15 Working Forecast'!N52+'FY15 Working Forecast'!N53+'FY15 Working Forecast'!N55+'FY15 Working Forecast'!N57+'FY15 Working Forecast'!N58</f>
        <v>117207.46</v>
      </c>
      <c r="F8" s="221"/>
      <c r="G8" s="146"/>
      <c r="H8" s="67">
        <f>+'FY15 Budget'!O51+'FY15 Budget'!O52+'FY15 Budget'!O55+'FY15 Budget'!O57</f>
        <v>1453818.1726500911</v>
      </c>
      <c r="I8" s="159">
        <f>+'FY15 Current Forecast'!O52+'FY15 Current Forecast'!O53+'FY15 Current Forecast'!O55+'FY15 Current Forecast'!O57+'FY15 Current Forecast'!O58</f>
        <v>0</v>
      </c>
      <c r="J8" s="212">
        <f>+'FY15 Working Forecast'!O52+'FY15 Working Forecast'!O53+'FY15 Working Forecast'!O55+'FY15 Working Forecast'!O57+'FY15 Working Forecast'!O58</f>
        <v>1222339.1599999999</v>
      </c>
    </row>
    <row r="9" spans="1:10" x14ac:dyDescent="0.2">
      <c r="A9" s="61"/>
      <c r="B9" s="62" t="s">
        <v>139</v>
      </c>
      <c r="C9" s="67" t="str">
        <f>+'FY15 Budget'!N50</f>
        <v xml:space="preserve">0 </v>
      </c>
      <c r="D9" s="159" t="str">
        <f>+'FY15 Current Forecast'!N51</f>
        <v xml:space="preserve">0 </v>
      </c>
      <c r="E9" s="212" t="str">
        <f>+'FY15 Working Forecast'!N51</f>
        <v xml:space="preserve">0 </v>
      </c>
      <c r="F9" s="221"/>
      <c r="G9" s="146"/>
      <c r="H9" s="67">
        <f>+'FY15 Budget'!O50</f>
        <v>0</v>
      </c>
      <c r="I9" s="159">
        <f>+'FY15 Current Forecast'!O51</f>
        <v>0</v>
      </c>
      <c r="J9" s="212">
        <f>+'FY15 Working Forecast'!O51</f>
        <v>42.969999999999345</v>
      </c>
    </row>
    <row r="10" spans="1:10" x14ac:dyDescent="0.2">
      <c r="A10" s="61"/>
      <c r="B10" s="62" t="s">
        <v>140</v>
      </c>
      <c r="C10" s="67">
        <f>+'FY15 Budget'!N53</f>
        <v>5425.1694199723524</v>
      </c>
      <c r="D10" s="159" t="str">
        <f>+'FY15 Current Forecast'!N54</f>
        <v xml:space="preserve">0 </v>
      </c>
      <c r="E10" s="212">
        <f>+'FY15 Working Forecast'!N54</f>
        <v>10916.78</v>
      </c>
      <c r="F10" s="221"/>
      <c r="G10" s="146"/>
      <c r="H10" s="67">
        <f>+'FY15 Budget'!O53</f>
        <v>70527.202459640583</v>
      </c>
      <c r="I10" s="159">
        <f>+'FY15 Current Forecast'!O54</f>
        <v>0</v>
      </c>
      <c r="J10" s="212">
        <f>+'FY15 Working Forecast'!O54</f>
        <v>148747.95000000001</v>
      </c>
    </row>
    <row r="11" spans="1:10" ht="15" thickBot="1" x14ac:dyDescent="0.25">
      <c r="A11" s="61"/>
      <c r="B11" s="62" t="s">
        <v>112</v>
      </c>
      <c r="C11" s="163" t="str">
        <f>+'FY15 Budget'!N59</f>
        <v xml:space="preserve">0 </v>
      </c>
      <c r="D11" s="164">
        <f>+'FY15 Current Forecast'!N69+'FY15 Current Forecast'!N64+'FY15 Current Forecast'!N65</f>
        <v>0</v>
      </c>
      <c r="E11" s="213">
        <f>+'FY15 Working Forecast'!N69+'FY15 Working Forecast'!N64+'FY15 Working Forecast'!N65</f>
        <v>0</v>
      </c>
      <c r="F11" s="221"/>
      <c r="G11" s="146"/>
      <c r="H11" s="163">
        <f>+'FY15 Budget'!O59</f>
        <v>0</v>
      </c>
      <c r="I11" s="164">
        <f>+'FY15 Current Forecast'!O69+'FY15 Current Forecast'!O64+'FY15 Current Forecast'!O65</f>
        <v>0</v>
      </c>
      <c r="J11" s="213">
        <f>+'FY15 Working Forecast'!O69+'FY15 Working Forecast'!O64+'FY15 Working Forecast'!O65</f>
        <v>0</v>
      </c>
    </row>
    <row r="12" spans="1:10" ht="15.75" thickBot="1" x14ac:dyDescent="0.3">
      <c r="A12" s="69"/>
      <c r="B12" s="70" t="s">
        <v>141</v>
      </c>
      <c r="C12" s="155">
        <f>SUM(C6:C11)</f>
        <v>117257.33654690246</v>
      </c>
      <c r="D12" s="73">
        <f>SUM(D6:D11)</f>
        <v>0</v>
      </c>
      <c r="E12" s="158">
        <f>SUM(E6:E11)</f>
        <v>99636.27</v>
      </c>
      <c r="F12" s="221"/>
      <c r="G12" s="148"/>
      <c r="H12" s="155">
        <f>SUM(H6:H11)</f>
        <v>1524345.3751097317</v>
      </c>
      <c r="I12" s="73">
        <f>SUM(I6:I11)</f>
        <v>0</v>
      </c>
      <c r="J12" s="158">
        <f>SUM(J6:J11)</f>
        <v>1436638.2499999998</v>
      </c>
    </row>
    <row r="13" spans="1:10" ht="15" thickBot="1" x14ac:dyDescent="0.25">
      <c r="A13" s="75"/>
      <c r="B13" s="43"/>
      <c r="C13" s="76"/>
      <c r="D13" s="77"/>
      <c r="E13" s="56"/>
      <c r="F13" s="221"/>
      <c r="G13" s="146"/>
      <c r="H13" s="76"/>
      <c r="I13" s="77"/>
      <c r="J13" s="56"/>
    </row>
    <row r="14" spans="1:10" ht="15" x14ac:dyDescent="0.25">
      <c r="A14" s="78" t="s">
        <v>142</v>
      </c>
      <c r="B14" s="79" t="s">
        <v>113</v>
      </c>
      <c r="C14" s="80">
        <f>+SUM('FY15 Budget'!N8:N49)+'FY15 Budget'!N56</f>
        <v>25593.520663920681</v>
      </c>
      <c r="D14" s="81">
        <f>+SUM('FY15 Current Forecast'!N8:N50)+'FY15 Current Forecast'!N56</f>
        <v>0</v>
      </c>
      <c r="E14" s="82">
        <f>+SUM('FY15 Working Forecast'!N8:N50)+'FY15 Working Forecast'!N56</f>
        <v>-3</v>
      </c>
      <c r="F14" s="221"/>
      <c r="G14" s="146"/>
      <c r="H14" s="80">
        <f>+SUM('FY15 Budget'!O8:O49)</f>
        <v>299030.65121211112</v>
      </c>
      <c r="I14" s="81">
        <f>+SUM('FY15 Current Forecast'!O8:O50)+'FY15 Current Forecast'!O56</f>
        <v>0</v>
      </c>
      <c r="J14" s="82">
        <f>+SUM('FY15 Working Forecast'!O8:O50)+'FY15 Working Forecast'!O56</f>
        <v>76286</v>
      </c>
    </row>
    <row r="15" spans="1:10" ht="15" x14ac:dyDescent="0.25">
      <c r="A15" s="117"/>
      <c r="B15" s="267" t="s">
        <v>240</v>
      </c>
      <c r="C15" s="264">
        <f>+'FY15 Budget'!N66+'FY15 Budget'!N67+'FY15 Budget'!N60</f>
        <v>4323.0783225269906</v>
      </c>
      <c r="D15" s="119">
        <f>+'FY15 Current Forecast'!N76+'FY15 Current Forecast'!N77+'FY15 Current Forecast'!N70</f>
        <v>0</v>
      </c>
      <c r="E15" s="120">
        <f>+'FY15 Working Forecast'!N76+'FY15 Working Forecast'!N77+'FY15 Working Forecast'!N70</f>
        <v>9357.36</v>
      </c>
      <c r="F15" s="221"/>
      <c r="G15" s="146"/>
      <c r="H15" s="264">
        <f>+'FY15 Budget'!O66+'FY15 Budget'!O67+'FY15 Budget'!O60</f>
        <v>51876.939870323891</v>
      </c>
      <c r="I15" s="119">
        <f>+'FY15 Current Forecast'!O76+'FY15 Current Forecast'!O77+'FY15 Current Forecast'!O70</f>
        <v>0</v>
      </c>
      <c r="J15" s="120">
        <f>+'FY15 Working Forecast'!O76+'FY15 Working Forecast'!O77+'FY15 Working Forecast'!O70</f>
        <v>98812.31</v>
      </c>
    </row>
    <row r="16" spans="1:10" ht="15.75" thickBot="1" x14ac:dyDescent="0.3">
      <c r="A16" s="83"/>
      <c r="B16" s="84" t="s">
        <v>143</v>
      </c>
      <c r="C16" s="85">
        <f>SUM(C14:C15)</f>
        <v>29916.598986447672</v>
      </c>
      <c r="D16" s="86">
        <f>SUM(D14:D15)</f>
        <v>0</v>
      </c>
      <c r="E16" s="87">
        <f>SUM(E14:E15)</f>
        <v>9354.36</v>
      </c>
      <c r="F16" s="221"/>
      <c r="G16" s="148"/>
      <c r="H16" s="85">
        <f>SUM(H14:H15)</f>
        <v>350907.59108243498</v>
      </c>
      <c r="I16" s="86">
        <f>SUM(I14:I15)</f>
        <v>0</v>
      </c>
      <c r="J16" s="87">
        <f>SUM(J14:J15)</f>
        <v>175098.31</v>
      </c>
    </row>
    <row r="17" spans="1:10" s="270" customFormat="1" ht="15.75" thickBot="1" x14ac:dyDescent="0.3">
      <c r="A17" s="298"/>
      <c r="B17" s="299"/>
      <c r="C17" s="300"/>
      <c r="D17" s="256"/>
      <c r="E17" s="301"/>
      <c r="F17" s="312"/>
      <c r="G17" s="313"/>
      <c r="H17" s="300"/>
      <c r="I17" s="256"/>
      <c r="J17" s="301"/>
    </row>
    <row r="18" spans="1:10" ht="15" x14ac:dyDescent="0.25">
      <c r="A18" s="302" t="s">
        <v>305</v>
      </c>
      <c r="B18" s="303" t="s">
        <v>306</v>
      </c>
      <c r="C18" s="304">
        <f>+'FY15 Budget'!N64+'FY15 Budget'!N65+'FY15 Budget'!N63+'FY15 Budget'!N62+'FY15 Budget'!N61</f>
        <v>0</v>
      </c>
      <c r="D18" s="305">
        <f>+'FY15 Current Forecast'!N74+'FY15 Current Forecast'!N75+'FY15 Current Forecast'!N71+'FY15 Current Forecast'!N72+'FY15 Current Forecast'!N73</f>
        <v>0</v>
      </c>
      <c r="E18" s="306">
        <f>+'FY15 Working Forecast'!N74+'FY15 Working Forecast'!N75+'FY15 Working Forecast'!N71+'FY15 Working Forecast'!N72+'FY15 Working Forecast'!N73</f>
        <v>25626.730000000003</v>
      </c>
      <c r="F18" s="314"/>
      <c r="G18" s="315"/>
      <c r="H18" s="304">
        <f>+'FY15 Budget'!O64+'FY15 Budget'!O65+'FY15 Budget'!O63+'FY15 Budget'!O62+'FY15 Budget'!O61</f>
        <v>0</v>
      </c>
      <c r="I18" s="305">
        <f>+'FY15 Current Forecast'!O74+'FY15 Current Forecast'!O75+'FY15 Current Forecast'!O71+'FY15 Current Forecast'!O72+'FY15 Current Forecast'!O73</f>
        <v>0</v>
      </c>
      <c r="J18" s="306">
        <f>+'FY15 Working Forecast'!O74+'FY15 Working Forecast'!O75+'FY15 Working Forecast'!O71+'FY15 Working Forecast'!O72+'FY15 Working Forecast'!O73</f>
        <v>473068.11000000004</v>
      </c>
    </row>
    <row r="19" spans="1:10" ht="15.75" thickBot="1" x14ac:dyDescent="0.3">
      <c r="A19" s="307"/>
      <c r="B19" s="308" t="s">
        <v>307</v>
      </c>
      <c r="C19" s="309">
        <f>SUM(C17:C18)</f>
        <v>0</v>
      </c>
      <c r="D19" s="310">
        <f>SUM(D17:D18)</f>
        <v>0</v>
      </c>
      <c r="E19" s="311">
        <f>SUM(E17:E18)</f>
        <v>25626.730000000003</v>
      </c>
      <c r="F19" s="314"/>
      <c r="G19" s="316"/>
      <c r="H19" s="309">
        <f>SUM(H17:H18)</f>
        <v>0</v>
      </c>
      <c r="I19" s="310">
        <f>SUM(I17:I18)</f>
        <v>0</v>
      </c>
      <c r="J19" s="311">
        <f>SUM(J17:J18)</f>
        <v>473068.11000000004</v>
      </c>
    </row>
    <row r="20" spans="1:10" ht="15" thickBot="1" x14ac:dyDescent="0.25">
      <c r="A20" s="75"/>
      <c r="B20" s="43"/>
      <c r="C20" s="76"/>
      <c r="D20" s="77"/>
      <c r="E20" s="56"/>
      <c r="F20" s="221"/>
      <c r="G20" s="146"/>
      <c r="H20" s="76"/>
      <c r="I20" s="77"/>
      <c r="J20" s="56"/>
    </row>
    <row r="21" spans="1:10" ht="15" x14ac:dyDescent="0.25">
      <c r="A21" s="88" t="s">
        <v>144</v>
      </c>
      <c r="B21" s="223" t="s">
        <v>225</v>
      </c>
      <c r="C21" s="90">
        <f>+SUM('FY15 Budget'!N191:N196)</f>
        <v>0</v>
      </c>
      <c r="D21" s="91">
        <f>+SUM('FY15 Current Forecast'!N222:N227)</f>
        <v>0</v>
      </c>
      <c r="E21" s="92">
        <f>+SUM('FY15 Working Forecast'!N222:N227)</f>
        <v>4494.95</v>
      </c>
      <c r="F21" s="221"/>
      <c r="G21" s="146"/>
      <c r="H21" s="90">
        <f>+SUM('FY15 Budget'!O191:O196)</f>
        <v>0</v>
      </c>
      <c r="I21" s="91">
        <f>+SUM('FY15 Current Forecast'!O222:O227)</f>
        <v>0</v>
      </c>
      <c r="J21" s="92">
        <f>+SUM('FY15 Working Forecast'!O222:O227)</f>
        <v>122224.95000000003</v>
      </c>
    </row>
    <row r="22" spans="1:10" ht="15" x14ac:dyDescent="0.25">
      <c r="A22" s="201"/>
      <c r="B22" s="202" t="s">
        <v>146</v>
      </c>
      <c r="C22" s="124">
        <f>+'FY15 Budget'!N279</f>
        <v>9328.3580000000002</v>
      </c>
      <c r="D22" s="125">
        <f>+'FY15 Current Forecast'!N310+'FY15 Current Forecast'!N312</f>
        <v>0</v>
      </c>
      <c r="E22" s="126">
        <f>+'FY15 Working Forecast'!N310+'FY15 Working Forecast'!N312</f>
        <v>6520.2300000000005</v>
      </c>
      <c r="F22" s="221"/>
      <c r="G22" s="146"/>
      <c r="H22" s="124">
        <f>+'FY15 Budget'!O279</f>
        <v>111940.296</v>
      </c>
      <c r="I22" s="125">
        <f>+'FY15 Current Forecast'!O310+'FY15 Current Forecast'!O312</f>
        <v>0</v>
      </c>
      <c r="J22" s="126">
        <f>+'FY15 Working Forecast'!O310+'FY15 Working Forecast'!O312</f>
        <v>105793.68</v>
      </c>
    </row>
    <row r="23" spans="1:10" ht="15.75" thickBot="1" x14ac:dyDescent="0.3">
      <c r="A23" s="93"/>
      <c r="B23" s="94" t="s">
        <v>145</v>
      </c>
      <c r="C23" s="95">
        <f t="shared" ref="C23" si="0">SUM(C21:C22)</f>
        <v>9328.3580000000002</v>
      </c>
      <c r="D23" s="96">
        <f t="shared" ref="D23" si="1">SUM(D21:D22)</f>
        <v>0</v>
      </c>
      <c r="E23" s="97">
        <f t="shared" ref="E23" si="2">SUM(E21:E22)</f>
        <v>11015.18</v>
      </c>
      <c r="F23" s="221"/>
      <c r="G23" s="148"/>
      <c r="H23" s="95">
        <f t="shared" ref="H23:I23" si="3">SUM(H21:H22)</f>
        <v>111940.296</v>
      </c>
      <c r="I23" s="96">
        <f t="shared" si="3"/>
        <v>0</v>
      </c>
      <c r="J23" s="97">
        <f t="shared" ref="J23" si="4">SUM(J21:J22)</f>
        <v>228018.63</v>
      </c>
    </row>
    <row r="24" spans="1:10" ht="15" thickBot="1" x14ac:dyDescent="0.25">
      <c r="A24" s="43"/>
      <c r="B24" s="43"/>
      <c r="C24" s="76"/>
      <c r="D24" s="77"/>
      <c r="E24" s="56"/>
      <c r="F24" s="221"/>
      <c r="G24" s="146"/>
      <c r="H24" s="76"/>
      <c r="I24" s="77"/>
      <c r="J24" s="56"/>
    </row>
    <row r="25" spans="1:10" ht="15.75" thickBot="1" x14ac:dyDescent="0.3">
      <c r="A25" s="98"/>
      <c r="B25" s="99" t="s">
        <v>292</v>
      </c>
      <c r="C25" s="257">
        <f>SUM(C12,C16,C23,C19)</f>
        <v>156502.29353335014</v>
      </c>
      <c r="D25" s="102">
        <f>SUM(D12,D16,D23,D19)</f>
        <v>0</v>
      </c>
      <c r="E25" s="102">
        <f>SUM(E12,E16,E23,E19)</f>
        <v>145632.54</v>
      </c>
      <c r="F25" s="221"/>
      <c r="G25" s="146"/>
      <c r="H25" s="257">
        <f>SUM(H12,H16,H23,H19)</f>
        <v>1987193.2621921669</v>
      </c>
      <c r="I25" s="102">
        <f>SUM(I12,I16,I23,I19)</f>
        <v>0</v>
      </c>
      <c r="J25" s="102">
        <f>SUM(J12,J16,J23,J19)</f>
        <v>2312823.2999999998</v>
      </c>
    </row>
    <row r="26" spans="1:10" x14ac:dyDescent="0.2">
      <c r="A26" s="44"/>
      <c r="B26" s="43"/>
      <c r="C26" s="103"/>
      <c r="D26" s="104"/>
      <c r="E26" s="214"/>
      <c r="F26" s="221"/>
      <c r="G26" s="146"/>
      <c r="H26" s="103"/>
      <c r="I26" s="104"/>
      <c r="J26" s="214"/>
    </row>
    <row r="27" spans="1:10" ht="18.75" thickBot="1" x14ac:dyDescent="0.3">
      <c r="A27" s="185" t="s">
        <v>103</v>
      </c>
      <c r="B27" s="43"/>
      <c r="C27" s="103"/>
      <c r="D27" s="104"/>
      <c r="E27" s="214"/>
      <c r="F27" s="221"/>
      <c r="G27" s="146"/>
      <c r="H27" s="103"/>
      <c r="I27" s="104"/>
      <c r="J27" s="214"/>
    </row>
    <row r="28" spans="1:10" ht="15" x14ac:dyDescent="0.25">
      <c r="A28" s="57" t="s">
        <v>137</v>
      </c>
      <c r="B28" s="58" t="s">
        <v>187</v>
      </c>
      <c r="C28" s="156">
        <f>+'FY15 Budget'!N105+'FY15 Budget'!N129+'FY15 Budget'!N131+'FY15 Budget'!N124+'FY15 Budget'!N110+'FY15 Budget'!N130+'FY15 Budget'!N132</f>
        <v>24240</v>
      </c>
      <c r="D28" s="167">
        <f>+'FY15 Current Forecast'!N160+'FY15 Current Forecast'!N161+'FY15 Current Forecast'!N162+'FY15 Current Forecast'!N142+'FY15 Current Forecast'!N113+'FY15 Current Forecast'!N125+'FY15 Current Forecast'!N163</f>
        <v>0</v>
      </c>
      <c r="E28" s="215">
        <f>+'FY15 Working Forecast'!N160+'FY15 Working Forecast'!N161+'FY15 Working Forecast'!N162+'FY15 Working Forecast'!N142+'FY15 Working Forecast'!N113+'FY15 Working Forecast'!N125+'FY15 Working Forecast'!N163</f>
        <v>62374.76</v>
      </c>
      <c r="F28" s="221"/>
      <c r="G28" s="146"/>
      <c r="H28" s="156">
        <f>+'FY15 Budget'!O105+'FY15 Budget'!O130+'FY15 Budget'!O129+'FY15 Budget'!O131+'FY15 Budget'!O124+'FY15 Budget'!O110+'FY15 Budget'!O129</f>
        <v>315120</v>
      </c>
      <c r="I28" s="167">
        <f>+'FY15 Current Forecast'!O160+'FY15 Current Forecast'!O161+'FY15 Current Forecast'!O162+'FY15 Current Forecast'!O142+'FY15 Current Forecast'!O113+'FY15 Current Forecast'!O125+'FY15 Current Forecast'!O163</f>
        <v>0</v>
      </c>
      <c r="J28" s="215">
        <f>+'FY15 Working Forecast'!O160+'FY15 Working Forecast'!O161+'FY15 Working Forecast'!O162+'FY15 Working Forecast'!O142+'FY15 Working Forecast'!O113+'FY15 Working Forecast'!O125+'FY15 Working Forecast'!O163</f>
        <v>193863.56</v>
      </c>
    </row>
    <row r="29" spans="1:10" ht="15" x14ac:dyDescent="0.25">
      <c r="A29" s="108"/>
      <c r="B29" s="62" t="s">
        <v>115</v>
      </c>
      <c r="C29" s="68">
        <f>+'FY15 Budget'!N127+'FY15 Budget'!N123+'FY15 Budget'!N128</f>
        <v>44560</v>
      </c>
      <c r="D29" s="161">
        <f>+'FY15 Current Forecast'!N158+'FY15 Current Forecast'!N159+'FY15 Current Forecast'!N138+'FY15 Current Forecast'!N139+'FY15 Current Forecast'!N140+'FY15 Current Forecast'!N141+'FY15 Current Forecast'!N109+'FY15 Current Forecast'!N114+'FY15 Current Forecast'!N129+'FY15 Current Forecast'!N130+'FY15 Current Forecast'!N131+'FY15 Current Forecast'!N132+'FY15 Current Forecast'!N119+'FY15 Current Forecast'!N99+'FY15 Current Forecast'!N112+'FY15 Current Forecast'!N117+'FY15 Current Forecast'!N128</f>
        <v>0</v>
      </c>
      <c r="E29" s="211">
        <f>+'FY15 Working Forecast'!N158+'FY15 Working Forecast'!N159+'FY15 Working Forecast'!N138+'FY15 Working Forecast'!N139+'FY15 Working Forecast'!N140+'FY15 Working Forecast'!N141+'FY15 Working Forecast'!N109+'FY15 Working Forecast'!N114+'FY15 Working Forecast'!N129+'FY15 Working Forecast'!N130+'FY15 Working Forecast'!N131+'FY15 Working Forecast'!N132+'FY15 Working Forecast'!N119+'FY15 Working Forecast'!N99+'FY15 Working Forecast'!N112+'FY15 Working Forecast'!N117+'FY15 Working Forecast'!N128</f>
        <v>72243.139999999985</v>
      </c>
      <c r="F29" s="221"/>
      <c r="G29" s="151"/>
      <c r="H29" s="68">
        <f>+'FY15 Budget'!O127+'FY15 Budget'!O123+'FY15 Budget'!O128</f>
        <v>579280</v>
      </c>
      <c r="I29" s="161">
        <f>+'FY15 Current Forecast'!O158+'FY15 Current Forecast'!O159+'FY15 Current Forecast'!O138+'FY15 Current Forecast'!O139+'FY15 Current Forecast'!O140+'FY15 Current Forecast'!O141+'FY15 Current Forecast'!O109+'FY15 Current Forecast'!O114+'FY15 Current Forecast'!O129+'FY15 Current Forecast'!O130+'FY15 Current Forecast'!O131+'FY15 Current Forecast'!O132+'FY15 Current Forecast'!O119+'FY15 Current Forecast'!O99+'FY15 Current Forecast'!O112+'FY15 Current Forecast'!O117+'FY15 Current Forecast'!O128</f>
        <v>0</v>
      </c>
      <c r="J29" s="211">
        <f>+'FY15 Working Forecast'!O158+'FY15 Working Forecast'!O159+'FY15 Working Forecast'!O138+'FY15 Working Forecast'!O139+'FY15 Working Forecast'!O140+'FY15 Working Forecast'!O141+'FY15 Working Forecast'!O109+'FY15 Working Forecast'!O114+'FY15 Working Forecast'!O129+'FY15 Working Forecast'!O130+'FY15 Working Forecast'!O131+'FY15 Working Forecast'!O132+'FY15 Working Forecast'!O119+'FY15 Working Forecast'!O99+'FY15 Working Forecast'!O112+'FY15 Working Forecast'!O117+'FY15 Working Forecast'!O128</f>
        <v>619274.9</v>
      </c>
    </row>
    <row r="30" spans="1:10" x14ac:dyDescent="0.2">
      <c r="A30" s="65"/>
      <c r="B30" s="62" t="s">
        <v>117</v>
      </c>
      <c r="C30" s="68"/>
      <c r="D30" s="161"/>
      <c r="E30" s="211"/>
      <c r="F30" s="221"/>
      <c r="G30" s="151"/>
      <c r="H30" s="68"/>
      <c r="I30" s="161"/>
      <c r="J30" s="211"/>
    </row>
    <row r="31" spans="1:10" x14ac:dyDescent="0.2">
      <c r="A31" s="65"/>
      <c r="B31" s="62" t="s">
        <v>188</v>
      </c>
      <c r="C31" s="68">
        <f>+'FY15 Budget'!N126+'FY15 Budget'!N109+'FY15 Budget'!N184+'FY15 Budget'!N102+'FY15 Budget'!N119+'FY15 Budget'!N183+'FY15 Budget'!N99+'FY15 Budget'!N124</f>
        <v>126920</v>
      </c>
      <c r="D31" s="161">
        <f>+'FY15 Current Forecast'!N157+'FY15 Current Forecast'!N215+'FY15 Current Forecast'!N133+'FY15 Current Forecast'!N123+'FY15 Current Forecast'!N126+'FY15 Current Forecast'!N97+'FY15 Current Forecast'!N127+'FY15 Current Forecast'!N116+'FY15 Current Forecast'!N120+'FY15 Current Forecast'!N164+'FY15 Current Forecast'!N122+'FY15 Current Forecast'!N124+'FY15 Current Forecast'!N121+'FY15 Current Forecast'!N115+'FY15 Current Forecast'!N137+'FY15 Current Forecast'!N134+'FY15 Current Forecast'!N98+'FY15 Current Forecast'!N118+'FY15 Current Forecast'!N108+'FY15 Current Forecast'!N106+'FY15 Current Forecast'!N107+'FY15 Current Forecast'!N110+'FY15 Current Forecast'!N111+'FY15 Current Forecast'!N144+'FY15 Current Forecast'!N145+'FY15 Current Forecast'!N146+'FY15 Current Forecast'!N147+'FY15 Current Forecast'!N148+'FY15 Current Forecast'!N149+'FY15 Current Forecast'!N150+'FY15 Current Forecast'!N151+'FY15 Current Forecast'!N152+'FY15 Current Forecast'!N153+'FY15 Current Forecast'!N154+'FY15 Current Forecast'!N155+'FY15 Current Forecast'!N143</f>
        <v>0</v>
      </c>
      <c r="E31" s="211">
        <f>+'FY15 Working Forecast'!N157+'FY15 Working Forecast'!N215+'FY15 Working Forecast'!N133+'FY15 Working Forecast'!N123+'FY15 Working Forecast'!N126+'FY15 Working Forecast'!N97+'FY15 Working Forecast'!N127+'FY15 Working Forecast'!N116+'FY15 Working Forecast'!N120+'FY15 Working Forecast'!N164+'FY15 Working Forecast'!N122+'FY15 Working Forecast'!N124+'FY15 Working Forecast'!N121+'FY15 Working Forecast'!N115+'FY15 Working Forecast'!N137+'FY15 Working Forecast'!N134+'FY15 Working Forecast'!N98+'FY15 Working Forecast'!N118+'FY15 Working Forecast'!N108+'FY15 Working Forecast'!N106+'FY15 Working Forecast'!N107+'FY15 Working Forecast'!N110+'FY15 Working Forecast'!N111+'FY15 Working Forecast'!N144+'FY15 Working Forecast'!N145+'FY15 Working Forecast'!N146+'FY15 Working Forecast'!N147+'FY15 Working Forecast'!N148+'FY15 Working Forecast'!N149+'FY15 Working Forecast'!N150+'FY15 Working Forecast'!N151+'FY15 Working Forecast'!N152+'FY15 Working Forecast'!N153+'FY15 Working Forecast'!N154+'FY15 Working Forecast'!N155+'FY15 Working Forecast'!N143</f>
        <v>235017.58000000002</v>
      </c>
      <c r="F31" s="221"/>
      <c r="G31" s="151"/>
      <c r="H31" s="68">
        <f>+'FY15 Budget'!O126+'FY15 Budget'!O109+'FY15 Budget'!O184+'FY15 Budget'!O102+'FY15 Budget'!O119+'FY15 Budget'!O183+'FY15 Budget'!O99+'FY15 Budget'!O124</f>
        <v>1649960</v>
      </c>
      <c r="I31" s="161">
        <f>+'FY15 Current Forecast'!O157+'FY15 Current Forecast'!O215+'FY15 Current Forecast'!O133+'FY15 Current Forecast'!O123+'FY15 Current Forecast'!O126+'FY15 Current Forecast'!O97+'FY15 Current Forecast'!O127+'FY15 Current Forecast'!O116+'FY15 Current Forecast'!O120+'FY15 Current Forecast'!O164+'FY15 Current Forecast'!O122+'FY15 Current Forecast'!O124+'FY15 Current Forecast'!O121+'FY15 Current Forecast'!O115+'FY15 Current Forecast'!O137+'FY15 Current Forecast'!O134+'FY15 Current Forecast'!O98+'FY15 Current Forecast'!O118+'FY15 Current Forecast'!O108+'FY15 Current Forecast'!O106+'FY15 Current Forecast'!O107+'FY15 Current Forecast'!O110+'FY15 Current Forecast'!O111+'FY15 Current Forecast'!O144+'FY15 Current Forecast'!O145+'FY15 Current Forecast'!O146+'FY15 Current Forecast'!O147+'FY15 Current Forecast'!O148+'FY15 Current Forecast'!O149+'FY15 Current Forecast'!O150+'FY15 Current Forecast'!O151+'FY15 Current Forecast'!O152+'FY15 Current Forecast'!O153+'FY15 Current Forecast'!O154+'FY15 Current Forecast'!O155+'FY15 Current Forecast'!O143</f>
        <v>0</v>
      </c>
      <c r="J31" s="211">
        <f>+'FY15 Working Forecast'!O157+'FY15 Working Forecast'!O215+'FY15 Working Forecast'!O133+'FY15 Working Forecast'!O123+'FY15 Working Forecast'!O126+'FY15 Working Forecast'!O97+'FY15 Working Forecast'!O127+'FY15 Working Forecast'!O116+'FY15 Working Forecast'!O120+'FY15 Working Forecast'!O164+'FY15 Working Forecast'!O122+'FY15 Working Forecast'!O124+'FY15 Working Forecast'!O121+'FY15 Working Forecast'!O115+'FY15 Working Forecast'!O137+'FY15 Working Forecast'!O134+'FY15 Working Forecast'!O98+'FY15 Working Forecast'!O118+'FY15 Working Forecast'!O108+'FY15 Working Forecast'!O106+'FY15 Working Forecast'!O107+'FY15 Working Forecast'!O110+'FY15 Working Forecast'!O111+'FY15 Working Forecast'!O144+'FY15 Working Forecast'!O145+'FY15 Working Forecast'!O146+'FY15 Working Forecast'!O147+'FY15 Working Forecast'!O148+'FY15 Working Forecast'!O149+'FY15 Working Forecast'!O150+'FY15 Working Forecast'!O151+'FY15 Working Forecast'!O152+'FY15 Working Forecast'!O153+'FY15 Working Forecast'!O154+'FY15 Working Forecast'!O155+'FY15 Working Forecast'!O143</f>
        <v>2089495.89</v>
      </c>
    </row>
    <row r="32" spans="1:10" ht="15" x14ac:dyDescent="0.25">
      <c r="A32" s="108"/>
      <c r="B32" s="62" t="s">
        <v>138</v>
      </c>
      <c r="C32" s="68">
        <f>+'FY15 Budget'!N180</f>
        <v>124391.43008725491</v>
      </c>
      <c r="D32" s="161">
        <f>+'FY15 Current Forecast'!N212+'FY15 Current Forecast'!N208+'FY15 Current Forecast'!N211</f>
        <v>0</v>
      </c>
      <c r="E32" s="211">
        <f>+'FY15 Working Forecast'!N212+'FY15 Working Forecast'!N208+'FY15 Working Forecast'!N211</f>
        <v>93276.07</v>
      </c>
      <c r="F32" s="221"/>
      <c r="G32" s="146"/>
      <c r="H32" s="68">
        <f>+'FY15 Budget'!O180</f>
        <v>1617088.5911343135</v>
      </c>
      <c r="I32" s="161">
        <f>+'FY15 Current Forecast'!O212+'FY15 Current Forecast'!O208+'FY15 Current Forecast'!O211</f>
        <v>0</v>
      </c>
      <c r="J32" s="211">
        <f>+'FY15 Working Forecast'!O212+'FY15 Working Forecast'!O208+'FY15 Working Forecast'!O211</f>
        <v>1556832.58</v>
      </c>
    </row>
    <row r="33" spans="1:12" x14ac:dyDescent="0.2">
      <c r="A33" s="65"/>
      <c r="B33" s="62" t="s">
        <v>139</v>
      </c>
      <c r="C33" s="68">
        <f>+'FY15 Budget'!N181</f>
        <v>13635.08811167</v>
      </c>
      <c r="D33" s="161">
        <f>+'FY15 Current Forecast'!N213+'FY15 Current Forecast'!N209</f>
        <v>0</v>
      </c>
      <c r="E33" s="211">
        <f>+'FY15 Working Forecast'!N213+'FY15 Working Forecast'!N209</f>
        <v>3459.34</v>
      </c>
      <c r="F33" s="221"/>
      <c r="G33" s="151"/>
      <c r="H33" s="68">
        <f>+'FY15 Budget'!O181</f>
        <v>177256.14545171004</v>
      </c>
      <c r="I33" s="161">
        <f>+'FY15 Current Forecast'!O213+'FY15 Current Forecast'!O209</f>
        <v>0</v>
      </c>
      <c r="J33" s="211">
        <f>+'FY15 Working Forecast'!O213+'FY15 Working Forecast'!O209</f>
        <v>113669.54</v>
      </c>
    </row>
    <row r="34" spans="1:12" x14ac:dyDescent="0.2">
      <c r="A34" s="65"/>
      <c r="B34" s="62" t="s">
        <v>140</v>
      </c>
      <c r="C34" s="68">
        <f>+'FY15 Budget'!N182</f>
        <v>5907.7514836231549</v>
      </c>
      <c r="D34" s="161">
        <f>+'FY15 Current Forecast'!N214+'FY15 Current Forecast'!N210</f>
        <v>0</v>
      </c>
      <c r="E34" s="211">
        <f>+'FY15 Working Forecast'!N214+'FY15 Working Forecast'!N210</f>
        <v>6122.43</v>
      </c>
      <c r="F34" s="221"/>
      <c r="G34" s="151"/>
      <c r="H34" s="68">
        <f>+'FY15 Budget'!O182</f>
        <v>76800.769287101022</v>
      </c>
      <c r="I34" s="161">
        <f>+'FY15 Current Forecast'!O214+'FY15 Current Forecast'!O210</f>
        <v>0</v>
      </c>
      <c r="J34" s="211">
        <f>+'FY15 Working Forecast'!O214+'FY15 Working Forecast'!O210</f>
        <v>185197.03999999998</v>
      </c>
    </row>
    <row r="35" spans="1:12" x14ac:dyDescent="0.2">
      <c r="A35" s="65"/>
      <c r="B35" s="62" t="s">
        <v>125</v>
      </c>
      <c r="C35" s="68" t="str">
        <f>+'FY15 Budget'!N116</f>
        <v xml:space="preserve">0 </v>
      </c>
      <c r="D35" s="161" t="str">
        <f>+'FY15 Current Forecast'!N135</f>
        <v xml:space="preserve">0 </v>
      </c>
      <c r="E35" s="211" t="str">
        <f>+'FY15 Working Forecast'!N135</f>
        <v xml:space="preserve">0 </v>
      </c>
      <c r="F35" s="221"/>
      <c r="G35" s="151"/>
      <c r="H35" s="68">
        <f>+'FY15 Budget'!O116</f>
        <v>0</v>
      </c>
      <c r="I35" s="161">
        <f>+'FY15 Current Forecast'!O135</f>
        <v>0</v>
      </c>
      <c r="J35" s="211">
        <f>+'FY15 Working Forecast'!O135</f>
        <v>0</v>
      </c>
    </row>
    <row r="36" spans="1:12" ht="15.75" thickBot="1" x14ac:dyDescent="0.3">
      <c r="A36" s="69"/>
      <c r="B36" s="70" t="s">
        <v>153</v>
      </c>
      <c r="C36" s="71">
        <f>SUM(C28:C35)</f>
        <v>339654.26968254807</v>
      </c>
      <c r="D36" s="72">
        <f>SUM(D28:D35)</f>
        <v>0</v>
      </c>
      <c r="E36" s="176">
        <f>SUM(E28:E35)</f>
        <v>472493.32</v>
      </c>
      <c r="F36" s="221"/>
      <c r="G36" s="148"/>
      <c r="H36" s="71">
        <f>SUM(H28:H35)</f>
        <v>4415505.5058731241</v>
      </c>
      <c r="I36" s="72">
        <f>SUM(I28:I35)</f>
        <v>0</v>
      </c>
      <c r="J36" s="176">
        <f>SUM(J28:J35)</f>
        <v>4758333.51</v>
      </c>
      <c r="L36" s="198"/>
    </row>
    <row r="37" spans="1:12" ht="15" thickBot="1" x14ac:dyDescent="0.25">
      <c r="A37" s="113"/>
      <c r="B37" s="44"/>
      <c r="C37" s="114"/>
      <c r="D37" s="115"/>
      <c r="E37" s="116"/>
      <c r="F37" s="221"/>
      <c r="G37" s="151"/>
      <c r="H37" s="114"/>
      <c r="I37" s="115"/>
      <c r="J37" s="116"/>
    </row>
    <row r="38" spans="1:12" ht="15" x14ac:dyDescent="0.25">
      <c r="A38" s="78" t="s">
        <v>142</v>
      </c>
      <c r="B38" s="79" t="s">
        <v>113</v>
      </c>
      <c r="C38" s="80">
        <f>+SUM('FY15 Budget'!N134:N175)+'FY15 Budget'!N90+'FY15 Budget'!N91+'FY15 Budget'!N92+'FY15 Budget'!N93+'FY15 Budget'!N94</f>
        <v>432448.89158088836</v>
      </c>
      <c r="D38" s="81">
        <f>+SUM('FY15 Current Forecast'!N165:N207)+'FY15 Current Forecast'!N100+'FY15 Current Forecast'!N101+'FY15 Current Forecast'!N102+'FY15 Current Forecast'!N103+'FY15 Current Forecast'!N104+'FY15 Current Forecast'!N156</f>
        <v>0</v>
      </c>
      <c r="E38" s="82">
        <f>+SUM('FY15 Working Forecast'!N165:N207)+'FY15 Working Forecast'!N100+'FY15 Working Forecast'!N101+'FY15 Working Forecast'!N102+'FY15 Working Forecast'!N103+'FY15 Working Forecast'!N104+'FY15 Working Forecast'!N156</f>
        <v>338194.02999999997</v>
      </c>
      <c r="F38" s="221"/>
      <c r="G38" s="151"/>
      <c r="H38" s="80">
        <f>+SUM('FY15 Budget'!O134:O175)+'FY15 Budget'!O90+'FY15 Budget'!O91+'FY15 Budget'!O92+'FY15 Budget'!O93+'FY15 Budget'!O94</f>
        <v>5658751.7966329334</v>
      </c>
      <c r="I38" s="81">
        <f>+SUM('FY15 Current Forecast'!O165:O207)+'FY15 Current Forecast'!O100+'FY15 Current Forecast'!O101+'FY15 Current Forecast'!O102+'FY15 Current Forecast'!O103+'FY15 Current Forecast'!O104+'FY15 Current Forecast'!O156</f>
        <v>0</v>
      </c>
      <c r="J38" s="82">
        <f>+SUM('FY15 Working Forecast'!O165:O207)+'FY15 Working Forecast'!O100+'FY15 Working Forecast'!O101+'FY15 Working Forecast'!O102+'FY15 Working Forecast'!O103+'FY15 Working Forecast'!O104+'FY15 Working Forecast'!O156</f>
        <v>4884686.8499999996</v>
      </c>
    </row>
    <row r="39" spans="1:12" ht="15" x14ac:dyDescent="0.25">
      <c r="A39" s="117"/>
      <c r="B39" s="267" t="s">
        <v>146</v>
      </c>
      <c r="C39" s="121">
        <f>+'FY15 Budget'!N285+'FY15 Budget'!N95+'FY15 Budget'!N287</f>
        <v>0</v>
      </c>
      <c r="D39" s="119">
        <f>+'FY15 Current Forecast'!N318+'FY15 Current Forecast'!N105+'FY15 Current Forecast'!N320</f>
        <v>0</v>
      </c>
      <c r="E39" s="120">
        <f>+'FY15 Working Forecast'!N318+'FY15 Working Forecast'!N105+'FY15 Working Forecast'!N320</f>
        <v>14665.539999999999</v>
      </c>
      <c r="F39" s="221"/>
      <c r="G39" s="151"/>
      <c r="H39" s="121">
        <f>+'FY15 Budget'!O285+'FY15 Budget'!O95+'FY15 Budget'!O287</f>
        <v>0</v>
      </c>
      <c r="I39" s="119">
        <f>+'FY15 Current Forecast'!O318+'FY15 Current Forecast'!O105+'FY15 Current Forecast'!O320</f>
        <v>0</v>
      </c>
      <c r="J39" s="120">
        <f>+'FY15 Working Forecast'!O318+'FY15 Working Forecast'!O105+'FY15 Working Forecast'!O320</f>
        <v>142597.76999999999</v>
      </c>
    </row>
    <row r="40" spans="1:12" ht="15" x14ac:dyDescent="0.25">
      <c r="A40" s="117"/>
      <c r="B40" s="267" t="s">
        <v>241</v>
      </c>
      <c r="C40" s="121">
        <f>+'FY15 Budget'!N70+'FY15 Budget'!N71+'FY15 Budget'!N77+'FY15 Budget'!N78</f>
        <v>472831.5766892875</v>
      </c>
      <c r="D40" s="119">
        <f>+'FY15 Current Forecast'!N80+'FY15 Current Forecast'!N81+'FY15 Current Forecast'!N87+'FY15 Current Forecast'!N88</f>
        <v>0</v>
      </c>
      <c r="E40" s="120">
        <f>+'FY15 Working Forecast'!N80+'FY15 Working Forecast'!N81+'FY15 Working Forecast'!N87+'FY15 Working Forecast'!N88</f>
        <v>59795.61</v>
      </c>
      <c r="F40" s="221"/>
      <c r="G40" s="151"/>
      <c r="H40" s="121">
        <f>+'FY15 Budget'!O70+'FY15 Budget'!O71+'FY15 Budget'!O77+'FY15 Budget'!O78</f>
        <v>3595668.549956888</v>
      </c>
      <c r="I40" s="119">
        <f>+'FY15 Current Forecast'!O80+'FY15 Current Forecast'!O81+'FY15 Current Forecast'!O87+'FY15 Current Forecast'!O88</f>
        <v>0</v>
      </c>
      <c r="J40" s="120">
        <f>+'FY15 Working Forecast'!O80+'FY15 Working Forecast'!O81+'FY15 Working Forecast'!O87+'FY15 Working Forecast'!O88</f>
        <v>1185220.31</v>
      </c>
    </row>
    <row r="41" spans="1:12" ht="15.75" thickBot="1" x14ac:dyDescent="0.3">
      <c r="A41" s="83"/>
      <c r="B41" s="84" t="s">
        <v>154</v>
      </c>
      <c r="C41" s="85">
        <f>SUM(C38:C40)</f>
        <v>905280.46827017586</v>
      </c>
      <c r="D41" s="86">
        <f>SUM(D38:D40)</f>
        <v>0</v>
      </c>
      <c r="E41" s="87">
        <f>SUM(E38:E40)</f>
        <v>412655.17999999993</v>
      </c>
      <c r="F41" s="221"/>
      <c r="G41" s="152"/>
      <c r="H41" s="85">
        <f>SUM(H38:H40)</f>
        <v>9254420.3465898223</v>
      </c>
      <c r="I41" s="86">
        <f>SUM(I38:I40)</f>
        <v>0</v>
      </c>
      <c r="J41" s="87">
        <f>SUM(J38:J40)</f>
        <v>6212504.9299999997</v>
      </c>
    </row>
    <row r="42" spans="1:12" s="270" customFormat="1" ht="15.75" thickBot="1" x14ac:dyDescent="0.3">
      <c r="A42" s="298"/>
      <c r="B42" s="299"/>
      <c r="C42" s="300"/>
      <c r="D42" s="256"/>
      <c r="E42" s="301"/>
      <c r="F42" s="312"/>
      <c r="G42" s="316"/>
      <c r="H42" s="300"/>
      <c r="I42" s="256"/>
      <c r="J42" s="301"/>
    </row>
    <row r="43" spans="1:12" ht="15" x14ac:dyDescent="0.25">
      <c r="A43" s="360" t="s">
        <v>428</v>
      </c>
      <c r="B43" s="361" t="s">
        <v>430</v>
      </c>
      <c r="C43" s="362">
        <f>SUM('FY15 Budget'!N299:N315)+'FY15 Budget'!N318</f>
        <v>0</v>
      </c>
      <c r="D43" s="363">
        <f>SUM('FY15 Current Forecast'!N335:N351)+'FY15 Current Forecast'!N354</f>
        <v>0</v>
      </c>
      <c r="E43" s="364">
        <f>SUM('FY15 Working Forecast'!N335:N351)+'FY15 Working Forecast'!N354</f>
        <v>406649.98000000004</v>
      </c>
      <c r="F43" s="365"/>
      <c r="G43" s="366"/>
      <c r="H43" s="362">
        <f>SUM('FY15 Budget'!O299:O315)+'FY15 Budget'!O318</f>
        <v>0</v>
      </c>
      <c r="I43" s="363">
        <f>SUM('FY15 Current Forecast'!O335:O351)+'FY15 Current Forecast'!O354</f>
        <v>0</v>
      </c>
      <c r="J43" s="364">
        <f>SUM('FY15 Working Forecast'!O335:O351)+'FY15 Working Forecast'!O354</f>
        <v>1620738.02</v>
      </c>
    </row>
    <row r="44" spans="1:12" ht="15.75" thickBot="1" x14ac:dyDescent="0.3">
      <c r="A44" s="367"/>
      <c r="B44" s="368" t="s">
        <v>307</v>
      </c>
      <c r="C44" s="369">
        <f>SUM(C43:C43)</f>
        <v>0</v>
      </c>
      <c r="D44" s="370">
        <f t="shared" ref="D44:E44" si="5">SUM(D43:D43)</f>
        <v>0</v>
      </c>
      <c r="E44" s="371">
        <f t="shared" si="5"/>
        <v>406649.98000000004</v>
      </c>
      <c r="F44" s="365"/>
      <c r="G44" s="372"/>
      <c r="H44" s="369">
        <f>SUM(H43:H43)</f>
        <v>0</v>
      </c>
      <c r="I44" s="370">
        <f t="shared" ref="I44" si="6">SUM(I43:I43)</f>
        <v>0</v>
      </c>
      <c r="J44" s="371">
        <f t="shared" ref="J44" si="7">SUM(J43:J43)</f>
        <v>1620738.02</v>
      </c>
    </row>
    <row r="45" spans="1:12" ht="15" thickBot="1" x14ac:dyDescent="0.25">
      <c r="A45" s="75"/>
      <c r="B45" s="43"/>
      <c r="C45" s="76"/>
      <c r="D45" s="77"/>
      <c r="E45" s="56"/>
      <c r="F45" s="314"/>
      <c r="G45" s="315"/>
      <c r="H45" s="76"/>
      <c r="I45" s="77"/>
      <c r="J45" s="56"/>
    </row>
    <row r="46" spans="1:12" ht="15" x14ac:dyDescent="0.25">
      <c r="A46" s="302" t="s">
        <v>305</v>
      </c>
      <c r="B46" s="303" t="s">
        <v>306</v>
      </c>
      <c r="C46" s="304">
        <f>+'FY15 Budget'!N72+'FY15 Budget'!N73+'FY15 Budget'!N74+'FY15 Budget'!N75+'FY15 Budget'!N76</f>
        <v>2000</v>
      </c>
      <c r="D46" s="305">
        <f>+'FY15 Current Forecast'!N82+'FY15 Current Forecast'!N83+'FY15 Current Forecast'!N84+'FY15 Current Forecast'!N85+'FY15 Current Forecast'!N86+'FY15 Current Forecast'!N89</f>
        <v>0</v>
      </c>
      <c r="E46" s="306">
        <f>+'FY15 Working Forecast'!N82+'FY15 Working Forecast'!N83+'FY15 Working Forecast'!N84+'FY15 Working Forecast'!N85+'FY15 Working Forecast'!N86+'FY15 Working Forecast'!N89</f>
        <v>21853.26</v>
      </c>
      <c r="F46" s="314"/>
      <c r="G46" s="315"/>
      <c r="H46" s="304">
        <f>+'FY15 Budget'!O72+'FY15 Budget'!O73+'FY15 Budget'!O74+'FY15 Budget'!O75+'FY15 Budget'!O76</f>
        <v>24000</v>
      </c>
      <c r="I46" s="305">
        <f>+'FY15 Current Forecast'!O82+'FY15 Current Forecast'!O83+'FY15 Current Forecast'!O84+'FY15 Current Forecast'!O85+'FY15 Current Forecast'!O86+'FY15 Current Forecast'!O89</f>
        <v>0</v>
      </c>
      <c r="J46" s="306">
        <f>+'FY15 Working Forecast'!O82+'FY15 Working Forecast'!O83+'FY15 Working Forecast'!O84+'FY15 Working Forecast'!O85+'FY15 Working Forecast'!O86+'FY15 Working Forecast'!O89</f>
        <v>319100.91000000003</v>
      </c>
    </row>
    <row r="47" spans="1:12" ht="15.75" thickBot="1" x14ac:dyDescent="0.3">
      <c r="A47" s="307"/>
      <c r="B47" s="308" t="s">
        <v>307</v>
      </c>
      <c r="C47" s="309">
        <f>SUM(C46:C46)</f>
        <v>2000</v>
      </c>
      <c r="D47" s="310">
        <f t="shared" ref="D47:E47" si="8">SUM(D46:D46)</f>
        <v>0</v>
      </c>
      <c r="E47" s="311">
        <f t="shared" si="8"/>
        <v>21853.26</v>
      </c>
      <c r="F47" s="314"/>
      <c r="G47" s="317"/>
      <c r="H47" s="309">
        <f>SUM(H46:H46)</f>
        <v>24000</v>
      </c>
      <c r="I47" s="310">
        <f t="shared" ref="I47" si="9">SUM(I46:I46)</f>
        <v>0</v>
      </c>
      <c r="J47" s="311">
        <f t="shared" ref="J47" si="10">SUM(J46:J46)</f>
        <v>319100.91000000003</v>
      </c>
    </row>
    <row r="48" spans="1:12" ht="15" thickBot="1" x14ac:dyDescent="0.25">
      <c r="A48" s="75"/>
      <c r="B48" s="43"/>
      <c r="C48" s="76"/>
      <c r="D48" s="77"/>
      <c r="E48" s="56"/>
      <c r="F48" s="314"/>
      <c r="G48" s="315"/>
      <c r="H48" s="76"/>
      <c r="I48" s="77"/>
      <c r="J48" s="56"/>
    </row>
    <row r="49" spans="1:15" ht="15" x14ac:dyDescent="0.25">
      <c r="A49" s="88" t="s">
        <v>144</v>
      </c>
      <c r="B49" s="89" t="s">
        <v>101</v>
      </c>
      <c r="C49" s="90">
        <f>+SUM('FY15 Budget'!N202:N203)</f>
        <v>37838</v>
      </c>
      <c r="D49" s="91">
        <f>+SUM('FY15 Current Forecast'!N234:N235)</f>
        <v>0</v>
      </c>
      <c r="E49" s="92">
        <f>+SUM('FY15 Working Forecast'!N234:N235)</f>
        <v>62108.37</v>
      </c>
      <c r="F49" s="221"/>
      <c r="G49" s="146"/>
      <c r="H49" s="90">
        <f>+SUM('FY15 Budget'!O202:O203)</f>
        <v>491896</v>
      </c>
      <c r="I49" s="91">
        <f>+SUM('FY15 Current Forecast'!O234:O235)</f>
        <v>0</v>
      </c>
      <c r="J49" s="92">
        <f>+SUM('FY15 Working Forecast'!O234:O235)</f>
        <v>778207.04999999993</v>
      </c>
    </row>
    <row r="50" spans="1:15" x14ac:dyDescent="0.2">
      <c r="A50" s="122"/>
      <c r="B50" s="202" t="s">
        <v>226</v>
      </c>
      <c r="C50" s="124">
        <f>+SUM('FY15 Budget'!N198:N201)+'FY15 Budget'!N86+'FY15 Budget'!N87+'FY15 Budget'!N88+'FY15 Budget'!N89</f>
        <v>109441</v>
      </c>
      <c r="D50" s="125">
        <f>+SUM('FY15 Current Forecast'!N229:N232)+'FY15 Current Forecast'!N96</f>
        <v>0</v>
      </c>
      <c r="E50" s="126">
        <f>+SUM('FY15 Working Forecast'!N229:N232)+'FY15 Working Forecast'!N96</f>
        <v>109236.66</v>
      </c>
      <c r="F50" s="221"/>
      <c r="G50" s="146"/>
      <c r="H50" s="124">
        <f>+SUM('FY15 Budget'!O198:O201)+'FY15 Budget'!O86+'FY15 Budget'!O87+'FY15 Budget'!O88+'FY15 Budget'!O89</f>
        <v>1422737</v>
      </c>
      <c r="I50" s="125">
        <f>+SUM('FY15 Current Forecast'!O229:O232)+'FY15 Current Forecast'!O96</f>
        <v>0</v>
      </c>
      <c r="J50" s="126">
        <f>+SUM('FY15 Working Forecast'!O229:O232)+'FY15 Working Forecast'!O96</f>
        <v>1448006.0999999999</v>
      </c>
      <c r="K50" s="198"/>
    </row>
    <row r="51" spans="1:15" x14ac:dyDescent="0.2">
      <c r="A51" s="122"/>
      <c r="B51" s="202" t="s">
        <v>146</v>
      </c>
      <c r="C51" s="124">
        <f>+'FY15 Budget'!N283</f>
        <v>21571.827874999999</v>
      </c>
      <c r="D51" s="125">
        <f>+'FY15 Current Forecast'!N315+'FY15 Current Forecast'!N316</f>
        <v>0</v>
      </c>
      <c r="E51" s="126">
        <f>+'FY15 Working Forecast'!N315+'FY15 Working Forecast'!N316</f>
        <v>6284.78</v>
      </c>
      <c r="F51" s="221"/>
      <c r="G51" s="146"/>
      <c r="H51" s="124">
        <f>+'FY15 Budget'!O283</f>
        <v>280431.89670340001</v>
      </c>
      <c r="I51" s="125">
        <f>+'FY15 Current Forecast'!O315+'FY15 Current Forecast'!O316</f>
        <v>0</v>
      </c>
      <c r="J51" s="126">
        <f>+'FY15 Working Forecast'!O315+'FY15 Working Forecast'!O316</f>
        <v>239832.91000000006</v>
      </c>
      <c r="L51" s="198"/>
      <c r="O51" s="198"/>
    </row>
    <row r="52" spans="1:15" x14ac:dyDescent="0.2">
      <c r="A52" s="122"/>
      <c r="B52" s="202" t="s">
        <v>239</v>
      </c>
      <c r="C52" s="124">
        <v>0</v>
      </c>
      <c r="D52" s="166" t="str">
        <f>+'FY15 Current Forecast'!N233</f>
        <v xml:space="preserve">0 </v>
      </c>
      <c r="E52" s="126" t="str">
        <f>+'FY15 Working Forecast'!N233</f>
        <v xml:space="preserve">0 </v>
      </c>
      <c r="F52" s="221"/>
      <c r="G52" s="146"/>
      <c r="H52" s="124">
        <v>0</v>
      </c>
      <c r="I52" s="166">
        <f>+'FY15 Current Forecast'!O233</f>
        <v>0</v>
      </c>
      <c r="J52" s="126">
        <f>+'FY15 Working Forecast'!O233</f>
        <v>0</v>
      </c>
    </row>
    <row r="53" spans="1:15" x14ac:dyDescent="0.2">
      <c r="A53" s="122"/>
      <c r="B53" s="123" t="s">
        <v>155</v>
      </c>
      <c r="C53" s="177" t="str">
        <f>+'FY15 Budget'!N185</f>
        <v xml:space="preserve">0 </v>
      </c>
      <c r="D53" s="166" t="str">
        <f>+'FY15 Current Forecast'!N216</f>
        <v xml:space="preserve">0 </v>
      </c>
      <c r="E53" s="216" t="str">
        <f>+'FY15 Working Forecast'!N216</f>
        <v xml:space="preserve">0 </v>
      </c>
      <c r="F53" s="221"/>
      <c r="G53" s="146"/>
      <c r="H53" s="177">
        <f>+'FY15 Budget'!O185</f>
        <v>0</v>
      </c>
      <c r="I53" s="166">
        <f>+'FY15 Current Forecast'!O216</f>
        <v>0</v>
      </c>
      <c r="J53" s="216">
        <f>+'FY15 Working Forecast'!O216</f>
        <v>0</v>
      </c>
    </row>
    <row r="54" spans="1:15" ht="15.75" thickBot="1" x14ac:dyDescent="0.3">
      <c r="A54" s="129"/>
      <c r="B54" s="94" t="s">
        <v>122</v>
      </c>
      <c r="C54" s="95">
        <f>SUM(C49:C53)</f>
        <v>168850.82787499999</v>
      </c>
      <c r="D54" s="96">
        <f>SUM(D49:D53)</f>
        <v>0</v>
      </c>
      <c r="E54" s="97">
        <f>SUM(E49:E53)</f>
        <v>177629.81</v>
      </c>
      <c r="F54" s="221"/>
      <c r="G54" s="151"/>
      <c r="H54" s="95">
        <f>SUM(H49:H53)</f>
        <v>2195064.8967034002</v>
      </c>
      <c r="I54" s="96">
        <f>SUM(I49:I53)</f>
        <v>0</v>
      </c>
      <c r="J54" s="97">
        <f>SUM(J49:J53)</f>
        <v>2466046.06</v>
      </c>
    </row>
    <row r="55" spans="1:15" ht="15" thickBot="1" x14ac:dyDescent="0.25">
      <c r="A55" s="75"/>
      <c r="B55" s="43"/>
      <c r="C55" s="76"/>
      <c r="D55" s="77"/>
      <c r="E55" s="56"/>
      <c r="F55" s="221"/>
      <c r="G55" s="146"/>
      <c r="H55" s="76"/>
      <c r="I55" s="77"/>
      <c r="J55" s="56"/>
    </row>
    <row r="56" spans="1:15" ht="21" customHeight="1" x14ac:dyDescent="0.25">
      <c r="A56" s="130" t="s">
        <v>156</v>
      </c>
      <c r="B56" s="131" t="s">
        <v>110</v>
      </c>
      <c r="C56" s="132">
        <f>+'FY15 Budget'!N293+'FY15 Budget'!N288+'FY15 Budget'!N292+'FY15 Budget'!N79+'FY15 Budget'!N80+'FY15 Budget'!N81+'FY15 Budget'!N82+'FY15 Budget'!N83+'FY15 Budget'!N84+'FY15 Budget'!N85+'FY15 Budget'!N289+'FY15 Budget'!N290</f>
        <v>1500000</v>
      </c>
      <c r="D56" s="133">
        <f>+'FY15 Current Forecast'!N326+'FY15 Current Forecast'!N327+'FY15 Current Forecast'!N329+'FY15 Current Forecast'!N90+'FY15 Current Forecast'!N91+'FY15 Current Forecast'!N92+'FY15 Current Forecast'!N93+'FY15 Current Forecast'!N94+'FY15 Current Forecast'!N95+'FY15 Current Forecast'!N322+'FY15 Current Forecast'!N323+'FY15 Current Forecast'!N324</f>
        <v>0</v>
      </c>
      <c r="E56" s="134">
        <f>+'FY15 Working Forecast'!N326+'FY15 Working Forecast'!N327+'FY15 Working Forecast'!N329+'FY15 Working Forecast'!N90+'FY15 Working Forecast'!N91+'FY15 Working Forecast'!N92+'FY15 Working Forecast'!N93+'FY15 Working Forecast'!N94+'FY15 Working Forecast'!N95+'FY15 Working Forecast'!N322+'FY15 Working Forecast'!N323+'FY15 Working Forecast'!N324+'FY15 Working Forecast'!N325</f>
        <v>910383.41</v>
      </c>
      <c r="F56" s="221"/>
      <c r="G56" s="146"/>
      <c r="H56" s="132">
        <f>+'FY15 Budget'!O293+'FY15 Budget'!O288+'FY15 Budget'!O292+'FY15 Budget'!O79+'FY15 Budget'!O80+'FY15 Budget'!O81+'FY15 Budget'!O82+'FY15 Budget'!O83+'FY15 Budget'!O84+'FY15 Budget'!O85+'FY15 Budget'!O289+'FY15 Budget'!O290</f>
        <v>19500000</v>
      </c>
      <c r="I56" s="133">
        <f>+'FY15 Current Forecast'!O326+'FY15 Current Forecast'!O327+'FY15 Current Forecast'!O329+'FY15 Current Forecast'!O90+'FY15 Current Forecast'!O91+'FY15 Current Forecast'!O92+'FY15 Current Forecast'!O93+'FY15 Current Forecast'!O94+'FY15 Current Forecast'!O95+'FY15 Current Forecast'!O322+'FY15 Current Forecast'!O323+'FY15 Current Forecast'!O324</f>
        <v>0</v>
      </c>
      <c r="J56" s="134">
        <f>+'FY15 Working Forecast'!O326+'FY15 Working Forecast'!O327+'FY15 Working Forecast'!O329+'FY15 Working Forecast'!O90+'FY15 Working Forecast'!O91+'FY15 Working Forecast'!O92+'FY15 Working Forecast'!O93+'FY15 Working Forecast'!O94+'FY15 Working Forecast'!O95+'FY15 Working Forecast'!O322+'FY15 Working Forecast'!O323+'FY15 Working Forecast'!O324+'FY15 Working Forecast'!O325</f>
        <v>13591256.85</v>
      </c>
    </row>
    <row r="57" spans="1:15" ht="15" x14ac:dyDescent="0.25">
      <c r="A57" s="189"/>
      <c r="B57" s="204" t="s">
        <v>346</v>
      </c>
      <c r="C57" s="191">
        <f>+'FY15 Budget'!N294+'FY15 Budget'!N295+'FY15 Budget'!N296+'FY15 Budget'!N297+'FY15 Budget'!N298</f>
        <v>0</v>
      </c>
      <c r="D57" s="192">
        <f>+'FY15 Current Forecast'!N330+'FY15 Current Forecast'!N331+'FY15 Current Forecast'!N332+'FY15 Current Forecast'!N333+'FY15 Current Forecast'!N334</f>
        <v>0</v>
      </c>
      <c r="E57" s="327">
        <f>+'FY15 Working Forecast'!N330+'FY15 Working Forecast'!N331+'FY15 Working Forecast'!N332+'FY15 Working Forecast'!N333+'FY15 Working Forecast'!N334</f>
        <v>8505.2099999999991</v>
      </c>
      <c r="F57" s="221"/>
      <c r="G57" s="146"/>
      <c r="H57" s="191">
        <f>+'FY15 Budget'!O294+'FY15 Budget'!O295+'FY15 Budget'!O296+'FY15 Budget'!O297+'FY15 Budget'!O298</f>
        <v>0</v>
      </c>
      <c r="I57" s="192">
        <f>+'FY15 Current Forecast'!O330+'FY15 Current Forecast'!O331+'FY15 Current Forecast'!O332+'FY15 Current Forecast'!O333+'FY15 Current Forecast'!O334</f>
        <v>0</v>
      </c>
      <c r="J57" s="327">
        <f>+'FY15 Working Forecast'!O330+'FY15 Working Forecast'!O331+'FY15 Working Forecast'!O332+'FY15 Working Forecast'!O333+'FY15 Working Forecast'!O334</f>
        <v>309960.97000000003</v>
      </c>
    </row>
    <row r="58" spans="1:15" ht="15" x14ac:dyDescent="0.25">
      <c r="A58" s="189"/>
      <c r="B58" s="204" t="s">
        <v>146</v>
      </c>
      <c r="C58" s="195">
        <f>+'FY15 Budget'!N281-'FY15 Budget'!N285-'FY15 Budget'!N282</f>
        <v>229621.26351320001</v>
      </c>
      <c r="D58" s="196">
        <f>+'FY15 Current Forecast'!N314-'FY15 Current Forecast'!N315-'FY15 Current Forecast'!N318+'FY15 Current Forecast'!N321+'FY15 Current Forecast'!N328</f>
        <v>0</v>
      </c>
      <c r="E58" s="197">
        <f>+'FY15 Working Forecast'!N314-'FY15 Working Forecast'!N315-'FY15 Working Forecast'!N318+'FY15 Working Forecast'!N321+'FY15 Working Forecast'!N328</f>
        <v>97233.159999999989</v>
      </c>
      <c r="F58" s="221"/>
      <c r="G58" s="146"/>
      <c r="H58" s="195">
        <f>+'FY15 Budget'!O281-'FY15 Budget'!O285-'FY15 Budget'!O282</f>
        <v>2985074.56</v>
      </c>
      <c r="I58" s="196">
        <f>+'FY15 Current Forecast'!O314-'FY15 Current Forecast'!O315-'FY15 Current Forecast'!O318+'FY15 Current Forecast'!O321+'FY15 Current Forecast'!O328</f>
        <v>0</v>
      </c>
      <c r="J58" s="197">
        <f>+'FY15 Working Forecast'!O314-'FY15 Working Forecast'!O315-'FY15 Working Forecast'!O318+'FY15 Working Forecast'!O321+'FY15 Working Forecast'!O328</f>
        <v>1783202.0499999993</v>
      </c>
    </row>
    <row r="59" spans="1:15" ht="15.75" thickBot="1" x14ac:dyDescent="0.3">
      <c r="A59" s="137"/>
      <c r="B59" s="138" t="s">
        <v>123</v>
      </c>
      <c r="C59" s="141">
        <f>SUM(C56:C58)</f>
        <v>1729621.2635132</v>
      </c>
      <c r="D59" s="142">
        <f>SUM(D56:D58)</f>
        <v>0</v>
      </c>
      <c r="E59" s="143">
        <f>SUM(E56:E58)</f>
        <v>1016121.78</v>
      </c>
      <c r="F59" s="221"/>
      <c r="G59" s="146"/>
      <c r="H59" s="141">
        <f>SUM(H56:H58)</f>
        <v>22485074.559999999</v>
      </c>
      <c r="I59" s="142">
        <f>SUM(I56:I58)</f>
        <v>0</v>
      </c>
      <c r="J59" s="143">
        <f>SUM(J56:J58)</f>
        <v>15684419.869999999</v>
      </c>
    </row>
    <row r="60" spans="1:15" ht="15" thickBot="1" x14ac:dyDescent="0.25">
      <c r="A60" s="43"/>
      <c r="B60" s="43"/>
      <c r="C60" s="76"/>
      <c r="D60" s="77"/>
      <c r="E60" s="56"/>
      <c r="F60" s="221"/>
      <c r="G60" s="146"/>
      <c r="H60" s="76"/>
      <c r="I60" s="77"/>
      <c r="J60" s="56"/>
    </row>
    <row r="61" spans="1:15" ht="15.75" thickBot="1" x14ac:dyDescent="0.3">
      <c r="A61" s="98"/>
      <c r="B61" s="99" t="s">
        <v>293</v>
      </c>
      <c r="C61" s="257">
        <f t="shared" ref="C61:E61" si="11">SUM(C59,C54,C47,C44,C41,C36)</f>
        <v>3145406.8293409236</v>
      </c>
      <c r="D61" s="257">
        <f t="shared" si="11"/>
        <v>0</v>
      </c>
      <c r="E61" s="257">
        <f t="shared" si="11"/>
        <v>2507403.33</v>
      </c>
      <c r="F61" s="221"/>
      <c r="G61" s="146"/>
      <c r="H61" s="257">
        <f t="shared" ref="H61:I61" si="12">SUM(H59,H54,H47,H44,H41,H36)</f>
        <v>38374065.309166342</v>
      </c>
      <c r="I61" s="257">
        <f t="shared" si="12"/>
        <v>0</v>
      </c>
      <c r="J61" s="257">
        <f>SUM(J59,J54,J47,J44,J41,J36)</f>
        <v>31061143.299999997</v>
      </c>
    </row>
    <row r="62" spans="1:15" ht="15" x14ac:dyDescent="0.25">
      <c r="A62" s="228"/>
      <c r="B62" s="229"/>
      <c r="C62" s="230"/>
      <c r="D62" s="231"/>
      <c r="E62" s="232"/>
      <c r="F62" s="221"/>
      <c r="G62" s="146"/>
      <c r="H62" s="230"/>
      <c r="I62" s="231"/>
      <c r="J62" s="232"/>
    </row>
    <row r="63" spans="1:15" ht="18.75" thickBot="1" x14ac:dyDescent="0.3">
      <c r="A63" s="185" t="s">
        <v>213</v>
      </c>
      <c r="B63" s="43"/>
      <c r="C63" s="103"/>
      <c r="D63" s="104"/>
      <c r="E63" s="56"/>
      <c r="F63" s="221"/>
      <c r="G63" s="146"/>
      <c r="H63" s="103"/>
      <c r="I63" s="104"/>
      <c r="J63" s="56"/>
    </row>
    <row r="64" spans="1:15" ht="15" x14ac:dyDescent="0.25">
      <c r="A64" s="233"/>
      <c r="B64" s="234" t="s">
        <v>214</v>
      </c>
      <c r="C64" s="235" t="str">
        <f>+'FY15 Budget'!N209</f>
        <v xml:space="preserve">0 </v>
      </c>
      <c r="D64" s="236" t="str">
        <f>+'FY15 Current Forecast'!N240</f>
        <v xml:space="preserve">0 </v>
      </c>
      <c r="E64" s="237">
        <f>+'FY15 Working Forecast'!N240</f>
        <v>52457.630000000005</v>
      </c>
      <c r="F64" s="221"/>
      <c r="G64" s="146"/>
      <c r="H64" s="235">
        <f>+'FY15 Budget'!O209</f>
        <v>0</v>
      </c>
      <c r="I64" s="236">
        <f>+'FY15 Current Forecast'!O240</f>
        <v>0</v>
      </c>
      <c r="J64" s="237">
        <f>+'FY15 Working Forecast'!O240</f>
        <v>-2123.5099999999948</v>
      </c>
    </row>
    <row r="65" spans="1:10" ht="15" x14ac:dyDescent="0.25">
      <c r="A65" s="238"/>
      <c r="B65" s="258" t="s">
        <v>217</v>
      </c>
      <c r="C65" s="239" t="str">
        <f>+'FY15 Budget'!N210</f>
        <v xml:space="preserve">0 </v>
      </c>
      <c r="D65" s="240" t="str">
        <f>+'FY15 Current Forecast'!N241</f>
        <v xml:space="preserve">0 </v>
      </c>
      <c r="E65" s="241">
        <f>+'FY15 Working Forecast'!N241</f>
        <v>118602.11</v>
      </c>
      <c r="F65" s="221"/>
      <c r="G65" s="146"/>
      <c r="H65" s="239">
        <f>+'FY15 Budget'!O210</f>
        <v>0</v>
      </c>
      <c r="I65" s="240">
        <f>+'FY15 Current Forecast'!O241</f>
        <v>0</v>
      </c>
      <c r="J65" s="241">
        <f>+'FY15 Working Forecast'!O241</f>
        <v>858793.87999999989</v>
      </c>
    </row>
    <row r="66" spans="1:10" ht="15" x14ac:dyDescent="0.25">
      <c r="A66" s="242"/>
      <c r="B66" s="258" t="s">
        <v>260</v>
      </c>
      <c r="C66" s="239">
        <f>+'FY15 Budget'!N211+'FY15 Budget'!N213</f>
        <v>0</v>
      </c>
      <c r="D66" s="240">
        <f>+'FY15 Current Forecast'!N242+'FY15 Current Forecast'!N244</f>
        <v>0</v>
      </c>
      <c r="E66" s="241">
        <f>+'FY15 Working Forecast'!N242+'FY15 Working Forecast'!N244</f>
        <v>0</v>
      </c>
      <c r="F66" s="221"/>
      <c r="G66" s="146"/>
      <c r="H66" s="239">
        <f>+'FY15 Budget'!O211+'FY15 Budget'!O213</f>
        <v>0</v>
      </c>
      <c r="I66" s="240">
        <f>+'FY15 Current Forecast'!O242+'FY15 Current Forecast'!O244</f>
        <v>0</v>
      </c>
      <c r="J66" s="241">
        <f>+'FY15 Working Forecast'!O242+'FY15 Working Forecast'!O244</f>
        <v>215623.67999999999</v>
      </c>
    </row>
    <row r="67" spans="1:10" ht="15" x14ac:dyDescent="0.25">
      <c r="A67" s="242"/>
      <c r="B67" s="258" t="s">
        <v>222</v>
      </c>
      <c r="C67" s="239">
        <f>+'FY15 Budget'!N207+'FY15 Budget'!N208</f>
        <v>0</v>
      </c>
      <c r="D67" s="240">
        <f>+'FY15 Current Forecast'!N238+'FY15 Current Forecast'!N239</f>
        <v>0</v>
      </c>
      <c r="E67" s="241">
        <f>+'FY15 Working Forecast'!N238+'FY15 Working Forecast'!N239</f>
        <v>1686.71</v>
      </c>
      <c r="F67" s="221"/>
      <c r="G67" s="146"/>
      <c r="H67" s="239">
        <f>+'FY15 Budget'!O207+'FY15 Budget'!O208</f>
        <v>0</v>
      </c>
      <c r="I67" s="240">
        <f>+'FY15 Current Forecast'!O238+'FY15 Current Forecast'!O239</f>
        <v>0</v>
      </c>
      <c r="J67" s="241">
        <f>+'FY15 Working Forecast'!O238+'FY15 Working Forecast'!O239</f>
        <v>-114033.71</v>
      </c>
    </row>
    <row r="68" spans="1:10" ht="15" x14ac:dyDescent="0.25">
      <c r="A68" s="242"/>
      <c r="B68" s="258" t="s">
        <v>243</v>
      </c>
      <c r="C68" s="239"/>
      <c r="D68" s="240" t="str">
        <f>+'FY15 Current Forecast'!N246</f>
        <v xml:space="preserve">0 </v>
      </c>
      <c r="E68" s="241">
        <f>+'FY15 Working Forecast'!N246</f>
        <v>5207.92</v>
      </c>
      <c r="F68" s="221"/>
      <c r="G68" s="146"/>
      <c r="H68" s="239"/>
      <c r="I68" s="240">
        <f>+'FY15 Current Forecast'!O246</f>
        <v>0</v>
      </c>
      <c r="J68" s="241">
        <f>+'FY15 Working Forecast'!O246</f>
        <v>79624.260000000009</v>
      </c>
    </row>
    <row r="69" spans="1:10" ht="15" x14ac:dyDescent="0.25">
      <c r="A69" s="242"/>
      <c r="B69" s="258" t="s">
        <v>238</v>
      </c>
      <c r="C69" s="239" t="str">
        <f>+'FY15 Budget'!N212</f>
        <v xml:space="preserve">0 </v>
      </c>
      <c r="D69" s="240" t="str">
        <f>+'FY15 Current Forecast'!N243</f>
        <v xml:space="preserve">0 </v>
      </c>
      <c r="E69" s="241">
        <f>+'FY15 Working Forecast'!N243</f>
        <v>83062.53</v>
      </c>
      <c r="F69" s="221"/>
      <c r="G69" s="146"/>
      <c r="H69" s="239">
        <f>+'FY15 Budget'!O212</f>
        <v>0</v>
      </c>
      <c r="I69" s="240">
        <f>+'FY15 Current Forecast'!O243</f>
        <v>0</v>
      </c>
      <c r="J69" s="241">
        <f>+'FY15 Working Forecast'!O243</f>
        <v>1253834.6600000001</v>
      </c>
    </row>
    <row r="70" spans="1:10" ht="15" x14ac:dyDescent="0.25">
      <c r="A70" s="242"/>
      <c r="B70" s="258" t="s">
        <v>249</v>
      </c>
      <c r="C70" s="239" t="str">
        <f>+'FY15 Budget'!N214</f>
        <v xml:space="preserve">0 </v>
      </c>
      <c r="D70" s="240" t="str">
        <f>+'FY15 Current Forecast'!N245</f>
        <v xml:space="preserve">0 </v>
      </c>
      <c r="E70" s="241">
        <f>+'FY15 Working Forecast'!N245</f>
        <v>161385.74</v>
      </c>
      <c r="F70" s="221"/>
      <c r="G70" s="146"/>
      <c r="H70" s="239">
        <f>+'FY15 Budget'!O214</f>
        <v>0</v>
      </c>
      <c r="I70" s="240">
        <f>+'FY15 Current Forecast'!O245</f>
        <v>0</v>
      </c>
      <c r="J70" s="241">
        <f>+'FY15 Working Forecast'!O245</f>
        <v>267551.24</v>
      </c>
    </row>
    <row r="71" spans="1:10" ht="15" x14ac:dyDescent="0.25">
      <c r="A71" s="242"/>
      <c r="B71" s="258" t="s">
        <v>253</v>
      </c>
      <c r="C71" s="239" t="str">
        <f>+'FY15 Budget'!N216</f>
        <v xml:space="preserve">0 </v>
      </c>
      <c r="D71" s="240" t="str">
        <f>+'FY15 Current Forecast'!N248</f>
        <v xml:space="preserve">0 </v>
      </c>
      <c r="E71" s="241">
        <f>+'FY15 Working Forecast'!N248</f>
        <v>111481.67000000001</v>
      </c>
      <c r="F71" s="221"/>
      <c r="G71" s="146"/>
      <c r="H71" s="239">
        <f>+'FY15 Budget'!O216</f>
        <v>0</v>
      </c>
      <c r="I71" s="240">
        <f>+'FY15 Current Forecast'!O248</f>
        <v>0</v>
      </c>
      <c r="J71" s="241">
        <f>+'FY15 Working Forecast'!O248</f>
        <v>2240337.34</v>
      </c>
    </row>
    <row r="72" spans="1:10" ht="15" x14ac:dyDescent="0.25">
      <c r="A72" s="242"/>
      <c r="B72" s="258" t="s">
        <v>247</v>
      </c>
      <c r="C72" s="239"/>
      <c r="D72" s="240" t="str">
        <f>+'FY15 Current Forecast'!N249</f>
        <v xml:space="preserve">0 </v>
      </c>
      <c r="E72" s="279">
        <f>+'FY15 Working Forecast'!N249</f>
        <v>5339.7999999999993</v>
      </c>
      <c r="F72" s="221"/>
      <c r="G72" s="146"/>
      <c r="H72" s="239"/>
      <c r="I72" s="240">
        <f>+'FY15 Current Forecast'!O249</f>
        <v>0</v>
      </c>
      <c r="J72" s="279">
        <f>+'FY15 Working Forecast'!O249</f>
        <v>419048.57000000007</v>
      </c>
    </row>
    <row r="73" spans="1:10" ht="15" x14ac:dyDescent="0.25">
      <c r="A73" s="242"/>
      <c r="B73" s="258" t="s">
        <v>244</v>
      </c>
      <c r="C73" s="239" t="str">
        <f>+'FY15 Budget'!N215</f>
        <v xml:space="preserve">0 </v>
      </c>
      <c r="D73" s="240" t="str">
        <f>+'FY15 Current Forecast'!N247</f>
        <v xml:space="preserve">0 </v>
      </c>
      <c r="E73" s="279">
        <f>+'FY15 Working Forecast'!N247</f>
        <v>1864.9900000000002</v>
      </c>
      <c r="F73" s="221"/>
      <c r="G73" s="146"/>
      <c r="H73" s="239">
        <f>+'FY15 Budget'!O215</f>
        <v>0</v>
      </c>
      <c r="I73" s="240">
        <f>+'FY15 Current Forecast'!O247</f>
        <v>0</v>
      </c>
      <c r="J73" s="279">
        <f>+'FY15 Working Forecast'!O247</f>
        <v>131264.53</v>
      </c>
    </row>
    <row r="74" spans="1:10" ht="15" x14ac:dyDescent="0.25">
      <c r="A74" s="242"/>
      <c r="B74" s="258" t="s">
        <v>429</v>
      </c>
      <c r="C74" s="239">
        <f>+'FY15 Budget'!N316+'FY15 Budget'!N317</f>
        <v>0</v>
      </c>
      <c r="D74" s="240">
        <f>+'FY15 Current Forecast'!N352+'FY15 Current Forecast'!N353</f>
        <v>0</v>
      </c>
      <c r="E74" s="279">
        <f>+'FY15 Working Forecast'!N352+'FY15 Working Forecast'!N353</f>
        <v>12305.59</v>
      </c>
      <c r="F74" s="221"/>
      <c r="G74" s="146"/>
      <c r="H74" s="239">
        <f>+'FY15 Budget'!O316+'FY15 Budget'!O317</f>
        <v>0</v>
      </c>
      <c r="I74" s="240">
        <f>+'FY15 Current Forecast'!O352+'FY15 Current Forecast'!O353</f>
        <v>0</v>
      </c>
      <c r="J74" s="279">
        <f>+'FY15 Working Forecast'!O352+'FY15 Working Forecast'!O353</f>
        <v>105632.63999999998</v>
      </c>
    </row>
    <row r="75" spans="1:10" ht="15" x14ac:dyDescent="0.25">
      <c r="A75" s="242"/>
      <c r="B75" s="258" t="s">
        <v>149</v>
      </c>
      <c r="C75" s="239">
        <f>SUM('FY15 Budget'!N319:N327)</f>
        <v>0</v>
      </c>
      <c r="D75" s="240">
        <f>SUM('FY15 Current Forecast'!N355:N363)</f>
        <v>0</v>
      </c>
      <c r="E75" s="279">
        <f>SUM('FY15 Working Forecast'!N355:N363)</f>
        <v>95795.500000000015</v>
      </c>
      <c r="F75" s="221"/>
      <c r="G75" s="146"/>
      <c r="H75" s="239">
        <f>SUM('FY15 Budget'!O319:O327)</f>
        <v>0</v>
      </c>
      <c r="I75" s="240">
        <f>SUM('FY15 Current Forecast'!O355:O363)</f>
        <v>0</v>
      </c>
      <c r="J75" s="279">
        <f>SUM('FY15 Working Forecast'!O355:O363)</f>
        <v>644980.37</v>
      </c>
    </row>
    <row r="76" spans="1:10" ht="15.75" thickBot="1" x14ac:dyDescent="0.3">
      <c r="A76" s="242"/>
      <c r="B76" s="291" t="s">
        <v>290</v>
      </c>
      <c r="C76" s="292">
        <f>+'FY15 Budget'!N218+'FY15 Budget'!N247+'FY15 Budget'!N248+'FY15 Budget'!N249+'FY15 Budget'!N251+'FY15 Budget'!N252+'FY15 Budget'!N253+'FY15 Budget'!N254+'FY15 Budget'!N255+'FY15 Budget'!N256+'FY15 Budget'!N257+'FY15 Budget'!N258+'FY15 Budget'!N259+'FY15 Budget'!N260+'FY15 Budget'!N261+'FY15 Budget'!N262+'FY15 Budget'!N263+'FY15 Budget'!N264+'FY15 Budget'!N265+'FY15 Budget'!N266+'FY15 Budget'!N267+'FY15 Budget'!N268+'FY15 Budget'!N269+'FY15 Budget'!N270+'FY15 Budget'!N271+'FY15 Budget'!N272+'FY15 Budget'!N273+'FY15 Budget'!N274+'FY15 Budget'!N275+'FY15 Budget'!N276+'FY15 Budget'!N219+'FY15 Budget'!N220+'FY15 Budget'!N221+'FY15 Budget'!N245+'FY15 Budget'!N246+'FY15 Budget'!N243+'FY15 Budget'!N244+'FY15 Budget'!N222+'FY15 Budget'!N223+'FY15 Budget'!N224+'FY15 Budget'!N225+'FY15 Budget'!N226+'FY15 Budget'!N227+'FY15 Budget'!N228+'FY15 Budget'!N229+'FY15 Budget'!N230+'FY15 Budget'!N231+'FY15 Budget'!N232+'FY15 Budget'!N234+'FY15 Budget'!N235+'FY15 Budget'!N236+'FY15 Budget'!N237+'FY15 Budget'!N238+'FY15 Budget'!N239+'FY15 Budget'!N240+'FY15 Budget'!N241+'FY15 Budget'!N242+'FY15 Budget'!N328</f>
        <v>0</v>
      </c>
      <c r="D76" s="293">
        <f>+'FY15 Current Forecast'!N250+'FY15 Current Forecast'!N279+'FY15 Current Forecast'!N280+'FY15 Current Forecast'!N281+'FY15 Current Forecast'!N283+'FY15 Current Forecast'!N284+'FY15 Current Forecast'!N285+'FY15 Current Forecast'!N286+'FY15 Current Forecast'!N287+'FY15 Current Forecast'!N288+'FY15 Current Forecast'!N289+'FY15 Current Forecast'!N290+'FY15 Current Forecast'!N291+'FY15 Current Forecast'!N292+'FY15 Current Forecast'!N293+'FY15 Current Forecast'!N295+'FY15 Current Forecast'!N296+'FY15 Current Forecast'!N297+'FY15 Current Forecast'!N298+'FY15 Current Forecast'!N299+'FY15 Current Forecast'!N300+'FY15 Current Forecast'!N301+'FY15 Current Forecast'!N302+'FY15 Current Forecast'!N303+'FY15 Current Forecast'!N304+'FY15 Current Forecast'!N305+'FY15 Current Forecast'!N306+'FY15 Current Forecast'!N307+'FY15 Current Forecast'!N308+'FY15 Current Forecast'!N309+'FY15 Current Forecast'!N251+'FY15 Current Forecast'!N252+'FY15 Current Forecast'!N253+'FY15 Current Forecast'!N277+'FY15 Current Forecast'!N278+'FY15 Current Forecast'!N282+'FY15 Current Forecast'!N294+'FY15 Current Forecast'!N275+'FY15 Current Forecast'!N276+'FY15 Current Forecast'!N254+'FY15 Current Forecast'!N255+'FY15 Current Forecast'!N256+'FY15 Current Forecast'!N257+'FY15 Current Forecast'!N258+'FY15 Current Forecast'!N259+'FY15 Current Forecast'!N260+'FY15 Current Forecast'!N261+'FY15 Current Forecast'!N262+'FY15 Current Forecast'!N263+'FY15 Current Forecast'!N264+'FY15 Current Forecast'!N266+'FY15 Current Forecast'!N267+'FY15 Current Forecast'!N268+'FY15 Current Forecast'!N269+'FY15 Current Forecast'!N270+'FY15 Current Forecast'!N271+'FY15 Current Forecast'!N272+'FY15 Current Forecast'!N273+'FY15 Current Forecast'!N274+'FY15 Current Forecast'!N265</f>
        <v>0</v>
      </c>
      <c r="E76" s="294">
        <f>+'FY15 Working Forecast'!N250+'FY15 Working Forecast'!N279+'FY15 Working Forecast'!N280+'FY15 Working Forecast'!N281+'FY15 Working Forecast'!N283+'FY15 Working Forecast'!N284+'FY15 Working Forecast'!N285+'FY15 Working Forecast'!N286+'FY15 Working Forecast'!N287+'FY15 Working Forecast'!N288+'FY15 Working Forecast'!N289+'FY15 Working Forecast'!N290+'FY15 Working Forecast'!N291+'FY15 Working Forecast'!N292+'FY15 Working Forecast'!N293+'FY15 Working Forecast'!N295+'FY15 Working Forecast'!N296+'FY15 Working Forecast'!N297+'FY15 Working Forecast'!N298+'FY15 Working Forecast'!N299+'FY15 Working Forecast'!N300+'FY15 Working Forecast'!N301+'FY15 Working Forecast'!N302+'FY15 Working Forecast'!N303+'FY15 Working Forecast'!N304+'FY15 Working Forecast'!N305+'FY15 Working Forecast'!N306+'FY15 Working Forecast'!N307+'FY15 Working Forecast'!N308+'FY15 Working Forecast'!N309+'FY15 Working Forecast'!N251+'FY15 Working Forecast'!N252+'FY15 Working Forecast'!N253+'FY15 Working Forecast'!N277+'FY15 Working Forecast'!N278+'FY15 Working Forecast'!N282+'FY15 Working Forecast'!N294+'FY15 Working Forecast'!N275+'FY15 Working Forecast'!N276+'FY15 Working Forecast'!N254+'FY15 Working Forecast'!N255+'FY15 Working Forecast'!N256+'FY15 Working Forecast'!N257+'FY15 Working Forecast'!N258+'FY15 Working Forecast'!N259+'FY15 Working Forecast'!N260+'FY15 Working Forecast'!N261+'FY15 Working Forecast'!N262+'FY15 Working Forecast'!N263+'FY15 Working Forecast'!N264+'FY15 Working Forecast'!N266+'FY15 Working Forecast'!N267+'FY15 Working Forecast'!N268+'FY15 Working Forecast'!N269+'FY15 Working Forecast'!N270+'FY15 Working Forecast'!N271+'FY15 Working Forecast'!N272+'FY15 Working Forecast'!N273+'FY15 Working Forecast'!N274+'FY15 Working Forecast'!N364+'FY15 Current Forecast'!N364+'FY15 Working Forecast'!N265</f>
        <v>2133289.8699999996</v>
      </c>
      <c r="F76" s="295"/>
      <c r="G76" s="296"/>
      <c r="H76" s="292">
        <f>+'FY15 Budget'!O218+'FY15 Budget'!O247+'FY15 Budget'!O248+'FY15 Budget'!O249+'FY15 Budget'!O251+'FY15 Budget'!O252+'FY15 Budget'!O253+'FY15 Budget'!O254+'FY15 Budget'!O255+'FY15 Budget'!O256+'FY15 Budget'!O257+'FY15 Budget'!O258+'FY15 Budget'!O259+'FY15 Budget'!O260+'FY15 Budget'!O261+'FY15 Budget'!O262+'FY15 Budget'!O263+'FY15 Budget'!O264+'FY15 Budget'!O265+'FY15 Budget'!O266+'FY15 Budget'!O267+'FY15 Budget'!O268+'FY15 Budget'!O269+'FY15 Budget'!O270+'FY15 Budget'!O271+'FY15 Budget'!O272+'FY15 Budget'!O273+'FY15 Budget'!O274+'FY15 Budget'!O275+'FY15 Budget'!O276+'FY15 Budget'!O219+'FY15 Budget'!O220+'FY15 Budget'!O221+'FY15 Budget'!O245+'FY15 Budget'!O246+'FY15 Budget'!O243+'FY15 Budget'!O244+'FY15 Budget'!O222+'FY15 Budget'!O223+'FY15 Budget'!O224+'FY15 Budget'!O225+'FY15 Budget'!O226+'FY15 Budget'!O227+'FY15 Budget'!O228+'FY15 Budget'!O229+'FY15 Budget'!O230+'FY15 Budget'!O231+'FY15 Budget'!O232+'FY15 Budget'!O234+'FY15 Budget'!O235+'FY15 Budget'!O236+'FY15 Budget'!O237+'FY15 Budget'!O238+'FY15 Budget'!O239+'FY15 Budget'!O240+'FY15 Budget'!O241+'FY15 Budget'!O242+'FY15 Budget'!O328</f>
        <v>0</v>
      </c>
      <c r="I76" s="293">
        <f>+'FY15 Current Forecast'!O250+'FY15 Current Forecast'!O279+'FY15 Current Forecast'!O280+'FY15 Current Forecast'!O281+'FY15 Current Forecast'!O283+'FY15 Current Forecast'!O284+'FY15 Current Forecast'!O285+'FY15 Current Forecast'!O286+'FY15 Current Forecast'!O287+'FY15 Current Forecast'!O288+'FY15 Current Forecast'!O289+'FY15 Current Forecast'!O290+'FY15 Current Forecast'!O291+'FY15 Current Forecast'!O292+'FY15 Current Forecast'!O293+'FY15 Current Forecast'!O295+'FY15 Current Forecast'!O296+'FY15 Current Forecast'!O297+'FY15 Current Forecast'!O298+'FY15 Current Forecast'!O299+'FY15 Current Forecast'!O300+'FY15 Current Forecast'!O301+'FY15 Current Forecast'!O302+'FY15 Current Forecast'!O303+'FY15 Current Forecast'!O304+'FY15 Current Forecast'!O305+'FY15 Current Forecast'!O306+'FY15 Current Forecast'!O307+'FY15 Current Forecast'!O308+'FY15 Current Forecast'!O309+'FY15 Current Forecast'!O251+'FY15 Current Forecast'!O252+'FY15 Current Forecast'!O253+'FY15 Current Forecast'!O277+'FY15 Current Forecast'!O278+'FY15 Current Forecast'!O282+'FY15 Current Forecast'!O294+'FY15 Current Forecast'!O275+'FY15 Current Forecast'!O276+'FY15 Current Forecast'!O254+'FY15 Current Forecast'!O255+'FY15 Current Forecast'!O256+'FY15 Current Forecast'!O257+'FY15 Current Forecast'!O258+'FY15 Current Forecast'!O259+'FY15 Current Forecast'!O260+'FY15 Current Forecast'!O261+'FY15 Current Forecast'!O262+'FY15 Current Forecast'!O263+'FY15 Current Forecast'!O264+'FY15 Current Forecast'!O266+'FY15 Current Forecast'!O267+'FY15 Current Forecast'!O268+'FY15 Current Forecast'!O269+'FY15 Current Forecast'!O270+'FY15 Current Forecast'!O271+'FY15 Current Forecast'!O272+'FY15 Current Forecast'!O273+'FY15 Current Forecast'!O274+'FY15 Current Forecast'!O364+'FY15 Current Forecast'!O265</f>
        <v>0</v>
      </c>
      <c r="J76" s="294">
        <f>SUM('FY15 Working Forecast'!O250:O309)+'FY15 Working Forecast'!O364+'FY15 Working Forecast'!O265</f>
        <v>20032473.620000005</v>
      </c>
    </row>
    <row r="77" spans="1:10" ht="15.75" thickBot="1" x14ac:dyDescent="0.3">
      <c r="A77" s="242"/>
      <c r="B77" s="243" t="s">
        <v>215</v>
      </c>
      <c r="C77" s="244">
        <f>SUM(C64:C76)</f>
        <v>0</v>
      </c>
      <c r="D77" s="245">
        <f>SUM(D64:D76)</f>
        <v>0</v>
      </c>
      <c r="E77" s="246">
        <f>SUM(E64:E76)</f>
        <v>2782480.0599999996</v>
      </c>
      <c r="F77" s="221"/>
      <c r="G77" s="146"/>
      <c r="H77" s="244">
        <f>SUM(H64:H76)</f>
        <v>0</v>
      </c>
      <c r="I77" s="245">
        <f>SUM(I64:I76)</f>
        <v>0</v>
      </c>
      <c r="J77" s="246">
        <f>SUM(J64:J76)</f>
        <v>26133007.570000004</v>
      </c>
    </row>
    <row r="78" spans="1:10" ht="15" thickBot="1" x14ac:dyDescent="0.25">
      <c r="A78" s="75"/>
      <c r="B78" s="45"/>
      <c r="C78" s="178"/>
      <c r="D78" s="179"/>
      <c r="E78" s="180"/>
      <c r="F78" s="221"/>
      <c r="G78" s="146"/>
      <c r="H78" s="178"/>
      <c r="I78" s="179"/>
      <c r="J78" s="180"/>
    </row>
    <row r="79" spans="1:10" ht="15.75" thickBot="1" x14ac:dyDescent="0.3">
      <c r="A79" s="98"/>
      <c r="B79" s="99" t="s">
        <v>294</v>
      </c>
      <c r="C79" s="257">
        <f>+C61+C25+C77</f>
        <v>3301909.1228742739</v>
      </c>
      <c r="D79" s="102">
        <f>+D61+D25+D77</f>
        <v>0</v>
      </c>
      <c r="E79" s="102">
        <f>+E61+E25+E77</f>
        <v>5435515.9299999997</v>
      </c>
      <c r="F79" s="221"/>
      <c r="G79" s="146"/>
      <c r="H79" s="257">
        <f>+H61+H25+H77</f>
        <v>40361258.571358509</v>
      </c>
      <c r="I79" s="102">
        <f>+I61+I25+I77</f>
        <v>0</v>
      </c>
      <c r="J79" s="102">
        <f>+J61+J25+J77</f>
        <v>59506974.170000002</v>
      </c>
    </row>
    <row r="80" spans="1:10" x14ac:dyDescent="0.2">
      <c r="A80" s="75"/>
      <c r="B80" s="45"/>
      <c r="C80" s="45"/>
      <c r="D80" s="45"/>
      <c r="E80" s="45"/>
      <c r="F80" s="220"/>
      <c r="G80" s="146"/>
      <c r="H80" s="45"/>
      <c r="I80" s="140"/>
      <c r="J80" s="45"/>
    </row>
    <row r="81" spans="1:10" s="375" customFormat="1" ht="12" customHeight="1" x14ac:dyDescent="0.2">
      <c r="B81" s="376" t="s">
        <v>227</v>
      </c>
      <c r="C81" s="377">
        <f>+check!C10</f>
        <v>3301909.1228742739</v>
      </c>
      <c r="D81" s="377" t="str">
        <f>+check!D10</f>
        <v xml:space="preserve">0 </v>
      </c>
      <c r="E81" s="377">
        <f>+check!B10</f>
        <v>5435515.9300000016</v>
      </c>
      <c r="F81" s="378"/>
      <c r="G81" s="378"/>
      <c r="H81" s="377">
        <f>+check!G10</f>
        <v>40361258.571358509</v>
      </c>
      <c r="I81" s="377" t="str">
        <f>+check!H10</f>
        <v xml:space="preserve">0 </v>
      </c>
      <c r="J81" s="377">
        <f>check!F10</f>
        <v>59506486.170000009</v>
      </c>
    </row>
    <row r="82" spans="1:10" s="375" customFormat="1" ht="12" customHeight="1" x14ac:dyDescent="0.2">
      <c r="B82" s="376" t="s">
        <v>313</v>
      </c>
      <c r="C82" s="378">
        <f>+C79-C81</f>
        <v>0</v>
      </c>
      <c r="D82" s="378">
        <f t="shared" ref="D82:E82" si="13">+D79-D81</f>
        <v>0</v>
      </c>
      <c r="E82" s="378">
        <f t="shared" si="13"/>
        <v>0</v>
      </c>
      <c r="F82" s="378"/>
      <c r="G82" s="378"/>
      <c r="H82" s="378">
        <f t="shared" ref="H82:J82" si="14">+H79-H81</f>
        <v>0</v>
      </c>
      <c r="I82" s="378">
        <f t="shared" si="14"/>
        <v>0</v>
      </c>
      <c r="J82" s="378">
        <f t="shared" si="14"/>
        <v>487.99999999254942</v>
      </c>
    </row>
    <row r="83" spans="1:10" s="217" customFormat="1" ht="12" customHeight="1" x14ac:dyDescent="0.2">
      <c r="F83" s="222"/>
      <c r="I83" s="219"/>
    </row>
    <row r="84" spans="1:10" s="217" customFormat="1" ht="15.75" x14ac:dyDescent="0.25">
      <c r="A84" s="284" t="s">
        <v>265</v>
      </c>
      <c r="C84" s="218"/>
      <c r="D84" s="218"/>
      <c r="F84" s="222"/>
      <c r="H84" s="218"/>
      <c r="I84" s="218"/>
    </row>
    <row r="85" spans="1:10" x14ac:dyDescent="0.2">
      <c r="D85" s="217"/>
      <c r="E85" s="217"/>
      <c r="I85" s="198"/>
      <c r="J85" s="198"/>
    </row>
    <row r="86" spans="1:10" x14ac:dyDescent="0.2">
      <c r="D86" s="217"/>
      <c r="E86" s="217"/>
      <c r="I86" s="198"/>
      <c r="J86" s="198"/>
    </row>
    <row r="87" spans="1:10" x14ac:dyDescent="0.2">
      <c r="D87" s="217"/>
      <c r="E87" s="217"/>
      <c r="I87" s="198"/>
    </row>
    <row r="88" spans="1:10" x14ac:dyDescent="0.2">
      <c r="D88" s="217"/>
      <c r="E88" s="217"/>
    </row>
    <row r="90" spans="1:10" x14ac:dyDescent="0.2">
      <c r="I90" s="198"/>
    </row>
  </sheetData>
  <mergeCells count="3">
    <mergeCell ref="C2:E2"/>
    <mergeCell ref="H2:J2"/>
    <mergeCell ref="A3:B3"/>
  </mergeCells>
  <pageMargins left="0.18" right="0.18" top="0.17" bottom="0.31" header="0.17" footer="0.17"/>
  <pageSetup scale="61" orientation="portrait" r:id="rId1"/>
  <headerFooter>
    <oddFooter>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68"/>
  <sheetViews>
    <sheetView zoomScale="80" zoomScaleNormal="80" workbookViewId="0"/>
  </sheetViews>
  <sheetFormatPr defaultRowHeight="14.25" x14ac:dyDescent="0.2"/>
  <cols>
    <col min="1" max="1" width="11.125" customWidth="1"/>
    <col min="2" max="2" width="34.25" customWidth="1"/>
    <col min="3" max="5" width="13.625" customWidth="1"/>
    <col min="6" max="6" width="1.625" customWidth="1"/>
    <col min="7" max="9" width="13.75" customWidth="1"/>
    <col min="10" max="10" width="1.625" customWidth="1"/>
    <col min="11" max="13" width="15.375" customWidth="1"/>
  </cols>
  <sheetData>
    <row r="1" spans="1:13" ht="18.75" thickBot="1" x14ac:dyDescent="0.3">
      <c r="A1" s="188" t="s">
        <v>182</v>
      </c>
      <c r="B1" s="187"/>
      <c r="C1" s="43"/>
      <c r="D1" s="43"/>
      <c r="E1" s="43"/>
      <c r="F1" s="146"/>
      <c r="G1" s="43"/>
      <c r="H1" s="43"/>
      <c r="I1" s="43"/>
      <c r="J1" s="146"/>
      <c r="K1" s="43"/>
      <c r="L1" s="43"/>
      <c r="M1" s="43"/>
    </row>
    <row r="2" spans="1:13" ht="15.75" x14ac:dyDescent="0.25">
      <c r="A2" s="43"/>
      <c r="B2" s="188" t="s">
        <v>202</v>
      </c>
      <c r="C2" s="379" t="s">
        <v>221</v>
      </c>
      <c r="D2" s="380"/>
      <c r="E2" s="381"/>
      <c r="F2" s="146"/>
      <c r="G2" s="379" t="s">
        <v>97</v>
      </c>
      <c r="H2" s="380"/>
      <c r="I2" s="381"/>
      <c r="J2" s="146"/>
      <c r="K2" s="379" t="s">
        <v>178</v>
      </c>
      <c r="L2" s="380"/>
      <c r="M2" s="381"/>
    </row>
    <row r="3" spans="1:13" ht="30" x14ac:dyDescent="0.25">
      <c r="A3" s="43"/>
      <c r="B3" s="43"/>
      <c r="C3" s="46" t="s">
        <v>96</v>
      </c>
      <c r="D3" s="47" t="s">
        <v>95</v>
      </c>
      <c r="E3" s="48" t="s">
        <v>99</v>
      </c>
      <c r="F3" s="146"/>
      <c r="G3" s="46" t="s">
        <v>96</v>
      </c>
      <c r="H3" s="51" t="s">
        <v>95</v>
      </c>
      <c r="I3" s="49" t="s">
        <v>98</v>
      </c>
      <c r="J3" s="146"/>
      <c r="K3" s="50" t="s">
        <v>95</v>
      </c>
      <c r="L3" s="181" t="s">
        <v>177</v>
      </c>
      <c r="M3" s="49" t="s">
        <v>98</v>
      </c>
    </row>
    <row r="4" spans="1:13" ht="15" x14ac:dyDescent="0.25">
      <c r="A4" s="43"/>
      <c r="B4" s="43"/>
      <c r="C4" s="46"/>
      <c r="D4" s="47"/>
      <c r="E4" s="48"/>
      <c r="F4" s="146"/>
      <c r="G4" s="46"/>
      <c r="H4" s="47"/>
      <c r="I4" s="49"/>
      <c r="J4" s="146"/>
      <c r="K4" s="46"/>
      <c r="L4" s="47"/>
      <c r="M4" s="49"/>
    </row>
    <row r="5" spans="1:13" ht="18.75" thickBot="1" x14ac:dyDescent="0.3">
      <c r="A5" s="185" t="s">
        <v>136</v>
      </c>
      <c r="B5" s="43"/>
      <c r="C5" s="50"/>
      <c r="D5" s="51"/>
      <c r="E5" s="52"/>
      <c r="F5" s="146"/>
      <c r="G5" s="50"/>
      <c r="H5" s="51"/>
      <c r="I5" s="52"/>
      <c r="J5" s="146"/>
      <c r="K5" s="50"/>
      <c r="L5" s="51"/>
      <c r="M5" s="52"/>
    </row>
    <row r="6" spans="1:13" ht="15" x14ac:dyDescent="0.25">
      <c r="A6" s="57" t="s">
        <v>137</v>
      </c>
      <c r="B6" s="58" t="s">
        <v>187</v>
      </c>
      <c r="C6" s="59" t="e">
        <f>#REF!</f>
        <v>#REF!</v>
      </c>
      <c r="D6" s="162"/>
      <c r="E6" s="60" t="e">
        <f>+D6-C6</f>
        <v>#REF!</v>
      </c>
      <c r="F6" s="146"/>
      <c r="G6" s="59" t="e">
        <f>#REF!</f>
        <v>#REF!</v>
      </c>
      <c r="H6" s="162"/>
      <c r="I6" s="60" t="e">
        <f>+H6-G6</f>
        <v>#REF!</v>
      </c>
      <c r="J6" s="146"/>
      <c r="K6" s="59"/>
      <c r="L6" s="162"/>
      <c r="M6" s="60">
        <f>+L6-K6</f>
        <v>0</v>
      </c>
    </row>
    <row r="7" spans="1:13" x14ac:dyDescent="0.2">
      <c r="A7" s="65"/>
      <c r="B7" s="62" t="s">
        <v>149</v>
      </c>
      <c r="C7" s="67" t="e">
        <f>+#REF!+#REF!+#REF!+#REF!</f>
        <v>#REF!</v>
      </c>
      <c r="D7" s="106"/>
      <c r="E7" s="64"/>
      <c r="F7" s="147"/>
      <c r="G7" s="67" t="e">
        <f>+#REF!+#REF!+#REF!+#REF!</f>
        <v>#REF!</v>
      </c>
      <c r="H7" s="106"/>
      <c r="I7" s="64"/>
      <c r="J7" s="147"/>
      <c r="K7" s="66"/>
      <c r="L7" s="161">
        <f>+'FY15 Current Forecast'!O59+'FY15 Current Forecast'!O61</f>
        <v>0</v>
      </c>
      <c r="M7" s="64"/>
    </row>
    <row r="8" spans="1:13" x14ac:dyDescent="0.2">
      <c r="A8" s="61"/>
      <c r="B8" s="62" t="s">
        <v>138</v>
      </c>
      <c r="C8" s="67" t="e">
        <f>#REF!</f>
        <v>#REF!</v>
      </c>
      <c r="D8" s="159">
        <f>+'FY15 Budget'!H51+'FY15 Budget'!H52+'FY15 Budget'!H55+'FY15 Budget'!H57</f>
        <v>111832.1671269301</v>
      </c>
      <c r="E8" s="64" t="e">
        <f t="shared" ref="E8:E11" si="0">+D8-C8</f>
        <v>#REF!</v>
      </c>
      <c r="F8" s="146"/>
      <c r="G8" s="67" t="e">
        <f>#REF!</f>
        <v>#REF!</v>
      </c>
      <c r="H8" s="159">
        <f>+'FY15 Budget'!C51+'FY15 Budget'!C52+'FY15 Budget'!C55+'FY15 Budget'!C57+'FY15 Budget'!D51+'FY15 Budget'!D52+'FY15 Budget'!D55+'FY15 Budget'!D57+'FY15 Budget'!E51+'FY15 Budget'!E52+'FY15 Budget'!E55+'FY15 Budget'!E57+'FY15 Budget'!F51+'FY15 Budget'!F52+'FY15 Budget'!F55+'FY15 Budget'!F57+'FY15 Budget'!G51+'FY15 Budget'!G52+'FY15 Budget'!G55+'FY15 Budget'!G57+'FY15 Budget'!H51+'FY15 Budget'!H52+'FY15 Budget'!H55+'FY15 Budget'!H57</f>
        <v>726909.08632504556</v>
      </c>
      <c r="I8" s="64" t="e">
        <f t="shared" ref="I8:I11" si="1">+H8-G8</f>
        <v>#REF!</v>
      </c>
      <c r="J8" s="146"/>
      <c r="K8" s="67">
        <f>+'FY15 Budget'!O51+'FY15 Budget'!O52+'FY15 Budget'!O55+'FY15 Budget'!O57</f>
        <v>1453818.1726500911</v>
      </c>
      <c r="L8" s="159">
        <f>+'FY15 Current Forecast'!O52+'FY15 Current Forecast'!O53+'FY15 Current Forecast'!O55+'FY15 Current Forecast'!O57</f>
        <v>0</v>
      </c>
      <c r="M8" s="64">
        <f>+L8-K8</f>
        <v>-1453818.1726500911</v>
      </c>
    </row>
    <row r="9" spans="1:13" x14ac:dyDescent="0.2">
      <c r="A9" s="61"/>
      <c r="B9" s="62" t="s">
        <v>139</v>
      </c>
      <c r="C9" s="67" t="e">
        <f>+#REF!</f>
        <v>#REF!</v>
      </c>
      <c r="D9" s="159" t="str">
        <f>+'FY15 Budget'!H50</f>
        <v xml:space="preserve">0 </v>
      </c>
      <c r="E9" s="64" t="e">
        <f t="shared" si="0"/>
        <v>#REF!</v>
      </c>
      <c r="F9" s="146"/>
      <c r="G9" s="67" t="e">
        <f>#REF!</f>
        <v>#REF!</v>
      </c>
      <c r="H9" s="159">
        <f>+'FY15 Budget'!C50+'FY15 Budget'!D50+'FY15 Budget'!E50+'FY15 Budget'!F50+'FY15 Budget'!G50+'FY15 Budget'!H50</f>
        <v>0</v>
      </c>
      <c r="I9" s="64" t="e">
        <f t="shared" si="1"/>
        <v>#REF!</v>
      </c>
      <c r="J9" s="146"/>
      <c r="K9" s="67">
        <f>+'FY15 Budget'!O50</f>
        <v>0</v>
      </c>
      <c r="L9" s="159">
        <f>+'FY15 Current Forecast'!O51</f>
        <v>0</v>
      </c>
      <c r="M9" s="64">
        <f>+L9-K9</f>
        <v>0</v>
      </c>
    </row>
    <row r="10" spans="1:13" x14ac:dyDescent="0.2">
      <c r="A10" s="61"/>
      <c r="B10" s="62" t="s">
        <v>140</v>
      </c>
      <c r="C10" s="67" t="e">
        <f>#REF!</f>
        <v>#REF!</v>
      </c>
      <c r="D10" s="159">
        <f>+'FY15 Budget'!H53</f>
        <v>5425.1694199723524</v>
      </c>
      <c r="E10" s="64" t="e">
        <f t="shared" si="0"/>
        <v>#REF!</v>
      </c>
      <c r="F10" s="146"/>
      <c r="G10" s="67" t="e">
        <f>#REF!</f>
        <v>#REF!</v>
      </c>
      <c r="H10" s="159">
        <f>+'FY15 Budget'!C53+'FY15 Budget'!D53+'FY15 Budget'!E53+'FY15 Budget'!F53+'FY15 Budget'!G53+'FY15 Budget'!H53</f>
        <v>35263.601229820291</v>
      </c>
      <c r="I10" s="64" t="e">
        <f t="shared" si="1"/>
        <v>#REF!</v>
      </c>
      <c r="J10" s="146"/>
      <c r="K10" s="67">
        <f>+'FY15 Budget'!O53</f>
        <v>70527.202459640583</v>
      </c>
      <c r="L10" s="159">
        <f>+'FY15 Current Forecast'!O54</f>
        <v>0</v>
      </c>
      <c r="M10" s="64">
        <f>+L10-K10</f>
        <v>-70527.202459640583</v>
      </c>
    </row>
    <row r="11" spans="1:13" ht="15" thickBot="1" x14ac:dyDescent="0.25">
      <c r="A11" s="61"/>
      <c r="B11" s="62" t="s">
        <v>112</v>
      </c>
      <c r="C11" s="163" t="e">
        <f>+#REF!</f>
        <v>#REF!</v>
      </c>
      <c r="D11" s="164" t="str">
        <f>+'FY15 Budget'!H59</f>
        <v xml:space="preserve">0 </v>
      </c>
      <c r="E11" s="165" t="e">
        <f t="shared" si="0"/>
        <v>#REF!</v>
      </c>
      <c r="F11" s="146"/>
      <c r="G11" s="163" t="e">
        <f>+#REF!</f>
        <v>#REF!</v>
      </c>
      <c r="H11" s="164">
        <f>+'FY15 Budget'!C59+'FY15 Budget'!D59+'FY15 Budget'!E59+'FY15 Budget'!F59+'FY15 Budget'!G59+'FY15 Budget'!H59</f>
        <v>0</v>
      </c>
      <c r="I11" s="165" t="e">
        <f t="shared" si="1"/>
        <v>#REF!</v>
      </c>
      <c r="J11" s="146"/>
      <c r="K11" s="163">
        <f>+'FY15 Budget'!O59</f>
        <v>0</v>
      </c>
      <c r="L11" s="164">
        <f>+'FY15 Current Forecast'!O69</f>
        <v>0</v>
      </c>
      <c r="M11" s="165">
        <f>+L11-K11</f>
        <v>0</v>
      </c>
    </row>
    <row r="12" spans="1:13" ht="15.75" thickBot="1" x14ac:dyDescent="0.3">
      <c r="A12" s="69"/>
      <c r="B12" s="70" t="s">
        <v>141</v>
      </c>
      <c r="C12" s="155" t="e">
        <f>SUM(C6:C11)</f>
        <v>#REF!</v>
      </c>
      <c r="D12" s="73">
        <f>SUM(D6:D11)</f>
        <v>117257.33654690246</v>
      </c>
      <c r="E12" s="158" t="e">
        <f>SUM(E6:E11)</f>
        <v>#REF!</v>
      </c>
      <c r="F12" s="148"/>
      <c r="G12" s="155" t="e">
        <f>SUM(G6:G11)</f>
        <v>#REF!</v>
      </c>
      <c r="H12" s="73">
        <f>SUM(H6:H11)</f>
        <v>762172.68755486584</v>
      </c>
      <c r="I12" s="158" t="e">
        <f>SUM(I6:I11)</f>
        <v>#REF!</v>
      </c>
      <c r="J12" s="148"/>
      <c r="K12" s="155">
        <f>SUM(K6:K11)</f>
        <v>1524345.3751097317</v>
      </c>
      <c r="L12" s="73">
        <f>SUM(L6:L11)</f>
        <v>0</v>
      </c>
      <c r="M12" s="158">
        <f>SUM(M6:M11)</f>
        <v>-1524345.3751097317</v>
      </c>
    </row>
    <row r="13" spans="1:13" ht="15" thickBot="1" x14ac:dyDescent="0.25">
      <c r="A13" s="75"/>
      <c r="B13" s="43"/>
      <c r="C13" s="76"/>
      <c r="D13" s="77"/>
      <c r="E13" s="56"/>
      <c r="F13" s="146"/>
      <c r="G13" s="76"/>
      <c r="H13" s="77"/>
      <c r="I13" s="56"/>
      <c r="J13" s="146"/>
      <c r="K13" s="76"/>
      <c r="L13" s="77"/>
      <c r="M13" s="56"/>
    </row>
    <row r="14" spans="1:13" ht="15" x14ac:dyDescent="0.25">
      <c r="A14" s="78" t="s">
        <v>142</v>
      </c>
      <c r="B14" s="79" t="s">
        <v>113</v>
      </c>
      <c r="C14" s="80" t="e">
        <f>SUM(#REF!,#REF!)</f>
        <v>#REF!</v>
      </c>
      <c r="D14" s="81">
        <f>+SUM('FY15 Budget'!H8:H49)+'FY15 Budget'!H56</f>
        <v>24803.452060052445</v>
      </c>
      <c r="E14" s="82" t="e">
        <f>+D14-C14</f>
        <v>#REF!</v>
      </c>
      <c r="F14" s="146"/>
      <c r="G14" s="80" t="e">
        <f>SUM(#REF!,#REF!)</f>
        <v>#REF!</v>
      </c>
      <c r="H14" s="81">
        <f>+SUM('FY15 Budget'!C8:C49)+SUM('FY15 Budget'!D8:D49)+SUM('FY15 Budget'!E8:E49)+SUM('FY15 Budget'!F8:F49)+SUM('FY15 Budget'!G8:G49)+SUM('FY15 Budget'!H8:H49)</f>
        <v>147671.6229745787</v>
      </c>
      <c r="I14" s="82" t="e">
        <f>+H14-G14</f>
        <v>#REF!</v>
      </c>
      <c r="J14" s="146"/>
      <c r="K14" s="80">
        <f>+SUM('FY15 Budget'!O8:O49)</f>
        <v>299030.65121211112</v>
      </c>
      <c r="L14" s="81">
        <f>+SUM('FY15 Current Forecast'!O8:O50)+'FY15 Current Forecast'!O56</f>
        <v>0</v>
      </c>
      <c r="M14" s="82">
        <f>+L14-K14</f>
        <v>-299030.65121211112</v>
      </c>
    </row>
    <row r="15" spans="1:13" ht="15" x14ac:dyDescent="0.25">
      <c r="A15" s="117"/>
      <c r="B15" s="267" t="s">
        <v>220</v>
      </c>
      <c r="C15" s="264" t="e">
        <f>+#REF!+#REF!</f>
        <v>#REF!</v>
      </c>
      <c r="D15" s="265">
        <f>+'FY15 Budget'!H66+'FY15 Budget'!H67</f>
        <v>4323.0783225269906</v>
      </c>
      <c r="E15" s="266" t="e">
        <f>+D15-C15</f>
        <v>#REF!</v>
      </c>
      <c r="F15" s="146"/>
      <c r="G15" s="264" t="e">
        <f>+#REF!+#REF!</f>
        <v>#REF!</v>
      </c>
      <c r="H15" s="265">
        <f>+'FY15 Budget'!C66+'FY15 Budget'!C67+'FY15 Budget'!D66+'FY15 Budget'!D67+'FY15 Budget'!E66+'FY15 Budget'!E67+'FY15 Budget'!F66+'FY15 Budget'!F67+'FY15 Budget'!G66+'FY15 Budget'!G67+'FY15 Budget'!H66+'FY15 Budget'!H67</f>
        <v>25938.469935161946</v>
      </c>
      <c r="I15" s="266" t="e">
        <f>+H15-G15</f>
        <v>#REF!</v>
      </c>
      <c r="J15" s="146"/>
      <c r="K15" s="264">
        <f>+'FY15 Budget'!O66+'FY15 Budget'!O67</f>
        <v>51876.939870323891</v>
      </c>
      <c r="L15" s="265">
        <f>+'FY15 Current Forecast'!O76+'FY15 Current Forecast'!O77</f>
        <v>0</v>
      </c>
      <c r="M15" s="266">
        <f>+L15-K15</f>
        <v>-51876.939870323891</v>
      </c>
    </row>
    <row r="16" spans="1:13" ht="15.75" thickBot="1" x14ac:dyDescent="0.3">
      <c r="A16" s="83"/>
      <c r="B16" s="84" t="s">
        <v>143</v>
      </c>
      <c r="C16" s="261" t="e">
        <f>SUM(C14:C15)</f>
        <v>#REF!</v>
      </c>
      <c r="D16" s="262">
        <f t="shared" ref="D16:E16" si="2">SUM(D14:D15)</f>
        <v>29126.530382579436</v>
      </c>
      <c r="E16" s="263" t="e">
        <f t="shared" si="2"/>
        <v>#REF!</v>
      </c>
      <c r="F16" s="148"/>
      <c r="G16" s="85" t="e">
        <f>SUM(G14:G15)</f>
        <v>#REF!</v>
      </c>
      <c r="H16" s="86">
        <f>SUM(H14:H15)</f>
        <v>173610.09290974063</v>
      </c>
      <c r="I16" s="87" t="e">
        <f>SUM(I14:I15)</f>
        <v>#REF!</v>
      </c>
      <c r="J16" s="148"/>
      <c r="K16" s="85">
        <f>SUM(K14:K15)</f>
        <v>350907.59108243498</v>
      </c>
      <c r="L16" s="86">
        <f>SUM(L14:L15)</f>
        <v>0</v>
      </c>
      <c r="M16" s="87">
        <f>SUM(M14:M15)</f>
        <v>-350907.59108243498</v>
      </c>
    </row>
    <row r="17" spans="1:13" ht="15" thickBot="1" x14ac:dyDescent="0.25">
      <c r="A17" s="75"/>
      <c r="B17" s="43"/>
      <c r="C17" s="76"/>
      <c r="D17" s="77"/>
      <c r="E17" s="56"/>
      <c r="F17" s="146"/>
      <c r="G17" s="76"/>
      <c r="H17" s="77"/>
      <c r="I17" s="56"/>
      <c r="J17" s="146"/>
      <c r="K17" s="76"/>
      <c r="L17" s="77"/>
      <c r="M17" s="56"/>
    </row>
    <row r="18" spans="1:13" ht="15" x14ac:dyDescent="0.25">
      <c r="A18" s="88" t="s">
        <v>144</v>
      </c>
      <c r="B18" s="223" t="s">
        <v>209</v>
      </c>
      <c r="C18" s="90" t="e">
        <f>+#REF!+#REF!+#REF!+#REF!+#REF!+#REF!</f>
        <v>#REF!</v>
      </c>
      <c r="D18" s="91">
        <f>+SUM('FY15 Budget'!H191:H196)</f>
        <v>0</v>
      </c>
      <c r="E18" s="92" t="e">
        <f>+D18-C18</f>
        <v>#REF!</v>
      </c>
      <c r="F18" s="146"/>
      <c r="G18" s="90" t="e">
        <f>+#REF!+#REF!+#REF!+#REF!+#REF!++#REF!</f>
        <v>#REF!</v>
      </c>
      <c r="H18" s="91">
        <f>+SUM('FY15 Budget'!C191:C196)+SUM('FY15 Budget'!D191:D196)+SUM('FY15 Budget'!E191:E196)+SUM('FY15 Budget'!F191:F196)+SUM('FY15 Budget'!G191:G196)+SUM('FY15 Budget'!H191:H196)</f>
        <v>0</v>
      </c>
      <c r="I18" s="92" t="e">
        <f>+H18-G18</f>
        <v>#REF!</v>
      </c>
      <c r="J18" s="146"/>
      <c r="K18" s="90">
        <f>+SUM('FY15 Budget'!O191:O196)</f>
        <v>0</v>
      </c>
      <c r="L18" s="91">
        <f>+SUM('FY15 Current Forecast'!O214:O218)</f>
        <v>0</v>
      </c>
      <c r="M18" s="92">
        <f>+L18-K18</f>
        <v>0</v>
      </c>
    </row>
    <row r="19" spans="1:13" ht="15" x14ac:dyDescent="0.25">
      <c r="A19" s="201"/>
      <c r="B19" s="202" t="s">
        <v>146</v>
      </c>
      <c r="C19" s="203" t="e">
        <f>+#REF!-#REF!</f>
        <v>#REF!</v>
      </c>
      <c r="D19" s="125" t="str">
        <f>+'FY15 Budget'!H277</f>
        <v xml:space="preserve">0 </v>
      </c>
      <c r="E19" s="126" t="e">
        <f>+D19-C19</f>
        <v>#REF!</v>
      </c>
      <c r="F19" s="146"/>
      <c r="G19" s="124" t="e">
        <f>+#REF!-#REF!</f>
        <v>#REF!</v>
      </c>
      <c r="H19" s="125">
        <f>+'FY15 Budget'!C277+'FY15 Budget'!D277+'FY15 Budget'!E277+'FY15 Budget'!F277+'FY15 Budget'!G277+'FY15 Budget'!H277</f>
        <v>0</v>
      </c>
      <c r="I19" s="126" t="e">
        <f>+H19-G19</f>
        <v>#REF!</v>
      </c>
      <c r="J19" s="146"/>
      <c r="K19" s="124">
        <f>+'FY15 Budget'!O277</f>
        <v>0</v>
      </c>
      <c r="L19" s="125">
        <f>+'FY15 Current Forecast'!O301</f>
        <v>0</v>
      </c>
      <c r="M19" s="126">
        <f>+L19-K19</f>
        <v>0</v>
      </c>
    </row>
    <row r="20" spans="1:13" ht="15.75" thickBot="1" x14ac:dyDescent="0.3">
      <c r="A20" s="93"/>
      <c r="B20" s="94" t="s">
        <v>145</v>
      </c>
      <c r="C20" s="95" t="e">
        <f>SUM(C18:C19)</f>
        <v>#REF!</v>
      </c>
      <c r="D20" s="96">
        <f t="shared" ref="D20:E20" si="3">SUM(D18:D19)</f>
        <v>0</v>
      </c>
      <c r="E20" s="97" t="e">
        <f t="shared" si="3"/>
        <v>#REF!</v>
      </c>
      <c r="F20" s="148"/>
      <c r="G20" s="95" t="e">
        <f t="shared" ref="G20" si="4">SUM(G18:G19)</f>
        <v>#REF!</v>
      </c>
      <c r="H20" s="96">
        <f t="shared" ref="H20:I20" si="5">SUM(H18:H19)</f>
        <v>0</v>
      </c>
      <c r="I20" s="97" t="e">
        <f t="shared" si="5"/>
        <v>#REF!</v>
      </c>
      <c r="J20" s="148"/>
      <c r="K20" s="95">
        <f t="shared" ref="K20:L20" si="6">SUM(K18:K19)</f>
        <v>0</v>
      </c>
      <c r="L20" s="96">
        <f t="shared" si="6"/>
        <v>0</v>
      </c>
      <c r="M20" s="97">
        <f t="shared" ref="M20" si="7">SUM(M18:M19)</f>
        <v>0</v>
      </c>
    </row>
    <row r="21" spans="1:13" ht="15" thickBot="1" x14ac:dyDescent="0.25">
      <c r="A21" s="43"/>
      <c r="B21" s="43"/>
      <c r="C21" s="76"/>
      <c r="D21" s="77"/>
      <c r="E21" s="56"/>
      <c r="F21" s="146"/>
      <c r="G21" s="76"/>
      <c r="H21" s="77"/>
      <c r="I21" s="56"/>
      <c r="J21" s="146"/>
      <c r="K21" s="76"/>
      <c r="L21" s="77"/>
      <c r="M21" s="56"/>
    </row>
    <row r="22" spans="1:13" ht="15.75" thickBot="1" x14ac:dyDescent="0.3">
      <c r="A22" s="98"/>
      <c r="B22" s="99" t="s">
        <v>121</v>
      </c>
      <c r="C22" s="100" t="e">
        <f>SUM(C12,C16,C20)</f>
        <v>#REF!</v>
      </c>
      <c r="D22" s="101">
        <f>SUM(D12,D16,D20)</f>
        <v>146383.86692948188</v>
      </c>
      <c r="E22" s="102" t="e">
        <f>SUM(E12,E16,E20)</f>
        <v>#REF!</v>
      </c>
      <c r="F22" s="146"/>
      <c r="G22" s="100" t="e">
        <f>SUM(G12,G16,G20)</f>
        <v>#REF!</v>
      </c>
      <c r="H22" s="101">
        <f>SUM(H12,H16,H20)</f>
        <v>935782.78046460648</v>
      </c>
      <c r="I22" s="102" t="e">
        <f>SUM(I12,I16,I20)</f>
        <v>#REF!</v>
      </c>
      <c r="J22" s="146"/>
      <c r="K22" s="100">
        <f>SUM(K12,K16,K20)</f>
        <v>1875252.9661921668</v>
      </c>
      <c r="L22" s="101">
        <f>SUM(L12,L16,L20)</f>
        <v>0</v>
      </c>
      <c r="M22" s="102">
        <f>SUM(M12,M16,M20)</f>
        <v>-1875252.9661921668</v>
      </c>
    </row>
    <row r="23" spans="1:13" x14ac:dyDescent="0.2">
      <c r="A23" s="44"/>
      <c r="B23" s="43"/>
      <c r="C23" s="103"/>
      <c r="D23" s="104"/>
      <c r="E23" s="56"/>
      <c r="F23" s="146"/>
      <c r="G23" s="103"/>
      <c r="H23" s="104"/>
      <c r="I23" s="56"/>
      <c r="J23" s="146"/>
      <c r="K23" s="103"/>
      <c r="L23" s="104"/>
      <c r="M23" s="56"/>
    </row>
    <row r="24" spans="1:13" ht="18.75" thickBot="1" x14ac:dyDescent="0.3">
      <c r="A24" s="185" t="s">
        <v>103</v>
      </c>
      <c r="B24" s="43"/>
      <c r="C24" s="103"/>
      <c r="D24" s="104"/>
      <c r="E24" s="56"/>
      <c r="F24" s="146"/>
      <c r="G24" s="103"/>
      <c r="H24" s="104"/>
      <c r="I24" s="56"/>
      <c r="J24" s="146"/>
      <c r="K24" s="103"/>
      <c r="L24" s="104"/>
      <c r="M24" s="56"/>
    </row>
    <row r="25" spans="1:13" ht="15" x14ac:dyDescent="0.25">
      <c r="A25" s="57" t="s">
        <v>137</v>
      </c>
      <c r="B25" s="58" t="s">
        <v>187</v>
      </c>
      <c r="C25" s="156" t="e">
        <f>+#REF!+#REF!+#REF!+#REF!+#REF!+#REF!+#REF!+#REF!+#REF!+#REF!+#REF!+#REF!+#REF!</f>
        <v>#REF!</v>
      </c>
      <c r="D25" s="167">
        <f>+'FY15 Budget'!H105+'FY15 Budget'!H129+'FY15 Budget'!H131+'FY15 Budget'!H124+'FY15 Budget'!H110</f>
        <v>0</v>
      </c>
      <c r="E25" s="60" t="e">
        <f t="shared" ref="E25:E32" si="8">+D25-C25</f>
        <v>#REF!</v>
      </c>
      <c r="F25" s="146"/>
      <c r="G25" s="156" t="e">
        <f>+#REF!+#REF!+#REF!+#REF!+#REF!+#REF!+#REF!+#REF!+#REF!+#REF!+#REF!+#REF!+#REF!</f>
        <v>#REF!</v>
      </c>
      <c r="H25" s="167">
        <f>+'FY15 Budget'!C105+'FY15 Budget'!C129+'FY15 Budget'!C131+'FY15 Budget'!C124+'FY15 Budget'!C110+'FY15 Budget'!D105+'FY15 Budget'!D129+'FY15 Budget'!D131+'FY15 Budget'!D124+'FY15 Budget'!D110+'FY15 Budget'!E105+'FY15 Budget'!E129+'FY15 Budget'!E131+'FY15 Budget'!E124+'FY15 Budget'!E110+'FY15 Budget'!F105+'FY15 Budget'!F129+'FY15 Budget'!F131+'FY15 Budget'!F124+'FY15 Budget'!F110+'FY15 Budget'!G105+'FY15 Budget'!G129+'FY15 Budget'!G131+'FY15 Budget'!G124+'FY15 Budget'!G110+'FY15 Budget'!H105+'FY15 Budget'!H129+'FY15 Budget'!H131+'FY15 Budget'!H124+'FY15 Budget'!H110</f>
        <v>0</v>
      </c>
      <c r="I25" s="60" t="e">
        <f t="shared" ref="I25:I32" si="9">+H25-G25</f>
        <v>#REF!</v>
      </c>
      <c r="J25" s="146"/>
      <c r="K25" s="156">
        <f>+'FY15 Budget'!O105+'FY15 Budget'!O129+'FY15 Budget'!O131+'FY15 Budget'!O124+'FY15 Budget'!O110</f>
        <v>0</v>
      </c>
      <c r="L25" s="167">
        <f>+'FY15 Current Forecast'!O152+'FY15 Current Forecast'!O154+'FY15 Current Forecast'!O148+'FY15 Current Forecast'!O60+'FY15 Current Forecast'!O116+'FY15 Current Forecast'!O128+'FY15 Current Forecast'!O147+'FY15 Current Forecast'!O132</f>
        <v>0</v>
      </c>
      <c r="M25" s="60">
        <f t="shared" ref="M25:M32" si="10">+L25-K25</f>
        <v>0</v>
      </c>
    </row>
    <row r="26" spans="1:13" ht="15" x14ac:dyDescent="0.25">
      <c r="A26" s="108"/>
      <c r="B26" s="62" t="s">
        <v>115</v>
      </c>
      <c r="C26" s="68" t="e">
        <f>+#REF!+#REF!+SUM(#REF!)+#REF!+#REF!+#REF!+#REF!</f>
        <v>#REF!</v>
      </c>
      <c r="D26" s="161">
        <f>+'FY15 Budget'!H127+'FY15 Budget'!H123</f>
        <v>0</v>
      </c>
      <c r="E26" s="64" t="e">
        <f t="shared" si="8"/>
        <v>#REF!</v>
      </c>
      <c r="F26" s="151"/>
      <c r="G26" s="68" t="e">
        <f>+#REF!+#REF!+SUM(#REF!)+#REF!+#REF!+#REF!+#REF!</f>
        <v>#REF!</v>
      </c>
      <c r="H26" s="161">
        <f>+'FY15 Budget'!C127+'FY15 Budget'!C123+'FY15 Budget'!D127+'FY15 Budget'!D123+'FY15 Budget'!E127+'FY15 Budget'!E123+'FY15 Budget'!F127+'FY15 Budget'!F123+'FY15 Budget'!G127+'FY15 Budget'!G123+'FY15 Budget'!H127+'FY15 Budget'!H123</f>
        <v>0</v>
      </c>
      <c r="I26" s="64" t="e">
        <f t="shared" si="9"/>
        <v>#REF!</v>
      </c>
      <c r="J26" s="151"/>
      <c r="K26" s="68">
        <f>+'FY15 Budget'!O127+'FY15 Budget'!O123</f>
        <v>0</v>
      </c>
      <c r="L26" s="161">
        <f>+'FY15 Current Forecast'!O150+'FY15 Current Forecast'!O142+'FY15 Current Forecast'!O144+'FY15 Current Forecast'!O145+'FY15 Current Forecast'!O146+'FY15 Current Forecast'!O111+'FY15 Current Forecast'!O117+'FY15 Current Forecast'!O133+'FY15 Current Forecast'!O134+'FY15 Current Forecast'!O135+'FY15 Current Forecast'!O136+'FY15 Current Forecast'!O122</f>
        <v>0</v>
      </c>
      <c r="M26" s="64">
        <f t="shared" si="10"/>
        <v>0</v>
      </c>
    </row>
    <row r="27" spans="1:13" x14ac:dyDescent="0.2">
      <c r="A27" s="65"/>
      <c r="B27" s="62" t="s">
        <v>117</v>
      </c>
      <c r="C27" s="68" t="e">
        <f>+#REF!+#REF!</f>
        <v>#REF!</v>
      </c>
      <c r="D27" s="161"/>
      <c r="E27" s="64" t="e">
        <f t="shared" si="8"/>
        <v>#REF!</v>
      </c>
      <c r="F27" s="151"/>
      <c r="G27" s="68" t="e">
        <f>+#REF!+#REF!</f>
        <v>#REF!</v>
      </c>
      <c r="H27" s="161"/>
      <c r="I27" s="64" t="e">
        <f t="shared" si="9"/>
        <v>#REF!</v>
      </c>
      <c r="J27" s="151"/>
      <c r="K27" s="68"/>
      <c r="L27" s="161"/>
      <c r="M27" s="64">
        <f t="shared" si="10"/>
        <v>0</v>
      </c>
    </row>
    <row r="28" spans="1:13" x14ac:dyDescent="0.2">
      <c r="A28" s="65"/>
      <c r="B28" s="62" t="s">
        <v>188</v>
      </c>
      <c r="C28" s="68" t="e">
        <f>+#REF!+#REF!+#REF!+#REF!+#REF!+#REF!+#REF!+#REF!+#REF!+#REF!+#REF!+#REF!+#REF!+#REF!+#REF!+#REF!+#REF!+#REF!+#REF!+#REF!+#REF!+#REF!+#REF!</f>
        <v>#REF!</v>
      </c>
      <c r="D28" s="161">
        <f>+'FY15 Budget'!H126+'FY15 Budget'!H109+'FY15 Budget'!H184+'FY15 Budget'!H102+'FY15 Budget'!H119+'FY15 Budget'!H183</f>
        <v>126920</v>
      </c>
      <c r="E28" s="64" t="e">
        <f t="shared" si="8"/>
        <v>#REF!</v>
      </c>
      <c r="F28" s="151"/>
      <c r="G28" s="68" t="e">
        <f>+#REF!+#REF!+#REF!+#REF!+#REF!+#REF!+#REF!+#REF!+#REF!+#REF!+#REF!+#REF!+#REF!+#REF!+#REF!+#REF!+#REF!+#REF!+#REF!+#REF!+#REF!+#REF!+#REF!</f>
        <v>#REF!</v>
      </c>
      <c r="H28" s="161">
        <f>+'FY15 Budget'!C126+'FY15 Budget'!C109+'FY15 Budget'!C184+'FY15 Budget'!C102+'FY15 Budget'!C119+'FY15 Budget'!C183+'FY15 Budget'!D126+'FY15 Budget'!D109+'FY15 Budget'!D184+'FY15 Budget'!D102+'FY15 Budget'!D119+'FY15 Budget'!D183+'FY15 Budget'!E126+'FY15 Budget'!E109+'FY15 Budget'!E184+'FY15 Budget'!E102+'FY15 Budget'!E119+'FY15 Budget'!E183+'FY15 Budget'!F126+'FY15 Budget'!F109+'FY15 Budget'!F184+'FY15 Budget'!F102+'FY15 Budget'!F119+'FY15 Budget'!F183+'FY15 Budget'!G126+'FY15 Budget'!G109+'FY15 Budget'!G184+'FY15 Budget'!G102+'FY15 Budget'!G119+'FY15 Budget'!G183+'FY15 Budget'!H126+'FY15 Budget'!H109+'FY15 Budget'!H184+'FY15 Budget'!H102+'FY15 Budget'!H119+'FY15 Budget'!H183</f>
        <v>824980</v>
      </c>
      <c r="I28" s="64" t="e">
        <f t="shared" si="9"/>
        <v>#REF!</v>
      </c>
      <c r="J28" s="151"/>
      <c r="K28" s="68">
        <f>+'FY15 Budget'!O126+'FY15 Budget'!O109+'FY15 Budget'!O184+'FY15 Budget'!O102+'FY15 Budget'!O119+'FY15 Budget'!O183</f>
        <v>1649960</v>
      </c>
      <c r="L28" s="161" t="e">
        <f>+'FY15 Current Forecast'!O149+'FY15 Current Forecast'!#REF!+'FY15 Current Forecast'!O124+'FY15 Current Forecast'!O137+'FY15 Current Forecast'!O126+'FY15 Current Forecast'!O129+'FY15 Current Forecast'!O107+'FY15 Current Forecast'!O130+'FY15 Current Forecast'!O119+'FY15 Current Forecast'!#REF!+'FY15 Current Forecast'!O155+'FY15 Current Forecast'!O125+'FY15 Current Forecast'!O127+'FY15 Current Forecast'!O123+'FY15 Current Forecast'!O118+'FY15 Current Forecast'!O141+'FY15 Current Forecast'!O138</f>
        <v>#REF!</v>
      </c>
      <c r="M28" s="64" t="e">
        <f t="shared" si="10"/>
        <v>#REF!</v>
      </c>
    </row>
    <row r="29" spans="1:13" ht="15" x14ac:dyDescent="0.25">
      <c r="A29" s="108"/>
      <c r="B29" s="62" t="s">
        <v>138</v>
      </c>
      <c r="C29" s="68" t="e">
        <f>+#REF!</f>
        <v>#REF!</v>
      </c>
      <c r="D29" s="161">
        <f>+'FY15 Budget'!H180</f>
        <v>124391.43008725491</v>
      </c>
      <c r="E29" s="64" t="e">
        <f t="shared" si="8"/>
        <v>#REF!</v>
      </c>
      <c r="F29" s="146"/>
      <c r="G29" s="68" t="e">
        <f>+#REF!</f>
        <v>#REF!</v>
      </c>
      <c r="H29" s="161">
        <f>+'FY15 Budget'!C180+'FY15 Budget'!D180+'FY15 Budget'!E180+'FY15 Budget'!F180+'FY15 Budget'!G180+'FY15 Budget'!H180</f>
        <v>808544.29556715675</v>
      </c>
      <c r="I29" s="64" t="e">
        <f t="shared" si="9"/>
        <v>#REF!</v>
      </c>
      <c r="J29" s="146"/>
      <c r="K29" s="68">
        <f>+'FY15 Budget'!O180</f>
        <v>1617088.5911343135</v>
      </c>
      <c r="L29" s="161">
        <f>+'FY15 Current Forecast'!O205</f>
        <v>0</v>
      </c>
      <c r="M29" s="64">
        <f t="shared" si="10"/>
        <v>-1617088.5911343135</v>
      </c>
    </row>
    <row r="30" spans="1:13" x14ac:dyDescent="0.2">
      <c r="A30" s="65"/>
      <c r="B30" s="62" t="s">
        <v>139</v>
      </c>
      <c r="C30" s="68" t="e">
        <f>+#REF!</f>
        <v>#REF!</v>
      </c>
      <c r="D30" s="161">
        <f>+'FY15 Budget'!H181</f>
        <v>13635.08811167</v>
      </c>
      <c r="E30" s="64" t="e">
        <f>+D30-C30</f>
        <v>#REF!</v>
      </c>
      <c r="F30" s="151"/>
      <c r="G30" s="68" t="e">
        <f>+#REF!</f>
        <v>#REF!</v>
      </c>
      <c r="H30" s="161">
        <f>+'FY15 Budget'!C181+'FY15 Budget'!D181+'FY15 Budget'!E181+'FY15 Budget'!F181+'FY15 Budget'!G181+'FY15 Budget'!H181</f>
        <v>88628.072725855032</v>
      </c>
      <c r="I30" s="64" t="e">
        <f t="shared" si="9"/>
        <v>#REF!</v>
      </c>
      <c r="J30" s="151"/>
      <c r="K30" s="68">
        <f>+'FY15 Budget'!O181</f>
        <v>177256.14545171004</v>
      </c>
      <c r="L30" s="161">
        <f>+'FY15 Current Forecast'!O206</f>
        <v>0</v>
      </c>
      <c r="M30" s="64">
        <f t="shared" si="10"/>
        <v>-177256.14545171004</v>
      </c>
    </row>
    <row r="31" spans="1:13" ht="17.25" customHeight="1" x14ac:dyDescent="0.2">
      <c r="A31" s="65"/>
      <c r="B31" s="62" t="s">
        <v>140</v>
      </c>
      <c r="C31" s="68" t="e">
        <f>+#REF!</f>
        <v>#REF!</v>
      </c>
      <c r="D31" s="161">
        <f>+'FY15 Budget'!H182</f>
        <v>5907.7514836231549</v>
      </c>
      <c r="E31" s="64" t="e">
        <f t="shared" si="8"/>
        <v>#REF!</v>
      </c>
      <c r="F31" s="151"/>
      <c r="G31" s="68" t="e">
        <f>+#REF!</f>
        <v>#REF!</v>
      </c>
      <c r="H31" s="161">
        <f>+'FY15 Budget'!C182+'FY15 Budget'!D182+'FY15 Budget'!E182+'FY15 Budget'!F182+'FY15 Budget'!G182+'FY15 Budget'!H182</f>
        <v>38400.384643550511</v>
      </c>
      <c r="I31" s="64" t="e">
        <f t="shared" si="9"/>
        <v>#REF!</v>
      </c>
      <c r="J31" s="151"/>
      <c r="K31" s="68">
        <f>+'FY15 Budget'!O182</f>
        <v>76800.769287101022</v>
      </c>
      <c r="L31" s="161">
        <f>+'FY15 Current Forecast'!O207</f>
        <v>0</v>
      </c>
      <c r="M31" s="64">
        <f t="shared" si="10"/>
        <v>-76800.769287101022</v>
      </c>
    </row>
    <row r="32" spans="1:13" x14ac:dyDescent="0.2">
      <c r="A32" s="65"/>
      <c r="B32" s="62" t="s">
        <v>125</v>
      </c>
      <c r="C32" s="157"/>
      <c r="D32" s="161" t="str">
        <f>+'FY15 Budget'!H116</f>
        <v xml:space="preserve">0 </v>
      </c>
      <c r="E32" s="64">
        <f t="shared" si="8"/>
        <v>0</v>
      </c>
      <c r="F32" s="151"/>
      <c r="G32" s="157"/>
      <c r="H32" s="161">
        <f>+'FY15 Budget'!C116+'FY15 Budget'!D116+'FY15 Budget'!E116+'FY15 Budget'!F116+'FY15 Budget'!G116+'FY15 Budget'!H116</f>
        <v>0</v>
      </c>
      <c r="I32" s="64">
        <f t="shared" si="9"/>
        <v>0</v>
      </c>
      <c r="J32" s="151"/>
      <c r="K32" s="68">
        <f>+'FY15 Budget'!O116</f>
        <v>0</v>
      </c>
      <c r="L32" s="161">
        <f>+'FY15 Current Forecast'!O139</f>
        <v>0</v>
      </c>
      <c r="M32" s="64">
        <f t="shared" si="10"/>
        <v>0</v>
      </c>
    </row>
    <row r="33" spans="1:13" ht="15.75" thickBot="1" x14ac:dyDescent="0.3">
      <c r="A33" s="69"/>
      <c r="B33" s="70" t="s">
        <v>153</v>
      </c>
      <c r="C33" s="155" t="e">
        <f>SUM(C25:C32)</f>
        <v>#REF!</v>
      </c>
      <c r="D33" s="72">
        <f>SUM(D25:D32)</f>
        <v>270854.26968254807</v>
      </c>
      <c r="E33" s="176" t="e">
        <f>SUM(E25:E32)</f>
        <v>#REF!</v>
      </c>
      <c r="F33" s="148"/>
      <c r="G33" s="155" t="e">
        <f>SUM(G25:G32)</f>
        <v>#REF!</v>
      </c>
      <c r="H33" s="72">
        <f>SUM(H25:H32)</f>
        <v>1760552.7529365623</v>
      </c>
      <c r="I33" s="176" t="e">
        <f>SUM(I25:I32)</f>
        <v>#REF!</v>
      </c>
      <c r="J33" s="148"/>
      <c r="K33" s="71">
        <f>SUM(K25:K32)</f>
        <v>3521105.5058731246</v>
      </c>
      <c r="L33" s="72" t="e">
        <f>SUM(L25:L32)</f>
        <v>#REF!</v>
      </c>
      <c r="M33" s="176" t="e">
        <f>SUM(M25:M32)</f>
        <v>#REF!</v>
      </c>
    </row>
    <row r="34" spans="1:13" ht="15" thickBot="1" x14ac:dyDescent="0.25">
      <c r="A34" s="113"/>
      <c r="B34" s="44"/>
      <c r="C34" s="114"/>
      <c r="D34" s="115"/>
      <c r="E34" s="116"/>
      <c r="F34" s="151"/>
      <c r="G34" s="114"/>
      <c r="H34" s="115"/>
      <c r="I34" s="116"/>
      <c r="J34" s="151"/>
      <c r="K34" s="114"/>
      <c r="L34" s="115"/>
      <c r="M34" s="116"/>
    </row>
    <row r="35" spans="1:13" ht="15" x14ac:dyDescent="0.25">
      <c r="A35" s="78" t="s">
        <v>142</v>
      </c>
      <c r="B35" s="79" t="s">
        <v>113</v>
      </c>
      <c r="C35" s="80" t="e">
        <f>SUM(#REF!,#REF!)+#REF!</f>
        <v>#REF!</v>
      </c>
      <c r="D35" s="81">
        <f>+SUM('FY15 Budget'!H134:H175)</f>
        <v>438290.42036186199</v>
      </c>
      <c r="E35" s="82" t="e">
        <f>+D35-C35</f>
        <v>#REF!</v>
      </c>
      <c r="F35" s="151"/>
      <c r="G35" s="80" t="e">
        <f>SUM(#REF!,#REF!)+#REF!</f>
        <v>#REF!</v>
      </c>
      <c r="H35" s="81">
        <f>+SUM('FY15 Budget'!C134:C175)+SUM('FY15 Budget'!D134:D175)+SUM('FY15 Budget'!E134:E175)+SUM('FY15 Budget'!F134:F175)+SUM('FY15 Budget'!G134:G175)+SUM('FY15 Budget'!H134:H175)</f>
        <v>2856059.5322376443</v>
      </c>
      <c r="I35" s="82" t="e">
        <f>+H35-G35</f>
        <v>#REF!</v>
      </c>
      <c r="J35" s="151"/>
      <c r="K35" s="80">
        <f>+SUM('FY15 Budget'!O134:O175)</f>
        <v>5658751.7966329334</v>
      </c>
      <c r="L35" s="81">
        <f>+SUM('FY15 Current Forecast'!O156:O200)</f>
        <v>0</v>
      </c>
      <c r="M35" s="82">
        <f>+L35-K35</f>
        <v>-5658751.7966329334</v>
      </c>
    </row>
    <row r="36" spans="1:13" ht="15" x14ac:dyDescent="0.25">
      <c r="A36" s="117"/>
      <c r="B36" s="267" t="s">
        <v>220</v>
      </c>
      <c r="C36" s="121" t="e">
        <f>+#REF!+#REF!</f>
        <v>#REF!</v>
      </c>
      <c r="D36" s="119">
        <f>+'FY15 Budget'!H70+'FY15 Budget'!H71</f>
        <v>25000</v>
      </c>
      <c r="E36" s="120" t="e">
        <f>+D36-C36</f>
        <v>#REF!</v>
      </c>
      <c r="F36" s="151"/>
      <c r="G36" s="121" t="e">
        <f>+#REF!+#REF!</f>
        <v>#REF!</v>
      </c>
      <c r="H36" s="119">
        <f>+'FY15 Budget'!C70+'FY15 Budget'!C71+'FY15 Budget'!D70+'FY15 Budget'!D71+'FY15 Budget'!E70+'FY15 Budget'!E71+'FY15 Budget'!F70+'FY15 Budget'!F71+'FY15 Budget'!G70+'FY15 Budget'!G71+'FY15 Budget'!H70+'FY15 Budget'!H71</f>
        <v>150000</v>
      </c>
      <c r="I36" s="120" t="e">
        <f>+H36-G36</f>
        <v>#REF!</v>
      </c>
      <c r="J36" s="151"/>
      <c r="K36" s="121">
        <f>+'FY15 Budget'!O70+'FY15 Budget'!O71</f>
        <v>300000</v>
      </c>
      <c r="L36" s="119">
        <f>+'FY15 Current Forecast'!O80+'FY15 Current Forecast'!O81</f>
        <v>0</v>
      </c>
      <c r="M36" s="120">
        <f>+L36-K36</f>
        <v>-300000</v>
      </c>
    </row>
    <row r="37" spans="1:13" ht="15.75" thickBot="1" x14ac:dyDescent="0.3">
      <c r="A37" s="83"/>
      <c r="B37" s="84" t="s">
        <v>154</v>
      </c>
      <c r="C37" s="85" t="e">
        <f>SUM(C35:C36)</f>
        <v>#REF!</v>
      </c>
      <c r="D37" s="86">
        <f>SUM(D35:D36)</f>
        <v>463290.42036186199</v>
      </c>
      <c r="E37" s="87" t="e">
        <f>SUM(E35:E36)</f>
        <v>#REF!</v>
      </c>
      <c r="F37" s="152"/>
      <c r="G37" s="85" t="e">
        <f>SUM(G35:G36)</f>
        <v>#REF!</v>
      </c>
      <c r="H37" s="86">
        <f>SUM(H35:H36)</f>
        <v>3006059.5322376443</v>
      </c>
      <c r="I37" s="87" t="e">
        <f>SUM(I35:I36)</f>
        <v>#REF!</v>
      </c>
      <c r="J37" s="152"/>
      <c r="K37" s="85">
        <f>SUM(K35:K36)</f>
        <v>5958751.7966329334</v>
      </c>
      <c r="L37" s="86">
        <f>SUM(L35:L36)</f>
        <v>0</v>
      </c>
      <c r="M37" s="87">
        <f>SUM(M35:M36)</f>
        <v>-5958751.7966329334</v>
      </c>
    </row>
    <row r="38" spans="1:13" ht="15" thickBot="1" x14ac:dyDescent="0.25">
      <c r="A38" s="75"/>
      <c r="B38" s="43"/>
      <c r="C38" s="76"/>
      <c r="D38" s="77"/>
      <c r="E38" s="56"/>
      <c r="F38" s="146"/>
      <c r="G38" s="76"/>
      <c r="H38" s="77"/>
      <c r="I38" s="56"/>
      <c r="J38" s="146"/>
      <c r="K38" s="76"/>
      <c r="L38" s="77"/>
      <c r="M38" s="56"/>
    </row>
    <row r="39" spans="1:13" ht="15" x14ac:dyDescent="0.25">
      <c r="A39" s="88" t="s">
        <v>144</v>
      </c>
      <c r="B39" s="89" t="s">
        <v>101</v>
      </c>
      <c r="C39" s="90" t="e">
        <f>+#REF!+#REF!+#REF!+#REF!</f>
        <v>#REF!</v>
      </c>
      <c r="D39" s="91">
        <f>+SUM('FY15 Budget'!H202:H203)</f>
        <v>37838</v>
      </c>
      <c r="E39" s="92" t="e">
        <f>+D39-C39</f>
        <v>#REF!</v>
      </c>
      <c r="F39" s="146"/>
      <c r="G39" s="90" t="e">
        <f>+#REF!+#REF!+#REF!</f>
        <v>#REF!</v>
      </c>
      <c r="H39" s="91">
        <f>+SUM('FY15 Budget'!C202:C203)+SUM('FY15 Budget'!D202:D203)+SUM('FY15 Budget'!E202:E203)+SUM('FY15 Budget'!F202:F203)+SUM('FY15 Budget'!G202:G203)+SUM('FY15 Budget'!H202:H203)</f>
        <v>245948</v>
      </c>
      <c r="I39" s="92" t="e">
        <f>+H39-G39</f>
        <v>#REF!</v>
      </c>
      <c r="J39" s="146"/>
      <c r="K39" s="90">
        <f>+SUM('FY15 Budget'!O202:O203)</f>
        <v>491896</v>
      </c>
      <c r="L39" s="91">
        <f>+SUM('FY15 Current Forecast'!O224:O226)</f>
        <v>0</v>
      </c>
      <c r="M39" s="92">
        <f>+L39-K39</f>
        <v>-491896</v>
      </c>
    </row>
    <row r="40" spans="1:13" x14ac:dyDescent="0.2">
      <c r="A40" s="122"/>
      <c r="B40" s="202" t="s">
        <v>208</v>
      </c>
      <c r="C40" s="124" t="e">
        <f>+#REF!+#REF!+#REF!+#REF!</f>
        <v>#REF!</v>
      </c>
      <c r="D40" s="125">
        <f>+SUM('FY15 Budget'!H200:H201)</f>
        <v>109441</v>
      </c>
      <c r="E40" s="126" t="e">
        <f>+D40-C40</f>
        <v>#REF!</v>
      </c>
      <c r="F40" s="146"/>
      <c r="G40" s="124" t="e">
        <f>+#REF!+#REF!+#REF!+#REF!+#REF!</f>
        <v>#REF!</v>
      </c>
      <c r="H40" s="125">
        <f>+SUM('FY15 Budget'!C200:C201)+SUM('FY15 Budget'!D200:D201)+SUM('FY15 Budget'!E200:E201)+SUM('FY15 Budget'!F200:F201)+SUM('FY15 Budget'!G200:G201)+SUM('FY15 Budget'!H200:H201)</f>
        <v>711368</v>
      </c>
      <c r="I40" s="126" t="e">
        <f>+H40-G40</f>
        <v>#REF!</v>
      </c>
      <c r="J40" s="146"/>
      <c r="K40" s="124">
        <f>+SUM('FY15 Budget'!O200:O201)</f>
        <v>1422737</v>
      </c>
      <c r="L40" s="125">
        <f>+SUM('FY15 Current Forecast'!O222:O223)</f>
        <v>0</v>
      </c>
      <c r="M40" s="126">
        <f>+L40-K40</f>
        <v>-1422737</v>
      </c>
    </row>
    <row r="41" spans="1:13" x14ac:dyDescent="0.2">
      <c r="A41" s="122"/>
      <c r="B41" s="202" t="s">
        <v>146</v>
      </c>
      <c r="C41" s="124" t="e">
        <f>+#REF!</f>
        <v>#REF!</v>
      </c>
      <c r="D41" s="125"/>
      <c r="E41" s="126" t="e">
        <f>+D41-C41</f>
        <v>#REF!</v>
      </c>
      <c r="F41" s="146"/>
      <c r="G41" s="124" t="e">
        <f>+#REF!</f>
        <v>#REF!</v>
      </c>
      <c r="H41" s="125"/>
      <c r="I41" s="126" t="e">
        <f>+H41-G41</f>
        <v>#REF!</v>
      </c>
      <c r="J41" s="146"/>
      <c r="K41" s="124"/>
      <c r="L41" s="125">
        <f>+'FY15 Current Forecast'!O306</f>
        <v>0</v>
      </c>
      <c r="M41" s="126">
        <f>+L41-K41</f>
        <v>0</v>
      </c>
    </row>
    <row r="42" spans="1:13" ht="15.75" thickBot="1" x14ac:dyDescent="0.3">
      <c r="A42" s="129"/>
      <c r="B42" s="94" t="s">
        <v>122</v>
      </c>
      <c r="C42" s="95" t="e">
        <f>SUM(C39:C41)</f>
        <v>#REF!</v>
      </c>
      <c r="D42" s="96">
        <f>SUM(D39:D41)</f>
        <v>147279</v>
      </c>
      <c r="E42" s="97" t="e">
        <f>SUM(E39:E41)</f>
        <v>#REF!</v>
      </c>
      <c r="F42" s="151"/>
      <c r="G42" s="95" t="e">
        <f>SUM(G39:G41)</f>
        <v>#REF!</v>
      </c>
      <c r="H42" s="96">
        <f>SUM(H39:H41)</f>
        <v>957316</v>
      </c>
      <c r="I42" s="97" t="e">
        <f>SUM(I39:I41)</f>
        <v>#REF!</v>
      </c>
      <c r="J42" s="151"/>
      <c r="K42" s="95">
        <f>SUM(K39:K41)</f>
        <v>1914633</v>
      </c>
      <c r="L42" s="96">
        <f>SUM(L39:L41)</f>
        <v>0</v>
      </c>
      <c r="M42" s="97">
        <f>SUM(M39:M41)</f>
        <v>-1914633</v>
      </c>
    </row>
    <row r="43" spans="1:13" ht="15" thickBot="1" x14ac:dyDescent="0.25">
      <c r="A43" s="75"/>
      <c r="B43" s="43"/>
      <c r="C43" s="76"/>
      <c r="D43" s="77"/>
      <c r="E43" s="56"/>
      <c r="F43" s="146"/>
      <c r="G43" s="76"/>
      <c r="H43" s="77"/>
      <c r="I43" s="56"/>
      <c r="J43" s="146"/>
      <c r="K43" s="76"/>
      <c r="L43" s="77"/>
      <c r="M43" s="56"/>
    </row>
    <row r="44" spans="1:13" ht="15" x14ac:dyDescent="0.25">
      <c r="A44" s="130" t="s">
        <v>156</v>
      </c>
      <c r="B44" s="131" t="s">
        <v>110</v>
      </c>
      <c r="C44" s="132" t="e">
        <f>SUM(#REF!)-C46</f>
        <v>#REF!</v>
      </c>
      <c r="D44" s="133" t="str">
        <f>+'FY15 Budget'!H292</f>
        <v xml:space="preserve">0 </v>
      </c>
      <c r="E44" s="134" t="e">
        <f>+D44-C44</f>
        <v>#REF!</v>
      </c>
      <c r="F44" s="146"/>
      <c r="G44" s="132" t="e">
        <f>SUM(#REF!)-G46</f>
        <v>#REF!</v>
      </c>
      <c r="H44" s="133">
        <f>+'FY15 Budget'!C292+'FY15 Budget'!D292+'FY15 Budget'!E292+'FY15 Budget'!F292+'FY15 Budget'!G292+'FY15 Budget'!H292</f>
        <v>0</v>
      </c>
      <c r="I44" s="134" t="e">
        <f>+H44-G44</f>
        <v>#REF!</v>
      </c>
      <c r="J44" s="146"/>
      <c r="K44" s="132" t="str">
        <f>+'FY15 Budget'!O292</f>
        <v xml:space="preserve">0 </v>
      </c>
      <c r="L44" s="133">
        <f>+'FY15 Current Forecast'!O312+'FY15 Current Forecast'!O227+'FY15 Current Forecast'!O313+'FY15 Current Forecast'!O315</f>
        <v>0</v>
      </c>
      <c r="M44" s="134">
        <f>+L44-K44</f>
        <v>0</v>
      </c>
    </row>
    <row r="45" spans="1:13" ht="15" x14ac:dyDescent="0.25">
      <c r="A45" s="189"/>
      <c r="B45" s="204" t="s">
        <v>146</v>
      </c>
      <c r="C45" s="195" t="e">
        <f>+#REF!+#REF!-#REF!+#REF!+#REF!</f>
        <v>#REF!</v>
      </c>
      <c r="D45" s="196">
        <f>+'FY15 Budget'!H281</f>
        <v>229621.26351320001</v>
      </c>
      <c r="E45" s="197" t="e">
        <f>+D45-C45</f>
        <v>#REF!</v>
      </c>
      <c r="F45" s="146"/>
      <c r="G45" s="195" t="e">
        <f>+#REF!+#REF!-#REF!+#REF!+#REF!</f>
        <v>#REF!</v>
      </c>
      <c r="H45" s="196">
        <f>+'FY15 Budget'!C281+'FY15 Budget'!D281+'FY15 Budget'!E281+'FY15 Budget'!F281+'FY15 Budget'!G281+'FY15 Budget'!H281</f>
        <v>1492537.28</v>
      </c>
      <c r="I45" s="197" t="e">
        <f>+H45-G45</f>
        <v>#REF!</v>
      </c>
      <c r="J45" s="146"/>
      <c r="K45" s="195">
        <f>+'FY15 Budget'!O281</f>
        <v>2985074.56</v>
      </c>
      <c r="L45" s="196">
        <f>+'FY15 Current Forecast'!O305-'FY15 Current Forecast'!O306</f>
        <v>0</v>
      </c>
      <c r="M45" s="197">
        <f>+L45-K45</f>
        <v>-2985074.56</v>
      </c>
    </row>
    <row r="46" spans="1:13" ht="15" hidden="1" thickBot="1" x14ac:dyDescent="0.25">
      <c r="A46" s="135"/>
      <c r="B46" s="136" t="s">
        <v>124</v>
      </c>
      <c r="C46" s="144">
        <v>0</v>
      </c>
      <c r="D46" s="139"/>
      <c r="E46" s="145">
        <f>+D46-C46</f>
        <v>0</v>
      </c>
      <c r="F46" s="146"/>
      <c r="G46" s="144">
        <f>+C46</f>
        <v>0</v>
      </c>
      <c r="H46" s="139"/>
      <c r="I46" s="145">
        <f>+H46-G46</f>
        <v>0</v>
      </c>
      <c r="J46" s="146"/>
      <c r="K46" s="144"/>
      <c r="L46" s="139"/>
      <c r="M46" s="145">
        <f>+L46-K46</f>
        <v>0</v>
      </c>
    </row>
    <row r="47" spans="1:13" ht="15.75" thickBot="1" x14ac:dyDescent="0.3">
      <c r="A47" s="137"/>
      <c r="B47" s="138" t="s">
        <v>123</v>
      </c>
      <c r="C47" s="141" t="e">
        <f>SUM(C44:C46)</f>
        <v>#REF!</v>
      </c>
      <c r="D47" s="142">
        <f>SUM(D44:D46)</f>
        <v>229621.26351320001</v>
      </c>
      <c r="E47" s="143" t="e">
        <f>SUM(E44:E46)</f>
        <v>#REF!</v>
      </c>
      <c r="F47" s="146"/>
      <c r="G47" s="141" t="e">
        <f>SUM(G44:G46)</f>
        <v>#REF!</v>
      </c>
      <c r="H47" s="142">
        <f>SUM(H44:H46)</f>
        <v>1492537.28</v>
      </c>
      <c r="I47" s="143" t="e">
        <f>SUM(I44:I46)</f>
        <v>#REF!</v>
      </c>
      <c r="J47" s="146"/>
      <c r="K47" s="141">
        <f>SUM(K44:K46)</f>
        <v>2985074.56</v>
      </c>
      <c r="L47" s="142">
        <f>SUM(L44:L46)</f>
        <v>0</v>
      </c>
      <c r="M47" s="143">
        <f>SUM(M44:M46)</f>
        <v>-2985074.56</v>
      </c>
    </row>
    <row r="48" spans="1:13" ht="15" thickBot="1" x14ac:dyDescent="0.25">
      <c r="A48" s="43"/>
      <c r="B48" s="43"/>
      <c r="C48" s="76"/>
      <c r="D48" s="77"/>
      <c r="E48" s="56"/>
      <c r="F48" s="146"/>
      <c r="G48" s="76"/>
      <c r="H48" s="77"/>
      <c r="I48" s="56"/>
      <c r="J48" s="146"/>
      <c r="K48" s="76"/>
      <c r="L48" s="77"/>
      <c r="M48" s="56"/>
    </row>
    <row r="49" spans="1:13" ht="15.75" thickBot="1" x14ac:dyDescent="0.3">
      <c r="A49" s="98"/>
      <c r="B49" s="99" t="s">
        <v>157</v>
      </c>
      <c r="C49" s="100" t="e">
        <f>SUM(C47,C42,C37,C33)</f>
        <v>#REF!</v>
      </c>
      <c r="D49" s="101">
        <f>SUM(D47,D42,D37,D33)</f>
        <v>1111044.95355761</v>
      </c>
      <c r="E49" s="102" t="e">
        <f>SUM(E47,E42,E37,E33)</f>
        <v>#REF!</v>
      </c>
      <c r="F49" s="146"/>
      <c r="G49" s="100" t="e">
        <f>SUM(G47,G42,G37,G33)</f>
        <v>#REF!</v>
      </c>
      <c r="H49" s="101">
        <f>SUM(H47,H42,H37,H33)</f>
        <v>7216465.5651742071</v>
      </c>
      <c r="I49" s="102" t="e">
        <f>SUM(I47,I42,I37,I33)</f>
        <v>#REF!</v>
      </c>
      <c r="J49" s="146"/>
      <c r="K49" s="100">
        <f>SUM(K47,K42,K37,K33)</f>
        <v>14379564.862506058</v>
      </c>
      <c r="L49" s="101" t="e">
        <f>SUM(L47,L42,L37,L33)</f>
        <v>#REF!</v>
      </c>
      <c r="M49" s="102" t="e">
        <f>SUM(M47,M42,M37,M33)</f>
        <v>#REF!</v>
      </c>
    </row>
    <row r="50" spans="1:13" ht="15" x14ac:dyDescent="0.25">
      <c r="A50" s="228"/>
      <c r="B50" s="229"/>
      <c r="C50" s="230"/>
      <c r="D50" s="231"/>
      <c r="E50" s="232"/>
      <c r="F50" s="146"/>
      <c r="G50" s="230"/>
      <c r="H50" s="231"/>
      <c r="I50" s="232"/>
      <c r="J50" s="146"/>
      <c r="K50" s="230"/>
      <c r="L50" s="231"/>
      <c r="M50" s="232"/>
    </row>
    <row r="51" spans="1:13" ht="18.75" thickBot="1" x14ac:dyDescent="0.3">
      <c r="A51" s="185" t="s">
        <v>213</v>
      </c>
      <c r="B51" s="43"/>
      <c r="C51" s="103"/>
      <c r="D51" s="104"/>
      <c r="E51" s="56"/>
      <c r="F51" s="146"/>
      <c r="G51" s="103"/>
      <c r="H51" s="104"/>
      <c r="I51" s="56"/>
      <c r="J51" s="146"/>
      <c r="K51" s="103"/>
      <c r="L51" s="104"/>
      <c r="M51" s="56"/>
    </row>
    <row r="52" spans="1:13" ht="15" x14ac:dyDescent="0.25">
      <c r="A52" s="233"/>
      <c r="B52" s="234" t="s">
        <v>214</v>
      </c>
      <c r="C52" s="235" t="e">
        <f>+#REF!</f>
        <v>#REF!</v>
      </c>
      <c r="D52" s="236" t="str">
        <f>+'FY15 Budget'!H209</f>
        <v xml:space="preserve">0 </v>
      </c>
      <c r="E52" s="237" t="e">
        <f>+D52-C52</f>
        <v>#REF!</v>
      </c>
      <c r="F52" s="146"/>
      <c r="G52" s="235" t="e">
        <f>+#REF!</f>
        <v>#REF!</v>
      </c>
      <c r="H52" s="236">
        <f>+'FY15 Budget'!D209+'FY15 Budget'!E209+'FY15 Budget'!E209+'FY15 Budget'!F209+'FY15 Budget'!G209+'FY15 Budget'!H209</f>
        <v>0</v>
      </c>
      <c r="I52" s="237" t="e">
        <f>+H52-G52</f>
        <v>#REF!</v>
      </c>
      <c r="J52" s="146"/>
      <c r="K52" s="235">
        <f>+'FY15 Budget'!O209</f>
        <v>0</v>
      </c>
      <c r="L52" s="259">
        <f>+'FY15 Current Forecast'!O232</f>
        <v>0</v>
      </c>
      <c r="M52" s="237">
        <f>+L52-K52</f>
        <v>0</v>
      </c>
    </row>
    <row r="53" spans="1:13" ht="15" x14ac:dyDescent="0.25">
      <c r="A53" s="238"/>
      <c r="B53" s="258" t="s">
        <v>217</v>
      </c>
      <c r="C53" s="239" t="e">
        <f>+#REF!</f>
        <v>#REF!</v>
      </c>
      <c r="D53" s="240" t="str">
        <f>+'FY15 Budget'!H210</f>
        <v xml:space="preserve">0 </v>
      </c>
      <c r="E53" s="241" t="e">
        <f>+D53-C53</f>
        <v>#REF!</v>
      </c>
      <c r="F53" s="146"/>
      <c r="G53" s="239" t="e">
        <f>+#REF!</f>
        <v>#REF!</v>
      </c>
      <c r="H53" s="240">
        <f>+'FY15 Budget'!C210+'FY15 Budget'!D210+'FY15 Budget'!E210+'FY15 Budget'!F210+'FY15 Budget'!G210+'FY15 Budget'!H210</f>
        <v>0</v>
      </c>
      <c r="I53" s="241" t="e">
        <f>+H53-G53</f>
        <v>#REF!</v>
      </c>
      <c r="J53" s="146"/>
      <c r="K53" s="239">
        <f>+'FY15 Budget'!O210</f>
        <v>0</v>
      </c>
      <c r="L53" s="240">
        <f>+'FY15 Current Forecast'!O233</f>
        <v>0</v>
      </c>
      <c r="M53" s="241">
        <f>+L53-K53</f>
        <v>0</v>
      </c>
    </row>
    <row r="54" spans="1:13" ht="15" x14ac:dyDescent="0.25">
      <c r="A54" s="242"/>
      <c r="B54" s="258" t="s">
        <v>222</v>
      </c>
      <c r="C54" s="247" t="e">
        <f>+#REF!+#REF!</f>
        <v>#REF!</v>
      </c>
      <c r="D54" s="248">
        <f>+'FY15 Budget'!H208+'FY15 Budget'!H209</f>
        <v>0</v>
      </c>
      <c r="E54" s="249"/>
      <c r="F54" s="151"/>
      <c r="G54" s="247" t="e">
        <f>+#REF!+#REF!</f>
        <v>#REF!</v>
      </c>
      <c r="H54" s="248">
        <f>+'FY15 Budget'!C209+'FY15 Budget'!D209+'FY15 Budget'!E209+'FY15 Budget'!F209+'FY15 Budget'!G209+'FY15 Budget'!H209+'FY15 Budget'!C208+'FY15 Budget'!D208+'FY15 Budget'!E208+'FY15 Budget'!F208+'FY15 Budget'!G208+'FY15 Budget'!H208</f>
        <v>0</v>
      </c>
      <c r="I54" s="249"/>
      <c r="J54" s="151"/>
      <c r="K54" s="247">
        <f>+'FY15 Budget'!O207+'FY15 Budget'!O208</f>
        <v>0</v>
      </c>
      <c r="L54" s="248">
        <f>+'FY15 Current Forecast'!O230+'FY15 Current Forecast'!O231</f>
        <v>0</v>
      </c>
      <c r="M54" s="249"/>
    </row>
    <row r="55" spans="1:13" ht="15.75" thickBot="1" x14ac:dyDescent="0.3">
      <c r="A55" s="242"/>
      <c r="B55" s="243" t="s">
        <v>215</v>
      </c>
      <c r="C55" s="244" t="e">
        <f>SUM(C52:C54)</f>
        <v>#REF!</v>
      </c>
      <c r="D55" s="245">
        <f>SUM(D52:D54)</f>
        <v>0</v>
      </c>
      <c r="E55" s="246" t="e">
        <f>SUM(E52:E54)</f>
        <v>#REF!</v>
      </c>
      <c r="F55" s="146"/>
      <c r="G55" s="244" t="e">
        <f>SUM(G52:G54)</f>
        <v>#REF!</v>
      </c>
      <c r="H55" s="245">
        <f>SUM(H52:H54)</f>
        <v>0</v>
      </c>
      <c r="I55" s="246" t="e">
        <f>SUM(I52:I54)</f>
        <v>#REF!</v>
      </c>
      <c r="J55" s="146"/>
      <c r="K55" s="244">
        <f>SUM(K52:K54)</f>
        <v>0</v>
      </c>
      <c r="L55" s="245">
        <f>SUM(L52:L54)</f>
        <v>0</v>
      </c>
      <c r="M55" s="246">
        <f>SUM(M52:M54)</f>
        <v>0</v>
      </c>
    </row>
    <row r="56" spans="1:13" ht="15" thickBot="1" x14ac:dyDescent="0.25">
      <c r="A56" s="75"/>
      <c r="B56" s="45"/>
      <c r="C56" s="178"/>
      <c r="D56" s="179"/>
      <c r="E56" s="180"/>
      <c r="F56" s="146"/>
      <c r="G56" s="178"/>
      <c r="H56" s="179"/>
      <c r="I56" s="180"/>
      <c r="J56" s="146"/>
      <c r="K56" s="178"/>
      <c r="L56" s="179"/>
      <c r="M56" s="180"/>
    </row>
    <row r="57" spans="1:13" ht="15.75" thickBot="1" x14ac:dyDescent="0.3">
      <c r="A57" s="98"/>
      <c r="B57" s="99" t="s">
        <v>158</v>
      </c>
      <c r="C57" s="100" t="e">
        <f>+C49+C22+C55</f>
        <v>#REF!</v>
      </c>
      <c r="D57" s="101">
        <f>+D49+D22+D55</f>
        <v>1257428.820487092</v>
      </c>
      <c r="E57" s="102" t="e">
        <f>+E49+E22+E55</f>
        <v>#REF!</v>
      </c>
      <c r="F57" s="146"/>
      <c r="G57" s="100" t="e">
        <f>+G49+G22+G55</f>
        <v>#REF!</v>
      </c>
      <c r="H57" s="101">
        <f>+H49+H22+H55</f>
        <v>8152248.3456388135</v>
      </c>
      <c r="I57" s="102" t="e">
        <f>+I49+I22+I55</f>
        <v>#REF!</v>
      </c>
      <c r="J57" s="146"/>
      <c r="K57" s="100">
        <f>+K49+K22+K55</f>
        <v>16254817.828698225</v>
      </c>
      <c r="L57" s="101" t="e">
        <f>+L49+L22+L55</f>
        <v>#REF!</v>
      </c>
      <c r="M57" s="102" t="e">
        <f>+M49+M22+M55</f>
        <v>#REF!</v>
      </c>
    </row>
    <row r="58" spans="1:13" x14ac:dyDescent="0.2">
      <c r="A58" s="75"/>
      <c r="B58" s="45"/>
      <c r="C58" s="140"/>
      <c r="D58" s="45"/>
      <c r="E58" s="45"/>
      <c r="F58" s="146"/>
      <c r="G58" s="45"/>
      <c r="H58" s="45"/>
      <c r="I58" s="45"/>
      <c r="J58" s="146"/>
      <c r="K58" s="45"/>
      <c r="L58" s="140"/>
      <c r="M58" s="45"/>
    </row>
    <row r="59" spans="1:13" s="205" customFormat="1" x14ac:dyDescent="0.2">
      <c r="B59" s="250" t="s">
        <v>196</v>
      </c>
      <c r="C59" s="251">
        <v>3247692</v>
      </c>
      <c r="D59" s="251">
        <v>3272630</v>
      </c>
      <c r="E59" s="252"/>
      <c r="F59" s="250"/>
      <c r="G59" s="251">
        <v>20604189</v>
      </c>
      <c r="H59" s="251">
        <v>20964178</v>
      </c>
      <c r="I59" s="250"/>
      <c r="J59" s="250"/>
      <c r="K59" s="251">
        <v>42354674</v>
      </c>
      <c r="L59" s="251">
        <v>41206542</v>
      </c>
      <c r="M59" s="217"/>
    </row>
    <row r="60" spans="1:13" s="205" customFormat="1" x14ac:dyDescent="0.2">
      <c r="B60" s="250" t="s">
        <v>197</v>
      </c>
      <c r="C60" s="253" t="e">
        <f>+C57-C59</f>
        <v>#REF!</v>
      </c>
      <c r="D60" s="253">
        <f>+D57-D59</f>
        <v>-2015201.179512908</v>
      </c>
      <c r="E60" s="254"/>
      <c r="F60" s="254"/>
      <c r="G60" s="253" t="e">
        <f>+G57-G59</f>
        <v>#REF!</v>
      </c>
      <c r="H60" s="253">
        <f>+H57-H59</f>
        <v>-12811929.654361187</v>
      </c>
      <c r="I60" s="255"/>
      <c r="J60" s="255"/>
      <c r="K60" s="253">
        <f>+K57-K59</f>
        <v>-26099856.171301775</v>
      </c>
      <c r="L60" s="253" t="e">
        <f>+L57-L59</f>
        <v>#REF!</v>
      </c>
    </row>
    <row r="61" spans="1:13" x14ac:dyDescent="0.2">
      <c r="B61" s="45"/>
      <c r="C61" s="198"/>
      <c r="L61" s="199"/>
    </row>
    <row r="62" spans="1:13" x14ac:dyDescent="0.2">
      <c r="B62" s="45"/>
      <c r="C62" s="198"/>
      <c r="D62" s="198"/>
      <c r="G62" s="198"/>
      <c r="H62" s="198"/>
      <c r="K62" s="198"/>
      <c r="L62" s="198"/>
    </row>
    <row r="64" spans="1:13" x14ac:dyDescent="0.2">
      <c r="L64" s="198"/>
    </row>
    <row r="65" spans="3:12" x14ac:dyDescent="0.2">
      <c r="C65" s="198"/>
      <c r="L65" s="198"/>
    </row>
    <row r="68" spans="3:12" x14ac:dyDescent="0.2">
      <c r="L68" s="198"/>
    </row>
  </sheetData>
  <mergeCells count="3">
    <mergeCell ref="C2:E2"/>
    <mergeCell ref="G2:I2"/>
    <mergeCell ref="K2:M2"/>
  </mergeCells>
  <pageMargins left="0.7" right="0.2" top="0.2" bottom="0.2" header="0.05" footer="0.05"/>
  <pageSetup scale="6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82"/>
  <sheetViews>
    <sheetView topLeftCell="A43" workbookViewId="0">
      <selection activeCell="D66" sqref="D66"/>
    </sheetView>
  </sheetViews>
  <sheetFormatPr defaultRowHeight="14.25" x14ac:dyDescent="0.2"/>
  <cols>
    <col min="1" max="1" width="10" style="45" customWidth="1"/>
    <col min="2" max="2" width="27.875" style="45" bestFit="1" customWidth="1"/>
    <col min="3" max="4" width="12.125" style="45" bestFit="1" customWidth="1"/>
    <col min="5" max="5" width="10.75" style="45" bestFit="1" customWidth="1"/>
    <col min="6" max="6" width="0.75" style="153" customWidth="1"/>
    <col min="7" max="8" width="12.125" style="45" bestFit="1" customWidth="1"/>
    <col min="9" max="9" width="10.75" style="45" bestFit="1" customWidth="1"/>
    <col min="10" max="10" width="0.75" style="153" customWidth="1"/>
    <col min="11" max="12" width="13.75" style="45" bestFit="1" customWidth="1"/>
    <col min="13" max="13" width="10.75" style="45" bestFit="1" customWidth="1"/>
    <col min="14" max="16384" width="9" style="45"/>
  </cols>
  <sheetData>
    <row r="1" spans="1:13" ht="18.75" thickBot="1" x14ac:dyDescent="0.3">
      <c r="A1" s="188" t="s">
        <v>182</v>
      </c>
      <c r="B1" s="187"/>
      <c r="C1" s="43"/>
      <c r="D1" s="43"/>
      <c r="E1" s="43"/>
      <c r="F1" s="146"/>
      <c r="G1" s="43"/>
      <c r="H1" s="43"/>
      <c r="I1" s="43"/>
      <c r="J1" s="146"/>
      <c r="K1" s="43"/>
      <c r="L1" s="43"/>
      <c r="M1" s="43"/>
    </row>
    <row r="2" spans="1:13" ht="15.75" x14ac:dyDescent="0.25">
      <c r="A2" s="43"/>
      <c r="B2" s="188" t="s">
        <v>172</v>
      </c>
      <c r="C2" s="379" t="s">
        <v>4</v>
      </c>
      <c r="D2" s="380"/>
      <c r="E2" s="381"/>
      <c r="F2" s="146"/>
      <c r="G2" s="379" t="s">
        <v>97</v>
      </c>
      <c r="H2" s="380"/>
      <c r="I2" s="381"/>
      <c r="J2" s="146"/>
      <c r="K2" s="379" t="s">
        <v>178</v>
      </c>
      <c r="L2" s="380"/>
      <c r="M2" s="381"/>
    </row>
    <row r="3" spans="1:13" ht="30" x14ac:dyDescent="0.25">
      <c r="A3" s="43"/>
      <c r="B3" s="43"/>
      <c r="C3" s="46" t="s">
        <v>96</v>
      </c>
      <c r="D3" s="47" t="s">
        <v>95</v>
      </c>
      <c r="E3" s="48" t="s">
        <v>99</v>
      </c>
      <c r="F3" s="146"/>
      <c r="G3" s="46" t="s">
        <v>96</v>
      </c>
      <c r="H3" s="51" t="s">
        <v>95</v>
      </c>
      <c r="I3" s="49" t="s">
        <v>98</v>
      </c>
      <c r="J3" s="146"/>
      <c r="K3" s="50" t="s">
        <v>95</v>
      </c>
      <c r="L3" s="181" t="s">
        <v>177</v>
      </c>
      <c r="M3" s="49" t="s">
        <v>98</v>
      </c>
    </row>
    <row r="4" spans="1:13" ht="15" x14ac:dyDescent="0.25">
      <c r="A4" s="43"/>
      <c r="B4" s="43"/>
      <c r="C4" s="46"/>
      <c r="D4" s="47"/>
      <c r="E4" s="48"/>
      <c r="F4" s="146"/>
      <c r="G4" s="46"/>
      <c r="H4" s="47"/>
      <c r="I4" s="49"/>
      <c r="J4" s="146"/>
      <c r="K4" s="46"/>
      <c r="L4" s="47"/>
      <c r="M4" s="49"/>
    </row>
    <row r="5" spans="1:13" ht="15.75" x14ac:dyDescent="0.25">
      <c r="A5" s="186" t="s">
        <v>104</v>
      </c>
      <c r="B5" s="43"/>
      <c r="C5" s="50"/>
      <c r="D5" s="51"/>
      <c r="E5" s="52"/>
      <c r="F5" s="146"/>
      <c r="G5" s="50"/>
      <c r="H5" s="51"/>
      <c r="I5" s="52"/>
      <c r="J5" s="146"/>
      <c r="K5" s="50"/>
      <c r="L5" s="51"/>
      <c r="M5" s="52"/>
    </row>
    <row r="6" spans="1:13" ht="15" x14ac:dyDescent="0.25">
      <c r="A6" s="53"/>
      <c r="B6" s="43" t="s">
        <v>100</v>
      </c>
      <c r="C6" s="193">
        <v>109570356.31999998</v>
      </c>
      <c r="D6" s="193">
        <v>118929779.52239695</v>
      </c>
      <c r="E6" s="154">
        <f>+D6-C6</f>
        <v>9359423.202396974</v>
      </c>
      <c r="F6" s="146"/>
      <c r="G6" s="193">
        <v>463229649.74999994</v>
      </c>
      <c r="H6" s="193">
        <v>468899875.81499326</v>
      </c>
      <c r="I6" s="154">
        <f>+H6-G6</f>
        <v>5670226.0649933219</v>
      </c>
      <c r="J6" s="146"/>
      <c r="K6" s="54"/>
      <c r="L6" s="55"/>
      <c r="M6" s="154">
        <f>+L6-K6</f>
        <v>0</v>
      </c>
    </row>
    <row r="7" spans="1:13" ht="18.75" thickBot="1" x14ac:dyDescent="0.3">
      <c r="A7" s="185" t="s">
        <v>136</v>
      </c>
      <c r="B7" s="43"/>
      <c r="C7" s="50"/>
      <c r="D7" s="51"/>
      <c r="E7" s="52"/>
      <c r="F7" s="146"/>
      <c r="G7" s="50"/>
      <c r="H7" s="51"/>
      <c r="I7" s="52"/>
      <c r="J7" s="146"/>
      <c r="K7" s="50"/>
      <c r="L7" s="51"/>
      <c r="M7" s="52"/>
    </row>
    <row r="8" spans="1:13" ht="15" x14ac:dyDescent="0.25">
      <c r="A8" s="57" t="s">
        <v>137</v>
      </c>
      <c r="B8" s="58" t="s">
        <v>114</v>
      </c>
      <c r="C8" s="59" t="e">
        <f>#REF!</f>
        <v>#REF!</v>
      </c>
      <c r="D8" s="162"/>
      <c r="E8" s="60" t="e">
        <f>+D8-C8</f>
        <v>#REF!</v>
      </c>
      <c r="F8" s="146"/>
      <c r="G8" s="59" t="e">
        <f>#REF!</f>
        <v>#REF!</v>
      </c>
      <c r="H8" s="162"/>
      <c r="I8" s="60" t="e">
        <f>+H8-G8</f>
        <v>#REF!</v>
      </c>
      <c r="J8" s="146"/>
      <c r="K8" s="59">
        <v>0</v>
      </c>
      <c r="L8" s="162"/>
      <c r="M8" s="60">
        <f>+L8-K8</f>
        <v>0</v>
      </c>
    </row>
    <row r="9" spans="1:13" x14ac:dyDescent="0.2">
      <c r="A9" s="61"/>
      <c r="B9" s="62" t="s">
        <v>115</v>
      </c>
      <c r="C9" s="63"/>
      <c r="D9" s="160"/>
      <c r="E9" s="64">
        <f t="shared" ref="E9:E15" si="0">+D9-C9</f>
        <v>0</v>
      </c>
      <c r="F9" s="146"/>
      <c r="G9" s="63"/>
      <c r="H9" s="160"/>
      <c r="I9" s="64">
        <f t="shared" ref="I9:I15" si="1">+H9-G9</f>
        <v>0</v>
      </c>
      <c r="J9" s="146"/>
      <c r="K9" s="63"/>
      <c r="L9" s="160"/>
      <c r="M9" s="64">
        <f>+L9-K9</f>
        <v>0</v>
      </c>
    </row>
    <row r="10" spans="1:13" x14ac:dyDescent="0.2">
      <c r="A10" s="65"/>
      <c r="B10" s="62" t="s">
        <v>132</v>
      </c>
      <c r="C10" s="66"/>
      <c r="D10" s="106"/>
      <c r="E10" s="64">
        <f t="shared" si="0"/>
        <v>0</v>
      </c>
      <c r="F10" s="147"/>
      <c r="G10" s="66"/>
      <c r="H10" s="106"/>
      <c r="I10" s="64">
        <f t="shared" si="1"/>
        <v>0</v>
      </c>
      <c r="J10" s="147"/>
      <c r="K10" s="66"/>
      <c r="L10" s="106"/>
      <c r="M10" s="64">
        <f>+L10-K10</f>
        <v>0</v>
      </c>
    </row>
    <row r="11" spans="1:13" x14ac:dyDescent="0.2">
      <c r="A11" s="65"/>
      <c r="B11" s="62" t="s">
        <v>149</v>
      </c>
      <c r="C11" s="67" t="e">
        <f>+#REF!+#REF!+#REF!+#REF!</f>
        <v>#REF!</v>
      </c>
      <c r="D11" s="106"/>
      <c r="E11" s="64"/>
      <c r="F11" s="147"/>
      <c r="G11" s="67" t="e">
        <f>+#REF!+#REF!+#REF!+#REF!</f>
        <v>#REF!</v>
      </c>
      <c r="H11" s="106"/>
      <c r="I11" s="64"/>
      <c r="J11" s="147"/>
      <c r="K11" s="67">
        <v>0</v>
      </c>
      <c r="L11" s="161">
        <f>+'FY15 Current Forecast'!O56+'FY15 Current Forecast'!O59</f>
        <v>0</v>
      </c>
      <c r="M11" s="64"/>
    </row>
    <row r="12" spans="1:13" x14ac:dyDescent="0.2">
      <c r="A12" s="61"/>
      <c r="B12" s="62" t="s">
        <v>138</v>
      </c>
      <c r="C12" s="67" t="e">
        <f>#REF!</f>
        <v>#REF!</v>
      </c>
      <c r="D12" s="159">
        <f>+'FY15 Budget'!F51+'FY15 Budget'!F52+'FY15 Budget'!F55+'FY15 Budget'!F57</f>
        <v>111832.1671269301</v>
      </c>
      <c r="E12" s="64" t="e">
        <f t="shared" si="0"/>
        <v>#REF!</v>
      </c>
      <c r="F12" s="146"/>
      <c r="G12" s="67" t="e">
        <f>#REF!</f>
        <v>#REF!</v>
      </c>
      <c r="H12" s="159">
        <f>+'FY15 Budget'!C51+'FY15 Budget'!C52+'FY15 Budget'!C55+'FY15 Budget'!C57+'FY15 Budget'!D51+'FY15 Budget'!D52+'FY15 Budget'!D55+'FY15 Budget'!D57+'FY15 Budget'!E51+'FY15 Budget'!E52+'FY15 Budget'!E55+'FY15 Budget'!E57+'FY15 Budget'!F51+'FY15 Budget'!F52+'FY15 Budget'!F55+'FY15 Budget'!F57</f>
        <v>475286.71028945287</v>
      </c>
      <c r="I12" s="64" t="e">
        <f t="shared" si="1"/>
        <v>#REF!</v>
      </c>
      <c r="J12" s="146"/>
      <c r="K12" s="67">
        <f>+'FY15 Budget'!O51+'FY15 Budget'!O52+'FY15 Budget'!O55+'FY15 Budget'!O57</f>
        <v>1453818.1726500911</v>
      </c>
      <c r="L12" s="159">
        <f>+'FY15 Current Forecast'!O50+'FY15 Current Forecast'!O51+'FY15 Current Forecast'!O53+'FY15 Current Forecast'!O55</f>
        <v>0</v>
      </c>
      <c r="M12" s="64">
        <f>+L12-K12</f>
        <v>-1453818.1726500911</v>
      </c>
    </row>
    <row r="13" spans="1:13" x14ac:dyDescent="0.2">
      <c r="A13" s="61"/>
      <c r="B13" s="62" t="s">
        <v>139</v>
      </c>
      <c r="C13" s="67" t="e">
        <f>+#REF!</f>
        <v>#REF!</v>
      </c>
      <c r="D13" s="159" t="str">
        <f>+'FY15 Budget'!F50</f>
        <v xml:space="preserve">0 </v>
      </c>
      <c r="E13" s="64" t="e">
        <f t="shared" si="0"/>
        <v>#REF!</v>
      </c>
      <c r="F13" s="146"/>
      <c r="G13" s="67" t="e">
        <f>#REF!</f>
        <v>#REF!</v>
      </c>
      <c r="H13" s="159">
        <f>+'FY15 Budget'!C50+'FY15 Budget'!D50+'FY15 Budget'!E50+'FY15 Budget'!F50</f>
        <v>0</v>
      </c>
      <c r="I13" s="64" t="e">
        <f t="shared" si="1"/>
        <v>#REF!</v>
      </c>
      <c r="J13" s="146"/>
      <c r="K13" s="67">
        <f>+'FY15 Budget'!O50</f>
        <v>0</v>
      </c>
      <c r="L13" s="159">
        <f>+'FY15 Current Forecast'!O49</f>
        <v>0</v>
      </c>
      <c r="M13" s="64">
        <f>+L13-K13</f>
        <v>0</v>
      </c>
    </row>
    <row r="14" spans="1:13" x14ac:dyDescent="0.2">
      <c r="A14" s="61"/>
      <c r="B14" s="62" t="s">
        <v>140</v>
      </c>
      <c r="C14" s="67" t="e">
        <f>#REF!</f>
        <v>#REF!</v>
      </c>
      <c r="D14" s="159">
        <f>+'FY15 Budget'!F53</f>
        <v>5425.1694199723524</v>
      </c>
      <c r="E14" s="64" t="e">
        <f t="shared" si="0"/>
        <v>#REF!</v>
      </c>
      <c r="F14" s="146"/>
      <c r="G14" s="67" t="e">
        <f>#REF!</f>
        <v>#REF!</v>
      </c>
      <c r="H14" s="159">
        <f>+'FY15 Budget'!C53+'FY15 Budget'!D53+'FY15 Budget'!E53+'FY15 Budget'!F53</f>
        <v>23056.970034882499</v>
      </c>
      <c r="I14" s="64" t="e">
        <f t="shared" si="1"/>
        <v>#REF!</v>
      </c>
      <c r="J14" s="146"/>
      <c r="K14" s="67">
        <f>+'FY15 Budget'!O53</f>
        <v>70527.202459640583</v>
      </c>
      <c r="L14" s="159">
        <f>+'FY15 Current Forecast'!O52</f>
        <v>0</v>
      </c>
      <c r="M14" s="64">
        <f>+L14-K14</f>
        <v>-70527.202459640583</v>
      </c>
    </row>
    <row r="15" spans="1:13" ht="15" thickBot="1" x14ac:dyDescent="0.25">
      <c r="A15" s="61"/>
      <c r="B15" s="62" t="s">
        <v>112</v>
      </c>
      <c r="C15" s="163" t="e">
        <f>+#REF!</f>
        <v>#REF!</v>
      </c>
      <c r="D15" s="164" t="str">
        <f>+'FY15 Budget'!F59</f>
        <v xml:space="preserve">0 </v>
      </c>
      <c r="E15" s="165" t="e">
        <f t="shared" si="0"/>
        <v>#REF!</v>
      </c>
      <c r="F15" s="146"/>
      <c r="G15" s="68" t="e">
        <f>+#REF!</f>
        <v>#REF!</v>
      </c>
      <c r="H15" s="164">
        <f>+'FY15 Budget'!C59+'FY15 Budget'!D59+'FY15 Budget'!E59+'FY15 Budget'!F59</f>
        <v>0</v>
      </c>
      <c r="I15" s="165" t="e">
        <f t="shared" si="1"/>
        <v>#REF!</v>
      </c>
      <c r="J15" s="146"/>
      <c r="K15" s="163">
        <f>+'FY15 Budget'!O59</f>
        <v>0</v>
      </c>
      <c r="L15" s="164">
        <f>+'FY15 Current Forecast'!O67</f>
        <v>0</v>
      </c>
      <c r="M15" s="165">
        <f>+L15-K15</f>
        <v>0</v>
      </c>
    </row>
    <row r="16" spans="1:13" s="74" customFormat="1" ht="15.75" thickBot="1" x14ac:dyDescent="0.3">
      <c r="A16" s="69"/>
      <c r="B16" s="70" t="s">
        <v>141</v>
      </c>
      <c r="C16" s="155" t="e">
        <f>SUM(C8:C15)</f>
        <v>#REF!</v>
      </c>
      <c r="D16" s="73">
        <f>SUM(D8:D15)</f>
        <v>117257.33654690246</v>
      </c>
      <c r="E16" s="158" t="e">
        <f>SUM(E8:E15)</f>
        <v>#REF!</v>
      </c>
      <c r="F16" s="148"/>
      <c r="G16" s="71" t="e">
        <f>SUM(G8:G15)</f>
        <v>#REF!</v>
      </c>
      <c r="H16" s="73">
        <f>SUM(H8:H15)</f>
        <v>498343.68032433535</v>
      </c>
      <c r="I16" s="158" t="e">
        <f>SUM(I8:I15)</f>
        <v>#REF!</v>
      </c>
      <c r="J16" s="148"/>
      <c r="K16" s="155">
        <f>SUM(K8:K15)</f>
        <v>1524345.3751097317</v>
      </c>
      <c r="L16" s="73">
        <f>SUM(L8:L15)</f>
        <v>0</v>
      </c>
      <c r="M16" s="158">
        <f>SUM(M8:M15)</f>
        <v>-1524345.3751097317</v>
      </c>
    </row>
    <row r="17" spans="1:13" ht="15" thickBot="1" x14ac:dyDescent="0.25">
      <c r="A17" s="75"/>
      <c r="B17" s="43"/>
      <c r="C17" s="76"/>
      <c r="D17" s="77"/>
      <c r="E17" s="56"/>
      <c r="F17" s="146"/>
      <c r="G17" s="76"/>
      <c r="H17" s="77"/>
      <c r="I17" s="56"/>
      <c r="J17" s="146"/>
      <c r="K17" s="76"/>
      <c r="L17" s="77"/>
      <c r="M17" s="56"/>
    </row>
    <row r="18" spans="1:13" ht="15" x14ac:dyDescent="0.25">
      <c r="A18" s="78" t="s">
        <v>142</v>
      </c>
      <c r="B18" s="79" t="s">
        <v>113</v>
      </c>
      <c r="C18" s="80" t="e">
        <f>SUM(#REF!,#REF!)</f>
        <v>#REF!</v>
      </c>
      <c r="D18" s="81">
        <f>+SUM('FY15 Budget'!F8:F49)+'FY15 Budget'!F56</f>
        <v>24662.776164472736</v>
      </c>
      <c r="E18" s="82" t="e">
        <f>+D18-C18</f>
        <v>#REF!</v>
      </c>
      <c r="F18" s="146"/>
      <c r="G18" s="80" t="e">
        <f>SUM(#REF!,#REF!)</f>
        <v>#REF!</v>
      </c>
      <c r="H18" s="81">
        <f>+SUM('FY15 Budget'!C8:C49)+'FY15 Budget'!C56+SUM('FY15 Budget'!D8:D49)+'FY15 Budget'!D56+SUM('FY15 Budget'!E8:E49)+'FY15 Budget'!E56+SUM('FY15 Budget'!F8:F49)+'FY15 Budget'!F56</f>
        <v>98138.307474059373</v>
      </c>
      <c r="I18" s="82" t="e">
        <f>+H18-G18</f>
        <v>#REF!</v>
      </c>
      <c r="J18" s="146"/>
      <c r="K18" s="80">
        <f>+SUM('FY15 Budget'!O8:O49)+'FY15 Budget'!O56</f>
        <v>299030.65121211112</v>
      </c>
      <c r="L18" s="81">
        <f>+SUM('FY15 Current Forecast'!O7:O47)+'FY15 Current Forecast'!O54</f>
        <v>0</v>
      </c>
      <c r="M18" s="82">
        <f>+L18-K18</f>
        <v>-299030.65121211112</v>
      </c>
    </row>
    <row r="19" spans="1:13" s="74" customFormat="1" ht="15.75" thickBot="1" x14ac:dyDescent="0.3">
      <c r="A19" s="83"/>
      <c r="B19" s="84" t="s">
        <v>143</v>
      </c>
      <c r="C19" s="85" t="e">
        <f>SUM(C18:C18)</f>
        <v>#REF!</v>
      </c>
      <c r="D19" s="86">
        <f>SUM(D18:D18)</f>
        <v>24662.776164472736</v>
      </c>
      <c r="E19" s="87" t="e">
        <f>SUM(E18:E18)</f>
        <v>#REF!</v>
      </c>
      <c r="F19" s="148"/>
      <c r="G19" s="85" t="e">
        <f>SUM(G18:G18)</f>
        <v>#REF!</v>
      </c>
      <c r="H19" s="86">
        <f>SUM(H18:H18)</f>
        <v>98138.307474059373</v>
      </c>
      <c r="I19" s="87" t="e">
        <f>SUM(I18:I18)</f>
        <v>#REF!</v>
      </c>
      <c r="J19" s="148"/>
      <c r="K19" s="85">
        <f>SUM(K18:K18)</f>
        <v>299030.65121211112</v>
      </c>
      <c r="L19" s="86">
        <f>SUM(L18:L18)</f>
        <v>0</v>
      </c>
      <c r="M19" s="87">
        <f>SUM(M18:M18)</f>
        <v>-299030.65121211112</v>
      </c>
    </row>
    <row r="20" spans="1:13" ht="15" thickBot="1" x14ac:dyDescent="0.25">
      <c r="A20" s="75"/>
      <c r="B20" s="43"/>
      <c r="C20" s="76"/>
      <c r="D20" s="77"/>
      <c r="E20" s="56"/>
      <c r="F20" s="146"/>
      <c r="G20" s="76"/>
      <c r="H20" s="77"/>
      <c r="I20" s="56"/>
      <c r="J20" s="146"/>
      <c r="K20" s="76"/>
      <c r="L20" s="77"/>
      <c r="M20" s="56"/>
    </row>
    <row r="21" spans="1:13" ht="15" x14ac:dyDescent="0.25">
      <c r="A21" s="88" t="s">
        <v>144</v>
      </c>
      <c r="B21" s="89" t="s">
        <v>102</v>
      </c>
      <c r="C21" s="90" t="e">
        <f>+#REF!+#REF!+#REF!+#REF!+#REF!+#REF!</f>
        <v>#REF!</v>
      </c>
      <c r="D21" s="91">
        <f>+SUM('FY15 Budget'!F191:F196)</f>
        <v>0</v>
      </c>
      <c r="E21" s="92" t="e">
        <f>+D21-C21</f>
        <v>#REF!</v>
      </c>
      <c r="F21" s="146"/>
      <c r="G21" s="90" t="e">
        <f>+#REF!+#REF!+#REF!+#REF!+#REF!++#REF!</f>
        <v>#REF!</v>
      </c>
      <c r="H21" s="91">
        <f>+SUM('FY15 Budget'!C191:C196)+SUM('FY15 Budget'!D191:D196)+SUM('FY15 Budget'!E191:E196)+SUM('FY15 Budget'!F191:F196)</f>
        <v>0</v>
      </c>
      <c r="I21" s="92" t="e">
        <f>+H21-G21</f>
        <v>#REF!</v>
      </c>
      <c r="J21" s="146"/>
      <c r="K21" s="90">
        <f>+SUM('FY15 Budget'!O191:O196)</f>
        <v>0</v>
      </c>
      <c r="L21" s="91">
        <f>+SUM('FY15 Current Forecast'!O209:O213)</f>
        <v>0</v>
      </c>
      <c r="M21" s="92">
        <f>+L21-K21</f>
        <v>0</v>
      </c>
    </row>
    <row r="22" spans="1:13" s="74" customFormat="1" ht="15.75" thickBot="1" x14ac:dyDescent="0.3">
      <c r="A22" s="93"/>
      <c r="B22" s="94" t="s">
        <v>145</v>
      </c>
      <c r="C22" s="95" t="e">
        <f>SUM(C21:C21)</f>
        <v>#REF!</v>
      </c>
      <c r="D22" s="96">
        <f>SUM(D21:D21)</f>
        <v>0</v>
      </c>
      <c r="E22" s="97" t="e">
        <f>SUM(E21:E21)</f>
        <v>#REF!</v>
      </c>
      <c r="F22" s="148"/>
      <c r="G22" s="95" t="e">
        <f>SUM(G21:G21)</f>
        <v>#REF!</v>
      </c>
      <c r="H22" s="96">
        <f>SUM(H21:H21)</f>
        <v>0</v>
      </c>
      <c r="I22" s="97" t="e">
        <f>SUM(I21:I21)</f>
        <v>#REF!</v>
      </c>
      <c r="J22" s="148"/>
      <c r="K22" s="95">
        <f>SUM(K21:K21)</f>
        <v>0</v>
      </c>
      <c r="L22" s="96">
        <f>SUM(L21:L21)</f>
        <v>0</v>
      </c>
      <c r="M22" s="97">
        <f>SUM(M21:M21)</f>
        <v>0</v>
      </c>
    </row>
    <row r="23" spans="1:13" ht="15" thickBot="1" x14ac:dyDescent="0.25">
      <c r="A23" s="43"/>
      <c r="B23" s="43"/>
      <c r="C23" s="76"/>
      <c r="D23" s="77"/>
      <c r="E23" s="56"/>
      <c r="F23" s="146"/>
      <c r="G23" s="76"/>
      <c r="H23" s="77"/>
      <c r="I23" s="56"/>
      <c r="J23" s="146"/>
      <c r="K23" s="76"/>
      <c r="L23" s="77"/>
      <c r="M23" s="56"/>
    </row>
    <row r="24" spans="1:13" ht="15.75" thickBot="1" x14ac:dyDescent="0.3">
      <c r="A24" s="98"/>
      <c r="B24" s="99" t="s">
        <v>121</v>
      </c>
      <c r="C24" s="100" t="e">
        <f>SUM(C16,C19,C22)</f>
        <v>#REF!</v>
      </c>
      <c r="D24" s="101">
        <f>SUM(D16,D19,D22)</f>
        <v>141920.1127113752</v>
      </c>
      <c r="E24" s="102" t="e">
        <f>SUM(E16,E19,E22)</f>
        <v>#REF!</v>
      </c>
      <c r="F24" s="146"/>
      <c r="G24" s="100" t="e">
        <f>SUM(G16,G19,G22)</f>
        <v>#REF!</v>
      </c>
      <c r="H24" s="101">
        <f>SUM(H16,H19,H22)</f>
        <v>596481.98779839475</v>
      </c>
      <c r="I24" s="102" t="e">
        <f>SUM(I16,I19,I22)</f>
        <v>#REF!</v>
      </c>
      <c r="J24" s="146"/>
      <c r="K24" s="100">
        <f>SUM(K16,K19,K22)</f>
        <v>1823376.0263218428</v>
      </c>
      <c r="L24" s="101">
        <f>SUM(L16,L19,L22)</f>
        <v>0</v>
      </c>
      <c r="M24" s="102">
        <f>SUM(M16,M19,M22)</f>
        <v>-1823376.0263218428</v>
      </c>
    </row>
    <row r="25" spans="1:13" x14ac:dyDescent="0.2">
      <c r="A25" s="44"/>
      <c r="B25" s="43"/>
      <c r="C25" s="103" t="e">
        <f>C24/C6</f>
        <v>#REF!</v>
      </c>
      <c r="D25" s="104">
        <f>-D24/D6</f>
        <v>-1.1933101472255626E-3</v>
      </c>
      <c r="E25" s="56"/>
      <c r="F25" s="146"/>
      <c r="G25" s="103" t="e">
        <f>G24/G6</f>
        <v>#REF!</v>
      </c>
      <c r="H25" s="104">
        <f>-H24/H6</f>
        <v>-1.2720881760986851E-3</v>
      </c>
      <c r="I25" s="56"/>
      <c r="J25" s="146"/>
      <c r="K25" s="103" t="e">
        <f>-K24/K6</f>
        <v>#DIV/0!</v>
      </c>
      <c r="L25" s="104" t="e">
        <f>-L24/L6</f>
        <v>#DIV/0!</v>
      </c>
      <c r="M25" s="56"/>
    </row>
    <row r="26" spans="1:13" ht="18.75" thickBot="1" x14ac:dyDescent="0.3">
      <c r="A26" s="185" t="s">
        <v>103</v>
      </c>
      <c r="B26" s="43"/>
      <c r="C26" s="103"/>
      <c r="D26" s="104"/>
      <c r="E26" s="56"/>
      <c r="F26" s="146"/>
      <c r="G26" s="103"/>
      <c r="H26" s="104"/>
      <c r="I26" s="56"/>
      <c r="J26" s="146"/>
      <c r="K26" s="103"/>
      <c r="L26" s="104"/>
      <c r="M26" s="56"/>
    </row>
    <row r="27" spans="1:13" ht="15" x14ac:dyDescent="0.25">
      <c r="A27" s="57" t="s">
        <v>137</v>
      </c>
      <c r="B27" s="58" t="s">
        <v>114</v>
      </c>
      <c r="C27" s="156" t="e">
        <f>+#REF!+#REF!</f>
        <v>#REF!</v>
      </c>
      <c r="D27" s="167">
        <f>+'FY15 Budget'!F129+'FY15 Budget'!F131</f>
        <v>0</v>
      </c>
      <c r="E27" s="60" t="e">
        <f t="shared" ref="E27:E57" si="2">+D27-C27</f>
        <v>#REF!</v>
      </c>
      <c r="F27" s="146"/>
      <c r="G27" s="156" t="e">
        <f>+#REF!+#REF!</f>
        <v>#REF!</v>
      </c>
      <c r="H27" s="167">
        <f>+'FY15 Budget'!C129+'FY15 Budget'!C131+'FY15 Budget'!D129+'FY15 Budget'!D131+'FY15 Budget'!E129+'FY15 Budget'!E131+'FY15 Budget'!F129+'FY15 Budget'!F131</f>
        <v>0</v>
      </c>
      <c r="I27" s="60" t="e">
        <f t="shared" ref="I27:I57" si="3">+H27-G27</f>
        <v>#REF!</v>
      </c>
      <c r="J27" s="146"/>
      <c r="K27" s="156">
        <f>+'FY15 Budget'!O129+'FY15 Budget'!O131</f>
        <v>0</v>
      </c>
      <c r="L27" s="167">
        <f>+'FY15 Current Forecast'!O149+'FY15 Current Forecast'!O150</f>
        <v>0</v>
      </c>
      <c r="M27" s="60">
        <f t="shared" ref="M27:M57" si="4">+L27-K27</f>
        <v>0</v>
      </c>
    </row>
    <row r="28" spans="1:13" x14ac:dyDescent="0.2">
      <c r="A28" s="105"/>
      <c r="B28" s="106" t="s">
        <v>146</v>
      </c>
      <c r="C28" s="68" t="e">
        <f>+#REF!</f>
        <v>#REF!</v>
      </c>
      <c r="D28" s="106"/>
      <c r="E28" s="64" t="e">
        <f t="shared" si="2"/>
        <v>#REF!</v>
      </c>
      <c r="F28" s="149"/>
      <c r="G28" s="68" t="e">
        <f>+#REF!</f>
        <v>#REF!</v>
      </c>
      <c r="H28" s="106"/>
      <c r="I28" s="64" t="e">
        <f t="shared" si="3"/>
        <v>#REF!</v>
      </c>
      <c r="J28" s="149"/>
      <c r="K28" s="66"/>
      <c r="L28" s="106"/>
      <c r="M28" s="64">
        <f t="shared" si="4"/>
        <v>0</v>
      </c>
    </row>
    <row r="29" spans="1:13" x14ac:dyDescent="0.2">
      <c r="A29" s="105"/>
      <c r="B29" s="106" t="s">
        <v>147</v>
      </c>
      <c r="C29" s="68" t="e">
        <f>+#REF!</f>
        <v>#REF!</v>
      </c>
      <c r="D29" s="106" t="str">
        <f>+'FY15 Budget'!F124</f>
        <v xml:space="preserve">0 </v>
      </c>
      <c r="E29" s="64" t="e">
        <f t="shared" si="2"/>
        <v>#REF!</v>
      </c>
      <c r="F29" s="146"/>
      <c r="G29" s="68" t="e">
        <f>+#REF!</f>
        <v>#REF!</v>
      </c>
      <c r="H29" s="106">
        <f>+'FY15 Budget'!C124+'FY15 Budget'!D124+'FY15 Budget'!E124+'FY15 Budget'!F124</f>
        <v>0</v>
      </c>
      <c r="I29" s="64" t="e">
        <f t="shared" si="3"/>
        <v>#REF!</v>
      </c>
      <c r="J29" s="146"/>
      <c r="K29" s="175">
        <f>+'FY15 Budget'!O124</f>
        <v>0</v>
      </c>
      <c r="L29" s="174">
        <f>+'FY15 Current Forecast'!O145</f>
        <v>0</v>
      </c>
      <c r="M29" s="64">
        <f t="shared" si="4"/>
        <v>0</v>
      </c>
    </row>
    <row r="30" spans="1:13" x14ac:dyDescent="0.2">
      <c r="A30" s="105"/>
      <c r="B30" s="107" t="s">
        <v>148</v>
      </c>
      <c r="C30" s="68" t="e">
        <f>+#REF!+#REF!+#REF!</f>
        <v>#REF!</v>
      </c>
      <c r="D30" s="106"/>
      <c r="E30" s="64" t="e">
        <f t="shared" si="2"/>
        <v>#REF!</v>
      </c>
      <c r="F30" s="146"/>
      <c r="G30" s="68" t="e">
        <f>+#REF!+#REF!+#REF!</f>
        <v>#REF!</v>
      </c>
      <c r="H30" s="106"/>
      <c r="I30" s="64" t="e">
        <f t="shared" si="3"/>
        <v>#REF!</v>
      </c>
      <c r="J30" s="146"/>
      <c r="K30" s="66"/>
      <c r="L30" s="106"/>
      <c r="M30" s="64">
        <f t="shared" si="4"/>
        <v>0</v>
      </c>
    </row>
    <row r="31" spans="1:13" x14ac:dyDescent="0.2">
      <c r="A31" s="105"/>
      <c r="B31" s="107" t="s">
        <v>149</v>
      </c>
      <c r="C31" s="68" t="e">
        <f>+#REF!+#REF!+#REF!+#REF!</f>
        <v>#REF!</v>
      </c>
      <c r="D31" s="106"/>
      <c r="E31" s="64" t="e">
        <f t="shared" si="2"/>
        <v>#REF!</v>
      </c>
      <c r="F31" s="150"/>
      <c r="G31" s="68" t="e">
        <f>+#REF!+#REF!+#REF!+#REF!</f>
        <v>#REF!</v>
      </c>
      <c r="H31" s="106"/>
      <c r="I31" s="64" t="e">
        <f t="shared" si="3"/>
        <v>#REF!</v>
      </c>
      <c r="J31" s="150"/>
      <c r="K31" s="66"/>
      <c r="L31" s="174">
        <f>+'FY15 Current Forecast'!O57</f>
        <v>0</v>
      </c>
      <c r="M31" s="64">
        <f t="shared" si="4"/>
        <v>0</v>
      </c>
    </row>
    <row r="32" spans="1:13" x14ac:dyDescent="0.2">
      <c r="A32" s="61"/>
      <c r="B32" s="107" t="s">
        <v>150</v>
      </c>
      <c r="C32" s="68" t="e">
        <f>+#REF!</f>
        <v>#REF!</v>
      </c>
      <c r="D32" s="106"/>
      <c r="E32" s="64" t="e">
        <f t="shared" si="2"/>
        <v>#REF!</v>
      </c>
      <c r="F32" s="146"/>
      <c r="G32" s="68" t="e">
        <f>+#REF!</f>
        <v>#REF!</v>
      </c>
      <c r="H32" s="106"/>
      <c r="I32" s="64" t="e">
        <f t="shared" si="3"/>
        <v>#REF!</v>
      </c>
      <c r="J32" s="146"/>
      <c r="K32" s="66"/>
      <c r="L32" s="161">
        <f>+'FY15 Current Forecast'!O114</f>
        <v>0</v>
      </c>
      <c r="M32" s="64">
        <f t="shared" si="4"/>
        <v>0</v>
      </c>
    </row>
    <row r="33" spans="1:13" ht="15" x14ac:dyDescent="0.25">
      <c r="A33" s="108"/>
      <c r="B33" s="62" t="s">
        <v>115</v>
      </c>
      <c r="C33" s="68" t="e">
        <f>+#REF!</f>
        <v>#REF!</v>
      </c>
      <c r="D33" s="161" t="str">
        <f>+'FY15 Budget'!F127</f>
        <v xml:space="preserve">0 </v>
      </c>
      <c r="E33" s="64" t="e">
        <f t="shared" si="2"/>
        <v>#REF!</v>
      </c>
      <c r="F33" s="151"/>
      <c r="G33" s="68" t="e">
        <f>+#REF!</f>
        <v>#REF!</v>
      </c>
      <c r="H33" s="161">
        <f>+'FY15 Budget'!C127+'FY15 Budget'!D127+'FY15 Budget'!E127+'FY15 Budget'!F127</f>
        <v>0</v>
      </c>
      <c r="I33" s="64" t="e">
        <f t="shared" si="3"/>
        <v>#REF!</v>
      </c>
      <c r="J33" s="151"/>
      <c r="K33" s="68">
        <f>+'FY15 Budget'!O127</f>
        <v>0</v>
      </c>
      <c r="L33" s="161">
        <f>+'FY15 Current Forecast'!O148</f>
        <v>0</v>
      </c>
      <c r="M33" s="64">
        <f t="shared" si="4"/>
        <v>0</v>
      </c>
    </row>
    <row r="34" spans="1:13" x14ac:dyDescent="0.2">
      <c r="A34" s="105"/>
      <c r="B34" s="106" t="s">
        <v>146</v>
      </c>
      <c r="C34" s="68" t="e">
        <f>+#REF!</f>
        <v>#REF!</v>
      </c>
      <c r="D34" s="106">
        <v>0</v>
      </c>
      <c r="E34" s="64" t="e">
        <f t="shared" si="2"/>
        <v>#REF!</v>
      </c>
      <c r="F34" s="146"/>
      <c r="G34" s="68" t="e">
        <f>+#REF!</f>
        <v>#REF!</v>
      </c>
      <c r="H34" s="106">
        <v>0</v>
      </c>
      <c r="I34" s="64" t="e">
        <f t="shared" si="3"/>
        <v>#REF!</v>
      </c>
      <c r="J34" s="146"/>
      <c r="K34" s="66">
        <v>0</v>
      </c>
      <c r="L34" s="106">
        <v>0</v>
      </c>
      <c r="M34" s="64">
        <f t="shared" si="4"/>
        <v>0</v>
      </c>
    </row>
    <row r="35" spans="1:13" x14ac:dyDescent="0.2">
      <c r="A35" s="105"/>
      <c r="B35" s="106" t="s">
        <v>147</v>
      </c>
      <c r="C35" s="68" t="e">
        <f>SUM(#REF!)</f>
        <v>#REF!</v>
      </c>
      <c r="D35" s="106"/>
      <c r="E35" s="64" t="e">
        <f t="shared" si="2"/>
        <v>#REF!</v>
      </c>
      <c r="F35" s="146"/>
      <c r="G35" s="68" t="e">
        <f>SUM(#REF!)</f>
        <v>#REF!</v>
      </c>
      <c r="H35" s="106"/>
      <c r="I35" s="64" t="e">
        <f t="shared" si="3"/>
        <v>#REF!</v>
      </c>
      <c r="J35" s="146"/>
      <c r="K35" s="66"/>
      <c r="L35" s="161">
        <f>+'FY15 Current Forecast'!O140+'FY15 Current Forecast'!O141+'FY15 Current Forecast'!O142+'FY15 Current Forecast'!O144</f>
        <v>0</v>
      </c>
      <c r="M35" s="64">
        <f t="shared" si="4"/>
        <v>0</v>
      </c>
    </row>
    <row r="36" spans="1:13" x14ac:dyDescent="0.2">
      <c r="A36" s="105"/>
      <c r="B36" s="107" t="s">
        <v>148</v>
      </c>
      <c r="C36" s="68" t="e">
        <f>+#REF!+#REF!</f>
        <v>#REF!</v>
      </c>
      <c r="D36" s="106"/>
      <c r="E36" s="64" t="e">
        <f t="shared" si="2"/>
        <v>#REF!</v>
      </c>
      <c r="F36" s="146"/>
      <c r="G36" s="68" t="e">
        <f>+#REF!+#REF!</f>
        <v>#REF!</v>
      </c>
      <c r="H36" s="106"/>
      <c r="I36" s="64" t="e">
        <f t="shared" si="3"/>
        <v>#REF!</v>
      </c>
      <c r="J36" s="146"/>
      <c r="K36" s="66"/>
      <c r="L36" s="161">
        <f>+'FY15 Current Forecast'!O107</f>
        <v>0</v>
      </c>
      <c r="M36" s="64">
        <f t="shared" si="4"/>
        <v>0</v>
      </c>
    </row>
    <row r="37" spans="1:13" x14ac:dyDescent="0.2">
      <c r="A37" s="105"/>
      <c r="B37" s="107" t="s">
        <v>149</v>
      </c>
      <c r="C37" s="68" t="e">
        <f>+#REF!</f>
        <v>#REF!</v>
      </c>
      <c r="D37" s="106"/>
      <c r="E37" s="64" t="e">
        <f t="shared" si="2"/>
        <v>#REF!</v>
      </c>
      <c r="F37" s="150"/>
      <c r="G37" s="68" t="e">
        <f>+#REF!</f>
        <v>#REF!</v>
      </c>
      <c r="H37" s="106"/>
      <c r="I37" s="64" t="e">
        <f t="shared" si="3"/>
        <v>#REF!</v>
      </c>
      <c r="J37" s="150"/>
      <c r="K37" s="66"/>
      <c r="L37" s="161">
        <f>+'FY15 Current Forecast'!O129</f>
        <v>0</v>
      </c>
      <c r="M37" s="64">
        <f t="shared" si="4"/>
        <v>0</v>
      </c>
    </row>
    <row r="38" spans="1:13" x14ac:dyDescent="0.2">
      <c r="A38" s="61"/>
      <c r="B38" s="107" t="s">
        <v>150</v>
      </c>
      <c r="C38" s="68" t="e">
        <f>+#REF!</f>
        <v>#REF!</v>
      </c>
      <c r="D38" s="106"/>
      <c r="E38" s="64" t="e">
        <f t="shared" si="2"/>
        <v>#REF!</v>
      </c>
      <c r="F38" s="146"/>
      <c r="G38" s="68" t="e">
        <f>+#REF!</f>
        <v>#REF!</v>
      </c>
      <c r="H38" s="106"/>
      <c r="I38" s="64" t="e">
        <f t="shared" si="3"/>
        <v>#REF!</v>
      </c>
      <c r="J38" s="146"/>
      <c r="K38" s="66"/>
      <c r="L38" s="161">
        <f>+'FY15 Current Forecast'!O115</f>
        <v>0</v>
      </c>
      <c r="M38" s="64">
        <f t="shared" si="4"/>
        <v>0</v>
      </c>
    </row>
    <row r="39" spans="1:13" x14ac:dyDescent="0.2">
      <c r="A39" s="65"/>
      <c r="B39" s="62" t="s">
        <v>117</v>
      </c>
      <c r="C39" s="68" t="e">
        <f>+#REF!+#REF!</f>
        <v>#REF!</v>
      </c>
      <c r="D39" s="161"/>
      <c r="E39" s="64" t="e">
        <f t="shared" si="2"/>
        <v>#REF!</v>
      </c>
      <c r="F39" s="151"/>
      <c r="G39" s="68" t="e">
        <f>+#REF!+#REF!</f>
        <v>#REF!</v>
      </c>
      <c r="H39" s="161"/>
      <c r="I39" s="64" t="e">
        <f t="shared" si="3"/>
        <v>#REF!</v>
      </c>
      <c r="J39" s="151"/>
      <c r="K39" s="68"/>
      <c r="L39" s="161"/>
      <c r="M39" s="64">
        <f t="shared" si="4"/>
        <v>0</v>
      </c>
    </row>
    <row r="40" spans="1:13" x14ac:dyDescent="0.2">
      <c r="A40" s="65"/>
      <c r="B40" s="62" t="s">
        <v>132</v>
      </c>
      <c r="C40" s="68" t="e">
        <f>+#REF!-(C57*0.04)-(C57*0.2)</f>
        <v>#REF!</v>
      </c>
      <c r="D40" s="161"/>
      <c r="E40" s="64" t="e">
        <f t="shared" si="2"/>
        <v>#REF!</v>
      </c>
      <c r="F40" s="151"/>
      <c r="G40" s="68" t="e">
        <f>+#REF!</f>
        <v>#REF!</v>
      </c>
      <c r="H40" s="161"/>
      <c r="I40" s="64" t="e">
        <f t="shared" si="3"/>
        <v>#REF!</v>
      </c>
      <c r="J40" s="151"/>
      <c r="K40" s="68"/>
      <c r="L40" s="161">
        <f>+'FY15 Current Forecast'!O126</f>
        <v>0</v>
      </c>
      <c r="M40" s="64">
        <f t="shared" si="4"/>
        <v>0</v>
      </c>
    </row>
    <row r="41" spans="1:13" x14ac:dyDescent="0.2">
      <c r="A41" s="65"/>
      <c r="B41" s="109" t="s">
        <v>151</v>
      </c>
      <c r="C41" s="68" t="e">
        <f>+#REF!-(C57*0.14)</f>
        <v>#REF!</v>
      </c>
      <c r="D41" s="161">
        <f>+'FY15 Budget'!F126</f>
        <v>126920</v>
      </c>
      <c r="E41" s="64" t="e">
        <f t="shared" si="2"/>
        <v>#REF!</v>
      </c>
      <c r="F41" s="151"/>
      <c r="G41" s="68" t="e">
        <f>+#REF!-G57</f>
        <v>#REF!</v>
      </c>
      <c r="H41" s="161">
        <f>+'FY15 Budget'!C126+'FY15 Budget'!D126+'FY15 Budget'!E126+'FY15 Budget'!F126</f>
        <v>539410</v>
      </c>
      <c r="I41" s="64" t="e">
        <f t="shared" si="3"/>
        <v>#REF!</v>
      </c>
      <c r="J41" s="151"/>
      <c r="K41" s="68">
        <f>+'FY15 Budget'!O126</f>
        <v>1649960</v>
      </c>
      <c r="L41" s="161">
        <f>+'FY15 Current Forecast'!O146</f>
        <v>0</v>
      </c>
      <c r="M41" s="64">
        <f t="shared" si="4"/>
        <v>-1649960</v>
      </c>
    </row>
    <row r="42" spans="1:13" x14ac:dyDescent="0.2">
      <c r="A42" s="105"/>
      <c r="B42" s="110" t="s">
        <v>146</v>
      </c>
      <c r="C42" s="68" t="e">
        <f>+#REF!+#REF!-(C57*0.06)</f>
        <v>#REF!</v>
      </c>
      <c r="D42" s="106" t="str">
        <f>+'FY15 Budget'!F184</f>
        <v xml:space="preserve">0 </v>
      </c>
      <c r="E42" s="64" t="e">
        <f t="shared" si="2"/>
        <v>#REF!</v>
      </c>
      <c r="F42" s="146"/>
      <c r="G42" s="68" t="e">
        <f>+#REF!+#REF!</f>
        <v>#REF!</v>
      </c>
      <c r="H42" s="106">
        <f>+'FY15 Budget'!C184+'FY15 Budget'!D184+'FY15 Budget'!E184+'FY15 Budget'!F184</f>
        <v>0</v>
      </c>
      <c r="I42" s="64" t="e">
        <f t="shared" si="3"/>
        <v>#REF!</v>
      </c>
      <c r="J42" s="146"/>
      <c r="K42" s="175">
        <f>+'FY15 Budget'!O184</f>
        <v>0</v>
      </c>
      <c r="L42" s="161" t="e">
        <f>+'FY15 Current Forecast'!O206+'FY15 Current Forecast'!#REF!</f>
        <v>#REF!</v>
      </c>
      <c r="M42" s="64" t="e">
        <f t="shared" si="4"/>
        <v>#REF!</v>
      </c>
    </row>
    <row r="43" spans="1:13" x14ac:dyDescent="0.2">
      <c r="A43" s="105"/>
      <c r="B43" s="110" t="s">
        <v>147</v>
      </c>
      <c r="C43" s="68" t="e">
        <f>+#REF!+#REF!+#REF!+#REF!+#REF!+#REF!-(C57*0.15)</f>
        <v>#REF!</v>
      </c>
      <c r="D43" s="106"/>
      <c r="E43" s="64" t="e">
        <f t="shared" si="2"/>
        <v>#REF!</v>
      </c>
      <c r="F43" s="146"/>
      <c r="G43" s="68" t="e">
        <f>+#REF!+#REF!+#REF!+#REF!+#REF!+#REF!</f>
        <v>#REF!</v>
      </c>
      <c r="H43" s="106"/>
      <c r="I43" s="64" t="e">
        <f t="shared" si="3"/>
        <v>#REF!</v>
      </c>
      <c r="J43" s="146"/>
      <c r="K43" s="66"/>
      <c r="L43" s="161">
        <f>+'FY15 Current Forecast'!O135+'FY15 Current Forecast'!O124</f>
        <v>0</v>
      </c>
      <c r="M43" s="64">
        <f t="shared" si="4"/>
        <v>0</v>
      </c>
    </row>
    <row r="44" spans="1:13" x14ac:dyDescent="0.2">
      <c r="A44" s="105"/>
      <c r="B44" s="111" t="s">
        <v>148</v>
      </c>
      <c r="C44" s="68" t="e">
        <f>+#REF!+#REF!+#REF!+#REF!+#REF!</f>
        <v>#REF!</v>
      </c>
      <c r="D44" s="106"/>
      <c r="E44" s="64" t="e">
        <f t="shared" si="2"/>
        <v>#REF!</v>
      </c>
      <c r="F44" s="146"/>
      <c r="G44" s="68" t="e">
        <f>+#REF!+#REF!+#REF!+#REF!+#REF!</f>
        <v>#REF!</v>
      </c>
      <c r="H44" s="106"/>
      <c r="I44" s="64" t="e">
        <f t="shared" si="3"/>
        <v>#REF!</v>
      </c>
      <c r="J44" s="146"/>
      <c r="K44" s="66"/>
      <c r="L44" s="161">
        <f>+'FY15 Current Forecast'!O127+'FY15 Current Forecast'!O79</f>
        <v>0</v>
      </c>
      <c r="M44" s="64">
        <f t="shared" si="4"/>
        <v>0</v>
      </c>
    </row>
    <row r="45" spans="1:13" x14ac:dyDescent="0.2">
      <c r="A45" s="105"/>
      <c r="B45" s="111" t="s">
        <v>149</v>
      </c>
      <c r="C45" s="68" t="e">
        <f>+#REF!+#REF!</f>
        <v>#REF!</v>
      </c>
      <c r="D45" s="106" t="str">
        <f>+'FY15 Budget'!F109</f>
        <v xml:space="preserve">0 </v>
      </c>
      <c r="E45" s="64" t="e">
        <f t="shared" si="2"/>
        <v>#REF!</v>
      </c>
      <c r="F45" s="151"/>
      <c r="G45" s="68" t="e">
        <f>+#REF!+#REF!</f>
        <v>#REF!</v>
      </c>
      <c r="H45" s="106">
        <f>+'FY15 Budget'!C109+'FY15 Budget'!D109+'FY15 Budget'!E109+'FY15 Budget'!F109</f>
        <v>0</v>
      </c>
      <c r="I45" s="64" t="e">
        <f t="shared" si="3"/>
        <v>#REF!</v>
      </c>
      <c r="J45" s="151"/>
      <c r="K45" s="175">
        <f>+'FY15 Budget'!O109</f>
        <v>0</v>
      </c>
      <c r="L45" s="161">
        <f>+'FY15 Current Forecast'!O128+'FY15 Current Forecast'!O117</f>
        <v>0</v>
      </c>
      <c r="M45" s="64">
        <f t="shared" si="4"/>
        <v>0</v>
      </c>
    </row>
    <row r="46" spans="1:13" x14ac:dyDescent="0.2">
      <c r="A46" s="61"/>
      <c r="B46" s="111" t="s">
        <v>150</v>
      </c>
      <c r="C46" s="68" t="e">
        <f>+#REF!-(C57*0.24)+#REF!</f>
        <v>#REF!</v>
      </c>
      <c r="D46" s="106"/>
      <c r="E46" s="64" t="e">
        <f t="shared" si="2"/>
        <v>#REF!</v>
      </c>
      <c r="F46" s="146"/>
      <c r="G46" s="68" t="e">
        <f>+#REF!+#REF!</f>
        <v>#REF!</v>
      </c>
      <c r="H46" s="106"/>
      <c r="I46" s="64" t="e">
        <f t="shared" si="3"/>
        <v>#REF!</v>
      </c>
      <c r="J46" s="146"/>
      <c r="K46" s="66"/>
      <c r="L46" s="161">
        <f>+'FY15 Current Forecast'!O120</f>
        <v>0</v>
      </c>
      <c r="M46" s="64">
        <f t="shared" si="4"/>
        <v>0</v>
      </c>
    </row>
    <row r="47" spans="1:13" x14ac:dyDescent="0.2">
      <c r="A47" s="65"/>
      <c r="B47" s="109" t="s">
        <v>152</v>
      </c>
      <c r="C47" s="68" t="e">
        <f>#REF!-(C57*0.17)</f>
        <v>#REF!</v>
      </c>
      <c r="D47" s="161"/>
      <c r="E47" s="64" t="e">
        <f t="shared" si="2"/>
        <v>#REF!</v>
      </c>
      <c r="F47" s="151"/>
      <c r="G47" s="68" t="e">
        <f>#REF!</f>
        <v>#REF!</v>
      </c>
      <c r="H47" s="161"/>
      <c r="I47" s="64" t="e">
        <f t="shared" si="3"/>
        <v>#REF!</v>
      </c>
      <c r="J47" s="151"/>
      <c r="K47" s="68"/>
      <c r="L47" s="161">
        <f>+'FY15 Current Forecast'!O152</f>
        <v>0</v>
      </c>
      <c r="M47" s="64">
        <f t="shared" si="4"/>
        <v>0</v>
      </c>
    </row>
    <row r="48" spans="1:13" x14ac:dyDescent="0.2">
      <c r="A48" s="65"/>
      <c r="B48" s="110" t="s">
        <v>146</v>
      </c>
      <c r="C48" s="68" t="e">
        <f>+#REF!</f>
        <v>#REF!</v>
      </c>
      <c r="D48" s="161"/>
      <c r="E48" s="64" t="e">
        <f t="shared" si="2"/>
        <v>#REF!</v>
      </c>
      <c r="F48" s="151"/>
      <c r="G48" s="68" t="e">
        <f>+#REF!</f>
        <v>#REF!</v>
      </c>
      <c r="H48" s="161"/>
      <c r="I48" s="64" t="e">
        <f t="shared" si="3"/>
        <v>#REF!</v>
      </c>
      <c r="J48" s="151"/>
      <c r="K48" s="68"/>
      <c r="L48" s="161">
        <f>+'FY15 Current Forecast'!O123</f>
        <v>0</v>
      </c>
      <c r="M48" s="64">
        <f t="shared" si="4"/>
        <v>0</v>
      </c>
    </row>
    <row r="49" spans="1:13" x14ac:dyDescent="0.2">
      <c r="A49" s="65"/>
      <c r="B49" s="110" t="s">
        <v>147</v>
      </c>
      <c r="C49" s="68" t="e">
        <f>+#REF!</f>
        <v>#REF!</v>
      </c>
      <c r="D49" s="106"/>
      <c r="E49" s="64" t="e">
        <f t="shared" si="2"/>
        <v>#REF!</v>
      </c>
      <c r="F49" s="151"/>
      <c r="G49" s="68" t="e">
        <f>+#REF!</f>
        <v>#REF!</v>
      </c>
      <c r="H49" s="106"/>
      <c r="I49" s="64" t="e">
        <f t="shared" si="3"/>
        <v>#REF!</v>
      </c>
      <c r="J49" s="151"/>
      <c r="K49" s="66"/>
      <c r="L49" s="161">
        <f>+'FY15 Current Forecast'!O125</f>
        <v>0</v>
      </c>
      <c r="M49" s="64">
        <f t="shared" si="4"/>
        <v>0</v>
      </c>
    </row>
    <row r="50" spans="1:13" x14ac:dyDescent="0.2">
      <c r="A50" s="65"/>
      <c r="B50" s="111" t="s">
        <v>148</v>
      </c>
      <c r="C50" s="68" t="e">
        <f>+#REF!</f>
        <v>#REF!</v>
      </c>
      <c r="D50" s="106"/>
      <c r="E50" s="64" t="e">
        <f t="shared" si="2"/>
        <v>#REF!</v>
      </c>
      <c r="F50" s="151"/>
      <c r="G50" s="68" t="e">
        <f>+#REF!</f>
        <v>#REF!</v>
      </c>
      <c r="H50" s="106"/>
      <c r="I50" s="64" t="e">
        <f t="shared" si="3"/>
        <v>#REF!</v>
      </c>
      <c r="J50" s="151"/>
      <c r="K50" s="66"/>
      <c r="L50" s="106"/>
      <c r="M50" s="64">
        <f t="shared" si="4"/>
        <v>0</v>
      </c>
    </row>
    <row r="51" spans="1:13" x14ac:dyDescent="0.2">
      <c r="A51" s="65"/>
      <c r="B51" s="111" t="s">
        <v>149</v>
      </c>
      <c r="C51" s="68" t="e">
        <f>+#REF!</f>
        <v>#REF!</v>
      </c>
      <c r="D51" s="106"/>
      <c r="E51" s="64" t="e">
        <f t="shared" si="2"/>
        <v>#REF!</v>
      </c>
      <c r="F51" s="151"/>
      <c r="G51" s="68" t="e">
        <f>+#REF!</f>
        <v>#REF!</v>
      </c>
      <c r="H51" s="106"/>
      <c r="I51" s="64" t="e">
        <f t="shared" si="3"/>
        <v>#REF!</v>
      </c>
      <c r="J51" s="151"/>
      <c r="K51" s="66"/>
      <c r="L51" s="106"/>
      <c r="M51" s="64">
        <f t="shared" si="4"/>
        <v>0</v>
      </c>
    </row>
    <row r="52" spans="1:13" x14ac:dyDescent="0.2">
      <c r="A52" s="65"/>
      <c r="B52" s="111" t="s">
        <v>150</v>
      </c>
      <c r="C52" s="68" t="e">
        <f>+#REF!</f>
        <v>#REF!</v>
      </c>
      <c r="D52" s="106"/>
      <c r="E52" s="64" t="e">
        <f t="shared" si="2"/>
        <v>#REF!</v>
      </c>
      <c r="F52" s="151"/>
      <c r="G52" s="68" t="e">
        <f>+#REF!</f>
        <v>#REF!</v>
      </c>
      <c r="H52" s="106"/>
      <c r="I52" s="64" t="e">
        <f t="shared" si="3"/>
        <v>#REF!</v>
      </c>
      <c r="J52" s="151"/>
      <c r="K52" s="66"/>
      <c r="L52" s="161">
        <f>+'FY15 Current Forecast'!O122</f>
        <v>0</v>
      </c>
      <c r="M52" s="64">
        <f t="shared" si="4"/>
        <v>0</v>
      </c>
    </row>
    <row r="53" spans="1:13" ht="15" x14ac:dyDescent="0.25">
      <c r="A53" s="108"/>
      <c r="B53" s="62" t="s">
        <v>138</v>
      </c>
      <c r="C53" s="68" t="e">
        <f>+#REF!</f>
        <v>#REF!</v>
      </c>
      <c r="D53" s="161">
        <f>+'FY15 Budget'!F180</f>
        <v>124391.43008725491</v>
      </c>
      <c r="E53" s="64" t="e">
        <f t="shared" si="2"/>
        <v>#REF!</v>
      </c>
      <c r="F53" s="146"/>
      <c r="G53" s="68" t="e">
        <f>+#REF!</f>
        <v>#REF!</v>
      </c>
      <c r="H53" s="161">
        <f>+'FY15 Budget'!C180+'FY15 Budget'!D180+'FY15 Budget'!E180+'FY15 Budget'!F180</f>
        <v>528663.57787083334</v>
      </c>
      <c r="I53" s="64" t="e">
        <f t="shared" si="3"/>
        <v>#REF!</v>
      </c>
      <c r="J53" s="146"/>
      <c r="K53" s="68">
        <f>+'FY15 Budget'!O180</f>
        <v>1617088.5911343135</v>
      </c>
      <c r="L53" s="161">
        <f>+'FY15 Current Forecast'!O200</f>
        <v>0</v>
      </c>
      <c r="M53" s="64">
        <f t="shared" si="4"/>
        <v>-1617088.5911343135</v>
      </c>
    </row>
    <row r="54" spans="1:13" x14ac:dyDescent="0.2">
      <c r="A54" s="65"/>
      <c r="B54" s="62" t="s">
        <v>139</v>
      </c>
      <c r="C54" s="68" t="e">
        <f>+#REF!</f>
        <v>#REF!</v>
      </c>
      <c r="D54" s="161">
        <f>+'FY15 Budget'!F181</f>
        <v>13635.08811167</v>
      </c>
      <c r="E54" s="64" t="e">
        <f t="shared" si="2"/>
        <v>#REF!</v>
      </c>
      <c r="F54" s="151"/>
      <c r="G54" s="68" t="e">
        <f>+#REF!</f>
        <v>#REF!</v>
      </c>
      <c r="H54" s="161">
        <f>+'FY15 Budget'!C181+'FY15 Budget'!D181+'FY15 Budget'!E181+'FY15 Budget'!F181</f>
        <v>57949.124474597513</v>
      </c>
      <c r="I54" s="64" t="e">
        <f t="shared" si="3"/>
        <v>#REF!</v>
      </c>
      <c r="J54" s="151"/>
      <c r="K54" s="68">
        <f>+'FY15 Budget'!O181</f>
        <v>177256.14545171004</v>
      </c>
      <c r="L54" s="161">
        <f>+'FY15 Current Forecast'!O201</f>
        <v>0</v>
      </c>
      <c r="M54" s="64">
        <f t="shared" si="4"/>
        <v>-177256.14545171004</v>
      </c>
    </row>
    <row r="55" spans="1:13" x14ac:dyDescent="0.2">
      <c r="A55" s="65"/>
      <c r="B55" s="62" t="s">
        <v>140</v>
      </c>
      <c r="C55" s="68" t="e">
        <f>+#REF!</f>
        <v>#REF!</v>
      </c>
      <c r="D55" s="161">
        <f>+'FY15 Budget'!F182</f>
        <v>5907.7514836231549</v>
      </c>
      <c r="E55" s="64" t="e">
        <f t="shared" si="2"/>
        <v>#REF!</v>
      </c>
      <c r="F55" s="151"/>
      <c r="G55" s="68" t="e">
        <f>+#REF!</f>
        <v>#REF!</v>
      </c>
      <c r="H55" s="161">
        <f>+'FY15 Budget'!C182+'FY15 Budget'!D182+'FY15 Budget'!E182+'FY15 Budget'!F182</f>
        <v>25107.943805398412</v>
      </c>
      <c r="I55" s="64" t="e">
        <f t="shared" si="3"/>
        <v>#REF!</v>
      </c>
      <c r="J55" s="151"/>
      <c r="K55" s="68">
        <f>+'FY15 Budget'!O182</f>
        <v>76800.769287101022</v>
      </c>
      <c r="L55" s="161">
        <f>+'FY15 Current Forecast'!O202</f>
        <v>0</v>
      </c>
      <c r="M55" s="64">
        <f t="shared" si="4"/>
        <v>-76800.769287101022</v>
      </c>
    </row>
    <row r="56" spans="1:13" x14ac:dyDescent="0.2">
      <c r="A56" s="65"/>
      <c r="B56" s="62" t="s">
        <v>125</v>
      </c>
      <c r="C56" s="68"/>
      <c r="D56" s="161" t="str">
        <f>+'FY15 Budget'!F116</f>
        <v xml:space="preserve">0 </v>
      </c>
      <c r="E56" s="64">
        <f t="shared" si="2"/>
        <v>0</v>
      </c>
      <c r="F56" s="151"/>
      <c r="G56" s="68"/>
      <c r="H56" s="161">
        <f>+'FY15 Budget'!C116+'FY15 Budget'!D116+'FY15 Budget'!E116+'FY15 Budget'!F116</f>
        <v>0</v>
      </c>
      <c r="I56" s="64">
        <f t="shared" si="3"/>
        <v>0</v>
      </c>
      <c r="J56" s="151"/>
      <c r="K56" s="68">
        <f>+'FY15 Budget'!O116</f>
        <v>0</v>
      </c>
      <c r="L56" s="161">
        <f>+'FY15 Current Forecast'!O137</f>
        <v>0</v>
      </c>
      <c r="M56" s="64">
        <f t="shared" si="4"/>
        <v>0</v>
      </c>
    </row>
    <row r="57" spans="1:13" x14ac:dyDescent="0.2">
      <c r="A57" s="65"/>
      <c r="B57" s="112" t="s">
        <v>159</v>
      </c>
      <c r="C57" s="157">
        <v>0</v>
      </c>
      <c r="D57" s="106"/>
      <c r="E57" s="64">
        <f t="shared" si="2"/>
        <v>0</v>
      </c>
      <c r="F57" s="151"/>
      <c r="G57" s="157">
        <f>+C57</f>
        <v>0</v>
      </c>
      <c r="H57" s="106"/>
      <c r="I57" s="64">
        <f t="shared" si="3"/>
        <v>0</v>
      </c>
      <c r="J57" s="151"/>
      <c r="K57" s="66"/>
      <c r="L57" s="106"/>
      <c r="M57" s="64">
        <f t="shared" si="4"/>
        <v>0</v>
      </c>
    </row>
    <row r="58" spans="1:13" s="74" customFormat="1" ht="15.75" thickBot="1" x14ac:dyDescent="0.3">
      <c r="A58" s="69"/>
      <c r="B58" s="70" t="s">
        <v>153</v>
      </c>
      <c r="C58" s="155" t="e">
        <f>SUM(C27:C57)</f>
        <v>#REF!</v>
      </c>
      <c r="D58" s="72">
        <f>SUM(D27:D57)</f>
        <v>270854.26968254807</v>
      </c>
      <c r="E58" s="176" t="e">
        <f>SUM(E27:E57)</f>
        <v>#REF!</v>
      </c>
      <c r="F58" s="148"/>
      <c r="G58" s="155" t="e">
        <f>SUM(G27:G57)</f>
        <v>#REF!</v>
      </c>
      <c r="H58" s="72">
        <f>SUM(H27:H57)</f>
        <v>1151130.6461508293</v>
      </c>
      <c r="I58" s="176" t="e">
        <f>SUM(I27:I57)</f>
        <v>#REF!</v>
      </c>
      <c r="J58" s="148"/>
      <c r="K58" s="71">
        <f>SUM(K27:K57)</f>
        <v>3521105.5058731246</v>
      </c>
      <c r="L58" s="72" t="e">
        <f>SUM(L27:L57)</f>
        <v>#REF!</v>
      </c>
      <c r="M58" s="176" t="e">
        <f>SUM(M27:M57)</f>
        <v>#REF!</v>
      </c>
    </row>
    <row r="59" spans="1:13" ht="15" thickBot="1" x14ac:dyDescent="0.25">
      <c r="A59" s="113"/>
      <c r="B59" s="44"/>
      <c r="C59" s="114"/>
      <c r="D59" s="115"/>
      <c r="E59" s="116"/>
      <c r="F59" s="151"/>
      <c r="G59" s="114"/>
      <c r="H59" s="115"/>
      <c r="I59" s="116"/>
      <c r="J59" s="151"/>
      <c r="K59" s="114"/>
      <c r="L59" s="115"/>
      <c r="M59" s="116"/>
    </row>
    <row r="60" spans="1:13" ht="15" x14ac:dyDescent="0.25">
      <c r="A60" s="78" t="s">
        <v>142</v>
      </c>
      <c r="B60" s="79" t="s">
        <v>113</v>
      </c>
      <c r="C60" s="80" t="e">
        <f>SUM(#REF!,#REF!)+#REF!-C61</f>
        <v>#REF!</v>
      </c>
      <c r="D60" s="81">
        <f>+SUM('FY15 Budget'!F134:F175)</f>
        <v>442286.06099888409</v>
      </c>
      <c r="E60" s="82" t="e">
        <f>+D60-C60</f>
        <v>#REF!</v>
      </c>
      <c r="F60" s="151"/>
      <c r="G60" s="80" t="e">
        <f>SUM(#REF!,#REF!)+#REF!-G61</f>
        <v>#REF!</v>
      </c>
      <c r="H60" s="81">
        <f>+SUM('FY15 Budget'!C134:C175)+SUM('FY15 Budget'!D134:D175)+SUM('FY15 Budget'!E134:E175)+SUM('FY15 Budget'!F134:F175)</f>
        <v>1879899.1004657808</v>
      </c>
      <c r="I60" s="82" t="e">
        <f>+H60-G60</f>
        <v>#REF!</v>
      </c>
      <c r="J60" s="151"/>
      <c r="K60" s="80">
        <f>+SUM('FY15 Budget'!O134:O175)</f>
        <v>5658751.7966329334</v>
      </c>
      <c r="L60" s="81">
        <f>+SUM('FY15 Current Forecast'!O154:O191)</f>
        <v>0</v>
      </c>
      <c r="M60" s="82">
        <f>+L60-K60</f>
        <v>-5658751.7966329334</v>
      </c>
    </row>
    <row r="61" spans="1:13" ht="15" x14ac:dyDescent="0.25">
      <c r="A61" s="117"/>
      <c r="B61" s="118" t="s">
        <v>124</v>
      </c>
      <c r="C61" s="121">
        <v>0</v>
      </c>
      <c r="D61" s="119"/>
      <c r="E61" s="120">
        <f>+D61-C61</f>
        <v>0</v>
      </c>
      <c r="F61" s="151"/>
      <c r="G61" s="121">
        <f>+C61</f>
        <v>0</v>
      </c>
      <c r="H61" s="119"/>
      <c r="I61" s="120">
        <f>+H61-G61</f>
        <v>0</v>
      </c>
      <c r="J61" s="151"/>
      <c r="K61" s="121"/>
      <c r="L61" s="119"/>
      <c r="M61" s="120">
        <f>+L61-K61</f>
        <v>0</v>
      </c>
    </row>
    <row r="62" spans="1:13" ht="15.75" thickBot="1" x14ac:dyDescent="0.3">
      <c r="A62" s="83"/>
      <c r="B62" s="84" t="s">
        <v>154</v>
      </c>
      <c r="C62" s="85" t="e">
        <f>SUM(C60:C61)</f>
        <v>#REF!</v>
      </c>
      <c r="D62" s="86">
        <f>SUM(D60:D61)</f>
        <v>442286.06099888409</v>
      </c>
      <c r="E62" s="87" t="e">
        <f>SUM(E60:E61)</f>
        <v>#REF!</v>
      </c>
      <c r="F62" s="152"/>
      <c r="G62" s="85" t="e">
        <f>SUM(G60:G61)</f>
        <v>#REF!</v>
      </c>
      <c r="H62" s="86">
        <f>SUM(H60:H61)</f>
        <v>1879899.1004657808</v>
      </c>
      <c r="I62" s="87" t="e">
        <f>SUM(I60:I61)</f>
        <v>#REF!</v>
      </c>
      <c r="J62" s="152"/>
      <c r="K62" s="85">
        <f>SUM(K60:K61)</f>
        <v>5658751.7966329334</v>
      </c>
      <c r="L62" s="86">
        <f>SUM(L60:L61)</f>
        <v>0</v>
      </c>
      <c r="M62" s="87">
        <f>SUM(M60:M61)</f>
        <v>-5658751.7966329334</v>
      </c>
    </row>
    <row r="63" spans="1:13" x14ac:dyDescent="0.2">
      <c r="A63" s="75"/>
      <c r="B63" s="43"/>
      <c r="C63" s="76"/>
      <c r="D63" s="77"/>
      <c r="E63" s="56"/>
      <c r="F63" s="146"/>
      <c r="G63" s="76"/>
      <c r="H63" s="77"/>
      <c r="I63" s="56"/>
      <c r="J63" s="146"/>
      <c r="K63" s="76"/>
      <c r="L63" s="77"/>
      <c r="M63" s="56"/>
    </row>
    <row r="64" spans="1:13" ht="15" thickBot="1" x14ac:dyDescent="0.25">
      <c r="A64" s="75"/>
      <c r="B64" s="43"/>
      <c r="C64" s="76"/>
      <c r="D64" s="77"/>
      <c r="E64" s="56"/>
      <c r="F64" s="146"/>
      <c r="G64" s="76"/>
      <c r="H64" s="77"/>
      <c r="I64" s="56"/>
      <c r="J64" s="146"/>
      <c r="K64" s="76"/>
      <c r="L64" s="77"/>
      <c r="M64" s="56"/>
    </row>
    <row r="65" spans="1:13" ht="15" x14ac:dyDescent="0.25">
      <c r="A65" s="88" t="s">
        <v>144</v>
      </c>
      <c r="B65" s="89" t="s">
        <v>101</v>
      </c>
      <c r="C65" s="90" t="e">
        <f>+#REF!+#REF!+#REF!</f>
        <v>#REF!</v>
      </c>
      <c r="D65" s="91">
        <f>+SUM('FY15 Budget'!F202:F203)</f>
        <v>37838</v>
      </c>
      <c r="E65" s="92" t="e">
        <f>+D65-C65</f>
        <v>#REF!</v>
      </c>
      <c r="F65" s="146"/>
      <c r="G65" s="90" t="e">
        <f>+#REF!+#REF!+#REF!</f>
        <v>#REF!</v>
      </c>
      <c r="H65" s="91">
        <f>+SUM('FY15 Budget'!C202:C203)+SUM('FY15 Budget'!D202:D203)+SUM('FY15 Budget'!E202:E203)+SUM('FY15 Budget'!F202:F203)</f>
        <v>160812</v>
      </c>
      <c r="I65" s="92" t="e">
        <f>+H65-G65</f>
        <v>#REF!</v>
      </c>
      <c r="J65" s="146"/>
      <c r="K65" s="90">
        <f>+SUM('FY15 Budget'!O202:O203)</f>
        <v>491896</v>
      </c>
      <c r="L65" s="91">
        <f>+SUM('FY15 Current Forecast'!O218:O221)</f>
        <v>0</v>
      </c>
      <c r="M65" s="92">
        <f>+L65-K65</f>
        <v>-491896</v>
      </c>
    </row>
    <row r="66" spans="1:13" x14ac:dyDescent="0.2">
      <c r="A66" s="122"/>
      <c r="B66" s="123" t="s">
        <v>102</v>
      </c>
      <c r="C66" s="124" t="e">
        <f>+#REF!+#REF!+#REF!+#REF!-C69</f>
        <v>#REF!</v>
      </c>
      <c r="D66" s="125">
        <f>+SUM('FY15 Budget'!F200:F201)</f>
        <v>109441</v>
      </c>
      <c r="E66" s="126" t="e">
        <f>+D66-C66</f>
        <v>#REF!</v>
      </c>
      <c r="F66" s="146"/>
      <c r="G66" s="124" t="e">
        <f>+#REF!+#REF!+#REF!+#REF!-G69</f>
        <v>#REF!</v>
      </c>
      <c r="H66" s="125">
        <f>+SUM('FY15 Budget'!C200:C201)+SUM('FY15 Budget'!D200:D201)+SUM('FY15 Budget'!E200:E201)+SUM('FY15 Budget'!F200:F201)</f>
        <v>465125</v>
      </c>
      <c r="I66" s="126" t="e">
        <f>+H66-G66</f>
        <v>#REF!</v>
      </c>
      <c r="J66" s="146"/>
      <c r="K66" s="124">
        <f>+SUM('FY15 Budget'!O200:O201)</f>
        <v>1422737</v>
      </c>
      <c r="L66" s="125">
        <f>+SUM('FY15 Current Forecast'!O215:O217)</f>
        <v>0</v>
      </c>
      <c r="M66" s="126">
        <f>+L66-K66</f>
        <v>-1422737</v>
      </c>
    </row>
    <row r="67" spans="1:13" x14ac:dyDescent="0.2">
      <c r="A67" s="122"/>
      <c r="B67" s="123" t="s">
        <v>155</v>
      </c>
      <c r="C67" s="177" t="e">
        <f>+#REF!</f>
        <v>#REF!</v>
      </c>
      <c r="D67" s="166" t="str">
        <f>+'FY15 Budget'!F185</f>
        <v xml:space="preserve">0 </v>
      </c>
      <c r="E67" s="126" t="e">
        <f>+D67-C67</f>
        <v>#REF!</v>
      </c>
      <c r="F67" s="146"/>
      <c r="G67" s="124" t="e">
        <f>+#REF!</f>
        <v>#REF!</v>
      </c>
      <c r="H67" s="166">
        <f>+'FY15 Budget'!C185+'FY15 Budget'!D185+'FY15 Budget'!E185+'FY15 Budget'!F185</f>
        <v>0</v>
      </c>
      <c r="I67" s="126" t="e">
        <f>+H67-G67</f>
        <v>#REF!</v>
      </c>
      <c r="J67" s="146"/>
      <c r="K67" s="177">
        <f>+'FY15 Budget'!O185</f>
        <v>0</v>
      </c>
      <c r="L67" s="166">
        <f>+'FY15 Current Forecast'!O207</f>
        <v>0</v>
      </c>
      <c r="M67" s="126">
        <f>+L67-K67</f>
        <v>0</v>
      </c>
    </row>
    <row r="68" spans="1:13" x14ac:dyDescent="0.2">
      <c r="A68" s="122"/>
      <c r="B68" s="123" t="s">
        <v>146</v>
      </c>
      <c r="C68" s="124"/>
      <c r="D68" s="166"/>
      <c r="E68" s="126">
        <f>+D68-C68</f>
        <v>0</v>
      </c>
      <c r="F68" s="146"/>
      <c r="G68" s="124"/>
      <c r="H68" s="166"/>
      <c r="I68" s="126">
        <f>+H68-G68</f>
        <v>0</v>
      </c>
      <c r="J68" s="146"/>
      <c r="K68" s="177"/>
      <c r="L68" s="166"/>
      <c r="M68" s="126">
        <f>+L68-K68</f>
        <v>0</v>
      </c>
    </row>
    <row r="69" spans="1:13" x14ac:dyDescent="0.2">
      <c r="A69" s="127"/>
      <c r="B69" s="128" t="s">
        <v>124</v>
      </c>
      <c r="C69" s="124">
        <v>0</v>
      </c>
      <c r="D69" s="125"/>
      <c r="E69" s="126">
        <f>+D69-C69</f>
        <v>0</v>
      </c>
      <c r="F69" s="151"/>
      <c r="G69" s="124">
        <f>+C69</f>
        <v>0</v>
      </c>
      <c r="H69" s="125"/>
      <c r="I69" s="126">
        <f>+H69-G69</f>
        <v>0</v>
      </c>
      <c r="J69" s="151"/>
      <c r="K69" s="124"/>
      <c r="L69" s="125"/>
      <c r="M69" s="126">
        <f>+L69-K69</f>
        <v>0</v>
      </c>
    </row>
    <row r="70" spans="1:13" ht="15.75" thickBot="1" x14ac:dyDescent="0.3">
      <c r="A70" s="129"/>
      <c r="B70" s="94" t="s">
        <v>122</v>
      </c>
      <c r="C70" s="95" t="e">
        <f>SUM(C65:C69)</f>
        <v>#REF!</v>
      </c>
      <c r="D70" s="96">
        <f>SUM(D65:D69)</f>
        <v>147279</v>
      </c>
      <c r="E70" s="97" t="e">
        <f>SUM(E65:E69)</f>
        <v>#REF!</v>
      </c>
      <c r="F70" s="151"/>
      <c r="G70" s="95" t="e">
        <f>SUM(G65:G69)</f>
        <v>#REF!</v>
      </c>
      <c r="H70" s="96">
        <f>SUM(H65:H69)</f>
        <v>625937</v>
      </c>
      <c r="I70" s="97" t="e">
        <f>SUM(I65:I69)</f>
        <v>#REF!</v>
      </c>
      <c r="J70" s="151"/>
      <c r="K70" s="95">
        <f>SUM(K65:K69)</f>
        <v>1914633</v>
      </c>
      <c r="L70" s="96">
        <f>SUM(L65:L69)</f>
        <v>0</v>
      </c>
      <c r="M70" s="97">
        <f>SUM(M65:M69)</f>
        <v>-1914633</v>
      </c>
    </row>
    <row r="71" spans="1:13" ht="15" thickBot="1" x14ac:dyDescent="0.25">
      <c r="A71" s="75"/>
      <c r="B71" s="43"/>
      <c r="C71" s="76"/>
      <c r="D71" s="77"/>
      <c r="E71" s="56"/>
      <c r="F71" s="146"/>
      <c r="G71" s="76"/>
      <c r="H71" s="77"/>
      <c r="I71" s="56"/>
      <c r="J71" s="146"/>
      <c r="K71" s="76"/>
      <c r="L71" s="77"/>
      <c r="M71" s="56"/>
    </row>
    <row r="72" spans="1:13" ht="15.75" thickBot="1" x14ac:dyDescent="0.3">
      <c r="A72" s="130" t="s">
        <v>156</v>
      </c>
      <c r="B72" s="131" t="s">
        <v>110</v>
      </c>
      <c r="C72" s="132" t="e">
        <f>SUM(#REF!)-C74</f>
        <v>#REF!</v>
      </c>
      <c r="D72" s="133" t="str">
        <f>+'FY15 Budget'!F292</f>
        <v xml:space="preserve">0 </v>
      </c>
      <c r="E72" s="134" t="e">
        <f>+D72-C72</f>
        <v>#REF!</v>
      </c>
      <c r="F72" s="146"/>
      <c r="G72" s="132" t="e">
        <f>SUM(#REF!)-G74</f>
        <v>#REF!</v>
      </c>
      <c r="H72" s="133">
        <f>+'FY15 Budget'!C292+'FY15 Budget'!D292+'FY15 Budget'!E292+'FY15 Budget'!F292</f>
        <v>0</v>
      </c>
      <c r="I72" s="134" t="e">
        <f>+H72-G72</f>
        <v>#REF!</v>
      </c>
      <c r="J72" s="146"/>
      <c r="K72" s="132" t="str">
        <f>+'FY15 Budget'!O292</f>
        <v xml:space="preserve">0 </v>
      </c>
      <c r="L72" s="133">
        <f>+'FY15 Current Forecast'!O305+'FY15 Current Forecast'!O222+'FY15 Current Forecast'!O306</f>
        <v>0</v>
      </c>
      <c r="M72" s="134">
        <f>+L72-K72</f>
        <v>0</v>
      </c>
    </row>
    <row r="73" spans="1:13" ht="15" x14ac:dyDescent="0.25">
      <c r="A73" s="189"/>
      <c r="B73" s="190" t="s">
        <v>146</v>
      </c>
      <c r="C73" s="191" t="e">
        <f>+#REF!+#REF!</f>
        <v>#REF!</v>
      </c>
      <c r="D73" s="192" t="str">
        <f>+'FY15 Budget'!F277</f>
        <v xml:space="preserve">0 </v>
      </c>
      <c r="E73" s="134" t="e">
        <f>+D73-C73</f>
        <v>#REF!</v>
      </c>
      <c r="F73" s="146"/>
      <c r="G73" s="191" t="e">
        <f>+#REF!+#REF!</f>
        <v>#REF!</v>
      </c>
      <c r="H73" s="192">
        <f>+'FY15 Budget'!C277+'FY15 Budget'!D277+'FY15 Budget'!E277+'FY15 Budget'!F277</f>
        <v>0</v>
      </c>
      <c r="I73" s="134" t="e">
        <f>+H73-G73</f>
        <v>#REF!</v>
      </c>
      <c r="J73" s="146"/>
      <c r="K73" s="191">
        <f>+'FY15 Budget'!O277</f>
        <v>0</v>
      </c>
      <c r="L73" s="192" t="e">
        <f>+'FY15 Current Forecast'!#REF!+'FY15 Current Forecast'!O304</f>
        <v>#REF!</v>
      </c>
      <c r="M73" s="134" t="e">
        <f>+L73-K73</f>
        <v>#REF!</v>
      </c>
    </row>
    <row r="74" spans="1:13" ht="15" thickBot="1" x14ac:dyDescent="0.25">
      <c r="A74" s="135"/>
      <c r="B74" s="136" t="s">
        <v>124</v>
      </c>
      <c r="C74" s="144">
        <v>0</v>
      </c>
      <c r="D74" s="139"/>
      <c r="E74" s="145">
        <f>+D74-C74</f>
        <v>0</v>
      </c>
      <c r="F74" s="146"/>
      <c r="G74" s="144">
        <f>+C74</f>
        <v>0</v>
      </c>
      <c r="H74" s="139"/>
      <c r="I74" s="145">
        <f>+H74-G74</f>
        <v>0</v>
      </c>
      <c r="J74" s="146"/>
      <c r="K74" s="144"/>
      <c r="L74" s="139"/>
      <c r="M74" s="145">
        <f>+L74-K74</f>
        <v>0</v>
      </c>
    </row>
    <row r="75" spans="1:13" ht="15.75" thickBot="1" x14ac:dyDescent="0.3">
      <c r="A75" s="137"/>
      <c r="B75" s="138" t="s">
        <v>123</v>
      </c>
      <c r="C75" s="141" t="e">
        <f>SUM(C72:C74)</f>
        <v>#REF!</v>
      </c>
      <c r="D75" s="142">
        <f>SUM(D72:D74)</f>
        <v>0</v>
      </c>
      <c r="E75" s="143" t="e">
        <f>SUM(E72:E74)</f>
        <v>#REF!</v>
      </c>
      <c r="F75" s="146"/>
      <c r="G75" s="141" t="e">
        <f>SUM(G72:G74)</f>
        <v>#REF!</v>
      </c>
      <c r="H75" s="142">
        <f>SUM(H72:H74)</f>
        <v>0</v>
      </c>
      <c r="I75" s="143" t="e">
        <f>SUM(I72:I74)</f>
        <v>#REF!</v>
      </c>
      <c r="J75" s="146"/>
      <c r="K75" s="141">
        <f>SUM(K72:K74)</f>
        <v>0</v>
      </c>
      <c r="L75" s="142" t="e">
        <f>SUM(L72:L74)</f>
        <v>#REF!</v>
      </c>
      <c r="M75" s="143" t="e">
        <f>SUM(M72:M74)</f>
        <v>#REF!</v>
      </c>
    </row>
    <row r="76" spans="1:13" ht="15" thickBot="1" x14ac:dyDescent="0.25">
      <c r="A76" s="43"/>
      <c r="B76" s="43"/>
      <c r="C76" s="76"/>
      <c r="D76" s="77"/>
      <c r="E76" s="56"/>
      <c r="F76" s="146"/>
      <c r="G76" s="76"/>
      <c r="H76" s="77"/>
      <c r="I76" s="56"/>
      <c r="J76" s="146"/>
      <c r="K76" s="76"/>
      <c r="L76" s="77"/>
      <c r="M76" s="56"/>
    </row>
    <row r="77" spans="1:13" ht="15.75" thickBot="1" x14ac:dyDescent="0.3">
      <c r="A77" s="98"/>
      <c r="B77" s="99" t="s">
        <v>157</v>
      </c>
      <c r="C77" s="100" t="e">
        <f>SUM(C75,C70,C62,C58)</f>
        <v>#REF!</v>
      </c>
      <c r="D77" s="101">
        <f>SUM(D75,D70,D62,D58)</f>
        <v>860419.33068143204</v>
      </c>
      <c r="E77" s="102" t="e">
        <f>SUM(E75,E70,E62,E58)</f>
        <v>#REF!</v>
      </c>
      <c r="F77" s="146"/>
      <c r="G77" s="100" t="e">
        <f>SUM(G75,G70,G62,G58)</f>
        <v>#REF!</v>
      </c>
      <c r="H77" s="101">
        <f>SUM(H75,H70,H62,H58)</f>
        <v>3656966.7466166103</v>
      </c>
      <c r="I77" s="102" t="e">
        <f>SUM(I75,I70,I62,I58)</f>
        <v>#REF!</v>
      </c>
      <c r="J77" s="146"/>
      <c r="K77" s="100">
        <f>SUM(K75,K70,K62,K58)</f>
        <v>11094490.302506058</v>
      </c>
      <c r="L77" s="101" t="e">
        <f>SUM(L75,L70,L62,L58)</f>
        <v>#REF!</v>
      </c>
      <c r="M77" s="102" t="e">
        <f>SUM(M75,M70,M62,M58)</f>
        <v>#REF!</v>
      </c>
    </row>
    <row r="78" spans="1:13" ht="15" thickBot="1" x14ac:dyDescent="0.25">
      <c r="A78" s="75"/>
      <c r="C78" s="178"/>
      <c r="D78" s="179"/>
      <c r="E78" s="180"/>
      <c r="F78" s="146"/>
      <c r="G78" s="178"/>
      <c r="H78" s="179"/>
      <c r="I78" s="180"/>
      <c r="J78" s="146"/>
      <c r="K78" s="178"/>
      <c r="L78" s="179"/>
      <c r="M78" s="180"/>
    </row>
    <row r="79" spans="1:13" ht="15.75" thickBot="1" x14ac:dyDescent="0.3">
      <c r="A79" s="98"/>
      <c r="B79" s="99" t="s">
        <v>158</v>
      </c>
      <c r="C79" s="100" t="e">
        <f>+C77+C24</f>
        <v>#REF!</v>
      </c>
      <c r="D79" s="101">
        <f>+D77+D24</f>
        <v>1002339.4433928073</v>
      </c>
      <c r="E79" s="102" t="e">
        <f>+D79-C79</f>
        <v>#REF!</v>
      </c>
      <c r="F79" s="146"/>
      <c r="G79" s="100" t="e">
        <f>+G77+G24</f>
        <v>#REF!</v>
      </c>
      <c r="H79" s="101">
        <f>+H77+H24</f>
        <v>4253448.734415005</v>
      </c>
      <c r="I79" s="171" t="e">
        <f>+H79-G79</f>
        <v>#REF!</v>
      </c>
      <c r="J79" s="146"/>
      <c r="K79" s="100">
        <f>+K77+K24</f>
        <v>12917866.328827901</v>
      </c>
      <c r="L79" s="101" t="e">
        <f>+L77+L24</f>
        <v>#REF!</v>
      </c>
      <c r="M79" s="171" t="e">
        <f>+L79-K79</f>
        <v>#REF!</v>
      </c>
    </row>
    <row r="80" spans="1:13" x14ac:dyDescent="0.2">
      <c r="A80" s="75"/>
      <c r="C80" s="140"/>
      <c r="F80" s="146"/>
      <c r="J80" s="146"/>
      <c r="L80" s="140"/>
    </row>
    <row r="81" spans="2:12" x14ac:dyDescent="0.2">
      <c r="B81" s="45" t="s">
        <v>185</v>
      </c>
      <c r="C81" s="193">
        <v>3078785.41</v>
      </c>
      <c r="D81" s="193">
        <v>3111012.6635185839</v>
      </c>
      <c r="E81" s="169"/>
      <c r="G81" s="193">
        <v>12760406.32</v>
      </c>
      <c r="H81" s="193">
        <v>13588898.005201085</v>
      </c>
      <c r="K81" s="194" t="s">
        <v>186</v>
      </c>
      <c r="L81" s="169"/>
    </row>
    <row r="82" spans="2:12" x14ac:dyDescent="0.2">
      <c r="C82" s="169"/>
      <c r="D82" s="169"/>
      <c r="G82" s="169"/>
      <c r="H82" s="169"/>
      <c r="K82" s="169"/>
      <c r="L82" s="169"/>
    </row>
  </sheetData>
  <mergeCells count="3">
    <mergeCell ref="C2:E2"/>
    <mergeCell ref="G2:I2"/>
    <mergeCell ref="K2:M2"/>
  </mergeCells>
  <pageMargins left="0.22" right="0.16" top="0.36" bottom="0.28000000000000003" header="0.3" footer="0.23"/>
  <pageSetup scale="6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19"/>
  <sheetViews>
    <sheetView workbookViewId="0">
      <pane xSplit="2" ySplit="4" topLeftCell="C5" activePane="bottomRight" state="frozen"/>
      <selection activeCell="E17" sqref="E17"/>
      <selection pane="topRight" activeCell="E17" sqref="E17"/>
      <selection pane="bottomLeft" activeCell="E17" sqref="E17"/>
      <selection pane="bottomRight" activeCell="E17" sqref="E17"/>
    </sheetView>
  </sheetViews>
  <sheetFormatPr defaultColWidth="8" defaultRowHeight="12.75" x14ac:dyDescent="0.2"/>
  <cols>
    <col min="1" max="1" width="28.375" style="22" bestFit="1" customWidth="1"/>
    <col min="2" max="2" width="8" style="22" customWidth="1"/>
    <col min="3" max="4" width="13.125" style="22" bestFit="1" customWidth="1"/>
    <col min="5" max="5" width="12.75" style="22" bestFit="1" customWidth="1"/>
    <col min="6" max="6" width="13.125" style="22" bestFit="1" customWidth="1"/>
    <col min="7" max="8" width="11.5" style="22" bestFit="1" customWidth="1"/>
    <col min="9" max="15" width="17.25" style="22" bestFit="1" customWidth="1"/>
    <col min="16" max="16384" width="8" style="22"/>
  </cols>
  <sheetData>
    <row r="2" spans="1:15" x14ac:dyDescent="0.2">
      <c r="C2" s="7" t="s">
        <v>100</v>
      </c>
      <c r="D2" s="7" t="s">
        <v>100</v>
      </c>
      <c r="E2" s="7" t="s">
        <v>100</v>
      </c>
      <c r="F2" s="7" t="s">
        <v>100</v>
      </c>
      <c r="G2" s="7" t="s">
        <v>100</v>
      </c>
      <c r="H2" s="7" t="s">
        <v>100</v>
      </c>
      <c r="I2" s="7" t="s">
        <v>100</v>
      </c>
      <c r="J2" s="7" t="s">
        <v>100</v>
      </c>
      <c r="K2" s="7" t="s">
        <v>100</v>
      </c>
      <c r="L2" s="7" t="s">
        <v>100</v>
      </c>
      <c r="M2" s="7" t="s">
        <v>100</v>
      </c>
      <c r="N2" s="7" t="s">
        <v>100</v>
      </c>
      <c r="O2" s="7" t="s">
        <v>100</v>
      </c>
    </row>
    <row r="3" spans="1:15" x14ac:dyDescent="0.2">
      <c r="C3" s="6" t="s">
        <v>109</v>
      </c>
      <c r="D3" s="6" t="s">
        <v>109</v>
      </c>
      <c r="E3" s="6" t="s">
        <v>109</v>
      </c>
      <c r="F3" s="6" t="s">
        <v>134</v>
      </c>
      <c r="G3" s="6" t="s">
        <v>134</v>
      </c>
      <c r="H3" s="6" t="s">
        <v>134</v>
      </c>
      <c r="I3" s="6" t="s">
        <v>134</v>
      </c>
      <c r="J3" s="6" t="s">
        <v>134</v>
      </c>
      <c r="K3" s="6" t="s">
        <v>134</v>
      </c>
      <c r="L3" s="6" t="s">
        <v>134</v>
      </c>
      <c r="M3" s="6" t="s">
        <v>134</v>
      </c>
      <c r="N3" s="6" t="s">
        <v>134</v>
      </c>
      <c r="O3" s="6" t="s">
        <v>134</v>
      </c>
    </row>
    <row r="4" spans="1:15" x14ac:dyDescent="0.2">
      <c r="C4" s="7" t="s">
        <v>1</v>
      </c>
      <c r="D4" s="7" t="s">
        <v>2</v>
      </c>
      <c r="E4" s="7" t="s">
        <v>3</v>
      </c>
      <c r="F4" s="7" t="s">
        <v>4</v>
      </c>
      <c r="G4" s="11" t="s">
        <v>5</v>
      </c>
      <c r="H4" s="11" t="s">
        <v>6</v>
      </c>
      <c r="I4" s="11" t="s">
        <v>7</v>
      </c>
      <c r="J4" s="11" t="s">
        <v>8</v>
      </c>
      <c r="K4" s="11" t="s">
        <v>9</v>
      </c>
      <c r="L4" s="11" t="s">
        <v>10</v>
      </c>
      <c r="M4" s="11" t="s">
        <v>11</v>
      </c>
      <c r="N4" s="11" t="s">
        <v>12</v>
      </c>
      <c r="O4" s="11" t="s">
        <v>13</v>
      </c>
    </row>
    <row r="5" spans="1:15" x14ac:dyDescent="0.2">
      <c r="C5" s="7"/>
      <c r="D5" s="7"/>
      <c r="E5" s="7"/>
      <c r="F5" s="7"/>
      <c r="G5" s="11"/>
      <c r="H5" s="11"/>
      <c r="I5" s="11"/>
      <c r="J5" s="11"/>
      <c r="K5" s="11"/>
      <c r="L5" s="11"/>
      <c r="M5" s="11"/>
      <c r="N5" s="11"/>
      <c r="O5" s="11"/>
    </row>
    <row r="6" spans="1:15" x14ac:dyDescent="0.2">
      <c r="A6" s="27" t="s">
        <v>135</v>
      </c>
      <c r="C6" s="7"/>
      <c r="D6" s="7"/>
      <c r="E6" s="7"/>
      <c r="F6" s="7"/>
      <c r="G6" s="11"/>
      <c r="H6" s="11"/>
      <c r="I6" s="11"/>
      <c r="J6" s="11"/>
      <c r="K6" s="11"/>
      <c r="L6" s="11"/>
      <c r="M6" s="11"/>
      <c r="N6" s="11"/>
      <c r="O6" s="11"/>
    </row>
    <row r="7" spans="1:15" x14ac:dyDescent="0.2">
      <c r="A7" s="24"/>
      <c r="C7" s="7"/>
      <c r="D7" s="7"/>
      <c r="E7" s="7"/>
      <c r="F7" s="7"/>
      <c r="G7" s="11"/>
      <c r="H7" s="11"/>
      <c r="I7" s="11"/>
      <c r="J7" s="11"/>
      <c r="K7" s="11"/>
      <c r="L7" s="11"/>
      <c r="M7" s="11"/>
      <c r="N7" s="11"/>
      <c r="O7" s="11"/>
    </row>
    <row r="8" spans="1:15" x14ac:dyDescent="0.2">
      <c r="C8" s="7"/>
      <c r="D8" s="7"/>
      <c r="E8" s="7"/>
      <c r="F8" s="7"/>
      <c r="G8" s="11"/>
      <c r="H8" s="11"/>
      <c r="I8" s="11"/>
      <c r="J8" s="11"/>
      <c r="K8" s="11"/>
      <c r="L8" s="11"/>
      <c r="M8" s="11"/>
      <c r="N8" s="11"/>
      <c r="O8" s="11"/>
    </row>
    <row r="9" spans="1:15" x14ac:dyDescent="0.2">
      <c r="C9" s="7"/>
      <c r="D9" s="7"/>
      <c r="E9" s="7"/>
      <c r="F9" s="7"/>
      <c r="G9" s="11"/>
      <c r="H9" s="11"/>
      <c r="I9" s="11"/>
      <c r="J9" s="11"/>
      <c r="K9" s="11"/>
      <c r="L9" s="11"/>
      <c r="M9" s="11"/>
      <c r="N9" s="11"/>
      <c r="O9" s="11"/>
    </row>
    <row r="10" spans="1:15" x14ac:dyDescent="0.2"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" x14ac:dyDescent="0.2">
      <c r="O11" s="3"/>
    </row>
    <row r="12" spans="1:15" x14ac:dyDescent="0.2">
      <c r="O12" s="3"/>
    </row>
    <row r="13" spans="1:15" x14ac:dyDescent="0.2">
      <c r="A13" s="23" t="s">
        <v>105</v>
      </c>
      <c r="C13" s="5">
        <v>16691751.000000002</v>
      </c>
      <c r="D13" s="5">
        <v>18245665.48</v>
      </c>
      <c r="E13" s="5">
        <v>16257950.639999999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11">
        <v>25560511.970000003</v>
      </c>
    </row>
    <row r="14" spans="1:15" x14ac:dyDescent="0.2">
      <c r="O14" s="3"/>
    </row>
    <row r="15" spans="1:15" x14ac:dyDescent="0.2">
      <c r="A15" s="23" t="s">
        <v>106</v>
      </c>
      <c r="C15" s="3">
        <v>14855176.790000001</v>
      </c>
      <c r="D15" s="3">
        <v>17523773.789999999</v>
      </c>
      <c r="E15" s="3">
        <v>12800016.66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11">
        <v>-168.3</v>
      </c>
    </row>
    <row r="16" spans="1:15" x14ac:dyDescent="0.2">
      <c r="A16" s="23" t="s">
        <v>107</v>
      </c>
      <c r="C16" s="3">
        <v>4683542.84</v>
      </c>
      <c r="D16" s="3">
        <v>5714064.04</v>
      </c>
      <c r="E16" s="3">
        <v>-10702907.400000002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11">
        <v>-366473.37000000064</v>
      </c>
    </row>
    <row r="17" spans="3:15" x14ac:dyDescent="0.2"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3"/>
    </row>
    <row r="18" spans="3:15" x14ac:dyDescent="0.2">
      <c r="O18" s="25"/>
    </row>
    <row r="19" spans="3:15" x14ac:dyDescent="0.2">
      <c r="F19" s="32"/>
    </row>
  </sheetData>
  <phoneticPr fontId="4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16"/>
  <sheetViews>
    <sheetView workbookViewId="0">
      <pane xSplit="2" ySplit="4" topLeftCell="C5" activePane="bottomRight" state="frozen"/>
      <selection activeCell="O15" sqref="O15"/>
      <selection pane="topRight" activeCell="O15" sqref="O15"/>
      <selection pane="bottomLeft" activeCell="O15" sqref="O15"/>
      <selection pane="bottomRight" activeCell="E17" sqref="E17"/>
    </sheetView>
  </sheetViews>
  <sheetFormatPr defaultColWidth="8" defaultRowHeight="12.75" x14ac:dyDescent="0.2"/>
  <cols>
    <col min="1" max="1" width="28.375" style="22" bestFit="1" customWidth="1"/>
    <col min="2" max="2" width="8" style="22" customWidth="1"/>
    <col min="3" max="3" width="12.125" style="22" bestFit="1" customWidth="1"/>
    <col min="4" max="4" width="13.125" style="22" bestFit="1" customWidth="1"/>
    <col min="5" max="5" width="12.75" style="22" bestFit="1" customWidth="1"/>
    <col min="6" max="6" width="13.125" style="22" bestFit="1" customWidth="1"/>
    <col min="7" max="8" width="11.5" style="22" bestFit="1" customWidth="1"/>
    <col min="9" max="14" width="11" style="22" bestFit="1" customWidth="1"/>
    <col min="15" max="15" width="17.25" style="22" bestFit="1" customWidth="1"/>
    <col min="16" max="16384" width="8" style="22"/>
  </cols>
  <sheetData>
    <row r="2" spans="1:15" x14ac:dyDescent="0.2">
      <c r="C2" s="7" t="s">
        <v>100</v>
      </c>
      <c r="D2" s="7" t="s">
        <v>100</v>
      </c>
      <c r="E2" s="7" t="s">
        <v>100</v>
      </c>
      <c r="F2" s="7" t="s">
        <v>100</v>
      </c>
      <c r="G2" s="7" t="s">
        <v>100</v>
      </c>
      <c r="H2" s="7" t="s">
        <v>100</v>
      </c>
      <c r="I2" s="7" t="s">
        <v>100</v>
      </c>
      <c r="J2" s="7" t="s">
        <v>100</v>
      </c>
      <c r="K2" s="7" t="s">
        <v>100</v>
      </c>
      <c r="L2" s="7" t="s">
        <v>100</v>
      </c>
      <c r="M2" s="7" t="s">
        <v>100</v>
      </c>
      <c r="N2" s="7" t="s">
        <v>100</v>
      </c>
      <c r="O2" s="7" t="s">
        <v>100</v>
      </c>
    </row>
    <row r="3" spans="1:15" x14ac:dyDescent="0.2">
      <c r="C3" s="6" t="s">
        <v>93</v>
      </c>
      <c r="D3" s="6" t="s">
        <v>93</v>
      </c>
      <c r="E3" s="6" t="s">
        <v>93</v>
      </c>
      <c r="F3" s="6" t="s">
        <v>93</v>
      </c>
      <c r="G3" s="6" t="s">
        <v>93</v>
      </c>
      <c r="H3" s="6" t="s">
        <v>93</v>
      </c>
      <c r="I3" s="6" t="s">
        <v>93</v>
      </c>
      <c r="J3" s="6" t="s">
        <v>93</v>
      </c>
      <c r="K3" s="6" t="s">
        <v>93</v>
      </c>
      <c r="L3" s="6" t="s">
        <v>93</v>
      </c>
      <c r="M3" s="6" t="s">
        <v>93</v>
      </c>
      <c r="N3" s="6" t="s">
        <v>93</v>
      </c>
      <c r="O3" s="6" t="s">
        <v>93</v>
      </c>
    </row>
    <row r="4" spans="1:15" x14ac:dyDescent="0.2">
      <c r="C4" s="7" t="s">
        <v>1</v>
      </c>
      <c r="D4" s="7" t="s">
        <v>2</v>
      </c>
      <c r="E4" s="7" t="s">
        <v>3</v>
      </c>
      <c r="F4" s="7" t="s">
        <v>4</v>
      </c>
      <c r="G4" s="11" t="s">
        <v>5</v>
      </c>
      <c r="H4" s="11" t="s">
        <v>6</v>
      </c>
      <c r="I4" s="11" t="s">
        <v>7</v>
      </c>
      <c r="J4" s="11" t="s">
        <v>8</v>
      </c>
      <c r="K4" s="11" t="s">
        <v>9</v>
      </c>
      <c r="L4" s="11" t="s">
        <v>10</v>
      </c>
      <c r="M4" s="11" t="s">
        <v>11</v>
      </c>
      <c r="N4" s="11" t="s">
        <v>12</v>
      </c>
      <c r="O4" s="11" t="s">
        <v>13</v>
      </c>
    </row>
    <row r="5" spans="1:15" x14ac:dyDescent="0.2">
      <c r="C5" s="7"/>
      <c r="D5" s="7"/>
      <c r="E5" s="7"/>
      <c r="F5" s="7"/>
      <c r="G5" s="11"/>
      <c r="H5" s="11"/>
      <c r="I5" s="11"/>
      <c r="J5" s="11"/>
      <c r="K5" s="11"/>
      <c r="L5" s="11"/>
      <c r="M5" s="11"/>
      <c r="N5" s="11"/>
      <c r="O5" s="11"/>
    </row>
    <row r="6" spans="1:15" x14ac:dyDescent="0.2">
      <c r="A6" s="27" t="s">
        <v>108</v>
      </c>
      <c r="C6" s="7">
        <v>73513712.755083621</v>
      </c>
      <c r="D6" s="7">
        <v>78159267.93319717</v>
      </c>
      <c r="E6" s="7">
        <v>68800829.029203385</v>
      </c>
      <c r="F6" s="7">
        <v>86283803.517952561</v>
      </c>
      <c r="G6" s="11">
        <v>87038405.34492594</v>
      </c>
      <c r="H6" s="11">
        <v>81281779.336896509</v>
      </c>
      <c r="I6" s="11">
        <v>93553845.723455027</v>
      </c>
      <c r="J6" s="11">
        <v>88113337.145471409</v>
      </c>
      <c r="K6" s="11">
        <v>84918299.383443817</v>
      </c>
      <c r="L6" s="11">
        <v>80880852.359136939</v>
      </c>
      <c r="M6" s="11">
        <v>84118739.707132518</v>
      </c>
      <c r="N6" s="11">
        <v>113035796.98943949</v>
      </c>
      <c r="O6" s="11">
        <v>1019698669.2253385</v>
      </c>
    </row>
    <row r="7" spans="1:15" x14ac:dyDescent="0.2">
      <c r="A7" s="27" t="s">
        <v>111</v>
      </c>
      <c r="C7" s="7">
        <v>54967377.703815863</v>
      </c>
      <c r="D7" s="7">
        <v>67446826.36603497</v>
      </c>
      <c r="E7" s="7">
        <v>52691263.764381051</v>
      </c>
      <c r="F7" s="7">
        <v>48628019.193666659</v>
      </c>
      <c r="G7" s="11">
        <v>66894936.073666669</v>
      </c>
      <c r="H7" s="11">
        <v>47213513.815666676</v>
      </c>
      <c r="I7" s="11">
        <v>47214790.421205118</v>
      </c>
      <c r="J7" s="11">
        <v>59485681.796589717</v>
      </c>
      <c r="K7" s="11">
        <v>49432716.009205118</v>
      </c>
      <c r="L7" s="11">
        <v>47634907.733666658</v>
      </c>
      <c r="M7" s="11">
        <v>61890011.024666637</v>
      </c>
      <c r="N7" s="11">
        <v>60462080.767666668</v>
      </c>
      <c r="O7" s="11">
        <v>663962124.67023182</v>
      </c>
    </row>
    <row r="8" spans="1:15" x14ac:dyDescent="0.2">
      <c r="A8" s="27"/>
      <c r="C8" s="7"/>
      <c r="D8" s="7"/>
      <c r="E8" s="7"/>
      <c r="F8" s="7"/>
      <c r="G8" s="11"/>
      <c r="H8" s="11"/>
      <c r="I8" s="11"/>
      <c r="J8" s="11"/>
      <c r="K8" s="11"/>
      <c r="L8" s="11"/>
      <c r="M8" s="11"/>
      <c r="N8" s="11"/>
      <c r="O8" s="11"/>
    </row>
    <row r="9" spans="1:15" x14ac:dyDescent="0.2">
      <c r="A9" s="27"/>
      <c r="C9" s="7"/>
      <c r="D9" s="7"/>
      <c r="E9" s="7"/>
      <c r="F9" s="7"/>
      <c r="G9" s="11"/>
      <c r="H9" s="11"/>
      <c r="I9" s="11"/>
      <c r="J9" s="11"/>
      <c r="K9" s="11"/>
      <c r="L9" s="11"/>
      <c r="M9" s="11"/>
      <c r="N9" s="11"/>
      <c r="O9" s="11"/>
    </row>
    <row r="10" spans="1:15" x14ac:dyDescent="0.2">
      <c r="A10" s="27"/>
      <c r="C10" s="7"/>
      <c r="D10" s="7"/>
      <c r="E10" s="7"/>
      <c r="F10" s="7"/>
      <c r="G10" s="11"/>
      <c r="H10" s="11"/>
      <c r="I10" s="11"/>
      <c r="J10" s="11"/>
      <c r="K10" s="11"/>
      <c r="L10" s="11"/>
      <c r="M10" s="11"/>
      <c r="N10" s="11"/>
      <c r="O10" s="11"/>
    </row>
    <row r="11" spans="1:15" x14ac:dyDescent="0.2">
      <c r="A11" s="27"/>
      <c r="C11" s="7"/>
      <c r="D11" s="7"/>
      <c r="E11" s="7"/>
      <c r="F11" s="7"/>
      <c r="G11" s="11"/>
      <c r="H11" s="11"/>
      <c r="I11" s="11"/>
      <c r="J11" s="11"/>
      <c r="K11" s="11"/>
      <c r="L11" s="11"/>
      <c r="M11" s="11"/>
      <c r="N11" s="11"/>
      <c r="O11" s="11"/>
    </row>
    <row r="12" spans="1:15" x14ac:dyDescent="0.2">
      <c r="A12" s="23" t="s">
        <v>94</v>
      </c>
      <c r="C12" s="3">
        <v>18821055.650000002</v>
      </c>
      <c r="D12" s="3">
        <v>24880983.210000001</v>
      </c>
      <c r="E12" s="3">
        <v>18310376.166666668</v>
      </c>
      <c r="F12" s="3">
        <v>15866627.166666666</v>
      </c>
      <c r="G12" s="3">
        <v>25772272.166666672</v>
      </c>
      <c r="H12" s="3">
        <v>16589457.166666666</v>
      </c>
      <c r="I12" s="3">
        <v>18120585.166666668</v>
      </c>
      <c r="J12" s="3">
        <v>22759271.666666668</v>
      </c>
      <c r="K12" s="3">
        <v>18746674.666666668</v>
      </c>
      <c r="L12" s="3">
        <v>18188737.056666669</v>
      </c>
      <c r="M12" s="3">
        <v>22989028.666666668</v>
      </c>
      <c r="N12" s="3">
        <v>18829508.666666668</v>
      </c>
      <c r="O12" s="3">
        <f>SUM(C12:N12)</f>
        <v>239874577.41666666</v>
      </c>
    </row>
    <row r="13" spans="1:15" x14ac:dyDescent="0.2">
      <c r="O13" s="3">
        <f>SUM(C13:N13)</f>
        <v>0</v>
      </c>
    </row>
    <row r="14" spans="1:15" x14ac:dyDescent="0.2">
      <c r="O14" s="3">
        <f>SUM(C14:N14)</f>
        <v>0</v>
      </c>
    </row>
    <row r="15" spans="1:15" x14ac:dyDescent="0.2">
      <c r="A15" s="23" t="s">
        <v>105</v>
      </c>
      <c r="C15" s="5">
        <v>36238322.053815857</v>
      </c>
      <c r="D15" s="5">
        <v>42674843.156034969</v>
      </c>
      <c r="E15" s="5">
        <v>34066025.097714379</v>
      </c>
      <c r="F15" s="5">
        <v>32822392.026999991</v>
      </c>
      <c r="G15" s="5">
        <v>41278663.906999998</v>
      </c>
      <c r="H15" s="5">
        <v>30056931.649000011</v>
      </c>
      <c r="I15" s="5">
        <v>29168205.25453845</v>
      </c>
      <c r="J15" s="5">
        <v>36819410.129923053</v>
      </c>
      <c r="K15" s="5">
        <v>27677916.34253845</v>
      </c>
      <c r="L15" s="5">
        <v>29520170.67699999</v>
      </c>
      <c r="M15" s="5">
        <v>38993982.357999973</v>
      </c>
      <c r="N15" s="5">
        <v>32574447.101</v>
      </c>
      <c r="O15" s="3">
        <f>SUM(C15:N15)</f>
        <v>411891309.75356519</v>
      </c>
    </row>
    <row r="16" spans="1:15" x14ac:dyDescent="0.2">
      <c r="O16" s="3">
        <f>SUM(C16:N16)</f>
        <v>0</v>
      </c>
    </row>
  </sheetData>
  <phoneticPr fontId="4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350"/>
  <sheetViews>
    <sheetView workbookViewId="0">
      <pane xSplit="2" ySplit="6" topLeftCell="C205" activePane="bottomRight" state="frozen"/>
      <selection pane="topRight" activeCell="C1" sqref="C1"/>
      <selection pane="bottomLeft" activeCell="A4" sqref="A4"/>
      <selection pane="bottomRight" activeCell="A233" sqref="A233:XFD233"/>
    </sheetView>
  </sheetViews>
  <sheetFormatPr defaultColWidth="8" defaultRowHeight="12.75" x14ac:dyDescent="0.2"/>
  <cols>
    <col min="1" max="1" width="33.125" style="1" customWidth="1"/>
    <col min="2" max="2" width="11.625" style="2" customWidth="1"/>
    <col min="3" max="14" width="11.75" style="3" customWidth="1"/>
    <col min="15" max="15" width="13.125" style="36" customWidth="1"/>
    <col min="16" max="16" width="9.875" style="2" bestFit="1" customWidth="1"/>
    <col min="17" max="17" width="10.75" style="2" bestFit="1" customWidth="1"/>
    <col min="18" max="16384" width="8" style="2"/>
  </cols>
  <sheetData>
    <row r="1" spans="1:15" x14ac:dyDescent="0.2">
      <c r="C1" s="31"/>
      <c r="D1" s="4"/>
      <c r="H1" s="31"/>
      <c r="O1" s="5"/>
    </row>
    <row r="2" spans="1:15" x14ac:dyDescent="0.2">
      <c r="C2" s="30" t="s">
        <v>312</v>
      </c>
      <c r="D2" s="30" t="s">
        <v>312</v>
      </c>
      <c r="E2" s="30" t="s">
        <v>312</v>
      </c>
      <c r="F2" s="30" t="s">
        <v>312</v>
      </c>
      <c r="G2" s="30" t="s">
        <v>312</v>
      </c>
      <c r="H2" s="30" t="s">
        <v>312</v>
      </c>
      <c r="I2" s="30" t="s">
        <v>312</v>
      </c>
      <c r="J2" s="30" t="s">
        <v>312</v>
      </c>
      <c r="K2" s="30" t="s">
        <v>312</v>
      </c>
      <c r="L2" s="30" t="s">
        <v>312</v>
      </c>
      <c r="M2" s="30" t="s">
        <v>312</v>
      </c>
      <c r="N2" s="30" t="s">
        <v>312</v>
      </c>
      <c r="O2" s="30"/>
    </row>
    <row r="3" spans="1:15" x14ac:dyDescent="0.2">
      <c r="C3" s="30" t="s">
        <v>211</v>
      </c>
      <c r="D3" s="30" t="s">
        <v>211</v>
      </c>
      <c r="E3" s="30" t="s">
        <v>211</v>
      </c>
      <c r="F3" s="30" t="s">
        <v>211</v>
      </c>
      <c r="G3" s="30" t="s">
        <v>211</v>
      </c>
      <c r="H3" s="30" t="s">
        <v>211</v>
      </c>
      <c r="I3" s="30" t="s">
        <v>211</v>
      </c>
      <c r="J3" s="30" t="s">
        <v>211</v>
      </c>
      <c r="K3" s="30" t="s">
        <v>211</v>
      </c>
      <c r="L3" s="30" t="s">
        <v>211</v>
      </c>
      <c r="M3" s="30" t="s">
        <v>211</v>
      </c>
      <c r="N3" s="30" t="s">
        <v>211</v>
      </c>
      <c r="O3" s="30"/>
    </row>
    <row r="4" spans="1:15" x14ac:dyDescent="0.2">
      <c r="C4" s="30" t="s">
        <v>199</v>
      </c>
      <c r="D4" s="30" t="s">
        <v>199</v>
      </c>
      <c r="E4" s="30" t="s">
        <v>199</v>
      </c>
      <c r="F4" s="30" t="s">
        <v>199</v>
      </c>
      <c r="G4" s="30" t="s">
        <v>199</v>
      </c>
      <c r="H4" s="30" t="s">
        <v>199</v>
      </c>
      <c r="I4" s="30" t="s">
        <v>199</v>
      </c>
      <c r="J4" s="30" t="s">
        <v>199</v>
      </c>
      <c r="K4" s="30" t="s">
        <v>199</v>
      </c>
      <c r="L4" s="30" t="s">
        <v>199</v>
      </c>
      <c r="M4" s="30" t="s">
        <v>199</v>
      </c>
      <c r="N4" s="30" t="s">
        <v>199</v>
      </c>
      <c r="O4" s="30"/>
    </row>
    <row r="5" spans="1:15" x14ac:dyDescent="0.2">
      <c r="C5" s="30" t="s">
        <v>95</v>
      </c>
      <c r="D5" s="30" t="s">
        <v>95</v>
      </c>
      <c r="E5" s="30" t="s">
        <v>95</v>
      </c>
      <c r="F5" s="30" t="s">
        <v>95</v>
      </c>
      <c r="G5" s="30" t="s">
        <v>95</v>
      </c>
      <c r="H5" s="30" t="s">
        <v>95</v>
      </c>
      <c r="I5" s="30" t="s">
        <v>95</v>
      </c>
      <c r="J5" s="30" t="s">
        <v>95</v>
      </c>
      <c r="K5" s="30" t="s">
        <v>95</v>
      </c>
      <c r="L5" s="30" t="s">
        <v>95</v>
      </c>
      <c r="M5" s="30" t="s">
        <v>95</v>
      </c>
      <c r="N5" s="30" t="s">
        <v>95</v>
      </c>
      <c r="O5" s="30"/>
    </row>
    <row r="6" spans="1:15" ht="13.5" customHeight="1" x14ac:dyDescent="0.2">
      <c r="C6" s="34" t="s">
        <v>0</v>
      </c>
      <c r="D6" s="7" t="s">
        <v>0</v>
      </c>
      <c r="E6" s="7" t="s">
        <v>0</v>
      </c>
      <c r="F6" s="7" t="s">
        <v>0</v>
      </c>
      <c r="G6" s="7" t="s">
        <v>0</v>
      </c>
      <c r="H6" s="34" t="s">
        <v>0</v>
      </c>
      <c r="I6" s="7" t="s">
        <v>0</v>
      </c>
      <c r="J6" s="7" t="s">
        <v>0</v>
      </c>
      <c r="K6" s="7" t="s">
        <v>0</v>
      </c>
      <c r="L6" s="7" t="s">
        <v>0</v>
      </c>
      <c r="M6" s="7" t="s">
        <v>0</v>
      </c>
      <c r="N6" s="21" t="s">
        <v>0</v>
      </c>
      <c r="O6" s="21" t="s">
        <v>0</v>
      </c>
    </row>
    <row r="7" spans="1:15" ht="13.5" customHeight="1" x14ac:dyDescent="0.2">
      <c r="B7" s="1"/>
      <c r="C7" s="8" t="s">
        <v>1</v>
      </c>
      <c r="D7" s="8" t="s">
        <v>2</v>
      </c>
      <c r="E7" s="8" t="s">
        <v>3</v>
      </c>
      <c r="F7" s="8" t="s">
        <v>4</v>
      </c>
      <c r="G7" s="8" t="s">
        <v>5</v>
      </c>
      <c r="H7" s="8" t="s">
        <v>6</v>
      </c>
      <c r="I7" s="8" t="s">
        <v>7</v>
      </c>
      <c r="J7" s="8" t="s">
        <v>8</v>
      </c>
      <c r="K7" s="8" t="s">
        <v>9</v>
      </c>
      <c r="L7" s="8" t="s">
        <v>10</v>
      </c>
      <c r="M7" s="8" t="s">
        <v>11</v>
      </c>
      <c r="N7" s="8" t="s">
        <v>12</v>
      </c>
      <c r="O7" s="37" t="s">
        <v>13</v>
      </c>
    </row>
    <row r="8" spans="1:15" ht="13.5" customHeight="1" x14ac:dyDescent="0.2">
      <c r="A8" s="15" t="s">
        <v>16</v>
      </c>
      <c r="B8" s="10" t="s">
        <v>14</v>
      </c>
      <c r="C8" s="6">
        <v>750</v>
      </c>
      <c r="D8" s="6">
        <v>750</v>
      </c>
      <c r="E8" s="6">
        <v>750</v>
      </c>
      <c r="F8" s="6">
        <v>750</v>
      </c>
      <c r="G8" s="6">
        <v>750</v>
      </c>
      <c r="H8" s="6">
        <v>750</v>
      </c>
      <c r="I8" s="6">
        <v>750</v>
      </c>
      <c r="J8" s="6">
        <v>750</v>
      </c>
      <c r="K8" s="6">
        <v>750</v>
      </c>
      <c r="L8" s="6">
        <v>750</v>
      </c>
      <c r="M8" s="6">
        <v>750</v>
      </c>
      <c r="N8" s="6">
        <v>750</v>
      </c>
      <c r="O8" s="38">
        <f t="shared" ref="O8:O39" si="0">SUM(C8:N8)</f>
        <v>9000</v>
      </c>
    </row>
    <row r="9" spans="1:15" ht="13.5" customHeight="1" x14ac:dyDescent="0.2">
      <c r="A9" s="15" t="s">
        <v>17</v>
      </c>
      <c r="B9" s="10" t="s">
        <v>14</v>
      </c>
      <c r="C9" s="6">
        <v>3000</v>
      </c>
      <c r="D9" s="6">
        <v>3000</v>
      </c>
      <c r="E9" s="6">
        <v>3000</v>
      </c>
      <c r="F9" s="6">
        <v>3000</v>
      </c>
      <c r="G9" s="6">
        <v>3000</v>
      </c>
      <c r="H9" s="6">
        <v>3000</v>
      </c>
      <c r="I9" s="6">
        <v>3000</v>
      </c>
      <c r="J9" s="6">
        <v>3000</v>
      </c>
      <c r="K9" s="6">
        <v>3000</v>
      </c>
      <c r="L9" s="6">
        <v>3000</v>
      </c>
      <c r="M9" s="6">
        <v>3000</v>
      </c>
      <c r="N9" s="6">
        <v>3000</v>
      </c>
      <c r="O9" s="38">
        <f t="shared" si="0"/>
        <v>36000</v>
      </c>
    </row>
    <row r="10" spans="1:15" ht="13.5" customHeight="1" x14ac:dyDescent="0.2">
      <c r="A10" s="15" t="s">
        <v>18</v>
      </c>
      <c r="B10" s="10" t="s">
        <v>14</v>
      </c>
      <c r="C10" s="6">
        <v>6000</v>
      </c>
      <c r="D10" s="6">
        <v>6000</v>
      </c>
      <c r="E10" s="6">
        <v>6000</v>
      </c>
      <c r="F10" s="6">
        <v>6000</v>
      </c>
      <c r="G10" s="6">
        <v>6000</v>
      </c>
      <c r="H10" s="6">
        <v>6000</v>
      </c>
      <c r="I10" s="6">
        <v>6000</v>
      </c>
      <c r="J10" s="6">
        <v>6000</v>
      </c>
      <c r="K10" s="6">
        <v>6000</v>
      </c>
      <c r="L10" s="6">
        <v>6000</v>
      </c>
      <c r="M10" s="6">
        <v>6000</v>
      </c>
      <c r="N10" s="6">
        <v>6000</v>
      </c>
      <c r="O10" s="38">
        <f t="shared" si="0"/>
        <v>72000</v>
      </c>
    </row>
    <row r="11" spans="1:15" ht="13.5" customHeight="1" x14ac:dyDescent="0.2">
      <c r="A11" s="15" t="s">
        <v>255</v>
      </c>
      <c r="B11" s="10" t="s">
        <v>14</v>
      </c>
      <c r="C11" s="6">
        <v>150</v>
      </c>
      <c r="D11" s="6">
        <v>150</v>
      </c>
      <c r="E11" s="6">
        <v>150</v>
      </c>
      <c r="F11" s="6">
        <v>150</v>
      </c>
      <c r="G11" s="6">
        <v>150</v>
      </c>
      <c r="H11" s="6">
        <v>150</v>
      </c>
      <c r="I11" s="6">
        <v>150</v>
      </c>
      <c r="J11" s="6">
        <v>150</v>
      </c>
      <c r="K11" s="6">
        <v>150</v>
      </c>
      <c r="L11" s="6">
        <v>150</v>
      </c>
      <c r="M11" s="6">
        <v>150</v>
      </c>
      <c r="N11" s="6">
        <v>150</v>
      </c>
      <c r="O11" s="38">
        <f t="shared" si="0"/>
        <v>1800</v>
      </c>
    </row>
    <row r="12" spans="1:15" ht="13.5" customHeight="1" x14ac:dyDescent="0.2">
      <c r="A12" s="15" t="s">
        <v>39</v>
      </c>
      <c r="B12" s="10" t="s">
        <v>14</v>
      </c>
      <c r="C12" s="6" t="s">
        <v>15</v>
      </c>
      <c r="D12" s="6" t="s">
        <v>15</v>
      </c>
      <c r="E12" s="6" t="s">
        <v>15</v>
      </c>
      <c r="F12" s="6" t="s">
        <v>15</v>
      </c>
      <c r="G12" s="6" t="s">
        <v>15</v>
      </c>
      <c r="H12" s="6" t="s">
        <v>15</v>
      </c>
      <c r="I12" s="6" t="s">
        <v>15</v>
      </c>
      <c r="J12" s="6" t="s">
        <v>15</v>
      </c>
      <c r="K12" s="6" t="s">
        <v>15</v>
      </c>
      <c r="L12" s="6" t="s">
        <v>15</v>
      </c>
      <c r="M12" s="6" t="s">
        <v>15</v>
      </c>
      <c r="N12" s="6" t="s">
        <v>15</v>
      </c>
      <c r="O12" s="38">
        <f t="shared" si="0"/>
        <v>0</v>
      </c>
    </row>
    <row r="13" spans="1:15" ht="13.5" customHeight="1" x14ac:dyDescent="0.2">
      <c r="A13" s="15" t="s">
        <v>19</v>
      </c>
      <c r="B13" s="10" t="s">
        <v>14</v>
      </c>
      <c r="C13" s="6">
        <v>3000</v>
      </c>
      <c r="D13" s="6">
        <v>3000</v>
      </c>
      <c r="E13" s="6">
        <v>3000</v>
      </c>
      <c r="F13" s="6">
        <v>3000</v>
      </c>
      <c r="G13" s="6">
        <v>3000</v>
      </c>
      <c r="H13" s="6">
        <v>3000</v>
      </c>
      <c r="I13" s="6">
        <v>3000</v>
      </c>
      <c r="J13" s="6">
        <v>3000</v>
      </c>
      <c r="K13" s="6">
        <v>3000</v>
      </c>
      <c r="L13" s="6">
        <v>3000</v>
      </c>
      <c r="M13" s="6">
        <v>3000</v>
      </c>
      <c r="N13" s="6">
        <v>3000</v>
      </c>
      <c r="O13" s="38">
        <f t="shared" si="0"/>
        <v>36000</v>
      </c>
    </row>
    <row r="14" spans="1:15" ht="13.5" customHeight="1" x14ac:dyDescent="0.2">
      <c r="A14" s="40" t="s">
        <v>204</v>
      </c>
      <c r="B14" s="10" t="s">
        <v>14</v>
      </c>
      <c r="C14" s="6">
        <v>750</v>
      </c>
      <c r="D14" s="6">
        <v>750</v>
      </c>
      <c r="E14" s="6">
        <v>750</v>
      </c>
      <c r="F14" s="6">
        <v>750</v>
      </c>
      <c r="G14" s="6">
        <v>750</v>
      </c>
      <c r="H14" s="6">
        <v>750</v>
      </c>
      <c r="I14" s="6">
        <v>750</v>
      </c>
      <c r="J14" s="6">
        <v>750</v>
      </c>
      <c r="K14" s="6">
        <v>750</v>
      </c>
      <c r="L14" s="6">
        <v>750</v>
      </c>
      <c r="M14" s="6">
        <v>750</v>
      </c>
      <c r="N14" s="6">
        <v>750</v>
      </c>
      <c r="O14" s="38">
        <f t="shared" si="0"/>
        <v>9000</v>
      </c>
    </row>
    <row r="15" spans="1:15" ht="13.5" customHeight="1" x14ac:dyDescent="0.2">
      <c r="A15" s="15" t="s">
        <v>20</v>
      </c>
      <c r="B15" s="10" t="s">
        <v>14</v>
      </c>
      <c r="C15" s="6" t="s">
        <v>15</v>
      </c>
      <c r="D15" s="6" t="s">
        <v>15</v>
      </c>
      <c r="E15" s="6" t="s">
        <v>15</v>
      </c>
      <c r="F15" s="6" t="s">
        <v>15</v>
      </c>
      <c r="G15" s="6" t="s">
        <v>15</v>
      </c>
      <c r="H15" s="6" t="s">
        <v>15</v>
      </c>
      <c r="I15" s="6" t="s">
        <v>15</v>
      </c>
      <c r="J15" s="6" t="s">
        <v>15</v>
      </c>
      <c r="K15" s="6" t="s">
        <v>15</v>
      </c>
      <c r="L15" s="6" t="s">
        <v>15</v>
      </c>
      <c r="M15" s="6" t="s">
        <v>15</v>
      </c>
      <c r="N15" s="6" t="s">
        <v>15</v>
      </c>
      <c r="O15" s="38">
        <f t="shared" si="0"/>
        <v>0</v>
      </c>
    </row>
    <row r="16" spans="1:15" ht="13.5" customHeight="1" x14ac:dyDescent="0.2">
      <c r="A16" s="15" t="s">
        <v>21</v>
      </c>
      <c r="B16" s="10" t="s">
        <v>14</v>
      </c>
      <c r="C16" s="6">
        <v>216.8622519666549</v>
      </c>
      <c r="D16" s="6">
        <v>191.03066292028501</v>
      </c>
      <c r="E16" s="6">
        <v>200.98426676059651</v>
      </c>
      <c r="F16" s="6">
        <v>200.48237642362341</v>
      </c>
      <c r="G16" s="6">
        <v>196.7667101536486</v>
      </c>
      <c r="H16" s="6">
        <v>203.0830808970295</v>
      </c>
      <c r="I16" s="6">
        <v>202.4443113772455</v>
      </c>
      <c r="J16" s="6">
        <v>199.05069327765591</v>
      </c>
      <c r="K16" s="6">
        <v>201.80554185746161</v>
      </c>
      <c r="L16" s="6">
        <v>201.34927791475869</v>
      </c>
      <c r="M16" s="6">
        <v>197.9541937860385</v>
      </c>
      <c r="N16" s="6">
        <v>197.74479276740641</v>
      </c>
      <c r="O16" s="38">
        <f t="shared" si="0"/>
        <v>2409.5581601024046</v>
      </c>
    </row>
    <row r="17" spans="1:15" ht="13.5" customHeight="1" x14ac:dyDescent="0.2">
      <c r="A17" s="15" t="s">
        <v>40</v>
      </c>
      <c r="B17" s="10" t="s">
        <v>14</v>
      </c>
      <c r="C17" s="6" t="s">
        <v>15</v>
      </c>
      <c r="D17" s="6" t="s">
        <v>15</v>
      </c>
      <c r="E17" s="6" t="s">
        <v>15</v>
      </c>
      <c r="F17" s="6" t="s">
        <v>15</v>
      </c>
      <c r="G17" s="6" t="s">
        <v>15</v>
      </c>
      <c r="H17" s="6" t="s">
        <v>15</v>
      </c>
      <c r="I17" s="6" t="s">
        <v>15</v>
      </c>
      <c r="J17" s="6" t="s">
        <v>15</v>
      </c>
      <c r="K17" s="6" t="s">
        <v>15</v>
      </c>
      <c r="L17" s="6" t="s">
        <v>15</v>
      </c>
      <c r="M17" s="6" t="s">
        <v>15</v>
      </c>
      <c r="N17" s="6" t="s">
        <v>15</v>
      </c>
      <c r="O17" s="38">
        <f t="shared" si="0"/>
        <v>0</v>
      </c>
    </row>
    <row r="18" spans="1:15" ht="13.5" customHeight="1" x14ac:dyDescent="0.2">
      <c r="A18" s="15" t="s">
        <v>22</v>
      </c>
      <c r="B18" s="10" t="s">
        <v>14</v>
      </c>
      <c r="C18" s="172" t="s">
        <v>15</v>
      </c>
      <c r="D18" s="172" t="s">
        <v>15</v>
      </c>
      <c r="E18" s="172" t="s">
        <v>15</v>
      </c>
      <c r="F18" s="172" t="s">
        <v>15</v>
      </c>
      <c r="G18" s="172" t="s">
        <v>15</v>
      </c>
      <c r="H18" s="172" t="s">
        <v>15</v>
      </c>
      <c r="I18" s="172" t="s">
        <v>15</v>
      </c>
      <c r="J18" s="172" t="s">
        <v>15</v>
      </c>
      <c r="K18" s="172" t="s">
        <v>15</v>
      </c>
      <c r="L18" s="172" t="s">
        <v>15</v>
      </c>
      <c r="M18" s="172" t="s">
        <v>15</v>
      </c>
      <c r="N18" s="10" t="s">
        <v>15</v>
      </c>
      <c r="O18" s="38">
        <f t="shared" si="0"/>
        <v>0</v>
      </c>
    </row>
    <row r="19" spans="1:15" ht="13.5" customHeight="1" x14ac:dyDescent="0.2">
      <c r="A19" s="15" t="s">
        <v>23</v>
      </c>
      <c r="B19" s="10" t="s">
        <v>14</v>
      </c>
      <c r="C19" s="6">
        <v>1500</v>
      </c>
      <c r="D19" s="6">
        <v>1500</v>
      </c>
      <c r="E19" s="6">
        <v>1500</v>
      </c>
      <c r="F19" s="6">
        <v>1500</v>
      </c>
      <c r="G19" s="6">
        <v>1500</v>
      </c>
      <c r="H19" s="6">
        <v>1500</v>
      </c>
      <c r="I19" s="6">
        <v>1500</v>
      </c>
      <c r="J19" s="6">
        <v>1500</v>
      </c>
      <c r="K19" s="6">
        <v>1500</v>
      </c>
      <c r="L19" s="6">
        <v>1500</v>
      </c>
      <c r="M19" s="6">
        <v>1500</v>
      </c>
      <c r="N19" s="6">
        <v>1500</v>
      </c>
      <c r="O19" s="38">
        <f t="shared" si="0"/>
        <v>18000</v>
      </c>
    </row>
    <row r="20" spans="1:15" ht="13.5" customHeight="1" x14ac:dyDescent="0.2">
      <c r="A20" s="15" t="s">
        <v>24</v>
      </c>
      <c r="B20" s="10" t="s">
        <v>14</v>
      </c>
      <c r="C20" s="6">
        <v>750</v>
      </c>
      <c r="D20" s="6">
        <v>750</v>
      </c>
      <c r="E20" s="6">
        <v>750</v>
      </c>
      <c r="F20" s="6">
        <v>750</v>
      </c>
      <c r="G20" s="6">
        <v>750</v>
      </c>
      <c r="H20" s="6">
        <v>750</v>
      </c>
      <c r="I20" s="6">
        <v>750</v>
      </c>
      <c r="J20" s="6">
        <v>750</v>
      </c>
      <c r="K20" s="6">
        <v>750</v>
      </c>
      <c r="L20" s="6">
        <v>750</v>
      </c>
      <c r="M20" s="6">
        <v>750</v>
      </c>
      <c r="N20" s="6">
        <v>750</v>
      </c>
      <c r="O20" s="38">
        <f t="shared" si="0"/>
        <v>9000</v>
      </c>
    </row>
    <row r="21" spans="1:15" ht="13.5" customHeight="1" x14ac:dyDescent="0.2">
      <c r="A21" s="15" t="s">
        <v>25</v>
      </c>
      <c r="B21" s="10" t="s">
        <v>14</v>
      </c>
      <c r="C21" s="6">
        <v>1500</v>
      </c>
      <c r="D21" s="6">
        <v>1500</v>
      </c>
      <c r="E21" s="6">
        <v>1500</v>
      </c>
      <c r="F21" s="6">
        <v>1500</v>
      </c>
      <c r="G21" s="6">
        <v>1500</v>
      </c>
      <c r="H21" s="6">
        <v>1500</v>
      </c>
      <c r="I21" s="6">
        <v>1500</v>
      </c>
      <c r="J21" s="6">
        <v>1500</v>
      </c>
      <c r="K21" s="6">
        <v>1500</v>
      </c>
      <c r="L21" s="6">
        <v>1500</v>
      </c>
      <c r="M21" s="6">
        <v>1500</v>
      </c>
      <c r="N21" s="6">
        <v>1500</v>
      </c>
      <c r="O21" s="38">
        <f t="shared" si="0"/>
        <v>18000</v>
      </c>
    </row>
    <row r="22" spans="1:15" ht="13.5" customHeight="1" x14ac:dyDescent="0.2">
      <c r="A22" s="15" t="s">
        <v>26</v>
      </c>
      <c r="B22" s="10" t="s">
        <v>14</v>
      </c>
      <c r="C22" s="6">
        <v>300</v>
      </c>
      <c r="D22" s="6">
        <v>300</v>
      </c>
      <c r="E22" s="6">
        <v>300</v>
      </c>
      <c r="F22" s="6">
        <v>300</v>
      </c>
      <c r="G22" s="6">
        <v>300</v>
      </c>
      <c r="H22" s="6">
        <v>300</v>
      </c>
      <c r="I22" s="6">
        <v>300</v>
      </c>
      <c r="J22" s="6">
        <v>300</v>
      </c>
      <c r="K22" s="6">
        <v>300</v>
      </c>
      <c r="L22" s="6">
        <v>300</v>
      </c>
      <c r="M22" s="6">
        <v>300</v>
      </c>
      <c r="N22" s="6">
        <v>300</v>
      </c>
      <c r="O22" s="38">
        <f t="shared" si="0"/>
        <v>3600</v>
      </c>
    </row>
    <row r="23" spans="1:15" ht="13.5" customHeight="1" x14ac:dyDescent="0.2">
      <c r="A23" s="15" t="s">
        <v>27</v>
      </c>
      <c r="B23" s="10" t="s">
        <v>14</v>
      </c>
      <c r="C23" s="6" t="s">
        <v>15</v>
      </c>
      <c r="D23" s="6" t="s">
        <v>15</v>
      </c>
      <c r="E23" s="6" t="s">
        <v>15</v>
      </c>
      <c r="F23" s="6" t="s">
        <v>15</v>
      </c>
      <c r="G23" s="6" t="s">
        <v>15</v>
      </c>
      <c r="H23" s="6" t="s">
        <v>15</v>
      </c>
      <c r="I23" s="6" t="s">
        <v>15</v>
      </c>
      <c r="J23" s="6" t="s">
        <v>15</v>
      </c>
      <c r="K23" s="6" t="s">
        <v>15</v>
      </c>
      <c r="L23" s="6" t="s">
        <v>15</v>
      </c>
      <c r="M23" s="6" t="s">
        <v>15</v>
      </c>
      <c r="N23" s="6" t="s">
        <v>15</v>
      </c>
      <c r="O23" s="38">
        <f t="shared" si="0"/>
        <v>0</v>
      </c>
    </row>
    <row r="24" spans="1:15" ht="13.5" customHeight="1" x14ac:dyDescent="0.2">
      <c r="A24" s="15" t="s">
        <v>72</v>
      </c>
      <c r="B24" s="10" t="s">
        <v>14</v>
      </c>
      <c r="C24" s="6">
        <v>100</v>
      </c>
      <c r="D24" s="6">
        <v>100</v>
      </c>
      <c r="E24" s="6">
        <v>100</v>
      </c>
      <c r="F24" s="6">
        <v>100</v>
      </c>
      <c r="G24" s="6">
        <v>100</v>
      </c>
      <c r="H24" s="6">
        <v>100</v>
      </c>
      <c r="I24" s="6">
        <v>100</v>
      </c>
      <c r="J24" s="6">
        <v>100</v>
      </c>
      <c r="K24" s="6">
        <v>100</v>
      </c>
      <c r="L24" s="6">
        <v>100</v>
      </c>
      <c r="M24" s="6">
        <v>100</v>
      </c>
      <c r="N24" s="6">
        <v>100</v>
      </c>
      <c r="O24" s="38">
        <f t="shared" si="0"/>
        <v>1200</v>
      </c>
    </row>
    <row r="25" spans="1:15" ht="13.5" customHeight="1" x14ac:dyDescent="0.2">
      <c r="A25" s="15" t="s">
        <v>28</v>
      </c>
      <c r="B25" s="10" t="s">
        <v>14</v>
      </c>
      <c r="C25" s="6" t="s">
        <v>15</v>
      </c>
      <c r="D25" s="6" t="s">
        <v>15</v>
      </c>
      <c r="E25" s="6" t="s">
        <v>15</v>
      </c>
      <c r="F25" s="6" t="s">
        <v>15</v>
      </c>
      <c r="G25" s="6" t="s">
        <v>15</v>
      </c>
      <c r="H25" s="6" t="s">
        <v>15</v>
      </c>
      <c r="I25" s="6" t="s">
        <v>15</v>
      </c>
      <c r="J25" s="6" t="s">
        <v>15</v>
      </c>
      <c r="K25" s="6" t="s">
        <v>15</v>
      </c>
      <c r="L25" s="6" t="s">
        <v>15</v>
      </c>
      <c r="M25" s="6" t="s">
        <v>15</v>
      </c>
      <c r="N25" s="6" t="s">
        <v>15</v>
      </c>
      <c r="O25" s="38">
        <f t="shared" si="0"/>
        <v>0</v>
      </c>
    </row>
    <row r="26" spans="1:15" ht="13.5" customHeight="1" x14ac:dyDescent="0.2">
      <c r="A26" s="15" t="s">
        <v>82</v>
      </c>
      <c r="B26" s="10" t="s">
        <v>14</v>
      </c>
      <c r="C26" s="172">
        <v>1500</v>
      </c>
      <c r="D26" s="172">
        <v>1500</v>
      </c>
      <c r="E26" s="172">
        <v>1500</v>
      </c>
      <c r="F26" s="172">
        <v>1500</v>
      </c>
      <c r="G26" s="172">
        <v>1500</v>
      </c>
      <c r="H26" s="172">
        <v>1500</v>
      </c>
      <c r="I26" s="172">
        <v>1500</v>
      </c>
      <c r="J26" s="172">
        <v>1500</v>
      </c>
      <c r="K26" s="172">
        <v>1500</v>
      </c>
      <c r="L26" s="172">
        <v>1500</v>
      </c>
      <c r="M26" s="172">
        <v>1500</v>
      </c>
      <c r="N26" s="10">
        <v>1500</v>
      </c>
      <c r="O26" s="38">
        <f t="shared" si="0"/>
        <v>18000</v>
      </c>
    </row>
    <row r="27" spans="1:15" ht="13.5" customHeight="1" x14ac:dyDescent="0.2">
      <c r="A27" s="15" t="s">
        <v>165</v>
      </c>
      <c r="B27" s="10" t="s">
        <v>14</v>
      </c>
      <c r="C27" s="172" t="s">
        <v>15</v>
      </c>
      <c r="D27" s="172">
        <v>150</v>
      </c>
      <c r="E27" s="172">
        <v>150</v>
      </c>
      <c r="F27" s="172">
        <v>150</v>
      </c>
      <c r="G27" s="172">
        <v>150</v>
      </c>
      <c r="H27" s="172">
        <v>150</v>
      </c>
      <c r="I27" s="172">
        <v>150</v>
      </c>
      <c r="J27" s="172">
        <v>150</v>
      </c>
      <c r="K27" s="172">
        <v>150</v>
      </c>
      <c r="L27" s="172">
        <v>150</v>
      </c>
      <c r="M27" s="172">
        <v>150</v>
      </c>
      <c r="N27" s="10">
        <v>150</v>
      </c>
      <c r="O27" s="38">
        <f t="shared" si="0"/>
        <v>1650</v>
      </c>
    </row>
    <row r="28" spans="1:15" ht="13.5" customHeight="1" x14ac:dyDescent="0.2">
      <c r="A28" s="15" t="s">
        <v>166</v>
      </c>
      <c r="B28" s="10" t="s">
        <v>14</v>
      </c>
      <c r="C28" s="172">
        <v>150</v>
      </c>
      <c r="D28" s="172">
        <v>150</v>
      </c>
      <c r="E28" s="172">
        <v>150</v>
      </c>
      <c r="F28" s="172">
        <v>150</v>
      </c>
      <c r="G28" s="172">
        <v>150</v>
      </c>
      <c r="H28" s="172">
        <v>150</v>
      </c>
      <c r="I28" s="172">
        <v>150</v>
      </c>
      <c r="J28" s="172">
        <v>150</v>
      </c>
      <c r="K28" s="172">
        <v>150</v>
      </c>
      <c r="L28" s="172">
        <v>150</v>
      </c>
      <c r="M28" s="172">
        <v>150</v>
      </c>
      <c r="N28" s="10">
        <v>150</v>
      </c>
      <c r="O28" s="38">
        <f t="shared" si="0"/>
        <v>1800</v>
      </c>
    </row>
    <row r="29" spans="1:15" ht="13.5" customHeight="1" x14ac:dyDescent="0.2">
      <c r="A29" s="15" t="s">
        <v>167</v>
      </c>
      <c r="B29" s="10" t="s">
        <v>14</v>
      </c>
      <c r="C29" s="172" t="s">
        <v>15</v>
      </c>
      <c r="D29" s="172" t="s">
        <v>15</v>
      </c>
      <c r="E29" s="172" t="s">
        <v>15</v>
      </c>
      <c r="F29" s="172" t="s">
        <v>15</v>
      </c>
      <c r="G29" s="172" t="s">
        <v>15</v>
      </c>
      <c r="H29" s="172" t="s">
        <v>15</v>
      </c>
      <c r="I29" s="172" t="s">
        <v>15</v>
      </c>
      <c r="J29" s="172" t="s">
        <v>15</v>
      </c>
      <c r="K29" s="172" t="s">
        <v>15</v>
      </c>
      <c r="L29" s="172" t="s">
        <v>15</v>
      </c>
      <c r="M29" s="172" t="s">
        <v>15</v>
      </c>
      <c r="N29" s="10" t="s">
        <v>15</v>
      </c>
      <c r="O29" s="38">
        <f t="shared" si="0"/>
        <v>0</v>
      </c>
    </row>
    <row r="30" spans="1:15" ht="13.5" customHeight="1" x14ac:dyDescent="0.2">
      <c r="A30" s="15" t="s">
        <v>168</v>
      </c>
      <c r="B30" s="10" t="s">
        <v>14</v>
      </c>
      <c r="C30" s="172" t="s">
        <v>15</v>
      </c>
      <c r="D30" s="172" t="s">
        <v>15</v>
      </c>
      <c r="E30" s="172" t="s">
        <v>15</v>
      </c>
      <c r="F30" s="172" t="s">
        <v>15</v>
      </c>
      <c r="G30" s="172" t="s">
        <v>15</v>
      </c>
      <c r="H30" s="172" t="s">
        <v>15</v>
      </c>
      <c r="I30" s="172" t="s">
        <v>15</v>
      </c>
      <c r="J30" s="172" t="s">
        <v>15</v>
      </c>
      <c r="K30" s="172" t="s">
        <v>15</v>
      </c>
      <c r="L30" s="172" t="s">
        <v>15</v>
      </c>
      <c r="M30" s="172" t="s">
        <v>15</v>
      </c>
      <c r="N30" s="10" t="s">
        <v>15</v>
      </c>
      <c r="O30" s="38">
        <f t="shared" si="0"/>
        <v>0</v>
      </c>
    </row>
    <row r="31" spans="1:15" ht="13.5" customHeight="1" x14ac:dyDescent="0.2">
      <c r="A31" s="15" t="s">
        <v>73</v>
      </c>
      <c r="B31" s="10" t="s">
        <v>14</v>
      </c>
      <c r="C31" s="6" t="s">
        <v>15</v>
      </c>
      <c r="D31" s="6" t="s">
        <v>15</v>
      </c>
      <c r="E31" s="6" t="s">
        <v>15</v>
      </c>
      <c r="F31" s="6" t="s">
        <v>15</v>
      </c>
      <c r="G31" s="6" t="s">
        <v>15</v>
      </c>
      <c r="H31" s="6" t="s">
        <v>15</v>
      </c>
      <c r="I31" s="6" t="s">
        <v>15</v>
      </c>
      <c r="J31" s="6" t="s">
        <v>15</v>
      </c>
      <c r="K31" s="6" t="s">
        <v>15</v>
      </c>
      <c r="L31" s="6" t="s">
        <v>15</v>
      </c>
      <c r="M31" s="6" t="s">
        <v>15</v>
      </c>
      <c r="N31" s="6" t="s">
        <v>15</v>
      </c>
      <c r="O31" s="38">
        <f t="shared" si="0"/>
        <v>0</v>
      </c>
    </row>
    <row r="32" spans="1:15" ht="13.5" customHeight="1" x14ac:dyDescent="0.2">
      <c r="A32" s="15" t="s">
        <v>29</v>
      </c>
      <c r="B32" s="10" t="s">
        <v>14</v>
      </c>
      <c r="C32" s="6">
        <v>3000</v>
      </c>
      <c r="D32" s="6">
        <v>3000</v>
      </c>
      <c r="E32" s="6">
        <v>3000</v>
      </c>
      <c r="F32" s="6">
        <v>3000</v>
      </c>
      <c r="G32" s="6">
        <v>3000</v>
      </c>
      <c r="H32" s="6">
        <v>3000</v>
      </c>
      <c r="I32" s="6">
        <v>3000</v>
      </c>
      <c r="J32" s="6">
        <v>3000</v>
      </c>
      <c r="K32" s="6">
        <v>3000</v>
      </c>
      <c r="L32" s="6">
        <v>3000</v>
      </c>
      <c r="M32" s="6">
        <v>3000</v>
      </c>
      <c r="N32" s="6">
        <v>3000</v>
      </c>
      <c r="O32" s="38">
        <f t="shared" si="0"/>
        <v>36000</v>
      </c>
    </row>
    <row r="33" spans="1:15" ht="13.5" customHeight="1" x14ac:dyDescent="0.2">
      <c r="A33" s="15" t="s">
        <v>30</v>
      </c>
      <c r="B33" s="10" t="s">
        <v>14</v>
      </c>
      <c r="C33" s="6" t="s">
        <v>15</v>
      </c>
      <c r="D33" s="6" t="s">
        <v>15</v>
      </c>
      <c r="E33" s="6" t="s">
        <v>15</v>
      </c>
      <c r="F33" s="6" t="s">
        <v>15</v>
      </c>
      <c r="G33" s="6" t="s">
        <v>15</v>
      </c>
      <c r="H33" s="6" t="s">
        <v>15</v>
      </c>
      <c r="I33" s="6" t="s">
        <v>15</v>
      </c>
      <c r="J33" s="6" t="s">
        <v>15</v>
      </c>
      <c r="K33" s="6" t="s">
        <v>15</v>
      </c>
      <c r="L33" s="6" t="s">
        <v>15</v>
      </c>
      <c r="M33" s="6" t="s">
        <v>15</v>
      </c>
      <c r="N33" s="6" t="s">
        <v>15</v>
      </c>
      <c r="O33" s="38">
        <f t="shared" si="0"/>
        <v>0</v>
      </c>
    </row>
    <row r="34" spans="1:15" ht="13.5" customHeight="1" x14ac:dyDescent="0.2">
      <c r="A34" s="15" t="s">
        <v>74</v>
      </c>
      <c r="B34" s="10" t="s">
        <v>14</v>
      </c>
      <c r="C34" s="172" t="s">
        <v>15</v>
      </c>
      <c r="D34" s="172" t="s">
        <v>15</v>
      </c>
      <c r="E34" s="172" t="s">
        <v>15</v>
      </c>
      <c r="F34" s="172" t="s">
        <v>15</v>
      </c>
      <c r="G34" s="172" t="s">
        <v>15</v>
      </c>
      <c r="H34" s="172" t="s">
        <v>15</v>
      </c>
      <c r="I34" s="172" t="s">
        <v>15</v>
      </c>
      <c r="J34" s="172" t="s">
        <v>15</v>
      </c>
      <c r="K34" s="172" t="s">
        <v>15</v>
      </c>
      <c r="L34" s="172" t="s">
        <v>15</v>
      </c>
      <c r="M34" s="172" t="s">
        <v>15</v>
      </c>
      <c r="N34" s="10" t="s">
        <v>15</v>
      </c>
      <c r="O34" s="38">
        <f t="shared" si="0"/>
        <v>0</v>
      </c>
    </row>
    <row r="35" spans="1:15" ht="13.5" customHeight="1" x14ac:dyDescent="0.2">
      <c r="A35" s="15" t="s">
        <v>75</v>
      </c>
      <c r="B35" s="10" t="s">
        <v>14</v>
      </c>
      <c r="C35" s="172">
        <v>150</v>
      </c>
      <c r="D35" s="172">
        <v>150</v>
      </c>
      <c r="E35" s="172">
        <v>150</v>
      </c>
      <c r="F35" s="172">
        <v>150</v>
      </c>
      <c r="G35" s="172">
        <v>150</v>
      </c>
      <c r="H35" s="172">
        <v>150</v>
      </c>
      <c r="I35" s="172">
        <v>150</v>
      </c>
      <c r="J35" s="172">
        <v>150</v>
      </c>
      <c r="K35" s="172">
        <v>150</v>
      </c>
      <c r="L35" s="172">
        <v>150</v>
      </c>
      <c r="M35" s="172">
        <v>150</v>
      </c>
      <c r="N35" s="10">
        <v>150</v>
      </c>
      <c r="O35" s="38">
        <f t="shared" si="0"/>
        <v>1800</v>
      </c>
    </row>
    <row r="36" spans="1:15" ht="13.5" customHeight="1" x14ac:dyDescent="0.2">
      <c r="A36" s="15" t="s">
        <v>76</v>
      </c>
      <c r="B36" s="10" t="s">
        <v>14</v>
      </c>
      <c r="C36" s="172" t="s">
        <v>15</v>
      </c>
      <c r="D36" s="172" t="s">
        <v>15</v>
      </c>
      <c r="E36" s="172" t="s">
        <v>15</v>
      </c>
      <c r="F36" s="172" t="s">
        <v>15</v>
      </c>
      <c r="G36" s="172" t="s">
        <v>15</v>
      </c>
      <c r="H36" s="172" t="s">
        <v>15</v>
      </c>
      <c r="I36" s="172" t="s">
        <v>15</v>
      </c>
      <c r="J36" s="172">
        <v>67.753443949400577</v>
      </c>
      <c r="K36" s="172">
        <v>135.63513817385621</v>
      </c>
      <c r="L36" s="172">
        <v>219.07994957871441</v>
      </c>
      <c r="M36" s="172">
        <v>417.11718179507852</v>
      </c>
      <c r="N36" s="10">
        <v>448.30754129341119</v>
      </c>
      <c r="O36" s="38">
        <f t="shared" si="0"/>
        <v>1287.893254790461</v>
      </c>
    </row>
    <row r="37" spans="1:15" ht="13.5" customHeight="1" x14ac:dyDescent="0.2">
      <c r="A37" s="15" t="s">
        <v>77</v>
      </c>
      <c r="B37" s="10" t="s">
        <v>14</v>
      </c>
      <c r="C37" s="6">
        <v>736.63741080658656</v>
      </c>
      <c r="D37" s="6">
        <v>789.44358743200723</v>
      </c>
      <c r="E37" s="6">
        <v>852.84657374534345</v>
      </c>
      <c r="F37" s="6">
        <v>919.42345265125948</v>
      </c>
      <c r="G37" s="6">
        <v>988.24759955832678</v>
      </c>
      <c r="H37" s="6">
        <v>1057.572593757558</v>
      </c>
      <c r="I37" s="6">
        <v>1125.1254672711191</v>
      </c>
      <c r="J37" s="6">
        <v>1188.5683340575449</v>
      </c>
      <c r="K37" s="6">
        <v>1245.968111820772</v>
      </c>
      <c r="L37" s="6">
        <v>1296.108709464474</v>
      </c>
      <c r="M37" s="6">
        <v>1350.375187231185</v>
      </c>
      <c r="N37" s="6">
        <v>1404.967744462002</v>
      </c>
      <c r="O37" s="38">
        <f t="shared" si="0"/>
        <v>12955.284772258179</v>
      </c>
    </row>
    <row r="38" spans="1:15" ht="13.5" customHeight="1" x14ac:dyDescent="0.2">
      <c r="A38" s="15" t="s">
        <v>78</v>
      </c>
      <c r="B38" s="10" t="s">
        <v>14</v>
      </c>
      <c r="C38" s="6" t="s">
        <v>15</v>
      </c>
      <c r="D38" s="6" t="s">
        <v>15</v>
      </c>
      <c r="E38" s="6" t="s">
        <v>15</v>
      </c>
      <c r="F38" s="6" t="s">
        <v>15</v>
      </c>
      <c r="G38" s="6" t="s">
        <v>15</v>
      </c>
      <c r="H38" s="6" t="s">
        <v>15</v>
      </c>
      <c r="I38" s="6" t="s">
        <v>15</v>
      </c>
      <c r="J38" s="6" t="s">
        <v>15</v>
      </c>
      <c r="K38" s="6" t="s">
        <v>15</v>
      </c>
      <c r="L38" s="6" t="s">
        <v>15</v>
      </c>
      <c r="M38" s="6" t="s">
        <v>15</v>
      </c>
      <c r="N38" s="6" t="s">
        <v>15</v>
      </c>
      <c r="O38" s="38">
        <f t="shared" si="0"/>
        <v>0</v>
      </c>
    </row>
    <row r="39" spans="1:15" ht="13.5" customHeight="1" x14ac:dyDescent="0.2">
      <c r="A39" s="15" t="s">
        <v>79</v>
      </c>
      <c r="B39" s="10" t="s">
        <v>14</v>
      </c>
      <c r="C39" s="6">
        <v>12.94125</v>
      </c>
      <c r="D39" s="6">
        <v>13.379999761599811</v>
      </c>
      <c r="E39" s="6">
        <v>8.6768000000000018</v>
      </c>
      <c r="F39" s="6">
        <v>8.6275000000000013</v>
      </c>
      <c r="G39" s="6">
        <v>10.60629535703689</v>
      </c>
      <c r="H39" s="6">
        <v>8.5535500000000013</v>
      </c>
      <c r="I39" s="6">
        <v>8.454950000000002</v>
      </c>
      <c r="J39" s="6">
        <v>10.473716808059111</v>
      </c>
      <c r="K39" s="6">
        <v>8.4056500000000014</v>
      </c>
      <c r="L39" s="6">
        <v>8.3563500000000026</v>
      </c>
      <c r="M39" s="6">
        <v>10.26718825908133</v>
      </c>
      <c r="N39" s="6">
        <v>8.2577500000000015</v>
      </c>
      <c r="O39" s="38">
        <f t="shared" si="0"/>
        <v>117.00100018577716</v>
      </c>
    </row>
    <row r="40" spans="1:15" ht="13.5" customHeight="1" x14ac:dyDescent="0.2">
      <c r="A40" s="15" t="s">
        <v>80</v>
      </c>
      <c r="B40" s="10" t="s">
        <v>14</v>
      </c>
      <c r="C40" s="6">
        <v>75</v>
      </c>
      <c r="D40" s="6">
        <v>75</v>
      </c>
      <c r="E40" s="6">
        <v>75</v>
      </c>
      <c r="F40" s="6">
        <v>75</v>
      </c>
      <c r="G40" s="6">
        <v>75</v>
      </c>
      <c r="H40" s="6">
        <v>75</v>
      </c>
      <c r="I40" s="6">
        <v>75</v>
      </c>
      <c r="J40" s="6">
        <v>75</v>
      </c>
      <c r="K40" s="6">
        <v>75</v>
      </c>
      <c r="L40" s="6">
        <v>75</v>
      </c>
      <c r="M40" s="6">
        <v>75</v>
      </c>
      <c r="N40" s="6">
        <v>75</v>
      </c>
      <c r="O40" s="38">
        <f t="shared" ref="O40:O60" si="1">SUM(C40:N40)</f>
        <v>900</v>
      </c>
    </row>
    <row r="41" spans="1:15" ht="13.5" customHeight="1" x14ac:dyDescent="0.2">
      <c r="A41" s="15" t="s">
        <v>133</v>
      </c>
      <c r="B41" s="10" t="s">
        <v>14</v>
      </c>
      <c r="C41" s="6">
        <v>50</v>
      </c>
      <c r="D41" s="6">
        <v>50</v>
      </c>
      <c r="E41" s="6">
        <v>50</v>
      </c>
      <c r="F41" s="6">
        <v>50</v>
      </c>
      <c r="G41" s="6">
        <v>50</v>
      </c>
      <c r="H41" s="6">
        <v>50</v>
      </c>
      <c r="I41" s="6">
        <v>50</v>
      </c>
      <c r="J41" s="6">
        <v>50</v>
      </c>
      <c r="K41" s="6">
        <v>50</v>
      </c>
      <c r="L41" s="6">
        <v>50</v>
      </c>
      <c r="M41" s="6">
        <v>50</v>
      </c>
      <c r="N41" s="6">
        <v>50</v>
      </c>
      <c r="O41" s="38">
        <f t="shared" si="1"/>
        <v>600</v>
      </c>
    </row>
    <row r="42" spans="1:15" ht="13.5" customHeight="1" x14ac:dyDescent="0.2">
      <c r="A42" s="15" t="s">
        <v>210</v>
      </c>
      <c r="B42" s="10" t="s">
        <v>14</v>
      </c>
      <c r="C42" s="6" t="s">
        <v>15</v>
      </c>
      <c r="D42" s="6" t="s">
        <v>15</v>
      </c>
      <c r="E42" s="6" t="s">
        <v>15</v>
      </c>
      <c r="F42" s="6" t="s">
        <v>15</v>
      </c>
      <c r="G42" s="6" t="s">
        <v>15</v>
      </c>
      <c r="H42" s="6" t="s">
        <v>15</v>
      </c>
      <c r="I42" s="6" t="s">
        <v>15</v>
      </c>
      <c r="J42" s="6" t="s">
        <v>15</v>
      </c>
      <c r="K42" s="6" t="s">
        <v>15</v>
      </c>
      <c r="L42" s="6" t="s">
        <v>15</v>
      </c>
      <c r="M42" s="6" t="s">
        <v>15</v>
      </c>
      <c r="N42" s="6" t="s">
        <v>15</v>
      </c>
      <c r="O42" s="38">
        <f t="shared" si="1"/>
        <v>0</v>
      </c>
    </row>
    <row r="43" spans="1:15" ht="13.5" customHeight="1" x14ac:dyDescent="0.2">
      <c r="A43" s="15" t="s">
        <v>170</v>
      </c>
      <c r="B43" s="10" t="s">
        <v>14</v>
      </c>
      <c r="C43" s="172" t="s">
        <v>15</v>
      </c>
      <c r="D43" s="172" t="s">
        <v>15</v>
      </c>
      <c r="E43" s="172" t="s">
        <v>15</v>
      </c>
      <c r="F43" s="172" t="s">
        <v>15</v>
      </c>
      <c r="G43" s="172" t="s">
        <v>15</v>
      </c>
      <c r="H43" s="172" t="s">
        <v>15</v>
      </c>
      <c r="I43" s="172" t="s">
        <v>15</v>
      </c>
      <c r="J43" s="172" t="s">
        <v>15</v>
      </c>
      <c r="K43" s="172" t="s">
        <v>15</v>
      </c>
      <c r="L43" s="172" t="s">
        <v>15</v>
      </c>
      <c r="M43" s="172" t="s">
        <v>15</v>
      </c>
      <c r="N43" s="10" t="s">
        <v>15</v>
      </c>
      <c r="O43" s="38">
        <f t="shared" si="1"/>
        <v>0</v>
      </c>
    </row>
    <row r="44" spans="1:15" ht="13.5" customHeight="1" x14ac:dyDescent="0.2">
      <c r="A44" s="15" t="s">
        <v>195</v>
      </c>
      <c r="B44" s="10" t="s">
        <v>14</v>
      </c>
      <c r="C44" s="6">
        <v>150</v>
      </c>
      <c r="D44" s="6">
        <v>150</v>
      </c>
      <c r="E44" s="6">
        <v>150</v>
      </c>
      <c r="F44" s="6">
        <v>150</v>
      </c>
      <c r="G44" s="6">
        <v>150</v>
      </c>
      <c r="H44" s="6">
        <v>150</v>
      </c>
      <c r="I44" s="6">
        <v>150</v>
      </c>
      <c r="J44" s="6">
        <v>150</v>
      </c>
      <c r="K44" s="6">
        <v>150</v>
      </c>
      <c r="L44" s="6">
        <v>150</v>
      </c>
      <c r="M44" s="6">
        <v>150</v>
      </c>
      <c r="N44" s="6">
        <v>150</v>
      </c>
      <c r="O44" s="38">
        <f t="shared" si="1"/>
        <v>1800</v>
      </c>
    </row>
    <row r="45" spans="1:15" ht="13.5" customHeight="1" x14ac:dyDescent="0.2">
      <c r="A45" s="15" t="s">
        <v>256</v>
      </c>
      <c r="B45" s="10" t="s">
        <v>14</v>
      </c>
      <c r="C45" s="6">
        <v>150</v>
      </c>
      <c r="D45" s="6">
        <v>150</v>
      </c>
      <c r="E45" s="6">
        <v>150</v>
      </c>
      <c r="F45" s="6">
        <v>150</v>
      </c>
      <c r="G45" s="6">
        <v>150</v>
      </c>
      <c r="H45" s="6">
        <v>150</v>
      </c>
      <c r="I45" s="6">
        <v>150</v>
      </c>
      <c r="J45" s="6">
        <v>150</v>
      </c>
      <c r="K45" s="6">
        <v>150</v>
      </c>
      <c r="L45" s="6">
        <v>150</v>
      </c>
      <c r="M45" s="6">
        <v>150</v>
      </c>
      <c r="N45" s="6">
        <v>150</v>
      </c>
      <c r="O45" s="38">
        <f t="shared" si="1"/>
        <v>1800</v>
      </c>
    </row>
    <row r="46" spans="1:15" ht="13.5" customHeight="1" x14ac:dyDescent="0.2">
      <c r="A46" s="15" t="s">
        <v>205</v>
      </c>
      <c r="B46" s="10" t="s">
        <v>14</v>
      </c>
      <c r="C46" s="172">
        <v>59.242835397858499</v>
      </c>
      <c r="D46" s="172">
        <v>59.242835397858499</v>
      </c>
      <c r="E46" s="172">
        <v>59.242835397858499</v>
      </c>
      <c r="F46" s="172">
        <v>59.242835397858499</v>
      </c>
      <c r="G46" s="172">
        <v>59.242835397858499</v>
      </c>
      <c r="H46" s="172">
        <v>59.242835397858499</v>
      </c>
      <c r="I46" s="172">
        <v>59.242835397858499</v>
      </c>
      <c r="J46" s="172">
        <v>59.242835397858499</v>
      </c>
      <c r="K46" s="172">
        <v>59.242835397858499</v>
      </c>
      <c r="L46" s="172">
        <v>59.242835397858499</v>
      </c>
      <c r="M46" s="172">
        <v>59.242835397858499</v>
      </c>
      <c r="N46" s="10">
        <v>59.242835397858499</v>
      </c>
      <c r="O46" s="38">
        <f t="shared" si="1"/>
        <v>710.91402477430177</v>
      </c>
    </row>
    <row r="47" spans="1:15" ht="13.5" customHeight="1" x14ac:dyDescent="0.2">
      <c r="A47" s="182" t="s">
        <v>207</v>
      </c>
      <c r="B47" s="10" t="s">
        <v>14</v>
      </c>
      <c r="C47" s="6" t="s">
        <v>15</v>
      </c>
      <c r="D47" s="6" t="s">
        <v>15</v>
      </c>
      <c r="E47" s="6" t="s">
        <v>15</v>
      </c>
      <c r="F47" s="6" t="s">
        <v>15</v>
      </c>
      <c r="G47" s="6" t="s">
        <v>15</v>
      </c>
      <c r="H47" s="6" t="s">
        <v>15</v>
      </c>
      <c r="I47" s="6" t="s">
        <v>15</v>
      </c>
      <c r="J47" s="6" t="s">
        <v>15</v>
      </c>
      <c r="K47" s="6" t="s">
        <v>15</v>
      </c>
      <c r="L47" s="6" t="s">
        <v>15</v>
      </c>
      <c r="M47" s="6" t="s">
        <v>15</v>
      </c>
      <c r="N47" s="6" t="s">
        <v>15</v>
      </c>
      <c r="O47" s="38">
        <f t="shared" si="1"/>
        <v>0</v>
      </c>
    </row>
    <row r="48" spans="1:15" ht="13.5" customHeight="1" x14ac:dyDescent="0.2">
      <c r="A48" s="15" t="s">
        <v>257</v>
      </c>
      <c r="B48" s="10" t="s">
        <v>14</v>
      </c>
      <c r="C48" s="6">
        <v>150</v>
      </c>
      <c r="D48" s="6">
        <v>150</v>
      </c>
      <c r="E48" s="6">
        <v>150</v>
      </c>
      <c r="F48" s="6">
        <v>150</v>
      </c>
      <c r="G48" s="6">
        <v>150</v>
      </c>
      <c r="H48" s="6">
        <v>150</v>
      </c>
      <c r="I48" s="6">
        <v>150</v>
      </c>
      <c r="J48" s="6">
        <v>150</v>
      </c>
      <c r="K48" s="6">
        <v>150</v>
      </c>
      <c r="L48" s="6">
        <v>150</v>
      </c>
      <c r="M48" s="6">
        <v>150</v>
      </c>
      <c r="N48" s="6">
        <v>150</v>
      </c>
      <c r="O48" s="38">
        <f t="shared" si="1"/>
        <v>1800</v>
      </c>
    </row>
    <row r="49" spans="1:15" ht="13.5" customHeight="1" x14ac:dyDescent="0.2">
      <c r="A49" s="15" t="s">
        <v>258</v>
      </c>
      <c r="B49" s="10" t="s">
        <v>14</v>
      </c>
      <c r="C49" s="6">
        <v>150</v>
      </c>
      <c r="D49" s="6">
        <v>150</v>
      </c>
      <c r="E49" s="6">
        <v>150</v>
      </c>
      <c r="F49" s="6">
        <v>150</v>
      </c>
      <c r="G49" s="6">
        <v>150</v>
      </c>
      <c r="H49" s="6">
        <v>150</v>
      </c>
      <c r="I49" s="6">
        <v>150</v>
      </c>
      <c r="J49" s="6">
        <v>150</v>
      </c>
      <c r="K49" s="6">
        <v>150</v>
      </c>
      <c r="L49" s="6">
        <v>150</v>
      </c>
      <c r="M49" s="6">
        <v>150</v>
      </c>
      <c r="N49" s="6">
        <v>150</v>
      </c>
      <c r="O49" s="38">
        <f t="shared" si="1"/>
        <v>1800</v>
      </c>
    </row>
    <row r="50" spans="1:15" ht="13.5" customHeight="1" x14ac:dyDescent="0.2">
      <c r="A50" s="15" t="s">
        <v>60</v>
      </c>
      <c r="B50" s="10" t="s">
        <v>14</v>
      </c>
      <c r="C50" s="6" t="s">
        <v>15</v>
      </c>
      <c r="D50" s="6" t="s">
        <v>15</v>
      </c>
      <c r="E50" s="6" t="s">
        <v>15</v>
      </c>
      <c r="F50" s="6" t="s">
        <v>15</v>
      </c>
      <c r="G50" s="6" t="s">
        <v>15</v>
      </c>
      <c r="H50" s="6" t="s">
        <v>15</v>
      </c>
      <c r="I50" s="6" t="s">
        <v>15</v>
      </c>
      <c r="J50" s="6" t="s">
        <v>15</v>
      </c>
      <c r="K50" s="6" t="s">
        <v>15</v>
      </c>
      <c r="L50" s="6" t="s">
        <v>15</v>
      </c>
      <c r="M50" s="6" t="s">
        <v>15</v>
      </c>
      <c r="N50" s="6" t="s">
        <v>15</v>
      </c>
      <c r="O50" s="38">
        <f t="shared" si="1"/>
        <v>0</v>
      </c>
    </row>
    <row r="51" spans="1:15" ht="13.5" customHeight="1" x14ac:dyDescent="0.2">
      <c r="A51" s="15" t="s">
        <v>61</v>
      </c>
      <c r="B51" s="10" t="s">
        <v>14</v>
      </c>
      <c r="C51" s="6" t="s">
        <v>15</v>
      </c>
      <c r="D51" s="6" t="s">
        <v>15</v>
      </c>
      <c r="E51" s="6" t="s">
        <v>15</v>
      </c>
      <c r="F51" s="6" t="s">
        <v>15</v>
      </c>
      <c r="G51" s="6" t="s">
        <v>15</v>
      </c>
      <c r="H51" s="6" t="s">
        <v>15</v>
      </c>
      <c r="I51" s="6" t="s">
        <v>15</v>
      </c>
      <c r="J51" s="6" t="s">
        <v>15</v>
      </c>
      <c r="K51" s="6" t="s">
        <v>15</v>
      </c>
      <c r="L51" s="6" t="s">
        <v>15</v>
      </c>
      <c r="M51" s="6" t="s">
        <v>15</v>
      </c>
      <c r="N51" s="6" t="s">
        <v>15</v>
      </c>
      <c r="O51" s="38">
        <f t="shared" si="1"/>
        <v>0</v>
      </c>
    </row>
    <row r="52" spans="1:15" ht="13.5" customHeight="1" x14ac:dyDescent="0.2">
      <c r="A52" s="15" t="s">
        <v>81</v>
      </c>
      <c r="B52" s="10" t="s">
        <v>14</v>
      </c>
      <c r="C52" s="6" t="s">
        <v>15</v>
      </c>
      <c r="D52" s="6" t="s">
        <v>15</v>
      </c>
      <c r="E52" s="6" t="s">
        <v>15</v>
      </c>
      <c r="F52" s="6" t="s">
        <v>15</v>
      </c>
      <c r="G52" s="6" t="s">
        <v>15</v>
      </c>
      <c r="H52" s="6" t="s">
        <v>15</v>
      </c>
      <c r="I52" s="6" t="s">
        <v>15</v>
      </c>
      <c r="J52" s="6" t="s">
        <v>15</v>
      </c>
      <c r="K52" s="6" t="s">
        <v>15</v>
      </c>
      <c r="L52" s="6" t="s">
        <v>15</v>
      </c>
      <c r="M52" s="6" t="s">
        <v>15</v>
      </c>
      <c r="N52" s="6" t="s">
        <v>15</v>
      </c>
      <c r="O52" s="38">
        <f t="shared" si="1"/>
        <v>0</v>
      </c>
    </row>
    <row r="53" spans="1:15" ht="13.5" customHeight="1" x14ac:dyDescent="0.2">
      <c r="A53" s="15" t="s">
        <v>33</v>
      </c>
      <c r="B53" s="10" t="s">
        <v>14</v>
      </c>
      <c r="C53" s="6">
        <v>5425.1694199723524</v>
      </c>
      <c r="D53" s="6">
        <v>6781.461774965439</v>
      </c>
      <c r="E53" s="6">
        <v>5425.1694199723524</v>
      </c>
      <c r="F53" s="6">
        <v>5425.1694199723524</v>
      </c>
      <c r="G53" s="6">
        <v>6781.461774965439</v>
      </c>
      <c r="H53" s="6">
        <v>5425.1694199723524</v>
      </c>
      <c r="I53" s="6">
        <v>5425.1694199723524</v>
      </c>
      <c r="J53" s="6">
        <v>6781.461774965439</v>
      </c>
      <c r="K53" s="6">
        <v>5425.1694199723524</v>
      </c>
      <c r="L53" s="6">
        <v>5425.1694199723524</v>
      </c>
      <c r="M53" s="6">
        <v>6781.461774965439</v>
      </c>
      <c r="N53" s="6">
        <v>5425.1694199723524</v>
      </c>
      <c r="O53" s="38">
        <f t="shared" si="1"/>
        <v>70527.202459640583</v>
      </c>
    </row>
    <row r="54" spans="1:15" ht="13.5" customHeight="1" x14ac:dyDescent="0.2">
      <c r="A54" s="260" t="s">
        <v>41</v>
      </c>
      <c r="B54" s="10" t="s">
        <v>14</v>
      </c>
      <c r="C54" s="6" t="s">
        <v>15</v>
      </c>
      <c r="D54" s="6" t="s">
        <v>15</v>
      </c>
      <c r="E54" s="6" t="s">
        <v>15</v>
      </c>
      <c r="F54" s="6" t="s">
        <v>15</v>
      </c>
      <c r="G54" s="6" t="s">
        <v>15</v>
      </c>
      <c r="H54" s="6" t="s">
        <v>15</v>
      </c>
      <c r="I54" s="6" t="s">
        <v>15</v>
      </c>
      <c r="J54" s="6" t="s">
        <v>15</v>
      </c>
      <c r="K54" s="6" t="s">
        <v>15</v>
      </c>
      <c r="L54" s="6" t="s">
        <v>15</v>
      </c>
      <c r="M54" s="6" t="s">
        <v>15</v>
      </c>
      <c r="N54" s="6" t="s">
        <v>15</v>
      </c>
      <c r="O54" s="38">
        <f t="shared" si="1"/>
        <v>0</v>
      </c>
    </row>
    <row r="55" spans="1:15" s="39" customFormat="1" ht="13.5" customHeight="1" x14ac:dyDescent="0.2">
      <c r="A55" s="40" t="s">
        <v>32</v>
      </c>
      <c r="B55" s="10" t="s">
        <v>14</v>
      </c>
      <c r="C55" s="30">
        <v>111832.1671269301</v>
      </c>
      <c r="D55" s="30">
        <v>139790.20890866261</v>
      </c>
      <c r="E55" s="30">
        <v>111832.1671269301</v>
      </c>
      <c r="F55" s="30">
        <v>111832.1671269301</v>
      </c>
      <c r="G55" s="30">
        <v>139790.20890866261</v>
      </c>
      <c r="H55" s="30">
        <v>111832.1671269301</v>
      </c>
      <c r="I55" s="30">
        <v>111832.1671269301</v>
      </c>
      <c r="J55" s="30">
        <v>139790.20890866261</v>
      </c>
      <c r="K55" s="30">
        <v>111832.1671269301</v>
      </c>
      <c r="L55" s="30">
        <v>111832.1671269301</v>
      </c>
      <c r="M55" s="30">
        <v>139790.20890866261</v>
      </c>
      <c r="N55" s="30">
        <v>111832.1671269301</v>
      </c>
      <c r="O55" s="38">
        <f t="shared" si="1"/>
        <v>1453818.1726500911</v>
      </c>
    </row>
    <row r="56" spans="1:15" ht="13.5" customHeight="1" x14ac:dyDescent="0.2">
      <c r="A56" s="15" t="s">
        <v>31</v>
      </c>
      <c r="B56" s="10" t="s">
        <v>14</v>
      </c>
      <c r="C56" s="6" t="s">
        <v>15</v>
      </c>
      <c r="D56" s="6" t="s">
        <v>15</v>
      </c>
      <c r="E56" s="6" t="s">
        <v>15</v>
      </c>
      <c r="F56" s="6" t="s">
        <v>15</v>
      </c>
      <c r="G56" s="6" t="s">
        <v>15</v>
      </c>
      <c r="H56" s="6" t="s">
        <v>15</v>
      </c>
      <c r="I56" s="6" t="s">
        <v>15</v>
      </c>
      <c r="J56" s="6" t="s">
        <v>15</v>
      </c>
      <c r="K56" s="6" t="s">
        <v>15</v>
      </c>
      <c r="L56" s="6" t="s">
        <v>15</v>
      </c>
      <c r="M56" s="6" t="s">
        <v>15</v>
      </c>
      <c r="N56" s="6" t="s">
        <v>15</v>
      </c>
      <c r="O56" s="38">
        <f t="shared" si="1"/>
        <v>0</v>
      </c>
    </row>
    <row r="57" spans="1:15" ht="13.5" customHeight="1" x14ac:dyDescent="0.2">
      <c r="A57" s="15" t="s">
        <v>59</v>
      </c>
      <c r="B57" s="10" t="s">
        <v>14</v>
      </c>
      <c r="C57" s="6" t="s">
        <v>15</v>
      </c>
      <c r="D57" s="6" t="s">
        <v>15</v>
      </c>
      <c r="E57" s="28" t="s">
        <v>15</v>
      </c>
      <c r="F57" s="6" t="s">
        <v>15</v>
      </c>
      <c r="G57" s="6" t="s">
        <v>15</v>
      </c>
      <c r="H57" s="6" t="s">
        <v>15</v>
      </c>
      <c r="I57" s="6" t="s">
        <v>15</v>
      </c>
      <c r="J57" s="6" t="s">
        <v>15</v>
      </c>
      <c r="K57" s="6" t="s">
        <v>15</v>
      </c>
      <c r="L57" s="6" t="s">
        <v>15</v>
      </c>
      <c r="M57" s="6" t="s">
        <v>15</v>
      </c>
      <c r="N57" s="6" t="s">
        <v>15</v>
      </c>
      <c r="O57" s="38">
        <f t="shared" si="1"/>
        <v>0</v>
      </c>
    </row>
    <row r="58" spans="1:15" ht="13.5" customHeight="1" x14ac:dyDescent="0.2">
      <c r="A58" s="40" t="s">
        <v>63</v>
      </c>
      <c r="B58" s="10" t="s">
        <v>14</v>
      </c>
      <c r="C58" s="6" t="s">
        <v>15</v>
      </c>
      <c r="D58" s="6" t="s">
        <v>15</v>
      </c>
      <c r="E58" s="28" t="s">
        <v>15</v>
      </c>
      <c r="F58" s="6" t="s">
        <v>15</v>
      </c>
      <c r="G58" s="6" t="s">
        <v>15</v>
      </c>
      <c r="H58" s="6" t="s">
        <v>15</v>
      </c>
      <c r="I58" s="6" t="s">
        <v>15</v>
      </c>
      <c r="J58" s="6" t="s">
        <v>15</v>
      </c>
      <c r="K58" s="6" t="s">
        <v>15</v>
      </c>
      <c r="L58" s="6" t="s">
        <v>15</v>
      </c>
      <c r="M58" s="6" t="s">
        <v>15</v>
      </c>
      <c r="N58" s="6" t="s">
        <v>15</v>
      </c>
      <c r="O58" s="38">
        <f t="shared" si="1"/>
        <v>0</v>
      </c>
    </row>
    <row r="59" spans="1:15" ht="13.5" customHeight="1" x14ac:dyDescent="0.2">
      <c r="A59" s="15" t="s">
        <v>62</v>
      </c>
      <c r="B59" s="10" t="s">
        <v>14</v>
      </c>
      <c r="C59" s="6" t="s">
        <v>15</v>
      </c>
      <c r="D59" s="6" t="s">
        <v>15</v>
      </c>
      <c r="E59" s="6" t="s">
        <v>15</v>
      </c>
      <c r="F59" s="6" t="s">
        <v>15</v>
      </c>
      <c r="G59" s="6" t="s">
        <v>15</v>
      </c>
      <c r="H59" s="6" t="s">
        <v>15</v>
      </c>
      <c r="I59" s="6" t="s">
        <v>15</v>
      </c>
      <c r="J59" s="6" t="s">
        <v>15</v>
      </c>
      <c r="K59" s="6" t="s">
        <v>15</v>
      </c>
      <c r="L59" s="6" t="s">
        <v>15</v>
      </c>
      <c r="M59" s="6" t="s">
        <v>15</v>
      </c>
      <c r="N59" s="6" t="s">
        <v>15</v>
      </c>
      <c r="O59" s="38">
        <f t="shared" si="1"/>
        <v>0</v>
      </c>
    </row>
    <row r="60" spans="1:15" ht="13.5" customHeight="1" x14ac:dyDescent="0.2">
      <c r="A60" s="15" t="s">
        <v>262</v>
      </c>
      <c r="B60" s="10" t="s">
        <v>14</v>
      </c>
      <c r="C60" s="6" t="s">
        <v>15</v>
      </c>
      <c r="D60" s="6" t="s">
        <v>15</v>
      </c>
      <c r="E60" s="6" t="s">
        <v>15</v>
      </c>
      <c r="F60" s="6" t="s">
        <v>15</v>
      </c>
      <c r="G60" s="6" t="s">
        <v>15</v>
      </c>
      <c r="H60" s="6" t="s">
        <v>15</v>
      </c>
      <c r="I60" s="6" t="s">
        <v>15</v>
      </c>
      <c r="J60" s="6" t="s">
        <v>15</v>
      </c>
      <c r="K60" s="6" t="s">
        <v>15</v>
      </c>
      <c r="L60" s="6" t="s">
        <v>15</v>
      </c>
      <c r="M60" s="6" t="s">
        <v>15</v>
      </c>
      <c r="N60" s="6" t="s">
        <v>15</v>
      </c>
      <c r="O60" s="38">
        <f t="shared" si="1"/>
        <v>0</v>
      </c>
    </row>
    <row r="61" spans="1:15" ht="13.5" customHeight="1" x14ac:dyDescent="0.2">
      <c r="A61" s="15" t="s">
        <v>308</v>
      </c>
      <c r="B61" s="10" t="s">
        <v>14</v>
      </c>
      <c r="C61" s="6" t="s">
        <v>15</v>
      </c>
      <c r="D61" s="6" t="s">
        <v>15</v>
      </c>
      <c r="E61" s="6" t="s">
        <v>15</v>
      </c>
      <c r="F61" s="6" t="s">
        <v>15</v>
      </c>
      <c r="G61" s="6" t="s">
        <v>15</v>
      </c>
      <c r="H61" s="6" t="s">
        <v>15</v>
      </c>
      <c r="I61" s="6" t="s">
        <v>15</v>
      </c>
      <c r="J61" s="6" t="s">
        <v>15</v>
      </c>
      <c r="K61" s="6" t="s">
        <v>15</v>
      </c>
      <c r="L61" s="6" t="s">
        <v>15</v>
      </c>
      <c r="M61" s="6" t="s">
        <v>15</v>
      </c>
      <c r="N61" s="6" t="s">
        <v>15</v>
      </c>
      <c r="O61" s="280" t="s">
        <v>15</v>
      </c>
    </row>
    <row r="62" spans="1:15" ht="13.5" customHeight="1" x14ac:dyDescent="0.2">
      <c r="A62" s="15" t="s">
        <v>303</v>
      </c>
      <c r="B62" s="10" t="s">
        <v>14</v>
      </c>
      <c r="C62" s="6" t="s">
        <v>15</v>
      </c>
      <c r="D62" s="6" t="s">
        <v>15</v>
      </c>
      <c r="E62" s="6" t="s">
        <v>15</v>
      </c>
      <c r="F62" s="6" t="s">
        <v>15</v>
      </c>
      <c r="G62" s="6" t="s">
        <v>15</v>
      </c>
      <c r="H62" s="6" t="s">
        <v>15</v>
      </c>
      <c r="I62" s="6" t="s">
        <v>15</v>
      </c>
      <c r="J62" s="6" t="s">
        <v>15</v>
      </c>
      <c r="K62" s="6" t="s">
        <v>15</v>
      </c>
      <c r="L62" s="6" t="s">
        <v>15</v>
      </c>
      <c r="M62" s="6" t="s">
        <v>15</v>
      </c>
      <c r="N62" s="6" t="s">
        <v>15</v>
      </c>
      <c r="O62" s="280" t="s">
        <v>15</v>
      </c>
    </row>
    <row r="63" spans="1:15" ht="13.5" customHeight="1" x14ac:dyDescent="0.2">
      <c r="A63" s="15" t="s">
        <v>304</v>
      </c>
      <c r="B63" s="10" t="s">
        <v>14</v>
      </c>
      <c r="C63" s="6" t="s">
        <v>15</v>
      </c>
      <c r="D63" s="6" t="s">
        <v>15</v>
      </c>
      <c r="E63" s="6" t="s">
        <v>15</v>
      </c>
      <c r="F63" s="6" t="s">
        <v>15</v>
      </c>
      <c r="G63" s="6" t="s">
        <v>15</v>
      </c>
      <c r="H63" s="6" t="s">
        <v>15</v>
      </c>
      <c r="I63" s="6" t="s">
        <v>15</v>
      </c>
      <c r="J63" s="6" t="s">
        <v>15</v>
      </c>
      <c r="K63" s="6" t="s">
        <v>15</v>
      </c>
      <c r="L63" s="6" t="s">
        <v>15</v>
      </c>
      <c r="M63" s="6" t="s">
        <v>15</v>
      </c>
      <c r="N63" s="6" t="s">
        <v>15</v>
      </c>
      <c r="O63" s="280" t="s">
        <v>15</v>
      </c>
    </row>
    <row r="64" spans="1:15" ht="13.5" customHeight="1" x14ac:dyDescent="0.2">
      <c r="A64" s="297" t="s">
        <v>301</v>
      </c>
      <c r="B64" s="10" t="s">
        <v>14</v>
      </c>
      <c r="C64" s="6" t="s">
        <v>15</v>
      </c>
      <c r="D64" s="6" t="s">
        <v>15</v>
      </c>
      <c r="E64" s="6" t="s">
        <v>15</v>
      </c>
      <c r="F64" s="6" t="s">
        <v>15</v>
      </c>
      <c r="G64" s="6" t="s">
        <v>15</v>
      </c>
      <c r="H64" s="6" t="s">
        <v>15</v>
      </c>
      <c r="I64" s="6" t="s">
        <v>15</v>
      </c>
      <c r="J64" s="6" t="s">
        <v>15</v>
      </c>
      <c r="K64" s="6" t="s">
        <v>15</v>
      </c>
      <c r="L64" s="6" t="s">
        <v>15</v>
      </c>
      <c r="M64" s="6" t="s">
        <v>15</v>
      </c>
      <c r="N64" s="6" t="s">
        <v>15</v>
      </c>
      <c r="O64" s="280">
        <f>SUM(C64:N64)</f>
        <v>0</v>
      </c>
    </row>
    <row r="65" spans="1:15" ht="13.5" customHeight="1" x14ac:dyDescent="0.2">
      <c r="A65" s="297" t="s">
        <v>302</v>
      </c>
      <c r="B65" s="10" t="s">
        <v>14</v>
      </c>
      <c r="C65" s="6" t="s">
        <v>15</v>
      </c>
      <c r="D65" s="6" t="s">
        <v>15</v>
      </c>
      <c r="E65" s="6" t="s">
        <v>15</v>
      </c>
      <c r="F65" s="6" t="s">
        <v>15</v>
      </c>
      <c r="G65" s="6" t="s">
        <v>15</v>
      </c>
      <c r="H65" s="6" t="s">
        <v>15</v>
      </c>
      <c r="I65" s="6" t="s">
        <v>15</v>
      </c>
      <c r="J65" s="6" t="s">
        <v>15</v>
      </c>
      <c r="K65" s="6" t="s">
        <v>15</v>
      </c>
      <c r="L65" s="6" t="s">
        <v>15</v>
      </c>
      <c r="M65" s="6" t="s">
        <v>15</v>
      </c>
      <c r="N65" s="6" t="s">
        <v>15</v>
      </c>
      <c r="O65" s="280">
        <f>SUM(C65:N65)</f>
        <v>0</v>
      </c>
    </row>
    <row r="66" spans="1:15" ht="13.5" customHeight="1" x14ac:dyDescent="0.2">
      <c r="A66" s="182" t="s">
        <v>219</v>
      </c>
      <c r="B66" s="10" t="s">
        <v>14</v>
      </c>
      <c r="C66" s="6">
        <v>4323.0783225269906</v>
      </c>
      <c r="D66" s="6">
        <v>4323.0783225269906</v>
      </c>
      <c r="E66" s="6">
        <v>4323.0783225269906</v>
      </c>
      <c r="F66" s="6">
        <v>4323.0783225269906</v>
      </c>
      <c r="G66" s="6">
        <v>4323.0783225269906</v>
      </c>
      <c r="H66" s="6">
        <v>4323.0783225269906</v>
      </c>
      <c r="I66" s="6">
        <v>4323.0783225269906</v>
      </c>
      <c r="J66" s="6">
        <v>4323.0783225269906</v>
      </c>
      <c r="K66" s="6">
        <v>4323.0783225269906</v>
      </c>
      <c r="L66" s="6">
        <v>4323.0783225269906</v>
      </c>
      <c r="M66" s="6">
        <v>4323.0783225269906</v>
      </c>
      <c r="N66" s="6">
        <v>4323.0783225269906</v>
      </c>
      <c r="O66" s="38">
        <f>SUM(C66:N66)</f>
        <v>51876.939870323891</v>
      </c>
    </row>
    <row r="67" spans="1:15" ht="13.5" customHeight="1" x14ac:dyDescent="0.2">
      <c r="A67" s="260" t="s">
        <v>218</v>
      </c>
      <c r="B67" s="10" t="s">
        <v>14</v>
      </c>
      <c r="C67" s="30" t="s">
        <v>15</v>
      </c>
      <c r="D67" s="6" t="s">
        <v>15</v>
      </c>
      <c r="E67" s="6" t="s">
        <v>15</v>
      </c>
      <c r="F67" s="6" t="s">
        <v>15</v>
      </c>
      <c r="G67" s="6" t="s">
        <v>15</v>
      </c>
      <c r="H67" s="6" t="s">
        <v>15</v>
      </c>
      <c r="I67" s="6" t="s">
        <v>15</v>
      </c>
      <c r="J67" s="6" t="s">
        <v>15</v>
      </c>
      <c r="K67" s="6" t="s">
        <v>15</v>
      </c>
      <c r="L67" s="6" t="s">
        <v>15</v>
      </c>
      <c r="M67" s="6" t="s">
        <v>15</v>
      </c>
      <c r="N67" s="6" t="s">
        <v>15</v>
      </c>
      <c r="O67" s="38">
        <f>SUM(C67:N67)</f>
        <v>0</v>
      </c>
    </row>
    <row r="68" spans="1:15" s="1" customFormat="1" ht="13.5" customHeight="1" x14ac:dyDescent="0.25">
      <c r="A68" s="29" t="s">
        <v>83</v>
      </c>
      <c r="B68" s="9"/>
      <c r="C68" s="4">
        <f t="shared" ref="C68:O68" si="2">SUM(C8:C67)</f>
        <v>145931.09861760054</v>
      </c>
      <c r="D68" s="4">
        <f t="shared" si="2"/>
        <v>175422.84609166678</v>
      </c>
      <c r="E68" s="4">
        <f t="shared" si="2"/>
        <v>146177.16534533325</v>
      </c>
      <c r="F68" s="4">
        <f t="shared" si="2"/>
        <v>146243.1910339022</v>
      </c>
      <c r="G68" s="4">
        <f t="shared" si="2"/>
        <v>175624.6124466219</v>
      </c>
      <c r="H68" s="4">
        <f t="shared" si="2"/>
        <v>146383.86692948191</v>
      </c>
      <c r="I68" s="4">
        <f t="shared" si="2"/>
        <v>146450.68243347568</v>
      </c>
      <c r="J68" s="4">
        <f t="shared" si="2"/>
        <v>175894.83802964556</v>
      </c>
      <c r="K68" s="4">
        <f t="shared" si="2"/>
        <v>146706.47214667941</v>
      </c>
      <c r="L68" s="4">
        <f t="shared" si="2"/>
        <v>146839.55199178527</v>
      </c>
      <c r="M68" s="4">
        <f t="shared" si="2"/>
        <v>176404.70559262429</v>
      </c>
      <c r="N68" s="4">
        <f t="shared" si="2"/>
        <v>147173.93553335013</v>
      </c>
      <c r="O68" s="4">
        <f t="shared" si="2"/>
        <v>1875252.9661921668</v>
      </c>
    </row>
    <row r="69" spans="1:15" ht="13.5" customHeight="1" x14ac:dyDescent="0.2">
      <c r="A69" s="15"/>
      <c r="B69" s="10"/>
    </row>
    <row r="70" spans="1:15" ht="13.5" customHeight="1" x14ac:dyDescent="0.2">
      <c r="A70" s="260" t="s">
        <v>218</v>
      </c>
      <c r="B70" s="12" t="s">
        <v>251</v>
      </c>
      <c r="C70" s="30" t="s">
        <v>15</v>
      </c>
      <c r="D70" s="6" t="s">
        <v>15</v>
      </c>
      <c r="E70" s="6" t="s">
        <v>15</v>
      </c>
      <c r="F70" s="6" t="s">
        <v>15</v>
      </c>
      <c r="G70" s="6" t="s">
        <v>15</v>
      </c>
      <c r="H70" s="6" t="s">
        <v>15</v>
      </c>
      <c r="I70" s="6" t="s">
        <v>15</v>
      </c>
      <c r="J70" s="6" t="s">
        <v>15</v>
      </c>
      <c r="K70" s="6" t="s">
        <v>15</v>
      </c>
      <c r="L70" s="6" t="s">
        <v>15</v>
      </c>
      <c r="M70" s="6" t="s">
        <v>15</v>
      </c>
      <c r="N70" s="6" t="s">
        <v>15</v>
      </c>
      <c r="O70" s="38">
        <f t="shared" ref="O70:O101" si="3">SUM(C70:N70)</f>
        <v>0</v>
      </c>
    </row>
    <row r="71" spans="1:15" ht="13.5" customHeight="1" x14ac:dyDescent="0.2">
      <c r="A71" s="182" t="s">
        <v>219</v>
      </c>
      <c r="B71" s="12" t="s">
        <v>251</v>
      </c>
      <c r="C71" s="30">
        <v>25000</v>
      </c>
      <c r="D71" s="6">
        <v>25000</v>
      </c>
      <c r="E71" s="6">
        <v>25000</v>
      </c>
      <c r="F71" s="6">
        <v>25000</v>
      </c>
      <c r="G71" s="6">
        <v>25000</v>
      </c>
      <c r="H71" s="6">
        <v>25000</v>
      </c>
      <c r="I71" s="6">
        <v>25000</v>
      </c>
      <c r="J71" s="6">
        <v>25000</v>
      </c>
      <c r="K71" s="6">
        <v>25000</v>
      </c>
      <c r="L71" s="6">
        <v>25000</v>
      </c>
      <c r="M71" s="6">
        <v>25000</v>
      </c>
      <c r="N71" s="6">
        <v>25000</v>
      </c>
      <c r="O71" s="38">
        <f t="shared" si="3"/>
        <v>300000</v>
      </c>
    </row>
    <row r="72" spans="1:15" ht="13.5" customHeight="1" x14ac:dyDescent="0.2">
      <c r="A72" s="297" t="s">
        <v>303</v>
      </c>
      <c r="B72" s="12" t="s">
        <v>251</v>
      </c>
      <c r="C72" s="30" t="s">
        <v>15</v>
      </c>
      <c r="D72" s="6" t="s">
        <v>15</v>
      </c>
      <c r="E72" s="6" t="s">
        <v>15</v>
      </c>
      <c r="F72" s="6" t="s">
        <v>15</v>
      </c>
      <c r="G72" s="6" t="s">
        <v>15</v>
      </c>
      <c r="H72" s="6" t="s">
        <v>15</v>
      </c>
      <c r="I72" s="6" t="s">
        <v>15</v>
      </c>
      <c r="J72" s="6" t="s">
        <v>15</v>
      </c>
      <c r="K72" s="6" t="s">
        <v>15</v>
      </c>
      <c r="L72" s="6" t="s">
        <v>15</v>
      </c>
      <c r="M72" s="6" t="s">
        <v>15</v>
      </c>
      <c r="N72" s="6" t="s">
        <v>15</v>
      </c>
      <c r="O72" s="280">
        <f t="shared" si="3"/>
        <v>0</v>
      </c>
    </row>
    <row r="73" spans="1:15" ht="13.5" customHeight="1" x14ac:dyDescent="0.2">
      <c r="A73" s="297" t="s">
        <v>301</v>
      </c>
      <c r="B73" s="12" t="s">
        <v>251</v>
      </c>
      <c r="C73" s="30" t="s">
        <v>15</v>
      </c>
      <c r="D73" s="6" t="s">
        <v>15</v>
      </c>
      <c r="E73" s="6" t="s">
        <v>15</v>
      </c>
      <c r="F73" s="6" t="s">
        <v>15</v>
      </c>
      <c r="G73" s="6" t="s">
        <v>15</v>
      </c>
      <c r="H73" s="6" t="s">
        <v>15</v>
      </c>
      <c r="I73" s="6" t="s">
        <v>15</v>
      </c>
      <c r="J73" s="6" t="s">
        <v>15</v>
      </c>
      <c r="K73" s="6" t="s">
        <v>15</v>
      </c>
      <c r="L73" s="6" t="s">
        <v>15</v>
      </c>
      <c r="M73" s="6" t="s">
        <v>15</v>
      </c>
      <c r="N73" s="6" t="s">
        <v>15</v>
      </c>
      <c r="O73" s="280">
        <f t="shared" si="3"/>
        <v>0</v>
      </c>
    </row>
    <row r="74" spans="1:15" ht="13.5" customHeight="1" x14ac:dyDescent="0.2">
      <c r="A74" s="297" t="s">
        <v>304</v>
      </c>
      <c r="B74" s="12" t="s">
        <v>251</v>
      </c>
      <c r="C74" s="30" t="s">
        <v>15</v>
      </c>
      <c r="D74" s="6" t="s">
        <v>15</v>
      </c>
      <c r="E74" s="6" t="s">
        <v>15</v>
      </c>
      <c r="F74" s="6" t="s">
        <v>15</v>
      </c>
      <c r="G74" s="6" t="s">
        <v>15</v>
      </c>
      <c r="H74" s="6" t="s">
        <v>15</v>
      </c>
      <c r="I74" s="6" t="s">
        <v>15</v>
      </c>
      <c r="J74" s="6" t="s">
        <v>15</v>
      </c>
      <c r="K74" s="6" t="s">
        <v>15</v>
      </c>
      <c r="L74" s="6" t="s">
        <v>15</v>
      </c>
      <c r="M74" s="6" t="s">
        <v>15</v>
      </c>
      <c r="N74" s="6" t="s">
        <v>15</v>
      </c>
      <c r="O74" s="280">
        <f t="shared" si="3"/>
        <v>0</v>
      </c>
    </row>
    <row r="75" spans="1:15" ht="13.5" customHeight="1" x14ac:dyDescent="0.2">
      <c r="A75" s="297" t="s">
        <v>302</v>
      </c>
      <c r="B75" s="12" t="s">
        <v>251</v>
      </c>
      <c r="C75" s="30" t="s">
        <v>15</v>
      </c>
      <c r="D75" s="6" t="s">
        <v>15</v>
      </c>
      <c r="E75" s="6" t="s">
        <v>15</v>
      </c>
      <c r="F75" s="6" t="s">
        <v>15</v>
      </c>
      <c r="G75" s="6" t="s">
        <v>15</v>
      </c>
      <c r="H75" s="6" t="s">
        <v>15</v>
      </c>
      <c r="I75" s="6" t="s">
        <v>15</v>
      </c>
      <c r="J75" s="6" t="s">
        <v>15</v>
      </c>
      <c r="K75" s="6" t="s">
        <v>15</v>
      </c>
      <c r="L75" s="6" t="s">
        <v>15</v>
      </c>
      <c r="M75" s="6" t="s">
        <v>15</v>
      </c>
      <c r="N75" s="6" t="s">
        <v>15</v>
      </c>
      <c r="O75" s="280">
        <f t="shared" si="3"/>
        <v>0</v>
      </c>
    </row>
    <row r="76" spans="1:15" ht="13.5" customHeight="1" x14ac:dyDescent="0.2">
      <c r="A76" s="297" t="s">
        <v>308</v>
      </c>
      <c r="B76" s="12" t="s">
        <v>251</v>
      </c>
      <c r="C76" s="30">
        <v>2000</v>
      </c>
      <c r="D76" s="6">
        <v>2000</v>
      </c>
      <c r="E76" s="6">
        <v>2000</v>
      </c>
      <c r="F76" s="6">
        <v>2000</v>
      </c>
      <c r="G76" s="6">
        <v>2000</v>
      </c>
      <c r="H76" s="6">
        <v>2000</v>
      </c>
      <c r="I76" s="6">
        <v>2000</v>
      </c>
      <c r="J76" s="6">
        <v>2000</v>
      </c>
      <c r="K76" s="6">
        <v>2000</v>
      </c>
      <c r="L76" s="6">
        <v>2000</v>
      </c>
      <c r="M76" s="6">
        <v>2000</v>
      </c>
      <c r="N76" s="6">
        <v>2000</v>
      </c>
      <c r="O76" s="280">
        <f t="shared" si="3"/>
        <v>24000</v>
      </c>
    </row>
    <row r="77" spans="1:15" ht="13.5" customHeight="1" x14ac:dyDescent="0.2">
      <c r="A77" s="15" t="s">
        <v>262</v>
      </c>
      <c r="B77" s="12" t="s">
        <v>251</v>
      </c>
      <c r="C77" s="30" t="s">
        <v>15</v>
      </c>
      <c r="D77" s="6" t="s">
        <v>15</v>
      </c>
      <c r="E77" s="6" t="s">
        <v>15</v>
      </c>
      <c r="F77" s="6" t="s">
        <v>15</v>
      </c>
      <c r="G77" s="6" t="s">
        <v>15</v>
      </c>
      <c r="H77" s="6" t="s">
        <v>15</v>
      </c>
      <c r="I77" s="6" t="s">
        <v>15</v>
      </c>
      <c r="J77" s="6" t="s">
        <v>15</v>
      </c>
      <c r="K77" s="6" t="s">
        <v>15</v>
      </c>
      <c r="L77" s="6" t="s">
        <v>15</v>
      </c>
      <c r="M77" s="6" t="s">
        <v>15</v>
      </c>
      <c r="N77" s="6" t="s">
        <v>15</v>
      </c>
      <c r="O77" s="38">
        <f t="shared" si="3"/>
        <v>0</v>
      </c>
    </row>
    <row r="78" spans="1:15" ht="13.5" customHeight="1" x14ac:dyDescent="0.2">
      <c r="A78" s="15" t="s">
        <v>262</v>
      </c>
      <c r="B78" s="12" t="s">
        <v>263</v>
      </c>
      <c r="C78" s="30">
        <v>187590.12995805341</v>
      </c>
      <c r="D78" s="6">
        <v>174161.13600488749</v>
      </c>
      <c r="E78" s="6">
        <v>207190.9772575541</v>
      </c>
      <c r="F78" s="6">
        <v>205023.3993879937</v>
      </c>
      <c r="G78" s="6">
        <v>187397.84482446339</v>
      </c>
      <c r="H78" s="6">
        <v>216782.50933035891</v>
      </c>
      <c r="I78" s="6">
        <v>244179.39505264821</v>
      </c>
      <c r="J78" s="6">
        <v>279074.90154304361</v>
      </c>
      <c r="K78" s="6">
        <v>330304.15610857791</v>
      </c>
      <c r="L78" s="6">
        <v>384255.11933774571</v>
      </c>
      <c r="M78" s="6">
        <v>431877.40446227422</v>
      </c>
      <c r="N78" s="6">
        <v>447831.5766892875</v>
      </c>
      <c r="O78" s="280">
        <f t="shared" si="3"/>
        <v>3295668.549956888</v>
      </c>
    </row>
    <row r="79" spans="1:15" ht="12.75" customHeight="1" x14ac:dyDescent="0.2">
      <c r="A79" s="297" t="s">
        <v>324</v>
      </c>
      <c r="B79" s="12" t="s">
        <v>69</v>
      </c>
      <c r="C79" s="30" t="s">
        <v>15</v>
      </c>
      <c r="D79" s="6" t="s">
        <v>15</v>
      </c>
      <c r="E79" s="6" t="s">
        <v>15</v>
      </c>
      <c r="F79" s="6" t="s">
        <v>15</v>
      </c>
      <c r="G79" s="6" t="s">
        <v>15</v>
      </c>
      <c r="H79" s="6" t="s">
        <v>15</v>
      </c>
      <c r="I79" s="6" t="s">
        <v>15</v>
      </c>
      <c r="J79" s="6" t="s">
        <v>15</v>
      </c>
      <c r="K79" s="6" t="s">
        <v>15</v>
      </c>
      <c r="L79" s="6" t="s">
        <v>15</v>
      </c>
      <c r="M79" s="6" t="s">
        <v>15</v>
      </c>
      <c r="N79" s="6" t="s">
        <v>15</v>
      </c>
      <c r="O79" s="280">
        <f t="shared" si="3"/>
        <v>0</v>
      </c>
    </row>
    <row r="80" spans="1:15" ht="12.75" customHeight="1" x14ac:dyDescent="0.2">
      <c r="A80" s="297" t="s">
        <v>325</v>
      </c>
      <c r="B80" s="12" t="s">
        <v>69</v>
      </c>
      <c r="C80" s="30" t="s">
        <v>15</v>
      </c>
      <c r="D80" s="6" t="s">
        <v>15</v>
      </c>
      <c r="E80" s="6" t="s">
        <v>15</v>
      </c>
      <c r="F80" s="6" t="s">
        <v>15</v>
      </c>
      <c r="G80" s="6" t="s">
        <v>15</v>
      </c>
      <c r="H80" s="6" t="s">
        <v>15</v>
      </c>
      <c r="I80" s="6" t="s">
        <v>15</v>
      </c>
      <c r="J80" s="6" t="s">
        <v>15</v>
      </c>
      <c r="K80" s="6" t="s">
        <v>15</v>
      </c>
      <c r="L80" s="6" t="s">
        <v>15</v>
      </c>
      <c r="M80" s="6" t="s">
        <v>15</v>
      </c>
      <c r="N80" s="6" t="s">
        <v>15</v>
      </c>
      <c r="O80" s="280">
        <f t="shared" si="3"/>
        <v>0</v>
      </c>
    </row>
    <row r="81" spans="1:15" ht="12.75" customHeight="1" x14ac:dyDescent="0.2">
      <c r="A81" s="15" t="s">
        <v>334</v>
      </c>
      <c r="B81" s="12" t="s">
        <v>69</v>
      </c>
      <c r="C81" s="30" t="s">
        <v>15</v>
      </c>
      <c r="D81" s="6" t="s">
        <v>15</v>
      </c>
      <c r="E81" s="6" t="s">
        <v>15</v>
      </c>
      <c r="F81" s="6" t="s">
        <v>15</v>
      </c>
      <c r="G81" s="6" t="s">
        <v>15</v>
      </c>
      <c r="H81" s="6" t="s">
        <v>15</v>
      </c>
      <c r="I81" s="6" t="s">
        <v>15</v>
      </c>
      <c r="J81" s="6" t="s">
        <v>15</v>
      </c>
      <c r="K81" s="6" t="s">
        <v>15</v>
      </c>
      <c r="L81" s="6" t="s">
        <v>15</v>
      </c>
      <c r="M81" s="6" t="s">
        <v>15</v>
      </c>
      <c r="N81" s="6" t="s">
        <v>15</v>
      </c>
      <c r="O81" s="280">
        <f t="shared" si="3"/>
        <v>0</v>
      </c>
    </row>
    <row r="82" spans="1:15" ht="12.75" customHeight="1" x14ac:dyDescent="0.2">
      <c r="A82" s="15" t="s">
        <v>335</v>
      </c>
      <c r="B82" s="12" t="s">
        <v>69</v>
      </c>
      <c r="C82" s="30" t="s">
        <v>15</v>
      </c>
      <c r="D82" s="6" t="s">
        <v>15</v>
      </c>
      <c r="E82" s="6" t="s">
        <v>15</v>
      </c>
      <c r="F82" s="6" t="s">
        <v>15</v>
      </c>
      <c r="G82" s="6" t="s">
        <v>15</v>
      </c>
      <c r="H82" s="6" t="s">
        <v>15</v>
      </c>
      <c r="I82" s="6" t="s">
        <v>15</v>
      </c>
      <c r="J82" s="6" t="s">
        <v>15</v>
      </c>
      <c r="K82" s="6" t="s">
        <v>15</v>
      </c>
      <c r="L82" s="6" t="s">
        <v>15</v>
      </c>
      <c r="M82" s="6" t="s">
        <v>15</v>
      </c>
      <c r="N82" s="6" t="s">
        <v>15</v>
      </c>
      <c r="O82" s="280">
        <f t="shared" si="3"/>
        <v>0</v>
      </c>
    </row>
    <row r="83" spans="1:15" ht="12.75" customHeight="1" x14ac:dyDescent="0.2">
      <c r="A83" s="15" t="s">
        <v>336</v>
      </c>
      <c r="B83" s="12" t="s">
        <v>69</v>
      </c>
      <c r="C83" s="30" t="s">
        <v>15</v>
      </c>
      <c r="D83" s="6" t="s">
        <v>15</v>
      </c>
      <c r="E83" s="6" t="s">
        <v>15</v>
      </c>
      <c r="F83" s="6" t="s">
        <v>15</v>
      </c>
      <c r="G83" s="6" t="s">
        <v>15</v>
      </c>
      <c r="H83" s="6" t="s">
        <v>15</v>
      </c>
      <c r="I83" s="6" t="s">
        <v>15</v>
      </c>
      <c r="J83" s="6" t="s">
        <v>15</v>
      </c>
      <c r="K83" s="6" t="s">
        <v>15</v>
      </c>
      <c r="L83" s="6" t="s">
        <v>15</v>
      </c>
      <c r="M83" s="6" t="s">
        <v>15</v>
      </c>
      <c r="N83" s="6" t="s">
        <v>15</v>
      </c>
      <c r="O83" s="280">
        <f t="shared" si="3"/>
        <v>0</v>
      </c>
    </row>
    <row r="84" spans="1:15" ht="12.75" customHeight="1" x14ac:dyDescent="0.2">
      <c r="A84" s="15" t="s">
        <v>337</v>
      </c>
      <c r="B84" s="12" t="s">
        <v>69</v>
      </c>
      <c r="C84" s="30" t="s">
        <v>15</v>
      </c>
      <c r="D84" s="6" t="s">
        <v>15</v>
      </c>
      <c r="E84" s="6" t="s">
        <v>15</v>
      </c>
      <c r="F84" s="6" t="s">
        <v>15</v>
      </c>
      <c r="G84" s="6" t="s">
        <v>15</v>
      </c>
      <c r="H84" s="6" t="s">
        <v>15</v>
      </c>
      <c r="I84" s="6" t="s">
        <v>15</v>
      </c>
      <c r="J84" s="6" t="s">
        <v>15</v>
      </c>
      <c r="K84" s="6" t="s">
        <v>15</v>
      </c>
      <c r="L84" s="6" t="s">
        <v>15</v>
      </c>
      <c r="M84" s="6" t="s">
        <v>15</v>
      </c>
      <c r="N84" s="6" t="s">
        <v>15</v>
      </c>
      <c r="O84" s="280">
        <f t="shared" si="3"/>
        <v>0</v>
      </c>
    </row>
    <row r="85" spans="1:15" ht="12.75" customHeight="1" x14ac:dyDescent="0.2">
      <c r="A85" s="15" t="s">
        <v>338</v>
      </c>
      <c r="B85" s="12" t="s">
        <v>69</v>
      </c>
      <c r="C85" s="30" t="s">
        <v>15</v>
      </c>
      <c r="D85" s="6" t="s">
        <v>15</v>
      </c>
      <c r="E85" s="6" t="s">
        <v>15</v>
      </c>
      <c r="F85" s="6" t="s">
        <v>15</v>
      </c>
      <c r="G85" s="6" t="s">
        <v>15</v>
      </c>
      <c r="H85" s="6" t="s">
        <v>15</v>
      </c>
      <c r="I85" s="6" t="s">
        <v>15</v>
      </c>
      <c r="J85" s="6" t="s">
        <v>15</v>
      </c>
      <c r="K85" s="6" t="s">
        <v>15</v>
      </c>
      <c r="L85" s="6" t="s">
        <v>15</v>
      </c>
      <c r="M85" s="6" t="s">
        <v>15</v>
      </c>
      <c r="N85" s="6" t="s">
        <v>15</v>
      </c>
      <c r="O85" s="280">
        <f t="shared" si="3"/>
        <v>0</v>
      </c>
    </row>
    <row r="86" spans="1:15" ht="12.75" customHeight="1" x14ac:dyDescent="0.2">
      <c r="A86" s="15" t="s">
        <v>344</v>
      </c>
      <c r="B86" s="12" t="s">
        <v>69</v>
      </c>
      <c r="C86" s="30" t="s">
        <v>15</v>
      </c>
      <c r="D86" s="6" t="s">
        <v>15</v>
      </c>
      <c r="E86" s="6" t="s">
        <v>15</v>
      </c>
      <c r="F86" s="6" t="s">
        <v>15</v>
      </c>
      <c r="G86" s="6" t="s">
        <v>15</v>
      </c>
      <c r="H86" s="6" t="s">
        <v>15</v>
      </c>
      <c r="I86" s="6" t="s">
        <v>15</v>
      </c>
      <c r="J86" s="6" t="s">
        <v>15</v>
      </c>
      <c r="K86" s="6" t="s">
        <v>15</v>
      </c>
      <c r="L86" s="6" t="s">
        <v>15</v>
      </c>
      <c r="M86" s="6" t="s">
        <v>15</v>
      </c>
      <c r="N86" s="6" t="s">
        <v>15</v>
      </c>
      <c r="O86" s="280">
        <f t="shared" si="3"/>
        <v>0</v>
      </c>
    </row>
    <row r="87" spans="1:15" ht="12.75" customHeight="1" x14ac:dyDescent="0.2">
      <c r="A87" s="15" t="s">
        <v>339</v>
      </c>
      <c r="B87" s="12" t="s">
        <v>69</v>
      </c>
      <c r="C87" s="30" t="s">
        <v>15</v>
      </c>
      <c r="D87" s="6" t="s">
        <v>15</v>
      </c>
      <c r="E87" s="6" t="s">
        <v>15</v>
      </c>
      <c r="F87" s="6" t="s">
        <v>15</v>
      </c>
      <c r="G87" s="6" t="s">
        <v>15</v>
      </c>
      <c r="H87" s="6" t="s">
        <v>15</v>
      </c>
      <c r="I87" s="6" t="s">
        <v>15</v>
      </c>
      <c r="J87" s="6" t="s">
        <v>15</v>
      </c>
      <c r="K87" s="6" t="s">
        <v>15</v>
      </c>
      <c r="L87" s="6" t="s">
        <v>15</v>
      </c>
      <c r="M87" s="6" t="s">
        <v>15</v>
      </c>
      <c r="N87" s="6" t="s">
        <v>15</v>
      </c>
      <c r="O87" s="280">
        <f t="shared" si="3"/>
        <v>0</v>
      </c>
    </row>
    <row r="88" spans="1:15" ht="12.75" customHeight="1" x14ac:dyDescent="0.2">
      <c r="A88" s="15" t="s">
        <v>326</v>
      </c>
      <c r="B88" s="12" t="s">
        <v>69</v>
      </c>
      <c r="C88" s="30" t="s">
        <v>15</v>
      </c>
      <c r="D88" s="6" t="s">
        <v>15</v>
      </c>
      <c r="E88" s="6" t="s">
        <v>15</v>
      </c>
      <c r="F88" s="6" t="s">
        <v>15</v>
      </c>
      <c r="G88" s="6" t="s">
        <v>15</v>
      </c>
      <c r="H88" s="6" t="s">
        <v>15</v>
      </c>
      <c r="I88" s="6" t="s">
        <v>15</v>
      </c>
      <c r="J88" s="6" t="s">
        <v>15</v>
      </c>
      <c r="K88" s="6" t="s">
        <v>15</v>
      </c>
      <c r="L88" s="6" t="s">
        <v>15</v>
      </c>
      <c r="M88" s="6" t="s">
        <v>15</v>
      </c>
      <c r="N88" s="6" t="s">
        <v>15</v>
      </c>
      <c r="O88" s="280">
        <f t="shared" si="3"/>
        <v>0</v>
      </c>
    </row>
    <row r="89" spans="1:15" ht="12.75" customHeight="1" x14ac:dyDescent="0.2">
      <c r="A89" s="15" t="s">
        <v>342</v>
      </c>
      <c r="B89" s="12" t="s">
        <v>69</v>
      </c>
      <c r="C89" s="30" t="s">
        <v>15</v>
      </c>
      <c r="D89" s="6" t="s">
        <v>15</v>
      </c>
      <c r="E89" s="6" t="s">
        <v>15</v>
      </c>
      <c r="F89" s="6" t="s">
        <v>15</v>
      </c>
      <c r="G89" s="6" t="s">
        <v>15</v>
      </c>
      <c r="H89" s="6" t="s">
        <v>15</v>
      </c>
      <c r="I89" s="6" t="s">
        <v>15</v>
      </c>
      <c r="J89" s="6" t="s">
        <v>15</v>
      </c>
      <c r="K89" s="6" t="s">
        <v>15</v>
      </c>
      <c r="L89" s="6" t="s">
        <v>15</v>
      </c>
      <c r="M89" s="6" t="s">
        <v>15</v>
      </c>
      <c r="N89" s="6" t="s">
        <v>15</v>
      </c>
      <c r="O89" s="280">
        <f t="shared" si="3"/>
        <v>0</v>
      </c>
    </row>
    <row r="90" spans="1:15" ht="12.75" customHeight="1" x14ac:dyDescent="0.2">
      <c r="A90" s="15" t="s">
        <v>340</v>
      </c>
      <c r="B90" s="12" t="s">
        <v>69</v>
      </c>
      <c r="C90" s="30" t="s">
        <v>15</v>
      </c>
      <c r="D90" s="6" t="s">
        <v>15</v>
      </c>
      <c r="E90" s="6" t="s">
        <v>15</v>
      </c>
      <c r="F90" s="6" t="s">
        <v>15</v>
      </c>
      <c r="G90" s="6" t="s">
        <v>15</v>
      </c>
      <c r="H90" s="6" t="s">
        <v>15</v>
      </c>
      <c r="I90" s="6" t="s">
        <v>15</v>
      </c>
      <c r="J90" s="6" t="s">
        <v>15</v>
      </c>
      <c r="K90" s="6" t="s">
        <v>15</v>
      </c>
      <c r="L90" s="6" t="s">
        <v>15</v>
      </c>
      <c r="M90" s="6" t="s">
        <v>15</v>
      </c>
      <c r="N90" s="6" t="s">
        <v>15</v>
      </c>
      <c r="O90" s="280">
        <f t="shared" si="3"/>
        <v>0</v>
      </c>
    </row>
    <row r="91" spans="1:15" ht="12.75" customHeight="1" x14ac:dyDescent="0.2">
      <c r="A91" s="15" t="s">
        <v>331</v>
      </c>
      <c r="B91" s="12" t="s">
        <v>69</v>
      </c>
      <c r="C91" s="30" t="s">
        <v>15</v>
      </c>
      <c r="D91" s="6" t="s">
        <v>15</v>
      </c>
      <c r="E91" s="6" t="s">
        <v>15</v>
      </c>
      <c r="F91" s="6" t="s">
        <v>15</v>
      </c>
      <c r="G91" s="6" t="s">
        <v>15</v>
      </c>
      <c r="H91" s="6" t="s">
        <v>15</v>
      </c>
      <c r="I91" s="6" t="s">
        <v>15</v>
      </c>
      <c r="J91" s="6" t="s">
        <v>15</v>
      </c>
      <c r="K91" s="6" t="s">
        <v>15</v>
      </c>
      <c r="L91" s="6" t="s">
        <v>15</v>
      </c>
      <c r="M91" s="6" t="s">
        <v>15</v>
      </c>
      <c r="N91" s="6" t="s">
        <v>15</v>
      </c>
      <c r="O91" s="280">
        <f t="shared" si="3"/>
        <v>0</v>
      </c>
    </row>
    <row r="92" spans="1:15" ht="12.75" customHeight="1" x14ac:dyDescent="0.2">
      <c r="A92" s="15" t="s">
        <v>332</v>
      </c>
      <c r="B92" s="12" t="s">
        <v>69</v>
      </c>
      <c r="C92" s="30" t="s">
        <v>15</v>
      </c>
      <c r="D92" s="6" t="s">
        <v>15</v>
      </c>
      <c r="E92" s="6" t="s">
        <v>15</v>
      </c>
      <c r="F92" s="6" t="s">
        <v>15</v>
      </c>
      <c r="G92" s="6" t="s">
        <v>15</v>
      </c>
      <c r="H92" s="6" t="s">
        <v>15</v>
      </c>
      <c r="I92" s="6" t="s">
        <v>15</v>
      </c>
      <c r="J92" s="6" t="s">
        <v>15</v>
      </c>
      <c r="K92" s="6" t="s">
        <v>15</v>
      </c>
      <c r="L92" s="6" t="s">
        <v>15</v>
      </c>
      <c r="M92" s="6" t="s">
        <v>15</v>
      </c>
      <c r="N92" s="6" t="s">
        <v>15</v>
      </c>
      <c r="O92" s="280">
        <f t="shared" si="3"/>
        <v>0</v>
      </c>
    </row>
    <row r="93" spans="1:15" ht="12.75" customHeight="1" x14ac:dyDescent="0.2">
      <c r="A93" s="15" t="s">
        <v>333</v>
      </c>
      <c r="B93" s="12" t="s">
        <v>69</v>
      </c>
      <c r="C93" s="30" t="s">
        <v>15</v>
      </c>
      <c r="D93" s="6" t="s">
        <v>15</v>
      </c>
      <c r="E93" s="6" t="s">
        <v>15</v>
      </c>
      <c r="F93" s="6" t="s">
        <v>15</v>
      </c>
      <c r="G93" s="6" t="s">
        <v>15</v>
      </c>
      <c r="H93" s="6" t="s">
        <v>15</v>
      </c>
      <c r="I93" s="6" t="s">
        <v>15</v>
      </c>
      <c r="J93" s="6" t="s">
        <v>15</v>
      </c>
      <c r="K93" s="6" t="s">
        <v>15</v>
      </c>
      <c r="L93" s="6" t="s">
        <v>15</v>
      </c>
      <c r="M93" s="6" t="s">
        <v>15</v>
      </c>
      <c r="N93" s="6" t="s">
        <v>15</v>
      </c>
      <c r="O93" s="280">
        <f t="shared" si="3"/>
        <v>0</v>
      </c>
    </row>
    <row r="94" spans="1:15" ht="12.75" customHeight="1" x14ac:dyDescent="0.2">
      <c r="A94" s="15" t="s">
        <v>341</v>
      </c>
      <c r="B94" s="12" t="s">
        <v>69</v>
      </c>
      <c r="C94" s="30" t="s">
        <v>15</v>
      </c>
      <c r="D94" s="6" t="s">
        <v>15</v>
      </c>
      <c r="E94" s="6" t="s">
        <v>15</v>
      </c>
      <c r="F94" s="6" t="s">
        <v>15</v>
      </c>
      <c r="G94" s="6" t="s">
        <v>15</v>
      </c>
      <c r="H94" s="6" t="s">
        <v>15</v>
      </c>
      <c r="I94" s="6" t="s">
        <v>15</v>
      </c>
      <c r="J94" s="6" t="s">
        <v>15</v>
      </c>
      <c r="K94" s="6" t="s">
        <v>15</v>
      </c>
      <c r="L94" s="6" t="s">
        <v>15</v>
      </c>
      <c r="M94" s="6" t="s">
        <v>15</v>
      </c>
      <c r="N94" s="6" t="s">
        <v>15</v>
      </c>
      <c r="O94" s="280">
        <f t="shared" si="3"/>
        <v>0</v>
      </c>
    </row>
    <row r="95" spans="1:15" ht="12.75" customHeight="1" x14ac:dyDescent="0.2">
      <c r="A95" s="15" t="s">
        <v>345</v>
      </c>
      <c r="B95" s="12" t="s">
        <v>69</v>
      </c>
      <c r="C95" s="30" t="s">
        <v>15</v>
      </c>
      <c r="D95" s="6" t="s">
        <v>15</v>
      </c>
      <c r="E95" s="6" t="s">
        <v>15</v>
      </c>
      <c r="F95" s="6" t="s">
        <v>15</v>
      </c>
      <c r="G95" s="6" t="s">
        <v>15</v>
      </c>
      <c r="H95" s="6" t="s">
        <v>15</v>
      </c>
      <c r="I95" s="6" t="s">
        <v>15</v>
      </c>
      <c r="J95" s="6" t="s">
        <v>15</v>
      </c>
      <c r="K95" s="6" t="s">
        <v>15</v>
      </c>
      <c r="L95" s="6" t="s">
        <v>15</v>
      </c>
      <c r="M95" s="6" t="s">
        <v>15</v>
      </c>
      <c r="N95" s="6" t="s">
        <v>15</v>
      </c>
      <c r="O95" s="280">
        <f t="shared" si="3"/>
        <v>0</v>
      </c>
    </row>
    <row r="96" spans="1:15" s="39" customFormat="1" ht="13.5" customHeight="1" x14ac:dyDescent="0.2">
      <c r="A96" s="40" t="s">
        <v>49</v>
      </c>
      <c r="B96" s="168" t="s">
        <v>251</v>
      </c>
      <c r="C96" s="30" t="s">
        <v>15</v>
      </c>
      <c r="D96" s="30" t="s">
        <v>15</v>
      </c>
      <c r="E96" s="30" t="s">
        <v>15</v>
      </c>
      <c r="F96" s="30" t="s">
        <v>15</v>
      </c>
      <c r="G96" s="30" t="s">
        <v>15</v>
      </c>
      <c r="H96" s="30" t="s">
        <v>15</v>
      </c>
      <c r="I96" s="30" t="s">
        <v>15</v>
      </c>
      <c r="J96" s="30" t="s">
        <v>15</v>
      </c>
      <c r="K96" s="30" t="s">
        <v>15</v>
      </c>
      <c r="L96" s="30" t="s">
        <v>15</v>
      </c>
      <c r="M96" s="30" t="s">
        <v>15</v>
      </c>
      <c r="N96" s="30" t="s">
        <v>15</v>
      </c>
      <c r="O96" s="38">
        <f t="shared" si="3"/>
        <v>0</v>
      </c>
    </row>
    <row r="97" spans="1:15" s="39" customFormat="1" ht="13.5" customHeight="1" x14ac:dyDescent="0.2">
      <c r="A97" s="40" t="s">
        <v>51</v>
      </c>
      <c r="B97" s="168" t="s">
        <v>251</v>
      </c>
      <c r="C97" s="30" t="s">
        <v>15</v>
      </c>
      <c r="D97" s="30" t="s">
        <v>15</v>
      </c>
      <c r="E97" s="30" t="s">
        <v>15</v>
      </c>
      <c r="F97" s="30" t="s">
        <v>15</v>
      </c>
      <c r="G97" s="30" t="s">
        <v>15</v>
      </c>
      <c r="H97" s="30" t="s">
        <v>15</v>
      </c>
      <c r="I97" s="30" t="s">
        <v>15</v>
      </c>
      <c r="J97" s="30" t="s">
        <v>15</v>
      </c>
      <c r="K97" s="30" t="s">
        <v>15</v>
      </c>
      <c r="L97" s="30" t="s">
        <v>15</v>
      </c>
      <c r="M97" s="30" t="s">
        <v>15</v>
      </c>
      <c r="N97" s="30" t="s">
        <v>15</v>
      </c>
      <c r="O97" s="38">
        <f t="shared" si="3"/>
        <v>0</v>
      </c>
    </row>
    <row r="98" spans="1:15" s="39" customFormat="1" ht="13.5" customHeight="1" x14ac:dyDescent="0.2">
      <c r="A98" s="40" t="s">
        <v>50</v>
      </c>
      <c r="B98" s="168" t="s">
        <v>251</v>
      </c>
      <c r="C98" s="30" t="s">
        <v>15</v>
      </c>
      <c r="D98" s="30" t="s">
        <v>15</v>
      </c>
      <c r="E98" s="30" t="s">
        <v>15</v>
      </c>
      <c r="F98" s="30" t="s">
        <v>15</v>
      </c>
      <c r="G98" s="30" t="s">
        <v>15</v>
      </c>
      <c r="H98" s="30" t="s">
        <v>15</v>
      </c>
      <c r="I98" s="30" t="s">
        <v>15</v>
      </c>
      <c r="J98" s="30" t="s">
        <v>15</v>
      </c>
      <c r="K98" s="30" t="s">
        <v>15</v>
      </c>
      <c r="L98" s="30" t="s">
        <v>15</v>
      </c>
      <c r="M98" s="30" t="s">
        <v>15</v>
      </c>
      <c r="N98" s="30" t="s">
        <v>15</v>
      </c>
      <c r="O98" s="38">
        <f t="shared" si="3"/>
        <v>0</v>
      </c>
    </row>
    <row r="99" spans="1:15" s="39" customFormat="1" ht="13.5" customHeight="1" x14ac:dyDescent="0.2">
      <c r="A99" s="40" t="s">
        <v>264</v>
      </c>
      <c r="B99" s="168" t="s">
        <v>251</v>
      </c>
      <c r="C99" s="30" t="s">
        <v>15</v>
      </c>
      <c r="D99" s="30" t="s">
        <v>15</v>
      </c>
      <c r="E99" s="30" t="s">
        <v>15</v>
      </c>
      <c r="F99" s="30" t="s">
        <v>15</v>
      </c>
      <c r="G99" s="30" t="s">
        <v>15</v>
      </c>
      <c r="H99" s="30" t="s">
        <v>15</v>
      </c>
      <c r="I99" s="30" t="s">
        <v>15</v>
      </c>
      <c r="J99" s="30" t="s">
        <v>15</v>
      </c>
      <c r="K99" s="30" t="s">
        <v>15</v>
      </c>
      <c r="L99" s="30" t="s">
        <v>15</v>
      </c>
      <c r="M99" s="30" t="s">
        <v>15</v>
      </c>
      <c r="N99" s="30" t="s">
        <v>15</v>
      </c>
      <c r="O99" s="280">
        <f t="shared" si="3"/>
        <v>0</v>
      </c>
    </row>
    <row r="100" spans="1:15" s="39" customFormat="1" ht="13.5" customHeight="1" x14ac:dyDescent="0.2">
      <c r="A100" s="40" t="s">
        <v>53</v>
      </c>
      <c r="B100" s="168" t="s">
        <v>251</v>
      </c>
      <c r="C100" s="30" t="s">
        <v>15</v>
      </c>
      <c r="D100" s="30" t="s">
        <v>15</v>
      </c>
      <c r="E100" s="30" t="s">
        <v>15</v>
      </c>
      <c r="F100" s="30" t="s">
        <v>15</v>
      </c>
      <c r="G100" s="30" t="s">
        <v>15</v>
      </c>
      <c r="H100" s="30" t="s">
        <v>15</v>
      </c>
      <c r="I100" s="30" t="s">
        <v>15</v>
      </c>
      <c r="J100" s="30" t="s">
        <v>15</v>
      </c>
      <c r="K100" s="30" t="s">
        <v>15</v>
      </c>
      <c r="L100" s="30" t="s">
        <v>15</v>
      </c>
      <c r="M100" s="30" t="s">
        <v>15</v>
      </c>
      <c r="N100" s="30" t="s">
        <v>15</v>
      </c>
      <c r="O100" s="38">
        <f t="shared" si="3"/>
        <v>0</v>
      </c>
    </row>
    <row r="101" spans="1:15" s="39" customFormat="1" ht="13.5" customHeight="1" x14ac:dyDescent="0.2">
      <c r="A101" s="40" t="s">
        <v>52</v>
      </c>
      <c r="B101" s="168" t="s">
        <v>251</v>
      </c>
      <c r="C101" s="30" t="s">
        <v>15</v>
      </c>
      <c r="D101" s="30" t="s">
        <v>15</v>
      </c>
      <c r="E101" s="30" t="s">
        <v>15</v>
      </c>
      <c r="F101" s="30" t="s">
        <v>15</v>
      </c>
      <c r="G101" s="30" t="s">
        <v>15</v>
      </c>
      <c r="H101" s="30" t="s">
        <v>15</v>
      </c>
      <c r="I101" s="30" t="s">
        <v>15</v>
      </c>
      <c r="J101" s="30" t="s">
        <v>15</v>
      </c>
      <c r="K101" s="30" t="s">
        <v>15</v>
      </c>
      <c r="L101" s="30" t="s">
        <v>15</v>
      </c>
      <c r="M101" s="30" t="s">
        <v>15</v>
      </c>
      <c r="N101" s="30" t="s">
        <v>15</v>
      </c>
      <c r="O101" s="38">
        <f t="shared" si="3"/>
        <v>0</v>
      </c>
    </row>
    <row r="102" spans="1:15" s="39" customFormat="1" ht="13.5" customHeight="1" x14ac:dyDescent="0.2">
      <c r="A102" s="40" t="s">
        <v>176</v>
      </c>
      <c r="B102" s="168" t="s">
        <v>251</v>
      </c>
      <c r="C102" s="30" t="s">
        <v>15</v>
      </c>
      <c r="D102" s="30" t="s">
        <v>15</v>
      </c>
      <c r="E102" s="30" t="s">
        <v>15</v>
      </c>
      <c r="F102" s="30" t="s">
        <v>15</v>
      </c>
      <c r="G102" s="30" t="s">
        <v>15</v>
      </c>
      <c r="H102" s="30" t="s">
        <v>15</v>
      </c>
      <c r="I102" s="30" t="s">
        <v>15</v>
      </c>
      <c r="J102" s="30" t="s">
        <v>15</v>
      </c>
      <c r="K102" s="30" t="s">
        <v>15</v>
      </c>
      <c r="L102" s="30" t="s">
        <v>15</v>
      </c>
      <c r="M102" s="30" t="s">
        <v>15</v>
      </c>
      <c r="N102" s="30" t="s">
        <v>15</v>
      </c>
      <c r="O102" s="38">
        <f t="shared" ref="O102:O133" si="4">SUM(C102:N102)</f>
        <v>0</v>
      </c>
    </row>
    <row r="103" spans="1:15" s="39" customFormat="1" ht="13.5" customHeight="1" x14ac:dyDescent="0.2">
      <c r="A103" s="40" t="s">
        <v>54</v>
      </c>
      <c r="B103" s="168" t="s">
        <v>251</v>
      </c>
      <c r="C103" s="30" t="s">
        <v>15</v>
      </c>
      <c r="D103" s="30" t="s">
        <v>15</v>
      </c>
      <c r="E103" s="30" t="s">
        <v>15</v>
      </c>
      <c r="F103" s="30" t="s">
        <v>15</v>
      </c>
      <c r="G103" s="30" t="s">
        <v>15</v>
      </c>
      <c r="H103" s="30" t="s">
        <v>15</v>
      </c>
      <c r="I103" s="30" t="s">
        <v>15</v>
      </c>
      <c r="J103" s="30" t="s">
        <v>15</v>
      </c>
      <c r="K103" s="30" t="s">
        <v>15</v>
      </c>
      <c r="L103" s="30" t="s">
        <v>15</v>
      </c>
      <c r="M103" s="30" t="s">
        <v>15</v>
      </c>
      <c r="N103" s="30" t="s">
        <v>15</v>
      </c>
      <c r="O103" s="38">
        <f t="shared" si="4"/>
        <v>0</v>
      </c>
    </row>
    <row r="104" spans="1:15" s="39" customFormat="1" ht="13.5" customHeight="1" x14ac:dyDescent="0.2">
      <c r="A104" s="40" t="s">
        <v>68</v>
      </c>
      <c r="B104" s="168" t="s">
        <v>251</v>
      </c>
      <c r="C104" s="30" t="s">
        <v>15</v>
      </c>
      <c r="D104" s="30" t="s">
        <v>15</v>
      </c>
      <c r="E104" s="30" t="s">
        <v>15</v>
      </c>
      <c r="F104" s="30" t="s">
        <v>15</v>
      </c>
      <c r="G104" s="30" t="s">
        <v>15</v>
      </c>
      <c r="H104" s="30" t="s">
        <v>15</v>
      </c>
      <c r="I104" s="30" t="s">
        <v>15</v>
      </c>
      <c r="J104" s="30" t="s">
        <v>15</v>
      </c>
      <c r="K104" s="30" t="s">
        <v>15</v>
      </c>
      <c r="L104" s="30" t="s">
        <v>15</v>
      </c>
      <c r="M104" s="30" t="s">
        <v>15</v>
      </c>
      <c r="N104" s="30" t="s">
        <v>15</v>
      </c>
      <c r="O104" s="38">
        <f t="shared" si="4"/>
        <v>0</v>
      </c>
    </row>
    <row r="105" spans="1:15" s="39" customFormat="1" ht="13.5" customHeight="1" x14ac:dyDescent="0.2">
      <c r="A105" s="40" t="s">
        <v>55</v>
      </c>
      <c r="B105" s="168" t="s">
        <v>251</v>
      </c>
      <c r="C105" s="30" t="s">
        <v>15</v>
      </c>
      <c r="D105" s="30" t="s">
        <v>15</v>
      </c>
      <c r="E105" s="30" t="s">
        <v>15</v>
      </c>
      <c r="F105" s="30" t="s">
        <v>15</v>
      </c>
      <c r="G105" s="30" t="s">
        <v>15</v>
      </c>
      <c r="H105" s="30" t="s">
        <v>15</v>
      </c>
      <c r="I105" s="30" t="s">
        <v>15</v>
      </c>
      <c r="J105" s="30" t="s">
        <v>15</v>
      </c>
      <c r="K105" s="30" t="s">
        <v>15</v>
      </c>
      <c r="L105" s="30" t="s">
        <v>15</v>
      </c>
      <c r="M105" s="30" t="s">
        <v>15</v>
      </c>
      <c r="N105" s="30" t="s">
        <v>15</v>
      </c>
      <c r="O105" s="38">
        <f t="shared" si="4"/>
        <v>0</v>
      </c>
    </row>
    <row r="106" spans="1:15" s="39" customFormat="1" ht="13.5" customHeight="1" x14ac:dyDescent="0.2">
      <c r="A106" s="40" t="s">
        <v>48</v>
      </c>
      <c r="B106" s="168" t="s">
        <v>251</v>
      </c>
      <c r="C106" s="30" t="s">
        <v>15</v>
      </c>
      <c r="D106" s="30" t="s">
        <v>15</v>
      </c>
      <c r="E106" s="30" t="s">
        <v>15</v>
      </c>
      <c r="F106" s="30" t="s">
        <v>15</v>
      </c>
      <c r="G106" s="30" t="s">
        <v>15</v>
      </c>
      <c r="H106" s="30" t="s">
        <v>15</v>
      </c>
      <c r="I106" s="30" t="s">
        <v>15</v>
      </c>
      <c r="J106" s="30" t="s">
        <v>15</v>
      </c>
      <c r="K106" s="30" t="s">
        <v>15</v>
      </c>
      <c r="L106" s="30" t="s">
        <v>15</v>
      </c>
      <c r="M106" s="30" t="s">
        <v>15</v>
      </c>
      <c r="N106" s="30" t="s">
        <v>15</v>
      </c>
      <c r="O106" s="38">
        <f t="shared" si="4"/>
        <v>0</v>
      </c>
    </row>
    <row r="107" spans="1:15" s="39" customFormat="1" ht="13.5" customHeight="1" x14ac:dyDescent="0.2">
      <c r="A107" s="40" t="s">
        <v>46</v>
      </c>
      <c r="B107" s="168" t="s">
        <v>251</v>
      </c>
      <c r="C107" s="30" t="s">
        <v>15</v>
      </c>
      <c r="D107" s="30" t="s">
        <v>15</v>
      </c>
      <c r="E107" s="30" t="s">
        <v>15</v>
      </c>
      <c r="F107" s="30" t="s">
        <v>15</v>
      </c>
      <c r="G107" s="30" t="s">
        <v>15</v>
      </c>
      <c r="H107" s="30" t="s">
        <v>15</v>
      </c>
      <c r="I107" s="30" t="s">
        <v>15</v>
      </c>
      <c r="J107" s="30" t="s">
        <v>15</v>
      </c>
      <c r="K107" s="30" t="s">
        <v>15</v>
      </c>
      <c r="L107" s="30" t="s">
        <v>15</v>
      </c>
      <c r="M107" s="30" t="s">
        <v>15</v>
      </c>
      <c r="N107" s="30" t="s">
        <v>15</v>
      </c>
      <c r="O107" s="38">
        <f t="shared" si="4"/>
        <v>0</v>
      </c>
    </row>
    <row r="108" spans="1:15" s="39" customFormat="1" ht="13.5" customHeight="1" x14ac:dyDescent="0.2">
      <c r="A108" s="40" t="s">
        <v>56</v>
      </c>
      <c r="B108" s="168" t="s">
        <v>251</v>
      </c>
      <c r="C108" s="30" t="s">
        <v>15</v>
      </c>
      <c r="D108" s="30" t="s">
        <v>15</v>
      </c>
      <c r="E108" s="30" t="s">
        <v>15</v>
      </c>
      <c r="F108" s="30" t="s">
        <v>15</v>
      </c>
      <c r="G108" s="30" t="s">
        <v>15</v>
      </c>
      <c r="H108" s="30" t="s">
        <v>15</v>
      </c>
      <c r="I108" s="30" t="s">
        <v>15</v>
      </c>
      <c r="J108" s="30" t="s">
        <v>15</v>
      </c>
      <c r="K108" s="30" t="s">
        <v>15</v>
      </c>
      <c r="L108" s="30" t="s">
        <v>15</v>
      </c>
      <c r="M108" s="30" t="s">
        <v>15</v>
      </c>
      <c r="N108" s="30" t="s">
        <v>15</v>
      </c>
      <c r="O108" s="38">
        <f t="shared" si="4"/>
        <v>0</v>
      </c>
    </row>
    <row r="109" spans="1:15" s="39" customFormat="1" ht="13.5" customHeight="1" x14ac:dyDescent="0.2">
      <c r="A109" s="40" t="s">
        <v>63</v>
      </c>
      <c r="B109" s="168" t="s">
        <v>69</v>
      </c>
      <c r="C109" s="30" t="s">
        <v>15</v>
      </c>
      <c r="D109" s="30" t="s">
        <v>15</v>
      </c>
      <c r="E109" s="30" t="s">
        <v>15</v>
      </c>
      <c r="F109" s="30" t="s">
        <v>15</v>
      </c>
      <c r="G109" s="30" t="s">
        <v>15</v>
      </c>
      <c r="H109" s="30" t="s">
        <v>15</v>
      </c>
      <c r="I109" s="30" t="s">
        <v>15</v>
      </c>
      <c r="J109" s="30" t="s">
        <v>15</v>
      </c>
      <c r="K109" s="30" t="s">
        <v>15</v>
      </c>
      <c r="L109" s="30" t="s">
        <v>15</v>
      </c>
      <c r="M109" s="30" t="s">
        <v>15</v>
      </c>
      <c r="N109" s="30" t="s">
        <v>15</v>
      </c>
      <c r="O109" s="38">
        <f t="shared" si="4"/>
        <v>0</v>
      </c>
    </row>
    <row r="110" spans="1:15" s="39" customFormat="1" ht="13.5" customHeight="1" x14ac:dyDescent="0.2">
      <c r="A110" s="200" t="s">
        <v>127</v>
      </c>
      <c r="B110" s="168" t="s">
        <v>69</v>
      </c>
      <c r="C110" s="30" t="s">
        <v>15</v>
      </c>
      <c r="D110" s="30" t="s">
        <v>15</v>
      </c>
      <c r="E110" s="30" t="s">
        <v>15</v>
      </c>
      <c r="F110" s="30" t="s">
        <v>15</v>
      </c>
      <c r="G110" s="30" t="s">
        <v>15</v>
      </c>
      <c r="H110" s="30" t="s">
        <v>15</v>
      </c>
      <c r="I110" s="30" t="s">
        <v>15</v>
      </c>
      <c r="J110" s="30" t="s">
        <v>15</v>
      </c>
      <c r="K110" s="30" t="s">
        <v>15</v>
      </c>
      <c r="L110" s="30" t="s">
        <v>15</v>
      </c>
      <c r="M110" s="30" t="s">
        <v>15</v>
      </c>
      <c r="N110" s="30" t="s">
        <v>15</v>
      </c>
      <c r="O110" s="38">
        <f t="shared" si="4"/>
        <v>0</v>
      </c>
    </row>
    <row r="111" spans="1:15" s="39" customFormat="1" ht="13.5" customHeight="1" x14ac:dyDescent="0.2">
      <c r="A111" s="40" t="s">
        <v>120</v>
      </c>
      <c r="B111" s="168" t="s">
        <v>69</v>
      </c>
      <c r="C111" s="30" t="s">
        <v>15</v>
      </c>
      <c r="D111" s="30" t="s">
        <v>15</v>
      </c>
      <c r="E111" s="30" t="s">
        <v>15</v>
      </c>
      <c r="F111" s="30" t="s">
        <v>15</v>
      </c>
      <c r="G111" s="30" t="s">
        <v>15</v>
      </c>
      <c r="H111" s="30" t="s">
        <v>15</v>
      </c>
      <c r="I111" s="30" t="s">
        <v>15</v>
      </c>
      <c r="J111" s="30" t="s">
        <v>15</v>
      </c>
      <c r="K111" s="30" t="s">
        <v>15</v>
      </c>
      <c r="L111" s="30" t="s">
        <v>15</v>
      </c>
      <c r="M111" s="30" t="s">
        <v>15</v>
      </c>
      <c r="N111" s="30" t="s">
        <v>15</v>
      </c>
      <c r="O111" s="38">
        <f t="shared" si="4"/>
        <v>0</v>
      </c>
    </row>
    <row r="112" spans="1:15" s="39" customFormat="1" ht="13.5" customHeight="1" x14ac:dyDescent="0.2">
      <c r="A112" s="40" t="s">
        <v>47</v>
      </c>
      <c r="B112" s="168" t="s">
        <v>251</v>
      </c>
      <c r="C112" s="30" t="s">
        <v>15</v>
      </c>
      <c r="D112" s="30" t="s">
        <v>15</v>
      </c>
      <c r="E112" s="30" t="s">
        <v>15</v>
      </c>
      <c r="F112" s="30" t="s">
        <v>15</v>
      </c>
      <c r="G112" s="30" t="s">
        <v>15</v>
      </c>
      <c r="H112" s="30" t="s">
        <v>15</v>
      </c>
      <c r="I112" s="30" t="s">
        <v>15</v>
      </c>
      <c r="J112" s="30" t="s">
        <v>15</v>
      </c>
      <c r="K112" s="30" t="s">
        <v>15</v>
      </c>
      <c r="L112" s="30" t="s">
        <v>15</v>
      </c>
      <c r="M112" s="30" t="s">
        <v>15</v>
      </c>
      <c r="N112" s="30" t="s">
        <v>15</v>
      </c>
      <c r="O112" s="38">
        <f t="shared" si="4"/>
        <v>0</v>
      </c>
    </row>
    <row r="113" spans="1:16" s="39" customFormat="1" ht="13.5" customHeight="1" x14ac:dyDescent="0.2">
      <c r="A113" s="40" t="s">
        <v>64</v>
      </c>
      <c r="B113" s="168" t="s">
        <v>251</v>
      </c>
      <c r="C113" s="30" t="s">
        <v>15</v>
      </c>
      <c r="D113" s="30" t="s">
        <v>15</v>
      </c>
      <c r="E113" s="30" t="s">
        <v>15</v>
      </c>
      <c r="F113" s="30" t="s">
        <v>15</v>
      </c>
      <c r="G113" s="30" t="s">
        <v>15</v>
      </c>
      <c r="H113" s="30" t="s">
        <v>15</v>
      </c>
      <c r="I113" s="30" t="s">
        <v>15</v>
      </c>
      <c r="J113" s="30" t="s">
        <v>15</v>
      </c>
      <c r="K113" s="30" t="s">
        <v>15</v>
      </c>
      <c r="L113" s="30" t="s">
        <v>15</v>
      </c>
      <c r="M113" s="30" t="s">
        <v>15</v>
      </c>
      <c r="N113" s="30" t="s">
        <v>15</v>
      </c>
      <c r="O113" s="38">
        <f t="shared" si="4"/>
        <v>0</v>
      </c>
    </row>
    <row r="114" spans="1:16" s="39" customFormat="1" ht="13.5" customHeight="1" x14ac:dyDescent="0.2">
      <c r="A114" s="40" t="s">
        <v>44</v>
      </c>
      <c r="B114" s="168" t="s">
        <v>251</v>
      </c>
      <c r="C114" s="30" t="s">
        <v>15</v>
      </c>
      <c r="D114" s="30" t="s">
        <v>15</v>
      </c>
      <c r="E114" s="30" t="s">
        <v>15</v>
      </c>
      <c r="F114" s="30" t="s">
        <v>15</v>
      </c>
      <c r="G114" s="30" t="s">
        <v>15</v>
      </c>
      <c r="H114" s="30" t="s">
        <v>15</v>
      </c>
      <c r="I114" s="30" t="s">
        <v>15</v>
      </c>
      <c r="J114" s="30" t="s">
        <v>15</v>
      </c>
      <c r="K114" s="30" t="s">
        <v>15</v>
      </c>
      <c r="L114" s="30" t="s">
        <v>15</v>
      </c>
      <c r="M114" s="30" t="s">
        <v>15</v>
      </c>
      <c r="N114" s="30" t="s">
        <v>15</v>
      </c>
      <c r="O114" s="38">
        <f t="shared" si="4"/>
        <v>0</v>
      </c>
    </row>
    <row r="115" spans="1:16" s="39" customFormat="1" ht="13.5" customHeight="1" x14ac:dyDescent="0.2">
      <c r="A115" s="40" t="s">
        <v>66</v>
      </c>
      <c r="B115" s="168" t="s">
        <v>251</v>
      </c>
      <c r="C115" s="30" t="s">
        <v>15</v>
      </c>
      <c r="D115" s="30" t="s">
        <v>15</v>
      </c>
      <c r="E115" s="30" t="s">
        <v>15</v>
      </c>
      <c r="F115" s="30" t="s">
        <v>15</v>
      </c>
      <c r="G115" s="30" t="s">
        <v>15</v>
      </c>
      <c r="H115" s="30" t="s">
        <v>15</v>
      </c>
      <c r="I115" s="30" t="s">
        <v>15</v>
      </c>
      <c r="J115" s="30" t="s">
        <v>15</v>
      </c>
      <c r="K115" s="30" t="s">
        <v>15</v>
      </c>
      <c r="L115" s="30" t="s">
        <v>15</v>
      </c>
      <c r="M115" s="30" t="s">
        <v>15</v>
      </c>
      <c r="N115" s="30" t="s">
        <v>15</v>
      </c>
      <c r="O115" s="38">
        <f t="shared" si="4"/>
        <v>0</v>
      </c>
    </row>
    <row r="116" spans="1:16" s="39" customFormat="1" ht="13.5" customHeight="1" x14ac:dyDescent="0.2">
      <c r="A116" s="40" t="s">
        <v>70</v>
      </c>
      <c r="B116" s="168" t="s">
        <v>251</v>
      </c>
      <c r="C116" s="30" t="s">
        <v>15</v>
      </c>
      <c r="D116" s="30" t="s">
        <v>15</v>
      </c>
      <c r="E116" s="30" t="s">
        <v>15</v>
      </c>
      <c r="F116" s="30" t="s">
        <v>15</v>
      </c>
      <c r="G116" s="30" t="s">
        <v>15</v>
      </c>
      <c r="H116" s="30" t="s">
        <v>15</v>
      </c>
      <c r="I116" s="30" t="s">
        <v>15</v>
      </c>
      <c r="J116" s="30" t="s">
        <v>15</v>
      </c>
      <c r="K116" s="30" t="s">
        <v>15</v>
      </c>
      <c r="L116" s="30" t="s">
        <v>15</v>
      </c>
      <c r="M116" s="30" t="s">
        <v>15</v>
      </c>
      <c r="N116" s="30" t="s">
        <v>15</v>
      </c>
      <c r="O116" s="38">
        <f t="shared" si="4"/>
        <v>0</v>
      </c>
    </row>
    <row r="117" spans="1:16" s="39" customFormat="1" ht="13.5" customHeight="1" x14ac:dyDescent="0.2">
      <c r="A117" s="40" t="s">
        <v>65</v>
      </c>
      <c r="B117" s="168" t="s">
        <v>251</v>
      </c>
      <c r="C117" s="30" t="s">
        <v>15</v>
      </c>
      <c r="D117" s="30" t="s">
        <v>15</v>
      </c>
      <c r="E117" s="30" t="s">
        <v>15</v>
      </c>
      <c r="F117" s="30" t="s">
        <v>15</v>
      </c>
      <c r="G117" s="30" t="s">
        <v>15</v>
      </c>
      <c r="H117" s="30" t="s">
        <v>15</v>
      </c>
      <c r="I117" s="30" t="s">
        <v>15</v>
      </c>
      <c r="J117" s="30" t="s">
        <v>15</v>
      </c>
      <c r="K117" s="30" t="s">
        <v>15</v>
      </c>
      <c r="L117" s="30" t="s">
        <v>15</v>
      </c>
      <c r="M117" s="30" t="s">
        <v>15</v>
      </c>
      <c r="N117" s="30" t="s">
        <v>15</v>
      </c>
      <c r="O117" s="38">
        <f t="shared" si="4"/>
        <v>0</v>
      </c>
    </row>
    <row r="118" spans="1:16" s="39" customFormat="1" ht="13.5" customHeight="1" x14ac:dyDescent="0.2">
      <c r="A118" s="40" t="s">
        <v>71</v>
      </c>
      <c r="B118" s="168" t="s">
        <v>251</v>
      </c>
      <c r="C118" s="30" t="s">
        <v>15</v>
      </c>
      <c r="D118" s="30" t="s">
        <v>15</v>
      </c>
      <c r="E118" s="30" t="s">
        <v>15</v>
      </c>
      <c r="F118" s="30" t="s">
        <v>15</v>
      </c>
      <c r="G118" s="30" t="s">
        <v>15</v>
      </c>
      <c r="H118" s="30" t="s">
        <v>15</v>
      </c>
      <c r="I118" s="30" t="s">
        <v>15</v>
      </c>
      <c r="J118" s="30" t="s">
        <v>15</v>
      </c>
      <c r="K118" s="30" t="s">
        <v>15</v>
      </c>
      <c r="L118" s="30" t="s">
        <v>15</v>
      </c>
      <c r="M118" s="30" t="s">
        <v>15</v>
      </c>
      <c r="N118" s="30" t="s">
        <v>15</v>
      </c>
      <c r="O118" s="38">
        <f t="shared" si="4"/>
        <v>0</v>
      </c>
    </row>
    <row r="119" spans="1:16" s="39" customFormat="1" ht="13.5" customHeight="1" x14ac:dyDescent="0.2">
      <c r="A119" s="40" t="s">
        <v>58</v>
      </c>
      <c r="B119" s="168" t="s">
        <v>251</v>
      </c>
      <c r="C119" s="30" t="s">
        <v>15</v>
      </c>
      <c r="D119" s="30" t="s">
        <v>15</v>
      </c>
      <c r="E119" s="30" t="s">
        <v>15</v>
      </c>
      <c r="F119" s="30" t="s">
        <v>15</v>
      </c>
      <c r="G119" s="30" t="s">
        <v>15</v>
      </c>
      <c r="H119" s="30" t="s">
        <v>15</v>
      </c>
      <c r="I119" s="30" t="s">
        <v>15</v>
      </c>
      <c r="J119" s="30" t="s">
        <v>15</v>
      </c>
      <c r="K119" s="30" t="s">
        <v>15</v>
      </c>
      <c r="L119" s="30" t="s">
        <v>15</v>
      </c>
      <c r="M119" s="30" t="s">
        <v>15</v>
      </c>
      <c r="N119" s="30" t="s">
        <v>15</v>
      </c>
      <c r="O119" s="38">
        <f t="shared" si="4"/>
        <v>0</v>
      </c>
    </row>
    <row r="120" spans="1:16" s="39" customFormat="1" ht="13.5" customHeight="1" x14ac:dyDescent="0.2">
      <c r="A120" s="40" t="s">
        <v>67</v>
      </c>
      <c r="B120" s="168" t="s">
        <v>251</v>
      </c>
      <c r="C120" s="30" t="s">
        <v>15</v>
      </c>
      <c r="D120" s="30" t="s">
        <v>15</v>
      </c>
      <c r="E120" s="30" t="s">
        <v>15</v>
      </c>
      <c r="F120" s="30" t="s">
        <v>15</v>
      </c>
      <c r="G120" s="30" t="s">
        <v>15</v>
      </c>
      <c r="H120" s="30" t="s">
        <v>15</v>
      </c>
      <c r="I120" s="30" t="s">
        <v>15</v>
      </c>
      <c r="J120" s="30" t="s">
        <v>15</v>
      </c>
      <c r="K120" s="30" t="s">
        <v>15</v>
      </c>
      <c r="L120" s="30" t="s">
        <v>15</v>
      </c>
      <c r="M120" s="30" t="s">
        <v>15</v>
      </c>
      <c r="N120" s="30" t="s">
        <v>15</v>
      </c>
      <c r="O120" s="38">
        <f t="shared" si="4"/>
        <v>0</v>
      </c>
    </row>
    <row r="121" spans="1:16" s="39" customFormat="1" ht="13.5" customHeight="1" x14ac:dyDescent="0.2">
      <c r="A121" s="40" t="s">
        <v>45</v>
      </c>
      <c r="B121" s="168" t="s">
        <v>251</v>
      </c>
      <c r="C121" s="30" t="s">
        <v>15</v>
      </c>
      <c r="D121" s="30" t="s">
        <v>15</v>
      </c>
      <c r="E121" s="30" t="s">
        <v>15</v>
      </c>
      <c r="F121" s="30" t="s">
        <v>15</v>
      </c>
      <c r="G121" s="30" t="s">
        <v>15</v>
      </c>
      <c r="H121" s="30" t="s">
        <v>15</v>
      </c>
      <c r="I121" s="30" t="s">
        <v>15</v>
      </c>
      <c r="J121" s="30" t="s">
        <v>15</v>
      </c>
      <c r="K121" s="30" t="s">
        <v>15</v>
      </c>
      <c r="L121" s="30" t="s">
        <v>15</v>
      </c>
      <c r="M121" s="30" t="s">
        <v>15</v>
      </c>
      <c r="N121" s="30" t="s">
        <v>15</v>
      </c>
      <c r="O121" s="38">
        <f t="shared" si="4"/>
        <v>0</v>
      </c>
    </row>
    <row r="122" spans="1:16" s="39" customFormat="1" ht="13.5" customHeight="1" x14ac:dyDescent="0.2">
      <c r="A122" s="40" t="s">
        <v>42</v>
      </c>
      <c r="B122" s="168" t="s">
        <v>251</v>
      </c>
      <c r="C122" s="30" t="s">
        <v>15</v>
      </c>
      <c r="D122" s="30" t="s">
        <v>15</v>
      </c>
      <c r="E122" s="30" t="s">
        <v>15</v>
      </c>
      <c r="F122" s="30" t="s">
        <v>15</v>
      </c>
      <c r="G122" s="30" t="s">
        <v>15</v>
      </c>
      <c r="H122" s="30" t="s">
        <v>15</v>
      </c>
      <c r="I122" s="30" t="s">
        <v>15</v>
      </c>
      <c r="J122" s="30" t="s">
        <v>15</v>
      </c>
      <c r="K122" s="30" t="s">
        <v>15</v>
      </c>
      <c r="L122" s="30" t="s">
        <v>15</v>
      </c>
      <c r="M122" s="30" t="s">
        <v>15</v>
      </c>
      <c r="N122" s="30" t="s">
        <v>15</v>
      </c>
      <c r="O122" s="38">
        <f t="shared" si="4"/>
        <v>0</v>
      </c>
    </row>
    <row r="123" spans="1:16" s="39" customFormat="1" ht="13.5" customHeight="1" x14ac:dyDescent="0.2">
      <c r="A123" s="40" t="s">
        <v>206</v>
      </c>
      <c r="B123" s="168" t="s">
        <v>251</v>
      </c>
      <c r="C123" s="30" t="s">
        <v>15</v>
      </c>
      <c r="D123" s="30" t="s">
        <v>15</v>
      </c>
      <c r="E123" s="30" t="s">
        <v>15</v>
      </c>
      <c r="F123" s="30" t="s">
        <v>15</v>
      </c>
      <c r="G123" s="30" t="s">
        <v>15</v>
      </c>
      <c r="H123" s="30" t="s">
        <v>15</v>
      </c>
      <c r="I123" s="30" t="s">
        <v>15</v>
      </c>
      <c r="J123" s="30" t="s">
        <v>15</v>
      </c>
      <c r="K123" s="30" t="s">
        <v>15</v>
      </c>
      <c r="L123" s="30" t="s">
        <v>15</v>
      </c>
      <c r="M123" s="30" t="s">
        <v>15</v>
      </c>
      <c r="N123" s="30" t="s">
        <v>15</v>
      </c>
      <c r="O123" s="38">
        <f t="shared" si="4"/>
        <v>0</v>
      </c>
    </row>
    <row r="124" spans="1:16" s="39" customFormat="1" ht="13.5" customHeight="1" x14ac:dyDescent="0.2">
      <c r="A124" s="40" t="s">
        <v>57</v>
      </c>
      <c r="B124" s="168" t="s">
        <v>251</v>
      </c>
      <c r="C124" s="30" t="s">
        <v>15</v>
      </c>
      <c r="D124" s="30" t="s">
        <v>15</v>
      </c>
      <c r="E124" s="30" t="s">
        <v>15</v>
      </c>
      <c r="F124" s="30" t="s">
        <v>15</v>
      </c>
      <c r="G124" s="30" t="s">
        <v>15</v>
      </c>
      <c r="H124" s="30" t="s">
        <v>15</v>
      </c>
      <c r="I124" s="30" t="s">
        <v>15</v>
      </c>
      <c r="J124" s="30" t="s">
        <v>15</v>
      </c>
      <c r="K124" s="30" t="s">
        <v>15</v>
      </c>
      <c r="L124" s="30" t="s">
        <v>15</v>
      </c>
      <c r="M124" s="30" t="s">
        <v>15</v>
      </c>
      <c r="N124" s="30" t="s">
        <v>15</v>
      </c>
      <c r="O124" s="38">
        <f t="shared" si="4"/>
        <v>0</v>
      </c>
    </row>
    <row r="125" spans="1:16" s="39" customFormat="1" ht="12.75" customHeight="1" x14ac:dyDescent="0.2">
      <c r="A125" s="40" t="s">
        <v>433</v>
      </c>
      <c r="B125" s="168" t="s">
        <v>251</v>
      </c>
      <c r="C125" s="333" t="s">
        <v>15</v>
      </c>
      <c r="D125" s="333" t="s">
        <v>15</v>
      </c>
      <c r="E125" s="333" t="s">
        <v>15</v>
      </c>
      <c r="F125" s="333" t="s">
        <v>15</v>
      </c>
      <c r="G125" s="333" t="s">
        <v>15</v>
      </c>
      <c r="H125" s="333" t="s">
        <v>15</v>
      </c>
      <c r="I125" s="333" t="s">
        <v>15</v>
      </c>
      <c r="J125" s="333" t="s">
        <v>15</v>
      </c>
      <c r="K125" s="333" t="s">
        <v>15</v>
      </c>
      <c r="L125" s="333" t="s">
        <v>15</v>
      </c>
      <c r="M125" s="333" t="s">
        <v>15</v>
      </c>
      <c r="N125" s="333" t="s">
        <v>15</v>
      </c>
      <c r="O125" s="333">
        <f t="shared" si="4"/>
        <v>0</v>
      </c>
    </row>
    <row r="126" spans="1:16" s="39" customFormat="1" ht="13.5" customHeight="1" x14ac:dyDescent="0.2">
      <c r="A126" s="40" t="s">
        <v>34</v>
      </c>
      <c r="B126" s="168" t="s">
        <v>251</v>
      </c>
      <c r="C126" s="30">
        <v>126920</v>
      </c>
      <c r="D126" s="30">
        <v>158650</v>
      </c>
      <c r="E126" s="30">
        <v>126920</v>
      </c>
      <c r="F126" s="30">
        <v>126920</v>
      </c>
      <c r="G126" s="30">
        <v>158650</v>
      </c>
      <c r="H126" s="30">
        <v>126920</v>
      </c>
      <c r="I126" s="30">
        <v>126920</v>
      </c>
      <c r="J126" s="30">
        <v>158650</v>
      </c>
      <c r="K126" s="30">
        <v>126920</v>
      </c>
      <c r="L126" s="30">
        <v>126920</v>
      </c>
      <c r="M126" s="30">
        <v>158650</v>
      </c>
      <c r="N126" s="30">
        <v>126920</v>
      </c>
      <c r="O126" s="38">
        <f t="shared" si="4"/>
        <v>1649960</v>
      </c>
    </row>
    <row r="127" spans="1:16" s="39" customFormat="1" ht="13.5" customHeight="1" x14ac:dyDescent="0.2">
      <c r="A127" s="40" t="s">
        <v>35</v>
      </c>
      <c r="B127" s="168" t="s">
        <v>251</v>
      </c>
      <c r="C127" s="30" t="s">
        <v>15</v>
      </c>
      <c r="D127" s="30" t="s">
        <v>15</v>
      </c>
      <c r="E127" s="30" t="s">
        <v>15</v>
      </c>
      <c r="F127" s="30" t="s">
        <v>15</v>
      </c>
      <c r="G127" s="30" t="s">
        <v>15</v>
      </c>
      <c r="H127" s="30" t="s">
        <v>15</v>
      </c>
      <c r="I127" s="30" t="s">
        <v>15</v>
      </c>
      <c r="J127" s="30" t="s">
        <v>15</v>
      </c>
      <c r="K127" s="30" t="s">
        <v>15</v>
      </c>
      <c r="L127" s="30" t="s">
        <v>15</v>
      </c>
      <c r="M127" s="30" t="s">
        <v>15</v>
      </c>
      <c r="N127" s="30" t="s">
        <v>15</v>
      </c>
      <c r="O127" s="38">
        <f t="shared" si="4"/>
        <v>0</v>
      </c>
    </row>
    <row r="128" spans="1:16" s="39" customFormat="1" ht="12.75" customHeight="1" x14ac:dyDescent="0.2">
      <c r="A128" s="200" t="s">
        <v>352</v>
      </c>
      <c r="B128" s="168" t="s">
        <v>251</v>
      </c>
      <c r="C128" s="30">
        <v>44560</v>
      </c>
      <c r="D128" s="30">
        <v>55700</v>
      </c>
      <c r="E128" s="30">
        <v>44560</v>
      </c>
      <c r="F128" s="30">
        <v>44560</v>
      </c>
      <c r="G128" s="30">
        <v>55700</v>
      </c>
      <c r="H128" s="30">
        <v>44560</v>
      </c>
      <c r="I128" s="30">
        <v>44560</v>
      </c>
      <c r="J128" s="30">
        <v>55700</v>
      </c>
      <c r="K128" s="30">
        <v>44560</v>
      </c>
      <c r="L128" s="30">
        <v>44560</v>
      </c>
      <c r="M128" s="30">
        <v>55700</v>
      </c>
      <c r="N128" s="30">
        <v>44560</v>
      </c>
      <c r="O128" s="280">
        <f t="shared" si="4"/>
        <v>579280</v>
      </c>
      <c r="P128" s="2"/>
    </row>
    <row r="129" spans="1:16" s="39" customFormat="1" ht="12.75" customHeight="1" x14ac:dyDescent="0.2">
      <c r="A129" s="40" t="s">
        <v>36</v>
      </c>
      <c r="B129" s="168" t="s">
        <v>251</v>
      </c>
      <c r="C129" s="30" t="s">
        <v>15</v>
      </c>
      <c r="D129" s="30" t="s">
        <v>15</v>
      </c>
      <c r="E129" s="30" t="s">
        <v>15</v>
      </c>
      <c r="F129" s="30" t="s">
        <v>15</v>
      </c>
      <c r="G129" s="30" t="s">
        <v>15</v>
      </c>
      <c r="H129" s="30" t="s">
        <v>15</v>
      </c>
      <c r="I129" s="30" t="s">
        <v>15</v>
      </c>
      <c r="J129" s="30" t="s">
        <v>15</v>
      </c>
      <c r="K129" s="30" t="s">
        <v>15</v>
      </c>
      <c r="L129" s="30" t="s">
        <v>15</v>
      </c>
      <c r="M129" s="30" t="s">
        <v>15</v>
      </c>
      <c r="N129" s="30" t="s">
        <v>15</v>
      </c>
      <c r="O129" s="280">
        <f t="shared" si="4"/>
        <v>0</v>
      </c>
      <c r="P129" s="2"/>
    </row>
    <row r="130" spans="1:16" s="39" customFormat="1" ht="12.75" customHeight="1" x14ac:dyDescent="0.2">
      <c r="A130" s="200" t="s">
        <v>353</v>
      </c>
      <c r="B130" s="168" t="s">
        <v>251</v>
      </c>
      <c r="C130" s="30">
        <v>24240</v>
      </c>
      <c r="D130" s="30">
        <v>30300</v>
      </c>
      <c r="E130" s="30">
        <v>24240</v>
      </c>
      <c r="F130" s="30">
        <v>24240</v>
      </c>
      <c r="G130" s="30">
        <v>30300</v>
      </c>
      <c r="H130" s="30">
        <v>24240</v>
      </c>
      <c r="I130" s="30">
        <v>24240</v>
      </c>
      <c r="J130" s="30">
        <v>30300</v>
      </c>
      <c r="K130" s="30">
        <v>24240</v>
      </c>
      <c r="L130" s="30">
        <v>24240</v>
      </c>
      <c r="M130" s="30">
        <v>30300</v>
      </c>
      <c r="N130" s="30">
        <v>24240</v>
      </c>
      <c r="O130" s="280">
        <f t="shared" si="4"/>
        <v>315120</v>
      </c>
      <c r="P130" s="2"/>
    </row>
    <row r="131" spans="1:16" s="39" customFormat="1" ht="13.5" customHeight="1" x14ac:dyDescent="0.2">
      <c r="A131" s="40" t="s">
        <v>37</v>
      </c>
      <c r="B131" s="168" t="s">
        <v>251</v>
      </c>
      <c r="C131" s="30" t="s">
        <v>15</v>
      </c>
      <c r="D131" s="30" t="s">
        <v>15</v>
      </c>
      <c r="E131" s="30" t="s">
        <v>15</v>
      </c>
      <c r="F131" s="30" t="s">
        <v>15</v>
      </c>
      <c r="G131" s="30" t="s">
        <v>15</v>
      </c>
      <c r="H131" s="30" t="s">
        <v>15</v>
      </c>
      <c r="I131" s="30" t="s">
        <v>15</v>
      </c>
      <c r="J131" s="30" t="s">
        <v>15</v>
      </c>
      <c r="K131" s="30" t="s">
        <v>15</v>
      </c>
      <c r="L131" s="30" t="s">
        <v>15</v>
      </c>
      <c r="M131" s="30" t="s">
        <v>15</v>
      </c>
      <c r="N131" s="30" t="s">
        <v>15</v>
      </c>
      <c r="O131" s="38">
        <f t="shared" si="4"/>
        <v>0</v>
      </c>
    </row>
    <row r="132" spans="1:16" s="39" customFormat="1" ht="13.5" customHeight="1" x14ac:dyDescent="0.2">
      <c r="A132" s="200" t="s">
        <v>374</v>
      </c>
      <c r="B132" s="168" t="s">
        <v>251</v>
      </c>
      <c r="C132" s="30" t="s">
        <v>15</v>
      </c>
      <c r="D132" s="30" t="s">
        <v>15</v>
      </c>
      <c r="E132" s="30" t="s">
        <v>15</v>
      </c>
      <c r="F132" s="30" t="s">
        <v>15</v>
      </c>
      <c r="G132" s="30" t="s">
        <v>15</v>
      </c>
      <c r="H132" s="30" t="s">
        <v>15</v>
      </c>
      <c r="I132" s="30" t="s">
        <v>15</v>
      </c>
      <c r="J132" s="30" t="s">
        <v>15</v>
      </c>
      <c r="K132" s="30" t="s">
        <v>15</v>
      </c>
      <c r="L132" s="30" t="s">
        <v>15</v>
      </c>
      <c r="M132" s="30" t="s">
        <v>15</v>
      </c>
      <c r="N132" s="30" t="s">
        <v>15</v>
      </c>
      <c r="O132" s="38">
        <f t="shared" si="4"/>
        <v>0</v>
      </c>
    </row>
    <row r="133" spans="1:16" s="39" customFormat="1" ht="13.5" customHeight="1" x14ac:dyDescent="0.2">
      <c r="A133" s="40" t="s">
        <v>38</v>
      </c>
      <c r="B133" s="168" t="s">
        <v>251</v>
      </c>
      <c r="C133" s="30" t="s">
        <v>15</v>
      </c>
      <c r="D133" s="30" t="s">
        <v>15</v>
      </c>
      <c r="E133" s="30" t="s">
        <v>15</v>
      </c>
      <c r="F133" s="30" t="s">
        <v>15</v>
      </c>
      <c r="G133" s="30" t="s">
        <v>15</v>
      </c>
      <c r="H133" s="30" t="s">
        <v>15</v>
      </c>
      <c r="I133" s="30" t="s">
        <v>15</v>
      </c>
      <c r="J133" s="30" t="s">
        <v>15</v>
      </c>
      <c r="K133" s="30" t="s">
        <v>15</v>
      </c>
      <c r="L133" s="30" t="s">
        <v>15</v>
      </c>
      <c r="M133" s="30" t="s">
        <v>15</v>
      </c>
      <c r="N133" s="30" t="s">
        <v>15</v>
      </c>
      <c r="O133" s="38">
        <f t="shared" si="4"/>
        <v>0</v>
      </c>
    </row>
    <row r="134" spans="1:16" ht="13.5" customHeight="1" x14ac:dyDescent="0.2">
      <c r="A134" s="15" t="s">
        <v>77</v>
      </c>
      <c r="B134" s="12" t="s">
        <v>251</v>
      </c>
      <c r="C134" s="6">
        <v>4333.1612400387439</v>
      </c>
      <c r="D134" s="6">
        <v>4643.7858084235713</v>
      </c>
      <c r="E134" s="6">
        <v>5016.7445514431984</v>
      </c>
      <c r="F134" s="6">
        <v>5408.373250889761</v>
      </c>
      <c r="G134" s="6">
        <v>5813.22117387251</v>
      </c>
      <c r="H134" s="6">
        <v>6221.015257397401</v>
      </c>
      <c r="I134" s="6">
        <v>6618.3851015948158</v>
      </c>
      <c r="J134" s="6">
        <v>6991.5784356326149</v>
      </c>
      <c r="K134" s="6">
        <v>7329.2241871810102</v>
      </c>
      <c r="L134" s="6">
        <v>7624.168879202788</v>
      </c>
      <c r="M134" s="6">
        <v>7943.3834543010853</v>
      </c>
      <c r="N134" s="6">
        <v>8264.5161438941268</v>
      </c>
      <c r="O134" s="38">
        <f t="shared" ref="O134:O165" si="5">SUM(C134:N134)</f>
        <v>76207.557483871627</v>
      </c>
    </row>
    <row r="135" spans="1:16" ht="13.5" customHeight="1" x14ac:dyDescent="0.2">
      <c r="A135" s="15" t="s">
        <v>16</v>
      </c>
      <c r="B135" s="12" t="s">
        <v>251</v>
      </c>
      <c r="C135" s="6">
        <v>10107.404026500481</v>
      </c>
      <c r="D135" s="6">
        <v>11378.005909860271</v>
      </c>
      <c r="E135" s="6">
        <v>9057.0282884367334</v>
      </c>
      <c r="F135" s="6">
        <v>11501.510439066609</v>
      </c>
      <c r="G135" s="6">
        <v>11214.12720564447</v>
      </c>
      <c r="H135" s="6">
        <v>10283.45390402743</v>
      </c>
      <c r="I135" s="6">
        <v>11096.88919355982</v>
      </c>
      <c r="J135" s="6">
        <v>10857.317172693171</v>
      </c>
      <c r="K135" s="6">
        <v>9789.3539632985121</v>
      </c>
      <c r="L135" s="6">
        <v>11518.98559462851</v>
      </c>
      <c r="M135" s="6">
        <v>10892.91677369227</v>
      </c>
      <c r="N135" s="6">
        <v>10150.18595896337</v>
      </c>
      <c r="O135" s="38">
        <f t="shared" si="5"/>
        <v>127847.17843037166</v>
      </c>
    </row>
    <row r="136" spans="1:16" ht="13.5" customHeight="1" x14ac:dyDescent="0.2">
      <c r="A136" s="15" t="s">
        <v>17</v>
      </c>
      <c r="B136" s="12" t="s">
        <v>251</v>
      </c>
      <c r="C136" s="6">
        <v>37596.717911250002</v>
      </c>
      <c r="D136" s="6">
        <v>45735.938467650012</v>
      </c>
      <c r="E136" s="6">
        <v>37311.23163087001</v>
      </c>
      <c r="F136" s="6">
        <v>36906.033946158001</v>
      </c>
      <c r="G136" s="6">
        <v>44897.783334209998</v>
      </c>
      <c r="H136" s="6">
        <v>36626.257391385603</v>
      </c>
      <c r="I136" s="6">
        <v>36228.55113065664</v>
      </c>
      <c r="J136" s="6">
        <v>44075.625641299797</v>
      </c>
      <c r="K136" s="6">
        <v>35954.370106979688</v>
      </c>
      <c r="L136" s="6">
        <v>35564.011567051217</v>
      </c>
      <c r="M136" s="6">
        <v>43269.153096730202</v>
      </c>
      <c r="N136" s="6">
        <v>35295.314163847812</v>
      </c>
      <c r="O136" s="38">
        <f t="shared" si="5"/>
        <v>469460.988388089</v>
      </c>
    </row>
    <row r="137" spans="1:16" ht="13.5" customHeight="1" x14ac:dyDescent="0.2">
      <c r="A137" s="15" t="s">
        <v>18</v>
      </c>
      <c r="B137" s="12" t="s">
        <v>251</v>
      </c>
      <c r="C137" s="6">
        <v>132130.91915023921</v>
      </c>
      <c r="D137" s="6">
        <v>163100.79847279351</v>
      </c>
      <c r="E137" s="6">
        <v>128850.9190374561</v>
      </c>
      <c r="F137" s="6">
        <v>122881.7457867679</v>
      </c>
      <c r="G137" s="6">
        <v>151683.73355674339</v>
      </c>
      <c r="H137" s="6">
        <v>119831.3456818797</v>
      </c>
      <c r="I137" s="6">
        <v>119037.3437678535</v>
      </c>
      <c r="J137" s="6">
        <v>146938.2513727152</v>
      </c>
      <c r="K137" s="6">
        <v>116082.37648698159</v>
      </c>
      <c r="L137" s="6">
        <v>115313.21519789789</v>
      </c>
      <c r="M137" s="6">
        <v>142341.2332427683</v>
      </c>
      <c r="N137" s="6">
        <v>112450.69509208279</v>
      </c>
      <c r="O137" s="38">
        <f t="shared" si="5"/>
        <v>1570642.5768461789</v>
      </c>
    </row>
    <row r="138" spans="1:16" ht="13.5" customHeight="1" x14ac:dyDescent="0.2">
      <c r="A138" s="15" t="s">
        <v>255</v>
      </c>
      <c r="B138" s="12" t="s">
        <v>251</v>
      </c>
      <c r="C138" s="6">
        <v>211.66778360330159</v>
      </c>
      <c r="D138" s="6">
        <v>264.58472950412698</v>
      </c>
      <c r="E138" s="6">
        <v>211.66778360330159</v>
      </c>
      <c r="F138" s="6">
        <v>217.197058626765</v>
      </c>
      <c r="G138" s="6">
        <v>271.49632328345638</v>
      </c>
      <c r="H138" s="6">
        <v>217.197058626765</v>
      </c>
      <c r="I138" s="6">
        <v>207.19776424507259</v>
      </c>
      <c r="J138" s="6">
        <v>258.99720530634067</v>
      </c>
      <c r="K138" s="6">
        <v>207.19776424507259</v>
      </c>
      <c r="L138" s="6">
        <v>192.98902608049681</v>
      </c>
      <c r="M138" s="6">
        <v>241.236282600621</v>
      </c>
      <c r="N138" s="6">
        <v>192.98902608049681</v>
      </c>
      <c r="O138" s="38">
        <f t="shared" si="5"/>
        <v>2694.4178058058174</v>
      </c>
    </row>
    <row r="139" spans="1:16" ht="13.5" customHeight="1" x14ac:dyDescent="0.2">
      <c r="A139" s="15" t="s">
        <v>39</v>
      </c>
      <c r="B139" s="12" t="s">
        <v>251</v>
      </c>
      <c r="C139" s="6" t="s">
        <v>15</v>
      </c>
      <c r="D139" s="6" t="s">
        <v>15</v>
      </c>
      <c r="E139" s="6" t="s">
        <v>15</v>
      </c>
      <c r="F139" s="6" t="s">
        <v>15</v>
      </c>
      <c r="G139" s="6" t="s">
        <v>15</v>
      </c>
      <c r="H139" s="6" t="s">
        <v>15</v>
      </c>
      <c r="I139" s="6" t="s">
        <v>15</v>
      </c>
      <c r="J139" s="6" t="s">
        <v>15</v>
      </c>
      <c r="K139" s="6" t="s">
        <v>15</v>
      </c>
      <c r="L139" s="6" t="s">
        <v>15</v>
      </c>
      <c r="M139" s="6" t="s">
        <v>15</v>
      </c>
      <c r="N139" s="6" t="s">
        <v>15</v>
      </c>
      <c r="O139" s="38">
        <f t="shared" si="5"/>
        <v>0</v>
      </c>
    </row>
    <row r="140" spans="1:16" ht="13.5" customHeight="1" x14ac:dyDescent="0.2">
      <c r="A140" s="15" t="s">
        <v>19</v>
      </c>
      <c r="B140" s="12" t="s">
        <v>251</v>
      </c>
      <c r="C140" s="6">
        <v>60400.032064982392</v>
      </c>
      <c r="D140" s="6">
        <v>74882.017067511159</v>
      </c>
      <c r="E140" s="6">
        <v>59800.079365718389</v>
      </c>
      <c r="F140" s="6">
        <v>61050.303451544307</v>
      </c>
      <c r="G140" s="6">
        <v>75333.068462791154</v>
      </c>
      <c r="H140" s="6">
        <v>60122.543759309207</v>
      </c>
      <c r="I140" s="6">
        <v>60002.813382011358</v>
      </c>
      <c r="J140" s="6">
        <v>75790.76063885467</v>
      </c>
      <c r="K140" s="6">
        <v>58076.204979828792</v>
      </c>
      <c r="L140" s="6">
        <v>60523.855826648469</v>
      </c>
      <c r="M140" s="6">
        <v>75111.904435003729</v>
      </c>
      <c r="N140" s="6">
        <v>58476.406493992661</v>
      </c>
      <c r="O140" s="38">
        <f t="shared" si="5"/>
        <v>779569.9899281963</v>
      </c>
    </row>
    <row r="141" spans="1:16" ht="13.5" customHeight="1" x14ac:dyDescent="0.2">
      <c r="A141" s="170" t="s">
        <v>204</v>
      </c>
      <c r="B141" s="12" t="s">
        <v>251</v>
      </c>
      <c r="C141" s="6">
        <v>13542.20809038265</v>
      </c>
      <c r="D141" s="6">
        <v>16709.392752737978</v>
      </c>
      <c r="E141" s="6">
        <v>13317.074292738231</v>
      </c>
      <c r="F141" s="6">
        <v>13725.573620239349</v>
      </c>
      <c r="G141" s="6">
        <v>17024.972873728009</v>
      </c>
      <c r="H141" s="6">
        <v>13727.946016801479</v>
      </c>
      <c r="I141" s="6">
        <v>13682.411878590419</v>
      </c>
      <c r="J141" s="6">
        <v>17348.819436923641</v>
      </c>
      <c r="K141" s="6">
        <v>12665.35739105344</v>
      </c>
      <c r="L141" s="6">
        <v>12033.66689067681</v>
      </c>
      <c r="M141" s="6">
        <v>15886.57914820806</v>
      </c>
      <c r="N141" s="6">
        <v>13331.24624488876</v>
      </c>
      <c r="O141" s="38">
        <f t="shared" si="5"/>
        <v>172995.24863696881</v>
      </c>
    </row>
    <row r="142" spans="1:16" ht="13.5" customHeight="1" x14ac:dyDescent="0.2">
      <c r="A142" s="15" t="s">
        <v>20</v>
      </c>
      <c r="B142" s="12" t="s">
        <v>251</v>
      </c>
      <c r="C142" s="6" t="s">
        <v>15</v>
      </c>
      <c r="D142" s="6" t="s">
        <v>15</v>
      </c>
      <c r="E142" s="6" t="s">
        <v>15</v>
      </c>
      <c r="F142" s="6" t="s">
        <v>15</v>
      </c>
      <c r="G142" s="6" t="s">
        <v>15</v>
      </c>
      <c r="H142" s="6" t="s">
        <v>15</v>
      </c>
      <c r="I142" s="6" t="s">
        <v>15</v>
      </c>
      <c r="J142" s="6" t="s">
        <v>15</v>
      </c>
      <c r="K142" s="6" t="s">
        <v>15</v>
      </c>
      <c r="L142" s="6" t="s">
        <v>15</v>
      </c>
      <c r="M142" s="6" t="s">
        <v>15</v>
      </c>
      <c r="N142" s="6" t="s">
        <v>15</v>
      </c>
      <c r="O142" s="38">
        <f t="shared" si="5"/>
        <v>0</v>
      </c>
    </row>
    <row r="143" spans="1:16" ht="13.5" customHeight="1" x14ac:dyDescent="0.2">
      <c r="A143" s="15" t="s">
        <v>21</v>
      </c>
      <c r="B143" s="12" t="s">
        <v>251</v>
      </c>
      <c r="C143" s="6">
        <v>689.18500000000006</v>
      </c>
      <c r="D143" s="6">
        <v>607.09259555674146</v>
      </c>
      <c r="E143" s="6">
        <v>638.72500000000002</v>
      </c>
      <c r="F143" s="6">
        <v>637.13000000000011</v>
      </c>
      <c r="G143" s="6">
        <v>625.32166805172596</v>
      </c>
      <c r="H143" s="6">
        <v>645.3950000000001</v>
      </c>
      <c r="I143" s="6">
        <v>643.36500000000012</v>
      </c>
      <c r="J143" s="6">
        <v>632.58013233052066</v>
      </c>
      <c r="K143" s="6">
        <v>641.33500000000004</v>
      </c>
      <c r="L143" s="6">
        <v>639.8850000000001</v>
      </c>
      <c r="M143" s="6">
        <v>629.09547331182455</v>
      </c>
      <c r="N143" s="6">
        <v>628.43000000000006</v>
      </c>
      <c r="O143" s="38">
        <f t="shared" si="5"/>
        <v>7657.5398692508134</v>
      </c>
    </row>
    <row r="144" spans="1:16" ht="13.5" customHeight="1" x14ac:dyDescent="0.2">
      <c r="A144" s="15" t="s">
        <v>40</v>
      </c>
      <c r="B144" s="12" t="s">
        <v>251</v>
      </c>
      <c r="C144" s="6" t="s">
        <v>15</v>
      </c>
      <c r="D144" s="6" t="s">
        <v>15</v>
      </c>
      <c r="E144" s="6" t="s">
        <v>15</v>
      </c>
      <c r="F144" s="6" t="s">
        <v>15</v>
      </c>
      <c r="G144" s="6" t="s">
        <v>15</v>
      </c>
      <c r="H144" s="6" t="s">
        <v>15</v>
      </c>
      <c r="I144" s="6" t="s">
        <v>15</v>
      </c>
      <c r="J144" s="6" t="s">
        <v>15</v>
      </c>
      <c r="K144" s="6" t="s">
        <v>15</v>
      </c>
      <c r="L144" s="6" t="s">
        <v>15</v>
      </c>
      <c r="M144" s="6" t="s">
        <v>15</v>
      </c>
      <c r="N144" s="6" t="s">
        <v>15</v>
      </c>
      <c r="O144" s="38">
        <f t="shared" si="5"/>
        <v>0</v>
      </c>
    </row>
    <row r="145" spans="1:15" customFormat="1" ht="13.5" customHeight="1" x14ac:dyDescent="0.2">
      <c r="A145" s="15" t="s">
        <v>22</v>
      </c>
      <c r="B145" s="12" t="s">
        <v>251</v>
      </c>
      <c r="C145" s="6" t="s">
        <v>15</v>
      </c>
      <c r="D145" s="6" t="s">
        <v>15</v>
      </c>
      <c r="E145" s="6" t="s">
        <v>15</v>
      </c>
      <c r="F145" s="6" t="s">
        <v>15</v>
      </c>
      <c r="G145" s="6" t="s">
        <v>15</v>
      </c>
      <c r="H145" s="6" t="s">
        <v>15</v>
      </c>
      <c r="I145" s="6" t="s">
        <v>15</v>
      </c>
      <c r="J145" s="6" t="s">
        <v>15</v>
      </c>
      <c r="K145" s="6" t="s">
        <v>15</v>
      </c>
      <c r="L145" s="6" t="s">
        <v>15</v>
      </c>
      <c r="M145" s="6" t="s">
        <v>15</v>
      </c>
      <c r="N145" s="6" t="s">
        <v>15</v>
      </c>
      <c r="O145" s="38">
        <f t="shared" si="5"/>
        <v>0</v>
      </c>
    </row>
    <row r="146" spans="1:15" customFormat="1" ht="13.5" customHeight="1" x14ac:dyDescent="0.2">
      <c r="A146" s="15" t="s">
        <v>23</v>
      </c>
      <c r="B146" s="12" t="s">
        <v>251</v>
      </c>
      <c r="C146" s="6">
        <v>25043.270291762441</v>
      </c>
      <c r="D146" s="6">
        <v>31236.384512310349</v>
      </c>
      <c r="E146" s="6">
        <v>24628.6574298743</v>
      </c>
      <c r="F146" s="6">
        <v>24600.90539981929</v>
      </c>
      <c r="G146" s="6">
        <v>30684.055368975791</v>
      </c>
      <c r="H146" s="6">
        <v>24194.58479516891</v>
      </c>
      <c r="I146" s="6">
        <v>24167.12581933293</v>
      </c>
      <c r="J146" s="6">
        <v>30142.452244177159</v>
      </c>
      <c r="K146" s="6">
        <v>23768.93162677556</v>
      </c>
      <c r="L146" s="6">
        <v>23741.762334787079</v>
      </c>
      <c r="M146" s="6">
        <v>29611.363663900851</v>
      </c>
      <c r="N146" s="6">
        <v>23351.532026080851</v>
      </c>
      <c r="O146" s="38">
        <f t="shared" si="5"/>
        <v>315171.02551296551</v>
      </c>
    </row>
    <row r="147" spans="1:15" customFormat="1" ht="13.5" customHeight="1" x14ac:dyDescent="0.2">
      <c r="A147" s="15" t="s">
        <v>24</v>
      </c>
      <c r="B147" s="12" t="s">
        <v>251</v>
      </c>
      <c r="C147" s="6">
        <v>15351.52592477902</v>
      </c>
      <c r="D147" s="6">
        <v>17575.892206773689</v>
      </c>
      <c r="E147" s="6">
        <v>13817.41191756023</v>
      </c>
      <c r="F147" s="6">
        <v>15308.352359912649</v>
      </c>
      <c r="G147" s="6">
        <v>17141.075558104651</v>
      </c>
      <c r="H147" s="6">
        <v>14265.031081669709</v>
      </c>
      <c r="I147" s="6">
        <v>15178.20546965615</v>
      </c>
      <c r="J147" s="6">
        <v>17262.106230167981</v>
      </c>
      <c r="K147" s="6">
        <v>13902.248630685281</v>
      </c>
      <c r="L147" s="6">
        <v>15637.64790888762</v>
      </c>
      <c r="M147" s="6">
        <v>17034.932112062121</v>
      </c>
      <c r="N147" s="6">
        <v>13910.692851357509</v>
      </c>
      <c r="O147" s="38">
        <f t="shared" si="5"/>
        <v>186385.12225161662</v>
      </c>
    </row>
    <row r="148" spans="1:15" customFormat="1" ht="13.5" customHeight="1" x14ac:dyDescent="0.2">
      <c r="A148" s="15" t="s">
        <v>25</v>
      </c>
      <c r="B148" s="12" t="s">
        <v>251</v>
      </c>
      <c r="C148" s="6">
        <v>37341.643279688702</v>
      </c>
      <c r="D148" s="6">
        <v>42354.890519796703</v>
      </c>
      <c r="E148" s="6">
        <v>37777.490198962892</v>
      </c>
      <c r="F148" s="6">
        <v>37085.871466142497</v>
      </c>
      <c r="G148" s="6">
        <v>42201.795138127949</v>
      </c>
      <c r="H148" s="6">
        <v>37495.432820656941</v>
      </c>
      <c r="I148" s="6">
        <v>36814.782543226589</v>
      </c>
      <c r="J148" s="6">
        <v>41955.620583513832</v>
      </c>
      <c r="K148" s="6">
        <v>37306.540475442664</v>
      </c>
      <c r="L148" s="6">
        <v>36578.764028648351</v>
      </c>
      <c r="M148" s="6">
        <v>41716.915545135191</v>
      </c>
      <c r="N148" s="6">
        <v>37100.378997820517</v>
      </c>
      <c r="O148" s="38">
        <f t="shared" si="5"/>
        <v>465730.12559716287</v>
      </c>
    </row>
    <row r="149" spans="1:15" customFormat="1" ht="13.5" customHeight="1" x14ac:dyDescent="0.2">
      <c r="A149" s="15" t="s">
        <v>26</v>
      </c>
      <c r="B149" s="12" t="s">
        <v>251</v>
      </c>
      <c r="C149" s="6">
        <v>2642.1248972183539</v>
      </c>
      <c r="D149" s="6">
        <v>3581.1762943308918</v>
      </c>
      <c r="E149" s="6">
        <v>2629.3636037696542</v>
      </c>
      <c r="F149" s="6">
        <v>2613.1257999815321</v>
      </c>
      <c r="G149" s="6">
        <v>3543.027838735487</v>
      </c>
      <c r="H149" s="6">
        <v>2598.816186359938</v>
      </c>
      <c r="I149" s="6">
        <v>2582.0889879873948</v>
      </c>
      <c r="J149" s="6">
        <v>3506.0066429813951</v>
      </c>
      <c r="K149" s="6">
        <v>2569.7100791217281</v>
      </c>
      <c r="L149" s="6">
        <v>2552.491956970724</v>
      </c>
      <c r="M149" s="6">
        <v>3469.206921040819</v>
      </c>
      <c r="N149" s="6">
        <v>2540.366816316443</v>
      </c>
      <c r="O149" s="38">
        <f t="shared" si="5"/>
        <v>34827.506024814356</v>
      </c>
    </row>
    <row r="150" spans="1:15" customFormat="1" ht="13.5" customHeight="1" x14ac:dyDescent="0.2">
      <c r="A150" s="15" t="s">
        <v>27</v>
      </c>
      <c r="B150" s="12" t="s">
        <v>251</v>
      </c>
      <c r="C150" s="6" t="s">
        <v>15</v>
      </c>
      <c r="D150" s="6" t="s">
        <v>15</v>
      </c>
      <c r="E150" s="6" t="s">
        <v>15</v>
      </c>
      <c r="F150" s="6" t="s">
        <v>15</v>
      </c>
      <c r="G150" s="6" t="s">
        <v>15</v>
      </c>
      <c r="H150" s="6" t="s">
        <v>15</v>
      </c>
      <c r="I150" s="6" t="s">
        <v>15</v>
      </c>
      <c r="J150" s="6" t="s">
        <v>15</v>
      </c>
      <c r="K150" s="6" t="s">
        <v>15</v>
      </c>
      <c r="L150" s="6" t="s">
        <v>15</v>
      </c>
      <c r="M150" s="6" t="s">
        <v>15</v>
      </c>
      <c r="N150" s="6" t="s">
        <v>15</v>
      </c>
      <c r="O150" s="38">
        <f t="shared" si="5"/>
        <v>0</v>
      </c>
    </row>
    <row r="151" spans="1:15" customFormat="1" ht="13.5" customHeight="1" x14ac:dyDescent="0.2">
      <c r="A151" s="15" t="s">
        <v>72</v>
      </c>
      <c r="B151" s="12" t="s">
        <v>251</v>
      </c>
      <c r="C151" s="6">
        <v>685.757431935</v>
      </c>
      <c r="D151" s="6">
        <v>848.68621033500017</v>
      </c>
      <c r="E151" s="6">
        <v>685.757431935</v>
      </c>
      <c r="F151" s="6">
        <v>671.764827445425</v>
      </c>
      <c r="G151" s="6">
        <v>831.41215064280004</v>
      </c>
      <c r="H151" s="6">
        <v>671.764827445425</v>
      </c>
      <c r="I151" s="6">
        <v>658.06790356357317</v>
      </c>
      <c r="J151" s="6">
        <v>814.50218198810023</v>
      </c>
      <c r="K151" s="6">
        <v>658.06790356357317</v>
      </c>
      <c r="L151" s="6">
        <v>644.66016040920999</v>
      </c>
      <c r="M151" s="6">
        <v>797.94832141824884</v>
      </c>
      <c r="N151" s="6">
        <v>644.66016040920999</v>
      </c>
      <c r="O151" s="38">
        <f t="shared" si="5"/>
        <v>8613.0495110905667</v>
      </c>
    </row>
    <row r="152" spans="1:15" ht="13.5" customHeight="1" x14ac:dyDescent="0.2">
      <c r="A152" s="15" t="s">
        <v>28</v>
      </c>
      <c r="B152" s="12" t="s">
        <v>251</v>
      </c>
      <c r="C152" s="6" t="s">
        <v>15</v>
      </c>
      <c r="D152" s="6" t="s">
        <v>15</v>
      </c>
      <c r="E152" s="6" t="s">
        <v>15</v>
      </c>
      <c r="F152" s="6" t="s">
        <v>15</v>
      </c>
      <c r="G152" s="6" t="s">
        <v>15</v>
      </c>
      <c r="H152" s="6" t="s">
        <v>15</v>
      </c>
      <c r="I152" s="6" t="s">
        <v>15</v>
      </c>
      <c r="J152" s="6" t="s">
        <v>15</v>
      </c>
      <c r="K152" s="6" t="s">
        <v>15</v>
      </c>
      <c r="L152" s="6" t="s">
        <v>15</v>
      </c>
      <c r="M152" s="6" t="s">
        <v>15</v>
      </c>
      <c r="N152" s="6" t="s">
        <v>15</v>
      </c>
      <c r="O152" s="38">
        <f t="shared" si="5"/>
        <v>0</v>
      </c>
    </row>
    <row r="153" spans="1:15" ht="13.5" customHeight="1" x14ac:dyDescent="0.2">
      <c r="A153" s="15" t="s">
        <v>82</v>
      </c>
      <c r="B153" s="12" t="s">
        <v>251</v>
      </c>
      <c r="C153" s="6">
        <v>30788.782068854671</v>
      </c>
      <c r="D153" s="6">
        <v>38264.673330475562</v>
      </c>
      <c r="E153" s="6">
        <v>31998.583173735769</v>
      </c>
      <c r="F153" s="6">
        <v>32643.563133334821</v>
      </c>
      <c r="G153" s="6">
        <v>41909.622721823493</v>
      </c>
      <c r="H153" s="6">
        <v>34720.779545207813</v>
      </c>
      <c r="I153" s="6">
        <v>36618.593442021338</v>
      </c>
      <c r="J153" s="6">
        <v>45110.795375374917</v>
      </c>
      <c r="K153" s="6">
        <v>37254.483944934072</v>
      </c>
      <c r="L153" s="6">
        <v>34801.745367153177</v>
      </c>
      <c r="M153" s="6">
        <v>43024.959144578243</v>
      </c>
      <c r="N153" s="6">
        <v>36708.617852925039</v>
      </c>
      <c r="O153" s="38">
        <f t="shared" si="5"/>
        <v>443845.19910041895</v>
      </c>
    </row>
    <row r="154" spans="1:15" ht="13.5" customHeight="1" x14ac:dyDescent="0.2">
      <c r="A154" s="15" t="s">
        <v>165</v>
      </c>
      <c r="B154" s="12" t="s">
        <v>251</v>
      </c>
      <c r="C154" s="15" t="s">
        <v>15</v>
      </c>
      <c r="D154" s="15">
        <v>1190.7721953</v>
      </c>
      <c r="E154" s="15">
        <v>268.11064800000003</v>
      </c>
      <c r="F154" s="15">
        <v>545.5020492000001</v>
      </c>
      <c r="G154" s="15">
        <v>693.23335048341221</v>
      </c>
      <c r="H154" s="15">
        <v>554.58668038672977</v>
      </c>
      <c r="I154" s="15">
        <v>554.58668038672977</v>
      </c>
      <c r="J154" s="15">
        <v>693.23335048341221</v>
      </c>
      <c r="K154" s="15">
        <v>554.58668038672977</v>
      </c>
      <c r="L154" s="15">
        <v>554.58668038672977</v>
      </c>
      <c r="M154" s="15">
        <v>693.23335048341221</v>
      </c>
      <c r="N154" s="15">
        <v>554.58668038672977</v>
      </c>
      <c r="O154" s="38">
        <f t="shared" si="5"/>
        <v>6857.0183458838856</v>
      </c>
    </row>
    <row r="155" spans="1:15" ht="13.5" customHeight="1" x14ac:dyDescent="0.2">
      <c r="A155" s="15" t="s">
        <v>166</v>
      </c>
      <c r="B155" s="12" t="s">
        <v>251</v>
      </c>
      <c r="C155" s="15">
        <v>8839.9150260410406</v>
      </c>
      <c r="D155" s="15">
        <v>10328.326975921431</v>
      </c>
      <c r="E155" s="15">
        <v>8021.1290264725631</v>
      </c>
      <c r="F155" s="15">
        <v>8770.1119944036236</v>
      </c>
      <c r="G155" s="15">
        <v>10448.42512807626</v>
      </c>
      <c r="H155" s="15">
        <v>8329.5461953618687</v>
      </c>
      <c r="I155" s="15">
        <v>8455.6694390810098</v>
      </c>
      <c r="J155" s="15">
        <v>10984.174165409069</v>
      </c>
      <c r="K155" s="15">
        <v>7259.5158151979294</v>
      </c>
      <c r="L155" s="15">
        <v>8226.0143175775411</v>
      </c>
      <c r="M155" s="15">
        <v>10227.14092771415</v>
      </c>
      <c r="N155" s="15">
        <v>9315.8030039758214</v>
      </c>
      <c r="O155" s="38">
        <f t="shared" si="5"/>
        <v>109205.7720152323</v>
      </c>
    </row>
    <row r="156" spans="1:15" ht="13.5" customHeight="1" x14ac:dyDescent="0.2">
      <c r="A156" s="15" t="s">
        <v>167</v>
      </c>
      <c r="B156" s="12" t="s">
        <v>251</v>
      </c>
      <c r="C156" s="15" t="s">
        <v>15</v>
      </c>
      <c r="D156" s="15" t="s">
        <v>15</v>
      </c>
      <c r="E156" s="15" t="s">
        <v>15</v>
      </c>
      <c r="F156" s="15" t="s">
        <v>15</v>
      </c>
      <c r="G156" s="15" t="s">
        <v>15</v>
      </c>
      <c r="H156" s="15" t="s">
        <v>15</v>
      </c>
      <c r="I156" s="15" t="s">
        <v>15</v>
      </c>
      <c r="J156" s="15" t="s">
        <v>15</v>
      </c>
      <c r="K156" s="15" t="s">
        <v>15</v>
      </c>
      <c r="L156" s="15" t="s">
        <v>15</v>
      </c>
      <c r="M156" s="15" t="s">
        <v>15</v>
      </c>
      <c r="N156" s="15" t="s">
        <v>15</v>
      </c>
      <c r="O156" s="38">
        <f t="shared" si="5"/>
        <v>0</v>
      </c>
    </row>
    <row r="157" spans="1:15" ht="13.5" customHeight="1" x14ac:dyDescent="0.2">
      <c r="A157" s="15" t="s">
        <v>168</v>
      </c>
      <c r="B157" s="12" t="s">
        <v>251</v>
      </c>
      <c r="C157" s="15" t="s">
        <v>15</v>
      </c>
      <c r="D157" s="15" t="s">
        <v>15</v>
      </c>
      <c r="E157" s="15" t="s">
        <v>15</v>
      </c>
      <c r="F157" s="15" t="s">
        <v>15</v>
      </c>
      <c r="G157" s="15" t="s">
        <v>15</v>
      </c>
      <c r="H157" s="15" t="s">
        <v>15</v>
      </c>
      <c r="I157" s="15" t="s">
        <v>15</v>
      </c>
      <c r="J157" s="15" t="s">
        <v>15</v>
      </c>
      <c r="K157" s="15" t="s">
        <v>15</v>
      </c>
      <c r="L157" s="15" t="s">
        <v>15</v>
      </c>
      <c r="M157" s="15" t="s">
        <v>15</v>
      </c>
      <c r="N157" s="15" t="s">
        <v>15</v>
      </c>
      <c r="O157" s="38">
        <f t="shared" si="5"/>
        <v>0</v>
      </c>
    </row>
    <row r="158" spans="1:15" ht="13.5" customHeight="1" x14ac:dyDescent="0.2">
      <c r="A158" s="15" t="s">
        <v>73</v>
      </c>
      <c r="B158" s="12" t="s">
        <v>251</v>
      </c>
      <c r="C158" s="6" t="s">
        <v>15</v>
      </c>
      <c r="D158" s="6" t="s">
        <v>15</v>
      </c>
      <c r="E158" s="6" t="s">
        <v>15</v>
      </c>
      <c r="F158" s="6" t="s">
        <v>15</v>
      </c>
      <c r="G158" s="6" t="s">
        <v>15</v>
      </c>
      <c r="H158" s="6" t="s">
        <v>15</v>
      </c>
      <c r="I158" s="6" t="s">
        <v>15</v>
      </c>
      <c r="J158" s="6" t="s">
        <v>15</v>
      </c>
      <c r="K158" s="6" t="s">
        <v>15</v>
      </c>
      <c r="L158" s="6" t="s">
        <v>15</v>
      </c>
      <c r="M158" s="6" t="s">
        <v>15</v>
      </c>
      <c r="N158" s="6" t="s">
        <v>15</v>
      </c>
      <c r="O158" s="38">
        <f t="shared" si="5"/>
        <v>0</v>
      </c>
    </row>
    <row r="159" spans="1:15" ht="13.5" customHeight="1" x14ac:dyDescent="0.2">
      <c r="A159" s="15" t="s">
        <v>29</v>
      </c>
      <c r="B159" s="12" t="s">
        <v>251</v>
      </c>
      <c r="C159" s="6">
        <v>58051.31450940697</v>
      </c>
      <c r="D159" s="6">
        <v>71786.057276716267</v>
      </c>
      <c r="E159" s="6">
        <v>58117.947138699928</v>
      </c>
      <c r="F159" s="6">
        <v>57374.48266719345</v>
      </c>
      <c r="G159" s="6">
        <v>70906.97747228753</v>
      </c>
      <c r="H159" s="6">
        <v>57385.120167937559</v>
      </c>
      <c r="I159" s="6">
        <v>56692.663669617003</v>
      </c>
      <c r="J159" s="6">
        <v>70092.814387920429</v>
      </c>
      <c r="K159" s="6">
        <v>56685.532089191751</v>
      </c>
      <c r="L159" s="6">
        <v>56025.939103844903</v>
      </c>
      <c r="M159" s="6">
        <v>69207.990141308983</v>
      </c>
      <c r="N159" s="6">
        <v>56058.278602383652</v>
      </c>
      <c r="O159" s="38">
        <f t="shared" si="5"/>
        <v>738385.11722650845</v>
      </c>
    </row>
    <row r="160" spans="1:15" ht="13.5" customHeight="1" x14ac:dyDescent="0.2">
      <c r="A160" s="15" t="s">
        <v>30</v>
      </c>
      <c r="B160" s="12" t="s">
        <v>251</v>
      </c>
      <c r="C160" s="6" t="s">
        <v>15</v>
      </c>
      <c r="D160" s="6" t="s">
        <v>15</v>
      </c>
      <c r="E160" s="6" t="s">
        <v>15</v>
      </c>
      <c r="F160" s="6" t="s">
        <v>15</v>
      </c>
      <c r="G160" s="6" t="s">
        <v>15</v>
      </c>
      <c r="H160" s="6" t="s">
        <v>15</v>
      </c>
      <c r="I160" s="6" t="s">
        <v>15</v>
      </c>
      <c r="J160" s="6" t="s">
        <v>15</v>
      </c>
      <c r="K160" s="6" t="s">
        <v>15</v>
      </c>
      <c r="L160" s="6" t="s">
        <v>15</v>
      </c>
      <c r="M160" s="6" t="s">
        <v>15</v>
      </c>
      <c r="N160" s="6" t="s">
        <v>15</v>
      </c>
      <c r="O160" s="38">
        <f t="shared" si="5"/>
        <v>0</v>
      </c>
    </row>
    <row r="161" spans="1:15" ht="13.5" customHeight="1" x14ac:dyDescent="0.2">
      <c r="A161" s="15" t="s">
        <v>75</v>
      </c>
      <c r="B161" s="12" t="s">
        <v>251</v>
      </c>
      <c r="C161" s="6">
        <v>122.1936381543466</v>
      </c>
      <c r="D161" s="6">
        <v>172.70247864501539</v>
      </c>
      <c r="E161" s="6">
        <v>120.8494344455077</v>
      </c>
      <c r="F161" s="6">
        <v>120.8494344455077</v>
      </c>
      <c r="G161" s="6">
        <v>174.62282728940431</v>
      </c>
      <c r="H161" s="6">
        <v>122.1936381543466</v>
      </c>
      <c r="I161" s="6">
        <v>122.1936381543466</v>
      </c>
      <c r="J161" s="6">
        <v>172.70247864501539</v>
      </c>
      <c r="K161" s="6">
        <v>120.8494344455077</v>
      </c>
      <c r="L161" s="6">
        <v>120.8494344455077</v>
      </c>
      <c r="M161" s="6">
        <v>174.62282728940431</v>
      </c>
      <c r="N161" s="6">
        <v>122.1936381543466</v>
      </c>
      <c r="O161" s="38">
        <f t="shared" si="5"/>
        <v>1666.8229022682567</v>
      </c>
    </row>
    <row r="162" spans="1:15" ht="13.5" customHeight="1" x14ac:dyDescent="0.2">
      <c r="A162" s="15" t="s">
        <v>76</v>
      </c>
      <c r="B162" s="12" t="s">
        <v>251</v>
      </c>
      <c r="C162" s="6" t="s">
        <v>15</v>
      </c>
      <c r="D162" s="6" t="s">
        <v>15</v>
      </c>
      <c r="E162" s="6" t="s">
        <v>15</v>
      </c>
      <c r="F162" s="6" t="s">
        <v>15</v>
      </c>
      <c r="G162" s="6" t="s">
        <v>15</v>
      </c>
      <c r="H162" s="6" t="s">
        <v>15</v>
      </c>
      <c r="I162" s="6" t="s">
        <v>15</v>
      </c>
      <c r="J162" s="6">
        <v>398.54967029059162</v>
      </c>
      <c r="K162" s="6">
        <v>797.85375396385984</v>
      </c>
      <c r="L162" s="6">
        <v>1288.7055857571429</v>
      </c>
      <c r="M162" s="6">
        <v>2453.6304811475211</v>
      </c>
      <c r="N162" s="6">
        <v>2637.1031840788892</v>
      </c>
      <c r="O162" s="38">
        <f t="shared" si="5"/>
        <v>7575.8426752380046</v>
      </c>
    </row>
    <row r="163" spans="1:15" ht="13.5" customHeight="1" x14ac:dyDescent="0.2">
      <c r="A163" s="15" t="s">
        <v>78</v>
      </c>
      <c r="B163" s="12" t="s">
        <v>251</v>
      </c>
      <c r="C163" s="6" t="s">
        <v>15</v>
      </c>
      <c r="D163" s="6" t="s">
        <v>15</v>
      </c>
      <c r="E163" s="6" t="s">
        <v>15</v>
      </c>
      <c r="F163" s="6" t="s">
        <v>15</v>
      </c>
      <c r="G163" s="6" t="s">
        <v>15</v>
      </c>
      <c r="H163" s="6" t="s">
        <v>15</v>
      </c>
      <c r="I163" s="6" t="s">
        <v>15</v>
      </c>
      <c r="J163" s="6" t="s">
        <v>15</v>
      </c>
      <c r="K163" s="6" t="s">
        <v>15</v>
      </c>
      <c r="L163" s="6" t="s">
        <v>15</v>
      </c>
      <c r="M163" s="6" t="s">
        <v>15</v>
      </c>
      <c r="N163" s="6" t="s">
        <v>15</v>
      </c>
      <c r="O163" s="38">
        <f t="shared" si="5"/>
        <v>0</v>
      </c>
    </row>
    <row r="164" spans="1:15" ht="13.5" customHeight="1" x14ac:dyDescent="0.2">
      <c r="A164" s="15" t="s">
        <v>79</v>
      </c>
      <c r="B164" s="12" t="s">
        <v>251</v>
      </c>
      <c r="C164" s="6">
        <v>76.125000000000014</v>
      </c>
      <c r="D164" s="6">
        <v>78.705880950587101</v>
      </c>
      <c r="E164" s="6">
        <v>51.040000000000013</v>
      </c>
      <c r="F164" s="6">
        <v>50.750000000000007</v>
      </c>
      <c r="G164" s="6">
        <v>62.389972688452247</v>
      </c>
      <c r="H164" s="6">
        <v>50.315000000000012</v>
      </c>
      <c r="I164" s="6">
        <v>49.735000000000007</v>
      </c>
      <c r="J164" s="6">
        <v>61.610098870935943</v>
      </c>
      <c r="K164" s="6">
        <v>49.445000000000007</v>
      </c>
      <c r="L164" s="6">
        <v>49.155000000000008</v>
      </c>
      <c r="M164" s="6">
        <v>60.395225053419601</v>
      </c>
      <c r="N164" s="6">
        <v>48.575000000000003</v>
      </c>
      <c r="O164" s="38">
        <f t="shared" si="5"/>
        <v>688.24117756339501</v>
      </c>
    </row>
    <row r="165" spans="1:15" ht="13.5" customHeight="1" x14ac:dyDescent="0.2">
      <c r="A165" s="15" t="s">
        <v>80</v>
      </c>
      <c r="B165" s="12" t="s">
        <v>251</v>
      </c>
      <c r="C165" s="6">
        <v>770.47098705045005</v>
      </c>
      <c r="D165" s="6">
        <v>837.43664846310003</v>
      </c>
      <c r="E165" s="6">
        <v>772.79349553875011</v>
      </c>
      <c r="F165" s="6">
        <v>770.76865522170033</v>
      </c>
      <c r="G165" s="6">
        <v>837.80128229576303</v>
      </c>
      <c r="H165" s="6">
        <v>773.09348621848881</v>
      </c>
      <c r="I165" s="6">
        <v>771.06662106112208</v>
      </c>
      <c r="J165" s="6">
        <v>838.16628076225879</v>
      </c>
      <c r="K165" s="6">
        <v>773.39377688890715</v>
      </c>
      <c r="L165" s="6">
        <v>771.36488486638325</v>
      </c>
      <c r="M165" s="6">
        <v>838.53164422722091</v>
      </c>
      <c r="N165" s="6">
        <v>773.69436784999618</v>
      </c>
      <c r="O165" s="38">
        <f t="shared" si="5"/>
        <v>9528.5821304441415</v>
      </c>
    </row>
    <row r="166" spans="1:15" ht="13.5" customHeight="1" x14ac:dyDescent="0.2">
      <c r="A166" s="15" t="s">
        <v>133</v>
      </c>
      <c r="B166" s="12" t="s">
        <v>251</v>
      </c>
      <c r="C166" s="6">
        <v>357.8334698244808</v>
      </c>
      <c r="D166" s="6">
        <v>447.25912907053839</v>
      </c>
      <c r="E166" s="6">
        <v>357.8334698244808</v>
      </c>
      <c r="F166" s="6">
        <v>356.41176477620451</v>
      </c>
      <c r="G166" s="6">
        <v>445.48151680449342</v>
      </c>
      <c r="H166" s="6">
        <v>356.41176477620451</v>
      </c>
      <c r="I166" s="6">
        <v>354.99716825316972</v>
      </c>
      <c r="J166" s="6">
        <v>443.7127925997786</v>
      </c>
      <c r="K166" s="6">
        <v>354.99716825316972</v>
      </c>
      <c r="L166" s="6">
        <v>353.58964471274999</v>
      </c>
      <c r="M166" s="6">
        <v>441.95291201608751</v>
      </c>
      <c r="N166" s="6">
        <v>353.58964471274999</v>
      </c>
      <c r="O166" s="38">
        <f t="shared" ref="O166:O185" si="6">SUM(C166:N166)</f>
        <v>4624.0704456241074</v>
      </c>
    </row>
    <row r="167" spans="1:15" ht="13.5" customHeight="1" x14ac:dyDescent="0.2">
      <c r="A167" s="15" t="s">
        <v>210</v>
      </c>
      <c r="B167" s="12" t="s">
        <v>251</v>
      </c>
      <c r="C167" s="6" t="s">
        <v>15</v>
      </c>
      <c r="D167" s="6" t="s">
        <v>15</v>
      </c>
      <c r="E167" s="6" t="s">
        <v>15</v>
      </c>
      <c r="F167" s="6" t="s">
        <v>15</v>
      </c>
      <c r="G167" s="6" t="s">
        <v>15</v>
      </c>
      <c r="H167" s="6" t="s">
        <v>15</v>
      </c>
      <c r="I167" s="6" t="s">
        <v>15</v>
      </c>
      <c r="J167" s="6" t="s">
        <v>15</v>
      </c>
      <c r="K167" s="6" t="s">
        <v>15</v>
      </c>
      <c r="L167" s="6" t="s">
        <v>15</v>
      </c>
      <c r="M167" s="6" t="s">
        <v>15</v>
      </c>
      <c r="N167" s="6" t="s">
        <v>15</v>
      </c>
      <c r="O167" s="38">
        <f t="shared" si="6"/>
        <v>0</v>
      </c>
    </row>
    <row r="168" spans="1:15" ht="13.5" customHeight="1" x14ac:dyDescent="0.2">
      <c r="A168" s="15" t="s">
        <v>170</v>
      </c>
      <c r="B168" s="12" t="s">
        <v>251</v>
      </c>
      <c r="C168" s="15" t="s">
        <v>15</v>
      </c>
      <c r="D168" s="15" t="s">
        <v>15</v>
      </c>
      <c r="E168" s="15" t="s">
        <v>15</v>
      </c>
      <c r="F168" s="15" t="s">
        <v>15</v>
      </c>
      <c r="G168" s="15" t="s">
        <v>15</v>
      </c>
      <c r="H168" s="15" t="s">
        <v>15</v>
      </c>
      <c r="I168" s="15" t="s">
        <v>15</v>
      </c>
      <c r="J168" s="15" t="s">
        <v>15</v>
      </c>
      <c r="K168" s="15" t="s">
        <v>15</v>
      </c>
      <c r="L168" s="15" t="s">
        <v>15</v>
      </c>
      <c r="M168" s="15" t="s">
        <v>15</v>
      </c>
      <c r="N168" s="15" t="s">
        <v>15</v>
      </c>
      <c r="O168" s="38">
        <f t="shared" si="6"/>
        <v>0</v>
      </c>
    </row>
    <row r="169" spans="1:15" ht="13.5" customHeight="1" x14ac:dyDescent="0.2">
      <c r="A169" s="15" t="s">
        <v>195</v>
      </c>
      <c r="B169" s="12" t="s">
        <v>251</v>
      </c>
      <c r="C169" s="6">
        <v>1712.8145628</v>
      </c>
      <c r="D169" s="6">
        <v>1815.2895460499999</v>
      </c>
      <c r="E169" s="6">
        <v>1712.8145628</v>
      </c>
      <c r="F169" s="6">
        <v>1625.1630048</v>
      </c>
      <c r="G169" s="6">
        <v>1902.9411040499999</v>
      </c>
      <c r="H169" s="6">
        <v>1625.1630048</v>
      </c>
      <c r="I169" s="6">
        <v>1625.1630048</v>
      </c>
      <c r="J169" s="6">
        <v>1902.9411040499999</v>
      </c>
      <c r="K169" s="6">
        <v>1625.1630048</v>
      </c>
      <c r="L169" s="6">
        <v>1625.1630048</v>
      </c>
      <c r="M169" s="6">
        <v>1902.9411040499999</v>
      </c>
      <c r="N169" s="6">
        <v>1612.2730698</v>
      </c>
      <c r="O169" s="38">
        <f t="shared" si="6"/>
        <v>20687.830077600003</v>
      </c>
    </row>
    <row r="170" spans="1:15" ht="13.5" customHeight="1" x14ac:dyDescent="0.2">
      <c r="A170" s="15" t="s">
        <v>256</v>
      </c>
      <c r="B170" s="12" t="s">
        <v>251</v>
      </c>
      <c r="C170" s="6">
        <v>6354.1160662457933</v>
      </c>
      <c r="D170" s="6">
        <v>7984.8215178101464</v>
      </c>
      <c r="E170" s="6">
        <v>6398.6647575603229</v>
      </c>
      <c r="F170" s="6">
        <v>6437.3242686942258</v>
      </c>
      <c r="G170" s="6">
        <v>8089.1722733738843</v>
      </c>
      <c r="H170" s="6">
        <v>6482.418655787149</v>
      </c>
      <c r="I170" s="6">
        <v>6505.0766301132871</v>
      </c>
      <c r="J170" s="6">
        <v>8174.1399796488577</v>
      </c>
      <c r="K170" s="6">
        <v>6889.2263229626851</v>
      </c>
      <c r="L170" s="6">
        <v>6730.4293937386428</v>
      </c>
      <c r="M170" s="6">
        <v>8772.5925611673429</v>
      </c>
      <c r="N170" s="6">
        <v>7021.9069055597711</v>
      </c>
      <c r="O170" s="38">
        <f t="shared" si="6"/>
        <v>85839.889332662104</v>
      </c>
    </row>
    <row r="171" spans="1:15" ht="13.5" customHeight="1" x14ac:dyDescent="0.2">
      <c r="A171" s="15" t="s">
        <v>205</v>
      </c>
      <c r="B171" s="12" t="s">
        <v>251</v>
      </c>
      <c r="C171" s="15">
        <v>337.12500000000011</v>
      </c>
      <c r="D171" s="15">
        <v>337.12500000000011</v>
      </c>
      <c r="E171" s="15">
        <v>337.12500000000011</v>
      </c>
      <c r="F171" s="15">
        <v>337.12500000000011</v>
      </c>
      <c r="G171" s="15">
        <v>337.12500000000011</v>
      </c>
      <c r="H171" s="15">
        <v>337.12500000000011</v>
      </c>
      <c r="I171" s="15">
        <v>337.12500000000011</v>
      </c>
      <c r="J171" s="15">
        <v>337.12500000000011</v>
      </c>
      <c r="K171" s="15">
        <v>337.12500000000011</v>
      </c>
      <c r="L171" s="15">
        <v>337.12500000000011</v>
      </c>
      <c r="M171" s="15">
        <v>337.12500000000011</v>
      </c>
      <c r="N171" s="15">
        <v>337.12500000000011</v>
      </c>
      <c r="O171" s="38">
        <f t="shared" si="6"/>
        <v>4045.5000000000005</v>
      </c>
    </row>
    <row r="172" spans="1:15" ht="13.5" customHeight="1" x14ac:dyDescent="0.2">
      <c r="A172" s="15" t="s">
        <v>207</v>
      </c>
      <c r="B172" s="12" t="s">
        <v>251</v>
      </c>
      <c r="C172" s="15" t="s">
        <v>15</v>
      </c>
      <c r="D172" s="15" t="s">
        <v>15</v>
      </c>
      <c r="E172" s="15" t="s">
        <v>15</v>
      </c>
      <c r="F172" s="15" t="s">
        <v>15</v>
      </c>
      <c r="G172" s="15" t="s">
        <v>15</v>
      </c>
      <c r="H172" s="15" t="s">
        <v>15</v>
      </c>
      <c r="I172" s="15" t="s">
        <v>15</v>
      </c>
      <c r="J172" s="15" t="s">
        <v>15</v>
      </c>
      <c r="K172" s="15" t="s">
        <v>15</v>
      </c>
      <c r="L172" s="15" t="s">
        <v>15</v>
      </c>
      <c r="M172" s="15" t="s">
        <v>15</v>
      </c>
      <c r="N172" s="15" t="s">
        <v>15</v>
      </c>
      <c r="O172" s="38">
        <f t="shared" si="6"/>
        <v>0</v>
      </c>
    </row>
    <row r="173" spans="1:15" ht="13.5" customHeight="1" x14ac:dyDescent="0.2">
      <c r="A173" s="15" t="s">
        <v>257</v>
      </c>
      <c r="B173" s="12" t="s">
        <v>251</v>
      </c>
      <c r="C173" s="6">
        <v>590.51766835384626</v>
      </c>
      <c r="D173" s="6">
        <v>738.14708544230791</v>
      </c>
      <c r="E173" s="6">
        <v>590.51766835384626</v>
      </c>
      <c r="F173" s="6">
        <v>590.51766835384626</v>
      </c>
      <c r="G173" s="6">
        <v>738.14708544230791</v>
      </c>
      <c r="H173" s="6">
        <v>590.51766835384626</v>
      </c>
      <c r="I173" s="6">
        <v>590.51766835384626</v>
      </c>
      <c r="J173" s="6">
        <v>738.14708544230791</v>
      </c>
      <c r="K173" s="6">
        <v>485.93071883076931</v>
      </c>
      <c r="L173" s="6">
        <v>485.93071883076931</v>
      </c>
      <c r="M173" s="6">
        <v>607.41339853846171</v>
      </c>
      <c r="N173" s="6">
        <v>485.93071883076931</v>
      </c>
      <c r="O173" s="38">
        <f t="shared" si="6"/>
        <v>7232.2351531269242</v>
      </c>
    </row>
    <row r="174" spans="1:15" ht="13.5" customHeight="1" x14ac:dyDescent="0.2">
      <c r="A174" s="15" t="s">
        <v>258</v>
      </c>
      <c r="B174" s="12" t="s">
        <v>251</v>
      </c>
      <c r="C174" s="6">
        <v>45.563236402104863</v>
      </c>
      <c r="D174" s="6">
        <v>48.890617833913232</v>
      </c>
      <c r="E174" s="6">
        <v>52.23900332083651</v>
      </c>
      <c r="F174" s="6">
        <v>55.603951866595111</v>
      </c>
      <c r="G174" s="6">
        <v>58.981022474909402</v>
      </c>
      <c r="H174" s="6">
        <v>62.365774149499757</v>
      </c>
      <c r="I174" s="6">
        <v>65.753765894086598</v>
      </c>
      <c r="J174" s="6">
        <v>69.140556712390321</v>
      </c>
      <c r="K174" s="6">
        <v>72.521705608131327</v>
      </c>
      <c r="L174" s="6">
        <v>75.892771585029934</v>
      </c>
      <c r="M174" s="6">
        <v>78.597421636658751</v>
      </c>
      <c r="N174" s="6">
        <v>81.799936496052908</v>
      </c>
      <c r="O174" s="38">
        <f t="shared" si="6"/>
        <v>767.34976398020876</v>
      </c>
    </row>
    <row r="175" spans="1:15" ht="13.5" customHeight="1" x14ac:dyDescent="0.2">
      <c r="A175" s="15" t="s">
        <v>31</v>
      </c>
      <c r="B175" s="12" t="s">
        <v>251</v>
      </c>
      <c r="C175" s="6" t="s">
        <v>15</v>
      </c>
      <c r="D175" s="6" t="s">
        <v>15</v>
      </c>
      <c r="E175" s="6" t="s">
        <v>15</v>
      </c>
      <c r="F175" s="6" t="s">
        <v>15</v>
      </c>
      <c r="G175" s="6" t="s">
        <v>15</v>
      </c>
      <c r="H175" s="6" t="s">
        <v>15</v>
      </c>
      <c r="I175" s="6" t="s">
        <v>15</v>
      </c>
      <c r="J175" s="6" t="s">
        <v>15</v>
      </c>
      <c r="K175" s="6" t="s">
        <v>15</v>
      </c>
      <c r="L175" s="6" t="s">
        <v>15</v>
      </c>
      <c r="M175" s="6" t="s">
        <v>15</v>
      </c>
      <c r="N175" s="6" t="s">
        <v>15</v>
      </c>
      <c r="O175" s="38">
        <f t="shared" si="6"/>
        <v>0</v>
      </c>
    </row>
    <row r="176" spans="1:15" ht="13.5" customHeight="1" x14ac:dyDescent="0.2">
      <c r="A176" s="15" t="s">
        <v>59</v>
      </c>
      <c r="B176" s="12" t="s">
        <v>251</v>
      </c>
      <c r="C176" s="6" t="s">
        <v>15</v>
      </c>
      <c r="D176" s="6" t="s">
        <v>15</v>
      </c>
      <c r="E176" s="6" t="s">
        <v>15</v>
      </c>
      <c r="F176" s="6" t="s">
        <v>15</v>
      </c>
      <c r="G176" s="6" t="s">
        <v>15</v>
      </c>
      <c r="H176" s="6" t="s">
        <v>15</v>
      </c>
      <c r="I176" s="6" t="s">
        <v>15</v>
      </c>
      <c r="J176" s="6" t="s">
        <v>15</v>
      </c>
      <c r="K176" s="6" t="s">
        <v>15</v>
      </c>
      <c r="L176" s="6" t="s">
        <v>15</v>
      </c>
      <c r="M176" s="6" t="s">
        <v>15</v>
      </c>
      <c r="N176" s="6" t="s">
        <v>15</v>
      </c>
      <c r="O176" s="38">
        <f t="shared" si="6"/>
        <v>0</v>
      </c>
    </row>
    <row r="177" spans="1:15" ht="13.5" customHeight="1" x14ac:dyDescent="0.2">
      <c r="A177" s="15" t="s">
        <v>60</v>
      </c>
      <c r="B177" s="12" t="s">
        <v>251</v>
      </c>
      <c r="C177" s="6" t="s">
        <v>15</v>
      </c>
      <c r="D177" s="6" t="s">
        <v>15</v>
      </c>
      <c r="E177" s="6" t="s">
        <v>15</v>
      </c>
      <c r="F177" s="6" t="s">
        <v>15</v>
      </c>
      <c r="G177" s="6" t="s">
        <v>15</v>
      </c>
      <c r="H177" s="6" t="s">
        <v>15</v>
      </c>
      <c r="I177" s="6" t="s">
        <v>15</v>
      </c>
      <c r="J177" s="6" t="s">
        <v>15</v>
      </c>
      <c r="K177" s="6" t="s">
        <v>15</v>
      </c>
      <c r="L177" s="6" t="s">
        <v>15</v>
      </c>
      <c r="M177" s="6" t="s">
        <v>15</v>
      </c>
      <c r="N177" s="6" t="s">
        <v>15</v>
      </c>
      <c r="O177" s="38">
        <f t="shared" si="6"/>
        <v>0</v>
      </c>
    </row>
    <row r="178" spans="1:15" ht="13.5" customHeight="1" x14ac:dyDescent="0.2">
      <c r="A178" s="15" t="s">
        <v>61</v>
      </c>
      <c r="B178" s="12" t="s">
        <v>251</v>
      </c>
      <c r="C178" s="6" t="s">
        <v>15</v>
      </c>
      <c r="D178" s="6" t="s">
        <v>15</v>
      </c>
      <c r="E178" s="6" t="s">
        <v>15</v>
      </c>
      <c r="F178" s="6" t="s">
        <v>15</v>
      </c>
      <c r="G178" s="6" t="s">
        <v>15</v>
      </c>
      <c r="H178" s="6" t="s">
        <v>15</v>
      </c>
      <c r="I178" s="6" t="s">
        <v>15</v>
      </c>
      <c r="J178" s="6" t="s">
        <v>15</v>
      </c>
      <c r="K178" s="6" t="s">
        <v>15</v>
      </c>
      <c r="L178" s="6" t="s">
        <v>15</v>
      </c>
      <c r="M178" s="6" t="s">
        <v>15</v>
      </c>
      <c r="N178" s="6" t="s">
        <v>15</v>
      </c>
      <c r="O178" s="38">
        <f t="shared" si="6"/>
        <v>0</v>
      </c>
    </row>
    <row r="179" spans="1:15" ht="13.5" customHeight="1" x14ac:dyDescent="0.2">
      <c r="A179" s="15" t="s">
        <v>81</v>
      </c>
      <c r="B179" s="12" t="s">
        <v>251</v>
      </c>
      <c r="C179" s="6" t="s">
        <v>15</v>
      </c>
      <c r="D179" s="6" t="s">
        <v>15</v>
      </c>
      <c r="E179" s="6" t="s">
        <v>15</v>
      </c>
      <c r="F179" s="6" t="s">
        <v>15</v>
      </c>
      <c r="G179" s="6" t="s">
        <v>15</v>
      </c>
      <c r="H179" s="6" t="s">
        <v>15</v>
      </c>
      <c r="I179" s="6" t="s">
        <v>15</v>
      </c>
      <c r="J179" s="6" t="s">
        <v>15</v>
      </c>
      <c r="K179" s="6" t="s">
        <v>15</v>
      </c>
      <c r="L179" s="6" t="s">
        <v>15</v>
      </c>
      <c r="M179" s="6" t="s">
        <v>15</v>
      </c>
      <c r="N179" s="6" t="s">
        <v>15</v>
      </c>
      <c r="O179" s="38">
        <f t="shared" si="6"/>
        <v>0</v>
      </c>
    </row>
    <row r="180" spans="1:15" s="39" customFormat="1" ht="13.5" customHeight="1" x14ac:dyDescent="0.2">
      <c r="A180" s="40" t="s">
        <v>32</v>
      </c>
      <c r="B180" s="168" t="s">
        <v>251</v>
      </c>
      <c r="C180" s="30">
        <v>124391.43008725491</v>
      </c>
      <c r="D180" s="30">
        <v>155489.28760906859</v>
      </c>
      <c r="E180" s="30">
        <v>124391.43008725491</v>
      </c>
      <c r="F180" s="30">
        <v>124391.43008725491</v>
      </c>
      <c r="G180" s="30">
        <v>155489.28760906859</v>
      </c>
      <c r="H180" s="30">
        <v>124391.43008725491</v>
      </c>
      <c r="I180" s="30">
        <v>124391.43008725491</v>
      </c>
      <c r="J180" s="30">
        <v>155489.28760906859</v>
      </c>
      <c r="K180" s="30">
        <v>124391.43008725491</v>
      </c>
      <c r="L180" s="30">
        <v>124391.43008725491</v>
      </c>
      <c r="M180" s="30">
        <v>155489.28760906859</v>
      </c>
      <c r="N180" s="30">
        <v>124391.43008725491</v>
      </c>
      <c r="O180" s="280">
        <f t="shared" si="6"/>
        <v>1617088.5911343135</v>
      </c>
    </row>
    <row r="181" spans="1:15" s="39" customFormat="1" ht="13.5" customHeight="1" x14ac:dyDescent="0.2">
      <c r="A181" s="40" t="s">
        <v>41</v>
      </c>
      <c r="B181" s="168" t="s">
        <v>251</v>
      </c>
      <c r="C181" s="30">
        <v>13635.08811167</v>
      </c>
      <c r="D181" s="30">
        <v>17043.860139587508</v>
      </c>
      <c r="E181" s="30">
        <v>13635.08811167</v>
      </c>
      <c r="F181" s="30">
        <v>13635.08811167</v>
      </c>
      <c r="G181" s="30">
        <v>17043.860139587508</v>
      </c>
      <c r="H181" s="30">
        <v>13635.08811167</v>
      </c>
      <c r="I181" s="30">
        <v>13635.08811167</v>
      </c>
      <c r="J181" s="30">
        <v>17043.860139587508</v>
      </c>
      <c r="K181" s="30">
        <v>13635.08811167</v>
      </c>
      <c r="L181" s="30">
        <v>13635.08811167</v>
      </c>
      <c r="M181" s="30">
        <v>17043.860139587508</v>
      </c>
      <c r="N181" s="30">
        <v>13635.08811167</v>
      </c>
      <c r="O181" s="280">
        <f t="shared" si="6"/>
        <v>177256.14545171004</v>
      </c>
    </row>
    <row r="182" spans="1:15" s="39" customFormat="1" ht="13.5" customHeight="1" x14ac:dyDescent="0.2">
      <c r="A182" s="40" t="s">
        <v>33</v>
      </c>
      <c r="B182" s="168" t="s">
        <v>251</v>
      </c>
      <c r="C182" s="30">
        <v>5907.7514836231549</v>
      </c>
      <c r="D182" s="30">
        <v>7384.6893545289449</v>
      </c>
      <c r="E182" s="30">
        <v>5907.7514836231549</v>
      </c>
      <c r="F182" s="30">
        <v>5907.7514836231549</v>
      </c>
      <c r="G182" s="30">
        <v>7384.6893545289449</v>
      </c>
      <c r="H182" s="30">
        <v>5907.7514836231549</v>
      </c>
      <c r="I182" s="30">
        <v>5907.7514836231549</v>
      </c>
      <c r="J182" s="30">
        <v>7384.6893545289449</v>
      </c>
      <c r="K182" s="30">
        <v>5907.7514836231549</v>
      </c>
      <c r="L182" s="30">
        <v>5907.7514836231549</v>
      </c>
      <c r="M182" s="30">
        <v>7384.6893545289449</v>
      </c>
      <c r="N182" s="30">
        <v>5907.7514836231549</v>
      </c>
      <c r="O182" s="280">
        <f t="shared" si="6"/>
        <v>76800.769287101022</v>
      </c>
    </row>
    <row r="183" spans="1:15" ht="13.5" customHeight="1" x14ac:dyDescent="0.2">
      <c r="A183" s="15" t="s">
        <v>181</v>
      </c>
      <c r="B183" s="12" t="s">
        <v>251</v>
      </c>
      <c r="C183" s="6" t="s">
        <v>15</v>
      </c>
      <c r="D183" s="6" t="s">
        <v>15</v>
      </c>
      <c r="E183" s="6" t="s">
        <v>15</v>
      </c>
      <c r="F183" s="6" t="s">
        <v>15</v>
      </c>
      <c r="G183" s="6" t="s">
        <v>15</v>
      </c>
      <c r="H183" s="6" t="s">
        <v>15</v>
      </c>
      <c r="I183" s="6" t="s">
        <v>15</v>
      </c>
      <c r="J183" s="6" t="s">
        <v>15</v>
      </c>
      <c r="K183" s="6" t="s">
        <v>15</v>
      </c>
      <c r="L183" s="6" t="s">
        <v>15</v>
      </c>
      <c r="M183" s="6" t="s">
        <v>15</v>
      </c>
      <c r="N183" s="6" t="s">
        <v>15</v>
      </c>
      <c r="O183" s="38">
        <f t="shared" si="6"/>
        <v>0</v>
      </c>
    </row>
    <row r="184" spans="1:15" ht="13.5" customHeight="1" x14ac:dyDescent="0.2">
      <c r="A184" s="15" t="s">
        <v>174</v>
      </c>
      <c r="B184" s="12" t="s">
        <v>251</v>
      </c>
      <c r="C184" s="6" t="s">
        <v>15</v>
      </c>
      <c r="D184" s="6" t="s">
        <v>15</v>
      </c>
      <c r="E184" s="6" t="s">
        <v>15</v>
      </c>
      <c r="F184" s="6" t="s">
        <v>15</v>
      </c>
      <c r="G184" s="6" t="s">
        <v>15</v>
      </c>
      <c r="H184" s="6" t="s">
        <v>15</v>
      </c>
      <c r="I184" s="6" t="s">
        <v>15</v>
      </c>
      <c r="J184" s="6" t="s">
        <v>15</v>
      </c>
      <c r="K184" s="6" t="s">
        <v>15</v>
      </c>
      <c r="L184" s="6" t="s">
        <v>15</v>
      </c>
      <c r="M184" s="6" t="s">
        <v>15</v>
      </c>
      <c r="N184" s="6" t="s">
        <v>15</v>
      </c>
      <c r="O184" s="38">
        <f t="shared" si="6"/>
        <v>0</v>
      </c>
    </row>
    <row r="185" spans="1:15" ht="13.5" customHeight="1" x14ac:dyDescent="0.2">
      <c r="A185" s="15" t="s">
        <v>118</v>
      </c>
      <c r="B185" s="12" t="s">
        <v>119</v>
      </c>
      <c r="C185" s="6" t="s">
        <v>15</v>
      </c>
      <c r="D185" s="6" t="s">
        <v>15</v>
      </c>
      <c r="E185" s="6" t="s">
        <v>15</v>
      </c>
      <c r="F185" s="6" t="s">
        <v>15</v>
      </c>
      <c r="G185" s="6" t="s">
        <v>15</v>
      </c>
      <c r="H185" s="6" t="s">
        <v>15</v>
      </c>
      <c r="I185" s="6" t="s">
        <v>15</v>
      </c>
      <c r="J185" s="6" t="s">
        <v>15</v>
      </c>
      <c r="K185" s="6" t="s">
        <v>15</v>
      </c>
      <c r="L185" s="6" t="s">
        <v>15</v>
      </c>
      <c r="M185" s="6" t="s">
        <v>15</v>
      </c>
      <c r="N185" s="6" t="s">
        <v>15</v>
      </c>
      <c r="O185" s="38">
        <f t="shared" si="6"/>
        <v>0</v>
      </c>
    </row>
    <row r="186" spans="1:15" s="283" customFormat="1" ht="13.5" customHeight="1" x14ac:dyDescent="0.2">
      <c r="A186" s="12" t="s">
        <v>84</v>
      </c>
      <c r="C186" s="3">
        <f>SUM(C96:C185)</f>
        <v>787776.65800806205</v>
      </c>
      <c r="D186" s="3">
        <f t="shared" ref="D186:O186" si="7">SUM(D70:D185)</f>
        <v>1172677.8263383354</v>
      </c>
      <c r="E186" s="3">
        <f t="shared" si="7"/>
        <v>1016387.0448512223</v>
      </c>
      <c r="F186" s="3">
        <f t="shared" si="7"/>
        <v>1013963.7300694259</v>
      </c>
      <c r="G186" s="3">
        <f t="shared" si="7"/>
        <v>1176835.6933376498</v>
      </c>
      <c r="H186" s="3">
        <f t="shared" si="7"/>
        <v>1021727.1993747691</v>
      </c>
      <c r="I186" s="3">
        <f t="shared" si="7"/>
        <v>1050494.0344052103</v>
      </c>
      <c r="J186" s="3">
        <f t="shared" si="7"/>
        <v>1267234.6088910231</v>
      </c>
      <c r="K186" s="3">
        <f t="shared" si="7"/>
        <v>1129169.9688017464</v>
      </c>
      <c r="L186" s="3">
        <f t="shared" si="7"/>
        <v>1184921.9842998814</v>
      </c>
      <c r="M186" s="3">
        <f t="shared" si="7"/>
        <v>1411212.2361748433</v>
      </c>
      <c r="N186" s="3">
        <f t="shared" si="7"/>
        <v>1246934.7379527241</v>
      </c>
      <c r="O186" s="3">
        <f t="shared" si="7"/>
        <v>13693925.852462946</v>
      </c>
    </row>
    <row r="187" spans="1:15" ht="13.5" customHeight="1" x14ac:dyDescent="0.2">
      <c r="O187" s="3"/>
    </row>
    <row r="188" spans="1:15" s="1" customFormat="1" ht="13.5" customHeight="1" thickBot="1" x14ac:dyDescent="0.25">
      <c r="A188" s="20" t="s">
        <v>92</v>
      </c>
      <c r="B188" s="16"/>
      <c r="C188" s="18">
        <f t="shared" ref="C188:O188" si="8">+C186+C68</f>
        <v>933707.75662566256</v>
      </c>
      <c r="D188" s="18">
        <f t="shared" si="8"/>
        <v>1348100.6724300021</v>
      </c>
      <c r="E188" s="18">
        <f t="shared" si="8"/>
        <v>1162564.2101965556</v>
      </c>
      <c r="F188" s="18">
        <f t="shared" si="8"/>
        <v>1160206.921103328</v>
      </c>
      <c r="G188" s="18">
        <f t="shared" si="8"/>
        <v>1352460.3057842718</v>
      </c>
      <c r="H188" s="18">
        <f t="shared" si="8"/>
        <v>1168111.0663042511</v>
      </c>
      <c r="I188" s="18">
        <f t="shared" si="8"/>
        <v>1196944.716838686</v>
      </c>
      <c r="J188" s="18">
        <f t="shared" si="8"/>
        <v>1443129.4469206687</v>
      </c>
      <c r="K188" s="18">
        <f t="shared" si="8"/>
        <v>1275876.4409484258</v>
      </c>
      <c r="L188" s="18">
        <f t="shared" si="8"/>
        <v>1331761.5362916666</v>
      </c>
      <c r="M188" s="18">
        <f t="shared" si="8"/>
        <v>1587616.9417674677</v>
      </c>
      <c r="N188" s="18">
        <f t="shared" si="8"/>
        <v>1394108.6734860742</v>
      </c>
      <c r="O188" s="18">
        <f t="shared" si="8"/>
        <v>15569178.818655113</v>
      </c>
    </row>
    <row r="189" spans="1:15" ht="13.5" customHeight="1" thickTop="1" x14ac:dyDescent="0.2"/>
    <row r="190" spans="1:15" ht="13.5" customHeight="1" x14ac:dyDescent="0.2"/>
    <row r="191" spans="1:15" ht="13.5" customHeight="1" x14ac:dyDescent="0.2">
      <c r="A191" s="9" t="s">
        <v>85</v>
      </c>
      <c r="B191" s="10" t="s">
        <v>14</v>
      </c>
      <c r="C191" s="6" t="s">
        <v>15</v>
      </c>
      <c r="D191" s="6" t="s">
        <v>15</v>
      </c>
      <c r="E191" s="6" t="s">
        <v>15</v>
      </c>
      <c r="F191" s="6" t="s">
        <v>15</v>
      </c>
      <c r="G191" s="6" t="s">
        <v>15</v>
      </c>
      <c r="H191" s="6" t="s">
        <v>15</v>
      </c>
      <c r="I191" s="6" t="s">
        <v>15</v>
      </c>
      <c r="J191" s="6" t="s">
        <v>15</v>
      </c>
      <c r="K191" s="6" t="s">
        <v>15</v>
      </c>
      <c r="L191" s="6" t="s">
        <v>15</v>
      </c>
      <c r="M191" s="6" t="s">
        <v>15</v>
      </c>
      <c r="N191" s="6" t="s">
        <v>15</v>
      </c>
      <c r="O191" s="38">
        <f t="shared" ref="O191:O203" si="9">SUM(C191:N191)</f>
        <v>0</v>
      </c>
    </row>
    <row r="192" spans="1:15" ht="13.5" customHeight="1" x14ac:dyDescent="0.2">
      <c r="A192" s="9" t="s">
        <v>296</v>
      </c>
      <c r="B192" s="10" t="s">
        <v>14</v>
      </c>
      <c r="C192" s="6" t="s">
        <v>15</v>
      </c>
      <c r="D192" s="6" t="s">
        <v>15</v>
      </c>
      <c r="E192" s="6" t="s">
        <v>15</v>
      </c>
      <c r="F192" s="6" t="s">
        <v>15</v>
      </c>
      <c r="G192" s="6" t="s">
        <v>15</v>
      </c>
      <c r="H192" s="6" t="s">
        <v>15</v>
      </c>
      <c r="I192" s="6" t="s">
        <v>15</v>
      </c>
      <c r="J192" s="6" t="s">
        <v>15</v>
      </c>
      <c r="K192" s="6" t="s">
        <v>15</v>
      </c>
      <c r="L192" s="6" t="s">
        <v>15</v>
      </c>
      <c r="M192" s="6" t="s">
        <v>15</v>
      </c>
      <c r="N192" s="6" t="s">
        <v>15</v>
      </c>
      <c r="O192" s="38">
        <f t="shared" si="9"/>
        <v>0</v>
      </c>
    </row>
    <row r="193" spans="1:15" ht="13.5" customHeight="1" x14ac:dyDescent="0.2">
      <c r="A193" s="9" t="s">
        <v>86</v>
      </c>
      <c r="B193" s="10" t="s">
        <v>14</v>
      </c>
      <c r="C193" s="6" t="s">
        <v>15</v>
      </c>
      <c r="D193" s="6" t="s">
        <v>15</v>
      </c>
      <c r="E193" s="6" t="s">
        <v>15</v>
      </c>
      <c r="F193" s="6" t="s">
        <v>15</v>
      </c>
      <c r="G193" s="6" t="s">
        <v>15</v>
      </c>
      <c r="H193" s="6" t="s">
        <v>15</v>
      </c>
      <c r="I193" s="6" t="s">
        <v>15</v>
      </c>
      <c r="J193" s="6" t="s">
        <v>15</v>
      </c>
      <c r="K193" s="6" t="s">
        <v>15</v>
      </c>
      <c r="L193" s="6" t="s">
        <v>15</v>
      </c>
      <c r="M193" s="6" t="s">
        <v>15</v>
      </c>
      <c r="N193" s="6" t="s">
        <v>15</v>
      </c>
      <c r="O193" s="38">
        <f t="shared" si="9"/>
        <v>0</v>
      </c>
    </row>
    <row r="194" spans="1:15" ht="13.5" customHeight="1" x14ac:dyDescent="0.2">
      <c r="A194" s="9" t="s">
        <v>85</v>
      </c>
      <c r="B194" s="10" t="s">
        <v>87</v>
      </c>
      <c r="C194" s="6" t="s">
        <v>15</v>
      </c>
      <c r="D194" s="6" t="s">
        <v>15</v>
      </c>
      <c r="E194" s="6" t="s">
        <v>15</v>
      </c>
      <c r="F194" s="6" t="s">
        <v>15</v>
      </c>
      <c r="G194" s="6" t="s">
        <v>15</v>
      </c>
      <c r="H194" s="6" t="s">
        <v>15</v>
      </c>
      <c r="I194" s="6" t="s">
        <v>15</v>
      </c>
      <c r="J194" s="6" t="s">
        <v>15</v>
      </c>
      <c r="K194" s="6" t="s">
        <v>15</v>
      </c>
      <c r="L194" s="6" t="s">
        <v>15</v>
      </c>
      <c r="M194" s="6" t="s">
        <v>15</v>
      </c>
      <c r="N194" s="6" t="s">
        <v>15</v>
      </c>
      <c r="O194" s="38">
        <f t="shared" si="9"/>
        <v>0</v>
      </c>
    </row>
    <row r="195" spans="1:15" ht="13.5" customHeight="1" x14ac:dyDescent="0.2">
      <c r="A195" s="9" t="s">
        <v>85</v>
      </c>
      <c r="B195" s="10" t="s">
        <v>88</v>
      </c>
      <c r="C195" s="6" t="s">
        <v>15</v>
      </c>
      <c r="D195" s="6" t="s">
        <v>15</v>
      </c>
      <c r="E195" s="6" t="s">
        <v>15</v>
      </c>
      <c r="F195" s="6" t="s">
        <v>15</v>
      </c>
      <c r="G195" s="6" t="s">
        <v>15</v>
      </c>
      <c r="H195" s="6" t="s">
        <v>15</v>
      </c>
      <c r="I195" s="6" t="s">
        <v>15</v>
      </c>
      <c r="J195" s="6" t="s">
        <v>15</v>
      </c>
      <c r="K195" s="6" t="s">
        <v>15</v>
      </c>
      <c r="L195" s="6" t="s">
        <v>15</v>
      </c>
      <c r="M195" s="6" t="s">
        <v>15</v>
      </c>
      <c r="N195" s="6" t="s">
        <v>15</v>
      </c>
      <c r="O195" s="38">
        <f t="shared" si="9"/>
        <v>0</v>
      </c>
    </row>
    <row r="196" spans="1:15" ht="13.5" customHeight="1" x14ac:dyDescent="0.2">
      <c r="A196" s="9" t="s">
        <v>89</v>
      </c>
      <c r="B196" s="10" t="s">
        <v>14</v>
      </c>
      <c r="C196" s="6" t="s">
        <v>15</v>
      </c>
      <c r="D196" s="6" t="s">
        <v>15</v>
      </c>
      <c r="E196" s="6" t="s">
        <v>15</v>
      </c>
      <c r="F196" s="6" t="s">
        <v>15</v>
      </c>
      <c r="G196" s="6" t="s">
        <v>15</v>
      </c>
      <c r="H196" s="6" t="s">
        <v>15</v>
      </c>
      <c r="I196" s="6" t="s">
        <v>15</v>
      </c>
      <c r="J196" s="6" t="s">
        <v>15</v>
      </c>
      <c r="K196" s="6" t="s">
        <v>15</v>
      </c>
      <c r="L196" s="6" t="s">
        <v>15</v>
      </c>
      <c r="M196" s="6" t="s">
        <v>15</v>
      </c>
      <c r="N196" s="6" t="s">
        <v>15</v>
      </c>
      <c r="O196" s="38">
        <f t="shared" si="9"/>
        <v>0</v>
      </c>
    </row>
    <row r="197" spans="1:15" ht="13.5" customHeight="1" x14ac:dyDescent="0.2">
      <c r="O197" s="38">
        <f t="shared" si="9"/>
        <v>0</v>
      </c>
    </row>
    <row r="198" spans="1:15" ht="13.5" customHeight="1" x14ac:dyDescent="0.2">
      <c r="A198" s="12" t="s">
        <v>296</v>
      </c>
      <c r="B198" s="10" t="s">
        <v>251</v>
      </c>
      <c r="C198" s="6" t="s">
        <v>15</v>
      </c>
      <c r="D198" s="6" t="s">
        <v>15</v>
      </c>
      <c r="E198" s="6" t="s">
        <v>15</v>
      </c>
      <c r="F198" s="6" t="s">
        <v>15</v>
      </c>
      <c r="G198" s="6" t="s">
        <v>15</v>
      </c>
      <c r="H198" s="6" t="s">
        <v>15</v>
      </c>
      <c r="I198" s="6" t="s">
        <v>15</v>
      </c>
      <c r="J198" s="6" t="s">
        <v>15</v>
      </c>
      <c r="K198" s="6" t="s">
        <v>15</v>
      </c>
      <c r="L198" s="6" t="s">
        <v>15</v>
      </c>
      <c r="M198" s="6" t="s">
        <v>15</v>
      </c>
      <c r="N198" s="6" t="s">
        <v>15</v>
      </c>
      <c r="O198" s="38">
        <f t="shared" si="9"/>
        <v>0</v>
      </c>
    </row>
    <row r="199" spans="1:15" ht="13.5" customHeight="1" x14ac:dyDescent="0.2">
      <c r="A199" s="12" t="s">
        <v>296</v>
      </c>
      <c r="B199" s="10" t="s">
        <v>261</v>
      </c>
      <c r="C199" s="6" t="s">
        <v>15</v>
      </c>
      <c r="D199" s="6" t="s">
        <v>15</v>
      </c>
      <c r="E199" s="6" t="s">
        <v>15</v>
      </c>
      <c r="F199" s="6" t="s">
        <v>15</v>
      </c>
      <c r="G199" s="6" t="s">
        <v>15</v>
      </c>
      <c r="H199" s="30" t="s">
        <v>15</v>
      </c>
      <c r="I199" s="30" t="s">
        <v>15</v>
      </c>
      <c r="J199" s="6" t="s">
        <v>15</v>
      </c>
      <c r="K199" s="6" t="s">
        <v>15</v>
      </c>
      <c r="L199" s="6" t="s">
        <v>15</v>
      </c>
      <c r="M199" s="6" t="s">
        <v>15</v>
      </c>
      <c r="N199" s="6" t="s">
        <v>15</v>
      </c>
      <c r="O199" s="280">
        <f t="shared" si="9"/>
        <v>0</v>
      </c>
    </row>
    <row r="200" spans="1:15" ht="13.5" customHeight="1" x14ac:dyDescent="0.2">
      <c r="A200" s="12" t="s">
        <v>86</v>
      </c>
      <c r="B200" s="10" t="s">
        <v>251</v>
      </c>
      <c r="C200" s="6">
        <v>109441</v>
      </c>
      <c r="D200" s="6">
        <v>136802</v>
      </c>
      <c r="E200" s="6">
        <v>109441</v>
      </c>
      <c r="F200" s="6">
        <v>109441</v>
      </c>
      <c r="G200" s="6">
        <v>136802</v>
      </c>
      <c r="H200" s="6">
        <v>109441</v>
      </c>
      <c r="I200" s="6">
        <v>109441</v>
      </c>
      <c r="J200" s="6">
        <v>136802</v>
      </c>
      <c r="K200" s="6">
        <v>109441</v>
      </c>
      <c r="L200" s="6">
        <v>109442</v>
      </c>
      <c r="M200" s="6">
        <v>136802</v>
      </c>
      <c r="N200" s="6">
        <v>109441</v>
      </c>
      <c r="O200" s="38">
        <f t="shared" si="9"/>
        <v>1422737</v>
      </c>
    </row>
    <row r="201" spans="1:15" ht="13.5" customHeight="1" x14ac:dyDescent="0.2">
      <c r="A201" s="12" t="s">
        <v>86</v>
      </c>
      <c r="B201" s="10" t="s">
        <v>261</v>
      </c>
      <c r="C201" s="6" t="s">
        <v>15</v>
      </c>
      <c r="D201" s="6" t="s">
        <v>15</v>
      </c>
      <c r="E201" s="6" t="s">
        <v>15</v>
      </c>
      <c r="F201" s="6" t="s">
        <v>15</v>
      </c>
      <c r="G201" s="6" t="s">
        <v>15</v>
      </c>
      <c r="H201" s="30" t="s">
        <v>15</v>
      </c>
      <c r="I201" s="30" t="s">
        <v>15</v>
      </c>
      <c r="J201" s="6" t="s">
        <v>15</v>
      </c>
      <c r="K201" s="6" t="s">
        <v>15</v>
      </c>
      <c r="L201" s="6" t="s">
        <v>15</v>
      </c>
      <c r="M201" s="6" t="s">
        <v>15</v>
      </c>
      <c r="N201" s="6" t="s">
        <v>15</v>
      </c>
      <c r="O201" s="280">
        <f t="shared" si="9"/>
        <v>0</v>
      </c>
    </row>
    <row r="202" spans="1:15" ht="13.5" customHeight="1" x14ac:dyDescent="0.2">
      <c r="A202" s="12" t="s">
        <v>89</v>
      </c>
      <c r="B202" s="10" t="s">
        <v>251</v>
      </c>
      <c r="C202" s="6">
        <v>37838</v>
      </c>
      <c r="D202" s="6">
        <v>47298</v>
      </c>
      <c r="E202" s="6">
        <v>37838</v>
      </c>
      <c r="F202" s="6">
        <v>37838</v>
      </c>
      <c r="G202" s="6">
        <v>47298</v>
      </c>
      <c r="H202" s="6">
        <v>37838</v>
      </c>
      <c r="I202" s="6">
        <v>37838</v>
      </c>
      <c r="J202" s="6">
        <v>47298</v>
      </c>
      <c r="K202" s="6">
        <v>37838</v>
      </c>
      <c r="L202" s="6">
        <v>37838</v>
      </c>
      <c r="M202" s="6">
        <v>47298</v>
      </c>
      <c r="N202" s="6">
        <v>37838</v>
      </c>
      <c r="O202" s="38">
        <f t="shared" si="9"/>
        <v>491896</v>
      </c>
    </row>
    <row r="203" spans="1:15" ht="13.5" customHeight="1" x14ac:dyDescent="0.2">
      <c r="A203" s="12" t="s">
        <v>89</v>
      </c>
      <c r="B203" s="10" t="s">
        <v>90</v>
      </c>
      <c r="C203" s="6" t="s">
        <v>15</v>
      </c>
      <c r="D203" s="6" t="s">
        <v>15</v>
      </c>
      <c r="E203" s="6" t="s">
        <v>15</v>
      </c>
      <c r="F203" s="6" t="s">
        <v>15</v>
      </c>
      <c r="G203" s="6" t="s">
        <v>15</v>
      </c>
      <c r="H203" s="6" t="s">
        <v>15</v>
      </c>
      <c r="I203" s="6" t="s">
        <v>15</v>
      </c>
      <c r="J203" s="6" t="s">
        <v>15</v>
      </c>
      <c r="K203" s="6" t="s">
        <v>15</v>
      </c>
      <c r="L203" s="6" t="s">
        <v>15</v>
      </c>
      <c r="M203" s="6" t="s">
        <v>15</v>
      </c>
      <c r="N203" s="6" t="s">
        <v>15</v>
      </c>
      <c r="O203" s="38">
        <f t="shared" si="9"/>
        <v>0</v>
      </c>
    </row>
    <row r="204" spans="1:15" ht="13.5" customHeight="1" x14ac:dyDescent="0.2">
      <c r="A204" s="283"/>
    </row>
    <row r="205" spans="1:15" s="19" customFormat="1" ht="13.5" customHeight="1" thickBot="1" x14ac:dyDescent="0.25">
      <c r="A205" s="20" t="s">
        <v>91</v>
      </c>
      <c r="B205" s="17"/>
      <c r="C205" s="18">
        <f t="shared" ref="C205:O205" si="10">SUM(C191:C204)</f>
        <v>147279</v>
      </c>
      <c r="D205" s="18">
        <f t="shared" si="10"/>
        <v>184100</v>
      </c>
      <c r="E205" s="18">
        <f t="shared" si="10"/>
        <v>147279</v>
      </c>
      <c r="F205" s="18">
        <f t="shared" si="10"/>
        <v>147279</v>
      </c>
      <c r="G205" s="18">
        <f t="shared" si="10"/>
        <v>184100</v>
      </c>
      <c r="H205" s="18">
        <f t="shared" si="10"/>
        <v>147279</v>
      </c>
      <c r="I205" s="18">
        <f t="shared" si="10"/>
        <v>147279</v>
      </c>
      <c r="J205" s="18">
        <f t="shared" si="10"/>
        <v>184100</v>
      </c>
      <c r="K205" s="18">
        <f t="shared" si="10"/>
        <v>147279</v>
      </c>
      <c r="L205" s="18">
        <f t="shared" si="10"/>
        <v>147280</v>
      </c>
      <c r="M205" s="18">
        <f t="shared" si="10"/>
        <v>184100</v>
      </c>
      <c r="N205" s="18">
        <f t="shared" si="10"/>
        <v>147279</v>
      </c>
      <c r="O205" s="18">
        <f t="shared" si="10"/>
        <v>1914633</v>
      </c>
    </row>
    <row r="206" spans="1:15" ht="13.5" customHeight="1" thickTop="1" x14ac:dyDescent="0.2">
      <c r="A206" s="283"/>
    </row>
    <row r="207" spans="1:15" ht="13.5" customHeight="1" x14ac:dyDescent="0.2">
      <c r="A207" s="12" t="s">
        <v>223</v>
      </c>
      <c r="B207" s="10" t="s">
        <v>69</v>
      </c>
      <c r="C207" s="30" t="s">
        <v>15</v>
      </c>
      <c r="D207" s="6" t="s">
        <v>15</v>
      </c>
      <c r="E207" s="6" t="s">
        <v>15</v>
      </c>
      <c r="F207" s="6" t="s">
        <v>15</v>
      </c>
      <c r="G207" s="6" t="s">
        <v>15</v>
      </c>
      <c r="H207" s="6" t="s">
        <v>15</v>
      </c>
      <c r="I207" s="6" t="s">
        <v>15</v>
      </c>
      <c r="J207" s="6" t="s">
        <v>15</v>
      </c>
      <c r="K207" s="6" t="s">
        <v>15</v>
      </c>
      <c r="L207" s="6" t="s">
        <v>15</v>
      </c>
      <c r="M207" s="6" t="s">
        <v>15</v>
      </c>
      <c r="N207" s="6" t="s">
        <v>15</v>
      </c>
      <c r="O207" s="6">
        <f t="shared" ref="O207:O218" si="11">SUM(C207:N207)</f>
        <v>0</v>
      </c>
    </row>
    <row r="208" spans="1:15" ht="13.5" customHeight="1" x14ac:dyDescent="0.2">
      <c r="A208" s="12" t="s">
        <v>224</v>
      </c>
      <c r="B208" s="10" t="s">
        <v>69</v>
      </c>
      <c r="C208" s="30" t="s">
        <v>15</v>
      </c>
      <c r="D208" s="6" t="s">
        <v>15</v>
      </c>
      <c r="E208" s="6" t="s">
        <v>15</v>
      </c>
      <c r="F208" s="6" t="s">
        <v>15</v>
      </c>
      <c r="G208" s="6" t="s">
        <v>15</v>
      </c>
      <c r="H208" s="6" t="s">
        <v>15</v>
      </c>
      <c r="I208" s="6" t="s">
        <v>15</v>
      </c>
      <c r="J208" s="6" t="s">
        <v>15</v>
      </c>
      <c r="K208" s="6" t="s">
        <v>15</v>
      </c>
      <c r="L208" s="6" t="s">
        <v>15</v>
      </c>
      <c r="M208" s="6" t="s">
        <v>15</v>
      </c>
      <c r="N208" s="6" t="s">
        <v>15</v>
      </c>
      <c r="O208" s="6">
        <f t="shared" si="11"/>
        <v>0</v>
      </c>
    </row>
    <row r="209" spans="1:16" ht="13.5" customHeight="1" x14ac:dyDescent="0.2">
      <c r="A209" s="15" t="s">
        <v>212</v>
      </c>
      <c r="B209" s="10" t="s">
        <v>69</v>
      </c>
      <c r="C209" s="30" t="s">
        <v>15</v>
      </c>
      <c r="D209" s="6" t="s">
        <v>15</v>
      </c>
      <c r="E209" s="6" t="s">
        <v>15</v>
      </c>
      <c r="F209" s="6" t="s">
        <v>15</v>
      </c>
      <c r="G209" s="6" t="s">
        <v>15</v>
      </c>
      <c r="H209" s="6" t="s">
        <v>15</v>
      </c>
      <c r="I209" s="6" t="s">
        <v>15</v>
      </c>
      <c r="J209" s="6" t="s">
        <v>15</v>
      </c>
      <c r="K209" s="6" t="s">
        <v>15</v>
      </c>
      <c r="L209" s="6" t="s">
        <v>15</v>
      </c>
      <c r="M209" s="6" t="s">
        <v>15</v>
      </c>
      <c r="N209" s="6" t="s">
        <v>15</v>
      </c>
      <c r="O209" s="6">
        <f t="shared" si="11"/>
        <v>0</v>
      </c>
    </row>
    <row r="210" spans="1:16" ht="13.5" customHeight="1" x14ac:dyDescent="0.2">
      <c r="A210" s="12" t="s">
        <v>216</v>
      </c>
      <c r="B210" s="10" t="s">
        <v>69</v>
      </c>
      <c r="C210" s="30" t="s">
        <v>15</v>
      </c>
      <c r="D210" s="6" t="s">
        <v>15</v>
      </c>
      <c r="E210" s="6" t="s">
        <v>15</v>
      </c>
      <c r="F210" s="6" t="s">
        <v>15</v>
      </c>
      <c r="G210" s="6" t="s">
        <v>15</v>
      </c>
      <c r="H210" s="6" t="s">
        <v>15</v>
      </c>
      <c r="I210" s="6" t="s">
        <v>15</v>
      </c>
      <c r="J210" s="6" t="s">
        <v>15</v>
      </c>
      <c r="K210" s="6" t="s">
        <v>15</v>
      </c>
      <c r="L210" s="6" t="s">
        <v>15</v>
      </c>
      <c r="M210" s="6" t="s">
        <v>15</v>
      </c>
      <c r="N210" s="6" t="s">
        <v>15</v>
      </c>
      <c r="O210" s="11">
        <f t="shared" si="11"/>
        <v>0</v>
      </c>
    </row>
    <row r="211" spans="1:16" ht="13.5" customHeight="1" x14ac:dyDescent="0.2">
      <c r="A211" s="12" t="s">
        <v>259</v>
      </c>
      <c r="B211" s="10" t="s">
        <v>69</v>
      </c>
      <c r="C211" s="30" t="s">
        <v>15</v>
      </c>
      <c r="D211" s="6" t="s">
        <v>15</v>
      </c>
      <c r="E211" s="6" t="s">
        <v>15</v>
      </c>
      <c r="F211" s="6" t="s">
        <v>15</v>
      </c>
      <c r="G211" s="6" t="s">
        <v>15</v>
      </c>
      <c r="H211" s="6" t="s">
        <v>15</v>
      </c>
      <c r="I211" s="6" t="s">
        <v>15</v>
      </c>
      <c r="J211" s="6" t="s">
        <v>15</v>
      </c>
      <c r="K211" s="6" t="s">
        <v>15</v>
      </c>
      <c r="L211" s="6" t="s">
        <v>15</v>
      </c>
      <c r="M211" s="6" t="s">
        <v>15</v>
      </c>
      <c r="N211" s="6" t="s">
        <v>15</v>
      </c>
      <c r="O211" s="11">
        <f t="shared" si="11"/>
        <v>0</v>
      </c>
    </row>
    <row r="212" spans="1:16" ht="13.5" customHeight="1" x14ac:dyDescent="0.2">
      <c r="A212" s="12" t="s">
        <v>237</v>
      </c>
      <c r="B212" s="10" t="s">
        <v>69</v>
      </c>
      <c r="C212" s="30" t="s">
        <v>15</v>
      </c>
      <c r="D212" s="6" t="s">
        <v>15</v>
      </c>
      <c r="E212" s="6" t="s">
        <v>15</v>
      </c>
      <c r="F212" s="6" t="s">
        <v>15</v>
      </c>
      <c r="G212" s="6" t="s">
        <v>15</v>
      </c>
      <c r="H212" s="6" t="s">
        <v>15</v>
      </c>
      <c r="I212" s="6" t="s">
        <v>15</v>
      </c>
      <c r="J212" s="6" t="s">
        <v>15</v>
      </c>
      <c r="K212" s="6" t="s">
        <v>15</v>
      </c>
      <c r="L212" s="6" t="s">
        <v>15</v>
      </c>
      <c r="M212" s="6" t="s">
        <v>15</v>
      </c>
      <c r="N212" s="6" t="s">
        <v>15</v>
      </c>
      <c r="O212" s="6">
        <f t="shared" si="11"/>
        <v>0</v>
      </c>
    </row>
    <row r="213" spans="1:16" ht="12.75" customHeight="1" x14ac:dyDescent="0.2">
      <c r="A213" s="15" t="s">
        <v>371</v>
      </c>
      <c r="B213" s="10" t="s">
        <v>69</v>
      </c>
      <c r="C213" s="333" t="s">
        <v>15</v>
      </c>
      <c r="D213" s="11" t="s">
        <v>15</v>
      </c>
      <c r="E213" s="11" t="s">
        <v>15</v>
      </c>
      <c r="F213" s="11" t="s">
        <v>15</v>
      </c>
      <c r="G213" s="11" t="s">
        <v>15</v>
      </c>
      <c r="H213" s="11" t="s">
        <v>15</v>
      </c>
      <c r="I213" s="11" t="s">
        <v>15</v>
      </c>
      <c r="J213" s="11" t="s">
        <v>15</v>
      </c>
      <c r="K213" s="11" t="s">
        <v>15</v>
      </c>
      <c r="L213" s="11" t="s">
        <v>15</v>
      </c>
      <c r="M213" s="11" t="s">
        <v>15</v>
      </c>
      <c r="N213" s="11" t="s">
        <v>15</v>
      </c>
      <c r="O213" s="337">
        <f t="shared" si="11"/>
        <v>0</v>
      </c>
    </row>
    <row r="214" spans="1:16" ht="13.5" customHeight="1" x14ac:dyDescent="0.2">
      <c r="A214" s="12" t="s">
        <v>250</v>
      </c>
      <c r="B214" s="10" t="s">
        <v>69</v>
      </c>
      <c r="C214" s="30" t="s">
        <v>15</v>
      </c>
      <c r="D214" s="6" t="s">
        <v>15</v>
      </c>
      <c r="E214" s="6" t="s">
        <v>15</v>
      </c>
      <c r="F214" s="6" t="s">
        <v>15</v>
      </c>
      <c r="G214" s="6" t="s">
        <v>15</v>
      </c>
      <c r="H214" s="6" t="s">
        <v>15</v>
      </c>
      <c r="I214" s="6" t="s">
        <v>15</v>
      </c>
      <c r="J214" s="6" t="s">
        <v>15</v>
      </c>
      <c r="K214" s="6" t="s">
        <v>15</v>
      </c>
      <c r="L214" s="6" t="s">
        <v>15</v>
      </c>
      <c r="M214" s="6" t="s">
        <v>15</v>
      </c>
      <c r="N214" s="6" t="s">
        <v>15</v>
      </c>
      <c r="O214" s="6">
        <f t="shared" si="11"/>
        <v>0</v>
      </c>
    </row>
    <row r="215" spans="1:16" ht="13.5" customHeight="1" x14ac:dyDescent="0.2">
      <c r="A215" s="12" t="s">
        <v>245</v>
      </c>
      <c r="B215" s="10" t="s">
        <v>69</v>
      </c>
      <c r="C215" s="30" t="s">
        <v>15</v>
      </c>
      <c r="D215" s="6" t="s">
        <v>15</v>
      </c>
      <c r="E215" s="6" t="s">
        <v>15</v>
      </c>
      <c r="F215" s="6" t="s">
        <v>15</v>
      </c>
      <c r="G215" s="6" t="s">
        <v>15</v>
      </c>
      <c r="H215" s="6" t="s">
        <v>15</v>
      </c>
      <c r="I215" s="6" t="s">
        <v>15</v>
      </c>
      <c r="J215" s="6" t="s">
        <v>15</v>
      </c>
      <c r="K215" s="6" t="s">
        <v>15</v>
      </c>
      <c r="L215" s="6" t="s">
        <v>15</v>
      </c>
      <c r="M215" s="6" t="s">
        <v>15</v>
      </c>
      <c r="N215" s="6" t="s">
        <v>15</v>
      </c>
      <c r="O215" s="6">
        <f t="shared" si="11"/>
        <v>0</v>
      </c>
    </row>
    <row r="216" spans="1:16" ht="13.5" customHeight="1" x14ac:dyDescent="0.2">
      <c r="A216" s="12" t="s">
        <v>254</v>
      </c>
      <c r="B216" s="10" t="s">
        <v>69</v>
      </c>
      <c r="C216" s="30" t="s">
        <v>15</v>
      </c>
      <c r="D216" s="6" t="s">
        <v>15</v>
      </c>
      <c r="E216" s="6" t="s">
        <v>15</v>
      </c>
      <c r="F216" s="6" t="s">
        <v>15</v>
      </c>
      <c r="G216" s="6" t="s">
        <v>15</v>
      </c>
      <c r="H216" s="6" t="s">
        <v>15</v>
      </c>
      <c r="I216" s="6" t="s">
        <v>15</v>
      </c>
      <c r="J216" s="6" t="s">
        <v>15</v>
      </c>
      <c r="K216" s="6" t="s">
        <v>15</v>
      </c>
      <c r="L216" s="6" t="s">
        <v>15</v>
      </c>
      <c r="M216" s="6" t="s">
        <v>15</v>
      </c>
      <c r="N216" s="6" t="s">
        <v>15</v>
      </c>
      <c r="O216" s="6">
        <f t="shared" si="11"/>
        <v>0</v>
      </c>
    </row>
    <row r="217" spans="1:16" ht="13.5" customHeight="1" x14ac:dyDescent="0.2">
      <c r="A217" s="12" t="s">
        <v>246</v>
      </c>
      <c r="B217" s="10" t="s">
        <v>69</v>
      </c>
      <c r="C217" s="30" t="s">
        <v>15</v>
      </c>
      <c r="D217" s="6" t="s">
        <v>15</v>
      </c>
      <c r="E217" s="6" t="s">
        <v>15</v>
      </c>
      <c r="F217" s="6" t="s">
        <v>15</v>
      </c>
      <c r="G217" s="6" t="s">
        <v>15</v>
      </c>
      <c r="H217" s="6" t="s">
        <v>15</v>
      </c>
      <c r="I217" s="6" t="s">
        <v>15</v>
      </c>
      <c r="J217" s="6" t="s">
        <v>15</v>
      </c>
      <c r="K217" s="6" t="s">
        <v>15</v>
      </c>
      <c r="L217" s="6" t="s">
        <v>15</v>
      </c>
      <c r="M217" s="6" t="s">
        <v>15</v>
      </c>
      <c r="N217" s="6" t="s">
        <v>15</v>
      </c>
      <c r="O217" s="6">
        <f t="shared" si="11"/>
        <v>0</v>
      </c>
    </row>
    <row r="218" spans="1:16" s="322" customFormat="1" ht="13.5" customHeight="1" x14ac:dyDescent="0.2">
      <c r="A218" s="318" t="s">
        <v>316</v>
      </c>
      <c r="B218" s="318" t="s">
        <v>69</v>
      </c>
      <c r="C218" s="319" t="s">
        <v>15</v>
      </c>
      <c r="D218" s="320" t="s">
        <v>15</v>
      </c>
      <c r="E218" s="320" t="s">
        <v>15</v>
      </c>
      <c r="F218" s="320" t="s">
        <v>15</v>
      </c>
      <c r="G218" s="320" t="s">
        <v>15</v>
      </c>
      <c r="H218" s="320" t="s">
        <v>15</v>
      </c>
      <c r="I218" s="320" t="s">
        <v>15</v>
      </c>
      <c r="J218" s="320" t="s">
        <v>15</v>
      </c>
      <c r="K218" s="320" t="s">
        <v>15</v>
      </c>
      <c r="L218" s="320" t="s">
        <v>15</v>
      </c>
      <c r="M218" s="320" t="s">
        <v>15</v>
      </c>
      <c r="N218" s="320" t="s">
        <v>15</v>
      </c>
      <c r="O218" s="321">
        <f t="shared" si="11"/>
        <v>0</v>
      </c>
    </row>
    <row r="219" spans="1:16" s="322" customFormat="1" ht="13.5" customHeight="1" x14ac:dyDescent="0.2">
      <c r="A219" s="318" t="s">
        <v>317</v>
      </c>
      <c r="B219" s="286" t="s">
        <v>69</v>
      </c>
      <c r="C219" s="319" t="s">
        <v>15</v>
      </c>
      <c r="D219" s="320" t="s">
        <v>15</v>
      </c>
      <c r="E219" s="320" t="s">
        <v>15</v>
      </c>
      <c r="F219" s="320" t="s">
        <v>15</v>
      </c>
      <c r="G219" s="320" t="s">
        <v>15</v>
      </c>
      <c r="H219" s="320" t="s">
        <v>15</v>
      </c>
      <c r="I219" s="320" t="s">
        <v>15</v>
      </c>
      <c r="J219" s="320" t="s">
        <v>15</v>
      </c>
      <c r="K219" s="320" t="s">
        <v>15</v>
      </c>
      <c r="L219" s="320" t="s">
        <v>15</v>
      </c>
      <c r="M219" s="320" t="s">
        <v>15</v>
      </c>
      <c r="N219" s="320" t="s">
        <v>15</v>
      </c>
      <c r="O219" s="321" t="s">
        <v>15</v>
      </c>
      <c r="P219" s="2"/>
    </row>
    <row r="220" spans="1:16" s="322" customFormat="1" ht="13.5" customHeight="1" x14ac:dyDescent="0.2">
      <c r="A220" s="318" t="s">
        <v>318</v>
      </c>
      <c r="B220" s="286" t="s">
        <v>69</v>
      </c>
      <c r="C220" s="319" t="s">
        <v>15</v>
      </c>
      <c r="D220" s="320" t="s">
        <v>15</v>
      </c>
      <c r="E220" s="320" t="s">
        <v>15</v>
      </c>
      <c r="F220" s="320" t="s">
        <v>15</v>
      </c>
      <c r="G220" s="320" t="s">
        <v>15</v>
      </c>
      <c r="H220" s="320" t="s">
        <v>15</v>
      </c>
      <c r="I220" s="320" t="s">
        <v>15</v>
      </c>
      <c r="J220" s="320" t="s">
        <v>15</v>
      </c>
      <c r="K220" s="320" t="s">
        <v>15</v>
      </c>
      <c r="L220" s="320" t="s">
        <v>15</v>
      </c>
      <c r="M220" s="320" t="s">
        <v>15</v>
      </c>
      <c r="N220" s="320" t="s">
        <v>15</v>
      </c>
      <c r="O220" s="321" t="s">
        <v>15</v>
      </c>
      <c r="P220" s="2"/>
    </row>
    <row r="221" spans="1:16" s="322" customFormat="1" ht="13.5" customHeight="1" x14ac:dyDescent="0.2">
      <c r="A221" s="318" t="s">
        <v>319</v>
      </c>
      <c r="B221" s="286" t="s">
        <v>69</v>
      </c>
      <c r="C221" s="319" t="s">
        <v>15</v>
      </c>
      <c r="D221" s="320" t="s">
        <v>15</v>
      </c>
      <c r="E221" s="320" t="s">
        <v>15</v>
      </c>
      <c r="F221" s="320" t="s">
        <v>15</v>
      </c>
      <c r="G221" s="320" t="s">
        <v>15</v>
      </c>
      <c r="H221" s="320" t="s">
        <v>15</v>
      </c>
      <c r="I221" s="320" t="s">
        <v>15</v>
      </c>
      <c r="J221" s="320" t="s">
        <v>15</v>
      </c>
      <c r="K221" s="320" t="s">
        <v>15</v>
      </c>
      <c r="L221" s="320" t="s">
        <v>15</v>
      </c>
      <c r="M221" s="320" t="s">
        <v>15</v>
      </c>
      <c r="N221" s="320" t="s">
        <v>15</v>
      </c>
      <c r="O221" s="321" t="s">
        <v>15</v>
      </c>
      <c r="P221" s="2"/>
    </row>
    <row r="222" spans="1:16" s="322" customFormat="1" ht="13.5" customHeight="1" x14ac:dyDescent="0.2">
      <c r="A222" s="355" t="s">
        <v>378</v>
      </c>
      <c r="B222" s="286" t="s">
        <v>69</v>
      </c>
      <c r="C222" s="319" t="s">
        <v>15</v>
      </c>
      <c r="D222" s="320" t="s">
        <v>15</v>
      </c>
      <c r="E222" s="320" t="s">
        <v>15</v>
      </c>
      <c r="F222" s="320" t="s">
        <v>15</v>
      </c>
      <c r="G222" s="320" t="s">
        <v>15</v>
      </c>
      <c r="H222" s="320" t="s">
        <v>15</v>
      </c>
      <c r="I222" s="320" t="s">
        <v>15</v>
      </c>
      <c r="J222" s="320" t="s">
        <v>15</v>
      </c>
      <c r="K222" s="320" t="s">
        <v>15</v>
      </c>
      <c r="L222" s="320" t="s">
        <v>15</v>
      </c>
      <c r="M222" s="320" t="s">
        <v>15</v>
      </c>
      <c r="N222" s="320" t="s">
        <v>15</v>
      </c>
      <c r="O222" s="321" t="s">
        <v>15</v>
      </c>
      <c r="P222" s="2"/>
    </row>
    <row r="223" spans="1:16" s="322" customFormat="1" ht="13.5" customHeight="1" x14ac:dyDescent="0.2">
      <c r="A223" s="355" t="s">
        <v>379</v>
      </c>
      <c r="B223" s="286" t="s">
        <v>69</v>
      </c>
      <c r="C223" s="319" t="s">
        <v>15</v>
      </c>
      <c r="D223" s="320" t="s">
        <v>15</v>
      </c>
      <c r="E223" s="320" t="s">
        <v>15</v>
      </c>
      <c r="F223" s="320" t="s">
        <v>15</v>
      </c>
      <c r="G223" s="320" t="s">
        <v>15</v>
      </c>
      <c r="H223" s="320" t="s">
        <v>15</v>
      </c>
      <c r="I223" s="320" t="s">
        <v>15</v>
      </c>
      <c r="J223" s="320" t="s">
        <v>15</v>
      </c>
      <c r="K223" s="320" t="s">
        <v>15</v>
      </c>
      <c r="L223" s="320" t="s">
        <v>15</v>
      </c>
      <c r="M223" s="320" t="s">
        <v>15</v>
      </c>
      <c r="N223" s="320" t="s">
        <v>15</v>
      </c>
      <c r="O223" s="321" t="s">
        <v>15</v>
      </c>
      <c r="P223" s="2"/>
    </row>
    <row r="224" spans="1:16" s="322" customFormat="1" ht="13.5" customHeight="1" x14ac:dyDescent="0.2">
      <c r="A224" s="355" t="s">
        <v>380</v>
      </c>
      <c r="B224" s="286" t="s">
        <v>69</v>
      </c>
      <c r="C224" s="319" t="s">
        <v>15</v>
      </c>
      <c r="D224" s="320" t="s">
        <v>15</v>
      </c>
      <c r="E224" s="320" t="s">
        <v>15</v>
      </c>
      <c r="F224" s="320" t="s">
        <v>15</v>
      </c>
      <c r="G224" s="320" t="s">
        <v>15</v>
      </c>
      <c r="H224" s="320" t="s">
        <v>15</v>
      </c>
      <c r="I224" s="320" t="s">
        <v>15</v>
      </c>
      <c r="J224" s="320" t="s">
        <v>15</v>
      </c>
      <c r="K224" s="320" t="s">
        <v>15</v>
      </c>
      <c r="L224" s="320" t="s">
        <v>15</v>
      </c>
      <c r="M224" s="320" t="s">
        <v>15</v>
      </c>
      <c r="N224" s="320" t="s">
        <v>15</v>
      </c>
      <c r="O224" s="321" t="s">
        <v>15</v>
      </c>
      <c r="P224" s="2"/>
    </row>
    <row r="225" spans="1:16" s="322" customFormat="1" ht="13.5" customHeight="1" x14ac:dyDescent="0.2">
      <c r="A225" s="355" t="s">
        <v>381</v>
      </c>
      <c r="B225" s="286" t="s">
        <v>69</v>
      </c>
      <c r="C225" s="319" t="s">
        <v>15</v>
      </c>
      <c r="D225" s="320" t="s">
        <v>15</v>
      </c>
      <c r="E225" s="320" t="s">
        <v>15</v>
      </c>
      <c r="F225" s="320" t="s">
        <v>15</v>
      </c>
      <c r="G225" s="320" t="s">
        <v>15</v>
      </c>
      <c r="H225" s="320" t="s">
        <v>15</v>
      </c>
      <c r="I225" s="320" t="s">
        <v>15</v>
      </c>
      <c r="J225" s="320" t="s">
        <v>15</v>
      </c>
      <c r="K225" s="320" t="s">
        <v>15</v>
      </c>
      <c r="L225" s="320" t="s">
        <v>15</v>
      </c>
      <c r="M225" s="320" t="s">
        <v>15</v>
      </c>
      <c r="N225" s="320" t="s">
        <v>15</v>
      </c>
      <c r="O225" s="321" t="s">
        <v>15</v>
      </c>
      <c r="P225" s="2"/>
    </row>
    <row r="226" spans="1:16" s="322" customFormat="1" ht="13.5" customHeight="1" x14ac:dyDescent="0.2">
      <c r="A226" s="355" t="s">
        <v>382</v>
      </c>
      <c r="B226" s="286" t="s">
        <v>69</v>
      </c>
      <c r="C226" s="319" t="s">
        <v>15</v>
      </c>
      <c r="D226" s="320" t="s">
        <v>15</v>
      </c>
      <c r="E226" s="320" t="s">
        <v>15</v>
      </c>
      <c r="F226" s="320" t="s">
        <v>15</v>
      </c>
      <c r="G226" s="320" t="s">
        <v>15</v>
      </c>
      <c r="H226" s="320" t="s">
        <v>15</v>
      </c>
      <c r="I226" s="320" t="s">
        <v>15</v>
      </c>
      <c r="J226" s="320" t="s">
        <v>15</v>
      </c>
      <c r="K226" s="320" t="s">
        <v>15</v>
      </c>
      <c r="L226" s="320" t="s">
        <v>15</v>
      </c>
      <c r="M226" s="320" t="s">
        <v>15</v>
      </c>
      <c r="N226" s="320" t="s">
        <v>15</v>
      </c>
      <c r="O226" s="321" t="s">
        <v>15</v>
      </c>
      <c r="P226" s="2"/>
    </row>
    <row r="227" spans="1:16" s="322" customFormat="1" ht="13.5" customHeight="1" x14ac:dyDescent="0.2">
      <c r="A227" s="355" t="s">
        <v>383</v>
      </c>
      <c r="B227" s="286" t="s">
        <v>69</v>
      </c>
      <c r="C227" s="319" t="s">
        <v>15</v>
      </c>
      <c r="D227" s="320" t="s">
        <v>15</v>
      </c>
      <c r="E227" s="320" t="s">
        <v>15</v>
      </c>
      <c r="F227" s="320" t="s">
        <v>15</v>
      </c>
      <c r="G227" s="320" t="s">
        <v>15</v>
      </c>
      <c r="H227" s="320" t="s">
        <v>15</v>
      </c>
      <c r="I227" s="320" t="s">
        <v>15</v>
      </c>
      <c r="J227" s="320" t="s">
        <v>15</v>
      </c>
      <c r="K227" s="320" t="s">
        <v>15</v>
      </c>
      <c r="L227" s="320" t="s">
        <v>15</v>
      </c>
      <c r="M227" s="320" t="s">
        <v>15</v>
      </c>
      <c r="N227" s="320" t="s">
        <v>15</v>
      </c>
      <c r="O227" s="321" t="s">
        <v>15</v>
      </c>
      <c r="P227" s="2"/>
    </row>
    <row r="228" spans="1:16" s="322" customFormat="1" ht="13.5" customHeight="1" x14ac:dyDescent="0.2">
      <c r="A228" s="355" t="s">
        <v>384</v>
      </c>
      <c r="B228" s="286" t="s">
        <v>69</v>
      </c>
      <c r="C228" s="319" t="s">
        <v>15</v>
      </c>
      <c r="D228" s="320" t="s">
        <v>15</v>
      </c>
      <c r="E228" s="320" t="s">
        <v>15</v>
      </c>
      <c r="F228" s="320" t="s">
        <v>15</v>
      </c>
      <c r="G228" s="320" t="s">
        <v>15</v>
      </c>
      <c r="H228" s="320" t="s">
        <v>15</v>
      </c>
      <c r="I228" s="320" t="s">
        <v>15</v>
      </c>
      <c r="J228" s="320" t="s">
        <v>15</v>
      </c>
      <c r="K228" s="320" t="s">
        <v>15</v>
      </c>
      <c r="L228" s="320" t="s">
        <v>15</v>
      </c>
      <c r="M228" s="320" t="s">
        <v>15</v>
      </c>
      <c r="N228" s="320" t="s">
        <v>15</v>
      </c>
      <c r="O228" s="321" t="s">
        <v>15</v>
      </c>
      <c r="P228" s="2"/>
    </row>
    <row r="229" spans="1:16" s="322" customFormat="1" ht="13.5" customHeight="1" x14ac:dyDescent="0.2">
      <c r="A229" s="355" t="s">
        <v>385</v>
      </c>
      <c r="B229" s="286" t="s">
        <v>69</v>
      </c>
      <c r="C229" s="319" t="s">
        <v>15</v>
      </c>
      <c r="D229" s="320" t="s">
        <v>15</v>
      </c>
      <c r="E229" s="320" t="s">
        <v>15</v>
      </c>
      <c r="F229" s="320" t="s">
        <v>15</v>
      </c>
      <c r="G229" s="320" t="s">
        <v>15</v>
      </c>
      <c r="H229" s="320" t="s">
        <v>15</v>
      </c>
      <c r="I229" s="320" t="s">
        <v>15</v>
      </c>
      <c r="J229" s="320" t="s">
        <v>15</v>
      </c>
      <c r="K229" s="320" t="s">
        <v>15</v>
      </c>
      <c r="L229" s="320" t="s">
        <v>15</v>
      </c>
      <c r="M229" s="320" t="s">
        <v>15</v>
      </c>
      <c r="N229" s="320" t="s">
        <v>15</v>
      </c>
      <c r="O229" s="321" t="s">
        <v>15</v>
      </c>
      <c r="P229" s="2"/>
    </row>
    <row r="230" spans="1:16" s="322" customFormat="1" ht="13.5" customHeight="1" x14ac:dyDescent="0.2">
      <c r="A230" s="355" t="s">
        <v>386</v>
      </c>
      <c r="B230" s="286" t="s">
        <v>69</v>
      </c>
      <c r="C230" s="319" t="s">
        <v>15</v>
      </c>
      <c r="D230" s="320" t="s">
        <v>15</v>
      </c>
      <c r="E230" s="320" t="s">
        <v>15</v>
      </c>
      <c r="F230" s="320" t="s">
        <v>15</v>
      </c>
      <c r="G230" s="320" t="s">
        <v>15</v>
      </c>
      <c r="H230" s="320" t="s">
        <v>15</v>
      </c>
      <c r="I230" s="320" t="s">
        <v>15</v>
      </c>
      <c r="J230" s="320" t="s">
        <v>15</v>
      </c>
      <c r="K230" s="320" t="s">
        <v>15</v>
      </c>
      <c r="L230" s="320" t="s">
        <v>15</v>
      </c>
      <c r="M230" s="320" t="s">
        <v>15</v>
      </c>
      <c r="N230" s="320" t="s">
        <v>15</v>
      </c>
      <c r="O230" s="321" t="s">
        <v>15</v>
      </c>
      <c r="P230" s="2"/>
    </row>
    <row r="231" spans="1:16" s="322" customFormat="1" ht="13.5" customHeight="1" x14ac:dyDescent="0.2">
      <c r="A231" s="355" t="s">
        <v>387</v>
      </c>
      <c r="B231" s="286" t="s">
        <v>69</v>
      </c>
      <c r="C231" s="319" t="s">
        <v>15</v>
      </c>
      <c r="D231" s="320" t="s">
        <v>15</v>
      </c>
      <c r="E231" s="320" t="s">
        <v>15</v>
      </c>
      <c r="F231" s="320" t="s">
        <v>15</v>
      </c>
      <c r="G231" s="320" t="s">
        <v>15</v>
      </c>
      <c r="H231" s="320" t="s">
        <v>15</v>
      </c>
      <c r="I231" s="320" t="s">
        <v>15</v>
      </c>
      <c r="J231" s="320" t="s">
        <v>15</v>
      </c>
      <c r="K231" s="320" t="s">
        <v>15</v>
      </c>
      <c r="L231" s="320" t="s">
        <v>15</v>
      </c>
      <c r="M231" s="320" t="s">
        <v>15</v>
      </c>
      <c r="N231" s="320" t="s">
        <v>15</v>
      </c>
      <c r="O231" s="321" t="s">
        <v>15</v>
      </c>
      <c r="P231" s="2"/>
    </row>
    <row r="232" spans="1:16" s="322" customFormat="1" ht="13.5" customHeight="1" x14ac:dyDescent="0.2">
      <c r="A232" s="355" t="s">
        <v>388</v>
      </c>
      <c r="B232" s="286" t="s">
        <v>69</v>
      </c>
      <c r="C232" s="319" t="s">
        <v>15</v>
      </c>
      <c r="D232" s="320" t="s">
        <v>15</v>
      </c>
      <c r="E232" s="320" t="s">
        <v>15</v>
      </c>
      <c r="F232" s="320" t="s">
        <v>15</v>
      </c>
      <c r="G232" s="320" t="s">
        <v>15</v>
      </c>
      <c r="H232" s="320" t="s">
        <v>15</v>
      </c>
      <c r="I232" s="320" t="s">
        <v>15</v>
      </c>
      <c r="J232" s="320" t="s">
        <v>15</v>
      </c>
      <c r="K232" s="320" t="s">
        <v>15</v>
      </c>
      <c r="L232" s="320" t="s">
        <v>15</v>
      </c>
      <c r="M232" s="320" t="s">
        <v>15</v>
      </c>
      <c r="N232" s="320" t="s">
        <v>15</v>
      </c>
      <c r="O232" s="321" t="s">
        <v>15</v>
      </c>
      <c r="P232" s="2"/>
    </row>
    <row r="233" spans="1:16" s="322" customFormat="1" ht="13.5" customHeight="1" x14ac:dyDescent="0.2">
      <c r="A233" s="355" t="s">
        <v>435</v>
      </c>
      <c r="B233" s="286" t="s">
        <v>69</v>
      </c>
      <c r="C233" s="319" t="s">
        <v>15</v>
      </c>
      <c r="D233" s="320" t="s">
        <v>15</v>
      </c>
      <c r="E233" s="320" t="s">
        <v>15</v>
      </c>
      <c r="F233" s="320" t="s">
        <v>15</v>
      </c>
      <c r="G233" s="320" t="s">
        <v>15</v>
      </c>
      <c r="H233" s="320" t="s">
        <v>15</v>
      </c>
      <c r="I233" s="320" t="s">
        <v>15</v>
      </c>
      <c r="J233" s="320" t="s">
        <v>15</v>
      </c>
      <c r="K233" s="320" t="s">
        <v>15</v>
      </c>
      <c r="L233" s="320" t="s">
        <v>15</v>
      </c>
      <c r="M233" s="320" t="s">
        <v>15</v>
      </c>
      <c r="N233" s="320" t="s">
        <v>15</v>
      </c>
      <c r="O233" s="321" t="s">
        <v>15</v>
      </c>
      <c r="P233" s="2"/>
    </row>
    <row r="234" spans="1:16" s="322" customFormat="1" ht="13.5" customHeight="1" x14ac:dyDescent="0.2">
      <c r="A234" s="355" t="s">
        <v>389</v>
      </c>
      <c r="B234" s="286" t="s">
        <v>69</v>
      </c>
      <c r="C234" s="319" t="s">
        <v>15</v>
      </c>
      <c r="D234" s="320" t="s">
        <v>15</v>
      </c>
      <c r="E234" s="320" t="s">
        <v>15</v>
      </c>
      <c r="F234" s="320" t="s">
        <v>15</v>
      </c>
      <c r="G234" s="320" t="s">
        <v>15</v>
      </c>
      <c r="H234" s="320" t="s">
        <v>15</v>
      </c>
      <c r="I234" s="320" t="s">
        <v>15</v>
      </c>
      <c r="J234" s="320" t="s">
        <v>15</v>
      </c>
      <c r="K234" s="320" t="s">
        <v>15</v>
      </c>
      <c r="L234" s="320" t="s">
        <v>15</v>
      </c>
      <c r="M234" s="320" t="s">
        <v>15</v>
      </c>
      <c r="N234" s="320" t="s">
        <v>15</v>
      </c>
      <c r="O234" s="321" t="s">
        <v>15</v>
      </c>
      <c r="P234" s="2"/>
    </row>
    <row r="235" spans="1:16" s="322" customFormat="1" ht="13.5" customHeight="1" x14ac:dyDescent="0.2">
      <c r="A235" s="355" t="s">
        <v>390</v>
      </c>
      <c r="B235" s="286" t="s">
        <v>69</v>
      </c>
      <c r="C235" s="319" t="s">
        <v>15</v>
      </c>
      <c r="D235" s="320" t="s">
        <v>15</v>
      </c>
      <c r="E235" s="320" t="s">
        <v>15</v>
      </c>
      <c r="F235" s="320" t="s">
        <v>15</v>
      </c>
      <c r="G235" s="320" t="s">
        <v>15</v>
      </c>
      <c r="H235" s="320" t="s">
        <v>15</v>
      </c>
      <c r="I235" s="320" t="s">
        <v>15</v>
      </c>
      <c r="J235" s="320" t="s">
        <v>15</v>
      </c>
      <c r="K235" s="320" t="s">
        <v>15</v>
      </c>
      <c r="L235" s="320" t="s">
        <v>15</v>
      </c>
      <c r="M235" s="320" t="s">
        <v>15</v>
      </c>
      <c r="N235" s="320" t="s">
        <v>15</v>
      </c>
      <c r="O235" s="321" t="s">
        <v>15</v>
      </c>
      <c r="P235" s="2"/>
    </row>
    <row r="236" spans="1:16" s="322" customFormat="1" ht="13.5" customHeight="1" x14ac:dyDescent="0.2">
      <c r="A236" s="355" t="s">
        <v>391</v>
      </c>
      <c r="B236" s="286" t="s">
        <v>69</v>
      </c>
      <c r="C236" s="319" t="s">
        <v>15</v>
      </c>
      <c r="D236" s="320" t="s">
        <v>15</v>
      </c>
      <c r="E236" s="320" t="s">
        <v>15</v>
      </c>
      <c r="F236" s="320" t="s">
        <v>15</v>
      </c>
      <c r="G236" s="320" t="s">
        <v>15</v>
      </c>
      <c r="H236" s="320" t="s">
        <v>15</v>
      </c>
      <c r="I236" s="320" t="s">
        <v>15</v>
      </c>
      <c r="J236" s="320" t="s">
        <v>15</v>
      </c>
      <c r="K236" s="320" t="s">
        <v>15</v>
      </c>
      <c r="L236" s="320" t="s">
        <v>15</v>
      </c>
      <c r="M236" s="320" t="s">
        <v>15</v>
      </c>
      <c r="N236" s="320" t="s">
        <v>15</v>
      </c>
      <c r="O236" s="321" t="s">
        <v>15</v>
      </c>
      <c r="P236" s="2"/>
    </row>
    <row r="237" spans="1:16" s="322" customFormat="1" ht="13.5" customHeight="1" x14ac:dyDescent="0.2">
      <c r="A237" s="355" t="s">
        <v>392</v>
      </c>
      <c r="B237" s="286" t="s">
        <v>69</v>
      </c>
      <c r="C237" s="319" t="s">
        <v>15</v>
      </c>
      <c r="D237" s="320" t="s">
        <v>15</v>
      </c>
      <c r="E237" s="320" t="s">
        <v>15</v>
      </c>
      <c r="F237" s="320" t="s">
        <v>15</v>
      </c>
      <c r="G237" s="320" t="s">
        <v>15</v>
      </c>
      <c r="H237" s="320" t="s">
        <v>15</v>
      </c>
      <c r="I237" s="320" t="s">
        <v>15</v>
      </c>
      <c r="J237" s="320" t="s">
        <v>15</v>
      </c>
      <c r="K237" s="320" t="s">
        <v>15</v>
      </c>
      <c r="L237" s="320" t="s">
        <v>15</v>
      </c>
      <c r="M237" s="320" t="s">
        <v>15</v>
      </c>
      <c r="N237" s="320" t="s">
        <v>15</v>
      </c>
      <c r="O237" s="321" t="s">
        <v>15</v>
      </c>
      <c r="P237" s="2"/>
    </row>
    <row r="238" spans="1:16" s="322" customFormat="1" ht="13.5" customHeight="1" x14ac:dyDescent="0.2">
      <c r="A238" s="355" t="s">
        <v>393</v>
      </c>
      <c r="B238" s="286" t="s">
        <v>69</v>
      </c>
      <c r="C238" s="319" t="s">
        <v>15</v>
      </c>
      <c r="D238" s="320" t="s">
        <v>15</v>
      </c>
      <c r="E238" s="320" t="s">
        <v>15</v>
      </c>
      <c r="F238" s="320" t="s">
        <v>15</v>
      </c>
      <c r="G238" s="320" t="s">
        <v>15</v>
      </c>
      <c r="H238" s="320" t="s">
        <v>15</v>
      </c>
      <c r="I238" s="320" t="s">
        <v>15</v>
      </c>
      <c r="J238" s="320" t="s">
        <v>15</v>
      </c>
      <c r="K238" s="320" t="s">
        <v>15</v>
      </c>
      <c r="L238" s="320" t="s">
        <v>15</v>
      </c>
      <c r="M238" s="320" t="s">
        <v>15</v>
      </c>
      <c r="N238" s="320" t="s">
        <v>15</v>
      </c>
      <c r="O238" s="321" t="s">
        <v>15</v>
      </c>
      <c r="P238" s="2"/>
    </row>
    <row r="239" spans="1:16" s="322" customFormat="1" ht="13.5" customHeight="1" x14ac:dyDescent="0.2">
      <c r="A239" s="355" t="s">
        <v>394</v>
      </c>
      <c r="B239" s="286" t="s">
        <v>69</v>
      </c>
      <c r="C239" s="319" t="s">
        <v>15</v>
      </c>
      <c r="D239" s="320" t="s">
        <v>15</v>
      </c>
      <c r="E239" s="320" t="s">
        <v>15</v>
      </c>
      <c r="F239" s="320" t="s">
        <v>15</v>
      </c>
      <c r="G239" s="320" t="s">
        <v>15</v>
      </c>
      <c r="H239" s="320" t="s">
        <v>15</v>
      </c>
      <c r="I239" s="320" t="s">
        <v>15</v>
      </c>
      <c r="J239" s="320" t="s">
        <v>15</v>
      </c>
      <c r="K239" s="320" t="s">
        <v>15</v>
      </c>
      <c r="L239" s="320" t="s">
        <v>15</v>
      </c>
      <c r="M239" s="320" t="s">
        <v>15</v>
      </c>
      <c r="N239" s="320" t="s">
        <v>15</v>
      </c>
      <c r="O239" s="321" t="s">
        <v>15</v>
      </c>
      <c r="P239" s="2"/>
    </row>
    <row r="240" spans="1:16" s="322" customFormat="1" ht="13.5" customHeight="1" x14ac:dyDescent="0.2">
      <c r="A240" s="355" t="s">
        <v>395</v>
      </c>
      <c r="B240" s="286" t="s">
        <v>69</v>
      </c>
      <c r="C240" s="319" t="s">
        <v>15</v>
      </c>
      <c r="D240" s="320" t="s">
        <v>15</v>
      </c>
      <c r="E240" s="320" t="s">
        <v>15</v>
      </c>
      <c r="F240" s="320" t="s">
        <v>15</v>
      </c>
      <c r="G240" s="320" t="s">
        <v>15</v>
      </c>
      <c r="H240" s="320" t="s">
        <v>15</v>
      </c>
      <c r="I240" s="320" t="s">
        <v>15</v>
      </c>
      <c r="J240" s="320" t="s">
        <v>15</v>
      </c>
      <c r="K240" s="320" t="s">
        <v>15</v>
      </c>
      <c r="L240" s="320" t="s">
        <v>15</v>
      </c>
      <c r="M240" s="320" t="s">
        <v>15</v>
      </c>
      <c r="N240" s="320" t="s">
        <v>15</v>
      </c>
      <c r="O240" s="321" t="s">
        <v>15</v>
      </c>
      <c r="P240" s="2"/>
    </row>
    <row r="241" spans="1:16" s="322" customFormat="1" ht="13.5" customHeight="1" x14ac:dyDescent="0.2">
      <c r="A241" s="355" t="s">
        <v>396</v>
      </c>
      <c r="B241" s="286" t="s">
        <v>69</v>
      </c>
      <c r="C241" s="319" t="s">
        <v>15</v>
      </c>
      <c r="D241" s="320" t="s">
        <v>15</v>
      </c>
      <c r="E241" s="320" t="s">
        <v>15</v>
      </c>
      <c r="F241" s="320" t="s">
        <v>15</v>
      </c>
      <c r="G241" s="320" t="s">
        <v>15</v>
      </c>
      <c r="H241" s="320" t="s">
        <v>15</v>
      </c>
      <c r="I241" s="320" t="s">
        <v>15</v>
      </c>
      <c r="J241" s="320" t="s">
        <v>15</v>
      </c>
      <c r="K241" s="320" t="s">
        <v>15</v>
      </c>
      <c r="L241" s="320" t="s">
        <v>15</v>
      </c>
      <c r="M241" s="320" t="s">
        <v>15</v>
      </c>
      <c r="N241" s="320" t="s">
        <v>15</v>
      </c>
      <c r="O241" s="321" t="s">
        <v>15</v>
      </c>
      <c r="P241" s="2"/>
    </row>
    <row r="242" spans="1:16" s="322" customFormat="1" ht="13.5" customHeight="1" x14ac:dyDescent="0.2">
      <c r="A242" s="355" t="s">
        <v>397</v>
      </c>
      <c r="B242" s="286" t="s">
        <v>69</v>
      </c>
      <c r="C242" s="319" t="s">
        <v>15</v>
      </c>
      <c r="D242" s="320" t="s">
        <v>15</v>
      </c>
      <c r="E242" s="320" t="s">
        <v>15</v>
      </c>
      <c r="F242" s="320" t="s">
        <v>15</v>
      </c>
      <c r="G242" s="320" t="s">
        <v>15</v>
      </c>
      <c r="H242" s="320" t="s">
        <v>15</v>
      </c>
      <c r="I242" s="320" t="s">
        <v>15</v>
      </c>
      <c r="J242" s="320" t="s">
        <v>15</v>
      </c>
      <c r="K242" s="320" t="s">
        <v>15</v>
      </c>
      <c r="L242" s="320" t="s">
        <v>15</v>
      </c>
      <c r="M242" s="320" t="s">
        <v>15</v>
      </c>
      <c r="N242" s="320" t="s">
        <v>15</v>
      </c>
      <c r="O242" s="321" t="s">
        <v>15</v>
      </c>
      <c r="P242" s="2"/>
    </row>
    <row r="243" spans="1:16" s="322" customFormat="1" ht="12.75" customHeight="1" x14ac:dyDescent="0.2">
      <c r="A243" s="354" t="s">
        <v>375</v>
      </c>
      <c r="B243" s="286" t="s">
        <v>69</v>
      </c>
      <c r="C243" s="345" t="s">
        <v>15</v>
      </c>
      <c r="D243" s="346" t="s">
        <v>15</v>
      </c>
      <c r="E243" s="346" t="s">
        <v>15</v>
      </c>
      <c r="F243" s="346" t="s">
        <v>15</v>
      </c>
      <c r="G243" s="346" t="s">
        <v>15</v>
      </c>
      <c r="H243" s="346" t="s">
        <v>15</v>
      </c>
      <c r="I243" s="346" t="s">
        <v>15</v>
      </c>
      <c r="J243" s="346" t="s">
        <v>15</v>
      </c>
      <c r="K243" s="346" t="s">
        <v>15</v>
      </c>
      <c r="L243" s="346" t="s">
        <v>15</v>
      </c>
      <c r="M243" s="346" t="s">
        <v>15</v>
      </c>
      <c r="N243" s="346" t="s">
        <v>15</v>
      </c>
      <c r="O243" s="347">
        <f>SUM(C243:N243)</f>
        <v>0</v>
      </c>
      <c r="P243" s="2"/>
    </row>
    <row r="244" spans="1:16" s="322" customFormat="1" ht="12.75" customHeight="1" x14ac:dyDescent="0.2">
      <c r="A244" s="354" t="s">
        <v>376</v>
      </c>
      <c r="B244" s="286" t="s">
        <v>69</v>
      </c>
      <c r="C244" s="345" t="s">
        <v>15</v>
      </c>
      <c r="D244" s="346" t="s">
        <v>15</v>
      </c>
      <c r="E244" s="346" t="s">
        <v>15</v>
      </c>
      <c r="F244" s="346" t="s">
        <v>15</v>
      </c>
      <c r="G244" s="346" t="s">
        <v>15</v>
      </c>
      <c r="H244" s="346" t="s">
        <v>15</v>
      </c>
      <c r="I244" s="346" t="s">
        <v>15</v>
      </c>
      <c r="J244" s="346" t="s">
        <v>15</v>
      </c>
      <c r="K244" s="346" t="s">
        <v>15</v>
      </c>
      <c r="L244" s="346" t="s">
        <v>15</v>
      </c>
      <c r="M244" s="346" t="s">
        <v>15</v>
      </c>
      <c r="N244" s="346" t="s">
        <v>15</v>
      </c>
      <c r="O244" s="347">
        <f>SUM(C244:N244)</f>
        <v>0</v>
      </c>
      <c r="P244" s="2"/>
    </row>
    <row r="245" spans="1:16" s="322" customFormat="1" ht="13.5" customHeight="1" x14ac:dyDescent="0.2">
      <c r="A245" s="318" t="s">
        <v>320</v>
      </c>
      <c r="B245" s="286" t="s">
        <v>69</v>
      </c>
      <c r="C245" s="319" t="s">
        <v>15</v>
      </c>
      <c r="D245" s="320" t="s">
        <v>15</v>
      </c>
      <c r="E245" s="320" t="s">
        <v>15</v>
      </c>
      <c r="F245" s="320" t="s">
        <v>15</v>
      </c>
      <c r="G245" s="320" t="s">
        <v>15</v>
      </c>
      <c r="H245" s="320" t="s">
        <v>15</v>
      </c>
      <c r="I245" s="320" t="s">
        <v>15</v>
      </c>
      <c r="J245" s="320" t="s">
        <v>15</v>
      </c>
      <c r="K245" s="320" t="s">
        <v>15</v>
      </c>
      <c r="L245" s="320" t="s">
        <v>15</v>
      </c>
      <c r="M245" s="320" t="s">
        <v>15</v>
      </c>
      <c r="N245" s="320" t="s">
        <v>15</v>
      </c>
      <c r="O245" s="321" t="s">
        <v>15</v>
      </c>
      <c r="P245" s="2"/>
    </row>
    <row r="246" spans="1:16" s="322" customFormat="1" ht="13.5" customHeight="1" x14ac:dyDescent="0.2">
      <c r="A246" s="318" t="s">
        <v>321</v>
      </c>
      <c r="B246" s="286" t="s">
        <v>69</v>
      </c>
      <c r="C246" s="319" t="s">
        <v>15</v>
      </c>
      <c r="D246" s="320" t="s">
        <v>15</v>
      </c>
      <c r="E246" s="320" t="s">
        <v>15</v>
      </c>
      <c r="F246" s="320" t="s">
        <v>15</v>
      </c>
      <c r="G246" s="320" t="s">
        <v>15</v>
      </c>
      <c r="H246" s="320" t="s">
        <v>15</v>
      </c>
      <c r="I246" s="320" t="s">
        <v>15</v>
      </c>
      <c r="J246" s="320" t="s">
        <v>15</v>
      </c>
      <c r="K246" s="320" t="s">
        <v>15</v>
      </c>
      <c r="L246" s="320" t="s">
        <v>15</v>
      </c>
      <c r="M246" s="320" t="s">
        <v>15</v>
      </c>
      <c r="N246" s="320" t="s">
        <v>15</v>
      </c>
      <c r="O246" s="321" t="s">
        <v>15</v>
      </c>
      <c r="P246" s="2"/>
    </row>
    <row r="247" spans="1:16" s="290" customFormat="1" ht="13.5" customHeight="1" x14ac:dyDescent="0.2">
      <c r="A247" s="285" t="s">
        <v>266</v>
      </c>
      <c r="B247" s="286" t="s">
        <v>69</v>
      </c>
      <c r="C247" s="287" t="s">
        <v>15</v>
      </c>
      <c r="D247" s="288" t="s">
        <v>15</v>
      </c>
      <c r="E247" s="288" t="s">
        <v>15</v>
      </c>
      <c r="F247" s="288" t="s">
        <v>15</v>
      </c>
      <c r="G247" s="288" t="s">
        <v>15</v>
      </c>
      <c r="H247" s="288" t="s">
        <v>15</v>
      </c>
      <c r="I247" s="288" t="s">
        <v>15</v>
      </c>
      <c r="J247" s="288" t="s">
        <v>15</v>
      </c>
      <c r="K247" s="288" t="s">
        <v>15</v>
      </c>
      <c r="L247" s="288" t="s">
        <v>15</v>
      </c>
      <c r="M247" s="288" t="s">
        <v>15</v>
      </c>
      <c r="N247" s="288" t="s">
        <v>15</v>
      </c>
      <c r="O247" s="289">
        <f t="shared" ref="O247:O277" si="12">SUM(C247:N247)</f>
        <v>0</v>
      </c>
    </row>
    <row r="248" spans="1:16" s="290" customFormat="1" ht="13.5" customHeight="1" x14ac:dyDescent="0.2">
      <c r="A248" s="285" t="s">
        <v>314</v>
      </c>
      <c r="B248" s="286" t="s">
        <v>69</v>
      </c>
      <c r="C248" s="287" t="s">
        <v>15</v>
      </c>
      <c r="D248" s="288" t="s">
        <v>15</v>
      </c>
      <c r="E248" s="288" t="s">
        <v>15</v>
      </c>
      <c r="F248" s="288" t="s">
        <v>15</v>
      </c>
      <c r="G248" s="288" t="s">
        <v>15</v>
      </c>
      <c r="H248" s="288" t="s">
        <v>15</v>
      </c>
      <c r="I248" s="288" t="s">
        <v>15</v>
      </c>
      <c r="J248" s="288" t="s">
        <v>15</v>
      </c>
      <c r="K248" s="288" t="s">
        <v>15</v>
      </c>
      <c r="L248" s="288" t="s">
        <v>15</v>
      </c>
      <c r="M248" s="288" t="s">
        <v>15</v>
      </c>
      <c r="N248" s="288" t="s">
        <v>15</v>
      </c>
      <c r="O248" s="289">
        <f t="shared" si="12"/>
        <v>0</v>
      </c>
    </row>
    <row r="249" spans="1:16" s="290" customFormat="1" ht="13.5" customHeight="1" x14ac:dyDescent="0.2">
      <c r="A249" s="285" t="s">
        <v>297</v>
      </c>
      <c r="B249" s="286" t="s">
        <v>69</v>
      </c>
      <c r="C249" s="287" t="s">
        <v>15</v>
      </c>
      <c r="D249" s="288" t="s">
        <v>15</v>
      </c>
      <c r="E249" s="288" t="s">
        <v>15</v>
      </c>
      <c r="F249" s="288" t="s">
        <v>15</v>
      </c>
      <c r="G249" s="288" t="s">
        <v>15</v>
      </c>
      <c r="H249" s="288" t="s">
        <v>15</v>
      </c>
      <c r="I249" s="288" t="s">
        <v>15</v>
      </c>
      <c r="J249" s="288" t="s">
        <v>15</v>
      </c>
      <c r="K249" s="288" t="s">
        <v>15</v>
      </c>
      <c r="L249" s="288" t="s">
        <v>15</v>
      </c>
      <c r="M249" s="288" t="s">
        <v>15</v>
      </c>
      <c r="N249" s="288" t="s">
        <v>15</v>
      </c>
      <c r="O249" s="289">
        <f t="shared" si="12"/>
        <v>0</v>
      </c>
    </row>
    <row r="250" spans="1:16" s="290" customFormat="1" ht="13.5" customHeight="1" x14ac:dyDescent="0.2">
      <c r="A250" s="285" t="s">
        <v>323</v>
      </c>
      <c r="B250" s="286" t="s">
        <v>69</v>
      </c>
      <c r="C250" s="287" t="s">
        <v>15</v>
      </c>
      <c r="D250" s="288" t="s">
        <v>15</v>
      </c>
      <c r="E250" s="288" t="s">
        <v>15</v>
      </c>
      <c r="F250" s="288" t="s">
        <v>15</v>
      </c>
      <c r="G250" s="288" t="s">
        <v>15</v>
      </c>
      <c r="H250" s="288" t="s">
        <v>15</v>
      </c>
      <c r="I250" s="288" t="s">
        <v>15</v>
      </c>
      <c r="J250" s="288" t="s">
        <v>15</v>
      </c>
      <c r="K250" s="288" t="s">
        <v>15</v>
      </c>
      <c r="L250" s="288" t="s">
        <v>15</v>
      </c>
      <c r="M250" s="288" t="s">
        <v>15</v>
      </c>
      <c r="N250" s="288" t="s">
        <v>15</v>
      </c>
      <c r="O250" s="289">
        <f t="shared" si="12"/>
        <v>0</v>
      </c>
    </row>
    <row r="251" spans="1:16" s="290" customFormat="1" ht="13.5" customHeight="1" x14ac:dyDescent="0.2">
      <c r="A251" s="285" t="s">
        <v>315</v>
      </c>
      <c r="B251" s="286" t="s">
        <v>69</v>
      </c>
      <c r="C251" s="287" t="s">
        <v>15</v>
      </c>
      <c r="D251" s="288" t="s">
        <v>15</v>
      </c>
      <c r="E251" s="288" t="s">
        <v>15</v>
      </c>
      <c r="F251" s="288" t="s">
        <v>15</v>
      </c>
      <c r="G251" s="288" t="s">
        <v>15</v>
      </c>
      <c r="H251" s="288" t="s">
        <v>15</v>
      </c>
      <c r="I251" s="288" t="s">
        <v>15</v>
      </c>
      <c r="J251" s="288" t="s">
        <v>15</v>
      </c>
      <c r="K251" s="288" t="s">
        <v>15</v>
      </c>
      <c r="L251" s="288" t="s">
        <v>15</v>
      </c>
      <c r="M251" s="288" t="s">
        <v>15</v>
      </c>
      <c r="N251" s="288" t="s">
        <v>15</v>
      </c>
      <c r="O251" s="289">
        <f t="shared" si="12"/>
        <v>0</v>
      </c>
    </row>
    <row r="252" spans="1:16" s="290" customFormat="1" ht="13.5" customHeight="1" x14ac:dyDescent="0.2">
      <c r="A252" s="285" t="s">
        <v>310</v>
      </c>
      <c r="B252" s="286" t="s">
        <v>69</v>
      </c>
      <c r="C252" s="287" t="s">
        <v>15</v>
      </c>
      <c r="D252" s="288" t="s">
        <v>15</v>
      </c>
      <c r="E252" s="288" t="s">
        <v>15</v>
      </c>
      <c r="F252" s="288" t="s">
        <v>15</v>
      </c>
      <c r="G252" s="288" t="s">
        <v>15</v>
      </c>
      <c r="H252" s="288" t="s">
        <v>15</v>
      </c>
      <c r="I252" s="288" t="s">
        <v>15</v>
      </c>
      <c r="J252" s="288" t="s">
        <v>15</v>
      </c>
      <c r="K252" s="288" t="s">
        <v>15</v>
      </c>
      <c r="L252" s="288" t="s">
        <v>15</v>
      </c>
      <c r="M252" s="288" t="s">
        <v>15</v>
      </c>
      <c r="N252" s="288" t="s">
        <v>15</v>
      </c>
      <c r="O252" s="289">
        <f t="shared" si="12"/>
        <v>0</v>
      </c>
    </row>
    <row r="253" spans="1:16" s="290" customFormat="1" ht="13.5" customHeight="1" x14ac:dyDescent="0.2">
      <c r="A253" s="285" t="s">
        <v>267</v>
      </c>
      <c r="B253" s="286" t="s">
        <v>69</v>
      </c>
      <c r="C253" s="287" t="s">
        <v>15</v>
      </c>
      <c r="D253" s="288" t="s">
        <v>15</v>
      </c>
      <c r="E253" s="288" t="s">
        <v>15</v>
      </c>
      <c r="F253" s="288" t="s">
        <v>15</v>
      </c>
      <c r="G253" s="288" t="s">
        <v>15</v>
      </c>
      <c r="H253" s="288" t="s">
        <v>15</v>
      </c>
      <c r="I253" s="288" t="s">
        <v>15</v>
      </c>
      <c r="J253" s="288" t="s">
        <v>15</v>
      </c>
      <c r="K253" s="288" t="s">
        <v>15</v>
      </c>
      <c r="L253" s="288" t="s">
        <v>15</v>
      </c>
      <c r="M253" s="288" t="s">
        <v>15</v>
      </c>
      <c r="N253" s="288" t="s">
        <v>15</v>
      </c>
      <c r="O253" s="289">
        <f t="shared" si="12"/>
        <v>0</v>
      </c>
    </row>
    <row r="254" spans="1:16" s="290" customFormat="1" ht="13.5" customHeight="1" x14ac:dyDescent="0.2">
      <c r="A254" s="285" t="s">
        <v>268</v>
      </c>
      <c r="B254" s="286" t="s">
        <v>69</v>
      </c>
      <c r="C254" s="287" t="s">
        <v>15</v>
      </c>
      <c r="D254" s="288" t="s">
        <v>15</v>
      </c>
      <c r="E254" s="288" t="s">
        <v>15</v>
      </c>
      <c r="F254" s="288" t="s">
        <v>15</v>
      </c>
      <c r="G254" s="288" t="s">
        <v>15</v>
      </c>
      <c r="H254" s="288" t="s">
        <v>15</v>
      </c>
      <c r="I254" s="288" t="s">
        <v>15</v>
      </c>
      <c r="J254" s="288" t="s">
        <v>15</v>
      </c>
      <c r="K254" s="288" t="s">
        <v>15</v>
      </c>
      <c r="L254" s="288" t="s">
        <v>15</v>
      </c>
      <c r="M254" s="288" t="s">
        <v>15</v>
      </c>
      <c r="N254" s="288" t="s">
        <v>15</v>
      </c>
      <c r="O254" s="289">
        <f t="shared" si="12"/>
        <v>0</v>
      </c>
    </row>
    <row r="255" spans="1:16" s="290" customFormat="1" ht="13.5" customHeight="1" x14ac:dyDescent="0.2">
      <c r="A255" s="285" t="s">
        <v>269</v>
      </c>
      <c r="B255" s="286" t="s">
        <v>69</v>
      </c>
      <c r="C255" s="287" t="s">
        <v>15</v>
      </c>
      <c r="D255" s="288" t="s">
        <v>15</v>
      </c>
      <c r="E255" s="288" t="s">
        <v>15</v>
      </c>
      <c r="F255" s="288" t="s">
        <v>15</v>
      </c>
      <c r="G255" s="288" t="s">
        <v>15</v>
      </c>
      <c r="H255" s="288" t="s">
        <v>15</v>
      </c>
      <c r="I255" s="288" t="s">
        <v>15</v>
      </c>
      <c r="J255" s="288" t="s">
        <v>15</v>
      </c>
      <c r="K255" s="288" t="s">
        <v>15</v>
      </c>
      <c r="L255" s="288" t="s">
        <v>15</v>
      </c>
      <c r="M255" s="288" t="s">
        <v>15</v>
      </c>
      <c r="N255" s="288" t="s">
        <v>15</v>
      </c>
      <c r="O255" s="289">
        <f t="shared" si="12"/>
        <v>0</v>
      </c>
    </row>
    <row r="256" spans="1:16" s="290" customFormat="1" ht="13.5" customHeight="1" x14ac:dyDescent="0.2">
      <c r="A256" s="285" t="s">
        <v>270</v>
      </c>
      <c r="B256" s="286" t="s">
        <v>69</v>
      </c>
      <c r="C256" s="287" t="s">
        <v>15</v>
      </c>
      <c r="D256" s="288" t="s">
        <v>15</v>
      </c>
      <c r="E256" s="288" t="s">
        <v>15</v>
      </c>
      <c r="F256" s="288" t="s">
        <v>15</v>
      </c>
      <c r="G256" s="288" t="s">
        <v>15</v>
      </c>
      <c r="H256" s="288" t="s">
        <v>15</v>
      </c>
      <c r="I256" s="288" t="s">
        <v>15</v>
      </c>
      <c r="J256" s="288" t="s">
        <v>15</v>
      </c>
      <c r="K256" s="288" t="s">
        <v>15</v>
      </c>
      <c r="L256" s="288" t="s">
        <v>15</v>
      </c>
      <c r="M256" s="288" t="s">
        <v>15</v>
      </c>
      <c r="N256" s="288" t="s">
        <v>15</v>
      </c>
      <c r="O256" s="289">
        <f t="shared" si="12"/>
        <v>0</v>
      </c>
    </row>
    <row r="257" spans="1:17" s="290" customFormat="1" ht="13.5" customHeight="1" x14ac:dyDescent="0.2">
      <c r="A257" s="285" t="s">
        <v>271</v>
      </c>
      <c r="B257" s="286" t="s">
        <v>69</v>
      </c>
      <c r="C257" s="287" t="s">
        <v>15</v>
      </c>
      <c r="D257" s="288" t="s">
        <v>15</v>
      </c>
      <c r="E257" s="288" t="s">
        <v>15</v>
      </c>
      <c r="F257" s="288" t="s">
        <v>15</v>
      </c>
      <c r="G257" s="288" t="s">
        <v>15</v>
      </c>
      <c r="H257" s="288" t="s">
        <v>15</v>
      </c>
      <c r="I257" s="288" t="s">
        <v>15</v>
      </c>
      <c r="J257" s="288" t="s">
        <v>15</v>
      </c>
      <c r="K257" s="288" t="s">
        <v>15</v>
      </c>
      <c r="L257" s="288" t="s">
        <v>15</v>
      </c>
      <c r="M257" s="288" t="s">
        <v>15</v>
      </c>
      <c r="N257" s="288" t="s">
        <v>15</v>
      </c>
      <c r="O257" s="289">
        <f t="shared" si="12"/>
        <v>0</v>
      </c>
    </row>
    <row r="258" spans="1:17" s="290" customFormat="1" ht="13.5" customHeight="1" x14ac:dyDescent="0.2">
      <c r="A258" s="285" t="s">
        <v>272</v>
      </c>
      <c r="B258" s="286" t="s">
        <v>69</v>
      </c>
      <c r="C258" s="287" t="s">
        <v>15</v>
      </c>
      <c r="D258" s="288" t="s">
        <v>15</v>
      </c>
      <c r="E258" s="288" t="s">
        <v>15</v>
      </c>
      <c r="F258" s="288" t="s">
        <v>15</v>
      </c>
      <c r="G258" s="288" t="s">
        <v>15</v>
      </c>
      <c r="H258" s="288" t="s">
        <v>15</v>
      </c>
      <c r="I258" s="288" t="s">
        <v>15</v>
      </c>
      <c r="J258" s="288" t="s">
        <v>15</v>
      </c>
      <c r="K258" s="288" t="s">
        <v>15</v>
      </c>
      <c r="L258" s="288" t="s">
        <v>15</v>
      </c>
      <c r="M258" s="288" t="s">
        <v>15</v>
      </c>
      <c r="N258" s="288" t="s">
        <v>15</v>
      </c>
      <c r="O258" s="289">
        <f t="shared" si="12"/>
        <v>0</v>
      </c>
    </row>
    <row r="259" spans="1:17" s="290" customFormat="1" ht="13.5" customHeight="1" x14ac:dyDescent="0.2">
      <c r="A259" s="285" t="s">
        <v>273</v>
      </c>
      <c r="B259" s="286" t="s">
        <v>69</v>
      </c>
      <c r="C259" s="287" t="s">
        <v>15</v>
      </c>
      <c r="D259" s="288" t="s">
        <v>15</v>
      </c>
      <c r="E259" s="288" t="s">
        <v>15</v>
      </c>
      <c r="F259" s="288" t="s">
        <v>15</v>
      </c>
      <c r="G259" s="288" t="s">
        <v>15</v>
      </c>
      <c r="H259" s="288" t="s">
        <v>15</v>
      </c>
      <c r="I259" s="288" t="s">
        <v>15</v>
      </c>
      <c r="J259" s="288" t="s">
        <v>15</v>
      </c>
      <c r="K259" s="288" t="s">
        <v>15</v>
      </c>
      <c r="L259" s="288" t="s">
        <v>15</v>
      </c>
      <c r="M259" s="288" t="s">
        <v>15</v>
      </c>
      <c r="N259" s="288" t="s">
        <v>15</v>
      </c>
      <c r="O259" s="289">
        <f t="shared" si="12"/>
        <v>0</v>
      </c>
      <c r="Q259" s="15"/>
    </row>
    <row r="260" spans="1:17" s="290" customFormat="1" ht="13.5" customHeight="1" x14ac:dyDescent="0.2">
      <c r="A260" s="285" t="s">
        <v>274</v>
      </c>
      <c r="B260" s="286" t="s">
        <v>69</v>
      </c>
      <c r="C260" s="287" t="s">
        <v>15</v>
      </c>
      <c r="D260" s="288" t="s">
        <v>15</v>
      </c>
      <c r="E260" s="288" t="s">
        <v>15</v>
      </c>
      <c r="F260" s="288" t="s">
        <v>15</v>
      </c>
      <c r="G260" s="288" t="s">
        <v>15</v>
      </c>
      <c r="H260" s="288" t="s">
        <v>15</v>
      </c>
      <c r="I260" s="288" t="s">
        <v>15</v>
      </c>
      <c r="J260" s="288" t="s">
        <v>15</v>
      </c>
      <c r="K260" s="288" t="s">
        <v>15</v>
      </c>
      <c r="L260" s="288" t="s">
        <v>15</v>
      </c>
      <c r="M260" s="288" t="s">
        <v>15</v>
      </c>
      <c r="N260" s="288" t="s">
        <v>15</v>
      </c>
      <c r="O260" s="289">
        <f t="shared" si="12"/>
        <v>0</v>
      </c>
    </row>
    <row r="261" spans="1:17" s="290" customFormat="1" ht="13.5" customHeight="1" x14ac:dyDescent="0.2">
      <c r="A261" s="285" t="s">
        <v>275</v>
      </c>
      <c r="B261" s="286" t="s">
        <v>69</v>
      </c>
      <c r="C261" s="287" t="s">
        <v>15</v>
      </c>
      <c r="D261" s="288" t="s">
        <v>15</v>
      </c>
      <c r="E261" s="288" t="s">
        <v>15</v>
      </c>
      <c r="F261" s="288" t="s">
        <v>15</v>
      </c>
      <c r="G261" s="288" t="s">
        <v>15</v>
      </c>
      <c r="H261" s="288" t="s">
        <v>15</v>
      </c>
      <c r="I261" s="288" t="s">
        <v>15</v>
      </c>
      <c r="J261" s="288" t="s">
        <v>15</v>
      </c>
      <c r="K261" s="288" t="s">
        <v>15</v>
      </c>
      <c r="L261" s="288" t="s">
        <v>15</v>
      </c>
      <c r="M261" s="288" t="s">
        <v>15</v>
      </c>
      <c r="N261" s="288" t="s">
        <v>15</v>
      </c>
      <c r="O261" s="289">
        <f t="shared" si="12"/>
        <v>0</v>
      </c>
    </row>
    <row r="262" spans="1:17" s="290" customFormat="1" ht="13.5" customHeight="1" x14ac:dyDescent="0.2">
      <c r="A262" s="285" t="s">
        <v>276</v>
      </c>
      <c r="B262" s="286" t="s">
        <v>69</v>
      </c>
      <c r="C262" s="287" t="s">
        <v>15</v>
      </c>
      <c r="D262" s="288" t="s">
        <v>15</v>
      </c>
      <c r="E262" s="288" t="s">
        <v>15</v>
      </c>
      <c r="F262" s="288" t="s">
        <v>15</v>
      </c>
      <c r="G262" s="288" t="s">
        <v>15</v>
      </c>
      <c r="H262" s="288" t="s">
        <v>15</v>
      </c>
      <c r="I262" s="288" t="s">
        <v>15</v>
      </c>
      <c r="J262" s="288" t="s">
        <v>15</v>
      </c>
      <c r="K262" s="288" t="s">
        <v>15</v>
      </c>
      <c r="L262" s="288" t="s">
        <v>15</v>
      </c>
      <c r="M262" s="288" t="s">
        <v>15</v>
      </c>
      <c r="N262" s="288" t="s">
        <v>15</v>
      </c>
      <c r="O262" s="289">
        <f t="shared" si="12"/>
        <v>0</v>
      </c>
    </row>
    <row r="263" spans="1:17" s="290" customFormat="1" ht="13.5" customHeight="1" x14ac:dyDescent="0.2">
      <c r="A263" s="285" t="s">
        <v>277</v>
      </c>
      <c r="B263" s="286" t="s">
        <v>69</v>
      </c>
      <c r="C263" s="287" t="s">
        <v>15</v>
      </c>
      <c r="D263" s="288" t="s">
        <v>15</v>
      </c>
      <c r="E263" s="288" t="s">
        <v>15</v>
      </c>
      <c r="F263" s="288" t="s">
        <v>15</v>
      </c>
      <c r="G263" s="288" t="s">
        <v>15</v>
      </c>
      <c r="H263" s="288" t="s">
        <v>15</v>
      </c>
      <c r="I263" s="288" t="s">
        <v>15</v>
      </c>
      <c r="J263" s="288" t="s">
        <v>15</v>
      </c>
      <c r="K263" s="288" t="s">
        <v>15</v>
      </c>
      <c r="L263" s="288" t="s">
        <v>15</v>
      </c>
      <c r="M263" s="288" t="s">
        <v>15</v>
      </c>
      <c r="N263" s="288" t="s">
        <v>15</v>
      </c>
      <c r="O263" s="289">
        <f t="shared" si="12"/>
        <v>0</v>
      </c>
    </row>
    <row r="264" spans="1:17" s="290" customFormat="1" ht="13.5" customHeight="1" x14ac:dyDescent="0.2">
      <c r="A264" s="285" t="s">
        <v>278</v>
      </c>
      <c r="B264" s="286" t="s">
        <v>69</v>
      </c>
      <c r="C264" s="287" t="s">
        <v>15</v>
      </c>
      <c r="D264" s="288" t="s">
        <v>15</v>
      </c>
      <c r="E264" s="288" t="s">
        <v>15</v>
      </c>
      <c r="F264" s="288" t="s">
        <v>15</v>
      </c>
      <c r="G264" s="288" t="s">
        <v>15</v>
      </c>
      <c r="H264" s="288" t="s">
        <v>15</v>
      </c>
      <c r="I264" s="288" t="s">
        <v>15</v>
      </c>
      <c r="J264" s="288" t="s">
        <v>15</v>
      </c>
      <c r="K264" s="288" t="s">
        <v>15</v>
      </c>
      <c r="L264" s="288" t="s">
        <v>15</v>
      </c>
      <c r="M264" s="288" t="s">
        <v>15</v>
      </c>
      <c r="N264" s="288" t="s">
        <v>15</v>
      </c>
      <c r="O264" s="289">
        <f t="shared" si="12"/>
        <v>0</v>
      </c>
    </row>
    <row r="265" spans="1:17" s="290" customFormat="1" ht="13.5" customHeight="1" x14ac:dyDescent="0.2">
      <c r="A265" s="285" t="s">
        <v>279</v>
      </c>
      <c r="B265" s="286" t="s">
        <v>69</v>
      </c>
      <c r="C265" s="287" t="s">
        <v>15</v>
      </c>
      <c r="D265" s="288" t="s">
        <v>15</v>
      </c>
      <c r="E265" s="288" t="s">
        <v>15</v>
      </c>
      <c r="F265" s="288" t="s">
        <v>15</v>
      </c>
      <c r="G265" s="288" t="s">
        <v>15</v>
      </c>
      <c r="H265" s="288" t="s">
        <v>15</v>
      </c>
      <c r="I265" s="288" t="s">
        <v>15</v>
      </c>
      <c r="J265" s="288" t="s">
        <v>15</v>
      </c>
      <c r="K265" s="288" t="s">
        <v>15</v>
      </c>
      <c r="L265" s="288" t="s">
        <v>15</v>
      </c>
      <c r="M265" s="288" t="s">
        <v>15</v>
      </c>
      <c r="N265" s="288" t="s">
        <v>15</v>
      </c>
      <c r="O265" s="289">
        <f t="shared" si="12"/>
        <v>0</v>
      </c>
    </row>
    <row r="266" spans="1:17" s="290" customFormat="1" ht="13.5" customHeight="1" x14ac:dyDescent="0.2">
      <c r="A266" s="285" t="s">
        <v>280</v>
      </c>
      <c r="B266" s="286" t="s">
        <v>69</v>
      </c>
      <c r="C266" s="287" t="s">
        <v>15</v>
      </c>
      <c r="D266" s="288" t="s">
        <v>15</v>
      </c>
      <c r="E266" s="288" t="s">
        <v>15</v>
      </c>
      <c r="F266" s="288" t="s">
        <v>15</v>
      </c>
      <c r="G266" s="288" t="s">
        <v>15</v>
      </c>
      <c r="H266" s="288" t="s">
        <v>15</v>
      </c>
      <c r="I266" s="288" t="s">
        <v>15</v>
      </c>
      <c r="J266" s="288" t="s">
        <v>15</v>
      </c>
      <c r="K266" s="288" t="s">
        <v>15</v>
      </c>
      <c r="L266" s="288" t="s">
        <v>15</v>
      </c>
      <c r="M266" s="288" t="s">
        <v>15</v>
      </c>
      <c r="N266" s="288" t="s">
        <v>15</v>
      </c>
      <c r="O266" s="289">
        <f t="shared" si="12"/>
        <v>0</v>
      </c>
    </row>
    <row r="267" spans="1:17" s="290" customFormat="1" ht="13.5" customHeight="1" x14ac:dyDescent="0.2">
      <c r="A267" s="285" t="s">
        <v>281</v>
      </c>
      <c r="B267" s="286" t="s">
        <v>69</v>
      </c>
      <c r="C267" s="287" t="s">
        <v>15</v>
      </c>
      <c r="D267" s="288" t="s">
        <v>15</v>
      </c>
      <c r="E267" s="288" t="s">
        <v>15</v>
      </c>
      <c r="F267" s="288" t="s">
        <v>15</v>
      </c>
      <c r="G267" s="288" t="s">
        <v>15</v>
      </c>
      <c r="H267" s="288" t="s">
        <v>15</v>
      </c>
      <c r="I267" s="288" t="s">
        <v>15</v>
      </c>
      <c r="J267" s="288" t="s">
        <v>15</v>
      </c>
      <c r="K267" s="288" t="s">
        <v>15</v>
      </c>
      <c r="L267" s="288" t="s">
        <v>15</v>
      </c>
      <c r="M267" s="288" t="s">
        <v>15</v>
      </c>
      <c r="N267" s="288" t="s">
        <v>15</v>
      </c>
      <c r="O267" s="289">
        <f t="shared" si="12"/>
        <v>0</v>
      </c>
    </row>
    <row r="268" spans="1:17" s="290" customFormat="1" ht="13.5" customHeight="1" x14ac:dyDescent="0.2">
      <c r="A268" s="285" t="s">
        <v>282</v>
      </c>
      <c r="B268" s="286" t="s">
        <v>69</v>
      </c>
      <c r="C268" s="287" t="s">
        <v>15</v>
      </c>
      <c r="D268" s="288" t="s">
        <v>15</v>
      </c>
      <c r="E268" s="288" t="s">
        <v>15</v>
      </c>
      <c r="F268" s="288" t="s">
        <v>15</v>
      </c>
      <c r="G268" s="288" t="s">
        <v>15</v>
      </c>
      <c r="H268" s="288" t="s">
        <v>15</v>
      </c>
      <c r="I268" s="288" t="s">
        <v>15</v>
      </c>
      <c r="J268" s="288" t="s">
        <v>15</v>
      </c>
      <c r="K268" s="288" t="s">
        <v>15</v>
      </c>
      <c r="L268" s="288" t="s">
        <v>15</v>
      </c>
      <c r="M268" s="288" t="s">
        <v>15</v>
      </c>
      <c r="N268" s="288" t="s">
        <v>15</v>
      </c>
      <c r="O268" s="289">
        <f t="shared" si="12"/>
        <v>0</v>
      </c>
    </row>
    <row r="269" spans="1:17" s="290" customFormat="1" ht="13.5" customHeight="1" x14ac:dyDescent="0.2">
      <c r="A269" s="285" t="s">
        <v>283</v>
      </c>
      <c r="B269" s="286" t="s">
        <v>69</v>
      </c>
      <c r="C269" s="287" t="s">
        <v>15</v>
      </c>
      <c r="D269" s="288" t="s">
        <v>15</v>
      </c>
      <c r="E269" s="288" t="s">
        <v>15</v>
      </c>
      <c r="F269" s="288" t="s">
        <v>15</v>
      </c>
      <c r="G269" s="288" t="s">
        <v>15</v>
      </c>
      <c r="H269" s="288" t="s">
        <v>15</v>
      </c>
      <c r="I269" s="288" t="s">
        <v>15</v>
      </c>
      <c r="J269" s="288" t="s">
        <v>15</v>
      </c>
      <c r="K269" s="288" t="s">
        <v>15</v>
      </c>
      <c r="L269" s="288" t="s">
        <v>15</v>
      </c>
      <c r="M269" s="288" t="s">
        <v>15</v>
      </c>
      <c r="N269" s="288" t="s">
        <v>15</v>
      </c>
      <c r="O269" s="289">
        <f t="shared" si="12"/>
        <v>0</v>
      </c>
    </row>
    <row r="270" spans="1:17" s="290" customFormat="1" ht="13.5" customHeight="1" x14ac:dyDescent="0.2">
      <c r="A270" s="285" t="s">
        <v>284</v>
      </c>
      <c r="B270" s="286" t="s">
        <v>69</v>
      </c>
      <c r="C270" s="287" t="s">
        <v>15</v>
      </c>
      <c r="D270" s="288" t="s">
        <v>15</v>
      </c>
      <c r="E270" s="288" t="s">
        <v>15</v>
      </c>
      <c r="F270" s="288" t="s">
        <v>15</v>
      </c>
      <c r="G270" s="288" t="s">
        <v>15</v>
      </c>
      <c r="H270" s="288" t="s">
        <v>15</v>
      </c>
      <c r="I270" s="288" t="s">
        <v>15</v>
      </c>
      <c r="J270" s="288" t="s">
        <v>15</v>
      </c>
      <c r="K270" s="288" t="s">
        <v>15</v>
      </c>
      <c r="L270" s="288" t="s">
        <v>15</v>
      </c>
      <c r="M270" s="288" t="s">
        <v>15</v>
      </c>
      <c r="N270" s="288" t="s">
        <v>15</v>
      </c>
      <c r="O270" s="289">
        <f t="shared" si="12"/>
        <v>0</v>
      </c>
    </row>
    <row r="271" spans="1:17" s="290" customFormat="1" ht="13.5" customHeight="1" x14ac:dyDescent="0.2">
      <c r="A271" s="285" t="s">
        <v>285</v>
      </c>
      <c r="B271" s="286" t="s">
        <v>69</v>
      </c>
      <c r="C271" s="287" t="s">
        <v>15</v>
      </c>
      <c r="D271" s="288" t="s">
        <v>15</v>
      </c>
      <c r="E271" s="288" t="s">
        <v>15</v>
      </c>
      <c r="F271" s="288" t="s">
        <v>15</v>
      </c>
      <c r="G271" s="288" t="s">
        <v>15</v>
      </c>
      <c r="H271" s="288" t="s">
        <v>15</v>
      </c>
      <c r="I271" s="288" t="s">
        <v>15</v>
      </c>
      <c r="J271" s="288" t="s">
        <v>15</v>
      </c>
      <c r="K271" s="288" t="s">
        <v>15</v>
      </c>
      <c r="L271" s="288" t="s">
        <v>15</v>
      </c>
      <c r="M271" s="288" t="s">
        <v>15</v>
      </c>
      <c r="N271" s="288" t="s">
        <v>15</v>
      </c>
      <c r="O271" s="289">
        <f t="shared" si="12"/>
        <v>0</v>
      </c>
    </row>
    <row r="272" spans="1:17" s="290" customFormat="1" ht="13.5" customHeight="1" x14ac:dyDescent="0.2">
      <c r="A272" s="285" t="s">
        <v>286</v>
      </c>
      <c r="B272" s="286" t="s">
        <v>69</v>
      </c>
      <c r="C272" s="287" t="s">
        <v>15</v>
      </c>
      <c r="D272" s="288" t="s">
        <v>15</v>
      </c>
      <c r="E272" s="288" t="s">
        <v>15</v>
      </c>
      <c r="F272" s="288" t="s">
        <v>15</v>
      </c>
      <c r="G272" s="288" t="s">
        <v>15</v>
      </c>
      <c r="H272" s="288" t="s">
        <v>15</v>
      </c>
      <c r="I272" s="288" t="s">
        <v>15</v>
      </c>
      <c r="J272" s="288" t="s">
        <v>15</v>
      </c>
      <c r="K272" s="288" t="s">
        <v>15</v>
      </c>
      <c r="L272" s="288" t="s">
        <v>15</v>
      </c>
      <c r="M272" s="288" t="s">
        <v>15</v>
      </c>
      <c r="N272" s="288" t="s">
        <v>15</v>
      </c>
      <c r="O272" s="289">
        <f t="shared" si="12"/>
        <v>0</v>
      </c>
    </row>
    <row r="273" spans="1:16" s="290" customFormat="1" ht="13.5" customHeight="1" x14ac:dyDescent="0.2">
      <c r="A273" s="285" t="s">
        <v>298</v>
      </c>
      <c r="B273" s="286" t="s">
        <v>69</v>
      </c>
      <c r="C273" s="287" t="s">
        <v>15</v>
      </c>
      <c r="D273" s="288" t="s">
        <v>15</v>
      </c>
      <c r="E273" s="288" t="s">
        <v>15</v>
      </c>
      <c r="F273" s="288" t="s">
        <v>15</v>
      </c>
      <c r="G273" s="288" t="s">
        <v>15</v>
      </c>
      <c r="H273" s="288" t="s">
        <v>15</v>
      </c>
      <c r="I273" s="288" t="s">
        <v>15</v>
      </c>
      <c r="J273" s="288" t="s">
        <v>15</v>
      </c>
      <c r="K273" s="288" t="s">
        <v>15</v>
      </c>
      <c r="L273" s="288" t="s">
        <v>15</v>
      </c>
      <c r="M273" s="288" t="s">
        <v>15</v>
      </c>
      <c r="N273" s="288" t="s">
        <v>15</v>
      </c>
      <c r="O273" s="289">
        <f t="shared" si="12"/>
        <v>0</v>
      </c>
    </row>
    <row r="274" spans="1:16" s="290" customFormat="1" ht="13.5" customHeight="1" x14ac:dyDescent="0.2">
      <c r="A274" s="285" t="s">
        <v>287</v>
      </c>
      <c r="B274" s="286" t="s">
        <v>69</v>
      </c>
      <c r="C274" s="287" t="s">
        <v>15</v>
      </c>
      <c r="D274" s="288" t="s">
        <v>15</v>
      </c>
      <c r="E274" s="288" t="s">
        <v>15</v>
      </c>
      <c r="F274" s="288" t="s">
        <v>15</v>
      </c>
      <c r="G274" s="288" t="s">
        <v>15</v>
      </c>
      <c r="H274" s="288" t="s">
        <v>15</v>
      </c>
      <c r="I274" s="288" t="s">
        <v>15</v>
      </c>
      <c r="J274" s="288" t="s">
        <v>15</v>
      </c>
      <c r="K274" s="288" t="s">
        <v>15</v>
      </c>
      <c r="L274" s="288" t="s">
        <v>15</v>
      </c>
      <c r="M274" s="288" t="s">
        <v>15</v>
      </c>
      <c r="N274" s="288" t="s">
        <v>15</v>
      </c>
      <c r="O274" s="289">
        <f t="shared" si="12"/>
        <v>0</v>
      </c>
    </row>
    <row r="275" spans="1:16" s="290" customFormat="1" ht="13.5" customHeight="1" x14ac:dyDescent="0.2">
      <c r="A275" s="285" t="s">
        <v>288</v>
      </c>
      <c r="B275" s="286" t="s">
        <v>69</v>
      </c>
      <c r="C275" s="287" t="s">
        <v>15</v>
      </c>
      <c r="D275" s="288" t="s">
        <v>15</v>
      </c>
      <c r="E275" s="288" t="s">
        <v>15</v>
      </c>
      <c r="F275" s="288" t="s">
        <v>15</v>
      </c>
      <c r="G275" s="288" t="s">
        <v>15</v>
      </c>
      <c r="H275" s="288" t="s">
        <v>15</v>
      </c>
      <c r="I275" s="288" t="s">
        <v>15</v>
      </c>
      <c r="J275" s="288" t="s">
        <v>15</v>
      </c>
      <c r="K275" s="288" t="s">
        <v>15</v>
      </c>
      <c r="L275" s="288" t="s">
        <v>15</v>
      </c>
      <c r="M275" s="288" t="s">
        <v>15</v>
      </c>
      <c r="N275" s="288" t="s">
        <v>15</v>
      </c>
      <c r="O275" s="289">
        <f t="shared" si="12"/>
        <v>0</v>
      </c>
    </row>
    <row r="276" spans="1:16" s="290" customFormat="1" ht="13.5" customHeight="1" x14ac:dyDescent="0.2">
      <c r="A276" s="285" t="s">
        <v>289</v>
      </c>
      <c r="B276" s="286" t="s">
        <v>69</v>
      </c>
      <c r="C276" s="287" t="s">
        <v>15</v>
      </c>
      <c r="D276" s="288" t="s">
        <v>15</v>
      </c>
      <c r="E276" s="288" t="s">
        <v>15</v>
      </c>
      <c r="F276" s="288" t="s">
        <v>15</v>
      </c>
      <c r="G276" s="288" t="s">
        <v>15</v>
      </c>
      <c r="H276" s="288" t="s">
        <v>15</v>
      </c>
      <c r="I276" s="288" t="s">
        <v>15</v>
      </c>
      <c r="J276" s="288" t="s">
        <v>15</v>
      </c>
      <c r="K276" s="288" t="s">
        <v>15</v>
      </c>
      <c r="L276" s="288" t="s">
        <v>15</v>
      </c>
      <c r="M276" s="288" t="s">
        <v>15</v>
      </c>
      <c r="N276" s="288" t="s">
        <v>15</v>
      </c>
      <c r="O276" s="289">
        <f t="shared" si="12"/>
        <v>0</v>
      </c>
    </row>
    <row r="277" spans="1:16" s="1" customFormat="1" ht="13.5" customHeight="1" x14ac:dyDescent="0.2">
      <c r="A277" s="9" t="s">
        <v>203</v>
      </c>
      <c r="B277" s="9" t="s">
        <v>192</v>
      </c>
      <c r="C277" s="35" t="s">
        <v>15</v>
      </c>
      <c r="D277" s="35" t="s">
        <v>15</v>
      </c>
      <c r="E277" s="35" t="s">
        <v>15</v>
      </c>
      <c r="F277" s="35" t="s">
        <v>15</v>
      </c>
      <c r="G277" s="35" t="s">
        <v>15</v>
      </c>
      <c r="H277" s="35" t="s">
        <v>15</v>
      </c>
      <c r="I277" s="35" t="s">
        <v>15</v>
      </c>
      <c r="J277" s="35" t="s">
        <v>15</v>
      </c>
      <c r="K277" s="35" t="s">
        <v>15</v>
      </c>
      <c r="L277" s="35" t="s">
        <v>15</v>
      </c>
      <c r="M277" s="35" t="s">
        <v>15</v>
      </c>
      <c r="N277" s="35" t="s">
        <v>15</v>
      </c>
      <c r="O277" s="8">
        <f t="shared" si="12"/>
        <v>0</v>
      </c>
    </row>
    <row r="278" spans="1:16" ht="13.5" customHeight="1" x14ac:dyDescent="0.2">
      <c r="A278" s="12" t="s">
        <v>203</v>
      </c>
      <c r="B278" s="10" t="s">
        <v>194</v>
      </c>
      <c r="C278" s="30" t="s">
        <v>15</v>
      </c>
      <c r="D278" s="6" t="s">
        <v>15</v>
      </c>
      <c r="E278" s="6" t="s">
        <v>15</v>
      </c>
      <c r="F278" s="6" t="s">
        <v>15</v>
      </c>
      <c r="G278" s="6" t="s">
        <v>15</v>
      </c>
      <c r="H278" s="6" t="s">
        <v>15</v>
      </c>
      <c r="I278" s="6" t="s">
        <v>15</v>
      </c>
      <c r="J278" s="6" t="s">
        <v>15</v>
      </c>
      <c r="K278" s="6" t="s">
        <v>15</v>
      </c>
      <c r="L278" s="6" t="s">
        <v>15</v>
      </c>
      <c r="M278" s="6" t="s">
        <v>15</v>
      </c>
      <c r="N278" s="6" t="s">
        <v>15</v>
      </c>
      <c r="O278" s="6" t="s">
        <v>15</v>
      </c>
    </row>
    <row r="279" spans="1:16" ht="13.5" customHeight="1" x14ac:dyDescent="0.2">
      <c r="A279" s="12" t="s">
        <v>300</v>
      </c>
      <c r="B279" s="10" t="s">
        <v>194</v>
      </c>
      <c r="C279" s="30">
        <v>9328.3580000000002</v>
      </c>
      <c r="D279" s="6">
        <v>9328.3580000000002</v>
      </c>
      <c r="E279" s="6">
        <v>9328.3580000000002</v>
      </c>
      <c r="F279" s="6">
        <v>9328.3580000000002</v>
      </c>
      <c r="G279" s="6">
        <v>9328.3580000000002</v>
      </c>
      <c r="H279" s="6">
        <v>9328.3580000000002</v>
      </c>
      <c r="I279" s="6">
        <v>9328.3580000000002</v>
      </c>
      <c r="J279" s="6">
        <v>9328.3580000000002</v>
      </c>
      <c r="K279" s="6">
        <v>9328.3580000000002</v>
      </c>
      <c r="L279" s="6">
        <v>9328.3580000000002</v>
      </c>
      <c r="M279" s="6">
        <v>9328.3580000000002</v>
      </c>
      <c r="N279" s="6">
        <v>9328.3580000000002</v>
      </c>
      <c r="O279" s="6">
        <v>111940.296</v>
      </c>
    </row>
    <row r="280" spans="1:16" ht="13.5" customHeight="1" x14ac:dyDescent="0.2">
      <c r="A280" s="12" t="s">
        <v>203</v>
      </c>
      <c r="B280" s="10" t="s">
        <v>189</v>
      </c>
      <c r="C280" s="30" t="s">
        <v>15</v>
      </c>
      <c r="D280" s="6" t="s">
        <v>15</v>
      </c>
      <c r="E280" s="6" t="s">
        <v>15</v>
      </c>
      <c r="F280" s="6" t="s">
        <v>15</v>
      </c>
      <c r="G280" s="6" t="s">
        <v>15</v>
      </c>
      <c r="H280" s="6" t="s">
        <v>15</v>
      </c>
      <c r="I280" s="6" t="s">
        <v>15</v>
      </c>
      <c r="J280" s="6" t="s">
        <v>15</v>
      </c>
      <c r="K280" s="6" t="s">
        <v>15</v>
      </c>
      <c r="L280" s="6" t="s">
        <v>15</v>
      </c>
      <c r="M280" s="6" t="s">
        <v>15</v>
      </c>
      <c r="N280" s="6" t="s">
        <v>15</v>
      </c>
      <c r="O280" s="6" t="s">
        <v>15</v>
      </c>
    </row>
    <row r="281" spans="1:16" s="1" customFormat="1" ht="13.5" customHeight="1" x14ac:dyDescent="0.2">
      <c r="A281" s="9" t="s">
        <v>203</v>
      </c>
      <c r="B281" s="9" t="s">
        <v>252</v>
      </c>
      <c r="C281" s="35">
        <v>229621.26351320001</v>
      </c>
      <c r="D281" s="8">
        <v>287026.11297359999</v>
      </c>
      <c r="E281" s="8">
        <v>229621.26351320001</v>
      </c>
      <c r="F281" s="8">
        <v>229621.26351320001</v>
      </c>
      <c r="G281" s="8">
        <v>287026.11297359999</v>
      </c>
      <c r="H281" s="8">
        <v>229621.26351320001</v>
      </c>
      <c r="I281" s="8">
        <v>229621.26351320001</v>
      </c>
      <c r="J281" s="8">
        <v>287026.11297359999</v>
      </c>
      <c r="K281" s="8">
        <v>229621.26351320001</v>
      </c>
      <c r="L281" s="8">
        <v>229621.26351320001</v>
      </c>
      <c r="M281" s="8">
        <v>287026.11297359999</v>
      </c>
      <c r="N281" s="8">
        <v>229621.26351320001</v>
      </c>
      <c r="O281" s="8">
        <v>2985074.56</v>
      </c>
      <c r="P281" s="281"/>
    </row>
    <row r="282" spans="1:16" ht="13.5" customHeight="1" x14ac:dyDescent="0.2">
      <c r="A282" s="12" t="s">
        <v>203</v>
      </c>
      <c r="B282" s="10" t="s">
        <v>190</v>
      </c>
      <c r="C282" s="30" t="s">
        <v>15</v>
      </c>
      <c r="D282" s="6" t="s">
        <v>15</v>
      </c>
      <c r="E282" s="6" t="s">
        <v>15</v>
      </c>
      <c r="F282" s="6" t="s">
        <v>15</v>
      </c>
      <c r="G282" s="6" t="s">
        <v>15</v>
      </c>
      <c r="H282" s="6" t="s">
        <v>15</v>
      </c>
      <c r="I282" s="6" t="s">
        <v>15</v>
      </c>
      <c r="J282" s="6" t="s">
        <v>15</v>
      </c>
      <c r="K282" s="6" t="s">
        <v>15</v>
      </c>
      <c r="L282" s="6" t="s">
        <v>15</v>
      </c>
      <c r="M282" s="6" t="s">
        <v>15</v>
      </c>
      <c r="N282" s="6" t="s">
        <v>15</v>
      </c>
      <c r="O282" s="6" t="s">
        <v>15</v>
      </c>
    </row>
    <row r="283" spans="1:16" ht="13.5" customHeight="1" x14ac:dyDescent="0.2">
      <c r="A283" s="12" t="s">
        <v>300</v>
      </c>
      <c r="B283" s="10" t="s">
        <v>190</v>
      </c>
      <c r="C283" s="30">
        <v>21571.827874999999</v>
      </c>
      <c r="D283" s="6">
        <v>26964.551634799998</v>
      </c>
      <c r="E283" s="6">
        <v>21571.827874999999</v>
      </c>
      <c r="F283" s="6">
        <v>21571.827874999999</v>
      </c>
      <c r="G283" s="6">
        <v>26963.618799</v>
      </c>
      <c r="H283" s="6">
        <v>21571.827874999999</v>
      </c>
      <c r="I283" s="6">
        <v>21571.827874999999</v>
      </c>
      <c r="J283" s="6">
        <v>26964.551634799998</v>
      </c>
      <c r="K283" s="6">
        <v>21571.827874999999</v>
      </c>
      <c r="L283" s="6">
        <v>21571.827874999999</v>
      </c>
      <c r="M283" s="6">
        <v>26964.551634799998</v>
      </c>
      <c r="N283" s="6">
        <v>21571.827874999999</v>
      </c>
      <c r="O283" s="6">
        <v>280431.89670340001</v>
      </c>
    </row>
    <row r="284" spans="1:16" ht="13.5" customHeight="1" x14ac:dyDescent="0.2">
      <c r="A284" s="12" t="s">
        <v>203</v>
      </c>
      <c r="B284" s="10" t="s">
        <v>191</v>
      </c>
      <c r="C284" s="30">
        <v>229621.26351320001</v>
      </c>
      <c r="D284" s="6">
        <v>287026.11297359999</v>
      </c>
      <c r="E284" s="6">
        <v>229621.26351320001</v>
      </c>
      <c r="F284" s="6">
        <v>229621.26351320001</v>
      </c>
      <c r="G284" s="6">
        <v>287026.11297359999</v>
      </c>
      <c r="H284" s="6">
        <v>229621.26351320001</v>
      </c>
      <c r="I284" s="6">
        <v>229621.26351320001</v>
      </c>
      <c r="J284" s="6">
        <v>287026.11297359999</v>
      </c>
      <c r="K284" s="6">
        <v>229621.26351320001</v>
      </c>
      <c r="L284" s="6">
        <v>229621.26351320001</v>
      </c>
      <c r="M284" s="6">
        <v>287026.11297359999</v>
      </c>
      <c r="N284" s="6">
        <v>229621.26351320001</v>
      </c>
      <c r="O284" s="6">
        <v>2985074.56</v>
      </c>
    </row>
    <row r="285" spans="1:16" ht="12.75" customHeight="1" x14ac:dyDescent="0.2">
      <c r="A285" s="12" t="s">
        <v>203</v>
      </c>
      <c r="B285" s="10" t="s">
        <v>351</v>
      </c>
      <c r="C285" s="30" t="s">
        <v>15</v>
      </c>
      <c r="D285" s="6" t="s">
        <v>15</v>
      </c>
      <c r="E285" s="6" t="s">
        <v>15</v>
      </c>
      <c r="F285" s="328" t="s">
        <v>15</v>
      </c>
      <c r="G285" s="6" t="s">
        <v>15</v>
      </c>
      <c r="H285" s="6" t="s">
        <v>15</v>
      </c>
      <c r="I285" s="6" t="s">
        <v>15</v>
      </c>
      <c r="J285" s="6" t="s">
        <v>15</v>
      </c>
      <c r="K285" s="6" t="s">
        <v>15</v>
      </c>
      <c r="L285" s="6" t="s">
        <v>15</v>
      </c>
      <c r="M285" s="6" t="s">
        <v>15</v>
      </c>
      <c r="N285" s="6" t="s">
        <v>15</v>
      </c>
      <c r="O285" s="30">
        <f>SUM(C285:N285)</f>
        <v>0</v>
      </c>
    </row>
    <row r="286" spans="1:16" ht="13.5" customHeight="1" x14ac:dyDescent="0.2">
      <c r="A286" s="12" t="s">
        <v>203</v>
      </c>
      <c r="B286" s="10" t="s">
        <v>193</v>
      </c>
      <c r="C286" s="30" t="s">
        <v>15</v>
      </c>
      <c r="D286" s="6" t="s">
        <v>15</v>
      </c>
      <c r="E286" s="6" t="s">
        <v>15</v>
      </c>
      <c r="F286" s="6" t="s">
        <v>15</v>
      </c>
      <c r="G286" s="6" t="s">
        <v>15</v>
      </c>
      <c r="H286" s="6" t="s">
        <v>15</v>
      </c>
      <c r="I286" s="6" t="s">
        <v>15</v>
      </c>
      <c r="J286" s="6" t="s">
        <v>15</v>
      </c>
      <c r="K286" s="6" t="s">
        <v>15</v>
      </c>
      <c r="L286" s="6" t="s">
        <v>15</v>
      </c>
      <c r="M286" s="6" t="s">
        <v>15</v>
      </c>
      <c r="N286" s="6" t="s">
        <v>15</v>
      </c>
      <c r="O286" s="6" t="s">
        <v>15</v>
      </c>
    </row>
    <row r="287" spans="1:16" ht="12.75" customHeight="1" x14ac:dyDescent="0.2">
      <c r="A287" s="168" t="s">
        <v>372</v>
      </c>
      <c r="B287" s="10" t="s">
        <v>252</v>
      </c>
      <c r="C287" s="30" t="s">
        <v>15</v>
      </c>
      <c r="D287" s="6" t="s">
        <v>15</v>
      </c>
      <c r="E287" s="6" t="s">
        <v>15</v>
      </c>
      <c r="F287" s="6" t="s">
        <v>15</v>
      </c>
      <c r="G287" s="30" t="s">
        <v>15</v>
      </c>
      <c r="H287" s="6" t="s">
        <v>15</v>
      </c>
      <c r="I287" s="6" t="s">
        <v>15</v>
      </c>
      <c r="J287" s="6" t="s">
        <v>15</v>
      </c>
      <c r="K287" s="6" t="s">
        <v>15</v>
      </c>
      <c r="L287" s="6" t="s">
        <v>15</v>
      </c>
      <c r="M287" s="6" t="s">
        <v>15</v>
      </c>
      <c r="N287" s="6" t="s">
        <v>15</v>
      </c>
      <c r="O287" s="35">
        <f>SUM(C287:N287)</f>
        <v>0</v>
      </c>
    </row>
    <row r="288" spans="1:16" ht="12.75" customHeight="1" x14ac:dyDescent="0.2">
      <c r="A288" s="12" t="s">
        <v>322</v>
      </c>
      <c r="B288" s="10" t="s">
        <v>69</v>
      </c>
      <c r="C288" s="6" t="s">
        <v>15</v>
      </c>
      <c r="D288" s="6" t="s">
        <v>15</v>
      </c>
      <c r="E288" s="6" t="s">
        <v>15</v>
      </c>
      <c r="F288" s="6" t="s">
        <v>15</v>
      </c>
      <c r="G288" s="6" t="s">
        <v>15</v>
      </c>
      <c r="H288" s="6" t="s">
        <v>15</v>
      </c>
      <c r="I288" s="6" t="s">
        <v>15</v>
      </c>
      <c r="J288" s="6" t="s">
        <v>15</v>
      </c>
      <c r="K288" s="6" t="s">
        <v>15</v>
      </c>
      <c r="L288" s="6" t="s">
        <v>15</v>
      </c>
      <c r="M288" s="6" t="s">
        <v>15</v>
      </c>
      <c r="N288" s="6" t="s">
        <v>15</v>
      </c>
      <c r="O288" s="35">
        <f>SUM(C288:N288)</f>
        <v>0</v>
      </c>
    </row>
    <row r="289" spans="1:17" s="1" customFormat="1" ht="13.5" customHeight="1" x14ac:dyDescent="0.2">
      <c r="A289" s="9" t="s">
        <v>373</v>
      </c>
      <c r="B289" s="9" t="s">
        <v>69</v>
      </c>
      <c r="C289" s="8" t="s">
        <v>15</v>
      </c>
      <c r="D289" s="8" t="s">
        <v>15</v>
      </c>
      <c r="E289" s="8" t="s">
        <v>15</v>
      </c>
      <c r="F289" s="8" t="s">
        <v>15</v>
      </c>
      <c r="G289" s="8" t="s">
        <v>15</v>
      </c>
      <c r="H289" s="8" t="s">
        <v>15</v>
      </c>
      <c r="I289" s="8" t="s">
        <v>15</v>
      </c>
      <c r="J289" s="8" t="s">
        <v>15</v>
      </c>
      <c r="K289" s="8" t="s">
        <v>15</v>
      </c>
      <c r="L289" s="8" t="s">
        <v>15</v>
      </c>
      <c r="M289" s="8" t="s">
        <v>15</v>
      </c>
      <c r="N289" s="8" t="s">
        <v>15</v>
      </c>
      <c r="O289" s="8" t="s">
        <v>15</v>
      </c>
      <c r="Q289" s="281"/>
    </row>
    <row r="290" spans="1:17" s="1" customFormat="1" ht="13.5" customHeight="1" x14ac:dyDescent="0.2">
      <c r="A290" s="9" t="s">
        <v>377</v>
      </c>
      <c r="B290" s="9" t="s">
        <v>69</v>
      </c>
      <c r="C290" s="8" t="s">
        <v>15</v>
      </c>
      <c r="D290" s="8" t="s">
        <v>15</v>
      </c>
      <c r="E290" s="8" t="s">
        <v>15</v>
      </c>
      <c r="F290" s="8" t="s">
        <v>15</v>
      </c>
      <c r="G290" s="8" t="s">
        <v>15</v>
      </c>
      <c r="H290" s="8" t="s">
        <v>15</v>
      </c>
      <c r="I290" s="8" t="s">
        <v>15</v>
      </c>
      <c r="J290" s="8" t="s">
        <v>15</v>
      </c>
      <c r="K290" s="8" t="s">
        <v>15</v>
      </c>
      <c r="L290" s="8" t="s">
        <v>15</v>
      </c>
      <c r="M290" s="8" t="s">
        <v>15</v>
      </c>
      <c r="N290" s="8" t="s">
        <v>15</v>
      </c>
      <c r="O290" s="8" t="s">
        <v>15</v>
      </c>
      <c r="Q290" s="281"/>
    </row>
    <row r="291" spans="1:17" s="1" customFormat="1" ht="13.5" customHeight="1" x14ac:dyDescent="0.2">
      <c r="A291" s="356" t="s">
        <v>398</v>
      </c>
      <c r="B291" s="9" t="s">
        <v>69</v>
      </c>
      <c r="C291" s="8" t="s">
        <v>15</v>
      </c>
      <c r="D291" s="8" t="s">
        <v>15</v>
      </c>
      <c r="E291" s="8" t="s">
        <v>15</v>
      </c>
      <c r="F291" s="8" t="s">
        <v>15</v>
      </c>
      <c r="G291" s="8" t="s">
        <v>15</v>
      </c>
      <c r="H291" s="8" t="s">
        <v>15</v>
      </c>
      <c r="I291" s="8" t="s">
        <v>15</v>
      </c>
      <c r="J291" s="8" t="s">
        <v>15</v>
      </c>
      <c r="K291" s="8" t="s">
        <v>15</v>
      </c>
      <c r="L291" s="8" t="s">
        <v>15</v>
      </c>
      <c r="M291" s="8" t="s">
        <v>15</v>
      </c>
      <c r="N291" s="8" t="s">
        <v>15</v>
      </c>
      <c r="O291" s="8" t="s">
        <v>15</v>
      </c>
      <c r="Q291" s="281"/>
    </row>
    <row r="292" spans="1:17" s="1" customFormat="1" ht="13.5" customHeight="1" x14ac:dyDescent="0.2">
      <c r="A292" s="9" t="s">
        <v>128</v>
      </c>
      <c r="B292" s="9" t="s">
        <v>69</v>
      </c>
      <c r="C292" s="8" t="s">
        <v>15</v>
      </c>
      <c r="D292" s="8" t="s">
        <v>15</v>
      </c>
      <c r="E292" s="8" t="s">
        <v>15</v>
      </c>
      <c r="F292" s="8" t="s">
        <v>15</v>
      </c>
      <c r="G292" s="8" t="s">
        <v>15</v>
      </c>
      <c r="H292" s="8" t="s">
        <v>15</v>
      </c>
      <c r="I292" s="8" t="s">
        <v>15</v>
      </c>
      <c r="J292" s="8" t="s">
        <v>15</v>
      </c>
      <c r="K292" s="8" t="s">
        <v>15</v>
      </c>
      <c r="L292" s="8" t="s">
        <v>15</v>
      </c>
      <c r="M292" s="8" t="s">
        <v>15</v>
      </c>
      <c r="N292" s="8" t="s">
        <v>15</v>
      </c>
      <c r="O292" s="8" t="s">
        <v>15</v>
      </c>
      <c r="Q292" s="281"/>
    </row>
    <row r="293" spans="1:17" ht="13.5" customHeight="1" x14ac:dyDescent="0.2">
      <c r="A293" s="12" t="s">
        <v>116</v>
      </c>
      <c r="B293" s="12" t="s">
        <v>251</v>
      </c>
      <c r="C293" s="6">
        <v>1500000</v>
      </c>
      <c r="D293" s="6">
        <v>1875000</v>
      </c>
      <c r="E293" s="6">
        <v>1500000</v>
      </c>
      <c r="F293" s="6">
        <v>1500000</v>
      </c>
      <c r="G293" s="6">
        <v>1875000</v>
      </c>
      <c r="H293" s="6">
        <v>1500000</v>
      </c>
      <c r="I293" s="6">
        <v>1500000</v>
      </c>
      <c r="J293" s="6">
        <v>1875000</v>
      </c>
      <c r="K293" s="6">
        <v>1500000</v>
      </c>
      <c r="L293" s="6">
        <v>1500000</v>
      </c>
      <c r="M293" s="6">
        <v>1875000</v>
      </c>
      <c r="N293" s="6">
        <v>1500000</v>
      </c>
      <c r="O293" s="6">
        <v>19500000</v>
      </c>
    </row>
    <row r="294" spans="1:17" ht="12.75" customHeight="1" x14ac:dyDescent="0.25">
      <c r="A294" s="224" t="s">
        <v>327</v>
      </c>
      <c r="B294" s="10" t="s">
        <v>69</v>
      </c>
      <c r="C294" s="30" t="s">
        <v>15</v>
      </c>
      <c r="D294" s="6" t="s">
        <v>15</v>
      </c>
      <c r="E294" s="6" t="s">
        <v>15</v>
      </c>
      <c r="F294" s="6" t="s">
        <v>15</v>
      </c>
      <c r="G294" s="6" t="s">
        <v>15</v>
      </c>
      <c r="H294" s="6" t="s">
        <v>15</v>
      </c>
      <c r="I294" s="6" t="s">
        <v>15</v>
      </c>
      <c r="J294" s="6" t="s">
        <v>15</v>
      </c>
      <c r="K294" s="6" t="s">
        <v>15</v>
      </c>
      <c r="L294" s="6" t="s">
        <v>15</v>
      </c>
      <c r="M294" s="6" t="s">
        <v>15</v>
      </c>
      <c r="N294" s="6" t="s">
        <v>15</v>
      </c>
      <c r="O294" s="35">
        <f>SUM(C294:N294)</f>
        <v>0</v>
      </c>
    </row>
    <row r="295" spans="1:17" ht="12.75" customHeight="1" x14ac:dyDescent="0.25">
      <c r="A295" s="224" t="s">
        <v>328</v>
      </c>
      <c r="B295" s="10" t="s">
        <v>69</v>
      </c>
      <c r="C295" s="30" t="s">
        <v>15</v>
      </c>
      <c r="D295" s="6" t="s">
        <v>15</v>
      </c>
      <c r="E295" s="6" t="s">
        <v>15</v>
      </c>
      <c r="F295" s="6" t="s">
        <v>15</v>
      </c>
      <c r="G295" s="6" t="s">
        <v>15</v>
      </c>
      <c r="H295" s="6" t="s">
        <v>15</v>
      </c>
      <c r="I295" s="6" t="s">
        <v>15</v>
      </c>
      <c r="J295" s="6" t="s">
        <v>15</v>
      </c>
      <c r="K295" s="6" t="s">
        <v>15</v>
      </c>
      <c r="L295" s="6" t="s">
        <v>15</v>
      </c>
      <c r="M295" s="6" t="s">
        <v>15</v>
      </c>
      <c r="N295" s="6" t="s">
        <v>15</v>
      </c>
      <c r="O295" s="35">
        <f>SUM(C295:N295)</f>
        <v>0</v>
      </c>
    </row>
    <row r="296" spans="1:17" ht="12.75" customHeight="1" x14ac:dyDescent="0.25">
      <c r="A296" s="224" t="s">
        <v>329</v>
      </c>
      <c r="B296" s="10" t="s">
        <v>69</v>
      </c>
      <c r="C296" s="30" t="s">
        <v>15</v>
      </c>
      <c r="D296" s="6" t="s">
        <v>15</v>
      </c>
      <c r="E296" s="6" t="s">
        <v>15</v>
      </c>
      <c r="F296" s="6" t="s">
        <v>15</v>
      </c>
      <c r="G296" s="6" t="s">
        <v>15</v>
      </c>
      <c r="H296" s="6" t="s">
        <v>15</v>
      </c>
      <c r="I296" s="6" t="s">
        <v>15</v>
      </c>
      <c r="J296" s="6" t="s">
        <v>15</v>
      </c>
      <c r="K296" s="6" t="s">
        <v>15</v>
      </c>
      <c r="L296" s="6" t="s">
        <v>15</v>
      </c>
      <c r="M296" s="6" t="s">
        <v>15</v>
      </c>
      <c r="N296" s="6" t="s">
        <v>15</v>
      </c>
      <c r="O296" s="35">
        <f>SUM(C296:N296)</f>
        <v>0</v>
      </c>
    </row>
    <row r="297" spans="1:17" ht="12.75" customHeight="1" x14ac:dyDescent="0.25">
      <c r="A297" s="224" t="s">
        <v>330</v>
      </c>
      <c r="B297" s="10" t="s">
        <v>69</v>
      </c>
      <c r="C297" s="30" t="s">
        <v>15</v>
      </c>
      <c r="D297" s="6" t="s">
        <v>15</v>
      </c>
      <c r="E297" s="6" t="s">
        <v>15</v>
      </c>
      <c r="F297" s="6" t="s">
        <v>15</v>
      </c>
      <c r="G297" s="6" t="s">
        <v>15</v>
      </c>
      <c r="H297" s="6" t="s">
        <v>15</v>
      </c>
      <c r="I297" s="6" t="s">
        <v>15</v>
      </c>
      <c r="J297" s="6" t="s">
        <v>15</v>
      </c>
      <c r="K297" s="6" t="s">
        <v>15</v>
      </c>
      <c r="L297" s="6" t="s">
        <v>15</v>
      </c>
      <c r="M297" s="6" t="s">
        <v>15</v>
      </c>
      <c r="N297" s="6" t="s">
        <v>15</v>
      </c>
      <c r="O297" s="35">
        <f>SUM(C297:N297)</f>
        <v>0</v>
      </c>
    </row>
    <row r="298" spans="1:17" ht="12.75" customHeight="1" x14ac:dyDescent="0.25">
      <c r="A298" s="224" t="s">
        <v>343</v>
      </c>
      <c r="B298" s="10" t="s">
        <v>69</v>
      </c>
      <c r="C298" s="30" t="s">
        <v>15</v>
      </c>
      <c r="D298" s="6" t="s">
        <v>15</v>
      </c>
      <c r="E298" s="6" t="s">
        <v>15</v>
      </c>
      <c r="F298" s="6" t="s">
        <v>15</v>
      </c>
      <c r="G298" s="6" t="s">
        <v>15</v>
      </c>
      <c r="H298" s="6" t="s">
        <v>15</v>
      </c>
      <c r="I298" s="6" t="s">
        <v>15</v>
      </c>
      <c r="J298" s="6" t="s">
        <v>15</v>
      </c>
      <c r="K298" s="6" t="s">
        <v>15</v>
      </c>
      <c r="L298" s="6" t="s">
        <v>15</v>
      </c>
      <c r="M298" s="6" t="s">
        <v>15</v>
      </c>
      <c r="N298" s="6" t="s">
        <v>15</v>
      </c>
      <c r="O298" s="35">
        <f>SUM(C298:N298)</f>
        <v>0</v>
      </c>
    </row>
    <row r="299" spans="1:17" ht="12.75" customHeight="1" x14ac:dyDescent="0.2">
      <c r="A299" s="260" t="s">
        <v>413</v>
      </c>
      <c r="B299" s="10" t="s">
        <v>69</v>
      </c>
      <c r="C299" s="333" t="s">
        <v>15</v>
      </c>
      <c r="D299" s="11" t="s">
        <v>15</v>
      </c>
      <c r="E299" s="11" t="s">
        <v>15</v>
      </c>
      <c r="F299" s="11" t="s">
        <v>15</v>
      </c>
      <c r="G299" s="11" t="s">
        <v>15</v>
      </c>
      <c r="H299" s="11" t="s">
        <v>15</v>
      </c>
      <c r="I299" s="11" t="s">
        <v>15</v>
      </c>
      <c r="J299" s="11" t="s">
        <v>15</v>
      </c>
      <c r="K299" s="11" t="s">
        <v>15</v>
      </c>
      <c r="L299" s="11" t="s">
        <v>15</v>
      </c>
      <c r="M299" s="11" t="s">
        <v>15</v>
      </c>
      <c r="N299" s="11" t="s">
        <v>15</v>
      </c>
      <c r="O299" s="337" t="s">
        <v>15</v>
      </c>
      <c r="Q299" s="260" t="s">
        <v>428</v>
      </c>
    </row>
    <row r="300" spans="1:17" ht="12.75" customHeight="1" x14ac:dyDescent="0.2">
      <c r="A300" s="15" t="s">
        <v>399</v>
      </c>
      <c r="B300" s="10" t="s">
        <v>69</v>
      </c>
      <c r="C300" s="333" t="s">
        <v>15</v>
      </c>
      <c r="D300" s="11" t="s">
        <v>15</v>
      </c>
      <c r="E300" s="11" t="s">
        <v>15</v>
      </c>
      <c r="F300" s="11" t="s">
        <v>15</v>
      </c>
      <c r="G300" s="11" t="s">
        <v>15</v>
      </c>
      <c r="H300" s="11" t="s">
        <v>15</v>
      </c>
      <c r="I300" s="11" t="s">
        <v>15</v>
      </c>
      <c r="J300" s="11" t="s">
        <v>15</v>
      </c>
      <c r="K300" s="11" t="s">
        <v>15</v>
      </c>
      <c r="L300" s="11" t="s">
        <v>15</v>
      </c>
      <c r="M300" s="11" t="s">
        <v>15</v>
      </c>
      <c r="N300" s="11" t="s">
        <v>15</v>
      </c>
      <c r="O300" s="337" t="s">
        <v>15</v>
      </c>
      <c r="Q300" s="260" t="s">
        <v>428</v>
      </c>
    </row>
    <row r="301" spans="1:17" ht="12.75" customHeight="1" x14ac:dyDescent="0.2">
      <c r="A301" s="15" t="s">
        <v>400</v>
      </c>
      <c r="B301" s="10" t="s">
        <v>69</v>
      </c>
      <c r="C301" s="333" t="s">
        <v>15</v>
      </c>
      <c r="D301" s="11" t="s">
        <v>15</v>
      </c>
      <c r="E301" s="11" t="s">
        <v>15</v>
      </c>
      <c r="F301" s="11" t="s">
        <v>15</v>
      </c>
      <c r="G301" s="11" t="s">
        <v>15</v>
      </c>
      <c r="H301" s="11" t="s">
        <v>15</v>
      </c>
      <c r="I301" s="11" t="s">
        <v>15</v>
      </c>
      <c r="J301" s="11" t="s">
        <v>15</v>
      </c>
      <c r="K301" s="11" t="s">
        <v>15</v>
      </c>
      <c r="L301" s="11" t="s">
        <v>15</v>
      </c>
      <c r="M301" s="11" t="s">
        <v>15</v>
      </c>
      <c r="N301" s="11" t="s">
        <v>15</v>
      </c>
      <c r="O301" s="337" t="s">
        <v>15</v>
      </c>
      <c r="Q301" s="260" t="s">
        <v>428</v>
      </c>
    </row>
    <row r="302" spans="1:17" ht="12.75" customHeight="1" x14ac:dyDescent="0.2">
      <c r="A302" s="15" t="s">
        <v>401</v>
      </c>
      <c r="B302" s="10" t="s">
        <v>69</v>
      </c>
      <c r="C302" s="333" t="s">
        <v>15</v>
      </c>
      <c r="D302" s="11" t="s">
        <v>15</v>
      </c>
      <c r="E302" s="11" t="s">
        <v>15</v>
      </c>
      <c r="F302" s="11" t="s">
        <v>15</v>
      </c>
      <c r="G302" s="11" t="s">
        <v>15</v>
      </c>
      <c r="H302" s="11" t="s">
        <v>15</v>
      </c>
      <c r="I302" s="11" t="s">
        <v>15</v>
      </c>
      <c r="J302" s="11" t="s">
        <v>15</v>
      </c>
      <c r="K302" s="11" t="s">
        <v>15</v>
      </c>
      <c r="L302" s="11" t="s">
        <v>15</v>
      </c>
      <c r="M302" s="11" t="s">
        <v>15</v>
      </c>
      <c r="N302" s="11" t="s">
        <v>15</v>
      </c>
      <c r="O302" s="337" t="s">
        <v>15</v>
      </c>
      <c r="Q302" s="260" t="s">
        <v>428</v>
      </c>
    </row>
    <row r="303" spans="1:17" ht="12.75" customHeight="1" x14ac:dyDescent="0.2">
      <c r="A303" s="15" t="s">
        <v>402</v>
      </c>
      <c r="B303" s="10" t="s">
        <v>69</v>
      </c>
      <c r="C303" s="333" t="s">
        <v>15</v>
      </c>
      <c r="D303" s="11" t="s">
        <v>15</v>
      </c>
      <c r="E303" s="11" t="s">
        <v>15</v>
      </c>
      <c r="F303" s="11" t="s">
        <v>15</v>
      </c>
      <c r="G303" s="11" t="s">
        <v>15</v>
      </c>
      <c r="H303" s="11" t="s">
        <v>15</v>
      </c>
      <c r="I303" s="11" t="s">
        <v>15</v>
      </c>
      <c r="J303" s="11" t="s">
        <v>15</v>
      </c>
      <c r="K303" s="11" t="s">
        <v>15</v>
      </c>
      <c r="L303" s="11" t="s">
        <v>15</v>
      </c>
      <c r="M303" s="11" t="s">
        <v>15</v>
      </c>
      <c r="N303" s="11" t="s">
        <v>15</v>
      </c>
      <c r="O303" s="337" t="s">
        <v>15</v>
      </c>
      <c r="Q303" s="260" t="s">
        <v>428</v>
      </c>
    </row>
    <row r="304" spans="1:17" ht="12.75" customHeight="1" x14ac:dyDescent="0.2">
      <c r="A304" s="15" t="s">
        <v>403</v>
      </c>
      <c r="B304" s="10" t="s">
        <v>69</v>
      </c>
      <c r="C304" s="333" t="s">
        <v>15</v>
      </c>
      <c r="D304" s="11" t="s">
        <v>15</v>
      </c>
      <c r="E304" s="11" t="s">
        <v>15</v>
      </c>
      <c r="F304" s="11" t="s">
        <v>15</v>
      </c>
      <c r="G304" s="11" t="s">
        <v>15</v>
      </c>
      <c r="H304" s="11" t="s">
        <v>15</v>
      </c>
      <c r="I304" s="11" t="s">
        <v>15</v>
      </c>
      <c r="J304" s="11" t="s">
        <v>15</v>
      </c>
      <c r="K304" s="11" t="s">
        <v>15</v>
      </c>
      <c r="L304" s="11" t="s">
        <v>15</v>
      </c>
      <c r="M304" s="11" t="s">
        <v>15</v>
      </c>
      <c r="N304" s="11" t="s">
        <v>15</v>
      </c>
      <c r="O304" s="337" t="s">
        <v>15</v>
      </c>
      <c r="Q304" s="260" t="s">
        <v>428</v>
      </c>
    </row>
    <row r="305" spans="1:17" ht="12.75" customHeight="1" x14ac:dyDescent="0.2">
      <c r="A305" s="15" t="s">
        <v>404</v>
      </c>
      <c r="B305" s="10" t="s">
        <v>69</v>
      </c>
      <c r="C305" s="333" t="s">
        <v>15</v>
      </c>
      <c r="D305" s="11" t="s">
        <v>15</v>
      </c>
      <c r="E305" s="11" t="s">
        <v>15</v>
      </c>
      <c r="F305" s="11" t="s">
        <v>15</v>
      </c>
      <c r="G305" s="11" t="s">
        <v>15</v>
      </c>
      <c r="H305" s="11" t="s">
        <v>15</v>
      </c>
      <c r="I305" s="11" t="s">
        <v>15</v>
      </c>
      <c r="J305" s="11" t="s">
        <v>15</v>
      </c>
      <c r="K305" s="11" t="s">
        <v>15</v>
      </c>
      <c r="L305" s="11" t="s">
        <v>15</v>
      </c>
      <c r="M305" s="11" t="s">
        <v>15</v>
      </c>
      <c r="N305" s="11" t="s">
        <v>15</v>
      </c>
      <c r="O305" s="337" t="s">
        <v>15</v>
      </c>
      <c r="Q305" s="260" t="s">
        <v>428</v>
      </c>
    </row>
    <row r="306" spans="1:17" ht="12.75" customHeight="1" x14ac:dyDescent="0.2">
      <c r="A306" s="15" t="s">
        <v>405</v>
      </c>
      <c r="B306" s="10" t="s">
        <v>69</v>
      </c>
      <c r="C306" s="333" t="s">
        <v>15</v>
      </c>
      <c r="D306" s="11" t="s">
        <v>15</v>
      </c>
      <c r="E306" s="11" t="s">
        <v>15</v>
      </c>
      <c r="F306" s="11" t="s">
        <v>15</v>
      </c>
      <c r="G306" s="11" t="s">
        <v>15</v>
      </c>
      <c r="H306" s="11" t="s">
        <v>15</v>
      </c>
      <c r="I306" s="11" t="s">
        <v>15</v>
      </c>
      <c r="J306" s="11" t="s">
        <v>15</v>
      </c>
      <c r="K306" s="11" t="s">
        <v>15</v>
      </c>
      <c r="L306" s="11" t="s">
        <v>15</v>
      </c>
      <c r="M306" s="11" t="s">
        <v>15</v>
      </c>
      <c r="N306" s="11" t="s">
        <v>15</v>
      </c>
      <c r="O306" s="337" t="s">
        <v>15</v>
      </c>
      <c r="Q306" s="260" t="s">
        <v>428</v>
      </c>
    </row>
    <row r="307" spans="1:17" ht="12.75" customHeight="1" x14ac:dyDescent="0.2">
      <c r="A307" s="15" t="s">
        <v>406</v>
      </c>
      <c r="B307" s="10" t="s">
        <v>69</v>
      </c>
      <c r="C307" s="333" t="s">
        <v>15</v>
      </c>
      <c r="D307" s="11" t="s">
        <v>15</v>
      </c>
      <c r="E307" s="11" t="s">
        <v>15</v>
      </c>
      <c r="F307" s="11" t="s">
        <v>15</v>
      </c>
      <c r="G307" s="11" t="s">
        <v>15</v>
      </c>
      <c r="H307" s="11" t="s">
        <v>15</v>
      </c>
      <c r="I307" s="11" t="s">
        <v>15</v>
      </c>
      <c r="J307" s="11" t="s">
        <v>15</v>
      </c>
      <c r="K307" s="11" t="s">
        <v>15</v>
      </c>
      <c r="L307" s="11" t="s">
        <v>15</v>
      </c>
      <c r="M307" s="11" t="s">
        <v>15</v>
      </c>
      <c r="N307" s="11" t="s">
        <v>15</v>
      </c>
      <c r="O307" s="337" t="s">
        <v>15</v>
      </c>
      <c r="Q307" s="260" t="s">
        <v>428</v>
      </c>
    </row>
    <row r="308" spans="1:17" ht="12.75" customHeight="1" x14ac:dyDescent="0.2">
      <c r="A308" s="15" t="s">
        <v>411</v>
      </c>
      <c r="B308" s="10" t="s">
        <v>69</v>
      </c>
      <c r="C308" s="333" t="s">
        <v>15</v>
      </c>
      <c r="D308" s="11" t="s">
        <v>15</v>
      </c>
      <c r="E308" s="11" t="s">
        <v>15</v>
      </c>
      <c r="F308" s="11" t="s">
        <v>15</v>
      </c>
      <c r="G308" s="11" t="s">
        <v>15</v>
      </c>
      <c r="H308" s="11" t="s">
        <v>15</v>
      </c>
      <c r="I308" s="11" t="s">
        <v>15</v>
      </c>
      <c r="J308" s="11" t="s">
        <v>15</v>
      </c>
      <c r="K308" s="11" t="s">
        <v>15</v>
      </c>
      <c r="L308" s="11" t="s">
        <v>15</v>
      </c>
      <c r="M308" s="11" t="s">
        <v>15</v>
      </c>
      <c r="N308" s="11" t="s">
        <v>15</v>
      </c>
      <c r="O308" s="337" t="s">
        <v>15</v>
      </c>
      <c r="Q308" s="260" t="s">
        <v>428</v>
      </c>
    </row>
    <row r="309" spans="1:17" ht="12.75" customHeight="1" x14ac:dyDescent="0.2">
      <c r="A309" s="260" t="s">
        <v>412</v>
      </c>
      <c r="B309" s="10" t="s">
        <v>69</v>
      </c>
      <c r="C309" s="333" t="s">
        <v>15</v>
      </c>
      <c r="D309" s="11" t="s">
        <v>15</v>
      </c>
      <c r="E309" s="11" t="s">
        <v>15</v>
      </c>
      <c r="F309" s="11" t="s">
        <v>15</v>
      </c>
      <c r="G309" s="11" t="s">
        <v>15</v>
      </c>
      <c r="H309" s="11" t="s">
        <v>15</v>
      </c>
      <c r="I309" s="11" t="s">
        <v>15</v>
      </c>
      <c r="J309" s="11" t="s">
        <v>15</v>
      </c>
      <c r="K309" s="11" t="s">
        <v>15</v>
      </c>
      <c r="L309" s="11" t="s">
        <v>15</v>
      </c>
      <c r="M309" s="11" t="s">
        <v>15</v>
      </c>
      <c r="N309" s="11" t="s">
        <v>15</v>
      </c>
      <c r="O309" s="337" t="s">
        <v>15</v>
      </c>
      <c r="Q309" s="260" t="s">
        <v>428</v>
      </c>
    </row>
    <row r="310" spans="1:17" ht="12.75" customHeight="1" x14ac:dyDescent="0.2">
      <c r="A310" s="15" t="s">
        <v>415</v>
      </c>
      <c r="B310" s="10" t="s">
        <v>69</v>
      </c>
      <c r="C310" s="333" t="s">
        <v>15</v>
      </c>
      <c r="D310" s="11" t="s">
        <v>15</v>
      </c>
      <c r="E310" s="11" t="s">
        <v>15</v>
      </c>
      <c r="F310" s="11" t="s">
        <v>15</v>
      </c>
      <c r="G310" s="11" t="s">
        <v>15</v>
      </c>
      <c r="H310" s="11" t="s">
        <v>15</v>
      </c>
      <c r="I310" s="11" t="s">
        <v>15</v>
      </c>
      <c r="J310" s="11" t="s">
        <v>15</v>
      </c>
      <c r="K310" s="11" t="s">
        <v>15</v>
      </c>
      <c r="L310" s="11" t="s">
        <v>15</v>
      </c>
      <c r="M310" s="11" t="s">
        <v>15</v>
      </c>
      <c r="N310" s="11" t="s">
        <v>15</v>
      </c>
      <c r="O310" s="337" t="s">
        <v>15</v>
      </c>
      <c r="Q310" s="260" t="s">
        <v>428</v>
      </c>
    </row>
    <row r="311" spans="1:17" ht="12.75" customHeight="1" x14ac:dyDescent="0.2">
      <c r="A311" s="15" t="s">
        <v>416</v>
      </c>
      <c r="B311" s="10" t="s">
        <v>69</v>
      </c>
      <c r="C311" s="333" t="s">
        <v>15</v>
      </c>
      <c r="D311" s="11" t="s">
        <v>15</v>
      </c>
      <c r="E311" s="11" t="s">
        <v>15</v>
      </c>
      <c r="F311" s="11" t="s">
        <v>15</v>
      </c>
      <c r="G311" s="11" t="s">
        <v>15</v>
      </c>
      <c r="H311" s="11" t="s">
        <v>15</v>
      </c>
      <c r="I311" s="11" t="s">
        <v>15</v>
      </c>
      <c r="J311" s="11" t="s">
        <v>15</v>
      </c>
      <c r="K311" s="11" t="s">
        <v>15</v>
      </c>
      <c r="L311" s="11" t="s">
        <v>15</v>
      </c>
      <c r="M311" s="11" t="s">
        <v>15</v>
      </c>
      <c r="N311" s="11" t="s">
        <v>15</v>
      </c>
      <c r="O311" s="337" t="s">
        <v>15</v>
      </c>
      <c r="Q311" s="260" t="s">
        <v>428</v>
      </c>
    </row>
    <row r="312" spans="1:17" ht="12.75" customHeight="1" x14ac:dyDescent="0.2">
      <c r="A312" s="15" t="s">
        <v>407</v>
      </c>
      <c r="B312" s="10" t="s">
        <v>69</v>
      </c>
      <c r="C312" s="333" t="s">
        <v>15</v>
      </c>
      <c r="D312" s="11" t="s">
        <v>15</v>
      </c>
      <c r="E312" s="11" t="s">
        <v>15</v>
      </c>
      <c r="F312" s="11" t="s">
        <v>15</v>
      </c>
      <c r="G312" s="11" t="s">
        <v>15</v>
      </c>
      <c r="H312" s="11" t="s">
        <v>15</v>
      </c>
      <c r="I312" s="11" t="s">
        <v>15</v>
      </c>
      <c r="J312" s="11" t="s">
        <v>15</v>
      </c>
      <c r="K312" s="11" t="s">
        <v>15</v>
      </c>
      <c r="L312" s="11" t="s">
        <v>15</v>
      </c>
      <c r="M312" s="11" t="s">
        <v>15</v>
      </c>
      <c r="N312" s="11" t="s">
        <v>15</v>
      </c>
      <c r="O312" s="337" t="s">
        <v>15</v>
      </c>
      <c r="Q312" s="260" t="s">
        <v>428</v>
      </c>
    </row>
    <row r="313" spans="1:17" ht="12.75" customHeight="1" x14ac:dyDescent="0.2">
      <c r="A313" s="15" t="s">
        <v>408</v>
      </c>
      <c r="B313" s="10" t="s">
        <v>69</v>
      </c>
      <c r="C313" s="333" t="s">
        <v>15</v>
      </c>
      <c r="D313" s="11" t="s">
        <v>15</v>
      </c>
      <c r="E313" s="11" t="s">
        <v>15</v>
      </c>
      <c r="F313" s="11" t="s">
        <v>15</v>
      </c>
      <c r="G313" s="11" t="s">
        <v>15</v>
      </c>
      <c r="H313" s="11" t="s">
        <v>15</v>
      </c>
      <c r="I313" s="11" t="s">
        <v>15</v>
      </c>
      <c r="J313" s="11" t="s">
        <v>15</v>
      </c>
      <c r="K313" s="11" t="s">
        <v>15</v>
      </c>
      <c r="L313" s="11" t="s">
        <v>15</v>
      </c>
      <c r="M313" s="11" t="s">
        <v>15</v>
      </c>
      <c r="N313" s="11" t="s">
        <v>15</v>
      </c>
      <c r="O313" s="337" t="s">
        <v>15</v>
      </c>
      <c r="Q313" s="260" t="s">
        <v>428</v>
      </c>
    </row>
    <row r="314" spans="1:17" ht="12.75" customHeight="1" x14ac:dyDescent="0.2">
      <c r="A314" s="15" t="s">
        <v>409</v>
      </c>
      <c r="B314" s="10" t="s">
        <v>69</v>
      </c>
      <c r="C314" s="333" t="s">
        <v>15</v>
      </c>
      <c r="D314" s="11" t="s">
        <v>15</v>
      </c>
      <c r="E314" s="11" t="s">
        <v>15</v>
      </c>
      <c r="F314" s="11" t="s">
        <v>15</v>
      </c>
      <c r="G314" s="11" t="s">
        <v>15</v>
      </c>
      <c r="H314" s="11" t="s">
        <v>15</v>
      </c>
      <c r="I314" s="11" t="s">
        <v>15</v>
      </c>
      <c r="J314" s="11" t="s">
        <v>15</v>
      </c>
      <c r="K314" s="11" t="s">
        <v>15</v>
      </c>
      <c r="L314" s="11" t="s">
        <v>15</v>
      </c>
      <c r="M314" s="11" t="s">
        <v>15</v>
      </c>
      <c r="N314" s="11" t="s">
        <v>15</v>
      </c>
      <c r="O314" s="337" t="s">
        <v>15</v>
      </c>
      <c r="Q314" s="260" t="s">
        <v>428</v>
      </c>
    </row>
    <row r="315" spans="1:17" ht="12.75" customHeight="1" x14ac:dyDescent="0.2">
      <c r="A315" s="15" t="s">
        <v>410</v>
      </c>
      <c r="B315" s="10" t="s">
        <v>69</v>
      </c>
      <c r="C315" s="333" t="s">
        <v>15</v>
      </c>
      <c r="D315" s="11" t="s">
        <v>15</v>
      </c>
      <c r="E315" s="11" t="s">
        <v>15</v>
      </c>
      <c r="F315" s="11" t="s">
        <v>15</v>
      </c>
      <c r="G315" s="11" t="s">
        <v>15</v>
      </c>
      <c r="H315" s="11" t="s">
        <v>15</v>
      </c>
      <c r="I315" s="11" t="s">
        <v>15</v>
      </c>
      <c r="J315" s="11" t="s">
        <v>15</v>
      </c>
      <c r="K315" s="11" t="s">
        <v>15</v>
      </c>
      <c r="L315" s="11" t="s">
        <v>15</v>
      </c>
      <c r="M315" s="11" t="s">
        <v>15</v>
      </c>
      <c r="N315" s="11" t="s">
        <v>15</v>
      </c>
      <c r="O315" s="337" t="s">
        <v>15</v>
      </c>
      <c r="Q315" s="260" t="s">
        <v>428</v>
      </c>
    </row>
    <row r="316" spans="1:17" ht="12.75" customHeight="1" x14ac:dyDescent="0.2">
      <c r="A316" s="260" t="s">
        <v>425</v>
      </c>
      <c r="B316" s="10" t="s">
        <v>69</v>
      </c>
      <c r="C316" s="333" t="s">
        <v>15</v>
      </c>
      <c r="D316" s="11" t="s">
        <v>15</v>
      </c>
      <c r="E316" s="11" t="s">
        <v>15</v>
      </c>
      <c r="F316" s="11" t="s">
        <v>15</v>
      </c>
      <c r="G316" s="11" t="s">
        <v>15</v>
      </c>
      <c r="H316" s="11" t="s">
        <v>15</v>
      </c>
      <c r="I316" s="11" t="s">
        <v>15</v>
      </c>
      <c r="J316" s="11" t="s">
        <v>15</v>
      </c>
      <c r="K316" s="11" t="s">
        <v>15</v>
      </c>
      <c r="L316" s="11" t="s">
        <v>15</v>
      </c>
      <c r="M316" s="11" t="s">
        <v>15</v>
      </c>
      <c r="N316" s="11" t="s">
        <v>15</v>
      </c>
      <c r="O316" s="337" t="s">
        <v>15</v>
      </c>
      <c r="Q316" s="260" t="s">
        <v>429</v>
      </c>
    </row>
    <row r="317" spans="1:17" ht="12.75" customHeight="1" x14ac:dyDescent="0.2">
      <c r="A317" s="260" t="s">
        <v>426</v>
      </c>
      <c r="B317" s="10" t="s">
        <v>69</v>
      </c>
      <c r="C317" s="333" t="s">
        <v>15</v>
      </c>
      <c r="D317" s="11" t="s">
        <v>15</v>
      </c>
      <c r="E317" s="11" t="s">
        <v>15</v>
      </c>
      <c r="F317" s="11" t="s">
        <v>15</v>
      </c>
      <c r="G317" s="11" t="s">
        <v>15</v>
      </c>
      <c r="H317" s="11" t="s">
        <v>15</v>
      </c>
      <c r="I317" s="11" t="s">
        <v>15</v>
      </c>
      <c r="J317" s="11" t="s">
        <v>15</v>
      </c>
      <c r="K317" s="11" t="s">
        <v>15</v>
      </c>
      <c r="L317" s="11" t="s">
        <v>15</v>
      </c>
      <c r="M317" s="11" t="s">
        <v>15</v>
      </c>
      <c r="N317" s="11" t="s">
        <v>15</v>
      </c>
      <c r="O317" s="337" t="s">
        <v>15</v>
      </c>
      <c r="Q317" s="260" t="s">
        <v>429</v>
      </c>
    </row>
    <row r="318" spans="1:17" ht="12.75" customHeight="1" x14ac:dyDescent="0.2">
      <c r="A318" s="260" t="s">
        <v>414</v>
      </c>
      <c r="B318" s="10" t="s">
        <v>69</v>
      </c>
      <c r="C318" s="333" t="s">
        <v>15</v>
      </c>
      <c r="D318" s="11" t="s">
        <v>15</v>
      </c>
      <c r="E318" s="11" t="s">
        <v>15</v>
      </c>
      <c r="F318" s="11" t="s">
        <v>15</v>
      </c>
      <c r="G318" s="11" t="s">
        <v>15</v>
      </c>
      <c r="H318" s="11" t="s">
        <v>15</v>
      </c>
      <c r="I318" s="11" t="s">
        <v>15</v>
      </c>
      <c r="J318" s="11" t="s">
        <v>15</v>
      </c>
      <c r="K318" s="11" t="s">
        <v>15</v>
      </c>
      <c r="L318" s="11" t="s">
        <v>15</v>
      </c>
      <c r="M318" s="11" t="s">
        <v>15</v>
      </c>
      <c r="N318" s="11" t="s">
        <v>15</v>
      </c>
      <c r="O318" s="337" t="s">
        <v>15</v>
      </c>
      <c r="Q318" s="260" t="s">
        <v>428</v>
      </c>
    </row>
    <row r="319" spans="1:17" ht="12.75" customHeight="1" x14ac:dyDescent="0.2">
      <c r="A319" s="260" t="s">
        <v>420</v>
      </c>
      <c r="B319" s="10" t="s">
        <v>69</v>
      </c>
      <c r="C319" s="333" t="s">
        <v>15</v>
      </c>
      <c r="D319" s="11" t="s">
        <v>15</v>
      </c>
      <c r="E319" s="11" t="s">
        <v>15</v>
      </c>
      <c r="F319" s="11" t="s">
        <v>15</v>
      </c>
      <c r="G319" s="11" t="s">
        <v>15</v>
      </c>
      <c r="H319" s="11" t="s">
        <v>15</v>
      </c>
      <c r="I319" s="11" t="s">
        <v>15</v>
      </c>
      <c r="J319" s="11" t="s">
        <v>15</v>
      </c>
      <c r="K319" s="11" t="s">
        <v>15</v>
      </c>
      <c r="L319" s="11" t="s">
        <v>15</v>
      </c>
      <c r="M319" s="11" t="s">
        <v>15</v>
      </c>
      <c r="N319" s="11" t="s">
        <v>15</v>
      </c>
      <c r="O319" s="337" t="s">
        <v>15</v>
      </c>
      <c r="Q319" s="260" t="s">
        <v>149</v>
      </c>
    </row>
    <row r="320" spans="1:17" ht="12.75" customHeight="1" x14ac:dyDescent="0.2">
      <c r="A320" s="15" t="s">
        <v>418</v>
      </c>
      <c r="B320" s="10" t="s">
        <v>69</v>
      </c>
      <c r="C320" s="333" t="s">
        <v>15</v>
      </c>
      <c r="D320" s="11" t="s">
        <v>15</v>
      </c>
      <c r="E320" s="11" t="s">
        <v>15</v>
      </c>
      <c r="F320" s="11" t="s">
        <v>15</v>
      </c>
      <c r="G320" s="11" t="s">
        <v>15</v>
      </c>
      <c r="H320" s="11" t="s">
        <v>15</v>
      </c>
      <c r="I320" s="11" t="s">
        <v>15</v>
      </c>
      <c r="J320" s="11" t="s">
        <v>15</v>
      </c>
      <c r="K320" s="11" t="s">
        <v>15</v>
      </c>
      <c r="L320" s="11" t="s">
        <v>15</v>
      </c>
      <c r="M320" s="11" t="s">
        <v>15</v>
      </c>
      <c r="N320" s="11" t="s">
        <v>15</v>
      </c>
      <c r="O320" s="337" t="s">
        <v>15</v>
      </c>
      <c r="Q320" s="260" t="s">
        <v>149</v>
      </c>
    </row>
    <row r="321" spans="1:17" ht="12.75" customHeight="1" x14ac:dyDescent="0.2">
      <c r="A321" s="15" t="s">
        <v>417</v>
      </c>
      <c r="B321" s="10" t="s">
        <v>69</v>
      </c>
      <c r="C321" s="333" t="s">
        <v>15</v>
      </c>
      <c r="D321" s="11" t="s">
        <v>15</v>
      </c>
      <c r="E321" s="11" t="s">
        <v>15</v>
      </c>
      <c r="F321" s="11" t="s">
        <v>15</v>
      </c>
      <c r="G321" s="11" t="s">
        <v>15</v>
      </c>
      <c r="H321" s="11" t="s">
        <v>15</v>
      </c>
      <c r="I321" s="11" t="s">
        <v>15</v>
      </c>
      <c r="J321" s="11" t="s">
        <v>15</v>
      </c>
      <c r="K321" s="11" t="s">
        <v>15</v>
      </c>
      <c r="L321" s="11" t="s">
        <v>15</v>
      </c>
      <c r="M321" s="11" t="s">
        <v>15</v>
      </c>
      <c r="N321" s="11" t="s">
        <v>15</v>
      </c>
      <c r="O321" s="337" t="s">
        <v>15</v>
      </c>
      <c r="Q321" s="260" t="s">
        <v>149</v>
      </c>
    </row>
    <row r="322" spans="1:17" ht="12.75" customHeight="1" x14ac:dyDescent="0.2">
      <c r="A322" s="260" t="s">
        <v>427</v>
      </c>
      <c r="B322" s="10" t="s">
        <v>69</v>
      </c>
      <c r="C322" s="333" t="s">
        <v>15</v>
      </c>
      <c r="D322" s="11" t="s">
        <v>15</v>
      </c>
      <c r="E322" s="11" t="s">
        <v>15</v>
      </c>
      <c r="F322" s="11" t="s">
        <v>15</v>
      </c>
      <c r="G322" s="11" t="s">
        <v>15</v>
      </c>
      <c r="H322" s="11" t="s">
        <v>15</v>
      </c>
      <c r="I322" s="11" t="s">
        <v>15</v>
      </c>
      <c r="J322" s="11" t="s">
        <v>15</v>
      </c>
      <c r="K322" s="11" t="s">
        <v>15</v>
      </c>
      <c r="L322" s="11" t="s">
        <v>15</v>
      </c>
      <c r="M322" s="11" t="s">
        <v>15</v>
      </c>
      <c r="N322" s="11" t="s">
        <v>15</v>
      </c>
      <c r="O322" s="337" t="s">
        <v>15</v>
      </c>
      <c r="Q322" s="260" t="s">
        <v>149</v>
      </c>
    </row>
    <row r="323" spans="1:17" ht="12.75" customHeight="1" x14ac:dyDescent="0.2">
      <c r="A323" s="260" t="s">
        <v>421</v>
      </c>
      <c r="B323" s="10" t="s">
        <v>69</v>
      </c>
      <c r="C323" s="333" t="s">
        <v>15</v>
      </c>
      <c r="D323" s="11" t="s">
        <v>15</v>
      </c>
      <c r="E323" s="11" t="s">
        <v>15</v>
      </c>
      <c r="F323" s="11" t="s">
        <v>15</v>
      </c>
      <c r="G323" s="11" t="s">
        <v>15</v>
      </c>
      <c r="H323" s="11" t="s">
        <v>15</v>
      </c>
      <c r="I323" s="11" t="s">
        <v>15</v>
      </c>
      <c r="J323" s="11" t="s">
        <v>15</v>
      </c>
      <c r="K323" s="11" t="s">
        <v>15</v>
      </c>
      <c r="L323" s="11" t="s">
        <v>15</v>
      </c>
      <c r="M323" s="11" t="s">
        <v>15</v>
      </c>
      <c r="N323" s="11" t="s">
        <v>15</v>
      </c>
      <c r="O323" s="337" t="s">
        <v>15</v>
      </c>
      <c r="Q323" s="260" t="s">
        <v>149</v>
      </c>
    </row>
    <row r="324" spans="1:17" ht="12.75" customHeight="1" x14ac:dyDescent="0.2">
      <c r="A324" s="15" t="s">
        <v>422</v>
      </c>
      <c r="B324" s="10" t="s">
        <v>69</v>
      </c>
      <c r="C324" s="333" t="s">
        <v>15</v>
      </c>
      <c r="D324" s="11" t="s">
        <v>15</v>
      </c>
      <c r="E324" s="11" t="s">
        <v>15</v>
      </c>
      <c r="F324" s="11" t="s">
        <v>15</v>
      </c>
      <c r="G324" s="11" t="s">
        <v>15</v>
      </c>
      <c r="H324" s="11" t="s">
        <v>15</v>
      </c>
      <c r="I324" s="11" t="s">
        <v>15</v>
      </c>
      <c r="J324" s="11" t="s">
        <v>15</v>
      </c>
      <c r="K324" s="11" t="s">
        <v>15</v>
      </c>
      <c r="L324" s="11" t="s">
        <v>15</v>
      </c>
      <c r="M324" s="11" t="s">
        <v>15</v>
      </c>
      <c r="N324" s="11" t="s">
        <v>15</v>
      </c>
      <c r="O324" s="337" t="s">
        <v>15</v>
      </c>
      <c r="Q324" s="260" t="s">
        <v>149</v>
      </c>
    </row>
    <row r="325" spans="1:17" ht="12.75" customHeight="1" x14ac:dyDescent="0.2">
      <c r="A325" s="15" t="s">
        <v>419</v>
      </c>
      <c r="B325" s="10" t="s">
        <v>69</v>
      </c>
      <c r="C325" s="333" t="s">
        <v>15</v>
      </c>
      <c r="D325" s="11" t="s">
        <v>15</v>
      </c>
      <c r="E325" s="11" t="s">
        <v>15</v>
      </c>
      <c r="F325" s="11" t="s">
        <v>15</v>
      </c>
      <c r="G325" s="11" t="s">
        <v>15</v>
      </c>
      <c r="H325" s="11" t="s">
        <v>15</v>
      </c>
      <c r="I325" s="11" t="s">
        <v>15</v>
      </c>
      <c r="J325" s="11" t="s">
        <v>15</v>
      </c>
      <c r="K325" s="11" t="s">
        <v>15</v>
      </c>
      <c r="L325" s="11" t="s">
        <v>15</v>
      </c>
      <c r="M325" s="11" t="s">
        <v>15</v>
      </c>
      <c r="N325" s="11" t="s">
        <v>15</v>
      </c>
      <c r="O325" s="337" t="s">
        <v>15</v>
      </c>
      <c r="Q325" s="260" t="s">
        <v>149</v>
      </c>
    </row>
    <row r="326" spans="1:17" ht="12.75" customHeight="1" x14ac:dyDescent="0.2">
      <c r="A326" s="15" t="s">
        <v>424</v>
      </c>
      <c r="B326" s="10" t="s">
        <v>69</v>
      </c>
      <c r="C326" s="333" t="s">
        <v>15</v>
      </c>
      <c r="D326" s="11" t="s">
        <v>15</v>
      </c>
      <c r="E326" s="11" t="s">
        <v>15</v>
      </c>
      <c r="F326" s="11" t="s">
        <v>15</v>
      </c>
      <c r="G326" s="11" t="s">
        <v>15</v>
      </c>
      <c r="H326" s="11" t="s">
        <v>15</v>
      </c>
      <c r="I326" s="11" t="s">
        <v>15</v>
      </c>
      <c r="J326" s="11" t="s">
        <v>15</v>
      </c>
      <c r="K326" s="11" t="s">
        <v>15</v>
      </c>
      <c r="L326" s="11" t="s">
        <v>15</v>
      </c>
      <c r="M326" s="11" t="s">
        <v>15</v>
      </c>
      <c r="N326" s="11" t="s">
        <v>15</v>
      </c>
      <c r="O326" s="337" t="s">
        <v>15</v>
      </c>
      <c r="Q326" s="260" t="s">
        <v>149</v>
      </c>
    </row>
    <row r="327" spans="1:17" ht="12.75" customHeight="1" x14ac:dyDescent="0.2">
      <c r="A327" s="15" t="s">
        <v>423</v>
      </c>
      <c r="B327" s="10" t="s">
        <v>69</v>
      </c>
      <c r="C327" s="333" t="s">
        <v>15</v>
      </c>
      <c r="D327" s="11" t="s">
        <v>15</v>
      </c>
      <c r="E327" s="11" t="s">
        <v>15</v>
      </c>
      <c r="F327" s="11" t="s">
        <v>15</v>
      </c>
      <c r="G327" s="11" t="s">
        <v>15</v>
      </c>
      <c r="H327" s="11" t="s">
        <v>15</v>
      </c>
      <c r="I327" s="11" t="s">
        <v>15</v>
      </c>
      <c r="J327" s="11" t="s">
        <v>15</v>
      </c>
      <c r="K327" s="11" t="s">
        <v>15</v>
      </c>
      <c r="L327" s="11" t="s">
        <v>15</v>
      </c>
      <c r="M327" s="11" t="s">
        <v>15</v>
      </c>
      <c r="N327" s="11" t="s">
        <v>15</v>
      </c>
      <c r="O327" s="337" t="s">
        <v>15</v>
      </c>
      <c r="Q327" s="260" t="s">
        <v>149</v>
      </c>
    </row>
    <row r="328" spans="1:17" ht="12.75" customHeight="1" x14ac:dyDescent="0.25">
      <c r="A328" s="224" t="s">
        <v>434</v>
      </c>
      <c r="B328" s="10" t="s">
        <v>69</v>
      </c>
      <c r="C328" s="333" t="s">
        <v>15</v>
      </c>
      <c r="D328" s="11" t="s">
        <v>15</v>
      </c>
      <c r="E328" s="11" t="s">
        <v>15</v>
      </c>
      <c r="F328" s="11" t="s">
        <v>15</v>
      </c>
      <c r="G328" s="11" t="s">
        <v>15</v>
      </c>
      <c r="H328" s="11" t="s">
        <v>15</v>
      </c>
      <c r="I328" s="11" t="s">
        <v>15</v>
      </c>
      <c r="J328" s="11" t="s">
        <v>15</v>
      </c>
      <c r="K328" s="11" t="s">
        <v>15</v>
      </c>
      <c r="L328" s="11" t="s">
        <v>15</v>
      </c>
      <c r="M328" s="11" t="s">
        <v>15</v>
      </c>
      <c r="N328" s="11" t="s">
        <v>15</v>
      </c>
      <c r="O328" s="337" t="s">
        <v>15</v>
      </c>
      <c r="P328" s="10" t="s">
        <v>148</v>
      </c>
      <c r="Q328" s="10" t="s">
        <v>432</v>
      </c>
    </row>
    <row r="329" spans="1:17" ht="13.5" customHeight="1" x14ac:dyDescent="0.2">
      <c r="A329" s="12"/>
      <c r="B329" s="10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38"/>
    </row>
    <row r="330" spans="1:17" ht="13.5" customHeight="1" x14ac:dyDescent="0.2">
      <c r="A330" s="12"/>
      <c r="B330" s="10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38"/>
    </row>
    <row r="331" spans="1:17" ht="13.5" customHeight="1" x14ac:dyDescent="0.2">
      <c r="A331" s="12"/>
      <c r="B331" s="10"/>
      <c r="C331" s="3">
        <f t="shared" ref="C331:N331" si="13">+C292+C281+C277+C205+C188+C209+C207+C208+C210+C212+C214+C215+C216+C217+SUM(C218:C276)</f>
        <v>1310608.0201388625</v>
      </c>
      <c r="D331" s="3">
        <f t="shared" si="13"/>
        <v>1819226.7854036021</v>
      </c>
      <c r="E331" s="3">
        <f t="shared" si="13"/>
        <v>1539464.4737097556</v>
      </c>
      <c r="F331" s="3">
        <f t="shared" si="13"/>
        <v>1537107.184616528</v>
      </c>
      <c r="G331" s="3">
        <f t="shared" si="13"/>
        <v>1823586.4187578717</v>
      </c>
      <c r="H331" s="3">
        <f t="shared" si="13"/>
        <v>1545011.3298174511</v>
      </c>
      <c r="I331" s="3">
        <f t="shared" si="13"/>
        <v>1573844.980351886</v>
      </c>
      <c r="J331" s="3">
        <f t="shared" si="13"/>
        <v>1914255.5598942686</v>
      </c>
      <c r="K331" s="3">
        <f t="shared" si="13"/>
        <v>1652776.7044616258</v>
      </c>
      <c r="L331" s="3">
        <f t="shared" si="13"/>
        <v>1708662.7998048665</v>
      </c>
      <c r="M331" s="3">
        <f t="shared" si="13"/>
        <v>2058743.0547410676</v>
      </c>
      <c r="N331" s="3">
        <f t="shared" si="13"/>
        <v>1771008.9369992742</v>
      </c>
      <c r="O331" s="3">
        <f>+O292+O293+O281+O277+O205+O188+O209+O207+O208+O210+O212+O214+O215+O216+O217+SUM(O218:O276)+O294+O295+O296+O297+O298</f>
        <v>39968886.378655113</v>
      </c>
    </row>
    <row r="332" spans="1:17" ht="13.5" customHeight="1" x14ac:dyDescent="0.2">
      <c r="A332" s="12"/>
      <c r="B332" s="10"/>
      <c r="I332" s="6"/>
      <c r="J332" s="6"/>
      <c r="K332" s="6"/>
      <c r="L332" s="6"/>
      <c r="M332" s="6"/>
      <c r="N332" s="6"/>
    </row>
    <row r="333" spans="1:17" ht="13.5" customHeight="1" x14ac:dyDescent="0.2">
      <c r="A333" s="28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</row>
    <row r="334" spans="1:17" ht="13.5" customHeight="1" x14ac:dyDescent="0.2"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</row>
    <row r="335" spans="1:17" ht="13.5" customHeight="1" x14ac:dyDescent="0.2"/>
    <row r="336" spans="1:17" ht="13.5" customHeight="1" x14ac:dyDescent="0.2"/>
    <row r="337" spans="1:15" ht="13.5" customHeight="1" x14ac:dyDescent="0.2">
      <c r="A337" s="9"/>
    </row>
    <row r="338" spans="1:15" ht="13.5" customHeight="1" x14ac:dyDescent="0.2">
      <c r="A338" s="9"/>
      <c r="B338" s="10"/>
      <c r="C338" s="41"/>
      <c r="D338" s="172"/>
      <c r="E338" s="172"/>
      <c r="F338" s="172"/>
      <c r="G338" s="172"/>
      <c r="H338" s="172"/>
      <c r="I338" s="172"/>
      <c r="J338" s="173"/>
      <c r="K338" s="173"/>
      <c r="L338" s="173"/>
      <c r="M338" s="173"/>
      <c r="N338" s="2"/>
      <c r="O338" s="41"/>
    </row>
    <row r="339" spans="1:15" ht="13.5" customHeight="1" x14ac:dyDescent="0.2">
      <c r="A339" s="15"/>
      <c r="B339" s="10"/>
      <c r="C339" s="172"/>
      <c r="D339" s="172"/>
      <c r="E339" s="172"/>
      <c r="F339" s="173"/>
      <c r="G339" s="173"/>
      <c r="H339" s="173"/>
      <c r="I339" s="173"/>
      <c r="J339" s="173"/>
      <c r="K339" s="173"/>
      <c r="L339" s="173"/>
      <c r="M339" s="173"/>
      <c r="N339" s="2"/>
      <c r="O339" s="2"/>
    </row>
    <row r="340" spans="1:15" ht="13.5" customHeight="1" x14ac:dyDescent="0.2">
      <c r="A340" s="15"/>
      <c r="B340" s="10"/>
      <c r="C340" s="173"/>
      <c r="D340" s="172"/>
      <c r="E340" s="172"/>
      <c r="F340" s="172"/>
      <c r="G340" s="172"/>
      <c r="H340" s="173"/>
      <c r="I340" s="173"/>
      <c r="J340" s="173"/>
      <c r="K340" s="173"/>
      <c r="L340" s="173"/>
      <c r="M340" s="173"/>
      <c r="N340" s="2"/>
      <c r="O340" s="2"/>
    </row>
    <row r="341" spans="1:15" ht="13.5" customHeight="1" x14ac:dyDescent="0.2">
      <c r="A341" s="15"/>
      <c r="B341" s="10"/>
      <c r="C341" s="172"/>
      <c r="D341" s="172"/>
      <c r="E341" s="172"/>
      <c r="F341" s="172"/>
      <c r="G341" s="172"/>
      <c r="H341" s="173"/>
      <c r="I341" s="173"/>
      <c r="J341" s="173"/>
      <c r="K341" s="173"/>
      <c r="L341" s="173"/>
      <c r="M341" s="173"/>
      <c r="N341" s="2"/>
      <c r="O341" s="2"/>
    </row>
    <row r="342" spans="1:15" ht="13.5" customHeight="1" x14ac:dyDescent="0.2">
      <c r="A342" s="15"/>
      <c r="B342" s="10"/>
      <c r="C342" s="172"/>
      <c r="D342" s="172"/>
      <c r="E342" s="172"/>
      <c r="F342" s="172"/>
      <c r="G342" s="172"/>
      <c r="H342" s="173"/>
      <c r="I342" s="173"/>
      <c r="J342" s="173"/>
      <c r="K342" s="173"/>
      <c r="L342" s="173"/>
      <c r="M342" s="173"/>
      <c r="N342" s="2"/>
      <c r="O342" s="2"/>
    </row>
    <row r="343" spans="1:15" ht="14.25" x14ac:dyDescent="0.2">
      <c r="A343" s="15"/>
      <c r="B343" s="10"/>
      <c r="C343" s="172"/>
      <c r="D343" s="172"/>
      <c r="E343" s="172"/>
      <c r="F343" s="172"/>
      <c r="G343" s="172"/>
      <c r="H343" s="173"/>
      <c r="I343" s="173"/>
      <c r="J343" s="173"/>
      <c r="K343" s="173"/>
      <c r="L343" s="173"/>
      <c r="M343" s="173"/>
      <c r="N343" s="2"/>
      <c r="O343" s="2"/>
    </row>
    <row r="344" spans="1:15" ht="14.25" x14ac:dyDescent="0.2">
      <c r="A344" s="15"/>
      <c r="B344" s="10"/>
      <c r="C344" s="172"/>
      <c r="D344" s="172"/>
      <c r="E344" s="172"/>
      <c r="F344" s="172"/>
      <c r="G344" s="172"/>
      <c r="H344" s="173"/>
      <c r="I344" s="173"/>
      <c r="J344" s="173"/>
      <c r="K344" s="173"/>
      <c r="L344" s="173"/>
      <c r="M344" s="173"/>
      <c r="N344" s="2"/>
      <c r="O344" s="2"/>
    </row>
    <row r="345" spans="1:15" ht="14.25" x14ac:dyDescent="0.2">
      <c r="A345" s="15"/>
      <c r="B345" s="10"/>
      <c r="C345" s="172"/>
      <c r="D345" s="172"/>
      <c r="E345" s="172"/>
      <c r="F345" s="172"/>
      <c r="G345" s="172"/>
      <c r="H345" s="173"/>
      <c r="I345" s="173"/>
      <c r="J345" s="173"/>
      <c r="K345" s="173"/>
      <c r="L345" s="173"/>
      <c r="M345" s="173"/>
      <c r="N345" s="2"/>
      <c r="O345" s="2"/>
    </row>
    <row r="346" spans="1:15" ht="14.25" x14ac:dyDescent="0.2">
      <c r="A346" s="15"/>
      <c r="B346" s="10"/>
      <c r="C346" s="172"/>
      <c r="D346" s="172"/>
      <c r="E346" s="172"/>
      <c r="F346" s="172"/>
      <c r="G346" s="172"/>
      <c r="H346" s="173"/>
      <c r="I346" s="173"/>
      <c r="J346" s="173"/>
      <c r="K346" s="173"/>
      <c r="L346" s="173"/>
      <c r="M346" s="173"/>
      <c r="N346" s="2"/>
      <c r="O346" s="2"/>
    </row>
    <row r="347" spans="1:15" ht="14.25" x14ac:dyDescent="0.2">
      <c r="A347" s="15"/>
      <c r="B347" s="10"/>
      <c r="C347" s="172"/>
      <c r="D347" s="172"/>
      <c r="E347" s="172"/>
      <c r="F347" s="172"/>
      <c r="G347" s="172"/>
      <c r="H347" s="173"/>
      <c r="I347" s="173"/>
      <c r="J347" s="173"/>
      <c r="K347" s="173"/>
      <c r="L347" s="173"/>
      <c r="M347" s="173"/>
      <c r="N347" s="2"/>
      <c r="O347" s="2"/>
    </row>
    <row r="348" spans="1:15" ht="14.25" x14ac:dyDescent="0.2">
      <c r="A348" s="15"/>
      <c r="B348" s="10"/>
      <c r="C348" s="172"/>
      <c r="D348" s="172"/>
      <c r="E348" s="172"/>
      <c r="F348" s="172"/>
      <c r="G348" s="172"/>
      <c r="H348" s="173"/>
      <c r="I348" s="173"/>
      <c r="J348" s="173"/>
      <c r="K348" s="173"/>
      <c r="L348" s="173"/>
      <c r="M348" s="173"/>
      <c r="N348" s="2"/>
      <c r="O348" s="2"/>
    </row>
    <row r="349" spans="1:15" ht="14.25" x14ac:dyDescent="0.2">
      <c r="A349" s="15"/>
      <c r="B349" s="10"/>
      <c r="C349" s="172"/>
      <c r="D349" s="172"/>
      <c r="E349" s="172"/>
      <c r="F349" s="172"/>
      <c r="G349" s="172"/>
      <c r="H349" s="172"/>
      <c r="I349" s="172"/>
      <c r="J349" s="173"/>
      <c r="K349" s="173"/>
      <c r="L349" s="173"/>
      <c r="M349" s="173"/>
      <c r="N349" s="2"/>
      <c r="O349" s="2"/>
    </row>
    <row r="350" spans="1:15" ht="14.25" x14ac:dyDescent="0.2">
      <c r="A350" s="15"/>
      <c r="B350" s="10"/>
      <c r="C350" s="172"/>
      <c r="D350" s="172"/>
      <c r="E350" s="172"/>
      <c r="F350" s="172"/>
      <c r="G350" s="172"/>
      <c r="H350" s="172"/>
      <c r="I350" s="172"/>
      <c r="J350" s="173"/>
      <c r="K350" s="173"/>
      <c r="L350" s="173"/>
      <c r="M350" s="173"/>
      <c r="N350" s="2"/>
      <c r="O350" s="2"/>
    </row>
  </sheetData>
  <sortState ref="A99:O139">
    <sortCondition ref="A99:A139"/>
  </sortState>
  <phoneticPr fontId="2" type="noConversion"/>
  <pageMargins left="0.17" right="0.17" top="0.3" bottom="0.28999999999999998" header="0.19" footer="0.22"/>
  <pageSetup scale="48" fitToHeight="2" orientation="portrait" r:id="rId1"/>
  <headerFooter alignWithMargins="0">
    <oddHeader>&amp;A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384"/>
  <sheetViews>
    <sheetView topLeftCell="A247" workbookViewId="0">
      <selection activeCell="Q364" sqref="Q364"/>
    </sheetView>
  </sheetViews>
  <sheetFormatPr defaultColWidth="8" defaultRowHeight="12.75" x14ac:dyDescent="0.2"/>
  <cols>
    <col min="1" max="1" width="30.75" style="1" customWidth="1"/>
    <col min="2" max="2" width="12.75" style="2" customWidth="1"/>
    <col min="3" max="14" width="12.5" style="5" customWidth="1"/>
    <col min="15" max="15" width="17.375" style="332" customWidth="1"/>
    <col min="16" max="16" width="12.125" style="2" bestFit="1" customWidth="1"/>
    <col min="17" max="16384" width="8" style="2"/>
  </cols>
  <sheetData>
    <row r="1" spans="1:15" x14ac:dyDescent="0.2">
      <c r="D1" s="331"/>
    </row>
    <row r="2" spans="1:15" x14ac:dyDescent="0.2">
      <c r="C2" s="333" t="s">
        <v>312</v>
      </c>
      <c r="D2" s="333" t="s">
        <v>312</v>
      </c>
      <c r="E2" s="333" t="s">
        <v>312</v>
      </c>
      <c r="F2" s="333" t="s">
        <v>312</v>
      </c>
      <c r="G2" s="333" t="s">
        <v>312</v>
      </c>
      <c r="H2" s="333" t="s">
        <v>312</v>
      </c>
      <c r="I2" s="333" t="s">
        <v>312</v>
      </c>
      <c r="J2" s="333" t="s">
        <v>312</v>
      </c>
      <c r="K2" s="333" t="s">
        <v>312</v>
      </c>
      <c r="L2" s="333" t="s">
        <v>312</v>
      </c>
      <c r="M2" s="333" t="s">
        <v>312</v>
      </c>
      <c r="N2" s="333" t="s">
        <v>312</v>
      </c>
      <c r="O2" s="333"/>
    </row>
    <row r="3" spans="1:15" x14ac:dyDescent="0.2">
      <c r="C3" s="333" t="s">
        <v>201</v>
      </c>
      <c r="D3" s="333" t="s">
        <v>201</v>
      </c>
      <c r="E3" s="333" t="s">
        <v>201</v>
      </c>
      <c r="F3" s="333" t="s">
        <v>201</v>
      </c>
      <c r="G3" s="333" t="s">
        <v>201</v>
      </c>
      <c r="H3" s="333" t="s">
        <v>201</v>
      </c>
      <c r="I3" s="333" t="s">
        <v>201</v>
      </c>
      <c r="J3" s="333" t="s">
        <v>201</v>
      </c>
      <c r="K3" s="333" t="s">
        <v>201</v>
      </c>
      <c r="L3" s="333" t="s">
        <v>201</v>
      </c>
      <c r="M3" s="333" t="s">
        <v>201</v>
      </c>
      <c r="N3" s="333" t="s">
        <v>201</v>
      </c>
      <c r="O3" s="333"/>
    </row>
    <row r="4" spans="1:15" x14ac:dyDescent="0.2">
      <c r="C4" s="333" t="s">
        <v>199</v>
      </c>
      <c r="D4" s="333" t="s">
        <v>199</v>
      </c>
      <c r="E4" s="333" t="s">
        <v>199</v>
      </c>
      <c r="F4" s="333" t="s">
        <v>199</v>
      </c>
      <c r="G4" s="333" t="s">
        <v>199</v>
      </c>
      <c r="H4" s="333" t="s">
        <v>199</v>
      </c>
      <c r="I4" s="333" t="s">
        <v>199</v>
      </c>
      <c r="J4" s="333" t="s">
        <v>199</v>
      </c>
      <c r="K4" s="333" t="s">
        <v>199</v>
      </c>
      <c r="L4" s="333" t="s">
        <v>199</v>
      </c>
      <c r="M4" s="333" t="s">
        <v>199</v>
      </c>
      <c r="N4" s="333" t="s">
        <v>199</v>
      </c>
      <c r="O4" s="333"/>
    </row>
    <row r="5" spans="1:15" x14ac:dyDescent="0.2">
      <c r="C5" s="333" t="s">
        <v>177</v>
      </c>
      <c r="D5" s="333" t="s">
        <v>177</v>
      </c>
      <c r="E5" s="333" t="s">
        <v>177</v>
      </c>
      <c r="F5" s="333" t="s">
        <v>177</v>
      </c>
      <c r="G5" s="333" t="s">
        <v>177</v>
      </c>
      <c r="H5" s="333" t="s">
        <v>177</v>
      </c>
      <c r="I5" s="333" t="s">
        <v>177</v>
      </c>
      <c r="J5" s="333" t="s">
        <v>177</v>
      </c>
      <c r="K5" s="333" t="s">
        <v>177</v>
      </c>
      <c r="L5" s="333" t="s">
        <v>177</v>
      </c>
      <c r="M5" s="333" t="s">
        <v>177</v>
      </c>
      <c r="N5" s="333" t="s">
        <v>177</v>
      </c>
      <c r="O5" s="333"/>
    </row>
    <row r="6" spans="1:15" ht="21" customHeight="1" x14ac:dyDescent="0.2">
      <c r="C6" s="11" t="s">
        <v>0</v>
      </c>
      <c r="D6" s="11" t="s">
        <v>0</v>
      </c>
      <c r="E6" s="11" t="s">
        <v>0</v>
      </c>
      <c r="F6" s="11" t="s">
        <v>0</v>
      </c>
      <c r="G6" s="11" t="s">
        <v>0</v>
      </c>
      <c r="H6" s="11" t="s">
        <v>0</v>
      </c>
      <c r="I6" s="11" t="s">
        <v>0</v>
      </c>
      <c r="J6" s="11" t="s">
        <v>0</v>
      </c>
      <c r="K6" s="11" t="s">
        <v>0</v>
      </c>
      <c r="L6" s="11" t="s">
        <v>0</v>
      </c>
      <c r="M6" s="11" t="s">
        <v>0</v>
      </c>
      <c r="N6" s="334" t="s">
        <v>0</v>
      </c>
      <c r="O6" s="335" t="s">
        <v>0</v>
      </c>
    </row>
    <row r="7" spans="1:15" x14ac:dyDescent="0.2">
      <c r="B7" s="1"/>
      <c r="C7" s="336" t="s">
        <v>1</v>
      </c>
      <c r="D7" s="336" t="s">
        <v>2</v>
      </c>
      <c r="E7" s="336" t="s">
        <v>3</v>
      </c>
      <c r="F7" s="336" t="s">
        <v>4</v>
      </c>
      <c r="G7" s="336" t="s">
        <v>5</v>
      </c>
      <c r="H7" s="336" t="s">
        <v>6</v>
      </c>
      <c r="I7" s="336" t="s">
        <v>7</v>
      </c>
      <c r="J7" s="336" t="s">
        <v>8</v>
      </c>
      <c r="K7" s="336" t="s">
        <v>9</v>
      </c>
      <c r="L7" s="336" t="s">
        <v>10</v>
      </c>
      <c r="M7" s="336" t="s">
        <v>11</v>
      </c>
      <c r="N7" s="336" t="s">
        <v>12</v>
      </c>
      <c r="O7" s="337" t="s">
        <v>13</v>
      </c>
    </row>
    <row r="8" spans="1:15" ht="14.25" x14ac:dyDescent="0.2">
      <c r="A8" s="15" t="s">
        <v>16</v>
      </c>
      <c r="B8" s="10" t="s">
        <v>14</v>
      </c>
      <c r="C8" s="11" t="s">
        <v>15</v>
      </c>
      <c r="D8" s="11" t="s">
        <v>15</v>
      </c>
      <c r="E8" s="11" t="s">
        <v>15</v>
      </c>
      <c r="F8" s="11" t="s">
        <v>15</v>
      </c>
      <c r="G8" s="11" t="s">
        <v>15</v>
      </c>
      <c r="H8" s="11" t="s">
        <v>15</v>
      </c>
      <c r="I8" s="11" t="s">
        <v>15</v>
      </c>
      <c r="J8" s="11" t="s">
        <v>15</v>
      </c>
      <c r="K8" s="11" t="s">
        <v>15</v>
      </c>
      <c r="L8" s="11" t="s">
        <v>15</v>
      </c>
      <c r="M8" s="11" t="s">
        <v>15</v>
      </c>
      <c r="N8" s="11" t="s">
        <v>15</v>
      </c>
      <c r="O8" s="333">
        <f>SUM(C8:N8)</f>
        <v>0</v>
      </c>
    </row>
    <row r="9" spans="1:15" ht="14.25" x14ac:dyDescent="0.2">
      <c r="A9" s="15" t="s">
        <v>17</v>
      </c>
      <c r="B9" s="10" t="s">
        <v>14</v>
      </c>
      <c r="C9" s="11" t="s">
        <v>15</v>
      </c>
      <c r="D9" s="11" t="s">
        <v>15</v>
      </c>
      <c r="E9" s="11" t="s">
        <v>15</v>
      </c>
      <c r="F9" s="11" t="s">
        <v>15</v>
      </c>
      <c r="G9" s="11" t="s">
        <v>15</v>
      </c>
      <c r="H9" s="11" t="s">
        <v>15</v>
      </c>
      <c r="I9" s="11" t="s">
        <v>15</v>
      </c>
      <c r="J9" s="11" t="s">
        <v>15</v>
      </c>
      <c r="K9" s="11" t="s">
        <v>15</v>
      </c>
      <c r="L9" s="11" t="s">
        <v>15</v>
      </c>
      <c r="M9" s="11" t="s">
        <v>15</v>
      </c>
      <c r="N9" s="11" t="s">
        <v>15</v>
      </c>
      <c r="O9" s="333">
        <f>SUM(C9:N9)</f>
        <v>0</v>
      </c>
    </row>
    <row r="10" spans="1:15" ht="14.25" x14ac:dyDescent="0.2">
      <c r="A10" s="15" t="s">
        <v>18</v>
      </c>
      <c r="B10" s="10" t="s">
        <v>14</v>
      </c>
      <c r="C10" s="11" t="s">
        <v>15</v>
      </c>
      <c r="D10" s="11" t="s">
        <v>15</v>
      </c>
      <c r="E10" s="11" t="s">
        <v>15</v>
      </c>
      <c r="F10" s="11" t="s">
        <v>15</v>
      </c>
      <c r="G10" s="11" t="s">
        <v>15</v>
      </c>
      <c r="H10" s="11" t="s">
        <v>15</v>
      </c>
      <c r="I10" s="11" t="s">
        <v>15</v>
      </c>
      <c r="J10" s="11" t="s">
        <v>15</v>
      </c>
      <c r="K10" s="11" t="s">
        <v>15</v>
      </c>
      <c r="L10" s="11" t="s">
        <v>15</v>
      </c>
      <c r="M10" s="11" t="s">
        <v>15</v>
      </c>
      <c r="N10" s="11" t="s">
        <v>15</v>
      </c>
      <c r="O10" s="333">
        <f>SUM(C10:N10)</f>
        <v>0</v>
      </c>
    </row>
    <row r="11" spans="1:15" ht="14.25" x14ac:dyDescent="0.2">
      <c r="A11" s="15" t="s">
        <v>255</v>
      </c>
      <c r="B11" s="10" t="s">
        <v>14</v>
      </c>
      <c r="C11" s="11" t="s">
        <v>15</v>
      </c>
      <c r="D11" s="11" t="s">
        <v>15</v>
      </c>
      <c r="E11" s="11" t="s">
        <v>15</v>
      </c>
      <c r="F11" s="11" t="s">
        <v>15</v>
      </c>
      <c r="G11" s="11" t="s">
        <v>15</v>
      </c>
      <c r="H11" s="11" t="s">
        <v>15</v>
      </c>
      <c r="I11" s="11" t="s">
        <v>15</v>
      </c>
      <c r="J11" s="11" t="s">
        <v>15</v>
      </c>
      <c r="K11" s="11" t="s">
        <v>15</v>
      </c>
      <c r="L11" s="11" t="s">
        <v>15</v>
      </c>
      <c r="M11" s="11" t="s">
        <v>15</v>
      </c>
      <c r="N11" s="11" t="s">
        <v>15</v>
      </c>
      <c r="O11" s="333">
        <f>SUM(C11:N11)</f>
        <v>0</v>
      </c>
    </row>
    <row r="12" spans="1:15" ht="14.25" x14ac:dyDescent="0.2">
      <c r="A12" s="15" t="s">
        <v>39</v>
      </c>
      <c r="B12" s="10" t="s">
        <v>14</v>
      </c>
      <c r="C12" s="11" t="s">
        <v>15</v>
      </c>
      <c r="D12" s="11" t="s">
        <v>15</v>
      </c>
      <c r="E12" s="11" t="s">
        <v>15</v>
      </c>
      <c r="F12" s="11" t="s">
        <v>15</v>
      </c>
      <c r="G12" s="11" t="s">
        <v>15</v>
      </c>
      <c r="H12" s="11" t="s">
        <v>15</v>
      </c>
      <c r="I12" s="11" t="s">
        <v>15</v>
      </c>
      <c r="J12" s="11" t="s">
        <v>15</v>
      </c>
      <c r="K12" s="11" t="s">
        <v>15</v>
      </c>
      <c r="L12" s="11" t="s">
        <v>15</v>
      </c>
      <c r="M12" s="11" t="s">
        <v>15</v>
      </c>
      <c r="N12" s="11" t="s">
        <v>15</v>
      </c>
      <c r="O12" s="333">
        <f>SUM(C12:N12)</f>
        <v>0</v>
      </c>
    </row>
    <row r="13" spans="1:15" ht="14.25" x14ac:dyDescent="0.2">
      <c r="A13" s="15" t="s">
        <v>19</v>
      </c>
      <c r="B13" s="10" t="s">
        <v>14</v>
      </c>
      <c r="C13" s="11" t="s">
        <v>15</v>
      </c>
      <c r="D13" s="11" t="s">
        <v>15</v>
      </c>
      <c r="E13" s="11" t="s">
        <v>15</v>
      </c>
      <c r="F13" s="11" t="s">
        <v>15</v>
      </c>
      <c r="G13" s="11" t="s">
        <v>15</v>
      </c>
      <c r="H13" s="11" t="s">
        <v>15</v>
      </c>
      <c r="I13" s="11" t="s">
        <v>15</v>
      </c>
      <c r="J13" s="11" t="s">
        <v>15</v>
      </c>
      <c r="K13" s="11" t="s">
        <v>15</v>
      </c>
      <c r="L13" s="11" t="s">
        <v>15</v>
      </c>
      <c r="M13" s="11" t="s">
        <v>15</v>
      </c>
      <c r="N13" s="11" t="s">
        <v>15</v>
      </c>
      <c r="O13" s="333">
        <f>SUM(C13:N13)</f>
        <v>0</v>
      </c>
    </row>
    <row r="14" spans="1:15" ht="14.25" x14ac:dyDescent="0.2">
      <c r="A14" s="15" t="s">
        <v>204</v>
      </c>
      <c r="B14" s="10" t="s">
        <v>14</v>
      </c>
      <c r="C14" s="11" t="s">
        <v>15</v>
      </c>
      <c r="D14" s="11" t="s">
        <v>15</v>
      </c>
      <c r="E14" s="11" t="s">
        <v>15</v>
      </c>
      <c r="F14" s="11" t="s">
        <v>15</v>
      </c>
      <c r="G14" s="11" t="s">
        <v>15</v>
      </c>
      <c r="H14" s="11" t="s">
        <v>15</v>
      </c>
      <c r="I14" s="11" t="s">
        <v>15</v>
      </c>
      <c r="J14" s="11" t="s">
        <v>15</v>
      </c>
      <c r="K14" s="11" t="s">
        <v>15</v>
      </c>
      <c r="L14" s="11" t="s">
        <v>15</v>
      </c>
      <c r="M14" s="11" t="s">
        <v>15</v>
      </c>
      <c r="N14" s="11" t="s">
        <v>15</v>
      </c>
      <c r="O14" s="333">
        <f>SUM(C14:N14)</f>
        <v>0</v>
      </c>
    </row>
    <row r="15" spans="1:15" ht="14.25" x14ac:dyDescent="0.2">
      <c r="A15" s="15" t="s">
        <v>20</v>
      </c>
      <c r="B15" s="10" t="s">
        <v>14</v>
      </c>
      <c r="C15" s="11" t="s">
        <v>15</v>
      </c>
      <c r="D15" s="11" t="s">
        <v>15</v>
      </c>
      <c r="E15" s="11" t="s">
        <v>15</v>
      </c>
      <c r="F15" s="11" t="s">
        <v>15</v>
      </c>
      <c r="G15" s="11" t="s">
        <v>15</v>
      </c>
      <c r="H15" s="11" t="s">
        <v>15</v>
      </c>
      <c r="I15" s="11" t="s">
        <v>15</v>
      </c>
      <c r="J15" s="11" t="s">
        <v>15</v>
      </c>
      <c r="K15" s="11" t="s">
        <v>15</v>
      </c>
      <c r="L15" s="11" t="s">
        <v>15</v>
      </c>
      <c r="M15" s="11" t="s">
        <v>15</v>
      </c>
      <c r="N15" s="11" t="s">
        <v>15</v>
      </c>
      <c r="O15" s="333">
        <f>SUM(C15:N15)</f>
        <v>0</v>
      </c>
    </row>
    <row r="16" spans="1:15" ht="14.25" x14ac:dyDescent="0.2">
      <c r="A16" s="15" t="s">
        <v>21</v>
      </c>
      <c r="B16" s="10" t="s">
        <v>14</v>
      </c>
      <c r="C16" s="11" t="s">
        <v>15</v>
      </c>
      <c r="D16" s="11" t="s">
        <v>15</v>
      </c>
      <c r="E16" s="11" t="s">
        <v>15</v>
      </c>
      <c r="F16" s="11" t="s">
        <v>15</v>
      </c>
      <c r="G16" s="11" t="s">
        <v>15</v>
      </c>
      <c r="H16" s="11" t="s">
        <v>15</v>
      </c>
      <c r="I16" s="11" t="s">
        <v>15</v>
      </c>
      <c r="J16" s="11" t="s">
        <v>15</v>
      </c>
      <c r="K16" s="11" t="s">
        <v>15</v>
      </c>
      <c r="L16" s="11" t="s">
        <v>15</v>
      </c>
      <c r="M16" s="11" t="s">
        <v>15</v>
      </c>
      <c r="N16" s="11" t="s">
        <v>15</v>
      </c>
      <c r="O16" s="333">
        <f>SUM(C16:N16)</f>
        <v>0</v>
      </c>
    </row>
    <row r="17" spans="1:15" ht="14.25" x14ac:dyDescent="0.2">
      <c r="A17" s="15" t="s">
        <v>40</v>
      </c>
      <c r="B17" s="10" t="s">
        <v>14</v>
      </c>
      <c r="C17" s="11" t="s">
        <v>15</v>
      </c>
      <c r="D17" s="11" t="s">
        <v>15</v>
      </c>
      <c r="E17" s="11" t="s">
        <v>15</v>
      </c>
      <c r="F17" s="11" t="s">
        <v>15</v>
      </c>
      <c r="G17" s="11" t="s">
        <v>15</v>
      </c>
      <c r="H17" s="11" t="s">
        <v>15</v>
      </c>
      <c r="I17" s="11" t="s">
        <v>15</v>
      </c>
      <c r="J17" s="11" t="s">
        <v>15</v>
      </c>
      <c r="K17" s="11" t="s">
        <v>15</v>
      </c>
      <c r="L17" s="11" t="s">
        <v>15</v>
      </c>
      <c r="M17" s="11" t="s">
        <v>15</v>
      </c>
      <c r="N17" s="11" t="s">
        <v>15</v>
      </c>
      <c r="O17" s="333">
        <f>SUM(C17:N17)</f>
        <v>0</v>
      </c>
    </row>
    <row r="18" spans="1:15" ht="14.25" x14ac:dyDescent="0.2">
      <c r="A18" s="15" t="s">
        <v>22</v>
      </c>
      <c r="B18" s="10" t="s">
        <v>14</v>
      </c>
      <c r="C18" s="338" t="s">
        <v>15</v>
      </c>
      <c r="D18" s="338" t="s">
        <v>15</v>
      </c>
      <c r="E18" s="338" t="s">
        <v>15</v>
      </c>
      <c r="F18" s="338" t="s">
        <v>15</v>
      </c>
      <c r="G18" s="338" t="s">
        <v>15</v>
      </c>
      <c r="H18" s="338" t="s">
        <v>15</v>
      </c>
      <c r="I18" s="338" t="s">
        <v>15</v>
      </c>
      <c r="J18" s="338" t="s">
        <v>15</v>
      </c>
      <c r="K18" s="338" t="s">
        <v>15</v>
      </c>
      <c r="L18" s="338" t="s">
        <v>15</v>
      </c>
      <c r="M18" s="338" t="s">
        <v>15</v>
      </c>
      <c r="N18" s="11" t="s">
        <v>15</v>
      </c>
      <c r="O18" s="333">
        <f>SUM(C18:N18)</f>
        <v>0</v>
      </c>
    </row>
    <row r="19" spans="1:15" ht="14.25" x14ac:dyDescent="0.2">
      <c r="A19" s="15" t="s">
        <v>23</v>
      </c>
      <c r="B19" s="10" t="s">
        <v>14</v>
      </c>
      <c r="C19" s="11" t="s">
        <v>15</v>
      </c>
      <c r="D19" s="11" t="s">
        <v>15</v>
      </c>
      <c r="E19" s="11" t="s">
        <v>15</v>
      </c>
      <c r="F19" s="11" t="s">
        <v>15</v>
      </c>
      <c r="G19" s="11" t="s">
        <v>15</v>
      </c>
      <c r="H19" s="11" t="s">
        <v>15</v>
      </c>
      <c r="I19" s="11" t="s">
        <v>15</v>
      </c>
      <c r="J19" s="11" t="s">
        <v>15</v>
      </c>
      <c r="K19" s="11" t="s">
        <v>15</v>
      </c>
      <c r="L19" s="11" t="s">
        <v>15</v>
      </c>
      <c r="M19" s="11" t="s">
        <v>15</v>
      </c>
      <c r="N19" s="11" t="s">
        <v>15</v>
      </c>
      <c r="O19" s="333">
        <f>SUM(C19:N19)</f>
        <v>0</v>
      </c>
    </row>
    <row r="20" spans="1:15" ht="14.25" x14ac:dyDescent="0.2">
      <c r="A20" s="15" t="s">
        <v>24</v>
      </c>
      <c r="B20" s="10" t="s">
        <v>14</v>
      </c>
      <c r="C20" s="11" t="s">
        <v>15</v>
      </c>
      <c r="D20" s="11" t="s">
        <v>15</v>
      </c>
      <c r="E20" s="11" t="s">
        <v>15</v>
      </c>
      <c r="F20" s="11" t="s">
        <v>15</v>
      </c>
      <c r="G20" s="11" t="s">
        <v>15</v>
      </c>
      <c r="H20" s="11" t="s">
        <v>15</v>
      </c>
      <c r="I20" s="11" t="s">
        <v>15</v>
      </c>
      <c r="J20" s="11" t="s">
        <v>15</v>
      </c>
      <c r="K20" s="11" t="s">
        <v>15</v>
      </c>
      <c r="L20" s="11" t="s">
        <v>15</v>
      </c>
      <c r="M20" s="11" t="s">
        <v>15</v>
      </c>
      <c r="N20" s="11" t="s">
        <v>15</v>
      </c>
      <c r="O20" s="333">
        <f>SUM(C20:N20)</f>
        <v>0</v>
      </c>
    </row>
    <row r="21" spans="1:15" ht="14.25" x14ac:dyDescent="0.2">
      <c r="A21" s="15" t="s">
        <v>25</v>
      </c>
      <c r="B21" s="10" t="s">
        <v>14</v>
      </c>
      <c r="C21" s="11" t="s">
        <v>15</v>
      </c>
      <c r="D21" s="11" t="s">
        <v>15</v>
      </c>
      <c r="E21" s="11" t="s">
        <v>15</v>
      </c>
      <c r="F21" s="11" t="s">
        <v>15</v>
      </c>
      <c r="G21" s="11" t="s">
        <v>15</v>
      </c>
      <c r="H21" s="11" t="s">
        <v>15</v>
      </c>
      <c r="I21" s="11" t="s">
        <v>15</v>
      </c>
      <c r="J21" s="11" t="s">
        <v>15</v>
      </c>
      <c r="K21" s="11" t="s">
        <v>15</v>
      </c>
      <c r="L21" s="11" t="s">
        <v>15</v>
      </c>
      <c r="M21" s="11" t="s">
        <v>15</v>
      </c>
      <c r="N21" s="11" t="s">
        <v>15</v>
      </c>
      <c r="O21" s="333">
        <f>SUM(C21:N21)</f>
        <v>0</v>
      </c>
    </row>
    <row r="22" spans="1:15" ht="14.25" x14ac:dyDescent="0.2">
      <c r="A22" s="15" t="s">
        <v>26</v>
      </c>
      <c r="B22" s="10" t="s">
        <v>14</v>
      </c>
      <c r="C22" s="11" t="s">
        <v>15</v>
      </c>
      <c r="D22" s="11" t="s">
        <v>15</v>
      </c>
      <c r="E22" s="11" t="s">
        <v>15</v>
      </c>
      <c r="F22" s="11" t="s">
        <v>15</v>
      </c>
      <c r="G22" s="11" t="s">
        <v>15</v>
      </c>
      <c r="H22" s="11" t="s">
        <v>15</v>
      </c>
      <c r="I22" s="11" t="s">
        <v>15</v>
      </c>
      <c r="J22" s="11" t="s">
        <v>15</v>
      </c>
      <c r="K22" s="11" t="s">
        <v>15</v>
      </c>
      <c r="L22" s="11" t="s">
        <v>15</v>
      </c>
      <c r="M22" s="11" t="s">
        <v>15</v>
      </c>
      <c r="N22" s="11" t="s">
        <v>15</v>
      </c>
      <c r="O22" s="333">
        <f>SUM(C22:N22)</f>
        <v>0</v>
      </c>
    </row>
    <row r="23" spans="1:15" ht="14.25" x14ac:dyDescent="0.2">
      <c r="A23" s="15" t="s">
        <v>27</v>
      </c>
      <c r="B23" s="10" t="s">
        <v>14</v>
      </c>
      <c r="C23" s="11" t="s">
        <v>15</v>
      </c>
      <c r="D23" s="11" t="s">
        <v>15</v>
      </c>
      <c r="E23" s="11" t="s">
        <v>15</v>
      </c>
      <c r="F23" s="11" t="s">
        <v>15</v>
      </c>
      <c r="G23" s="11" t="s">
        <v>15</v>
      </c>
      <c r="H23" s="11" t="s">
        <v>15</v>
      </c>
      <c r="I23" s="11" t="s">
        <v>15</v>
      </c>
      <c r="J23" s="11" t="s">
        <v>15</v>
      </c>
      <c r="K23" s="11" t="s">
        <v>15</v>
      </c>
      <c r="L23" s="11" t="s">
        <v>15</v>
      </c>
      <c r="M23" s="11" t="s">
        <v>15</v>
      </c>
      <c r="N23" s="11" t="s">
        <v>15</v>
      </c>
      <c r="O23" s="333">
        <f>SUM(C23:N23)</f>
        <v>0</v>
      </c>
    </row>
    <row r="24" spans="1:15" ht="14.25" x14ac:dyDescent="0.2">
      <c r="A24" s="15" t="s">
        <v>72</v>
      </c>
      <c r="B24" s="10" t="s">
        <v>14</v>
      </c>
      <c r="C24" s="11" t="s">
        <v>15</v>
      </c>
      <c r="D24" s="11" t="s">
        <v>15</v>
      </c>
      <c r="E24" s="11" t="s">
        <v>15</v>
      </c>
      <c r="F24" s="11" t="s">
        <v>15</v>
      </c>
      <c r="G24" s="11" t="s">
        <v>15</v>
      </c>
      <c r="H24" s="11" t="s">
        <v>15</v>
      </c>
      <c r="I24" s="11" t="s">
        <v>15</v>
      </c>
      <c r="J24" s="11" t="s">
        <v>15</v>
      </c>
      <c r="K24" s="11" t="s">
        <v>15</v>
      </c>
      <c r="L24" s="11" t="s">
        <v>15</v>
      </c>
      <c r="M24" s="11" t="s">
        <v>15</v>
      </c>
      <c r="N24" s="11" t="s">
        <v>15</v>
      </c>
      <c r="O24" s="333">
        <f>SUM(C24:N24)</f>
        <v>0</v>
      </c>
    </row>
    <row r="25" spans="1:15" ht="14.25" x14ac:dyDescent="0.2">
      <c r="A25" s="15" t="s">
        <v>28</v>
      </c>
      <c r="B25" s="10" t="s">
        <v>14</v>
      </c>
      <c r="C25" s="11" t="s">
        <v>15</v>
      </c>
      <c r="D25" s="11" t="s">
        <v>15</v>
      </c>
      <c r="E25" s="11" t="s">
        <v>15</v>
      </c>
      <c r="F25" s="11" t="s">
        <v>15</v>
      </c>
      <c r="G25" s="11" t="s">
        <v>15</v>
      </c>
      <c r="H25" s="11" t="s">
        <v>15</v>
      </c>
      <c r="I25" s="11" t="s">
        <v>15</v>
      </c>
      <c r="J25" s="11" t="s">
        <v>15</v>
      </c>
      <c r="K25" s="11" t="s">
        <v>15</v>
      </c>
      <c r="L25" s="11" t="s">
        <v>15</v>
      </c>
      <c r="M25" s="11" t="s">
        <v>15</v>
      </c>
      <c r="N25" s="11" t="s">
        <v>15</v>
      </c>
      <c r="O25" s="333">
        <f>SUM(C25:N25)</f>
        <v>0</v>
      </c>
    </row>
    <row r="26" spans="1:15" ht="14.25" x14ac:dyDescent="0.2">
      <c r="A26" s="15" t="s">
        <v>82</v>
      </c>
      <c r="B26" s="10" t="s">
        <v>14</v>
      </c>
      <c r="C26" s="338" t="s">
        <v>15</v>
      </c>
      <c r="D26" s="338" t="s">
        <v>15</v>
      </c>
      <c r="E26" s="338" t="s">
        <v>15</v>
      </c>
      <c r="F26" s="338" t="s">
        <v>15</v>
      </c>
      <c r="G26" s="338" t="s">
        <v>15</v>
      </c>
      <c r="H26" s="338" t="s">
        <v>15</v>
      </c>
      <c r="I26" s="338" t="s">
        <v>15</v>
      </c>
      <c r="J26" s="338" t="s">
        <v>15</v>
      </c>
      <c r="K26" s="338" t="s">
        <v>15</v>
      </c>
      <c r="L26" s="338" t="s">
        <v>15</v>
      </c>
      <c r="M26" s="338" t="s">
        <v>15</v>
      </c>
      <c r="N26" s="11" t="s">
        <v>15</v>
      </c>
      <c r="O26" s="333">
        <f>SUM(C26:N26)</f>
        <v>0</v>
      </c>
    </row>
    <row r="27" spans="1:15" ht="14.25" x14ac:dyDescent="0.2">
      <c r="A27" s="15" t="s">
        <v>165</v>
      </c>
      <c r="B27" s="10" t="s">
        <v>14</v>
      </c>
      <c r="C27" s="338" t="s">
        <v>15</v>
      </c>
      <c r="D27" s="338" t="s">
        <v>15</v>
      </c>
      <c r="E27" s="338" t="s">
        <v>15</v>
      </c>
      <c r="F27" s="338" t="s">
        <v>15</v>
      </c>
      <c r="G27" s="338" t="s">
        <v>15</v>
      </c>
      <c r="H27" s="338" t="s">
        <v>15</v>
      </c>
      <c r="I27" s="338" t="s">
        <v>15</v>
      </c>
      <c r="J27" s="338" t="s">
        <v>15</v>
      </c>
      <c r="K27" s="338" t="s">
        <v>15</v>
      </c>
      <c r="L27" s="338" t="s">
        <v>15</v>
      </c>
      <c r="M27" s="338" t="s">
        <v>15</v>
      </c>
      <c r="N27" s="11" t="s">
        <v>15</v>
      </c>
      <c r="O27" s="333">
        <f>SUM(C27:N27)</f>
        <v>0</v>
      </c>
    </row>
    <row r="28" spans="1:15" ht="14.25" x14ac:dyDescent="0.2">
      <c r="A28" s="15" t="s">
        <v>166</v>
      </c>
      <c r="B28" s="10" t="s">
        <v>14</v>
      </c>
      <c r="C28" s="338" t="s">
        <v>15</v>
      </c>
      <c r="D28" s="338" t="s">
        <v>15</v>
      </c>
      <c r="E28" s="338" t="s">
        <v>15</v>
      </c>
      <c r="F28" s="338" t="s">
        <v>15</v>
      </c>
      <c r="G28" s="338" t="s">
        <v>15</v>
      </c>
      <c r="H28" s="338" t="s">
        <v>15</v>
      </c>
      <c r="I28" s="338" t="s">
        <v>15</v>
      </c>
      <c r="J28" s="338" t="s">
        <v>15</v>
      </c>
      <c r="K28" s="338" t="s">
        <v>15</v>
      </c>
      <c r="L28" s="338" t="s">
        <v>15</v>
      </c>
      <c r="M28" s="338" t="s">
        <v>15</v>
      </c>
      <c r="N28" s="11" t="s">
        <v>15</v>
      </c>
      <c r="O28" s="333">
        <f>SUM(C28:N28)</f>
        <v>0</v>
      </c>
    </row>
    <row r="29" spans="1:15" ht="14.25" x14ac:dyDescent="0.2">
      <c r="A29" s="15" t="s">
        <v>167</v>
      </c>
      <c r="B29" s="10" t="s">
        <v>14</v>
      </c>
      <c r="C29" s="338" t="s">
        <v>15</v>
      </c>
      <c r="D29" s="338" t="s">
        <v>15</v>
      </c>
      <c r="E29" s="338" t="s">
        <v>15</v>
      </c>
      <c r="F29" s="338" t="s">
        <v>15</v>
      </c>
      <c r="G29" s="338" t="s">
        <v>15</v>
      </c>
      <c r="H29" s="338" t="s">
        <v>15</v>
      </c>
      <c r="I29" s="338" t="s">
        <v>15</v>
      </c>
      <c r="J29" s="338" t="s">
        <v>15</v>
      </c>
      <c r="K29" s="338" t="s">
        <v>15</v>
      </c>
      <c r="L29" s="338" t="s">
        <v>15</v>
      </c>
      <c r="M29" s="338" t="s">
        <v>15</v>
      </c>
      <c r="N29" s="11" t="s">
        <v>15</v>
      </c>
      <c r="O29" s="333">
        <f>SUM(C29:N29)</f>
        <v>0</v>
      </c>
    </row>
    <row r="30" spans="1:15" ht="14.25" x14ac:dyDescent="0.2">
      <c r="A30" s="15" t="s">
        <v>168</v>
      </c>
      <c r="B30" s="10" t="s">
        <v>14</v>
      </c>
      <c r="C30" s="338" t="s">
        <v>15</v>
      </c>
      <c r="D30" s="338" t="s">
        <v>15</v>
      </c>
      <c r="E30" s="338" t="s">
        <v>15</v>
      </c>
      <c r="F30" s="338" t="s">
        <v>15</v>
      </c>
      <c r="G30" s="338" t="s">
        <v>15</v>
      </c>
      <c r="H30" s="338" t="s">
        <v>15</v>
      </c>
      <c r="I30" s="338" t="s">
        <v>15</v>
      </c>
      <c r="J30" s="338" t="s">
        <v>15</v>
      </c>
      <c r="K30" s="338" t="s">
        <v>15</v>
      </c>
      <c r="L30" s="338" t="s">
        <v>15</v>
      </c>
      <c r="M30" s="338" t="s">
        <v>15</v>
      </c>
      <c r="N30" s="11" t="s">
        <v>15</v>
      </c>
      <c r="O30" s="333">
        <f>SUM(C30:N30)</f>
        <v>0</v>
      </c>
    </row>
    <row r="31" spans="1:15" ht="14.25" x14ac:dyDescent="0.2">
      <c r="A31" s="15" t="s">
        <v>73</v>
      </c>
      <c r="B31" s="10" t="s">
        <v>14</v>
      </c>
      <c r="C31" s="11" t="s">
        <v>15</v>
      </c>
      <c r="D31" s="11" t="s">
        <v>15</v>
      </c>
      <c r="E31" s="11" t="s">
        <v>15</v>
      </c>
      <c r="F31" s="11" t="s">
        <v>15</v>
      </c>
      <c r="G31" s="11" t="s">
        <v>15</v>
      </c>
      <c r="H31" s="11" t="s">
        <v>15</v>
      </c>
      <c r="I31" s="11" t="s">
        <v>15</v>
      </c>
      <c r="J31" s="11" t="s">
        <v>15</v>
      </c>
      <c r="K31" s="11" t="s">
        <v>15</v>
      </c>
      <c r="L31" s="11" t="s">
        <v>15</v>
      </c>
      <c r="M31" s="11" t="s">
        <v>15</v>
      </c>
      <c r="N31" s="11" t="s">
        <v>15</v>
      </c>
      <c r="O31" s="333">
        <f>SUM(C31:N31)</f>
        <v>0</v>
      </c>
    </row>
    <row r="32" spans="1:15" ht="14.25" x14ac:dyDescent="0.2">
      <c r="A32" s="15" t="s">
        <v>169</v>
      </c>
      <c r="B32" s="10" t="s">
        <v>14</v>
      </c>
      <c r="C32" s="338" t="s">
        <v>15</v>
      </c>
      <c r="D32" s="338" t="s">
        <v>15</v>
      </c>
      <c r="E32" s="338" t="s">
        <v>15</v>
      </c>
      <c r="F32" s="338" t="s">
        <v>15</v>
      </c>
      <c r="G32" s="338" t="s">
        <v>15</v>
      </c>
      <c r="H32" s="338" t="s">
        <v>15</v>
      </c>
      <c r="I32" s="338" t="s">
        <v>15</v>
      </c>
      <c r="J32" s="338" t="s">
        <v>15</v>
      </c>
      <c r="K32" s="338" t="s">
        <v>15</v>
      </c>
      <c r="L32" s="338" t="s">
        <v>15</v>
      </c>
      <c r="M32" s="338" t="s">
        <v>15</v>
      </c>
      <c r="N32" s="11" t="s">
        <v>15</v>
      </c>
      <c r="O32" s="333">
        <f>SUM(C32:N32)</f>
        <v>0</v>
      </c>
    </row>
    <row r="33" spans="1:15" ht="14.25" x14ac:dyDescent="0.2">
      <c r="A33" s="15" t="s">
        <v>29</v>
      </c>
      <c r="B33" s="10" t="s">
        <v>14</v>
      </c>
      <c r="C33" s="11" t="s">
        <v>15</v>
      </c>
      <c r="D33" s="11" t="s">
        <v>15</v>
      </c>
      <c r="E33" s="11" t="s">
        <v>15</v>
      </c>
      <c r="F33" s="11" t="s">
        <v>15</v>
      </c>
      <c r="G33" s="11" t="s">
        <v>15</v>
      </c>
      <c r="H33" s="11" t="s">
        <v>15</v>
      </c>
      <c r="I33" s="11" t="s">
        <v>15</v>
      </c>
      <c r="J33" s="11" t="s">
        <v>15</v>
      </c>
      <c r="K33" s="11" t="s">
        <v>15</v>
      </c>
      <c r="L33" s="11" t="s">
        <v>15</v>
      </c>
      <c r="M33" s="11" t="s">
        <v>15</v>
      </c>
      <c r="N33" s="11" t="s">
        <v>15</v>
      </c>
      <c r="O33" s="333">
        <f>SUM(C33:N33)</f>
        <v>0</v>
      </c>
    </row>
    <row r="34" spans="1:15" ht="14.25" x14ac:dyDescent="0.2">
      <c r="A34" s="15" t="s">
        <v>30</v>
      </c>
      <c r="B34" s="10" t="s">
        <v>14</v>
      </c>
      <c r="C34" s="11" t="s">
        <v>15</v>
      </c>
      <c r="D34" s="11" t="s">
        <v>15</v>
      </c>
      <c r="E34" s="11" t="s">
        <v>15</v>
      </c>
      <c r="F34" s="11" t="s">
        <v>15</v>
      </c>
      <c r="G34" s="11" t="s">
        <v>15</v>
      </c>
      <c r="H34" s="11" t="s">
        <v>15</v>
      </c>
      <c r="I34" s="11" t="s">
        <v>15</v>
      </c>
      <c r="J34" s="11" t="s">
        <v>15</v>
      </c>
      <c r="K34" s="11" t="s">
        <v>15</v>
      </c>
      <c r="L34" s="11" t="s">
        <v>15</v>
      </c>
      <c r="M34" s="11" t="s">
        <v>15</v>
      </c>
      <c r="N34" s="11" t="s">
        <v>15</v>
      </c>
      <c r="O34" s="333">
        <f>SUM(C34:N34)</f>
        <v>0</v>
      </c>
    </row>
    <row r="35" spans="1:15" ht="14.25" x14ac:dyDescent="0.2">
      <c r="A35" s="15" t="s">
        <v>74</v>
      </c>
      <c r="B35" s="10" t="s">
        <v>14</v>
      </c>
      <c r="C35" s="338" t="s">
        <v>15</v>
      </c>
      <c r="D35" s="338" t="s">
        <v>15</v>
      </c>
      <c r="E35" s="338" t="s">
        <v>15</v>
      </c>
      <c r="F35" s="338" t="s">
        <v>15</v>
      </c>
      <c r="G35" s="338" t="s">
        <v>15</v>
      </c>
      <c r="H35" s="338" t="s">
        <v>15</v>
      </c>
      <c r="I35" s="338" t="s">
        <v>15</v>
      </c>
      <c r="J35" s="338" t="s">
        <v>15</v>
      </c>
      <c r="K35" s="338" t="s">
        <v>15</v>
      </c>
      <c r="L35" s="338" t="s">
        <v>15</v>
      </c>
      <c r="M35" s="338" t="s">
        <v>15</v>
      </c>
      <c r="N35" s="11" t="s">
        <v>15</v>
      </c>
      <c r="O35" s="333">
        <f>SUM(C35:N35)</f>
        <v>0</v>
      </c>
    </row>
    <row r="36" spans="1:15" ht="14.25" x14ac:dyDescent="0.2">
      <c r="A36" s="15" t="s">
        <v>75</v>
      </c>
      <c r="B36" s="10" t="s">
        <v>14</v>
      </c>
      <c r="C36" s="338" t="s">
        <v>15</v>
      </c>
      <c r="D36" s="338" t="s">
        <v>15</v>
      </c>
      <c r="E36" s="338" t="s">
        <v>15</v>
      </c>
      <c r="F36" s="338" t="s">
        <v>15</v>
      </c>
      <c r="G36" s="338" t="s">
        <v>15</v>
      </c>
      <c r="H36" s="338" t="s">
        <v>15</v>
      </c>
      <c r="I36" s="338" t="s">
        <v>15</v>
      </c>
      <c r="J36" s="338" t="s">
        <v>15</v>
      </c>
      <c r="K36" s="338" t="s">
        <v>15</v>
      </c>
      <c r="L36" s="338" t="s">
        <v>15</v>
      </c>
      <c r="M36" s="338" t="s">
        <v>15</v>
      </c>
      <c r="N36" s="11" t="s">
        <v>15</v>
      </c>
      <c r="O36" s="333">
        <f>SUM(C36:N36)</f>
        <v>0</v>
      </c>
    </row>
    <row r="37" spans="1:15" ht="14.25" x14ac:dyDescent="0.2">
      <c r="A37" s="15" t="s">
        <v>76</v>
      </c>
      <c r="B37" s="10" t="s">
        <v>14</v>
      </c>
      <c r="C37" s="338" t="s">
        <v>15</v>
      </c>
      <c r="D37" s="338" t="s">
        <v>15</v>
      </c>
      <c r="E37" s="338" t="s">
        <v>15</v>
      </c>
      <c r="F37" s="338" t="s">
        <v>15</v>
      </c>
      <c r="G37" s="338" t="s">
        <v>15</v>
      </c>
      <c r="H37" s="338" t="s">
        <v>15</v>
      </c>
      <c r="I37" s="338" t="s">
        <v>15</v>
      </c>
      <c r="J37" s="338" t="s">
        <v>15</v>
      </c>
      <c r="K37" s="338" t="s">
        <v>15</v>
      </c>
      <c r="L37" s="338" t="s">
        <v>15</v>
      </c>
      <c r="M37" s="338" t="s">
        <v>15</v>
      </c>
      <c r="N37" s="11" t="s">
        <v>15</v>
      </c>
      <c r="O37" s="333">
        <f>SUM(C37:N37)</f>
        <v>0</v>
      </c>
    </row>
    <row r="38" spans="1:15" ht="14.25" x14ac:dyDescent="0.2">
      <c r="A38" s="15" t="s">
        <v>77</v>
      </c>
      <c r="B38" s="10" t="s">
        <v>14</v>
      </c>
      <c r="C38" s="338" t="s">
        <v>15</v>
      </c>
      <c r="D38" s="338" t="s">
        <v>15</v>
      </c>
      <c r="E38" s="338" t="s">
        <v>15</v>
      </c>
      <c r="F38" s="338" t="s">
        <v>15</v>
      </c>
      <c r="G38" s="338" t="s">
        <v>15</v>
      </c>
      <c r="H38" s="338" t="s">
        <v>15</v>
      </c>
      <c r="I38" s="338" t="s">
        <v>15</v>
      </c>
      <c r="J38" s="338" t="s">
        <v>15</v>
      </c>
      <c r="K38" s="338" t="s">
        <v>15</v>
      </c>
      <c r="L38" s="338" t="s">
        <v>15</v>
      </c>
      <c r="M38" s="338" t="s">
        <v>15</v>
      </c>
      <c r="N38" s="11" t="s">
        <v>15</v>
      </c>
      <c r="O38" s="333">
        <f>SUM(C38:N38)</f>
        <v>0</v>
      </c>
    </row>
    <row r="39" spans="1:15" ht="14.25" x14ac:dyDescent="0.2">
      <c r="A39" s="15" t="s">
        <v>78</v>
      </c>
      <c r="B39" s="10" t="s">
        <v>14</v>
      </c>
      <c r="C39" s="11" t="s">
        <v>15</v>
      </c>
      <c r="D39" s="11" t="s">
        <v>15</v>
      </c>
      <c r="E39" s="11" t="s">
        <v>15</v>
      </c>
      <c r="F39" s="11" t="s">
        <v>15</v>
      </c>
      <c r="G39" s="11" t="s">
        <v>15</v>
      </c>
      <c r="H39" s="11" t="s">
        <v>15</v>
      </c>
      <c r="I39" s="11" t="s">
        <v>15</v>
      </c>
      <c r="J39" s="11" t="s">
        <v>15</v>
      </c>
      <c r="K39" s="11" t="s">
        <v>15</v>
      </c>
      <c r="L39" s="11" t="s">
        <v>15</v>
      </c>
      <c r="M39" s="11" t="s">
        <v>15</v>
      </c>
      <c r="N39" s="11" t="s">
        <v>15</v>
      </c>
      <c r="O39" s="333">
        <f>SUM(C39:N39)</f>
        <v>0</v>
      </c>
    </row>
    <row r="40" spans="1:15" ht="14.25" x14ac:dyDescent="0.2">
      <c r="A40" s="15" t="s">
        <v>79</v>
      </c>
      <c r="B40" s="10" t="s">
        <v>14</v>
      </c>
      <c r="C40" s="11" t="s">
        <v>15</v>
      </c>
      <c r="D40" s="11" t="s">
        <v>15</v>
      </c>
      <c r="E40" s="11" t="s">
        <v>15</v>
      </c>
      <c r="F40" s="11" t="s">
        <v>15</v>
      </c>
      <c r="G40" s="11" t="s">
        <v>15</v>
      </c>
      <c r="H40" s="11" t="s">
        <v>15</v>
      </c>
      <c r="I40" s="11" t="s">
        <v>15</v>
      </c>
      <c r="J40" s="11" t="s">
        <v>15</v>
      </c>
      <c r="K40" s="11" t="s">
        <v>15</v>
      </c>
      <c r="L40" s="11" t="s">
        <v>15</v>
      </c>
      <c r="M40" s="11" t="s">
        <v>15</v>
      </c>
      <c r="N40" s="11" t="s">
        <v>15</v>
      </c>
      <c r="O40" s="333">
        <f>SUM(C40:N40)</f>
        <v>0</v>
      </c>
    </row>
    <row r="41" spans="1:15" ht="14.25" x14ac:dyDescent="0.2">
      <c r="A41" s="15" t="s">
        <v>80</v>
      </c>
      <c r="B41" s="10" t="s">
        <v>14</v>
      </c>
      <c r="C41" s="11" t="s">
        <v>15</v>
      </c>
      <c r="D41" s="11" t="s">
        <v>15</v>
      </c>
      <c r="E41" s="11" t="s">
        <v>15</v>
      </c>
      <c r="F41" s="11" t="s">
        <v>15</v>
      </c>
      <c r="G41" s="11" t="s">
        <v>15</v>
      </c>
      <c r="H41" s="11" t="s">
        <v>15</v>
      </c>
      <c r="I41" s="11" t="s">
        <v>15</v>
      </c>
      <c r="J41" s="11" t="s">
        <v>15</v>
      </c>
      <c r="K41" s="11" t="s">
        <v>15</v>
      </c>
      <c r="L41" s="11" t="s">
        <v>15</v>
      </c>
      <c r="M41" s="11" t="s">
        <v>15</v>
      </c>
      <c r="N41" s="11" t="s">
        <v>15</v>
      </c>
      <c r="O41" s="333">
        <f>SUM(C41:N41)</f>
        <v>0</v>
      </c>
    </row>
    <row r="42" spans="1:15" ht="14.25" x14ac:dyDescent="0.2">
      <c r="A42" s="15" t="s">
        <v>133</v>
      </c>
      <c r="B42" s="10" t="s">
        <v>14</v>
      </c>
      <c r="C42" s="11" t="s">
        <v>15</v>
      </c>
      <c r="D42" s="11" t="s">
        <v>15</v>
      </c>
      <c r="E42" s="11" t="s">
        <v>15</v>
      </c>
      <c r="F42" s="11" t="s">
        <v>15</v>
      </c>
      <c r="G42" s="11" t="s">
        <v>15</v>
      </c>
      <c r="H42" s="11" t="s">
        <v>15</v>
      </c>
      <c r="I42" s="11" t="s">
        <v>15</v>
      </c>
      <c r="J42" s="11" t="s">
        <v>15</v>
      </c>
      <c r="K42" s="11" t="s">
        <v>15</v>
      </c>
      <c r="L42" s="11" t="s">
        <v>15</v>
      </c>
      <c r="M42" s="11" t="s">
        <v>15</v>
      </c>
      <c r="N42" s="11" t="s">
        <v>15</v>
      </c>
      <c r="O42" s="333">
        <f>SUM(C42:N42)</f>
        <v>0</v>
      </c>
    </row>
    <row r="43" spans="1:15" s="283" customFormat="1" x14ac:dyDescent="0.2">
      <c r="A43" s="12" t="s">
        <v>210</v>
      </c>
      <c r="B43" s="12" t="s">
        <v>14</v>
      </c>
      <c r="C43" s="338" t="s">
        <v>15</v>
      </c>
      <c r="D43" s="338" t="s">
        <v>15</v>
      </c>
      <c r="E43" s="338" t="s">
        <v>15</v>
      </c>
      <c r="F43" s="338" t="s">
        <v>15</v>
      </c>
      <c r="G43" s="338" t="s">
        <v>15</v>
      </c>
      <c r="H43" s="338" t="s">
        <v>15</v>
      </c>
      <c r="I43" s="338" t="s">
        <v>15</v>
      </c>
      <c r="J43" s="338" t="s">
        <v>15</v>
      </c>
      <c r="K43" s="338" t="s">
        <v>15</v>
      </c>
      <c r="L43" s="338" t="s">
        <v>15</v>
      </c>
      <c r="M43" s="338" t="s">
        <v>15</v>
      </c>
      <c r="N43" s="11" t="s">
        <v>15</v>
      </c>
      <c r="O43" s="333">
        <f>SUM(C43:N43)</f>
        <v>0</v>
      </c>
    </row>
    <row r="44" spans="1:15" ht="14.25" x14ac:dyDescent="0.2">
      <c r="A44" s="15" t="s">
        <v>170</v>
      </c>
      <c r="B44" s="10" t="s">
        <v>14</v>
      </c>
      <c r="C44" s="338" t="s">
        <v>15</v>
      </c>
      <c r="D44" s="338" t="s">
        <v>15</v>
      </c>
      <c r="E44" s="338" t="s">
        <v>15</v>
      </c>
      <c r="F44" s="338" t="s">
        <v>15</v>
      </c>
      <c r="G44" s="338" t="s">
        <v>15</v>
      </c>
      <c r="H44" s="338" t="s">
        <v>15</v>
      </c>
      <c r="I44" s="338" t="s">
        <v>15</v>
      </c>
      <c r="J44" s="338" t="s">
        <v>15</v>
      </c>
      <c r="K44" s="338" t="s">
        <v>15</v>
      </c>
      <c r="L44" s="338" t="s">
        <v>15</v>
      </c>
      <c r="M44" s="338" t="s">
        <v>15</v>
      </c>
      <c r="N44" s="11" t="s">
        <v>15</v>
      </c>
      <c r="O44" s="333">
        <f>SUM(C44:N44)</f>
        <v>0</v>
      </c>
    </row>
    <row r="45" spans="1:15" ht="14.25" x14ac:dyDescent="0.2">
      <c r="A45" s="182" t="s">
        <v>195</v>
      </c>
      <c r="B45" s="10" t="s">
        <v>14</v>
      </c>
      <c r="C45" s="11" t="s">
        <v>15</v>
      </c>
      <c r="D45" s="11" t="s">
        <v>15</v>
      </c>
      <c r="E45" s="11" t="s">
        <v>15</v>
      </c>
      <c r="F45" s="11" t="s">
        <v>15</v>
      </c>
      <c r="G45" s="11" t="s">
        <v>15</v>
      </c>
      <c r="H45" s="11" t="s">
        <v>15</v>
      </c>
      <c r="I45" s="11" t="s">
        <v>15</v>
      </c>
      <c r="J45" s="11" t="s">
        <v>15</v>
      </c>
      <c r="K45" s="11" t="s">
        <v>15</v>
      </c>
      <c r="L45" s="11" t="s">
        <v>15</v>
      </c>
      <c r="M45" s="11" t="s">
        <v>15</v>
      </c>
      <c r="N45" s="11" t="s">
        <v>15</v>
      </c>
      <c r="O45" s="333">
        <f>SUM(C45:N45)</f>
        <v>0</v>
      </c>
    </row>
    <row r="46" spans="1:15" ht="14.25" x14ac:dyDescent="0.2">
      <c r="A46" s="15" t="s">
        <v>256</v>
      </c>
      <c r="B46" s="10" t="s">
        <v>14</v>
      </c>
      <c r="C46" s="338" t="s">
        <v>15</v>
      </c>
      <c r="D46" s="338" t="s">
        <v>15</v>
      </c>
      <c r="E46" s="338" t="s">
        <v>15</v>
      </c>
      <c r="F46" s="338" t="s">
        <v>15</v>
      </c>
      <c r="G46" s="338" t="s">
        <v>15</v>
      </c>
      <c r="H46" s="338" t="s">
        <v>15</v>
      </c>
      <c r="I46" s="338" t="s">
        <v>15</v>
      </c>
      <c r="J46" s="338" t="s">
        <v>15</v>
      </c>
      <c r="K46" s="338" t="s">
        <v>15</v>
      </c>
      <c r="L46" s="338" t="s">
        <v>15</v>
      </c>
      <c r="M46" s="338" t="s">
        <v>15</v>
      </c>
      <c r="N46" s="11" t="s">
        <v>15</v>
      </c>
      <c r="O46" s="333">
        <f>SUM(C46:N46)</f>
        <v>0</v>
      </c>
    </row>
    <row r="47" spans="1:15" ht="14.25" x14ac:dyDescent="0.2">
      <c r="A47" s="15" t="s">
        <v>205</v>
      </c>
      <c r="B47" s="10" t="s">
        <v>14</v>
      </c>
      <c r="C47" s="11" t="s">
        <v>15</v>
      </c>
      <c r="D47" s="11" t="s">
        <v>15</v>
      </c>
      <c r="E47" s="11" t="s">
        <v>15</v>
      </c>
      <c r="F47" s="11" t="s">
        <v>15</v>
      </c>
      <c r="G47" s="11" t="s">
        <v>15</v>
      </c>
      <c r="H47" s="11" t="s">
        <v>15</v>
      </c>
      <c r="I47" s="11" t="s">
        <v>15</v>
      </c>
      <c r="J47" s="11" t="s">
        <v>15</v>
      </c>
      <c r="K47" s="11" t="s">
        <v>15</v>
      </c>
      <c r="L47" s="11" t="s">
        <v>15</v>
      </c>
      <c r="M47" s="11" t="s">
        <v>15</v>
      </c>
      <c r="N47" s="11" t="s">
        <v>15</v>
      </c>
      <c r="O47" s="333">
        <f>SUM(C47:N47)</f>
        <v>0</v>
      </c>
    </row>
    <row r="48" spans="1:15" ht="14.25" x14ac:dyDescent="0.2">
      <c r="A48" s="15" t="s">
        <v>207</v>
      </c>
      <c r="B48" s="10" t="s">
        <v>14</v>
      </c>
      <c r="C48" s="11" t="s">
        <v>15</v>
      </c>
      <c r="D48" s="11" t="s">
        <v>15</v>
      </c>
      <c r="E48" s="11" t="s">
        <v>15</v>
      </c>
      <c r="F48" s="11" t="s">
        <v>15</v>
      </c>
      <c r="G48" s="11" t="s">
        <v>15</v>
      </c>
      <c r="H48" s="11" t="s">
        <v>15</v>
      </c>
      <c r="I48" s="11" t="s">
        <v>15</v>
      </c>
      <c r="J48" s="11" t="s">
        <v>15</v>
      </c>
      <c r="K48" s="11" t="s">
        <v>15</v>
      </c>
      <c r="L48" s="11" t="s">
        <v>15</v>
      </c>
      <c r="M48" s="11" t="s">
        <v>15</v>
      </c>
      <c r="N48" s="11" t="s">
        <v>15</v>
      </c>
      <c r="O48" s="333">
        <f>SUM(C48:N48)</f>
        <v>0</v>
      </c>
    </row>
    <row r="49" spans="1:16" ht="14.25" x14ac:dyDescent="0.2">
      <c r="A49" s="15" t="s">
        <v>257</v>
      </c>
      <c r="B49" s="10" t="s">
        <v>14</v>
      </c>
      <c r="C49" s="338" t="s">
        <v>15</v>
      </c>
      <c r="D49" s="338" t="s">
        <v>15</v>
      </c>
      <c r="E49" s="338" t="s">
        <v>15</v>
      </c>
      <c r="F49" s="338" t="s">
        <v>15</v>
      </c>
      <c r="G49" s="338" t="s">
        <v>15</v>
      </c>
      <c r="H49" s="338" t="s">
        <v>15</v>
      </c>
      <c r="I49" s="338" t="s">
        <v>15</v>
      </c>
      <c r="J49" s="338" t="s">
        <v>15</v>
      </c>
      <c r="K49" s="338" t="s">
        <v>15</v>
      </c>
      <c r="L49" s="338" t="s">
        <v>15</v>
      </c>
      <c r="M49" s="338" t="s">
        <v>15</v>
      </c>
      <c r="N49" s="11" t="s">
        <v>15</v>
      </c>
      <c r="O49" s="333">
        <f>SUM(C49:N49)</f>
        <v>0</v>
      </c>
    </row>
    <row r="50" spans="1:16" ht="14.25" x14ac:dyDescent="0.2">
      <c r="A50" s="15" t="s">
        <v>258</v>
      </c>
      <c r="B50" s="10" t="s">
        <v>14</v>
      </c>
      <c r="C50" s="338" t="s">
        <v>15</v>
      </c>
      <c r="D50" s="338" t="s">
        <v>15</v>
      </c>
      <c r="E50" s="338" t="s">
        <v>15</v>
      </c>
      <c r="F50" s="338" t="s">
        <v>15</v>
      </c>
      <c r="G50" s="338" t="s">
        <v>15</v>
      </c>
      <c r="H50" s="338" t="s">
        <v>15</v>
      </c>
      <c r="I50" s="338" t="s">
        <v>15</v>
      </c>
      <c r="J50" s="338" t="s">
        <v>15</v>
      </c>
      <c r="K50" s="338" t="s">
        <v>15</v>
      </c>
      <c r="L50" s="338" t="s">
        <v>15</v>
      </c>
      <c r="M50" s="338" t="s">
        <v>15</v>
      </c>
      <c r="N50" s="11" t="s">
        <v>15</v>
      </c>
      <c r="O50" s="333">
        <f>SUM(C50:N50)</f>
        <v>0</v>
      </c>
    </row>
    <row r="51" spans="1:16" ht="14.25" x14ac:dyDescent="0.2">
      <c r="A51" s="260" t="s">
        <v>41</v>
      </c>
      <c r="B51" s="10" t="s">
        <v>14</v>
      </c>
      <c r="C51" s="11" t="s">
        <v>15</v>
      </c>
      <c r="D51" s="11" t="s">
        <v>15</v>
      </c>
      <c r="E51" s="11" t="s">
        <v>15</v>
      </c>
      <c r="F51" s="11" t="s">
        <v>15</v>
      </c>
      <c r="G51" s="11" t="s">
        <v>15</v>
      </c>
      <c r="H51" s="11" t="s">
        <v>15</v>
      </c>
      <c r="I51" s="11" t="s">
        <v>15</v>
      </c>
      <c r="J51" s="11" t="s">
        <v>15</v>
      </c>
      <c r="K51" s="11" t="s">
        <v>15</v>
      </c>
      <c r="L51" s="11" t="s">
        <v>15</v>
      </c>
      <c r="M51" s="11" t="s">
        <v>15</v>
      </c>
      <c r="N51" s="11" t="s">
        <v>15</v>
      </c>
      <c r="O51" s="333">
        <f>SUM(C51:N51)</f>
        <v>0</v>
      </c>
    </row>
    <row r="52" spans="1:16" ht="14.25" x14ac:dyDescent="0.2">
      <c r="A52" s="15" t="s">
        <v>61</v>
      </c>
      <c r="B52" s="10" t="s">
        <v>14</v>
      </c>
      <c r="C52" s="11" t="s">
        <v>15</v>
      </c>
      <c r="D52" s="11" t="s">
        <v>15</v>
      </c>
      <c r="E52" s="11" t="s">
        <v>15</v>
      </c>
      <c r="F52" s="11" t="s">
        <v>15</v>
      </c>
      <c r="G52" s="11" t="s">
        <v>15</v>
      </c>
      <c r="H52" s="11" t="s">
        <v>15</v>
      </c>
      <c r="I52" s="11" t="s">
        <v>15</v>
      </c>
      <c r="J52" s="11" t="s">
        <v>15</v>
      </c>
      <c r="K52" s="11" t="s">
        <v>15</v>
      </c>
      <c r="L52" s="11" t="s">
        <v>15</v>
      </c>
      <c r="M52" s="11" t="s">
        <v>15</v>
      </c>
      <c r="N52" s="11" t="s">
        <v>15</v>
      </c>
      <c r="O52" s="333">
        <f>SUM(C52:N52)</f>
        <v>0</v>
      </c>
    </row>
    <row r="53" spans="1:16" ht="14.25" x14ac:dyDescent="0.2">
      <c r="A53" s="15" t="s">
        <v>81</v>
      </c>
      <c r="B53" s="10" t="s">
        <v>14</v>
      </c>
      <c r="C53" s="11" t="s">
        <v>15</v>
      </c>
      <c r="D53" s="11" t="s">
        <v>15</v>
      </c>
      <c r="E53" s="11" t="s">
        <v>15</v>
      </c>
      <c r="F53" s="11" t="s">
        <v>15</v>
      </c>
      <c r="G53" s="11" t="s">
        <v>15</v>
      </c>
      <c r="H53" s="11" t="s">
        <v>15</v>
      </c>
      <c r="I53" s="11" t="s">
        <v>15</v>
      </c>
      <c r="J53" s="11" t="s">
        <v>15</v>
      </c>
      <c r="K53" s="11" t="s">
        <v>15</v>
      </c>
      <c r="L53" s="11" t="s">
        <v>15</v>
      </c>
      <c r="M53" s="11" t="s">
        <v>15</v>
      </c>
      <c r="N53" s="11" t="s">
        <v>15</v>
      </c>
      <c r="O53" s="333">
        <f>SUM(C53:N53)</f>
        <v>0</v>
      </c>
    </row>
    <row r="54" spans="1:16" ht="14.25" x14ac:dyDescent="0.2">
      <c r="A54" s="15" t="s">
        <v>33</v>
      </c>
      <c r="B54" s="10" t="s">
        <v>14</v>
      </c>
      <c r="C54" s="11" t="s">
        <v>15</v>
      </c>
      <c r="D54" s="11" t="s">
        <v>15</v>
      </c>
      <c r="E54" s="11" t="s">
        <v>15</v>
      </c>
      <c r="F54" s="11" t="s">
        <v>15</v>
      </c>
      <c r="G54" s="11" t="s">
        <v>15</v>
      </c>
      <c r="H54" s="11" t="s">
        <v>15</v>
      </c>
      <c r="I54" s="11" t="s">
        <v>15</v>
      </c>
      <c r="J54" s="11" t="s">
        <v>15</v>
      </c>
      <c r="K54" s="11" t="s">
        <v>15</v>
      </c>
      <c r="L54" s="11" t="s">
        <v>15</v>
      </c>
      <c r="M54" s="11" t="s">
        <v>15</v>
      </c>
      <c r="N54" s="11" t="s">
        <v>15</v>
      </c>
      <c r="O54" s="333">
        <f>SUM(C54:N54)</f>
        <v>0</v>
      </c>
    </row>
    <row r="55" spans="1:16" s="39" customFormat="1" ht="14.25" x14ac:dyDescent="0.2">
      <c r="A55" s="40" t="s">
        <v>32</v>
      </c>
      <c r="B55" s="10" t="s">
        <v>14</v>
      </c>
      <c r="C55" s="333" t="s">
        <v>15</v>
      </c>
      <c r="D55" s="333" t="s">
        <v>15</v>
      </c>
      <c r="E55" s="333" t="s">
        <v>15</v>
      </c>
      <c r="F55" s="333" t="s">
        <v>15</v>
      </c>
      <c r="G55" s="333" t="s">
        <v>15</v>
      </c>
      <c r="H55" s="333" t="s">
        <v>15</v>
      </c>
      <c r="I55" s="333" t="s">
        <v>15</v>
      </c>
      <c r="J55" s="333" t="s">
        <v>15</v>
      </c>
      <c r="K55" s="333" t="s">
        <v>15</v>
      </c>
      <c r="L55" s="333" t="s">
        <v>15</v>
      </c>
      <c r="M55" s="333" t="s">
        <v>15</v>
      </c>
      <c r="N55" s="333" t="s">
        <v>15</v>
      </c>
      <c r="O55" s="333">
        <f>SUM(C55:N55)</f>
        <v>0</v>
      </c>
      <c r="P55" s="2"/>
    </row>
    <row r="56" spans="1:16" ht="14.25" x14ac:dyDescent="0.2">
      <c r="A56" s="15" t="s">
        <v>31</v>
      </c>
      <c r="B56" s="10" t="s">
        <v>14</v>
      </c>
      <c r="C56" s="11" t="s">
        <v>15</v>
      </c>
      <c r="D56" s="11" t="s">
        <v>15</v>
      </c>
      <c r="E56" s="11" t="s">
        <v>15</v>
      </c>
      <c r="F56" s="11" t="s">
        <v>15</v>
      </c>
      <c r="G56" s="11" t="s">
        <v>15</v>
      </c>
      <c r="H56" s="11" t="s">
        <v>15</v>
      </c>
      <c r="I56" s="11" t="s">
        <v>15</v>
      </c>
      <c r="J56" s="11" t="s">
        <v>15</v>
      </c>
      <c r="K56" s="11" t="s">
        <v>15</v>
      </c>
      <c r="L56" s="11" t="s">
        <v>15</v>
      </c>
      <c r="M56" s="11" t="s">
        <v>15</v>
      </c>
      <c r="N56" s="11" t="s">
        <v>15</v>
      </c>
      <c r="O56" s="333">
        <f>SUM(C56:N56)</f>
        <v>0</v>
      </c>
    </row>
    <row r="57" spans="1:16" ht="14.25" x14ac:dyDescent="0.2">
      <c r="A57" s="15" t="s">
        <v>59</v>
      </c>
      <c r="B57" s="10" t="s">
        <v>14</v>
      </c>
      <c r="C57" s="11" t="s">
        <v>15</v>
      </c>
      <c r="D57" s="11" t="s">
        <v>15</v>
      </c>
      <c r="E57" s="11" t="s">
        <v>15</v>
      </c>
      <c r="F57" s="11" t="s">
        <v>15</v>
      </c>
      <c r="G57" s="11" t="s">
        <v>15</v>
      </c>
      <c r="H57" s="11" t="s">
        <v>15</v>
      </c>
      <c r="I57" s="11" t="s">
        <v>15</v>
      </c>
      <c r="J57" s="11" t="s">
        <v>15</v>
      </c>
      <c r="K57" s="11" t="s">
        <v>15</v>
      </c>
      <c r="L57" s="11" t="s">
        <v>15</v>
      </c>
      <c r="M57" s="11" t="s">
        <v>15</v>
      </c>
      <c r="N57" s="11" t="s">
        <v>15</v>
      </c>
      <c r="O57" s="333">
        <f>SUM(C57:N57)</f>
        <v>0</v>
      </c>
    </row>
    <row r="58" spans="1:16" s="39" customFormat="1" ht="14.25" x14ac:dyDescent="0.2">
      <c r="A58" s="40" t="s">
        <v>161</v>
      </c>
      <c r="B58" s="10" t="s">
        <v>14</v>
      </c>
      <c r="C58" s="333" t="s">
        <v>15</v>
      </c>
      <c r="D58" s="333" t="s">
        <v>15</v>
      </c>
      <c r="E58" s="333" t="s">
        <v>15</v>
      </c>
      <c r="F58" s="333" t="s">
        <v>15</v>
      </c>
      <c r="G58" s="333" t="s">
        <v>15</v>
      </c>
      <c r="H58" s="333" t="s">
        <v>15</v>
      </c>
      <c r="I58" s="333" t="s">
        <v>15</v>
      </c>
      <c r="J58" s="333" t="s">
        <v>15</v>
      </c>
      <c r="K58" s="333" t="s">
        <v>15</v>
      </c>
      <c r="L58" s="333" t="s">
        <v>15</v>
      </c>
      <c r="M58" s="333" t="s">
        <v>15</v>
      </c>
      <c r="N58" s="333" t="s">
        <v>15</v>
      </c>
      <c r="O58" s="333">
        <f>SUM(C58:N58)</f>
        <v>0</v>
      </c>
      <c r="P58" s="2"/>
    </row>
    <row r="59" spans="1:16" s="39" customFormat="1" ht="14.25" x14ac:dyDescent="0.2">
      <c r="A59" s="184" t="s">
        <v>173</v>
      </c>
      <c r="B59" s="10" t="s">
        <v>14</v>
      </c>
      <c r="C59" s="333" t="s">
        <v>15</v>
      </c>
      <c r="D59" s="333" t="s">
        <v>15</v>
      </c>
      <c r="E59" s="333" t="s">
        <v>15</v>
      </c>
      <c r="F59" s="333" t="s">
        <v>15</v>
      </c>
      <c r="G59" s="333" t="s">
        <v>15</v>
      </c>
      <c r="H59" s="333" t="s">
        <v>15</v>
      </c>
      <c r="I59" s="333" t="s">
        <v>15</v>
      </c>
      <c r="J59" s="333" t="s">
        <v>15</v>
      </c>
      <c r="K59" s="333" t="s">
        <v>15</v>
      </c>
      <c r="L59" s="333" t="s">
        <v>15</v>
      </c>
      <c r="M59" s="333" t="s">
        <v>15</v>
      </c>
      <c r="N59" s="333" t="s">
        <v>15</v>
      </c>
      <c r="O59" s="333">
        <f>SUM(C59:N59)</f>
        <v>0</v>
      </c>
      <c r="P59" s="2"/>
    </row>
    <row r="60" spans="1:16" s="39" customFormat="1" ht="14.25" x14ac:dyDescent="0.2">
      <c r="A60" s="40" t="s">
        <v>179</v>
      </c>
      <c r="B60" s="10" t="s">
        <v>14</v>
      </c>
      <c r="C60" s="333" t="s">
        <v>15</v>
      </c>
      <c r="D60" s="333" t="s">
        <v>15</v>
      </c>
      <c r="E60" s="333" t="s">
        <v>15</v>
      </c>
      <c r="F60" s="333" t="s">
        <v>15</v>
      </c>
      <c r="G60" s="333" t="s">
        <v>15</v>
      </c>
      <c r="H60" s="333" t="s">
        <v>15</v>
      </c>
      <c r="I60" s="333" t="s">
        <v>15</v>
      </c>
      <c r="J60" s="333" t="s">
        <v>15</v>
      </c>
      <c r="K60" s="333" t="s">
        <v>15</v>
      </c>
      <c r="L60" s="333" t="s">
        <v>15</v>
      </c>
      <c r="M60" s="333" t="s">
        <v>15</v>
      </c>
      <c r="N60" s="333" t="s">
        <v>15</v>
      </c>
      <c r="O60" s="333">
        <f>SUM(C60:N60)</f>
        <v>0</v>
      </c>
      <c r="P60" s="2"/>
    </row>
    <row r="61" spans="1:16" s="39" customFormat="1" ht="14.25" x14ac:dyDescent="0.2">
      <c r="A61" s="183" t="s">
        <v>47</v>
      </c>
      <c r="B61" s="10" t="s">
        <v>14</v>
      </c>
      <c r="C61" s="333" t="s">
        <v>15</v>
      </c>
      <c r="D61" s="333" t="s">
        <v>15</v>
      </c>
      <c r="E61" s="333" t="s">
        <v>15</v>
      </c>
      <c r="F61" s="333" t="s">
        <v>15</v>
      </c>
      <c r="G61" s="333" t="s">
        <v>15</v>
      </c>
      <c r="H61" s="333" t="s">
        <v>15</v>
      </c>
      <c r="I61" s="333" t="s">
        <v>15</v>
      </c>
      <c r="J61" s="333" t="s">
        <v>15</v>
      </c>
      <c r="K61" s="333" t="s">
        <v>15</v>
      </c>
      <c r="L61" s="333" t="s">
        <v>15</v>
      </c>
      <c r="M61" s="333" t="s">
        <v>15</v>
      </c>
      <c r="N61" s="333" t="s">
        <v>15</v>
      </c>
      <c r="O61" s="333">
        <f>SUM(C61:N61)</f>
        <v>0</v>
      </c>
      <c r="P61" s="2"/>
    </row>
    <row r="62" spans="1:16" s="39" customFormat="1" ht="14.25" x14ac:dyDescent="0.2">
      <c r="A62" s="184" t="s">
        <v>176</v>
      </c>
      <c r="B62" s="10" t="s">
        <v>14</v>
      </c>
      <c r="C62" s="333" t="s">
        <v>15</v>
      </c>
      <c r="D62" s="333" t="s">
        <v>15</v>
      </c>
      <c r="E62" s="333" t="s">
        <v>15</v>
      </c>
      <c r="F62" s="333" t="s">
        <v>15</v>
      </c>
      <c r="G62" s="333" t="s">
        <v>15</v>
      </c>
      <c r="H62" s="333" t="s">
        <v>15</v>
      </c>
      <c r="I62" s="333" t="s">
        <v>15</v>
      </c>
      <c r="J62" s="333" t="s">
        <v>15</v>
      </c>
      <c r="K62" s="333" t="s">
        <v>15</v>
      </c>
      <c r="L62" s="333" t="s">
        <v>15</v>
      </c>
      <c r="M62" s="333" t="s">
        <v>15</v>
      </c>
      <c r="N62" s="333" t="s">
        <v>15</v>
      </c>
      <c r="O62" s="333">
        <f>SUM(C62:N62)</f>
        <v>0</v>
      </c>
      <c r="P62" s="2"/>
    </row>
    <row r="63" spans="1:16" s="39" customFormat="1" ht="14.25" x14ac:dyDescent="0.2">
      <c r="A63" s="184" t="s">
        <v>163</v>
      </c>
      <c r="B63" s="10" t="s">
        <v>14</v>
      </c>
      <c r="C63" s="333" t="s">
        <v>15</v>
      </c>
      <c r="D63" s="333" t="s">
        <v>15</v>
      </c>
      <c r="E63" s="333" t="s">
        <v>15</v>
      </c>
      <c r="F63" s="333" t="s">
        <v>15</v>
      </c>
      <c r="G63" s="333" t="s">
        <v>15</v>
      </c>
      <c r="H63" s="333" t="s">
        <v>15</v>
      </c>
      <c r="I63" s="333" t="s">
        <v>15</v>
      </c>
      <c r="J63" s="333" t="s">
        <v>15</v>
      </c>
      <c r="K63" s="333" t="s">
        <v>15</v>
      </c>
      <c r="L63" s="333" t="s">
        <v>15</v>
      </c>
      <c r="M63" s="333" t="s">
        <v>15</v>
      </c>
      <c r="N63" s="333" t="s">
        <v>15</v>
      </c>
      <c r="O63" s="333">
        <f>SUM(C63:N63)</f>
        <v>0</v>
      </c>
      <c r="P63" s="2"/>
    </row>
    <row r="64" spans="1:16" s="39" customFormat="1" ht="14.25" x14ac:dyDescent="0.2">
      <c r="A64" s="200" t="s">
        <v>174</v>
      </c>
      <c r="B64" s="10" t="s">
        <v>14</v>
      </c>
      <c r="C64" s="333" t="s">
        <v>15</v>
      </c>
      <c r="D64" s="333" t="s">
        <v>15</v>
      </c>
      <c r="E64" s="333" t="s">
        <v>15</v>
      </c>
      <c r="F64" s="333" t="s">
        <v>15</v>
      </c>
      <c r="G64" s="333" t="s">
        <v>15</v>
      </c>
      <c r="H64" s="333" t="s">
        <v>15</v>
      </c>
      <c r="I64" s="333" t="s">
        <v>15</v>
      </c>
      <c r="J64" s="333" t="s">
        <v>15</v>
      </c>
      <c r="K64" s="333" t="s">
        <v>15</v>
      </c>
      <c r="L64" s="333" t="s">
        <v>15</v>
      </c>
      <c r="M64" s="333" t="s">
        <v>15</v>
      </c>
      <c r="N64" s="333" t="s">
        <v>15</v>
      </c>
      <c r="O64" s="333">
        <f>SUM(C64:N64)</f>
        <v>0</v>
      </c>
      <c r="P64" s="2"/>
    </row>
    <row r="65" spans="1:16" s="39" customFormat="1" ht="14.25" x14ac:dyDescent="0.2">
      <c r="A65" s="184" t="s">
        <v>160</v>
      </c>
      <c r="B65" s="10" t="s">
        <v>14</v>
      </c>
      <c r="C65" s="333" t="s">
        <v>15</v>
      </c>
      <c r="D65" s="333" t="s">
        <v>15</v>
      </c>
      <c r="E65" s="333" t="s">
        <v>15</v>
      </c>
      <c r="F65" s="333" t="s">
        <v>15</v>
      </c>
      <c r="G65" s="333" t="s">
        <v>15</v>
      </c>
      <c r="H65" s="333" t="s">
        <v>15</v>
      </c>
      <c r="I65" s="333" t="s">
        <v>15</v>
      </c>
      <c r="J65" s="333" t="s">
        <v>15</v>
      </c>
      <c r="K65" s="333" t="s">
        <v>15</v>
      </c>
      <c r="L65" s="333" t="s">
        <v>15</v>
      </c>
      <c r="M65" s="333" t="s">
        <v>15</v>
      </c>
      <c r="N65" s="333" t="s">
        <v>15</v>
      </c>
      <c r="O65" s="333">
        <f>SUM(C65:N65)</f>
        <v>0</v>
      </c>
      <c r="P65" s="2"/>
    </row>
    <row r="66" spans="1:16" s="39" customFormat="1" ht="14.25" x14ac:dyDescent="0.2">
      <c r="A66" s="184" t="s">
        <v>175</v>
      </c>
      <c r="B66" s="10" t="s">
        <v>14</v>
      </c>
      <c r="C66" s="333" t="s">
        <v>15</v>
      </c>
      <c r="D66" s="333" t="s">
        <v>15</v>
      </c>
      <c r="E66" s="333" t="s">
        <v>15</v>
      </c>
      <c r="F66" s="333" t="s">
        <v>15</v>
      </c>
      <c r="G66" s="333" t="s">
        <v>15</v>
      </c>
      <c r="H66" s="333" t="s">
        <v>15</v>
      </c>
      <c r="I66" s="333" t="s">
        <v>15</v>
      </c>
      <c r="J66" s="333" t="s">
        <v>15</v>
      </c>
      <c r="K66" s="333" t="s">
        <v>15</v>
      </c>
      <c r="L66" s="333" t="s">
        <v>15</v>
      </c>
      <c r="M66" s="333" t="s">
        <v>15</v>
      </c>
      <c r="N66" s="333" t="s">
        <v>15</v>
      </c>
      <c r="O66" s="333">
        <f>SUM(C66:N66)</f>
        <v>0</v>
      </c>
      <c r="P66" s="2"/>
    </row>
    <row r="67" spans="1:16" s="39" customFormat="1" ht="14.25" x14ac:dyDescent="0.2">
      <c r="A67" s="184" t="s">
        <v>164</v>
      </c>
      <c r="B67" s="10" t="s">
        <v>14</v>
      </c>
      <c r="C67" s="333" t="s">
        <v>15</v>
      </c>
      <c r="D67" s="333" t="s">
        <v>15</v>
      </c>
      <c r="E67" s="333" t="s">
        <v>15</v>
      </c>
      <c r="F67" s="333" t="s">
        <v>15</v>
      </c>
      <c r="G67" s="333" t="s">
        <v>15</v>
      </c>
      <c r="H67" s="333" t="s">
        <v>15</v>
      </c>
      <c r="I67" s="333" t="s">
        <v>15</v>
      </c>
      <c r="J67" s="333" t="s">
        <v>15</v>
      </c>
      <c r="K67" s="333" t="s">
        <v>15</v>
      </c>
      <c r="L67" s="333" t="s">
        <v>15</v>
      </c>
      <c r="M67" s="333" t="s">
        <v>15</v>
      </c>
      <c r="N67" s="333" t="s">
        <v>15</v>
      </c>
      <c r="O67" s="333">
        <f>SUM(C67:N67)</f>
        <v>0</v>
      </c>
      <c r="P67" s="2"/>
    </row>
    <row r="68" spans="1:16" s="39" customFormat="1" ht="14.25" x14ac:dyDescent="0.2">
      <c r="A68" s="183" t="s">
        <v>131</v>
      </c>
      <c r="B68" s="10" t="s">
        <v>14</v>
      </c>
      <c r="C68" s="333" t="s">
        <v>15</v>
      </c>
      <c r="D68" s="333" t="s">
        <v>15</v>
      </c>
      <c r="E68" s="333" t="s">
        <v>15</v>
      </c>
      <c r="F68" s="333" t="s">
        <v>15</v>
      </c>
      <c r="G68" s="333" t="s">
        <v>15</v>
      </c>
      <c r="H68" s="333" t="s">
        <v>15</v>
      </c>
      <c r="I68" s="333" t="s">
        <v>15</v>
      </c>
      <c r="J68" s="333" t="s">
        <v>15</v>
      </c>
      <c r="K68" s="333" t="s">
        <v>15</v>
      </c>
      <c r="L68" s="333" t="s">
        <v>15</v>
      </c>
      <c r="M68" s="333" t="s">
        <v>15</v>
      </c>
      <c r="N68" s="333" t="s">
        <v>15</v>
      </c>
      <c r="O68" s="333">
        <f>SUM(C68:N68)</f>
        <v>0</v>
      </c>
      <c r="P68" s="2"/>
    </row>
    <row r="69" spans="1:16" ht="15" customHeight="1" x14ac:dyDescent="0.2">
      <c r="A69" s="15" t="s">
        <v>62</v>
      </c>
      <c r="B69" s="10" t="s">
        <v>14</v>
      </c>
      <c r="C69" s="11" t="s">
        <v>15</v>
      </c>
      <c r="D69" s="11" t="s">
        <v>15</v>
      </c>
      <c r="E69" s="11" t="s">
        <v>15</v>
      </c>
      <c r="F69" s="11" t="s">
        <v>15</v>
      </c>
      <c r="G69" s="11" t="s">
        <v>15</v>
      </c>
      <c r="H69" s="11" t="s">
        <v>15</v>
      </c>
      <c r="I69" s="11" t="s">
        <v>15</v>
      </c>
      <c r="J69" s="11" t="s">
        <v>15</v>
      </c>
      <c r="K69" s="11" t="s">
        <v>15</v>
      </c>
      <c r="L69" s="11" t="s">
        <v>15</v>
      </c>
      <c r="M69" s="11" t="s">
        <v>15</v>
      </c>
      <c r="N69" s="11" t="s">
        <v>15</v>
      </c>
      <c r="O69" s="333">
        <f>SUM(C69:N69)</f>
        <v>0</v>
      </c>
    </row>
    <row r="70" spans="1:16" ht="15" customHeight="1" x14ac:dyDescent="0.2">
      <c r="A70" s="15" t="s">
        <v>262</v>
      </c>
      <c r="B70" s="10" t="s">
        <v>14</v>
      </c>
      <c r="C70" s="11" t="s">
        <v>15</v>
      </c>
      <c r="D70" s="11" t="s">
        <v>15</v>
      </c>
      <c r="E70" s="11" t="s">
        <v>15</v>
      </c>
      <c r="F70" s="11" t="s">
        <v>15</v>
      </c>
      <c r="G70" s="11" t="s">
        <v>15</v>
      </c>
      <c r="H70" s="11" t="s">
        <v>15</v>
      </c>
      <c r="I70" s="11" t="s">
        <v>15</v>
      </c>
      <c r="J70" s="11" t="s">
        <v>15</v>
      </c>
      <c r="K70" s="11" t="s">
        <v>15</v>
      </c>
      <c r="L70" s="11" t="s">
        <v>15</v>
      </c>
      <c r="M70" s="11" t="s">
        <v>15</v>
      </c>
      <c r="N70" s="11" t="s">
        <v>15</v>
      </c>
      <c r="O70" s="333">
        <f>SUM(C70:N70)</f>
        <v>0</v>
      </c>
    </row>
    <row r="71" spans="1:16" ht="15" customHeight="1" x14ac:dyDescent="0.2">
      <c r="A71" s="15" t="s">
        <v>308</v>
      </c>
      <c r="B71" s="10" t="s">
        <v>14</v>
      </c>
      <c r="C71" s="11" t="s">
        <v>15</v>
      </c>
      <c r="D71" s="11" t="s">
        <v>15</v>
      </c>
      <c r="E71" s="11" t="s">
        <v>15</v>
      </c>
      <c r="F71" s="11" t="s">
        <v>15</v>
      </c>
      <c r="G71" s="11" t="s">
        <v>15</v>
      </c>
      <c r="H71" s="11" t="s">
        <v>15</v>
      </c>
      <c r="I71" s="11" t="s">
        <v>15</v>
      </c>
      <c r="J71" s="11" t="s">
        <v>15</v>
      </c>
      <c r="K71" s="11" t="s">
        <v>15</v>
      </c>
      <c r="L71" s="11" t="s">
        <v>15</v>
      </c>
      <c r="M71" s="11" t="s">
        <v>15</v>
      </c>
      <c r="N71" s="11" t="s">
        <v>15</v>
      </c>
      <c r="O71" s="333" t="s">
        <v>15</v>
      </c>
    </row>
    <row r="72" spans="1:16" ht="15" customHeight="1" x14ac:dyDescent="0.2">
      <c r="A72" s="15" t="s">
        <v>303</v>
      </c>
      <c r="B72" s="10" t="s">
        <v>14</v>
      </c>
      <c r="C72" s="11" t="s">
        <v>15</v>
      </c>
      <c r="D72" s="11" t="s">
        <v>15</v>
      </c>
      <c r="E72" s="11" t="s">
        <v>15</v>
      </c>
      <c r="F72" s="11" t="s">
        <v>15</v>
      </c>
      <c r="G72" s="11" t="s">
        <v>15</v>
      </c>
      <c r="H72" s="11" t="s">
        <v>15</v>
      </c>
      <c r="I72" s="11" t="s">
        <v>15</v>
      </c>
      <c r="J72" s="11" t="s">
        <v>15</v>
      </c>
      <c r="K72" s="11" t="s">
        <v>15</v>
      </c>
      <c r="L72" s="11" t="s">
        <v>15</v>
      </c>
      <c r="M72" s="11" t="s">
        <v>15</v>
      </c>
      <c r="N72" s="11" t="s">
        <v>15</v>
      </c>
      <c r="O72" s="333" t="s">
        <v>15</v>
      </c>
    </row>
    <row r="73" spans="1:16" ht="15" customHeight="1" x14ac:dyDescent="0.2">
      <c r="A73" s="15" t="s">
        <v>304</v>
      </c>
      <c r="B73" s="10" t="s">
        <v>14</v>
      </c>
      <c r="C73" s="11" t="s">
        <v>15</v>
      </c>
      <c r="D73" s="11" t="s">
        <v>15</v>
      </c>
      <c r="E73" s="11" t="s">
        <v>15</v>
      </c>
      <c r="F73" s="11" t="s">
        <v>15</v>
      </c>
      <c r="G73" s="11" t="s">
        <v>15</v>
      </c>
      <c r="H73" s="11" t="s">
        <v>15</v>
      </c>
      <c r="I73" s="11" t="s">
        <v>15</v>
      </c>
      <c r="J73" s="11" t="s">
        <v>15</v>
      </c>
      <c r="K73" s="11" t="s">
        <v>15</v>
      </c>
      <c r="L73" s="11" t="s">
        <v>15</v>
      </c>
      <c r="M73" s="11" t="s">
        <v>15</v>
      </c>
      <c r="N73" s="11" t="s">
        <v>15</v>
      </c>
      <c r="O73" s="333" t="s">
        <v>15</v>
      </c>
    </row>
    <row r="74" spans="1:16" ht="15" customHeight="1" x14ac:dyDescent="0.2">
      <c r="A74" s="297" t="s">
        <v>301</v>
      </c>
      <c r="B74" s="10" t="s">
        <v>14</v>
      </c>
      <c r="C74" s="11" t="s">
        <v>15</v>
      </c>
      <c r="D74" s="11" t="s">
        <v>15</v>
      </c>
      <c r="E74" s="11" t="s">
        <v>15</v>
      </c>
      <c r="F74" s="11" t="s">
        <v>15</v>
      </c>
      <c r="G74" s="11" t="s">
        <v>15</v>
      </c>
      <c r="H74" s="11" t="s">
        <v>15</v>
      </c>
      <c r="I74" s="11" t="s">
        <v>15</v>
      </c>
      <c r="J74" s="11" t="s">
        <v>15</v>
      </c>
      <c r="K74" s="11" t="s">
        <v>15</v>
      </c>
      <c r="L74" s="11" t="s">
        <v>15</v>
      </c>
      <c r="M74" s="11" t="s">
        <v>15</v>
      </c>
      <c r="N74" s="11" t="s">
        <v>15</v>
      </c>
      <c r="O74" s="333">
        <f>SUM(C74:N74)</f>
        <v>0</v>
      </c>
    </row>
    <row r="75" spans="1:16" ht="15" customHeight="1" x14ac:dyDescent="0.2">
      <c r="A75" s="297" t="s">
        <v>302</v>
      </c>
      <c r="B75" s="10" t="s">
        <v>14</v>
      </c>
      <c r="C75" s="11" t="s">
        <v>15</v>
      </c>
      <c r="D75" s="11" t="s">
        <v>15</v>
      </c>
      <c r="E75" s="11" t="s">
        <v>15</v>
      </c>
      <c r="F75" s="339" t="s">
        <v>15</v>
      </c>
      <c r="G75" s="11" t="s">
        <v>15</v>
      </c>
      <c r="H75" s="11" t="s">
        <v>15</v>
      </c>
      <c r="I75" s="11" t="s">
        <v>15</v>
      </c>
      <c r="J75" s="11" t="s">
        <v>15</v>
      </c>
      <c r="K75" s="11" t="s">
        <v>15</v>
      </c>
      <c r="L75" s="11" t="s">
        <v>15</v>
      </c>
      <c r="M75" s="11" t="s">
        <v>15</v>
      </c>
      <c r="N75" s="11" t="s">
        <v>15</v>
      </c>
      <c r="O75" s="333">
        <f>SUM(C75:N75)</f>
        <v>0</v>
      </c>
    </row>
    <row r="76" spans="1:16" ht="15" customHeight="1" x14ac:dyDescent="0.2">
      <c r="A76" s="182" t="s">
        <v>219</v>
      </c>
      <c r="B76" s="10" t="s">
        <v>14</v>
      </c>
      <c r="C76" s="11" t="s">
        <v>15</v>
      </c>
      <c r="D76" s="11" t="s">
        <v>15</v>
      </c>
      <c r="E76" s="11" t="s">
        <v>15</v>
      </c>
      <c r="F76" s="11" t="s">
        <v>15</v>
      </c>
      <c r="G76" s="11" t="s">
        <v>15</v>
      </c>
      <c r="H76" s="11" t="s">
        <v>15</v>
      </c>
      <c r="I76" s="11" t="s">
        <v>15</v>
      </c>
      <c r="J76" s="11" t="s">
        <v>15</v>
      </c>
      <c r="K76" s="11" t="s">
        <v>15</v>
      </c>
      <c r="L76" s="11" t="s">
        <v>15</v>
      </c>
      <c r="M76" s="11" t="s">
        <v>15</v>
      </c>
      <c r="N76" s="11" t="s">
        <v>15</v>
      </c>
      <c r="O76" s="333">
        <f>SUM(C76:N76)</f>
        <v>0</v>
      </c>
    </row>
    <row r="77" spans="1:16" ht="15" customHeight="1" x14ac:dyDescent="0.2">
      <c r="A77" s="260" t="s">
        <v>218</v>
      </c>
      <c r="B77" s="10" t="s">
        <v>14</v>
      </c>
      <c r="C77" s="333" t="s">
        <v>15</v>
      </c>
      <c r="D77" s="11" t="s">
        <v>15</v>
      </c>
      <c r="E77" s="11" t="s">
        <v>15</v>
      </c>
      <c r="F77" s="11" t="s">
        <v>15</v>
      </c>
      <c r="G77" s="11" t="s">
        <v>15</v>
      </c>
      <c r="H77" s="11" t="s">
        <v>15</v>
      </c>
      <c r="I77" s="11" t="s">
        <v>15</v>
      </c>
      <c r="J77" s="11" t="s">
        <v>15</v>
      </c>
      <c r="K77" s="11" t="s">
        <v>15</v>
      </c>
      <c r="L77" s="11" t="s">
        <v>15</v>
      </c>
      <c r="M77" s="11" t="s">
        <v>15</v>
      </c>
      <c r="N77" s="11" t="s">
        <v>15</v>
      </c>
      <c r="O77" s="333">
        <f>SUM(C77:N77)</f>
        <v>0</v>
      </c>
    </row>
    <row r="78" spans="1:16" s="1" customFormat="1" ht="15" x14ac:dyDescent="0.25">
      <c r="A78" s="29" t="s">
        <v>83</v>
      </c>
      <c r="B78" s="9"/>
      <c r="C78" s="331">
        <f>SUM(C8:C77)</f>
        <v>0</v>
      </c>
      <c r="D78" s="331">
        <f>SUM(D8:D77)</f>
        <v>0</v>
      </c>
      <c r="E78" s="331">
        <f>SUM(E8:E77)</f>
        <v>0</v>
      </c>
      <c r="F78" s="331">
        <f>SUM(F8:F77)</f>
        <v>0</v>
      </c>
      <c r="G78" s="331">
        <f>SUM(G8:G77)</f>
        <v>0</v>
      </c>
      <c r="H78" s="331">
        <f>SUM(H8:H77)</f>
        <v>0</v>
      </c>
      <c r="I78" s="331">
        <f>SUM(I8:I77)</f>
        <v>0</v>
      </c>
      <c r="J78" s="331">
        <f>SUM(J8:J77)</f>
        <v>0</v>
      </c>
      <c r="K78" s="331">
        <f>SUM(K8:K77)</f>
        <v>0</v>
      </c>
      <c r="L78" s="331">
        <f>SUM(L8:L77)</f>
        <v>0</v>
      </c>
      <c r="M78" s="331">
        <f>SUM(M8:M77)</f>
        <v>0</v>
      </c>
      <c r="N78" s="331">
        <f>SUM(N8:N77)</f>
        <v>0</v>
      </c>
      <c r="O78" s="340">
        <f>SUM(O8:O77)</f>
        <v>0</v>
      </c>
      <c r="P78" s="2"/>
    </row>
    <row r="79" spans="1:16" ht="14.25" x14ac:dyDescent="0.2">
      <c r="A79" s="15"/>
      <c r="B79" s="10"/>
    </row>
    <row r="80" spans="1:16" ht="14.25" x14ac:dyDescent="0.2">
      <c r="A80" s="260" t="s">
        <v>218</v>
      </c>
      <c r="B80" s="12" t="s">
        <v>251</v>
      </c>
      <c r="C80" s="333" t="s">
        <v>15</v>
      </c>
      <c r="D80" s="11" t="s">
        <v>15</v>
      </c>
      <c r="E80" s="11" t="s">
        <v>15</v>
      </c>
      <c r="F80" s="11" t="s">
        <v>15</v>
      </c>
      <c r="G80" s="11" t="s">
        <v>15</v>
      </c>
      <c r="H80" s="11" t="s">
        <v>15</v>
      </c>
      <c r="I80" s="11" t="s">
        <v>15</v>
      </c>
      <c r="J80" s="11" t="s">
        <v>15</v>
      </c>
      <c r="K80" s="11" t="s">
        <v>15</v>
      </c>
      <c r="L80" s="11" t="s">
        <v>15</v>
      </c>
      <c r="M80" s="11" t="s">
        <v>15</v>
      </c>
      <c r="N80" s="11" t="s">
        <v>15</v>
      </c>
      <c r="O80" s="333">
        <f>SUM(C80:N80)</f>
        <v>0</v>
      </c>
    </row>
    <row r="81" spans="1:15" ht="14.25" x14ac:dyDescent="0.2">
      <c r="A81" s="182" t="s">
        <v>219</v>
      </c>
      <c r="B81" s="12" t="s">
        <v>251</v>
      </c>
      <c r="C81" s="333" t="s">
        <v>15</v>
      </c>
      <c r="D81" s="11" t="s">
        <v>15</v>
      </c>
      <c r="E81" s="11" t="s">
        <v>15</v>
      </c>
      <c r="F81" s="11" t="s">
        <v>15</v>
      </c>
      <c r="G81" s="11" t="s">
        <v>15</v>
      </c>
      <c r="H81" s="11" t="s">
        <v>15</v>
      </c>
      <c r="I81" s="11" t="s">
        <v>15</v>
      </c>
      <c r="J81" s="11" t="s">
        <v>15</v>
      </c>
      <c r="K81" s="11" t="s">
        <v>15</v>
      </c>
      <c r="L81" s="11" t="s">
        <v>15</v>
      </c>
      <c r="M81" s="11" t="s">
        <v>15</v>
      </c>
      <c r="N81" s="11" t="s">
        <v>15</v>
      </c>
      <c r="O81" s="333">
        <f>SUM(C81:N81)</f>
        <v>0</v>
      </c>
    </row>
    <row r="82" spans="1:15" x14ac:dyDescent="0.2">
      <c r="A82" s="297" t="s">
        <v>303</v>
      </c>
      <c r="B82" s="12" t="s">
        <v>251</v>
      </c>
      <c r="C82" s="333" t="s">
        <v>15</v>
      </c>
      <c r="D82" s="11" t="s">
        <v>15</v>
      </c>
      <c r="E82" s="11" t="s">
        <v>15</v>
      </c>
      <c r="F82" s="339" t="s">
        <v>15</v>
      </c>
      <c r="G82" s="11" t="s">
        <v>15</v>
      </c>
      <c r="H82" s="11" t="s">
        <v>15</v>
      </c>
      <c r="I82" s="11" t="s">
        <v>15</v>
      </c>
      <c r="J82" s="11" t="s">
        <v>15</v>
      </c>
      <c r="K82" s="11" t="s">
        <v>15</v>
      </c>
      <c r="L82" s="11" t="s">
        <v>15</v>
      </c>
      <c r="M82" s="11" t="s">
        <v>15</v>
      </c>
      <c r="N82" s="11" t="s">
        <v>15</v>
      </c>
      <c r="O82" s="333">
        <f>SUM(C82:N82)</f>
        <v>0</v>
      </c>
    </row>
    <row r="83" spans="1:15" x14ac:dyDescent="0.2">
      <c r="A83" s="297" t="s">
        <v>301</v>
      </c>
      <c r="B83" s="12" t="s">
        <v>251</v>
      </c>
      <c r="C83" s="333" t="s">
        <v>15</v>
      </c>
      <c r="D83" s="11" t="s">
        <v>15</v>
      </c>
      <c r="E83" s="11" t="s">
        <v>15</v>
      </c>
      <c r="F83" s="11" t="s">
        <v>15</v>
      </c>
      <c r="G83" s="11" t="s">
        <v>15</v>
      </c>
      <c r="H83" s="11" t="s">
        <v>15</v>
      </c>
      <c r="I83" s="11" t="s">
        <v>15</v>
      </c>
      <c r="J83" s="11" t="s">
        <v>15</v>
      </c>
      <c r="K83" s="11" t="s">
        <v>15</v>
      </c>
      <c r="L83" s="11" t="s">
        <v>15</v>
      </c>
      <c r="M83" s="11" t="s">
        <v>15</v>
      </c>
      <c r="N83" s="11" t="s">
        <v>15</v>
      </c>
      <c r="O83" s="333">
        <f>SUM(C83:N83)</f>
        <v>0</v>
      </c>
    </row>
    <row r="84" spans="1:15" x14ac:dyDescent="0.2">
      <c r="A84" s="297" t="s">
        <v>304</v>
      </c>
      <c r="B84" s="12" t="s">
        <v>251</v>
      </c>
      <c r="C84" s="333" t="s">
        <v>15</v>
      </c>
      <c r="D84" s="11" t="s">
        <v>15</v>
      </c>
      <c r="E84" s="11" t="s">
        <v>15</v>
      </c>
      <c r="F84" s="339" t="s">
        <v>15</v>
      </c>
      <c r="G84" s="11" t="s">
        <v>15</v>
      </c>
      <c r="H84" s="11" t="s">
        <v>15</v>
      </c>
      <c r="I84" s="11" t="s">
        <v>15</v>
      </c>
      <c r="J84" s="11" t="s">
        <v>15</v>
      </c>
      <c r="K84" s="11" t="s">
        <v>15</v>
      </c>
      <c r="L84" s="11" t="s">
        <v>15</v>
      </c>
      <c r="M84" s="11" t="s">
        <v>15</v>
      </c>
      <c r="N84" s="11" t="s">
        <v>15</v>
      </c>
      <c r="O84" s="333">
        <f>SUM(C84:N84)</f>
        <v>0</v>
      </c>
    </row>
    <row r="85" spans="1:15" x14ac:dyDescent="0.2">
      <c r="A85" s="297" t="s">
        <v>302</v>
      </c>
      <c r="B85" s="12" t="s">
        <v>251</v>
      </c>
      <c r="C85" s="333" t="s">
        <v>15</v>
      </c>
      <c r="D85" s="11" t="s">
        <v>15</v>
      </c>
      <c r="E85" s="11" t="s">
        <v>15</v>
      </c>
      <c r="F85" s="339" t="s">
        <v>15</v>
      </c>
      <c r="G85" s="11" t="s">
        <v>15</v>
      </c>
      <c r="H85" s="11" t="s">
        <v>15</v>
      </c>
      <c r="I85" s="11" t="s">
        <v>15</v>
      </c>
      <c r="J85" s="11" t="s">
        <v>15</v>
      </c>
      <c r="K85" s="11" t="s">
        <v>15</v>
      </c>
      <c r="L85" s="11" t="s">
        <v>15</v>
      </c>
      <c r="M85" s="11" t="s">
        <v>15</v>
      </c>
      <c r="N85" s="11" t="s">
        <v>15</v>
      </c>
      <c r="O85" s="333">
        <f>SUM(C85:N85)</f>
        <v>0</v>
      </c>
    </row>
    <row r="86" spans="1:15" x14ac:dyDescent="0.2">
      <c r="A86" s="297" t="s">
        <v>308</v>
      </c>
      <c r="B86" s="12" t="s">
        <v>251</v>
      </c>
      <c r="C86" s="333" t="s">
        <v>15</v>
      </c>
      <c r="D86" s="11" t="s">
        <v>15</v>
      </c>
      <c r="E86" s="11" t="s">
        <v>15</v>
      </c>
      <c r="F86" s="11" t="s">
        <v>15</v>
      </c>
      <c r="G86" s="11" t="s">
        <v>15</v>
      </c>
      <c r="H86" s="11" t="s">
        <v>15</v>
      </c>
      <c r="I86" s="11" t="s">
        <v>15</v>
      </c>
      <c r="J86" s="11" t="s">
        <v>15</v>
      </c>
      <c r="K86" s="11" t="s">
        <v>15</v>
      </c>
      <c r="L86" s="11" t="s">
        <v>15</v>
      </c>
      <c r="M86" s="11" t="s">
        <v>15</v>
      </c>
      <c r="N86" s="11" t="s">
        <v>15</v>
      </c>
      <c r="O86" s="333">
        <f>SUM(C86:N86)</f>
        <v>0</v>
      </c>
    </row>
    <row r="87" spans="1:15" ht="14.25" x14ac:dyDescent="0.2">
      <c r="A87" s="260" t="s">
        <v>262</v>
      </c>
      <c r="B87" s="12" t="s">
        <v>251</v>
      </c>
      <c r="C87" s="333" t="s">
        <v>15</v>
      </c>
      <c r="D87" s="11" t="s">
        <v>15</v>
      </c>
      <c r="E87" s="11" t="s">
        <v>15</v>
      </c>
      <c r="F87" s="11" t="s">
        <v>15</v>
      </c>
      <c r="G87" s="11" t="s">
        <v>15</v>
      </c>
      <c r="H87" s="11" t="s">
        <v>15</v>
      </c>
      <c r="I87" s="11" t="s">
        <v>15</v>
      </c>
      <c r="J87" s="11" t="s">
        <v>15</v>
      </c>
      <c r="K87" s="11" t="s">
        <v>15</v>
      </c>
      <c r="L87" s="11" t="s">
        <v>15</v>
      </c>
      <c r="M87" s="11" t="s">
        <v>15</v>
      </c>
      <c r="N87" s="11" t="s">
        <v>15</v>
      </c>
      <c r="O87" s="333">
        <f>SUM(C87:N87)</f>
        <v>0</v>
      </c>
    </row>
    <row r="88" spans="1:15" ht="14.25" x14ac:dyDescent="0.2">
      <c r="A88" s="15" t="s">
        <v>262</v>
      </c>
      <c r="B88" s="12" t="s">
        <v>263</v>
      </c>
      <c r="C88" s="333" t="s">
        <v>15</v>
      </c>
      <c r="D88" s="11" t="s">
        <v>15</v>
      </c>
      <c r="E88" s="11" t="s">
        <v>15</v>
      </c>
      <c r="F88" s="11" t="s">
        <v>15</v>
      </c>
      <c r="G88" s="11" t="s">
        <v>15</v>
      </c>
      <c r="H88" s="11" t="s">
        <v>15</v>
      </c>
      <c r="I88" s="11" t="s">
        <v>15</v>
      </c>
      <c r="J88" s="11" t="s">
        <v>15</v>
      </c>
      <c r="K88" s="11" t="s">
        <v>15</v>
      </c>
      <c r="L88" s="11" t="s">
        <v>15</v>
      </c>
      <c r="M88" s="11" t="s">
        <v>15</v>
      </c>
      <c r="N88" s="11" t="s">
        <v>15</v>
      </c>
      <c r="O88" s="333">
        <f>SUM(C88:N88)</f>
        <v>0</v>
      </c>
    </row>
    <row r="89" spans="1:15" customFormat="1" ht="12.75" customHeight="1" x14ac:dyDescent="0.25">
      <c r="A89" s="329" t="s">
        <v>354</v>
      </c>
      <c r="B89" s="168" t="s">
        <v>251</v>
      </c>
      <c r="C89" s="11" t="s">
        <v>15</v>
      </c>
      <c r="D89" s="11" t="s">
        <v>15</v>
      </c>
      <c r="E89" s="11" t="s">
        <v>15</v>
      </c>
      <c r="F89" s="11" t="s">
        <v>15</v>
      </c>
      <c r="G89" s="11" t="s">
        <v>15</v>
      </c>
      <c r="H89" s="11" t="s">
        <v>15</v>
      </c>
      <c r="I89" s="11" t="s">
        <v>15</v>
      </c>
      <c r="J89" s="11" t="s">
        <v>15</v>
      </c>
      <c r="K89" s="11" t="s">
        <v>15</v>
      </c>
      <c r="L89" s="11" t="s">
        <v>15</v>
      </c>
      <c r="M89" s="11" t="s">
        <v>15</v>
      </c>
      <c r="N89" s="11" t="s">
        <v>15</v>
      </c>
      <c r="O89" s="333">
        <f>SUM(C89:N89)</f>
        <v>0</v>
      </c>
    </row>
    <row r="90" spans="1:15" ht="12.75" customHeight="1" x14ac:dyDescent="0.2">
      <c r="A90" s="297" t="s">
        <v>324</v>
      </c>
      <c r="B90" s="168" t="s">
        <v>69</v>
      </c>
      <c r="C90" s="333" t="s">
        <v>15</v>
      </c>
      <c r="D90" s="11" t="s">
        <v>15</v>
      </c>
      <c r="E90" s="11" t="s">
        <v>15</v>
      </c>
      <c r="F90" s="11" t="s">
        <v>15</v>
      </c>
      <c r="G90" s="11" t="s">
        <v>15</v>
      </c>
      <c r="H90" s="11" t="s">
        <v>15</v>
      </c>
      <c r="I90" s="11" t="s">
        <v>15</v>
      </c>
      <c r="J90" s="11" t="s">
        <v>15</v>
      </c>
      <c r="K90" s="11" t="s">
        <v>15</v>
      </c>
      <c r="L90" s="11" t="s">
        <v>15</v>
      </c>
      <c r="M90" s="11" t="s">
        <v>15</v>
      </c>
      <c r="N90" s="11" t="s">
        <v>15</v>
      </c>
      <c r="O90" s="341">
        <f>SUM(C90:N90)</f>
        <v>0</v>
      </c>
    </row>
    <row r="91" spans="1:15" ht="12.75" customHeight="1" x14ac:dyDescent="0.2">
      <c r="A91" s="15" t="s">
        <v>369</v>
      </c>
      <c r="B91" s="168" t="s">
        <v>69</v>
      </c>
      <c r="C91" s="333" t="s">
        <v>15</v>
      </c>
      <c r="D91" s="11" t="s">
        <v>15</v>
      </c>
      <c r="E91" s="11" t="s">
        <v>15</v>
      </c>
      <c r="F91" s="11" t="s">
        <v>15</v>
      </c>
      <c r="G91" s="11" t="s">
        <v>15</v>
      </c>
      <c r="H91" s="11" t="s">
        <v>15</v>
      </c>
      <c r="I91" s="11" t="s">
        <v>15</v>
      </c>
      <c r="J91" s="11" t="s">
        <v>15</v>
      </c>
      <c r="K91" s="11" t="s">
        <v>15</v>
      </c>
      <c r="L91" s="11" t="s">
        <v>15</v>
      </c>
      <c r="M91" s="11" t="s">
        <v>15</v>
      </c>
      <c r="N91" s="11" t="s">
        <v>15</v>
      </c>
      <c r="O91" s="341">
        <f>SUM(C91:N91)</f>
        <v>0</v>
      </c>
    </row>
    <row r="92" spans="1:15" ht="12.75" customHeight="1" x14ac:dyDescent="0.2">
      <c r="A92" s="15" t="s">
        <v>335</v>
      </c>
      <c r="B92" s="168" t="s">
        <v>69</v>
      </c>
      <c r="C92" s="333" t="s">
        <v>15</v>
      </c>
      <c r="D92" s="11" t="s">
        <v>15</v>
      </c>
      <c r="E92" s="11" t="s">
        <v>15</v>
      </c>
      <c r="F92" s="11" t="s">
        <v>15</v>
      </c>
      <c r="G92" s="11" t="s">
        <v>15</v>
      </c>
      <c r="H92" s="11" t="s">
        <v>15</v>
      </c>
      <c r="I92" s="11" t="s">
        <v>15</v>
      </c>
      <c r="J92" s="11" t="s">
        <v>15</v>
      </c>
      <c r="K92" s="11" t="s">
        <v>15</v>
      </c>
      <c r="L92" s="11" t="s">
        <v>15</v>
      </c>
      <c r="M92" s="11" t="s">
        <v>15</v>
      </c>
      <c r="N92" s="11" t="s">
        <v>15</v>
      </c>
      <c r="O92" s="341">
        <f>SUM(C92:N92)</f>
        <v>0</v>
      </c>
    </row>
    <row r="93" spans="1:15" ht="12.75" customHeight="1" x14ac:dyDescent="0.2">
      <c r="A93" s="15" t="s">
        <v>336</v>
      </c>
      <c r="B93" s="330" t="s">
        <v>69</v>
      </c>
      <c r="C93" s="333" t="s">
        <v>15</v>
      </c>
      <c r="D93" s="11" t="s">
        <v>15</v>
      </c>
      <c r="E93" s="11" t="s">
        <v>15</v>
      </c>
      <c r="F93" s="11" t="s">
        <v>15</v>
      </c>
      <c r="G93" s="11" t="s">
        <v>15</v>
      </c>
      <c r="H93" s="11" t="s">
        <v>15</v>
      </c>
      <c r="I93" s="11" t="s">
        <v>15</v>
      </c>
      <c r="J93" s="11" t="s">
        <v>15</v>
      </c>
      <c r="K93" s="11" t="s">
        <v>15</v>
      </c>
      <c r="L93" s="11" t="s">
        <v>15</v>
      </c>
      <c r="M93" s="11" t="s">
        <v>15</v>
      </c>
      <c r="N93" s="11" t="s">
        <v>15</v>
      </c>
      <c r="O93" s="333">
        <f>SUM(C93:N93)</f>
        <v>0</v>
      </c>
    </row>
    <row r="94" spans="1:15" ht="12.75" customHeight="1" x14ac:dyDescent="0.2">
      <c r="A94" s="15" t="s">
        <v>337</v>
      </c>
      <c r="B94" s="330" t="s">
        <v>69</v>
      </c>
      <c r="C94" s="333" t="s">
        <v>15</v>
      </c>
      <c r="D94" s="11" t="s">
        <v>15</v>
      </c>
      <c r="E94" s="11" t="s">
        <v>15</v>
      </c>
      <c r="F94" s="11" t="s">
        <v>15</v>
      </c>
      <c r="G94" s="11" t="s">
        <v>15</v>
      </c>
      <c r="H94" s="11" t="s">
        <v>15</v>
      </c>
      <c r="I94" s="11" t="s">
        <v>15</v>
      </c>
      <c r="J94" s="11" t="s">
        <v>15</v>
      </c>
      <c r="K94" s="11" t="s">
        <v>15</v>
      </c>
      <c r="L94" s="11" t="s">
        <v>15</v>
      </c>
      <c r="M94" s="11" t="s">
        <v>15</v>
      </c>
      <c r="N94" s="11" t="s">
        <v>15</v>
      </c>
      <c r="O94" s="333">
        <f>SUM(C94:N94)</f>
        <v>0</v>
      </c>
    </row>
    <row r="95" spans="1:15" ht="12.75" customHeight="1" x14ac:dyDescent="0.2">
      <c r="A95" s="15" t="s">
        <v>338</v>
      </c>
      <c r="B95" s="330" t="s">
        <v>69</v>
      </c>
      <c r="C95" s="333" t="s">
        <v>15</v>
      </c>
      <c r="D95" s="11" t="s">
        <v>15</v>
      </c>
      <c r="E95" s="11" t="s">
        <v>15</v>
      </c>
      <c r="F95" s="11" t="s">
        <v>15</v>
      </c>
      <c r="G95" s="11" t="s">
        <v>15</v>
      </c>
      <c r="H95" s="11" t="s">
        <v>15</v>
      </c>
      <c r="I95" s="11" t="s">
        <v>15</v>
      </c>
      <c r="J95" s="11" t="s">
        <v>15</v>
      </c>
      <c r="K95" s="11" t="s">
        <v>15</v>
      </c>
      <c r="L95" s="11" t="s">
        <v>15</v>
      </c>
      <c r="M95" s="11" t="s">
        <v>15</v>
      </c>
      <c r="N95" s="11" t="s">
        <v>15</v>
      </c>
      <c r="O95" s="333">
        <f>SUM(C95:N95)</f>
        <v>0</v>
      </c>
    </row>
    <row r="96" spans="1:15" ht="12.75" customHeight="1" x14ac:dyDescent="0.2">
      <c r="A96" s="15" t="s">
        <v>344</v>
      </c>
      <c r="B96" s="168" t="s">
        <v>69</v>
      </c>
      <c r="C96" s="333" t="s">
        <v>15</v>
      </c>
      <c r="D96" s="11" t="s">
        <v>15</v>
      </c>
      <c r="E96" s="11" t="s">
        <v>15</v>
      </c>
      <c r="F96" s="11" t="s">
        <v>15</v>
      </c>
      <c r="G96" s="11" t="s">
        <v>15</v>
      </c>
      <c r="H96" s="11" t="s">
        <v>15</v>
      </c>
      <c r="I96" s="11" t="s">
        <v>15</v>
      </c>
      <c r="J96" s="11" t="s">
        <v>15</v>
      </c>
      <c r="K96" s="11" t="s">
        <v>15</v>
      </c>
      <c r="L96" s="11" t="s">
        <v>15</v>
      </c>
      <c r="M96" s="11" t="s">
        <v>15</v>
      </c>
      <c r="N96" s="11" t="s">
        <v>15</v>
      </c>
      <c r="O96" s="342">
        <f>SUM(C96:N96)</f>
        <v>0</v>
      </c>
    </row>
    <row r="97" spans="1:16" ht="12.75" customHeight="1" x14ac:dyDescent="0.2">
      <c r="A97" s="15" t="s">
        <v>339</v>
      </c>
      <c r="B97" s="168" t="s">
        <v>69</v>
      </c>
      <c r="C97" s="333" t="s">
        <v>15</v>
      </c>
      <c r="D97" s="11" t="s">
        <v>15</v>
      </c>
      <c r="E97" s="11" t="s">
        <v>15</v>
      </c>
      <c r="F97" s="11" t="s">
        <v>15</v>
      </c>
      <c r="G97" s="11" t="s">
        <v>15</v>
      </c>
      <c r="H97" s="11" t="s">
        <v>15</v>
      </c>
      <c r="I97" s="11" t="s">
        <v>15</v>
      </c>
      <c r="J97" s="11" t="s">
        <v>15</v>
      </c>
      <c r="K97" s="11" t="s">
        <v>15</v>
      </c>
      <c r="L97" s="11" t="s">
        <v>15</v>
      </c>
      <c r="M97" s="11" t="s">
        <v>15</v>
      </c>
      <c r="N97" s="11" t="s">
        <v>15</v>
      </c>
      <c r="O97" s="333">
        <f>SUM(C97:N97)</f>
        <v>0</v>
      </c>
    </row>
    <row r="98" spans="1:16" ht="12.75" customHeight="1" x14ac:dyDescent="0.2">
      <c r="A98" s="15" t="s">
        <v>326</v>
      </c>
      <c r="B98" s="168" t="s">
        <v>69</v>
      </c>
      <c r="C98" s="333" t="s">
        <v>15</v>
      </c>
      <c r="D98" s="11" t="s">
        <v>15</v>
      </c>
      <c r="E98" s="11" t="s">
        <v>15</v>
      </c>
      <c r="F98" s="11" t="s">
        <v>15</v>
      </c>
      <c r="G98" s="11" t="s">
        <v>15</v>
      </c>
      <c r="H98" s="11" t="s">
        <v>15</v>
      </c>
      <c r="I98" s="11" t="s">
        <v>15</v>
      </c>
      <c r="J98" s="11" t="s">
        <v>15</v>
      </c>
      <c r="K98" s="11" t="s">
        <v>15</v>
      </c>
      <c r="L98" s="11" t="s">
        <v>15</v>
      </c>
      <c r="M98" s="11" t="s">
        <v>15</v>
      </c>
      <c r="N98" s="11" t="s">
        <v>15</v>
      </c>
      <c r="O98" s="333">
        <f>SUM(C98:N98)</f>
        <v>0</v>
      </c>
    </row>
    <row r="99" spans="1:16" ht="12.75" customHeight="1" x14ac:dyDescent="0.2">
      <c r="A99" s="15" t="s">
        <v>342</v>
      </c>
      <c r="B99" s="168" t="s">
        <v>69</v>
      </c>
      <c r="C99" s="333" t="s">
        <v>15</v>
      </c>
      <c r="D99" s="11" t="s">
        <v>15</v>
      </c>
      <c r="E99" s="11" t="s">
        <v>15</v>
      </c>
      <c r="F99" s="11" t="s">
        <v>15</v>
      </c>
      <c r="G99" s="11" t="s">
        <v>15</v>
      </c>
      <c r="H99" s="11" t="s">
        <v>15</v>
      </c>
      <c r="I99" s="11" t="s">
        <v>15</v>
      </c>
      <c r="J99" s="11" t="s">
        <v>15</v>
      </c>
      <c r="K99" s="11" t="s">
        <v>15</v>
      </c>
      <c r="L99" s="11" t="s">
        <v>15</v>
      </c>
      <c r="M99" s="11" t="s">
        <v>15</v>
      </c>
      <c r="N99" s="11" t="s">
        <v>15</v>
      </c>
      <c r="O99" s="333">
        <f>SUM(C99:N99)</f>
        <v>0</v>
      </c>
    </row>
    <row r="100" spans="1:16" ht="12.75" customHeight="1" x14ac:dyDescent="0.2">
      <c r="A100" s="15" t="s">
        <v>340</v>
      </c>
      <c r="B100" s="330" t="s">
        <v>69</v>
      </c>
      <c r="C100" s="333" t="s">
        <v>15</v>
      </c>
      <c r="D100" s="11" t="s">
        <v>15</v>
      </c>
      <c r="E100" s="11" t="s">
        <v>15</v>
      </c>
      <c r="F100" s="11" t="s">
        <v>15</v>
      </c>
      <c r="G100" s="11" t="s">
        <v>15</v>
      </c>
      <c r="H100" s="11" t="s">
        <v>15</v>
      </c>
      <c r="I100" s="11" t="s">
        <v>15</v>
      </c>
      <c r="J100" s="11" t="s">
        <v>15</v>
      </c>
      <c r="K100" s="11" t="s">
        <v>15</v>
      </c>
      <c r="L100" s="11" t="s">
        <v>15</v>
      </c>
      <c r="M100" s="11" t="s">
        <v>15</v>
      </c>
      <c r="N100" s="11" t="s">
        <v>15</v>
      </c>
      <c r="O100" s="333">
        <f>SUM(C100:N100)</f>
        <v>0</v>
      </c>
    </row>
    <row r="101" spans="1:16" ht="12.75" customHeight="1" x14ac:dyDescent="0.2">
      <c r="A101" s="15" t="s">
        <v>331</v>
      </c>
      <c r="B101" s="330" t="s">
        <v>69</v>
      </c>
      <c r="C101" s="333" t="s">
        <v>15</v>
      </c>
      <c r="D101" s="11" t="s">
        <v>15</v>
      </c>
      <c r="E101" s="11" t="s">
        <v>15</v>
      </c>
      <c r="F101" s="11" t="s">
        <v>15</v>
      </c>
      <c r="G101" s="11" t="s">
        <v>15</v>
      </c>
      <c r="H101" s="11" t="s">
        <v>15</v>
      </c>
      <c r="I101" s="11" t="s">
        <v>15</v>
      </c>
      <c r="J101" s="11" t="s">
        <v>15</v>
      </c>
      <c r="K101" s="11" t="s">
        <v>15</v>
      </c>
      <c r="L101" s="11" t="s">
        <v>15</v>
      </c>
      <c r="M101" s="11" t="s">
        <v>15</v>
      </c>
      <c r="N101" s="11" t="s">
        <v>15</v>
      </c>
      <c r="O101" s="333">
        <f>SUM(C101:N101)</f>
        <v>0</v>
      </c>
    </row>
    <row r="102" spans="1:16" ht="12.75" customHeight="1" x14ac:dyDescent="0.2">
      <c r="A102" s="15" t="s">
        <v>332</v>
      </c>
      <c r="B102" s="330" t="s">
        <v>69</v>
      </c>
      <c r="C102" s="333" t="s">
        <v>15</v>
      </c>
      <c r="D102" s="11" t="s">
        <v>15</v>
      </c>
      <c r="E102" s="11" t="s">
        <v>15</v>
      </c>
      <c r="F102" s="11" t="s">
        <v>15</v>
      </c>
      <c r="G102" s="11" t="s">
        <v>15</v>
      </c>
      <c r="H102" s="11" t="s">
        <v>15</v>
      </c>
      <c r="I102" s="11" t="s">
        <v>15</v>
      </c>
      <c r="J102" s="11" t="s">
        <v>15</v>
      </c>
      <c r="K102" s="11" t="s">
        <v>15</v>
      </c>
      <c r="L102" s="11" t="s">
        <v>15</v>
      </c>
      <c r="M102" s="11" t="s">
        <v>15</v>
      </c>
      <c r="N102" s="11" t="s">
        <v>15</v>
      </c>
      <c r="O102" s="333">
        <f>SUM(C102:N102)</f>
        <v>0</v>
      </c>
    </row>
    <row r="103" spans="1:16" ht="12.75" customHeight="1" x14ac:dyDescent="0.2">
      <c r="A103" s="15" t="s">
        <v>333</v>
      </c>
      <c r="B103" s="330" t="s">
        <v>69</v>
      </c>
      <c r="C103" s="333" t="s">
        <v>15</v>
      </c>
      <c r="D103" s="11" t="s">
        <v>15</v>
      </c>
      <c r="E103" s="11" t="s">
        <v>15</v>
      </c>
      <c r="F103" s="11" t="s">
        <v>15</v>
      </c>
      <c r="G103" s="11" t="s">
        <v>15</v>
      </c>
      <c r="H103" s="11" t="s">
        <v>15</v>
      </c>
      <c r="I103" s="11" t="s">
        <v>15</v>
      </c>
      <c r="J103" s="11" t="s">
        <v>15</v>
      </c>
      <c r="K103" s="11" t="s">
        <v>15</v>
      </c>
      <c r="L103" s="11" t="s">
        <v>15</v>
      </c>
      <c r="M103" s="11" t="s">
        <v>15</v>
      </c>
      <c r="N103" s="11" t="s">
        <v>15</v>
      </c>
      <c r="O103" s="333">
        <f>SUM(C103:N103)</f>
        <v>0</v>
      </c>
    </row>
    <row r="104" spans="1:16" ht="12.75" customHeight="1" x14ac:dyDescent="0.2">
      <c r="A104" s="15" t="s">
        <v>341</v>
      </c>
      <c r="B104" s="330" t="s">
        <v>69</v>
      </c>
      <c r="C104" s="333" t="s">
        <v>15</v>
      </c>
      <c r="D104" s="11" t="s">
        <v>15</v>
      </c>
      <c r="E104" s="11" t="s">
        <v>15</v>
      </c>
      <c r="F104" s="11" t="s">
        <v>15</v>
      </c>
      <c r="G104" s="11" t="s">
        <v>15</v>
      </c>
      <c r="H104" s="11" t="s">
        <v>15</v>
      </c>
      <c r="I104" s="11" t="s">
        <v>15</v>
      </c>
      <c r="J104" s="11" t="s">
        <v>15</v>
      </c>
      <c r="K104" s="11" t="s">
        <v>15</v>
      </c>
      <c r="L104" s="11" t="s">
        <v>15</v>
      </c>
      <c r="M104" s="11" t="s">
        <v>15</v>
      </c>
      <c r="N104" s="11" t="s">
        <v>15</v>
      </c>
      <c r="O104" s="333">
        <f>SUM(C104:N104)</f>
        <v>0</v>
      </c>
    </row>
    <row r="105" spans="1:16" ht="12.75" customHeight="1" x14ac:dyDescent="0.2">
      <c r="A105" s="15" t="s">
        <v>345</v>
      </c>
      <c r="B105" s="330" t="s">
        <v>69</v>
      </c>
      <c r="C105" s="333" t="s">
        <v>15</v>
      </c>
      <c r="D105" s="11" t="s">
        <v>15</v>
      </c>
      <c r="E105" s="11" t="s">
        <v>15</v>
      </c>
      <c r="F105" s="11" t="s">
        <v>15</v>
      </c>
      <c r="G105" s="11" t="s">
        <v>15</v>
      </c>
      <c r="H105" s="11" t="s">
        <v>15</v>
      </c>
      <c r="I105" s="11" t="s">
        <v>15</v>
      </c>
      <c r="J105" s="11" t="s">
        <v>15</v>
      </c>
      <c r="K105" s="11" t="s">
        <v>15</v>
      </c>
      <c r="L105" s="11" t="s">
        <v>15</v>
      </c>
      <c r="M105" s="11" t="s">
        <v>15</v>
      </c>
      <c r="N105" s="11" t="s">
        <v>15</v>
      </c>
      <c r="O105" s="333">
        <f>SUM(C105:N105)</f>
        <v>0</v>
      </c>
    </row>
    <row r="106" spans="1:16" ht="14.25" x14ac:dyDescent="0.2">
      <c r="A106" s="15" t="s">
        <v>180</v>
      </c>
      <c r="B106" s="330" t="s">
        <v>69</v>
      </c>
      <c r="C106" s="333" t="s">
        <v>15</v>
      </c>
      <c r="D106" s="11" t="s">
        <v>15</v>
      </c>
      <c r="E106" s="11" t="s">
        <v>15</v>
      </c>
      <c r="F106" s="11" t="s">
        <v>15</v>
      </c>
      <c r="G106" s="11" t="s">
        <v>15</v>
      </c>
      <c r="H106" s="11" t="s">
        <v>15</v>
      </c>
      <c r="I106" s="11" t="s">
        <v>15</v>
      </c>
      <c r="J106" s="11" t="s">
        <v>15</v>
      </c>
      <c r="K106" s="11" t="s">
        <v>15</v>
      </c>
      <c r="L106" s="11" t="s">
        <v>15</v>
      </c>
      <c r="M106" s="11" t="s">
        <v>15</v>
      </c>
      <c r="N106" s="11" t="s">
        <v>15</v>
      </c>
      <c r="O106" s="333">
        <f>SUM(C106:N106)</f>
        <v>0</v>
      </c>
    </row>
    <row r="107" spans="1:16" ht="14.25" x14ac:dyDescent="0.2">
      <c r="A107" s="15" t="s">
        <v>161</v>
      </c>
      <c r="B107" s="330" t="s">
        <v>69</v>
      </c>
      <c r="C107" s="333" t="s">
        <v>15</v>
      </c>
      <c r="D107" s="11" t="s">
        <v>15</v>
      </c>
      <c r="E107" s="11" t="s">
        <v>15</v>
      </c>
      <c r="F107" s="11" t="s">
        <v>15</v>
      </c>
      <c r="G107" s="11" t="s">
        <v>15</v>
      </c>
      <c r="H107" s="11" t="s">
        <v>15</v>
      </c>
      <c r="I107" s="11" t="s">
        <v>15</v>
      </c>
      <c r="J107" s="11" t="s">
        <v>15</v>
      </c>
      <c r="K107" s="11" t="s">
        <v>15</v>
      </c>
      <c r="L107" s="11" t="s">
        <v>15</v>
      </c>
      <c r="M107" s="11" t="s">
        <v>15</v>
      </c>
      <c r="N107" s="11" t="s">
        <v>15</v>
      </c>
      <c r="O107" s="333">
        <f>SUM(C107:N107)</f>
        <v>0</v>
      </c>
    </row>
    <row r="108" spans="1:16" s="39" customFormat="1" ht="14.25" x14ac:dyDescent="0.2">
      <c r="A108" s="40" t="s">
        <v>264</v>
      </c>
      <c r="B108" s="168" t="s">
        <v>251</v>
      </c>
      <c r="C108" s="333" t="s">
        <v>15</v>
      </c>
      <c r="D108" s="333" t="s">
        <v>15</v>
      </c>
      <c r="E108" s="333" t="s">
        <v>15</v>
      </c>
      <c r="F108" s="333" t="s">
        <v>15</v>
      </c>
      <c r="G108" s="333" t="s">
        <v>15</v>
      </c>
      <c r="H108" s="333" t="s">
        <v>15</v>
      </c>
      <c r="I108" s="333" t="s">
        <v>15</v>
      </c>
      <c r="J108" s="333" t="s">
        <v>15</v>
      </c>
      <c r="K108" s="333" t="s">
        <v>15</v>
      </c>
      <c r="L108" s="333" t="s">
        <v>15</v>
      </c>
      <c r="M108" s="333" t="s">
        <v>15</v>
      </c>
      <c r="N108" s="333" t="s">
        <v>15</v>
      </c>
      <c r="O108" s="333">
        <f>SUM(C108:N108)</f>
        <v>0</v>
      </c>
      <c r="P108" s="2"/>
    </row>
    <row r="109" spans="1:16" s="39" customFormat="1" ht="14.25" x14ac:dyDescent="0.2">
      <c r="A109" s="40" t="s">
        <v>53</v>
      </c>
      <c r="B109" s="168" t="s">
        <v>251</v>
      </c>
      <c r="C109" s="333" t="s">
        <v>15</v>
      </c>
      <c r="D109" s="333" t="s">
        <v>15</v>
      </c>
      <c r="E109" s="333" t="s">
        <v>15</v>
      </c>
      <c r="F109" s="333" t="s">
        <v>15</v>
      </c>
      <c r="G109" s="333" t="s">
        <v>15</v>
      </c>
      <c r="H109" s="333" t="s">
        <v>15</v>
      </c>
      <c r="I109" s="333" t="s">
        <v>15</v>
      </c>
      <c r="J109" s="333" t="s">
        <v>15</v>
      </c>
      <c r="K109" s="333" t="s">
        <v>15</v>
      </c>
      <c r="L109" s="333" t="s">
        <v>15</v>
      </c>
      <c r="M109" s="333" t="s">
        <v>15</v>
      </c>
      <c r="N109" s="333" t="s">
        <v>15</v>
      </c>
      <c r="O109" s="333">
        <f>SUM(C109:N109)</f>
        <v>0</v>
      </c>
      <c r="P109" s="2"/>
    </row>
    <row r="110" spans="1:16" s="39" customFormat="1" ht="14.25" x14ac:dyDescent="0.2">
      <c r="A110" s="40" t="s">
        <v>52</v>
      </c>
      <c r="B110" s="168" t="s">
        <v>251</v>
      </c>
      <c r="C110" s="333" t="s">
        <v>15</v>
      </c>
      <c r="D110" s="333" t="s">
        <v>15</v>
      </c>
      <c r="E110" s="333" t="s">
        <v>15</v>
      </c>
      <c r="F110" s="333" t="s">
        <v>15</v>
      </c>
      <c r="G110" s="333" t="s">
        <v>15</v>
      </c>
      <c r="H110" s="333" t="s">
        <v>15</v>
      </c>
      <c r="I110" s="333" t="s">
        <v>15</v>
      </c>
      <c r="J110" s="333" t="s">
        <v>15</v>
      </c>
      <c r="K110" s="333" t="s">
        <v>15</v>
      </c>
      <c r="L110" s="333" t="s">
        <v>15</v>
      </c>
      <c r="M110" s="333" t="s">
        <v>15</v>
      </c>
      <c r="N110" s="333" t="s">
        <v>15</v>
      </c>
      <c r="O110" s="333">
        <f>SUM(C110:N110)</f>
        <v>0</v>
      </c>
      <c r="P110" s="2"/>
    </row>
    <row r="111" spans="1:16" s="39" customFormat="1" ht="14.25" x14ac:dyDescent="0.2">
      <c r="A111" s="40" t="s">
        <v>54</v>
      </c>
      <c r="B111" s="168" t="s">
        <v>251</v>
      </c>
      <c r="C111" s="333" t="s">
        <v>15</v>
      </c>
      <c r="D111" s="333" t="s">
        <v>15</v>
      </c>
      <c r="E111" s="333" t="s">
        <v>15</v>
      </c>
      <c r="F111" s="333" t="s">
        <v>15</v>
      </c>
      <c r="G111" s="333" t="s">
        <v>15</v>
      </c>
      <c r="H111" s="333" t="s">
        <v>15</v>
      </c>
      <c r="I111" s="333" t="s">
        <v>15</v>
      </c>
      <c r="J111" s="333" t="s">
        <v>15</v>
      </c>
      <c r="K111" s="333" t="s">
        <v>15</v>
      </c>
      <c r="L111" s="333" t="s">
        <v>15</v>
      </c>
      <c r="M111" s="333" t="s">
        <v>15</v>
      </c>
      <c r="N111" s="333" t="s">
        <v>15</v>
      </c>
      <c r="O111" s="333">
        <f>SUM(C111:N111)</f>
        <v>0</v>
      </c>
      <c r="P111" s="2"/>
    </row>
    <row r="112" spans="1:16" s="39" customFormat="1" ht="14.25" x14ac:dyDescent="0.2">
      <c r="A112" s="40" t="s">
        <v>68</v>
      </c>
      <c r="B112" s="168" t="s">
        <v>251</v>
      </c>
      <c r="C112" s="333" t="s">
        <v>15</v>
      </c>
      <c r="D112" s="333" t="s">
        <v>15</v>
      </c>
      <c r="E112" s="333" t="s">
        <v>15</v>
      </c>
      <c r="F112" s="333" t="s">
        <v>15</v>
      </c>
      <c r="G112" s="333" t="s">
        <v>15</v>
      </c>
      <c r="H112" s="333" t="s">
        <v>15</v>
      </c>
      <c r="I112" s="333" t="s">
        <v>15</v>
      </c>
      <c r="J112" s="333" t="s">
        <v>15</v>
      </c>
      <c r="K112" s="333" t="s">
        <v>15</v>
      </c>
      <c r="L112" s="333" t="s">
        <v>15</v>
      </c>
      <c r="M112" s="333" t="s">
        <v>15</v>
      </c>
      <c r="N112" s="333" t="s">
        <v>15</v>
      </c>
      <c r="O112" s="333">
        <f>SUM(C112:N112)</f>
        <v>0</v>
      </c>
      <c r="P112" s="2"/>
    </row>
    <row r="113" spans="1:16" s="39" customFormat="1" ht="14.25" x14ac:dyDescent="0.2">
      <c r="A113" s="40" t="s">
        <v>55</v>
      </c>
      <c r="B113" s="168" t="s">
        <v>251</v>
      </c>
      <c r="C113" s="333" t="s">
        <v>15</v>
      </c>
      <c r="D113" s="333" t="s">
        <v>15</v>
      </c>
      <c r="E113" s="333" t="s">
        <v>15</v>
      </c>
      <c r="F113" s="333" t="s">
        <v>15</v>
      </c>
      <c r="G113" s="333" t="s">
        <v>15</v>
      </c>
      <c r="H113" s="333" t="s">
        <v>15</v>
      </c>
      <c r="I113" s="333" t="s">
        <v>15</v>
      </c>
      <c r="J113" s="333" t="s">
        <v>15</v>
      </c>
      <c r="K113" s="333" t="s">
        <v>15</v>
      </c>
      <c r="L113" s="333" t="s">
        <v>15</v>
      </c>
      <c r="M113" s="333" t="s">
        <v>15</v>
      </c>
      <c r="N113" s="333" t="s">
        <v>15</v>
      </c>
      <c r="O113" s="333">
        <f>SUM(C113:N113)</f>
        <v>0</v>
      </c>
      <c r="P113" s="2"/>
    </row>
    <row r="114" spans="1:16" s="39" customFormat="1" ht="14.25" x14ac:dyDescent="0.2">
      <c r="A114" s="40" t="s">
        <v>48</v>
      </c>
      <c r="B114" s="168" t="s">
        <v>251</v>
      </c>
      <c r="C114" s="333" t="s">
        <v>15</v>
      </c>
      <c r="D114" s="333" t="s">
        <v>15</v>
      </c>
      <c r="E114" s="333" t="s">
        <v>15</v>
      </c>
      <c r="F114" s="333" t="s">
        <v>15</v>
      </c>
      <c r="G114" s="333" t="s">
        <v>15</v>
      </c>
      <c r="H114" s="333" t="s">
        <v>15</v>
      </c>
      <c r="I114" s="333" t="s">
        <v>15</v>
      </c>
      <c r="J114" s="333" t="s">
        <v>15</v>
      </c>
      <c r="K114" s="333" t="s">
        <v>15</v>
      </c>
      <c r="L114" s="333" t="s">
        <v>15</v>
      </c>
      <c r="M114" s="333" t="s">
        <v>15</v>
      </c>
      <c r="N114" s="333" t="s">
        <v>15</v>
      </c>
      <c r="O114" s="333">
        <f>SUM(C114:N114)</f>
        <v>0</v>
      </c>
      <c r="P114" s="2"/>
    </row>
    <row r="115" spans="1:16" s="39" customFormat="1" ht="14.25" x14ac:dyDescent="0.2">
      <c r="A115" s="200" t="s">
        <v>56</v>
      </c>
      <c r="B115" s="168" t="s">
        <v>251</v>
      </c>
      <c r="C115" s="333" t="s">
        <v>15</v>
      </c>
      <c r="D115" s="333" t="s">
        <v>15</v>
      </c>
      <c r="E115" s="333" t="s">
        <v>15</v>
      </c>
      <c r="F115" s="333" t="s">
        <v>15</v>
      </c>
      <c r="G115" s="333" t="s">
        <v>15</v>
      </c>
      <c r="H115" s="333" t="s">
        <v>15</v>
      </c>
      <c r="I115" s="333" t="s">
        <v>15</v>
      </c>
      <c r="J115" s="333" t="s">
        <v>15</v>
      </c>
      <c r="K115" s="333" t="s">
        <v>15</v>
      </c>
      <c r="L115" s="333" t="s">
        <v>15</v>
      </c>
      <c r="M115" s="333" t="s">
        <v>15</v>
      </c>
      <c r="N115" s="333" t="s">
        <v>15</v>
      </c>
      <c r="O115" s="333">
        <f>SUM(C115:N115)</f>
        <v>0</v>
      </c>
      <c r="P115" s="2"/>
    </row>
    <row r="116" spans="1:16" s="39" customFormat="1" ht="14.25" x14ac:dyDescent="0.2">
      <c r="A116" s="184" t="s">
        <v>173</v>
      </c>
      <c r="B116" s="168" t="s">
        <v>251</v>
      </c>
      <c r="C116" s="333" t="s">
        <v>15</v>
      </c>
      <c r="D116" s="333" t="s">
        <v>15</v>
      </c>
      <c r="E116" s="333" t="s">
        <v>15</v>
      </c>
      <c r="F116" s="333" t="s">
        <v>15</v>
      </c>
      <c r="G116" s="333" t="s">
        <v>15</v>
      </c>
      <c r="H116" s="333" t="s">
        <v>15</v>
      </c>
      <c r="I116" s="333" t="s">
        <v>15</v>
      </c>
      <c r="J116" s="333" t="s">
        <v>15</v>
      </c>
      <c r="K116" s="333" t="s">
        <v>15</v>
      </c>
      <c r="L116" s="333" t="s">
        <v>15</v>
      </c>
      <c r="M116" s="333" t="s">
        <v>15</v>
      </c>
      <c r="N116" s="333" t="s">
        <v>15</v>
      </c>
      <c r="O116" s="333">
        <f>SUM(C116:N116)</f>
        <v>0</v>
      </c>
      <c r="P116" s="2"/>
    </row>
    <row r="117" spans="1:16" s="39" customFormat="1" ht="14.25" x14ac:dyDescent="0.2">
      <c r="A117" s="184" t="s">
        <v>179</v>
      </c>
      <c r="B117" s="168" t="s">
        <v>251</v>
      </c>
      <c r="C117" s="333" t="s">
        <v>15</v>
      </c>
      <c r="D117" s="333" t="s">
        <v>15</v>
      </c>
      <c r="E117" s="333" t="s">
        <v>15</v>
      </c>
      <c r="F117" s="333" t="s">
        <v>15</v>
      </c>
      <c r="G117" s="333" t="s">
        <v>15</v>
      </c>
      <c r="H117" s="333" t="s">
        <v>15</v>
      </c>
      <c r="I117" s="333" t="s">
        <v>15</v>
      </c>
      <c r="J117" s="333" t="s">
        <v>15</v>
      </c>
      <c r="K117" s="333" t="s">
        <v>15</v>
      </c>
      <c r="L117" s="333" t="s">
        <v>15</v>
      </c>
      <c r="M117" s="333" t="s">
        <v>15</v>
      </c>
      <c r="N117" s="333" t="s">
        <v>15</v>
      </c>
      <c r="O117" s="333">
        <f>SUM(C117:N117)</f>
        <v>0</v>
      </c>
      <c r="P117" s="2"/>
    </row>
    <row r="118" spans="1:16" s="39" customFormat="1" ht="14.25" x14ac:dyDescent="0.2">
      <c r="A118" s="184" t="s">
        <v>162</v>
      </c>
      <c r="B118" s="168" t="s">
        <v>251</v>
      </c>
      <c r="C118" s="333" t="s">
        <v>15</v>
      </c>
      <c r="D118" s="333" t="s">
        <v>15</v>
      </c>
      <c r="E118" s="333" t="s">
        <v>15</v>
      </c>
      <c r="F118" s="333" t="s">
        <v>15</v>
      </c>
      <c r="G118" s="333" t="s">
        <v>15</v>
      </c>
      <c r="H118" s="333" t="s">
        <v>15</v>
      </c>
      <c r="I118" s="333" t="s">
        <v>15</v>
      </c>
      <c r="J118" s="333" t="s">
        <v>15</v>
      </c>
      <c r="K118" s="333" t="s">
        <v>15</v>
      </c>
      <c r="L118" s="333" t="s">
        <v>15</v>
      </c>
      <c r="M118" s="333" t="s">
        <v>15</v>
      </c>
      <c r="N118" s="333" t="s">
        <v>15</v>
      </c>
      <c r="O118" s="333">
        <f>SUM(C118:N118)</f>
        <v>0</v>
      </c>
      <c r="P118" s="2"/>
    </row>
    <row r="119" spans="1:16" s="39" customFormat="1" ht="14.25" x14ac:dyDescent="0.2">
      <c r="A119" s="200" t="s">
        <v>47</v>
      </c>
      <c r="B119" s="168" t="s">
        <v>251</v>
      </c>
      <c r="C119" s="333" t="s">
        <v>15</v>
      </c>
      <c r="D119" s="333" t="s">
        <v>15</v>
      </c>
      <c r="E119" s="333" t="s">
        <v>15</v>
      </c>
      <c r="F119" s="333" t="s">
        <v>15</v>
      </c>
      <c r="G119" s="333" t="s">
        <v>15</v>
      </c>
      <c r="H119" s="333" t="s">
        <v>15</v>
      </c>
      <c r="I119" s="333" t="s">
        <v>15</v>
      </c>
      <c r="J119" s="333" t="s">
        <v>15</v>
      </c>
      <c r="K119" s="333" t="s">
        <v>15</v>
      </c>
      <c r="L119" s="333" t="s">
        <v>15</v>
      </c>
      <c r="M119" s="333" t="s">
        <v>15</v>
      </c>
      <c r="N119" s="333" t="s">
        <v>15</v>
      </c>
      <c r="O119" s="333">
        <f>SUM(C119:N119)</f>
        <v>0</v>
      </c>
      <c r="P119" s="2"/>
    </row>
    <row r="120" spans="1:16" s="39" customFormat="1" ht="14.25" x14ac:dyDescent="0.2">
      <c r="A120" s="184" t="s">
        <v>176</v>
      </c>
      <c r="B120" s="168" t="s">
        <v>251</v>
      </c>
      <c r="C120" s="333" t="s">
        <v>15</v>
      </c>
      <c r="D120" s="333" t="s">
        <v>15</v>
      </c>
      <c r="E120" s="333" t="s">
        <v>15</v>
      </c>
      <c r="F120" s="333" t="s">
        <v>15</v>
      </c>
      <c r="G120" s="333" t="s">
        <v>15</v>
      </c>
      <c r="H120" s="333" t="s">
        <v>15</v>
      </c>
      <c r="I120" s="333" t="s">
        <v>15</v>
      </c>
      <c r="J120" s="333" t="s">
        <v>15</v>
      </c>
      <c r="K120" s="333" t="s">
        <v>15</v>
      </c>
      <c r="L120" s="333" t="s">
        <v>15</v>
      </c>
      <c r="M120" s="333" t="s">
        <v>15</v>
      </c>
      <c r="N120" s="333" t="s">
        <v>15</v>
      </c>
      <c r="O120" s="333">
        <f>SUM(C120:N120)</f>
        <v>0</v>
      </c>
      <c r="P120" s="2"/>
    </row>
    <row r="121" spans="1:16" s="39" customFormat="1" ht="14.25" x14ac:dyDescent="0.2">
      <c r="A121" s="184" t="s">
        <v>163</v>
      </c>
      <c r="B121" s="168" t="s">
        <v>251</v>
      </c>
      <c r="C121" s="333" t="s">
        <v>15</v>
      </c>
      <c r="D121" s="333" t="s">
        <v>15</v>
      </c>
      <c r="E121" s="333" t="s">
        <v>15</v>
      </c>
      <c r="F121" s="333" t="s">
        <v>15</v>
      </c>
      <c r="G121" s="333" t="s">
        <v>15</v>
      </c>
      <c r="H121" s="333" t="s">
        <v>15</v>
      </c>
      <c r="I121" s="333" t="s">
        <v>15</v>
      </c>
      <c r="J121" s="333" t="s">
        <v>15</v>
      </c>
      <c r="K121" s="333" t="s">
        <v>15</v>
      </c>
      <c r="L121" s="333" t="s">
        <v>15</v>
      </c>
      <c r="M121" s="333" t="s">
        <v>15</v>
      </c>
      <c r="N121" s="333" t="s">
        <v>15</v>
      </c>
      <c r="O121" s="333">
        <f>SUM(C121:N121)</f>
        <v>0</v>
      </c>
      <c r="P121" s="2"/>
    </row>
    <row r="122" spans="1:16" s="39" customFormat="1" ht="14.25" x14ac:dyDescent="0.2">
      <c r="A122" s="184" t="s">
        <v>160</v>
      </c>
      <c r="B122" s="168" t="s">
        <v>251</v>
      </c>
      <c r="C122" s="333" t="s">
        <v>15</v>
      </c>
      <c r="D122" s="333" t="s">
        <v>15</v>
      </c>
      <c r="E122" s="333" t="s">
        <v>15</v>
      </c>
      <c r="F122" s="333" t="s">
        <v>15</v>
      </c>
      <c r="G122" s="333" t="s">
        <v>15</v>
      </c>
      <c r="H122" s="333" t="s">
        <v>15</v>
      </c>
      <c r="I122" s="333" t="s">
        <v>15</v>
      </c>
      <c r="J122" s="333" t="s">
        <v>15</v>
      </c>
      <c r="K122" s="333" t="s">
        <v>15</v>
      </c>
      <c r="L122" s="333" t="s">
        <v>15</v>
      </c>
      <c r="M122" s="333" t="s">
        <v>15</v>
      </c>
      <c r="N122" s="333" t="s">
        <v>15</v>
      </c>
      <c r="O122" s="333">
        <f>SUM(C122:N122)</f>
        <v>0</v>
      </c>
      <c r="P122" s="2"/>
    </row>
    <row r="123" spans="1:16" s="39" customFormat="1" ht="14.25" x14ac:dyDescent="0.2">
      <c r="A123" s="184" t="s">
        <v>175</v>
      </c>
      <c r="B123" s="168" t="s">
        <v>251</v>
      </c>
      <c r="C123" s="333" t="s">
        <v>15</v>
      </c>
      <c r="D123" s="333" t="s">
        <v>15</v>
      </c>
      <c r="E123" s="333" t="s">
        <v>15</v>
      </c>
      <c r="F123" s="333" t="s">
        <v>15</v>
      </c>
      <c r="G123" s="333" t="s">
        <v>15</v>
      </c>
      <c r="H123" s="333" t="s">
        <v>15</v>
      </c>
      <c r="I123" s="333" t="s">
        <v>15</v>
      </c>
      <c r="J123" s="333" t="s">
        <v>15</v>
      </c>
      <c r="K123" s="333" t="s">
        <v>15</v>
      </c>
      <c r="L123" s="333" t="s">
        <v>15</v>
      </c>
      <c r="M123" s="333" t="s">
        <v>15</v>
      </c>
      <c r="N123" s="333" t="s">
        <v>15</v>
      </c>
      <c r="O123" s="333">
        <f>SUM(C123:N123)</f>
        <v>0</v>
      </c>
      <c r="P123" s="2"/>
    </row>
    <row r="124" spans="1:16" s="39" customFormat="1" ht="14.25" x14ac:dyDescent="0.2">
      <c r="A124" s="184" t="s">
        <v>164</v>
      </c>
      <c r="B124" s="168" t="s">
        <v>251</v>
      </c>
      <c r="C124" s="333" t="s">
        <v>15</v>
      </c>
      <c r="D124" s="333" t="s">
        <v>15</v>
      </c>
      <c r="E124" s="333" t="s">
        <v>15</v>
      </c>
      <c r="F124" s="333" t="s">
        <v>15</v>
      </c>
      <c r="G124" s="333" t="s">
        <v>15</v>
      </c>
      <c r="H124" s="333" t="s">
        <v>15</v>
      </c>
      <c r="I124" s="333" t="s">
        <v>15</v>
      </c>
      <c r="J124" s="333" t="s">
        <v>15</v>
      </c>
      <c r="K124" s="333" t="s">
        <v>15</v>
      </c>
      <c r="L124" s="333" t="s">
        <v>15</v>
      </c>
      <c r="M124" s="333" t="s">
        <v>15</v>
      </c>
      <c r="N124" s="333" t="s">
        <v>15</v>
      </c>
      <c r="O124" s="333">
        <f>SUM(C124:N124)</f>
        <v>0</v>
      </c>
      <c r="P124" s="2"/>
    </row>
    <row r="125" spans="1:16" s="39" customFormat="1" ht="14.25" x14ac:dyDescent="0.2">
      <c r="A125" s="200" t="s">
        <v>131</v>
      </c>
      <c r="B125" s="168" t="s">
        <v>251</v>
      </c>
      <c r="C125" s="333" t="s">
        <v>15</v>
      </c>
      <c r="D125" s="333" t="s">
        <v>15</v>
      </c>
      <c r="E125" s="333" t="s">
        <v>15</v>
      </c>
      <c r="F125" s="333" t="s">
        <v>15</v>
      </c>
      <c r="G125" s="333" t="s">
        <v>15</v>
      </c>
      <c r="H125" s="333" t="s">
        <v>15</v>
      </c>
      <c r="I125" s="333" t="s">
        <v>15</v>
      </c>
      <c r="J125" s="333" t="s">
        <v>15</v>
      </c>
      <c r="K125" s="333" t="s">
        <v>15</v>
      </c>
      <c r="L125" s="333" t="s">
        <v>15</v>
      </c>
      <c r="M125" s="333" t="s">
        <v>15</v>
      </c>
      <c r="N125" s="333" t="s">
        <v>15</v>
      </c>
      <c r="O125" s="333">
        <f>SUM(C125:N125)</f>
        <v>0</v>
      </c>
      <c r="P125" s="2"/>
    </row>
    <row r="126" spans="1:16" s="39" customFormat="1" ht="14.25" x14ac:dyDescent="0.2">
      <c r="A126" s="183" t="s">
        <v>129</v>
      </c>
      <c r="B126" s="12" t="s">
        <v>119</v>
      </c>
      <c r="C126" s="333" t="s">
        <v>15</v>
      </c>
      <c r="D126" s="333" t="s">
        <v>15</v>
      </c>
      <c r="E126" s="333" t="s">
        <v>15</v>
      </c>
      <c r="F126" s="333" t="s">
        <v>15</v>
      </c>
      <c r="G126" s="333" t="s">
        <v>15</v>
      </c>
      <c r="H126" s="333" t="s">
        <v>15</v>
      </c>
      <c r="I126" s="333" t="s">
        <v>15</v>
      </c>
      <c r="J126" s="333" t="s">
        <v>15</v>
      </c>
      <c r="K126" s="333" t="s">
        <v>15</v>
      </c>
      <c r="L126" s="333" t="s">
        <v>15</v>
      </c>
      <c r="M126" s="333" t="s">
        <v>15</v>
      </c>
      <c r="N126" s="333" t="s">
        <v>15</v>
      </c>
      <c r="O126" s="333">
        <f>SUM(C126:N126)</f>
        <v>0</v>
      </c>
      <c r="P126" s="2"/>
    </row>
    <row r="127" spans="1:16" s="39" customFormat="1" ht="14.25" x14ac:dyDescent="0.2">
      <c r="A127" s="40" t="s">
        <v>63</v>
      </c>
      <c r="B127" s="168" t="s">
        <v>69</v>
      </c>
      <c r="C127" s="333" t="s">
        <v>15</v>
      </c>
      <c r="D127" s="333" t="s">
        <v>15</v>
      </c>
      <c r="E127" s="333" t="s">
        <v>15</v>
      </c>
      <c r="F127" s="333" t="s">
        <v>15</v>
      </c>
      <c r="G127" s="333" t="s">
        <v>15</v>
      </c>
      <c r="H127" s="333" t="s">
        <v>15</v>
      </c>
      <c r="I127" s="333" t="s">
        <v>15</v>
      </c>
      <c r="J127" s="333" t="s">
        <v>15</v>
      </c>
      <c r="K127" s="333" t="s">
        <v>15</v>
      </c>
      <c r="L127" s="333" t="s">
        <v>15</v>
      </c>
      <c r="M127" s="333" t="s">
        <v>15</v>
      </c>
      <c r="N127" s="333" t="s">
        <v>15</v>
      </c>
      <c r="O127" s="333">
        <f>SUM(C127:N127)</f>
        <v>0</v>
      </c>
      <c r="P127" s="2"/>
    </row>
    <row r="128" spans="1:16" s="39" customFormat="1" ht="14.25" x14ac:dyDescent="0.2">
      <c r="A128" s="40" t="s">
        <v>64</v>
      </c>
      <c r="B128" s="168" t="s">
        <v>251</v>
      </c>
      <c r="C128" s="333" t="s">
        <v>15</v>
      </c>
      <c r="D128" s="333" t="s">
        <v>15</v>
      </c>
      <c r="E128" s="333" t="s">
        <v>15</v>
      </c>
      <c r="F128" s="333" t="s">
        <v>15</v>
      </c>
      <c r="G128" s="333" t="s">
        <v>15</v>
      </c>
      <c r="H128" s="333" t="s">
        <v>15</v>
      </c>
      <c r="I128" s="333" t="s">
        <v>15</v>
      </c>
      <c r="J128" s="333" t="s">
        <v>15</v>
      </c>
      <c r="K128" s="333" t="s">
        <v>15</v>
      </c>
      <c r="L128" s="333" t="s">
        <v>15</v>
      </c>
      <c r="M128" s="333" t="s">
        <v>15</v>
      </c>
      <c r="N128" s="333" t="s">
        <v>15</v>
      </c>
      <c r="O128" s="333">
        <f>SUM(C128:N128)</f>
        <v>0</v>
      </c>
      <c r="P128" s="2"/>
    </row>
    <row r="129" spans="1:16" s="39" customFormat="1" ht="14.25" x14ac:dyDescent="0.2">
      <c r="A129" s="40" t="s">
        <v>126</v>
      </c>
      <c r="B129" s="168" t="s">
        <v>69</v>
      </c>
      <c r="C129" s="333" t="s">
        <v>15</v>
      </c>
      <c r="D129" s="333" t="s">
        <v>15</v>
      </c>
      <c r="E129" s="333" t="s">
        <v>15</v>
      </c>
      <c r="F129" s="333" t="s">
        <v>15</v>
      </c>
      <c r="G129" s="333" t="s">
        <v>15</v>
      </c>
      <c r="H129" s="333" t="s">
        <v>15</v>
      </c>
      <c r="I129" s="333" t="s">
        <v>15</v>
      </c>
      <c r="J129" s="333" t="s">
        <v>15</v>
      </c>
      <c r="K129" s="333" t="s">
        <v>15</v>
      </c>
      <c r="L129" s="333" t="s">
        <v>15</v>
      </c>
      <c r="M129" s="333" t="s">
        <v>15</v>
      </c>
      <c r="N129" s="333" t="s">
        <v>15</v>
      </c>
      <c r="O129" s="333">
        <f>SUM(C129:N129)</f>
        <v>0</v>
      </c>
      <c r="P129" s="2"/>
    </row>
    <row r="130" spans="1:16" s="39" customFormat="1" ht="14.25" x14ac:dyDescent="0.2">
      <c r="A130" s="40" t="s">
        <v>130</v>
      </c>
      <c r="B130" s="168" t="s">
        <v>69</v>
      </c>
      <c r="C130" s="333" t="s">
        <v>15</v>
      </c>
      <c r="D130" s="333" t="s">
        <v>15</v>
      </c>
      <c r="E130" s="333" t="s">
        <v>15</v>
      </c>
      <c r="F130" s="333" t="s">
        <v>15</v>
      </c>
      <c r="G130" s="333" t="s">
        <v>15</v>
      </c>
      <c r="H130" s="333" t="s">
        <v>15</v>
      </c>
      <c r="I130" s="333" t="s">
        <v>15</v>
      </c>
      <c r="J130" s="333" t="s">
        <v>15</v>
      </c>
      <c r="K130" s="333" t="s">
        <v>15</v>
      </c>
      <c r="L130" s="333" t="s">
        <v>15</v>
      </c>
      <c r="M130" s="333" t="s">
        <v>15</v>
      </c>
      <c r="N130" s="333" t="s">
        <v>15</v>
      </c>
      <c r="O130" s="333">
        <f>SUM(C130:N130)</f>
        <v>0</v>
      </c>
      <c r="P130" s="2"/>
    </row>
    <row r="131" spans="1:16" s="39" customFormat="1" ht="14.25" x14ac:dyDescent="0.2">
      <c r="A131" s="40" t="s">
        <v>181</v>
      </c>
      <c r="B131" s="168" t="s">
        <v>69</v>
      </c>
      <c r="C131" s="333" t="s">
        <v>15</v>
      </c>
      <c r="D131" s="333" t="s">
        <v>15</v>
      </c>
      <c r="E131" s="333" t="s">
        <v>15</v>
      </c>
      <c r="F131" s="333" t="s">
        <v>15</v>
      </c>
      <c r="G131" s="333" t="s">
        <v>15</v>
      </c>
      <c r="H131" s="333" t="s">
        <v>15</v>
      </c>
      <c r="I131" s="333" t="s">
        <v>15</v>
      </c>
      <c r="J131" s="333" t="s">
        <v>15</v>
      </c>
      <c r="K131" s="333" t="s">
        <v>15</v>
      </c>
      <c r="L131" s="333" t="s">
        <v>15</v>
      </c>
      <c r="M131" s="333" t="s">
        <v>15</v>
      </c>
      <c r="N131" s="333" t="s">
        <v>15</v>
      </c>
      <c r="O131" s="333">
        <f>SUM(C131:N131)</f>
        <v>0</v>
      </c>
      <c r="P131" s="2"/>
    </row>
    <row r="132" spans="1:16" s="39" customFormat="1" ht="14.25" x14ac:dyDescent="0.2">
      <c r="A132" s="40" t="s">
        <v>171</v>
      </c>
      <c r="B132" s="168" t="s">
        <v>69</v>
      </c>
      <c r="C132" s="333" t="s">
        <v>15</v>
      </c>
      <c r="D132" s="333" t="s">
        <v>15</v>
      </c>
      <c r="E132" s="333" t="s">
        <v>15</v>
      </c>
      <c r="F132" s="333" t="s">
        <v>15</v>
      </c>
      <c r="G132" s="333" t="s">
        <v>15</v>
      </c>
      <c r="H132" s="333" t="s">
        <v>15</v>
      </c>
      <c r="I132" s="333" t="s">
        <v>15</v>
      </c>
      <c r="J132" s="333" t="s">
        <v>15</v>
      </c>
      <c r="K132" s="333" t="s">
        <v>15</v>
      </c>
      <c r="L132" s="333" t="s">
        <v>15</v>
      </c>
      <c r="M132" s="333" t="s">
        <v>15</v>
      </c>
      <c r="N132" s="333" t="s">
        <v>15</v>
      </c>
      <c r="O132" s="333">
        <f>SUM(C132:N132)</f>
        <v>0</v>
      </c>
      <c r="P132" s="2"/>
    </row>
    <row r="133" spans="1:16" s="39" customFormat="1" ht="14.25" x14ac:dyDescent="0.2">
      <c r="A133" s="40" t="s">
        <v>44</v>
      </c>
      <c r="B133" s="168" t="s">
        <v>251</v>
      </c>
      <c r="C133" s="333" t="s">
        <v>15</v>
      </c>
      <c r="D133" s="333" t="s">
        <v>15</v>
      </c>
      <c r="E133" s="333" t="s">
        <v>15</v>
      </c>
      <c r="F133" s="333" t="s">
        <v>15</v>
      </c>
      <c r="G133" s="333" t="s">
        <v>15</v>
      </c>
      <c r="H133" s="333" t="s">
        <v>15</v>
      </c>
      <c r="I133" s="333" t="s">
        <v>15</v>
      </c>
      <c r="J133" s="333" t="s">
        <v>15</v>
      </c>
      <c r="K133" s="333" t="s">
        <v>15</v>
      </c>
      <c r="L133" s="333" t="s">
        <v>15</v>
      </c>
      <c r="M133" s="333" t="s">
        <v>15</v>
      </c>
      <c r="N133" s="333" t="s">
        <v>15</v>
      </c>
      <c r="O133" s="333">
        <f>SUM(C133:N133)</f>
        <v>0</v>
      </c>
      <c r="P133" s="2"/>
    </row>
    <row r="134" spans="1:16" s="39" customFormat="1" ht="14.25" x14ac:dyDescent="0.2">
      <c r="A134" s="200" t="s">
        <v>66</v>
      </c>
      <c r="B134" s="168" t="s">
        <v>251</v>
      </c>
      <c r="C134" s="333" t="s">
        <v>15</v>
      </c>
      <c r="D134" s="333" t="s">
        <v>15</v>
      </c>
      <c r="E134" s="333" t="s">
        <v>15</v>
      </c>
      <c r="F134" s="333" t="s">
        <v>15</v>
      </c>
      <c r="G134" s="333" t="s">
        <v>15</v>
      </c>
      <c r="H134" s="333" t="s">
        <v>15</v>
      </c>
      <c r="I134" s="333" t="s">
        <v>15</v>
      </c>
      <c r="J134" s="333" t="s">
        <v>15</v>
      </c>
      <c r="K134" s="333" t="s">
        <v>15</v>
      </c>
      <c r="L134" s="333" t="s">
        <v>15</v>
      </c>
      <c r="M134" s="333" t="s">
        <v>15</v>
      </c>
      <c r="N134" s="333" t="s">
        <v>15</v>
      </c>
      <c r="O134" s="333">
        <f>SUM(C134:N134)</f>
        <v>0</v>
      </c>
      <c r="P134" s="2"/>
    </row>
    <row r="135" spans="1:16" s="39" customFormat="1" ht="14.25" x14ac:dyDescent="0.2">
      <c r="A135" s="40" t="s">
        <v>70</v>
      </c>
      <c r="B135" s="168" t="s">
        <v>251</v>
      </c>
      <c r="C135" s="333" t="s">
        <v>15</v>
      </c>
      <c r="D135" s="333" t="s">
        <v>15</v>
      </c>
      <c r="E135" s="333" t="s">
        <v>15</v>
      </c>
      <c r="F135" s="333" t="s">
        <v>15</v>
      </c>
      <c r="G135" s="333" t="s">
        <v>15</v>
      </c>
      <c r="H135" s="333" t="s">
        <v>15</v>
      </c>
      <c r="I135" s="333" t="s">
        <v>15</v>
      </c>
      <c r="J135" s="333" t="s">
        <v>15</v>
      </c>
      <c r="K135" s="333" t="s">
        <v>15</v>
      </c>
      <c r="L135" s="333" t="s">
        <v>15</v>
      </c>
      <c r="M135" s="333" t="s">
        <v>15</v>
      </c>
      <c r="N135" s="333" t="s">
        <v>15</v>
      </c>
      <c r="O135" s="333">
        <f>SUM(C135:N135)</f>
        <v>0</v>
      </c>
      <c r="P135" s="2"/>
    </row>
    <row r="136" spans="1:16" s="39" customFormat="1" ht="14.25" x14ac:dyDescent="0.2">
      <c r="A136" s="40" t="s">
        <v>71</v>
      </c>
      <c r="B136" s="168" t="s">
        <v>251</v>
      </c>
      <c r="C136" s="333" t="s">
        <v>15</v>
      </c>
      <c r="D136" s="333" t="s">
        <v>15</v>
      </c>
      <c r="E136" s="333" t="s">
        <v>15</v>
      </c>
      <c r="F136" s="333" t="s">
        <v>15</v>
      </c>
      <c r="G136" s="333" t="s">
        <v>15</v>
      </c>
      <c r="H136" s="333" t="s">
        <v>15</v>
      </c>
      <c r="I136" s="333" t="s">
        <v>15</v>
      </c>
      <c r="J136" s="333" t="s">
        <v>15</v>
      </c>
      <c r="K136" s="333" t="s">
        <v>15</v>
      </c>
      <c r="L136" s="333" t="s">
        <v>15</v>
      </c>
      <c r="M136" s="333" t="s">
        <v>15</v>
      </c>
      <c r="N136" s="333" t="s">
        <v>15</v>
      </c>
      <c r="O136" s="333">
        <f>SUM(C136:N136)</f>
        <v>0</v>
      </c>
      <c r="P136" s="2"/>
    </row>
    <row r="137" spans="1:16" s="39" customFormat="1" ht="13.5" customHeight="1" x14ac:dyDescent="0.2">
      <c r="A137" s="40" t="s">
        <v>58</v>
      </c>
      <c r="B137" s="168" t="s">
        <v>251</v>
      </c>
      <c r="C137" s="333" t="s">
        <v>15</v>
      </c>
      <c r="D137" s="333" t="s">
        <v>15</v>
      </c>
      <c r="E137" s="333" t="s">
        <v>15</v>
      </c>
      <c r="F137" s="333" t="s">
        <v>15</v>
      </c>
      <c r="G137" s="333" t="s">
        <v>15</v>
      </c>
      <c r="H137" s="333" t="s">
        <v>15</v>
      </c>
      <c r="I137" s="333" t="s">
        <v>15</v>
      </c>
      <c r="J137" s="333" t="s">
        <v>15</v>
      </c>
      <c r="K137" s="333" t="s">
        <v>15</v>
      </c>
      <c r="L137" s="333" t="s">
        <v>15</v>
      </c>
      <c r="M137" s="333" t="s">
        <v>15</v>
      </c>
      <c r="N137" s="333" t="s">
        <v>15</v>
      </c>
      <c r="O137" s="333">
        <f>SUM(C137:N137)</f>
        <v>0</v>
      </c>
      <c r="P137" s="2"/>
    </row>
    <row r="138" spans="1:16" s="39" customFormat="1" ht="14.25" x14ac:dyDescent="0.2">
      <c r="A138" s="40" t="s">
        <v>67</v>
      </c>
      <c r="B138" s="168" t="s">
        <v>251</v>
      </c>
      <c r="C138" s="333" t="s">
        <v>15</v>
      </c>
      <c r="D138" s="333" t="s">
        <v>15</v>
      </c>
      <c r="E138" s="333" t="s">
        <v>15</v>
      </c>
      <c r="F138" s="333" t="s">
        <v>15</v>
      </c>
      <c r="G138" s="333" t="s">
        <v>15</v>
      </c>
      <c r="H138" s="333" t="s">
        <v>15</v>
      </c>
      <c r="I138" s="333" t="s">
        <v>15</v>
      </c>
      <c r="J138" s="333" t="s">
        <v>15</v>
      </c>
      <c r="K138" s="333" t="s">
        <v>15</v>
      </c>
      <c r="L138" s="333" t="s">
        <v>15</v>
      </c>
      <c r="M138" s="333" t="s">
        <v>15</v>
      </c>
      <c r="N138" s="333" t="s">
        <v>15</v>
      </c>
      <c r="O138" s="333">
        <f>SUM(C138:N138)</f>
        <v>0</v>
      </c>
      <c r="P138" s="2"/>
    </row>
    <row r="139" spans="1:16" s="39" customFormat="1" ht="14.25" x14ac:dyDescent="0.2">
      <c r="A139" s="200" t="s">
        <v>45</v>
      </c>
      <c r="B139" s="168" t="s">
        <v>251</v>
      </c>
      <c r="C139" s="333" t="s">
        <v>15</v>
      </c>
      <c r="D139" s="333" t="s">
        <v>15</v>
      </c>
      <c r="E139" s="333" t="s">
        <v>15</v>
      </c>
      <c r="F139" s="333" t="s">
        <v>15</v>
      </c>
      <c r="G139" s="333" t="s">
        <v>15</v>
      </c>
      <c r="H139" s="333" t="s">
        <v>15</v>
      </c>
      <c r="I139" s="333" t="s">
        <v>15</v>
      </c>
      <c r="J139" s="333" t="s">
        <v>15</v>
      </c>
      <c r="K139" s="333" t="s">
        <v>15</v>
      </c>
      <c r="L139" s="333" t="s">
        <v>15</v>
      </c>
      <c r="M139" s="333" t="s">
        <v>15</v>
      </c>
      <c r="N139" s="333" t="s">
        <v>15</v>
      </c>
      <c r="O139" s="333">
        <f>SUM(C139:N139)</f>
        <v>0</v>
      </c>
      <c r="P139" s="2"/>
    </row>
    <row r="140" spans="1:16" s="39" customFormat="1" ht="14.25" x14ac:dyDescent="0.2">
      <c r="A140" s="40" t="s">
        <v>42</v>
      </c>
      <c r="B140" s="168" t="s">
        <v>251</v>
      </c>
      <c r="C140" s="333" t="s">
        <v>15</v>
      </c>
      <c r="D140" s="333" t="s">
        <v>15</v>
      </c>
      <c r="E140" s="333" t="s">
        <v>15</v>
      </c>
      <c r="F140" s="333" t="s">
        <v>15</v>
      </c>
      <c r="G140" s="333" t="s">
        <v>15</v>
      </c>
      <c r="H140" s="333" t="s">
        <v>15</v>
      </c>
      <c r="I140" s="333" t="s">
        <v>15</v>
      </c>
      <c r="J140" s="333" t="s">
        <v>15</v>
      </c>
      <c r="K140" s="333" t="s">
        <v>15</v>
      </c>
      <c r="L140" s="333" t="s">
        <v>15</v>
      </c>
      <c r="M140" s="333" t="s">
        <v>15</v>
      </c>
      <c r="N140" s="333" t="s">
        <v>15</v>
      </c>
      <c r="O140" s="333">
        <f>SUM(C140:N140)</f>
        <v>0</v>
      </c>
      <c r="P140" s="2"/>
    </row>
    <row r="141" spans="1:16" s="39" customFormat="1" ht="14.25" x14ac:dyDescent="0.2">
      <c r="A141" s="40" t="s">
        <v>43</v>
      </c>
      <c r="B141" s="168" t="s">
        <v>251</v>
      </c>
      <c r="C141" s="333" t="s">
        <v>15</v>
      </c>
      <c r="D141" s="333" t="s">
        <v>15</v>
      </c>
      <c r="E141" s="333" t="s">
        <v>15</v>
      </c>
      <c r="F141" s="333" t="s">
        <v>15</v>
      </c>
      <c r="G141" s="333" t="s">
        <v>15</v>
      </c>
      <c r="H141" s="333" t="s">
        <v>15</v>
      </c>
      <c r="I141" s="333" t="s">
        <v>15</v>
      </c>
      <c r="J141" s="333" t="s">
        <v>15</v>
      </c>
      <c r="K141" s="333" t="s">
        <v>15</v>
      </c>
      <c r="L141" s="333" t="s">
        <v>15</v>
      </c>
      <c r="M141" s="333" t="s">
        <v>15</v>
      </c>
      <c r="N141" s="333" t="s">
        <v>15</v>
      </c>
      <c r="O141" s="333">
        <f>SUM(C141:N141)</f>
        <v>0</v>
      </c>
      <c r="P141" s="2"/>
    </row>
    <row r="142" spans="1:16" s="39" customFormat="1" ht="14.25" x14ac:dyDescent="0.2">
      <c r="A142" s="40" t="s">
        <v>57</v>
      </c>
      <c r="B142" s="168" t="s">
        <v>251</v>
      </c>
      <c r="C142" s="333" t="s">
        <v>15</v>
      </c>
      <c r="D142" s="333" t="s">
        <v>15</v>
      </c>
      <c r="E142" s="333" t="s">
        <v>15</v>
      </c>
      <c r="F142" s="333" t="s">
        <v>15</v>
      </c>
      <c r="G142" s="333" t="s">
        <v>15</v>
      </c>
      <c r="H142" s="333" t="s">
        <v>15</v>
      </c>
      <c r="I142" s="333" t="s">
        <v>15</v>
      </c>
      <c r="J142" s="333" t="s">
        <v>15</v>
      </c>
      <c r="K142" s="333" t="s">
        <v>15</v>
      </c>
      <c r="L142" s="333" t="s">
        <v>15</v>
      </c>
      <c r="M142" s="333" t="s">
        <v>15</v>
      </c>
      <c r="N142" s="333" t="s">
        <v>15</v>
      </c>
      <c r="O142" s="333">
        <f>SUM(C142:N142)</f>
        <v>0</v>
      </c>
      <c r="P142" s="2"/>
    </row>
    <row r="143" spans="1:16" s="39" customFormat="1" ht="12.75" customHeight="1" x14ac:dyDescent="0.2">
      <c r="A143" s="40" t="s">
        <v>433</v>
      </c>
      <c r="B143" s="168" t="s">
        <v>251</v>
      </c>
      <c r="C143" s="333" t="s">
        <v>15</v>
      </c>
      <c r="D143" s="333" t="s">
        <v>15</v>
      </c>
      <c r="E143" s="333" t="s">
        <v>15</v>
      </c>
      <c r="F143" s="333" t="s">
        <v>15</v>
      </c>
      <c r="G143" s="333" t="s">
        <v>15</v>
      </c>
      <c r="H143" s="333" t="s">
        <v>15</v>
      </c>
      <c r="I143" s="333" t="s">
        <v>15</v>
      </c>
      <c r="J143" s="333" t="s">
        <v>15</v>
      </c>
      <c r="K143" s="333" t="s">
        <v>15</v>
      </c>
      <c r="L143" s="333" t="s">
        <v>15</v>
      </c>
      <c r="M143" s="333" t="s">
        <v>15</v>
      </c>
      <c r="N143" s="333" t="s">
        <v>15</v>
      </c>
      <c r="O143" s="333">
        <f>SUM(C143:N143)</f>
        <v>0</v>
      </c>
    </row>
    <row r="144" spans="1:16" customFormat="1" ht="15" x14ac:dyDescent="0.25">
      <c r="A144" s="329" t="s">
        <v>361</v>
      </c>
      <c r="B144" s="168" t="s">
        <v>251</v>
      </c>
      <c r="C144" s="11" t="s">
        <v>15</v>
      </c>
      <c r="D144" s="11" t="s">
        <v>15</v>
      </c>
      <c r="E144" s="11" t="s">
        <v>15</v>
      </c>
      <c r="F144" s="11" t="s">
        <v>15</v>
      </c>
      <c r="G144" s="11" t="s">
        <v>15</v>
      </c>
      <c r="H144" s="11" t="s">
        <v>15</v>
      </c>
      <c r="I144" s="11" t="s">
        <v>15</v>
      </c>
      <c r="J144" s="11" t="s">
        <v>15</v>
      </c>
      <c r="K144" s="11" t="s">
        <v>15</v>
      </c>
      <c r="L144" s="11" t="s">
        <v>15</v>
      </c>
      <c r="M144" s="11" t="s">
        <v>15</v>
      </c>
      <c r="N144" s="11" t="s">
        <v>15</v>
      </c>
      <c r="O144" s="333">
        <f>SUM(C144:N144)</f>
        <v>0</v>
      </c>
    </row>
    <row r="145" spans="1:16" customFormat="1" ht="15" x14ac:dyDescent="0.25">
      <c r="A145" s="329" t="s">
        <v>362</v>
      </c>
      <c r="B145" s="168" t="s">
        <v>251</v>
      </c>
      <c r="C145" s="11" t="s">
        <v>15</v>
      </c>
      <c r="D145" s="11" t="s">
        <v>15</v>
      </c>
      <c r="E145" s="11" t="s">
        <v>15</v>
      </c>
      <c r="F145" s="11" t="s">
        <v>15</v>
      </c>
      <c r="G145" s="11" t="s">
        <v>15</v>
      </c>
      <c r="H145" s="11" t="s">
        <v>15</v>
      </c>
      <c r="I145" s="11" t="s">
        <v>15</v>
      </c>
      <c r="J145" s="11" t="s">
        <v>15</v>
      </c>
      <c r="K145" s="11" t="s">
        <v>15</v>
      </c>
      <c r="L145" s="11" t="s">
        <v>15</v>
      </c>
      <c r="M145" s="11" t="s">
        <v>15</v>
      </c>
      <c r="N145" s="11" t="s">
        <v>15</v>
      </c>
      <c r="O145" s="333">
        <f>SUM(C145:N145)</f>
        <v>0</v>
      </c>
    </row>
    <row r="146" spans="1:16" customFormat="1" ht="15" x14ac:dyDescent="0.25">
      <c r="A146" s="329" t="s">
        <v>363</v>
      </c>
      <c r="B146" s="168" t="s">
        <v>251</v>
      </c>
      <c r="C146" s="11" t="s">
        <v>15</v>
      </c>
      <c r="D146" s="11" t="s">
        <v>15</v>
      </c>
      <c r="E146" s="11" t="s">
        <v>15</v>
      </c>
      <c r="F146" s="11" t="s">
        <v>15</v>
      </c>
      <c r="G146" s="11" t="s">
        <v>15</v>
      </c>
      <c r="H146" s="11" t="s">
        <v>15</v>
      </c>
      <c r="I146" s="11" t="s">
        <v>15</v>
      </c>
      <c r="J146" s="11" t="s">
        <v>15</v>
      </c>
      <c r="K146" s="11" t="s">
        <v>15</v>
      </c>
      <c r="L146" s="11" t="s">
        <v>15</v>
      </c>
      <c r="M146" s="11" t="s">
        <v>15</v>
      </c>
      <c r="N146" s="11" t="s">
        <v>15</v>
      </c>
      <c r="O146" s="333">
        <f>SUM(C146:N146)</f>
        <v>0</v>
      </c>
    </row>
    <row r="147" spans="1:16" customFormat="1" ht="15" x14ac:dyDescent="0.25">
      <c r="A147" s="329" t="s">
        <v>364</v>
      </c>
      <c r="B147" s="168" t="s">
        <v>251</v>
      </c>
      <c r="C147" s="11" t="s">
        <v>15</v>
      </c>
      <c r="D147" s="11" t="s">
        <v>15</v>
      </c>
      <c r="E147" s="11" t="s">
        <v>15</v>
      </c>
      <c r="F147" s="11" t="s">
        <v>15</v>
      </c>
      <c r="G147" s="11" t="s">
        <v>15</v>
      </c>
      <c r="H147" s="11" t="s">
        <v>15</v>
      </c>
      <c r="I147" s="11" t="s">
        <v>15</v>
      </c>
      <c r="J147" s="11" t="s">
        <v>15</v>
      </c>
      <c r="K147" s="11" t="s">
        <v>15</v>
      </c>
      <c r="L147" s="11" t="s">
        <v>15</v>
      </c>
      <c r="M147" s="11" t="s">
        <v>15</v>
      </c>
      <c r="N147" s="11" t="s">
        <v>15</v>
      </c>
      <c r="O147" s="333">
        <f>SUM(C147:N147)</f>
        <v>0</v>
      </c>
    </row>
    <row r="148" spans="1:16" customFormat="1" ht="15" x14ac:dyDescent="0.25">
      <c r="A148" s="329" t="s">
        <v>365</v>
      </c>
      <c r="B148" s="168" t="s">
        <v>251</v>
      </c>
      <c r="C148" s="11" t="s">
        <v>15</v>
      </c>
      <c r="D148" s="11" t="s">
        <v>15</v>
      </c>
      <c r="E148" s="11" t="s">
        <v>15</v>
      </c>
      <c r="F148" s="11" t="s">
        <v>15</v>
      </c>
      <c r="G148" s="11" t="s">
        <v>15</v>
      </c>
      <c r="H148" s="11" t="s">
        <v>15</v>
      </c>
      <c r="I148" s="11" t="s">
        <v>15</v>
      </c>
      <c r="J148" s="11" t="s">
        <v>15</v>
      </c>
      <c r="K148" s="11" t="s">
        <v>15</v>
      </c>
      <c r="L148" s="11" t="s">
        <v>15</v>
      </c>
      <c r="M148" s="11" t="s">
        <v>15</v>
      </c>
      <c r="N148" s="11" t="s">
        <v>15</v>
      </c>
      <c r="O148" s="333">
        <f>SUM(C148:N148)</f>
        <v>0</v>
      </c>
    </row>
    <row r="149" spans="1:16" customFormat="1" ht="15" x14ac:dyDescent="0.25">
      <c r="A149" s="329" t="s">
        <v>366</v>
      </c>
      <c r="B149" s="168" t="s">
        <v>251</v>
      </c>
      <c r="C149" s="11" t="s">
        <v>15</v>
      </c>
      <c r="D149" s="11" t="s">
        <v>15</v>
      </c>
      <c r="E149" s="11" t="s">
        <v>15</v>
      </c>
      <c r="F149" s="11" t="s">
        <v>15</v>
      </c>
      <c r="G149" s="11" t="s">
        <v>15</v>
      </c>
      <c r="H149" s="11" t="s">
        <v>15</v>
      </c>
      <c r="I149" s="11" t="s">
        <v>15</v>
      </c>
      <c r="J149" s="11" t="s">
        <v>15</v>
      </c>
      <c r="K149" s="11" t="s">
        <v>15</v>
      </c>
      <c r="L149" s="11" t="s">
        <v>15</v>
      </c>
      <c r="M149" s="11" t="s">
        <v>15</v>
      </c>
      <c r="N149" s="11" t="s">
        <v>15</v>
      </c>
      <c r="O149" s="333">
        <f>SUM(C149:N149)</f>
        <v>0</v>
      </c>
    </row>
    <row r="150" spans="1:16" customFormat="1" ht="15" x14ac:dyDescent="0.25">
      <c r="A150" s="329" t="s">
        <v>355</v>
      </c>
      <c r="B150" s="168" t="s">
        <v>251</v>
      </c>
      <c r="C150" s="11" t="s">
        <v>15</v>
      </c>
      <c r="D150" s="11" t="s">
        <v>15</v>
      </c>
      <c r="E150" s="11" t="s">
        <v>15</v>
      </c>
      <c r="F150" s="11" t="s">
        <v>15</v>
      </c>
      <c r="G150" s="11" t="s">
        <v>15</v>
      </c>
      <c r="H150" s="11" t="s">
        <v>15</v>
      </c>
      <c r="I150" s="11" t="s">
        <v>15</v>
      </c>
      <c r="J150" s="11" t="s">
        <v>15</v>
      </c>
      <c r="K150" s="11" t="s">
        <v>15</v>
      </c>
      <c r="L150" s="11" t="s">
        <v>15</v>
      </c>
      <c r="M150" s="11" t="s">
        <v>15</v>
      </c>
      <c r="N150" s="11" t="s">
        <v>15</v>
      </c>
      <c r="O150" s="333">
        <f>SUM(C150:N150)</f>
        <v>0</v>
      </c>
    </row>
    <row r="151" spans="1:16" customFormat="1" ht="15" x14ac:dyDescent="0.25">
      <c r="A151" s="329" t="s">
        <v>356</v>
      </c>
      <c r="B151" s="168" t="s">
        <v>251</v>
      </c>
      <c r="C151" s="11" t="s">
        <v>15</v>
      </c>
      <c r="D151" s="11" t="s">
        <v>15</v>
      </c>
      <c r="E151" s="11" t="s">
        <v>15</v>
      </c>
      <c r="F151" s="11" t="s">
        <v>15</v>
      </c>
      <c r="G151" s="11" t="s">
        <v>15</v>
      </c>
      <c r="H151" s="11" t="s">
        <v>15</v>
      </c>
      <c r="I151" s="11" t="s">
        <v>15</v>
      </c>
      <c r="J151" s="11" t="s">
        <v>15</v>
      </c>
      <c r="K151" s="11" t="s">
        <v>15</v>
      </c>
      <c r="L151" s="11" t="s">
        <v>15</v>
      </c>
      <c r="M151" s="11" t="s">
        <v>15</v>
      </c>
      <c r="N151" s="11" t="s">
        <v>15</v>
      </c>
      <c r="O151" s="333">
        <f>SUM(C151:N151)</f>
        <v>0</v>
      </c>
    </row>
    <row r="152" spans="1:16" customFormat="1" ht="15" x14ac:dyDescent="0.25">
      <c r="A152" s="329" t="s">
        <v>359</v>
      </c>
      <c r="B152" s="168" t="s">
        <v>69</v>
      </c>
      <c r="C152" s="11" t="s">
        <v>15</v>
      </c>
      <c r="D152" s="11" t="s">
        <v>15</v>
      </c>
      <c r="E152" s="11" t="s">
        <v>15</v>
      </c>
      <c r="F152" s="11" t="s">
        <v>15</v>
      </c>
      <c r="G152" s="11" t="s">
        <v>15</v>
      </c>
      <c r="H152" s="11" t="s">
        <v>15</v>
      </c>
      <c r="I152" s="11" t="s">
        <v>15</v>
      </c>
      <c r="J152" s="11" t="s">
        <v>15</v>
      </c>
      <c r="K152" s="11" t="s">
        <v>15</v>
      </c>
      <c r="L152" s="11" t="s">
        <v>15</v>
      </c>
      <c r="M152" s="11" t="s">
        <v>15</v>
      </c>
      <c r="N152" s="11" t="s">
        <v>15</v>
      </c>
      <c r="O152" s="333">
        <f>SUM(C152:N152)</f>
        <v>0</v>
      </c>
    </row>
    <row r="153" spans="1:16" customFormat="1" ht="15" x14ac:dyDescent="0.25">
      <c r="A153" s="329" t="s">
        <v>360</v>
      </c>
      <c r="B153" s="168" t="s">
        <v>251</v>
      </c>
      <c r="C153" s="11" t="s">
        <v>15</v>
      </c>
      <c r="D153" s="11" t="s">
        <v>15</v>
      </c>
      <c r="E153" s="11" t="s">
        <v>15</v>
      </c>
      <c r="F153" s="11" t="s">
        <v>15</v>
      </c>
      <c r="G153" s="11" t="s">
        <v>15</v>
      </c>
      <c r="H153" s="11" t="s">
        <v>15</v>
      </c>
      <c r="I153" s="11" t="s">
        <v>15</v>
      </c>
      <c r="J153" s="11" t="s">
        <v>15</v>
      </c>
      <c r="K153" s="11" t="s">
        <v>15</v>
      </c>
      <c r="L153" s="11" t="s">
        <v>15</v>
      </c>
      <c r="M153" s="11" t="s">
        <v>15</v>
      </c>
      <c r="N153" s="11" t="s">
        <v>15</v>
      </c>
      <c r="O153" s="333">
        <f>SUM(C153:N153)</f>
        <v>0</v>
      </c>
    </row>
    <row r="154" spans="1:16" customFormat="1" ht="15" x14ac:dyDescent="0.25">
      <c r="A154" s="329" t="s">
        <v>357</v>
      </c>
      <c r="B154" s="168" t="s">
        <v>251</v>
      </c>
      <c r="C154" s="11" t="s">
        <v>15</v>
      </c>
      <c r="D154" s="11" t="s">
        <v>15</v>
      </c>
      <c r="E154" s="11" t="s">
        <v>15</v>
      </c>
      <c r="F154" s="11" t="s">
        <v>15</v>
      </c>
      <c r="G154" s="11" t="s">
        <v>15</v>
      </c>
      <c r="H154" s="11" t="s">
        <v>15</v>
      </c>
      <c r="I154" s="11" t="s">
        <v>15</v>
      </c>
      <c r="J154" s="11" t="s">
        <v>15</v>
      </c>
      <c r="K154" s="11" t="s">
        <v>15</v>
      </c>
      <c r="L154" s="11" t="s">
        <v>15</v>
      </c>
      <c r="M154" s="11" t="s">
        <v>15</v>
      </c>
      <c r="N154" s="11" t="s">
        <v>15</v>
      </c>
      <c r="O154" s="333">
        <f>SUM(C154:N154)</f>
        <v>0</v>
      </c>
    </row>
    <row r="155" spans="1:16" customFormat="1" ht="15" x14ac:dyDescent="0.25">
      <c r="A155" s="329" t="s">
        <v>358</v>
      </c>
      <c r="B155" s="168" t="s">
        <v>251</v>
      </c>
      <c r="C155" s="11" t="s">
        <v>15</v>
      </c>
      <c r="D155" s="11" t="s">
        <v>15</v>
      </c>
      <c r="E155" s="11" t="s">
        <v>15</v>
      </c>
      <c r="F155" s="11" t="s">
        <v>15</v>
      </c>
      <c r="G155" s="11" t="s">
        <v>15</v>
      </c>
      <c r="H155" s="11" t="s">
        <v>15</v>
      </c>
      <c r="I155" s="11" t="s">
        <v>15</v>
      </c>
      <c r="J155" s="11" t="s">
        <v>15</v>
      </c>
      <c r="K155" s="11" t="s">
        <v>15</v>
      </c>
      <c r="L155" s="11" t="s">
        <v>15</v>
      </c>
      <c r="M155" s="11" t="s">
        <v>15</v>
      </c>
      <c r="N155" s="11" t="s">
        <v>15</v>
      </c>
      <c r="O155" s="333">
        <f>SUM(C155:N155)</f>
        <v>0</v>
      </c>
    </row>
    <row r="156" spans="1:16" customFormat="1" ht="15" x14ac:dyDescent="0.25">
      <c r="A156" s="329" t="s">
        <v>368</v>
      </c>
      <c r="B156" s="168" t="s">
        <v>251</v>
      </c>
      <c r="C156" s="11" t="s">
        <v>15</v>
      </c>
      <c r="D156" s="11" t="s">
        <v>15</v>
      </c>
      <c r="E156" s="11" t="s">
        <v>15</v>
      </c>
      <c r="F156" s="11" t="s">
        <v>15</v>
      </c>
      <c r="G156" s="11" t="s">
        <v>15</v>
      </c>
      <c r="H156" s="11" t="s">
        <v>15</v>
      </c>
      <c r="I156" s="11" t="s">
        <v>15</v>
      </c>
      <c r="J156" s="11" t="s">
        <v>15</v>
      </c>
      <c r="K156" s="11" t="s">
        <v>15</v>
      </c>
      <c r="L156" s="11" t="s">
        <v>15</v>
      </c>
      <c r="M156" s="11" t="s">
        <v>15</v>
      </c>
      <c r="N156" s="11" t="s">
        <v>15</v>
      </c>
      <c r="O156" s="333">
        <f>SUM(C156:N156)</f>
        <v>0</v>
      </c>
    </row>
    <row r="157" spans="1:16" s="39" customFormat="1" ht="12.75" customHeight="1" x14ac:dyDescent="0.2">
      <c r="A157" s="40" t="s">
        <v>34</v>
      </c>
      <c r="B157" s="168" t="s">
        <v>251</v>
      </c>
      <c r="C157" s="333" t="s">
        <v>15</v>
      </c>
      <c r="D157" s="333" t="s">
        <v>15</v>
      </c>
      <c r="E157" s="333" t="s">
        <v>15</v>
      </c>
      <c r="F157" s="333" t="s">
        <v>15</v>
      </c>
      <c r="G157" s="333" t="s">
        <v>15</v>
      </c>
      <c r="H157" s="333" t="s">
        <v>15</v>
      </c>
      <c r="I157" s="333" t="s">
        <v>15</v>
      </c>
      <c r="J157" s="333" t="s">
        <v>15</v>
      </c>
      <c r="K157" s="333" t="s">
        <v>15</v>
      </c>
      <c r="L157" s="333" t="s">
        <v>15</v>
      </c>
      <c r="M157" s="333" t="s">
        <v>15</v>
      </c>
      <c r="N157" s="333" t="s">
        <v>15</v>
      </c>
      <c r="O157" s="333">
        <f>SUM(C157:N157)</f>
        <v>0</v>
      </c>
      <c r="P157" s="2"/>
    </row>
    <row r="158" spans="1:16" s="39" customFormat="1" ht="12.75" customHeight="1" x14ac:dyDescent="0.2">
      <c r="A158" s="40" t="s">
        <v>35</v>
      </c>
      <c r="B158" s="168" t="s">
        <v>251</v>
      </c>
      <c r="C158" s="333" t="s">
        <v>15</v>
      </c>
      <c r="D158" s="333" t="s">
        <v>15</v>
      </c>
      <c r="E158" s="333" t="s">
        <v>15</v>
      </c>
      <c r="F158" s="333" t="s">
        <v>15</v>
      </c>
      <c r="G158" s="333" t="s">
        <v>15</v>
      </c>
      <c r="H158" s="333" t="s">
        <v>15</v>
      </c>
      <c r="I158" s="333" t="s">
        <v>15</v>
      </c>
      <c r="J158" s="333" t="s">
        <v>15</v>
      </c>
      <c r="K158" s="333" t="s">
        <v>15</v>
      </c>
      <c r="L158" s="333" t="s">
        <v>15</v>
      </c>
      <c r="M158" s="333" t="s">
        <v>15</v>
      </c>
      <c r="N158" s="333" t="s">
        <v>15</v>
      </c>
      <c r="O158" s="333">
        <f>SUM(C158:N158)</f>
        <v>0</v>
      </c>
      <c r="P158" s="2"/>
    </row>
    <row r="159" spans="1:16" s="39" customFormat="1" ht="12.75" customHeight="1" x14ac:dyDescent="0.2">
      <c r="A159" s="200" t="s">
        <v>352</v>
      </c>
      <c r="B159" s="168" t="s">
        <v>251</v>
      </c>
      <c r="C159" s="333" t="s">
        <v>15</v>
      </c>
      <c r="D159" s="333" t="s">
        <v>15</v>
      </c>
      <c r="E159" s="333" t="s">
        <v>15</v>
      </c>
      <c r="F159" s="333" t="s">
        <v>15</v>
      </c>
      <c r="G159" s="333" t="s">
        <v>15</v>
      </c>
      <c r="H159" s="333" t="s">
        <v>15</v>
      </c>
      <c r="I159" s="333" t="s">
        <v>15</v>
      </c>
      <c r="J159" s="333" t="s">
        <v>15</v>
      </c>
      <c r="K159" s="333" t="s">
        <v>15</v>
      </c>
      <c r="L159" s="333" t="s">
        <v>15</v>
      </c>
      <c r="M159" s="333" t="s">
        <v>15</v>
      </c>
      <c r="N159" s="333" t="s">
        <v>15</v>
      </c>
      <c r="O159" s="333">
        <f>SUM(C159:N159)</f>
        <v>0</v>
      </c>
      <c r="P159" s="2"/>
    </row>
    <row r="160" spans="1:16" s="39" customFormat="1" ht="12.75" customHeight="1" x14ac:dyDescent="0.2">
      <c r="A160" s="40" t="s">
        <v>36</v>
      </c>
      <c r="B160" s="168" t="s">
        <v>251</v>
      </c>
      <c r="C160" s="333" t="s">
        <v>15</v>
      </c>
      <c r="D160" s="333" t="s">
        <v>15</v>
      </c>
      <c r="E160" s="333" t="s">
        <v>15</v>
      </c>
      <c r="F160" s="333" t="s">
        <v>15</v>
      </c>
      <c r="G160" s="333" t="s">
        <v>15</v>
      </c>
      <c r="H160" s="333" t="s">
        <v>15</v>
      </c>
      <c r="I160" s="333" t="s">
        <v>15</v>
      </c>
      <c r="J160" s="333" t="s">
        <v>15</v>
      </c>
      <c r="K160" s="333" t="s">
        <v>15</v>
      </c>
      <c r="L160" s="333" t="s">
        <v>15</v>
      </c>
      <c r="M160" s="333" t="s">
        <v>15</v>
      </c>
      <c r="N160" s="333" t="s">
        <v>15</v>
      </c>
      <c r="O160" s="333">
        <f>SUM(C160:N160)</f>
        <v>0</v>
      </c>
      <c r="P160" s="2"/>
    </row>
    <row r="161" spans="1:16" s="39" customFormat="1" ht="12.75" customHeight="1" x14ac:dyDescent="0.2">
      <c r="A161" s="200" t="s">
        <v>353</v>
      </c>
      <c r="B161" s="168" t="s">
        <v>251</v>
      </c>
      <c r="C161" s="333" t="s">
        <v>15</v>
      </c>
      <c r="D161" s="333" t="s">
        <v>15</v>
      </c>
      <c r="E161" s="333" t="s">
        <v>15</v>
      </c>
      <c r="F161" s="333" t="s">
        <v>15</v>
      </c>
      <c r="G161" s="333" t="s">
        <v>15</v>
      </c>
      <c r="H161" s="333" t="s">
        <v>15</v>
      </c>
      <c r="I161" s="333" t="s">
        <v>15</v>
      </c>
      <c r="J161" s="333" t="s">
        <v>15</v>
      </c>
      <c r="K161" s="333" t="s">
        <v>15</v>
      </c>
      <c r="L161" s="333" t="s">
        <v>15</v>
      </c>
      <c r="M161" s="333" t="s">
        <v>15</v>
      </c>
      <c r="N161" s="333" t="s">
        <v>15</v>
      </c>
      <c r="O161" s="333">
        <f>SUM(C161:N161)</f>
        <v>0</v>
      </c>
      <c r="P161" s="2"/>
    </row>
    <row r="162" spans="1:16" s="39" customFormat="1" ht="12.75" customHeight="1" x14ac:dyDescent="0.2">
      <c r="A162" s="40" t="s">
        <v>37</v>
      </c>
      <c r="B162" s="168" t="s">
        <v>251</v>
      </c>
      <c r="C162" s="333" t="s">
        <v>15</v>
      </c>
      <c r="D162" s="333" t="s">
        <v>15</v>
      </c>
      <c r="E162" s="333" t="s">
        <v>15</v>
      </c>
      <c r="F162" s="333" t="s">
        <v>15</v>
      </c>
      <c r="G162" s="333" t="s">
        <v>15</v>
      </c>
      <c r="H162" s="333" t="s">
        <v>15</v>
      </c>
      <c r="I162" s="333" t="s">
        <v>15</v>
      </c>
      <c r="J162" s="333" t="s">
        <v>15</v>
      </c>
      <c r="K162" s="333" t="s">
        <v>15</v>
      </c>
      <c r="L162" s="333" t="s">
        <v>15</v>
      </c>
      <c r="M162" s="333" t="s">
        <v>15</v>
      </c>
      <c r="N162" s="333" t="s">
        <v>15</v>
      </c>
      <c r="O162" s="333">
        <f>SUM(C162:N162)</f>
        <v>0</v>
      </c>
      <c r="P162" s="2"/>
    </row>
    <row r="163" spans="1:16" s="39" customFormat="1" ht="13.5" customHeight="1" x14ac:dyDescent="0.2">
      <c r="A163" s="200" t="s">
        <v>374</v>
      </c>
      <c r="B163" s="168" t="s">
        <v>251</v>
      </c>
      <c r="C163" s="30" t="s">
        <v>15</v>
      </c>
      <c r="D163" s="30" t="s">
        <v>15</v>
      </c>
      <c r="E163" s="30" t="s">
        <v>15</v>
      </c>
      <c r="F163" s="30" t="s">
        <v>15</v>
      </c>
      <c r="G163" s="30" t="s">
        <v>15</v>
      </c>
      <c r="H163" s="30" t="s">
        <v>15</v>
      </c>
      <c r="I163" s="30" t="s">
        <v>15</v>
      </c>
      <c r="J163" s="30" t="s">
        <v>15</v>
      </c>
      <c r="K163" s="30" t="s">
        <v>15</v>
      </c>
      <c r="L163" s="30" t="s">
        <v>15</v>
      </c>
      <c r="M163" s="30" t="s">
        <v>15</v>
      </c>
      <c r="N163" s="30" t="s">
        <v>15</v>
      </c>
      <c r="O163" s="38">
        <f>SUM(C163:N163)</f>
        <v>0</v>
      </c>
    </row>
    <row r="164" spans="1:16" s="39" customFormat="1" ht="12.75" customHeight="1" x14ac:dyDescent="0.2">
      <c r="A164" s="200" t="s">
        <v>38</v>
      </c>
      <c r="B164" s="168" t="s">
        <v>251</v>
      </c>
      <c r="C164" s="333" t="s">
        <v>15</v>
      </c>
      <c r="D164" s="333" t="s">
        <v>15</v>
      </c>
      <c r="E164" s="333" t="s">
        <v>15</v>
      </c>
      <c r="F164" s="333" t="s">
        <v>15</v>
      </c>
      <c r="G164" s="333" t="s">
        <v>15</v>
      </c>
      <c r="H164" s="333" t="s">
        <v>15</v>
      </c>
      <c r="I164" s="333" t="s">
        <v>15</v>
      </c>
      <c r="J164" s="333" t="s">
        <v>15</v>
      </c>
      <c r="K164" s="333" t="s">
        <v>15</v>
      </c>
      <c r="L164" s="333" t="s">
        <v>15</v>
      </c>
      <c r="M164" s="333" t="s">
        <v>15</v>
      </c>
      <c r="N164" s="333" t="s">
        <v>15</v>
      </c>
      <c r="O164" s="333">
        <f>SUM(C164:N164)</f>
        <v>0</v>
      </c>
      <c r="P164" s="2"/>
    </row>
    <row r="165" spans="1:16" ht="12.75" customHeight="1" x14ac:dyDescent="0.2">
      <c r="A165" s="15" t="s">
        <v>16</v>
      </c>
      <c r="B165" s="12" t="s">
        <v>251</v>
      </c>
      <c r="C165" s="11" t="s">
        <v>15</v>
      </c>
      <c r="D165" s="11" t="s">
        <v>15</v>
      </c>
      <c r="E165" s="11" t="s">
        <v>15</v>
      </c>
      <c r="F165" s="11" t="s">
        <v>15</v>
      </c>
      <c r="G165" s="11" t="s">
        <v>15</v>
      </c>
      <c r="H165" s="11" t="s">
        <v>15</v>
      </c>
      <c r="I165" s="11" t="s">
        <v>15</v>
      </c>
      <c r="J165" s="11" t="s">
        <v>15</v>
      </c>
      <c r="K165" s="11" t="s">
        <v>15</v>
      </c>
      <c r="L165" s="11" t="s">
        <v>15</v>
      </c>
      <c r="M165" s="11" t="s">
        <v>15</v>
      </c>
      <c r="N165" s="11" t="s">
        <v>15</v>
      </c>
      <c r="O165" s="333">
        <f>SUM(C165:N165)</f>
        <v>0</v>
      </c>
    </row>
    <row r="166" spans="1:16" ht="12.75" customHeight="1" x14ac:dyDescent="0.2">
      <c r="A166" s="15" t="s">
        <v>17</v>
      </c>
      <c r="B166" s="12" t="s">
        <v>251</v>
      </c>
      <c r="C166" s="11" t="s">
        <v>15</v>
      </c>
      <c r="D166" s="11" t="s">
        <v>15</v>
      </c>
      <c r="E166" s="11" t="s">
        <v>15</v>
      </c>
      <c r="F166" s="11" t="s">
        <v>15</v>
      </c>
      <c r="G166" s="11" t="s">
        <v>15</v>
      </c>
      <c r="H166" s="11" t="s">
        <v>15</v>
      </c>
      <c r="I166" s="11" t="s">
        <v>15</v>
      </c>
      <c r="J166" s="11" t="s">
        <v>15</v>
      </c>
      <c r="K166" s="11" t="s">
        <v>15</v>
      </c>
      <c r="L166" s="11" t="s">
        <v>15</v>
      </c>
      <c r="M166" s="11" t="s">
        <v>15</v>
      </c>
      <c r="N166" s="11" t="s">
        <v>15</v>
      </c>
      <c r="O166" s="333">
        <f>SUM(C166:N166)</f>
        <v>0</v>
      </c>
    </row>
    <row r="167" spans="1:16" ht="12.75" customHeight="1" x14ac:dyDescent="0.2">
      <c r="A167" s="15" t="s">
        <v>18</v>
      </c>
      <c r="B167" s="12" t="s">
        <v>251</v>
      </c>
      <c r="C167" s="11" t="s">
        <v>15</v>
      </c>
      <c r="D167" s="11" t="s">
        <v>15</v>
      </c>
      <c r="E167" s="11" t="s">
        <v>15</v>
      </c>
      <c r="F167" s="11" t="s">
        <v>15</v>
      </c>
      <c r="G167" s="11" t="s">
        <v>15</v>
      </c>
      <c r="H167" s="11" t="s">
        <v>15</v>
      </c>
      <c r="I167" s="11" t="s">
        <v>15</v>
      </c>
      <c r="J167" s="11" t="s">
        <v>15</v>
      </c>
      <c r="K167" s="11" t="s">
        <v>15</v>
      </c>
      <c r="L167" s="11" t="s">
        <v>15</v>
      </c>
      <c r="M167" s="11" t="s">
        <v>15</v>
      </c>
      <c r="N167" s="11" t="s">
        <v>15</v>
      </c>
      <c r="O167" s="333">
        <f>SUM(C167:N167)</f>
        <v>0</v>
      </c>
    </row>
    <row r="168" spans="1:16" ht="12.75" customHeight="1" x14ac:dyDescent="0.2">
      <c r="A168" s="15" t="s">
        <v>255</v>
      </c>
      <c r="B168" s="12" t="s">
        <v>251</v>
      </c>
      <c r="C168" s="11" t="s">
        <v>15</v>
      </c>
      <c r="D168" s="11" t="s">
        <v>15</v>
      </c>
      <c r="E168" s="11" t="s">
        <v>15</v>
      </c>
      <c r="F168" s="11" t="s">
        <v>15</v>
      </c>
      <c r="G168" s="11" t="s">
        <v>15</v>
      </c>
      <c r="H168" s="11" t="s">
        <v>15</v>
      </c>
      <c r="I168" s="11" t="s">
        <v>15</v>
      </c>
      <c r="J168" s="11" t="s">
        <v>15</v>
      </c>
      <c r="K168" s="11" t="s">
        <v>15</v>
      </c>
      <c r="L168" s="11" t="s">
        <v>15</v>
      </c>
      <c r="M168" s="11" t="s">
        <v>15</v>
      </c>
      <c r="N168" s="11" t="s">
        <v>15</v>
      </c>
      <c r="O168" s="333">
        <f>SUM(C168:N168)</f>
        <v>0</v>
      </c>
    </row>
    <row r="169" spans="1:16" ht="12.75" customHeight="1" x14ac:dyDescent="0.2">
      <c r="A169" s="15" t="s">
        <v>39</v>
      </c>
      <c r="B169" s="12" t="s">
        <v>251</v>
      </c>
      <c r="C169" s="11" t="s">
        <v>15</v>
      </c>
      <c r="D169" s="11" t="s">
        <v>15</v>
      </c>
      <c r="E169" s="11" t="s">
        <v>15</v>
      </c>
      <c r="F169" s="11" t="s">
        <v>15</v>
      </c>
      <c r="G169" s="11" t="s">
        <v>15</v>
      </c>
      <c r="H169" s="11" t="s">
        <v>15</v>
      </c>
      <c r="I169" s="11" t="s">
        <v>15</v>
      </c>
      <c r="J169" s="11" t="s">
        <v>15</v>
      </c>
      <c r="K169" s="11" t="s">
        <v>15</v>
      </c>
      <c r="L169" s="11" t="s">
        <v>15</v>
      </c>
      <c r="M169" s="11" t="s">
        <v>15</v>
      </c>
      <c r="N169" s="11" t="s">
        <v>15</v>
      </c>
      <c r="O169" s="333">
        <f>SUM(C169:N169)</f>
        <v>0</v>
      </c>
    </row>
    <row r="170" spans="1:16" ht="12.75" customHeight="1" x14ac:dyDescent="0.2">
      <c r="A170" s="15" t="s">
        <v>19</v>
      </c>
      <c r="B170" s="12" t="s">
        <v>251</v>
      </c>
      <c r="C170" s="11" t="s">
        <v>15</v>
      </c>
      <c r="D170" s="11" t="s">
        <v>15</v>
      </c>
      <c r="E170" s="11" t="s">
        <v>15</v>
      </c>
      <c r="F170" s="11" t="s">
        <v>15</v>
      </c>
      <c r="G170" s="11" t="s">
        <v>15</v>
      </c>
      <c r="H170" s="11" t="s">
        <v>15</v>
      </c>
      <c r="I170" s="11" t="s">
        <v>15</v>
      </c>
      <c r="J170" s="11" t="s">
        <v>15</v>
      </c>
      <c r="K170" s="11" t="s">
        <v>15</v>
      </c>
      <c r="L170" s="11" t="s">
        <v>15</v>
      </c>
      <c r="M170" s="11" t="s">
        <v>15</v>
      </c>
      <c r="N170" s="11" t="s">
        <v>15</v>
      </c>
      <c r="O170" s="333">
        <f>SUM(C170:N170)</f>
        <v>0</v>
      </c>
    </row>
    <row r="171" spans="1:16" ht="12.75" customHeight="1" x14ac:dyDescent="0.2">
      <c r="A171" s="15" t="s">
        <v>204</v>
      </c>
      <c r="B171" s="12" t="s">
        <v>251</v>
      </c>
      <c r="C171" s="11" t="s">
        <v>15</v>
      </c>
      <c r="D171" s="11" t="s">
        <v>15</v>
      </c>
      <c r="E171" s="11" t="s">
        <v>15</v>
      </c>
      <c r="F171" s="11" t="s">
        <v>15</v>
      </c>
      <c r="G171" s="11" t="s">
        <v>15</v>
      </c>
      <c r="H171" s="11" t="s">
        <v>15</v>
      </c>
      <c r="I171" s="11" t="s">
        <v>15</v>
      </c>
      <c r="J171" s="11" t="s">
        <v>15</v>
      </c>
      <c r="K171" s="11" t="s">
        <v>15</v>
      </c>
      <c r="L171" s="11" t="s">
        <v>15</v>
      </c>
      <c r="M171" s="11" t="s">
        <v>15</v>
      </c>
      <c r="N171" s="11" t="s">
        <v>15</v>
      </c>
      <c r="O171" s="333">
        <f>SUM(C171:N171)</f>
        <v>0</v>
      </c>
    </row>
    <row r="172" spans="1:16" ht="12.75" customHeight="1" x14ac:dyDescent="0.2">
      <c r="A172" s="15" t="s">
        <v>20</v>
      </c>
      <c r="B172" s="12" t="s">
        <v>251</v>
      </c>
      <c r="C172" s="11" t="s">
        <v>15</v>
      </c>
      <c r="D172" s="11" t="s">
        <v>15</v>
      </c>
      <c r="E172" s="11" t="s">
        <v>15</v>
      </c>
      <c r="F172" s="11" t="s">
        <v>15</v>
      </c>
      <c r="G172" s="11" t="s">
        <v>15</v>
      </c>
      <c r="H172" s="11" t="s">
        <v>15</v>
      </c>
      <c r="I172" s="11" t="s">
        <v>15</v>
      </c>
      <c r="J172" s="11" t="s">
        <v>15</v>
      </c>
      <c r="K172" s="11" t="s">
        <v>15</v>
      </c>
      <c r="L172" s="11" t="s">
        <v>15</v>
      </c>
      <c r="M172" s="11" t="s">
        <v>15</v>
      </c>
      <c r="N172" s="11" t="s">
        <v>15</v>
      </c>
      <c r="O172" s="333">
        <f>SUM(C172:N172)</f>
        <v>0</v>
      </c>
    </row>
    <row r="173" spans="1:16" ht="12.75" customHeight="1" x14ac:dyDescent="0.2">
      <c r="A173" s="15" t="s">
        <v>21</v>
      </c>
      <c r="B173" s="12" t="s">
        <v>251</v>
      </c>
      <c r="C173" s="11" t="s">
        <v>15</v>
      </c>
      <c r="D173" s="11" t="s">
        <v>15</v>
      </c>
      <c r="E173" s="11" t="s">
        <v>15</v>
      </c>
      <c r="F173" s="11" t="s">
        <v>15</v>
      </c>
      <c r="G173" s="11" t="s">
        <v>15</v>
      </c>
      <c r="H173" s="11" t="s">
        <v>15</v>
      </c>
      <c r="I173" s="11" t="s">
        <v>15</v>
      </c>
      <c r="J173" s="11" t="s">
        <v>15</v>
      </c>
      <c r="K173" s="11" t="s">
        <v>15</v>
      </c>
      <c r="L173" s="11" t="s">
        <v>15</v>
      </c>
      <c r="M173" s="11" t="s">
        <v>15</v>
      </c>
      <c r="N173" s="11" t="s">
        <v>15</v>
      </c>
      <c r="O173" s="333">
        <f>SUM(C173:N173)</f>
        <v>0</v>
      </c>
    </row>
    <row r="174" spans="1:16" ht="12.75" customHeight="1" x14ac:dyDescent="0.2">
      <c r="A174" s="15" t="s">
        <v>40</v>
      </c>
      <c r="B174" s="12" t="s">
        <v>251</v>
      </c>
      <c r="C174" s="11" t="s">
        <v>15</v>
      </c>
      <c r="D174" s="11" t="s">
        <v>15</v>
      </c>
      <c r="E174" s="11" t="s">
        <v>15</v>
      </c>
      <c r="F174" s="11" t="s">
        <v>15</v>
      </c>
      <c r="G174" s="11" t="s">
        <v>15</v>
      </c>
      <c r="H174" s="11" t="s">
        <v>15</v>
      </c>
      <c r="I174" s="11" t="s">
        <v>15</v>
      </c>
      <c r="J174" s="11" t="s">
        <v>15</v>
      </c>
      <c r="K174" s="11" t="s">
        <v>15</v>
      </c>
      <c r="L174" s="11" t="s">
        <v>15</v>
      </c>
      <c r="M174" s="11" t="s">
        <v>15</v>
      </c>
      <c r="N174" s="11" t="s">
        <v>15</v>
      </c>
      <c r="O174" s="333">
        <f>SUM(C174:N174)</f>
        <v>0</v>
      </c>
    </row>
    <row r="175" spans="1:16" ht="12.75" customHeight="1" x14ac:dyDescent="0.2">
      <c r="A175" s="15" t="s">
        <v>22</v>
      </c>
      <c r="B175" s="12" t="s">
        <v>251</v>
      </c>
      <c r="C175" s="11" t="s">
        <v>15</v>
      </c>
      <c r="D175" s="11" t="s">
        <v>15</v>
      </c>
      <c r="E175" s="11" t="s">
        <v>15</v>
      </c>
      <c r="F175" s="11" t="s">
        <v>15</v>
      </c>
      <c r="G175" s="11" t="s">
        <v>15</v>
      </c>
      <c r="H175" s="11" t="s">
        <v>15</v>
      </c>
      <c r="I175" s="11" t="s">
        <v>15</v>
      </c>
      <c r="J175" s="11" t="s">
        <v>15</v>
      </c>
      <c r="K175" s="11" t="s">
        <v>15</v>
      </c>
      <c r="L175" s="11" t="s">
        <v>15</v>
      </c>
      <c r="M175" s="11" t="s">
        <v>15</v>
      </c>
      <c r="N175" s="11" t="s">
        <v>15</v>
      </c>
      <c r="O175" s="333">
        <f>SUM(C175:N175)</f>
        <v>0</v>
      </c>
    </row>
    <row r="176" spans="1:16" customFormat="1" ht="12.75" customHeight="1" x14ac:dyDescent="0.2">
      <c r="A176" s="15" t="s">
        <v>23</v>
      </c>
      <c r="B176" s="12" t="s">
        <v>251</v>
      </c>
      <c r="C176" s="11" t="s">
        <v>15</v>
      </c>
      <c r="D176" s="11" t="s">
        <v>15</v>
      </c>
      <c r="E176" s="11" t="s">
        <v>15</v>
      </c>
      <c r="F176" s="11" t="s">
        <v>15</v>
      </c>
      <c r="G176" s="11" t="s">
        <v>15</v>
      </c>
      <c r="H176" s="11" t="s">
        <v>15</v>
      </c>
      <c r="I176" s="11" t="s">
        <v>15</v>
      </c>
      <c r="J176" s="11" t="s">
        <v>15</v>
      </c>
      <c r="K176" s="11" t="s">
        <v>15</v>
      </c>
      <c r="L176" s="11" t="s">
        <v>15</v>
      </c>
      <c r="M176" s="11" t="s">
        <v>15</v>
      </c>
      <c r="N176" s="11" t="s">
        <v>15</v>
      </c>
      <c r="O176" s="333">
        <f>SUM(C176:N176)</f>
        <v>0</v>
      </c>
      <c r="P176" s="2"/>
    </row>
    <row r="177" spans="1:16" customFormat="1" ht="12.75" customHeight="1" x14ac:dyDescent="0.2">
      <c r="A177" s="15" t="s">
        <v>24</v>
      </c>
      <c r="B177" s="12" t="s">
        <v>251</v>
      </c>
      <c r="C177" s="11" t="s">
        <v>15</v>
      </c>
      <c r="D177" s="11" t="s">
        <v>15</v>
      </c>
      <c r="E177" s="11" t="s">
        <v>15</v>
      </c>
      <c r="F177" s="11" t="s">
        <v>15</v>
      </c>
      <c r="G177" s="11" t="s">
        <v>15</v>
      </c>
      <c r="H177" s="11" t="s">
        <v>15</v>
      </c>
      <c r="I177" s="11" t="s">
        <v>15</v>
      </c>
      <c r="J177" s="11" t="s">
        <v>15</v>
      </c>
      <c r="K177" s="11" t="s">
        <v>15</v>
      </c>
      <c r="L177" s="11" t="s">
        <v>15</v>
      </c>
      <c r="M177" s="11" t="s">
        <v>15</v>
      </c>
      <c r="N177" s="11" t="s">
        <v>15</v>
      </c>
      <c r="O177" s="333">
        <f>SUM(C177:N177)</f>
        <v>0</v>
      </c>
      <c r="P177" s="2"/>
    </row>
    <row r="178" spans="1:16" customFormat="1" ht="12.75" customHeight="1" x14ac:dyDescent="0.2">
      <c r="A178" s="15" t="s">
        <v>25</v>
      </c>
      <c r="B178" s="12" t="s">
        <v>251</v>
      </c>
      <c r="C178" s="11" t="s">
        <v>15</v>
      </c>
      <c r="D178" s="11" t="s">
        <v>15</v>
      </c>
      <c r="E178" s="11" t="s">
        <v>15</v>
      </c>
      <c r="F178" s="11" t="s">
        <v>15</v>
      </c>
      <c r="G178" s="11" t="s">
        <v>15</v>
      </c>
      <c r="H178" s="11" t="s">
        <v>15</v>
      </c>
      <c r="I178" s="11" t="s">
        <v>15</v>
      </c>
      <c r="J178" s="11" t="s">
        <v>15</v>
      </c>
      <c r="K178" s="11" t="s">
        <v>15</v>
      </c>
      <c r="L178" s="11" t="s">
        <v>15</v>
      </c>
      <c r="M178" s="11" t="s">
        <v>15</v>
      </c>
      <c r="N178" s="11" t="s">
        <v>15</v>
      </c>
      <c r="O178" s="333">
        <f>SUM(C178:N178)</f>
        <v>0</v>
      </c>
      <c r="P178" s="2"/>
    </row>
    <row r="179" spans="1:16" customFormat="1" ht="12.75" customHeight="1" x14ac:dyDescent="0.2">
      <c r="A179" s="15" t="s">
        <v>26</v>
      </c>
      <c r="B179" s="12" t="s">
        <v>251</v>
      </c>
      <c r="C179" s="11" t="s">
        <v>15</v>
      </c>
      <c r="D179" s="11" t="s">
        <v>15</v>
      </c>
      <c r="E179" s="11" t="s">
        <v>15</v>
      </c>
      <c r="F179" s="11" t="s">
        <v>15</v>
      </c>
      <c r="G179" s="11" t="s">
        <v>15</v>
      </c>
      <c r="H179" s="11" t="s">
        <v>15</v>
      </c>
      <c r="I179" s="11" t="s">
        <v>15</v>
      </c>
      <c r="J179" s="11" t="s">
        <v>15</v>
      </c>
      <c r="K179" s="11" t="s">
        <v>15</v>
      </c>
      <c r="L179" s="11" t="s">
        <v>15</v>
      </c>
      <c r="M179" s="11" t="s">
        <v>15</v>
      </c>
      <c r="N179" s="11" t="s">
        <v>15</v>
      </c>
      <c r="O179" s="333">
        <f>SUM(C179:N179)</f>
        <v>0</v>
      </c>
      <c r="P179" s="2"/>
    </row>
    <row r="180" spans="1:16" customFormat="1" ht="12.75" customHeight="1" x14ac:dyDescent="0.2">
      <c r="A180" s="15" t="s">
        <v>27</v>
      </c>
      <c r="B180" s="12" t="s">
        <v>251</v>
      </c>
      <c r="C180" s="11" t="s">
        <v>15</v>
      </c>
      <c r="D180" s="11" t="s">
        <v>15</v>
      </c>
      <c r="E180" s="11" t="s">
        <v>15</v>
      </c>
      <c r="F180" s="11" t="s">
        <v>15</v>
      </c>
      <c r="G180" s="11" t="s">
        <v>15</v>
      </c>
      <c r="H180" s="11" t="s">
        <v>15</v>
      </c>
      <c r="I180" s="11" t="s">
        <v>15</v>
      </c>
      <c r="J180" s="11" t="s">
        <v>15</v>
      </c>
      <c r="K180" s="11" t="s">
        <v>15</v>
      </c>
      <c r="L180" s="11" t="s">
        <v>15</v>
      </c>
      <c r="M180" s="11" t="s">
        <v>15</v>
      </c>
      <c r="N180" s="11" t="s">
        <v>15</v>
      </c>
      <c r="O180" s="333">
        <f>SUM(C180:N180)</f>
        <v>0</v>
      </c>
      <c r="P180" s="2"/>
    </row>
    <row r="181" spans="1:16" customFormat="1" ht="12.75" customHeight="1" x14ac:dyDescent="0.2">
      <c r="A181" s="15" t="s">
        <v>72</v>
      </c>
      <c r="B181" s="12" t="s">
        <v>251</v>
      </c>
      <c r="C181" s="11" t="s">
        <v>15</v>
      </c>
      <c r="D181" s="11" t="s">
        <v>15</v>
      </c>
      <c r="E181" s="11" t="s">
        <v>15</v>
      </c>
      <c r="F181" s="11" t="s">
        <v>15</v>
      </c>
      <c r="G181" s="11" t="s">
        <v>15</v>
      </c>
      <c r="H181" s="11" t="s">
        <v>15</v>
      </c>
      <c r="I181" s="11" t="s">
        <v>15</v>
      </c>
      <c r="J181" s="11" t="s">
        <v>15</v>
      </c>
      <c r="K181" s="11" t="s">
        <v>15</v>
      </c>
      <c r="L181" s="11" t="s">
        <v>15</v>
      </c>
      <c r="M181" s="11" t="s">
        <v>15</v>
      </c>
      <c r="N181" s="11" t="s">
        <v>15</v>
      </c>
      <c r="O181" s="333">
        <f>SUM(C181:N181)</f>
        <v>0</v>
      </c>
      <c r="P181" s="2"/>
    </row>
    <row r="182" spans="1:16" customFormat="1" ht="12.75" customHeight="1" x14ac:dyDescent="0.2">
      <c r="A182" s="15" t="s">
        <v>28</v>
      </c>
      <c r="B182" s="12" t="s">
        <v>251</v>
      </c>
      <c r="C182" s="11" t="s">
        <v>15</v>
      </c>
      <c r="D182" s="11" t="s">
        <v>15</v>
      </c>
      <c r="E182" s="11" t="s">
        <v>15</v>
      </c>
      <c r="F182" s="11" t="s">
        <v>15</v>
      </c>
      <c r="G182" s="11" t="s">
        <v>15</v>
      </c>
      <c r="H182" s="11" t="s">
        <v>15</v>
      </c>
      <c r="I182" s="11" t="s">
        <v>15</v>
      </c>
      <c r="J182" s="11" t="s">
        <v>15</v>
      </c>
      <c r="K182" s="11" t="s">
        <v>15</v>
      </c>
      <c r="L182" s="11" t="s">
        <v>15</v>
      </c>
      <c r="M182" s="11" t="s">
        <v>15</v>
      </c>
      <c r="N182" s="11" t="s">
        <v>15</v>
      </c>
      <c r="O182" s="333">
        <f>SUM(C182:N182)</f>
        <v>0</v>
      </c>
      <c r="P182" s="2"/>
    </row>
    <row r="183" spans="1:16" ht="12.75" customHeight="1" x14ac:dyDescent="0.2">
      <c r="A183" s="15" t="s">
        <v>82</v>
      </c>
      <c r="B183" s="12" t="s">
        <v>251</v>
      </c>
      <c r="C183" s="11" t="s">
        <v>15</v>
      </c>
      <c r="D183" s="11" t="s">
        <v>15</v>
      </c>
      <c r="E183" s="11" t="s">
        <v>15</v>
      </c>
      <c r="F183" s="11" t="s">
        <v>15</v>
      </c>
      <c r="G183" s="11" t="s">
        <v>15</v>
      </c>
      <c r="H183" s="11" t="s">
        <v>15</v>
      </c>
      <c r="I183" s="11" t="s">
        <v>15</v>
      </c>
      <c r="J183" s="11" t="s">
        <v>15</v>
      </c>
      <c r="K183" s="11" t="s">
        <v>15</v>
      </c>
      <c r="L183" s="11" t="s">
        <v>15</v>
      </c>
      <c r="M183" s="11" t="s">
        <v>15</v>
      </c>
      <c r="N183" s="11" t="s">
        <v>15</v>
      </c>
      <c r="O183" s="333">
        <f>SUM(C183:N183)</f>
        <v>0</v>
      </c>
    </row>
    <row r="184" spans="1:16" ht="12.75" customHeight="1" x14ac:dyDescent="0.2">
      <c r="A184" s="15" t="s">
        <v>165</v>
      </c>
      <c r="B184" s="12" t="s">
        <v>251</v>
      </c>
      <c r="C184" s="11" t="s">
        <v>15</v>
      </c>
      <c r="D184" s="11" t="s">
        <v>15</v>
      </c>
      <c r="E184" s="11" t="s">
        <v>15</v>
      </c>
      <c r="F184" s="11" t="s">
        <v>15</v>
      </c>
      <c r="G184" s="11" t="s">
        <v>15</v>
      </c>
      <c r="H184" s="11" t="s">
        <v>15</v>
      </c>
      <c r="I184" s="11" t="s">
        <v>15</v>
      </c>
      <c r="J184" s="11" t="s">
        <v>15</v>
      </c>
      <c r="K184" s="11" t="s">
        <v>15</v>
      </c>
      <c r="L184" s="11" t="s">
        <v>15</v>
      </c>
      <c r="M184" s="11" t="s">
        <v>15</v>
      </c>
      <c r="N184" s="11" t="s">
        <v>15</v>
      </c>
      <c r="O184" s="333">
        <f>SUM(C184:N184)</f>
        <v>0</v>
      </c>
    </row>
    <row r="185" spans="1:16" ht="12.75" customHeight="1" x14ac:dyDescent="0.2">
      <c r="A185" s="15" t="s">
        <v>166</v>
      </c>
      <c r="B185" s="12" t="s">
        <v>251</v>
      </c>
      <c r="C185" s="11" t="s">
        <v>15</v>
      </c>
      <c r="D185" s="11" t="s">
        <v>15</v>
      </c>
      <c r="E185" s="11" t="s">
        <v>15</v>
      </c>
      <c r="F185" s="11" t="s">
        <v>15</v>
      </c>
      <c r="G185" s="11" t="s">
        <v>15</v>
      </c>
      <c r="H185" s="11" t="s">
        <v>15</v>
      </c>
      <c r="I185" s="11" t="s">
        <v>15</v>
      </c>
      <c r="J185" s="11" t="s">
        <v>15</v>
      </c>
      <c r="K185" s="11" t="s">
        <v>15</v>
      </c>
      <c r="L185" s="11" t="s">
        <v>15</v>
      </c>
      <c r="M185" s="11" t="s">
        <v>15</v>
      </c>
      <c r="N185" s="11" t="s">
        <v>15</v>
      </c>
      <c r="O185" s="333">
        <f>SUM(C185:N185)</f>
        <v>0</v>
      </c>
    </row>
    <row r="186" spans="1:16" ht="12.75" customHeight="1" x14ac:dyDescent="0.2">
      <c r="A186" s="15" t="s">
        <v>167</v>
      </c>
      <c r="B186" s="12" t="s">
        <v>251</v>
      </c>
      <c r="C186" s="11" t="s">
        <v>15</v>
      </c>
      <c r="D186" s="11" t="s">
        <v>15</v>
      </c>
      <c r="E186" s="11" t="s">
        <v>15</v>
      </c>
      <c r="F186" s="11" t="s">
        <v>15</v>
      </c>
      <c r="G186" s="11" t="s">
        <v>15</v>
      </c>
      <c r="H186" s="11" t="s">
        <v>15</v>
      </c>
      <c r="I186" s="11" t="s">
        <v>15</v>
      </c>
      <c r="J186" s="11" t="s">
        <v>15</v>
      </c>
      <c r="K186" s="11" t="s">
        <v>15</v>
      </c>
      <c r="L186" s="11" t="s">
        <v>15</v>
      </c>
      <c r="M186" s="11" t="s">
        <v>15</v>
      </c>
      <c r="N186" s="11" t="s">
        <v>15</v>
      </c>
      <c r="O186" s="333">
        <f>SUM(C186:N186)</f>
        <v>0</v>
      </c>
    </row>
    <row r="187" spans="1:16" ht="12.75" customHeight="1" x14ac:dyDescent="0.2">
      <c r="A187" s="15" t="s">
        <v>168</v>
      </c>
      <c r="B187" s="12" t="s">
        <v>251</v>
      </c>
      <c r="C187" s="11" t="s">
        <v>15</v>
      </c>
      <c r="D187" s="11" t="s">
        <v>15</v>
      </c>
      <c r="E187" s="11" t="s">
        <v>15</v>
      </c>
      <c r="F187" s="11" t="s">
        <v>15</v>
      </c>
      <c r="G187" s="11" t="s">
        <v>15</v>
      </c>
      <c r="H187" s="11" t="s">
        <v>15</v>
      </c>
      <c r="I187" s="11" t="s">
        <v>15</v>
      </c>
      <c r="J187" s="11" t="s">
        <v>15</v>
      </c>
      <c r="K187" s="11" t="s">
        <v>15</v>
      </c>
      <c r="L187" s="11" t="s">
        <v>15</v>
      </c>
      <c r="M187" s="11" t="s">
        <v>15</v>
      </c>
      <c r="N187" s="11" t="s">
        <v>15</v>
      </c>
      <c r="O187" s="333">
        <f>SUM(C187:N187)</f>
        <v>0</v>
      </c>
    </row>
    <row r="188" spans="1:16" ht="12.75" customHeight="1" x14ac:dyDescent="0.2">
      <c r="A188" s="15" t="s">
        <v>73</v>
      </c>
      <c r="B188" s="12" t="s">
        <v>251</v>
      </c>
      <c r="C188" s="11" t="s">
        <v>15</v>
      </c>
      <c r="D188" s="11" t="s">
        <v>15</v>
      </c>
      <c r="E188" s="11" t="s">
        <v>15</v>
      </c>
      <c r="F188" s="11" t="s">
        <v>15</v>
      </c>
      <c r="G188" s="11" t="s">
        <v>15</v>
      </c>
      <c r="H188" s="11" t="s">
        <v>15</v>
      </c>
      <c r="I188" s="11" t="s">
        <v>15</v>
      </c>
      <c r="J188" s="11" t="s">
        <v>15</v>
      </c>
      <c r="K188" s="11" t="s">
        <v>15</v>
      </c>
      <c r="L188" s="11" t="s">
        <v>15</v>
      </c>
      <c r="M188" s="11" t="s">
        <v>15</v>
      </c>
      <c r="N188" s="11" t="s">
        <v>15</v>
      </c>
      <c r="O188" s="333">
        <f>SUM(C188:N188)</f>
        <v>0</v>
      </c>
    </row>
    <row r="189" spans="1:16" ht="12.75" customHeight="1" x14ac:dyDescent="0.2">
      <c r="A189" s="15" t="s">
        <v>169</v>
      </c>
      <c r="B189" s="12" t="s">
        <v>251</v>
      </c>
      <c r="C189" s="11" t="s">
        <v>15</v>
      </c>
      <c r="D189" s="11" t="s">
        <v>15</v>
      </c>
      <c r="E189" s="11" t="s">
        <v>15</v>
      </c>
      <c r="F189" s="11" t="s">
        <v>15</v>
      </c>
      <c r="G189" s="11" t="s">
        <v>15</v>
      </c>
      <c r="H189" s="11" t="s">
        <v>15</v>
      </c>
      <c r="I189" s="11" t="s">
        <v>15</v>
      </c>
      <c r="J189" s="11" t="s">
        <v>15</v>
      </c>
      <c r="K189" s="11" t="s">
        <v>15</v>
      </c>
      <c r="L189" s="11" t="s">
        <v>15</v>
      </c>
      <c r="M189" s="11" t="s">
        <v>15</v>
      </c>
      <c r="N189" s="11" t="s">
        <v>15</v>
      </c>
      <c r="O189" s="333">
        <f>SUM(C189:N189)</f>
        <v>0</v>
      </c>
    </row>
    <row r="190" spans="1:16" ht="12.75" customHeight="1" x14ac:dyDescent="0.2">
      <c r="A190" s="15" t="s">
        <v>29</v>
      </c>
      <c r="B190" s="12" t="s">
        <v>251</v>
      </c>
      <c r="C190" s="11" t="s">
        <v>15</v>
      </c>
      <c r="D190" s="11" t="s">
        <v>15</v>
      </c>
      <c r="E190" s="11" t="s">
        <v>15</v>
      </c>
      <c r="F190" s="11" t="s">
        <v>15</v>
      </c>
      <c r="G190" s="11" t="s">
        <v>15</v>
      </c>
      <c r="H190" s="11" t="s">
        <v>15</v>
      </c>
      <c r="I190" s="11" t="s">
        <v>15</v>
      </c>
      <c r="J190" s="11" t="s">
        <v>15</v>
      </c>
      <c r="K190" s="11" t="s">
        <v>15</v>
      </c>
      <c r="L190" s="11" t="s">
        <v>15</v>
      </c>
      <c r="M190" s="11" t="s">
        <v>15</v>
      </c>
      <c r="N190" s="11" t="s">
        <v>15</v>
      </c>
      <c r="O190" s="333">
        <f>SUM(C190:N190)</f>
        <v>0</v>
      </c>
    </row>
    <row r="191" spans="1:16" ht="12.75" customHeight="1" x14ac:dyDescent="0.2">
      <c r="A191" s="15" t="s">
        <v>30</v>
      </c>
      <c r="B191" s="12" t="s">
        <v>251</v>
      </c>
      <c r="C191" s="11" t="s">
        <v>15</v>
      </c>
      <c r="D191" s="11" t="s">
        <v>15</v>
      </c>
      <c r="E191" s="11" t="s">
        <v>15</v>
      </c>
      <c r="F191" s="11" t="s">
        <v>15</v>
      </c>
      <c r="G191" s="11" t="s">
        <v>15</v>
      </c>
      <c r="H191" s="11" t="s">
        <v>15</v>
      </c>
      <c r="I191" s="11" t="s">
        <v>15</v>
      </c>
      <c r="J191" s="11" t="s">
        <v>15</v>
      </c>
      <c r="K191" s="11" t="s">
        <v>15</v>
      </c>
      <c r="L191" s="11" t="s">
        <v>15</v>
      </c>
      <c r="M191" s="11" t="s">
        <v>15</v>
      </c>
      <c r="N191" s="11" t="s">
        <v>15</v>
      </c>
      <c r="O191" s="333">
        <f>SUM(C191:N191)</f>
        <v>0</v>
      </c>
    </row>
    <row r="192" spans="1:16" ht="12.75" customHeight="1" x14ac:dyDescent="0.2">
      <c r="A192" s="15" t="s">
        <v>75</v>
      </c>
      <c r="B192" s="12" t="s">
        <v>251</v>
      </c>
      <c r="C192" s="11" t="s">
        <v>15</v>
      </c>
      <c r="D192" s="11" t="s">
        <v>15</v>
      </c>
      <c r="E192" s="11" t="s">
        <v>15</v>
      </c>
      <c r="F192" s="11" t="s">
        <v>15</v>
      </c>
      <c r="G192" s="11" t="s">
        <v>15</v>
      </c>
      <c r="H192" s="11" t="s">
        <v>15</v>
      </c>
      <c r="I192" s="11" t="s">
        <v>15</v>
      </c>
      <c r="J192" s="11" t="s">
        <v>15</v>
      </c>
      <c r="K192" s="11" t="s">
        <v>15</v>
      </c>
      <c r="L192" s="11" t="s">
        <v>15</v>
      </c>
      <c r="M192" s="11" t="s">
        <v>15</v>
      </c>
      <c r="N192" s="11" t="s">
        <v>15</v>
      </c>
      <c r="O192" s="333">
        <f>SUM(C192:N192)</f>
        <v>0</v>
      </c>
    </row>
    <row r="193" spans="1:15" ht="12.75" customHeight="1" x14ac:dyDescent="0.2">
      <c r="A193" s="15" t="s">
        <v>76</v>
      </c>
      <c r="B193" s="12" t="s">
        <v>251</v>
      </c>
      <c r="C193" s="11" t="s">
        <v>15</v>
      </c>
      <c r="D193" s="11" t="s">
        <v>15</v>
      </c>
      <c r="E193" s="11" t="s">
        <v>15</v>
      </c>
      <c r="F193" s="11" t="s">
        <v>15</v>
      </c>
      <c r="G193" s="11" t="s">
        <v>15</v>
      </c>
      <c r="H193" s="11" t="s">
        <v>15</v>
      </c>
      <c r="I193" s="11" t="s">
        <v>15</v>
      </c>
      <c r="J193" s="11" t="s">
        <v>15</v>
      </c>
      <c r="K193" s="11" t="s">
        <v>15</v>
      </c>
      <c r="L193" s="11" t="s">
        <v>15</v>
      </c>
      <c r="M193" s="11" t="s">
        <v>15</v>
      </c>
      <c r="N193" s="11" t="s">
        <v>15</v>
      </c>
      <c r="O193" s="333">
        <f>SUM(C193:N193)</f>
        <v>0</v>
      </c>
    </row>
    <row r="194" spans="1:15" ht="12.75" customHeight="1" x14ac:dyDescent="0.2">
      <c r="A194" s="15" t="s">
        <v>77</v>
      </c>
      <c r="B194" s="12" t="s">
        <v>251</v>
      </c>
      <c r="C194" s="11" t="s">
        <v>15</v>
      </c>
      <c r="D194" s="11" t="s">
        <v>15</v>
      </c>
      <c r="E194" s="11" t="s">
        <v>15</v>
      </c>
      <c r="F194" s="11" t="s">
        <v>15</v>
      </c>
      <c r="G194" s="11" t="s">
        <v>15</v>
      </c>
      <c r="H194" s="11" t="s">
        <v>15</v>
      </c>
      <c r="I194" s="11" t="s">
        <v>15</v>
      </c>
      <c r="J194" s="11" t="s">
        <v>15</v>
      </c>
      <c r="K194" s="11" t="s">
        <v>15</v>
      </c>
      <c r="L194" s="11" t="s">
        <v>15</v>
      </c>
      <c r="M194" s="11" t="s">
        <v>15</v>
      </c>
      <c r="N194" s="11" t="s">
        <v>15</v>
      </c>
      <c r="O194" s="333">
        <f>SUM(C194:N194)</f>
        <v>0</v>
      </c>
    </row>
    <row r="195" spans="1:15" ht="14.25" x14ac:dyDescent="0.2">
      <c r="A195" s="15" t="s">
        <v>78</v>
      </c>
      <c r="B195" s="12" t="s">
        <v>251</v>
      </c>
      <c r="C195" s="11" t="s">
        <v>15</v>
      </c>
      <c r="D195" s="11" t="s">
        <v>15</v>
      </c>
      <c r="E195" s="11" t="s">
        <v>15</v>
      </c>
      <c r="F195" s="11" t="s">
        <v>15</v>
      </c>
      <c r="G195" s="11" t="s">
        <v>15</v>
      </c>
      <c r="H195" s="11" t="s">
        <v>15</v>
      </c>
      <c r="I195" s="11" t="s">
        <v>15</v>
      </c>
      <c r="J195" s="11" t="s">
        <v>15</v>
      </c>
      <c r="K195" s="11" t="s">
        <v>15</v>
      </c>
      <c r="L195" s="11" t="s">
        <v>15</v>
      </c>
      <c r="M195" s="11" t="s">
        <v>15</v>
      </c>
      <c r="N195" s="11" t="s">
        <v>15</v>
      </c>
      <c r="O195" s="333">
        <f>SUM(C195:N195)</f>
        <v>0</v>
      </c>
    </row>
    <row r="196" spans="1:15" ht="14.25" x14ac:dyDescent="0.2">
      <c r="A196" s="15" t="s">
        <v>79</v>
      </c>
      <c r="B196" s="12" t="s">
        <v>251</v>
      </c>
      <c r="C196" s="11" t="s">
        <v>15</v>
      </c>
      <c r="D196" s="11" t="s">
        <v>15</v>
      </c>
      <c r="E196" s="11" t="s">
        <v>15</v>
      </c>
      <c r="F196" s="11" t="s">
        <v>15</v>
      </c>
      <c r="G196" s="11" t="s">
        <v>15</v>
      </c>
      <c r="H196" s="11" t="s">
        <v>15</v>
      </c>
      <c r="I196" s="11" t="s">
        <v>15</v>
      </c>
      <c r="J196" s="11" t="s">
        <v>15</v>
      </c>
      <c r="K196" s="11" t="s">
        <v>15</v>
      </c>
      <c r="L196" s="11" t="s">
        <v>15</v>
      </c>
      <c r="M196" s="11" t="s">
        <v>15</v>
      </c>
      <c r="N196" s="11" t="s">
        <v>15</v>
      </c>
      <c r="O196" s="333">
        <f>SUM(C196:N196)</f>
        <v>0</v>
      </c>
    </row>
    <row r="197" spans="1:15" ht="14.25" x14ac:dyDescent="0.2">
      <c r="A197" s="15" t="s">
        <v>80</v>
      </c>
      <c r="B197" s="12" t="s">
        <v>251</v>
      </c>
      <c r="C197" s="11" t="s">
        <v>15</v>
      </c>
      <c r="D197" s="11" t="s">
        <v>15</v>
      </c>
      <c r="E197" s="11" t="s">
        <v>15</v>
      </c>
      <c r="F197" s="11" t="s">
        <v>15</v>
      </c>
      <c r="G197" s="11" t="s">
        <v>15</v>
      </c>
      <c r="H197" s="11" t="s">
        <v>15</v>
      </c>
      <c r="I197" s="11" t="s">
        <v>15</v>
      </c>
      <c r="J197" s="11" t="s">
        <v>15</v>
      </c>
      <c r="K197" s="11" t="s">
        <v>15</v>
      </c>
      <c r="L197" s="11" t="s">
        <v>15</v>
      </c>
      <c r="M197" s="11" t="s">
        <v>15</v>
      </c>
      <c r="N197" s="11" t="s">
        <v>15</v>
      </c>
      <c r="O197" s="333">
        <f>SUM(C197:N197)</f>
        <v>0</v>
      </c>
    </row>
    <row r="198" spans="1:15" ht="14.25" x14ac:dyDescent="0.2">
      <c r="A198" s="15" t="s">
        <v>133</v>
      </c>
      <c r="B198" s="12" t="s">
        <v>251</v>
      </c>
      <c r="C198" s="11" t="s">
        <v>15</v>
      </c>
      <c r="D198" s="11" t="s">
        <v>15</v>
      </c>
      <c r="E198" s="11" t="s">
        <v>15</v>
      </c>
      <c r="F198" s="11" t="s">
        <v>15</v>
      </c>
      <c r="G198" s="11" t="s">
        <v>15</v>
      </c>
      <c r="H198" s="11" t="s">
        <v>15</v>
      </c>
      <c r="I198" s="11" t="s">
        <v>15</v>
      </c>
      <c r="J198" s="11" t="s">
        <v>15</v>
      </c>
      <c r="K198" s="11" t="s">
        <v>15</v>
      </c>
      <c r="L198" s="11" t="s">
        <v>15</v>
      </c>
      <c r="M198" s="11" t="s">
        <v>15</v>
      </c>
      <c r="N198" s="11" t="s">
        <v>15</v>
      </c>
      <c r="O198" s="333">
        <f>SUM(C198:N198)</f>
        <v>0</v>
      </c>
    </row>
    <row r="199" spans="1:15" ht="14.25" x14ac:dyDescent="0.2">
      <c r="A199" s="15" t="s">
        <v>210</v>
      </c>
      <c r="B199" s="12" t="s">
        <v>251</v>
      </c>
      <c r="C199" s="11" t="s">
        <v>15</v>
      </c>
      <c r="D199" s="11" t="s">
        <v>15</v>
      </c>
      <c r="E199" s="11" t="s">
        <v>15</v>
      </c>
      <c r="F199" s="11" t="s">
        <v>15</v>
      </c>
      <c r="G199" s="11" t="s">
        <v>15</v>
      </c>
      <c r="H199" s="11" t="s">
        <v>15</v>
      </c>
      <c r="I199" s="11" t="s">
        <v>15</v>
      </c>
      <c r="J199" s="11" t="s">
        <v>15</v>
      </c>
      <c r="K199" s="11" t="s">
        <v>15</v>
      </c>
      <c r="L199" s="11" t="s">
        <v>15</v>
      </c>
      <c r="M199" s="11" t="s">
        <v>15</v>
      </c>
      <c r="N199" s="11" t="s">
        <v>15</v>
      </c>
      <c r="O199" s="333">
        <f>SUM(C199:N199)</f>
        <v>0</v>
      </c>
    </row>
    <row r="200" spans="1:15" ht="14.25" x14ac:dyDescent="0.2">
      <c r="A200" s="15" t="s">
        <v>170</v>
      </c>
      <c r="B200" s="12" t="s">
        <v>251</v>
      </c>
      <c r="C200" s="11" t="s">
        <v>15</v>
      </c>
      <c r="D200" s="11" t="s">
        <v>15</v>
      </c>
      <c r="E200" s="11" t="s">
        <v>15</v>
      </c>
      <c r="F200" s="11" t="s">
        <v>15</v>
      </c>
      <c r="G200" s="11" t="s">
        <v>15</v>
      </c>
      <c r="H200" s="11" t="s">
        <v>15</v>
      </c>
      <c r="I200" s="11" t="s">
        <v>15</v>
      </c>
      <c r="J200" s="11" t="s">
        <v>15</v>
      </c>
      <c r="K200" s="11" t="s">
        <v>15</v>
      </c>
      <c r="L200" s="11" t="s">
        <v>15</v>
      </c>
      <c r="M200" s="11" t="s">
        <v>15</v>
      </c>
      <c r="N200" s="11" t="s">
        <v>15</v>
      </c>
      <c r="O200" s="333">
        <f>SUM(C200:N200)</f>
        <v>0</v>
      </c>
    </row>
    <row r="201" spans="1:15" ht="14.25" x14ac:dyDescent="0.2">
      <c r="A201" s="15" t="s">
        <v>195</v>
      </c>
      <c r="B201" s="12" t="s">
        <v>251</v>
      </c>
      <c r="C201" s="11" t="s">
        <v>15</v>
      </c>
      <c r="D201" s="11" t="s">
        <v>15</v>
      </c>
      <c r="E201" s="11" t="s">
        <v>15</v>
      </c>
      <c r="F201" s="11" t="s">
        <v>15</v>
      </c>
      <c r="G201" s="11" t="s">
        <v>15</v>
      </c>
      <c r="H201" s="11" t="s">
        <v>15</v>
      </c>
      <c r="I201" s="11" t="s">
        <v>15</v>
      </c>
      <c r="J201" s="11" t="s">
        <v>15</v>
      </c>
      <c r="K201" s="11" t="s">
        <v>15</v>
      </c>
      <c r="L201" s="11" t="s">
        <v>15</v>
      </c>
      <c r="M201" s="11" t="s">
        <v>15</v>
      </c>
      <c r="N201" s="11" t="s">
        <v>15</v>
      </c>
      <c r="O201" s="333">
        <f>SUM(C201:N201)</f>
        <v>0</v>
      </c>
    </row>
    <row r="202" spans="1:15" ht="14.25" x14ac:dyDescent="0.2">
      <c r="A202" s="15" t="s">
        <v>256</v>
      </c>
      <c r="B202" s="12" t="s">
        <v>251</v>
      </c>
      <c r="C202" s="11" t="s">
        <v>15</v>
      </c>
      <c r="D202" s="11" t="s">
        <v>15</v>
      </c>
      <c r="E202" s="11" t="s">
        <v>15</v>
      </c>
      <c r="F202" s="11" t="s">
        <v>15</v>
      </c>
      <c r="G202" s="11" t="s">
        <v>15</v>
      </c>
      <c r="H202" s="11" t="s">
        <v>15</v>
      </c>
      <c r="I202" s="11" t="s">
        <v>15</v>
      </c>
      <c r="J202" s="11" t="s">
        <v>15</v>
      </c>
      <c r="K202" s="11" t="s">
        <v>15</v>
      </c>
      <c r="L202" s="11" t="s">
        <v>15</v>
      </c>
      <c r="M202" s="11" t="s">
        <v>15</v>
      </c>
      <c r="N202" s="11" t="s">
        <v>15</v>
      </c>
      <c r="O202" s="333">
        <f>SUM(C202:N202)</f>
        <v>0</v>
      </c>
    </row>
    <row r="203" spans="1:15" ht="14.25" x14ac:dyDescent="0.2">
      <c r="A203" s="15" t="s">
        <v>205</v>
      </c>
      <c r="B203" s="12" t="s">
        <v>251</v>
      </c>
      <c r="C203" s="11" t="s">
        <v>15</v>
      </c>
      <c r="D203" s="11" t="s">
        <v>15</v>
      </c>
      <c r="E203" s="11" t="s">
        <v>15</v>
      </c>
      <c r="F203" s="11" t="s">
        <v>15</v>
      </c>
      <c r="G203" s="11" t="s">
        <v>15</v>
      </c>
      <c r="H203" s="11" t="s">
        <v>15</v>
      </c>
      <c r="I203" s="11" t="s">
        <v>15</v>
      </c>
      <c r="J203" s="11" t="s">
        <v>15</v>
      </c>
      <c r="K203" s="11" t="s">
        <v>15</v>
      </c>
      <c r="L203" s="11" t="s">
        <v>15</v>
      </c>
      <c r="M203" s="11" t="s">
        <v>15</v>
      </c>
      <c r="N203" s="11" t="s">
        <v>15</v>
      </c>
      <c r="O203" s="333">
        <f>SUM(C203:N203)</f>
        <v>0</v>
      </c>
    </row>
    <row r="204" spans="1:15" ht="14.25" x14ac:dyDescent="0.2">
      <c r="A204" s="15" t="s">
        <v>207</v>
      </c>
      <c r="B204" s="12" t="s">
        <v>251</v>
      </c>
      <c r="C204" s="11" t="s">
        <v>15</v>
      </c>
      <c r="D204" s="11" t="s">
        <v>15</v>
      </c>
      <c r="E204" s="11" t="s">
        <v>15</v>
      </c>
      <c r="F204" s="11" t="s">
        <v>15</v>
      </c>
      <c r="G204" s="11" t="s">
        <v>15</v>
      </c>
      <c r="H204" s="11" t="s">
        <v>15</v>
      </c>
      <c r="I204" s="11" t="s">
        <v>15</v>
      </c>
      <c r="J204" s="11" t="s">
        <v>15</v>
      </c>
      <c r="K204" s="11" t="s">
        <v>15</v>
      </c>
      <c r="L204" s="11" t="s">
        <v>15</v>
      </c>
      <c r="M204" s="11" t="s">
        <v>15</v>
      </c>
      <c r="N204" s="11" t="s">
        <v>15</v>
      </c>
      <c r="O204" s="333">
        <f>SUM(C204:N204)</f>
        <v>0</v>
      </c>
    </row>
    <row r="205" spans="1:15" ht="14.25" x14ac:dyDescent="0.2">
      <c r="A205" s="15" t="s">
        <v>257</v>
      </c>
      <c r="B205" s="12" t="s">
        <v>251</v>
      </c>
      <c r="C205" s="11" t="s">
        <v>15</v>
      </c>
      <c r="D205" s="11" t="s">
        <v>15</v>
      </c>
      <c r="E205" s="11" t="s">
        <v>15</v>
      </c>
      <c r="F205" s="11" t="s">
        <v>15</v>
      </c>
      <c r="G205" s="11" t="s">
        <v>15</v>
      </c>
      <c r="H205" s="11" t="s">
        <v>15</v>
      </c>
      <c r="I205" s="11" t="s">
        <v>15</v>
      </c>
      <c r="J205" s="11" t="s">
        <v>15</v>
      </c>
      <c r="K205" s="11" t="s">
        <v>15</v>
      </c>
      <c r="L205" s="11" t="s">
        <v>15</v>
      </c>
      <c r="M205" s="11" t="s">
        <v>15</v>
      </c>
      <c r="N205" s="11" t="s">
        <v>15</v>
      </c>
      <c r="O205" s="333">
        <f>SUM(C205:N205)</f>
        <v>0</v>
      </c>
    </row>
    <row r="206" spans="1:15" ht="14.25" x14ac:dyDescent="0.2">
      <c r="A206" s="15" t="s">
        <v>258</v>
      </c>
      <c r="B206" s="12" t="s">
        <v>251</v>
      </c>
      <c r="C206" s="11" t="s">
        <v>15</v>
      </c>
      <c r="D206" s="11" t="s">
        <v>15</v>
      </c>
      <c r="E206" s="11" t="s">
        <v>15</v>
      </c>
      <c r="F206" s="11" t="s">
        <v>15</v>
      </c>
      <c r="G206" s="11" t="s">
        <v>15</v>
      </c>
      <c r="H206" s="11" t="s">
        <v>15</v>
      </c>
      <c r="I206" s="11" t="s">
        <v>15</v>
      </c>
      <c r="J206" s="11" t="s">
        <v>15</v>
      </c>
      <c r="K206" s="11" t="s">
        <v>15</v>
      </c>
      <c r="L206" s="11" t="s">
        <v>15</v>
      </c>
      <c r="M206" s="11" t="s">
        <v>15</v>
      </c>
      <c r="N206" s="11" t="s">
        <v>15</v>
      </c>
      <c r="O206" s="333">
        <f>SUM(C206:N206)</f>
        <v>0</v>
      </c>
    </row>
    <row r="207" spans="1:15" ht="14.25" x14ac:dyDescent="0.2">
      <c r="A207" s="15" t="s">
        <v>31</v>
      </c>
      <c r="B207" s="12" t="s">
        <v>251</v>
      </c>
      <c r="C207" s="11" t="s">
        <v>15</v>
      </c>
      <c r="D207" s="11" t="s">
        <v>15</v>
      </c>
      <c r="E207" s="11" t="s">
        <v>15</v>
      </c>
      <c r="F207" s="11" t="s">
        <v>15</v>
      </c>
      <c r="G207" s="11" t="s">
        <v>15</v>
      </c>
      <c r="H207" s="11" t="s">
        <v>15</v>
      </c>
      <c r="I207" s="11" t="s">
        <v>15</v>
      </c>
      <c r="J207" s="11" t="s">
        <v>15</v>
      </c>
      <c r="K207" s="11" t="s">
        <v>15</v>
      </c>
      <c r="L207" s="11" t="s">
        <v>15</v>
      </c>
      <c r="M207" s="11" t="s">
        <v>15</v>
      </c>
      <c r="N207" s="11" t="s">
        <v>15</v>
      </c>
      <c r="O207" s="333">
        <f>SUM(C207:N207)</f>
        <v>0</v>
      </c>
    </row>
    <row r="208" spans="1:15" ht="14.25" x14ac:dyDescent="0.2">
      <c r="A208" s="15" t="s">
        <v>59</v>
      </c>
      <c r="B208" s="12" t="s">
        <v>251</v>
      </c>
      <c r="C208" s="11" t="s">
        <v>15</v>
      </c>
      <c r="D208" s="11" t="s">
        <v>15</v>
      </c>
      <c r="E208" s="11" t="s">
        <v>15</v>
      </c>
      <c r="F208" s="11" t="s">
        <v>15</v>
      </c>
      <c r="G208" s="11" t="s">
        <v>15</v>
      </c>
      <c r="H208" s="11" t="s">
        <v>15</v>
      </c>
      <c r="I208" s="11" t="s">
        <v>15</v>
      </c>
      <c r="J208" s="11" t="s">
        <v>15</v>
      </c>
      <c r="K208" s="11" t="s">
        <v>15</v>
      </c>
      <c r="L208" s="11" t="s">
        <v>15</v>
      </c>
      <c r="M208" s="11" t="s">
        <v>15</v>
      </c>
      <c r="N208" s="11" t="s">
        <v>15</v>
      </c>
      <c r="O208" s="333">
        <f>SUM(C208:N208)</f>
        <v>0</v>
      </c>
    </row>
    <row r="209" spans="1:16" ht="14.25" x14ac:dyDescent="0.2">
      <c r="A209" s="15" t="s">
        <v>60</v>
      </c>
      <c r="B209" s="12" t="s">
        <v>251</v>
      </c>
      <c r="C209" s="11" t="s">
        <v>15</v>
      </c>
      <c r="D209" s="11" t="s">
        <v>15</v>
      </c>
      <c r="E209" s="11" t="s">
        <v>15</v>
      </c>
      <c r="F209" s="11" t="s">
        <v>15</v>
      </c>
      <c r="G209" s="11" t="s">
        <v>15</v>
      </c>
      <c r="H209" s="11" t="s">
        <v>15</v>
      </c>
      <c r="I209" s="11" t="s">
        <v>15</v>
      </c>
      <c r="J209" s="11" t="s">
        <v>15</v>
      </c>
      <c r="K209" s="11" t="s">
        <v>15</v>
      </c>
      <c r="L209" s="11" t="s">
        <v>15</v>
      </c>
      <c r="M209" s="11" t="s">
        <v>15</v>
      </c>
      <c r="N209" s="11" t="s">
        <v>15</v>
      </c>
      <c r="O209" s="333">
        <f>SUM(C209:N209)</f>
        <v>0</v>
      </c>
    </row>
    <row r="210" spans="1:16" ht="14.25" x14ac:dyDescent="0.2">
      <c r="A210" s="15" t="s">
        <v>61</v>
      </c>
      <c r="B210" s="12" t="s">
        <v>251</v>
      </c>
      <c r="C210" s="11" t="s">
        <v>15</v>
      </c>
      <c r="D210" s="11" t="s">
        <v>15</v>
      </c>
      <c r="E210" s="11" t="s">
        <v>15</v>
      </c>
      <c r="F210" s="11" t="s">
        <v>15</v>
      </c>
      <c r="G210" s="11" t="s">
        <v>15</v>
      </c>
      <c r="H210" s="11" t="s">
        <v>15</v>
      </c>
      <c r="I210" s="11" t="s">
        <v>15</v>
      </c>
      <c r="J210" s="11" t="s">
        <v>15</v>
      </c>
      <c r="K210" s="11" t="s">
        <v>15</v>
      </c>
      <c r="L210" s="11" t="s">
        <v>15</v>
      </c>
      <c r="M210" s="11" t="s">
        <v>15</v>
      </c>
      <c r="N210" s="11" t="s">
        <v>15</v>
      </c>
      <c r="O210" s="333">
        <f>SUM(C210:N210)</f>
        <v>0</v>
      </c>
    </row>
    <row r="211" spans="1:16" ht="14.25" x14ac:dyDescent="0.2">
      <c r="A211" s="15" t="s">
        <v>81</v>
      </c>
      <c r="B211" s="12" t="s">
        <v>251</v>
      </c>
      <c r="C211" s="11" t="s">
        <v>15</v>
      </c>
      <c r="D211" s="11" t="s">
        <v>15</v>
      </c>
      <c r="E211" s="11" t="s">
        <v>15</v>
      </c>
      <c r="F211" s="11" t="s">
        <v>15</v>
      </c>
      <c r="G211" s="11" t="s">
        <v>15</v>
      </c>
      <c r="H211" s="11" t="s">
        <v>15</v>
      </c>
      <c r="I211" s="11" t="s">
        <v>15</v>
      </c>
      <c r="J211" s="11" t="s">
        <v>15</v>
      </c>
      <c r="K211" s="11" t="s">
        <v>15</v>
      </c>
      <c r="L211" s="11" t="s">
        <v>15</v>
      </c>
      <c r="M211" s="11" t="s">
        <v>15</v>
      </c>
      <c r="N211" s="11" t="s">
        <v>15</v>
      </c>
      <c r="O211" s="333">
        <f>SUM(C211:N211)</f>
        <v>0</v>
      </c>
    </row>
    <row r="212" spans="1:16" s="39" customFormat="1" ht="14.25" x14ac:dyDescent="0.2">
      <c r="A212" s="40" t="s">
        <v>32</v>
      </c>
      <c r="B212" s="168" t="s">
        <v>251</v>
      </c>
      <c r="C212" s="333" t="s">
        <v>15</v>
      </c>
      <c r="D212" s="333" t="s">
        <v>15</v>
      </c>
      <c r="E212" s="333" t="s">
        <v>15</v>
      </c>
      <c r="F212" s="333" t="s">
        <v>15</v>
      </c>
      <c r="G212" s="333" t="s">
        <v>15</v>
      </c>
      <c r="H212" s="333" t="s">
        <v>15</v>
      </c>
      <c r="I212" s="333" t="s">
        <v>15</v>
      </c>
      <c r="J212" s="333" t="s">
        <v>15</v>
      </c>
      <c r="K212" s="333" t="s">
        <v>15</v>
      </c>
      <c r="L212" s="333" t="s">
        <v>15</v>
      </c>
      <c r="M212" s="333" t="s">
        <v>15</v>
      </c>
      <c r="N212" s="333" t="s">
        <v>15</v>
      </c>
      <c r="O212" s="333">
        <f>SUM(C212:N212)</f>
        <v>0</v>
      </c>
      <c r="P212" s="2"/>
    </row>
    <row r="213" spans="1:16" s="39" customFormat="1" ht="14.25" x14ac:dyDescent="0.2">
      <c r="A213" s="40" t="s">
        <v>41</v>
      </c>
      <c r="B213" s="168" t="s">
        <v>251</v>
      </c>
      <c r="C213" s="333" t="s">
        <v>15</v>
      </c>
      <c r="D213" s="333" t="s">
        <v>15</v>
      </c>
      <c r="E213" s="333" t="s">
        <v>15</v>
      </c>
      <c r="F213" s="333" t="s">
        <v>15</v>
      </c>
      <c r="G213" s="333" t="s">
        <v>15</v>
      </c>
      <c r="H213" s="333" t="s">
        <v>15</v>
      </c>
      <c r="I213" s="333" t="s">
        <v>15</v>
      </c>
      <c r="J213" s="333" t="s">
        <v>15</v>
      </c>
      <c r="K213" s="333" t="s">
        <v>15</v>
      </c>
      <c r="L213" s="333" t="s">
        <v>15</v>
      </c>
      <c r="M213" s="333" t="s">
        <v>15</v>
      </c>
      <c r="N213" s="333" t="s">
        <v>15</v>
      </c>
      <c r="O213" s="333">
        <f>SUM(C213:N213)</f>
        <v>0</v>
      </c>
      <c r="P213" s="2"/>
    </row>
    <row r="214" spans="1:16" s="39" customFormat="1" ht="14.25" x14ac:dyDescent="0.2">
      <c r="A214" s="40" t="s">
        <v>33</v>
      </c>
      <c r="B214" s="168" t="s">
        <v>251</v>
      </c>
      <c r="C214" s="333" t="s">
        <v>15</v>
      </c>
      <c r="D214" s="333" t="s">
        <v>15</v>
      </c>
      <c r="E214" s="333" t="s">
        <v>15</v>
      </c>
      <c r="F214" s="333" t="s">
        <v>15</v>
      </c>
      <c r="G214" s="333" t="s">
        <v>15</v>
      </c>
      <c r="H214" s="333" t="s">
        <v>15</v>
      </c>
      <c r="I214" s="333" t="s">
        <v>15</v>
      </c>
      <c r="J214" s="333" t="s">
        <v>15</v>
      </c>
      <c r="K214" s="333" t="s">
        <v>15</v>
      </c>
      <c r="L214" s="333" t="s">
        <v>15</v>
      </c>
      <c r="M214" s="333" t="s">
        <v>15</v>
      </c>
      <c r="N214" s="333" t="s">
        <v>15</v>
      </c>
      <c r="O214" s="333">
        <f>SUM(C214:N214)</f>
        <v>0</v>
      </c>
      <c r="P214" s="2"/>
    </row>
    <row r="215" spans="1:16" ht="14.25" x14ac:dyDescent="0.2">
      <c r="A215" s="200" t="s">
        <v>174</v>
      </c>
      <c r="B215" s="12" t="s">
        <v>251</v>
      </c>
      <c r="C215" s="11" t="s">
        <v>15</v>
      </c>
      <c r="D215" s="11" t="s">
        <v>15</v>
      </c>
      <c r="E215" s="11" t="s">
        <v>15</v>
      </c>
      <c r="F215" s="11" t="s">
        <v>15</v>
      </c>
      <c r="G215" s="11" t="s">
        <v>15</v>
      </c>
      <c r="H215" s="11" t="s">
        <v>15</v>
      </c>
      <c r="I215" s="11" t="s">
        <v>15</v>
      </c>
      <c r="J215" s="11" t="s">
        <v>15</v>
      </c>
      <c r="K215" s="11" t="s">
        <v>15</v>
      </c>
      <c r="L215" s="11" t="s">
        <v>15</v>
      </c>
      <c r="M215" s="11" t="s">
        <v>15</v>
      </c>
      <c r="N215" s="11" t="s">
        <v>15</v>
      </c>
      <c r="O215" s="333">
        <f>SUM(C215:N215)</f>
        <v>0</v>
      </c>
    </row>
    <row r="216" spans="1:16" ht="14.25" x14ac:dyDescent="0.2">
      <c r="A216" s="15" t="s">
        <v>118</v>
      </c>
      <c r="B216" s="12" t="s">
        <v>119</v>
      </c>
      <c r="C216" s="11" t="s">
        <v>15</v>
      </c>
      <c r="D216" s="11" t="s">
        <v>15</v>
      </c>
      <c r="E216" s="11" t="s">
        <v>15</v>
      </c>
      <c r="F216" s="11" t="s">
        <v>15</v>
      </c>
      <c r="G216" s="11" t="s">
        <v>15</v>
      </c>
      <c r="H216" s="11" t="s">
        <v>15</v>
      </c>
      <c r="I216" s="11" t="s">
        <v>15</v>
      </c>
      <c r="J216" s="11" t="s">
        <v>15</v>
      </c>
      <c r="K216" s="11" t="s">
        <v>15</v>
      </c>
      <c r="L216" s="11" t="s">
        <v>15</v>
      </c>
      <c r="M216" s="11" t="s">
        <v>15</v>
      </c>
      <c r="N216" s="11" t="s">
        <v>15</v>
      </c>
      <c r="O216" s="333">
        <f>SUM(C216:N216)</f>
        <v>0</v>
      </c>
    </row>
    <row r="217" spans="1:16" s="14" customFormat="1" x14ac:dyDescent="0.2">
      <c r="A217" s="13" t="s">
        <v>84</v>
      </c>
      <c r="C217" s="5">
        <f>SUM(C80:C216)</f>
        <v>0</v>
      </c>
      <c r="D217" s="5">
        <f>SUM(D80:D216)</f>
        <v>0</v>
      </c>
      <c r="E217" s="5">
        <f>SUM(E80:E216)</f>
        <v>0</v>
      </c>
      <c r="F217" s="5">
        <f>SUM(F80:F216)</f>
        <v>0</v>
      </c>
      <c r="G217" s="5">
        <f>SUM(G80:G216)</f>
        <v>0</v>
      </c>
      <c r="H217" s="5">
        <f>SUM(H80:H216)</f>
        <v>0</v>
      </c>
      <c r="I217" s="5">
        <f>SUM(I80:I216)</f>
        <v>0</v>
      </c>
      <c r="J217" s="5">
        <f>SUM(J80:J216)</f>
        <v>0</v>
      </c>
      <c r="K217" s="5">
        <f>SUM(K80:K216)</f>
        <v>0</v>
      </c>
      <c r="L217" s="5">
        <f>SUM(L80:L216)</f>
        <v>0</v>
      </c>
      <c r="M217" s="5">
        <f>SUM(M80:M216)</f>
        <v>0</v>
      </c>
      <c r="N217" s="5">
        <f>SUM(N80:N216)</f>
        <v>0</v>
      </c>
      <c r="O217" s="332">
        <f>SUM(O80:O216)</f>
        <v>0</v>
      </c>
      <c r="P217" s="2"/>
    </row>
    <row r="219" spans="1:16" s="1" customFormat="1" ht="13.5" thickBot="1" x14ac:dyDescent="0.25">
      <c r="A219" s="20" t="s">
        <v>370</v>
      </c>
      <c r="B219" s="16"/>
      <c r="C219" s="343">
        <f>+C217+C78</f>
        <v>0</v>
      </c>
      <c r="D219" s="343">
        <f>+D217+D78</f>
        <v>0</v>
      </c>
      <c r="E219" s="343">
        <f>+E217+E78</f>
        <v>0</v>
      </c>
      <c r="F219" s="343">
        <f>+F217+F78</f>
        <v>0</v>
      </c>
      <c r="G219" s="343">
        <f>+G217+G78</f>
        <v>0</v>
      </c>
      <c r="H219" s="343">
        <f>+H217+H78</f>
        <v>0</v>
      </c>
      <c r="I219" s="343">
        <f>+I217+I78</f>
        <v>0</v>
      </c>
      <c r="J219" s="343">
        <f>+J217+J78</f>
        <v>0</v>
      </c>
      <c r="K219" s="343">
        <f>+K217+K78</f>
        <v>0</v>
      </c>
      <c r="L219" s="343">
        <f>+L217+L78</f>
        <v>0</v>
      </c>
      <c r="M219" s="343">
        <f>+M217+M78</f>
        <v>0</v>
      </c>
      <c r="N219" s="343">
        <f>+N217+N78</f>
        <v>0</v>
      </c>
      <c r="O219" s="344">
        <f>+O217+O78</f>
        <v>0</v>
      </c>
      <c r="P219" s="2"/>
    </row>
    <row r="220" spans="1:16" ht="13.5" thickTop="1" x14ac:dyDescent="0.2"/>
    <row r="222" spans="1:16" x14ac:dyDescent="0.2">
      <c r="A222" s="9" t="s">
        <v>85</v>
      </c>
      <c r="B222" s="10" t="s">
        <v>14</v>
      </c>
      <c r="C222" s="11" t="s">
        <v>15</v>
      </c>
      <c r="D222" s="11" t="s">
        <v>15</v>
      </c>
      <c r="E222" s="11" t="s">
        <v>15</v>
      </c>
      <c r="F222" s="11" t="s">
        <v>15</v>
      </c>
      <c r="G222" s="11" t="s">
        <v>15</v>
      </c>
      <c r="H222" s="11" t="s">
        <v>15</v>
      </c>
      <c r="I222" s="11" t="s">
        <v>15</v>
      </c>
      <c r="J222" s="11" t="s">
        <v>15</v>
      </c>
      <c r="K222" s="11" t="s">
        <v>15</v>
      </c>
      <c r="L222" s="11" t="s">
        <v>15</v>
      </c>
      <c r="M222" s="11" t="s">
        <v>15</v>
      </c>
      <c r="N222" s="11" t="s">
        <v>15</v>
      </c>
      <c r="O222" s="11">
        <f>SUM(C222:N222)</f>
        <v>0</v>
      </c>
    </row>
    <row r="223" spans="1:16" x14ac:dyDescent="0.2">
      <c r="A223" s="9" t="s">
        <v>296</v>
      </c>
      <c r="B223" s="10" t="s">
        <v>14</v>
      </c>
      <c r="C223" s="11" t="s">
        <v>15</v>
      </c>
      <c r="D223" s="11" t="s">
        <v>15</v>
      </c>
      <c r="E223" s="11" t="s">
        <v>15</v>
      </c>
      <c r="F223" s="11" t="s">
        <v>15</v>
      </c>
      <c r="G223" s="11" t="s">
        <v>15</v>
      </c>
      <c r="H223" s="11" t="s">
        <v>15</v>
      </c>
      <c r="I223" s="11" t="s">
        <v>15</v>
      </c>
      <c r="J223" s="11" t="s">
        <v>15</v>
      </c>
      <c r="K223" s="11" t="s">
        <v>15</v>
      </c>
      <c r="L223" s="11" t="s">
        <v>15</v>
      </c>
      <c r="M223" s="11" t="s">
        <v>15</v>
      </c>
      <c r="N223" s="11" t="s">
        <v>15</v>
      </c>
      <c r="O223" s="11">
        <f>SUM(C223:N223)</f>
        <v>0</v>
      </c>
    </row>
    <row r="224" spans="1:16" x14ac:dyDescent="0.2">
      <c r="A224" s="9" t="s">
        <v>86</v>
      </c>
      <c r="B224" s="10" t="s">
        <v>14</v>
      </c>
      <c r="C224" s="11" t="s">
        <v>15</v>
      </c>
      <c r="D224" s="11" t="s">
        <v>15</v>
      </c>
      <c r="E224" s="11" t="s">
        <v>15</v>
      </c>
      <c r="F224" s="11" t="s">
        <v>15</v>
      </c>
      <c r="G224" s="11" t="s">
        <v>15</v>
      </c>
      <c r="H224" s="11" t="s">
        <v>15</v>
      </c>
      <c r="I224" s="11" t="s">
        <v>15</v>
      </c>
      <c r="J224" s="11" t="s">
        <v>15</v>
      </c>
      <c r="K224" s="11" t="s">
        <v>15</v>
      </c>
      <c r="L224" s="11" t="s">
        <v>15</v>
      </c>
      <c r="M224" s="11" t="s">
        <v>15</v>
      </c>
      <c r="N224" s="11" t="s">
        <v>15</v>
      </c>
      <c r="O224" s="11">
        <f>SUM(C224:N224)</f>
        <v>0</v>
      </c>
    </row>
    <row r="225" spans="1:16" x14ac:dyDescent="0.2">
      <c r="A225" s="9" t="s">
        <v>85</v>
      </c>
      <c r="B225" s="10" t="s">
        <v>87</v>
      </c>
      <c r="C225" s="11" t="s">
        <v>15</v>
      </c>
      <c r="D225" s="11" t="s">
        <v>15</v>
      </c>
      <c r="E225" s="11" t="s">
        <v>15</v>
      </c>
      <c r="F225" s="11" t="s">
        <v>15</v>
      </c>
      <c r="G225" s="11" t="s">
        <v>15</v>
      </c>
      <c r="H225" s="11" t="s">
        <v>15</v>
      </c>
      <c r="I225" s="11" t="s">
        <v>15</v>
      </c>
      <c r="J225" s="11" t="s">
        <v>15</v>
      </c>
      <c r="K225" s="11" t="s">
        <v>15</v>
      </c>
      <c r="L225" s="11" t="s">
        <v>15</v>
      </c>
      <c r="M225" s="11" t="s">
        <v>15</v>
      </c>
      <c r="N225" s="11" t="s">
        <v>15</v>
      </c>
      <c r="O225" s="11">
        <f>SUM(C225:N225)</f>
        <v>0</v>
      </c>
    </row>
    <row r="226" spans="1:16" x14ac:dyDescent="0.2">
      <c r="A226" s="9" t="s">
        <v>85</v>
      </c>
      <c r="B226" s="10" t="s">
        <v>88</v>
      </c>
      <c r="C226" s="11" t="s">
        <v>15</v>
      </c>
      <c r="D226" s="11" t="s">
        <v>15</v>
      </c>
      <c r="E226" s="11" t="s">
        <v>15</v>
      </c>
      <c r="F226" s="11" t="s">
        <v>15</v>
      </c>
      <c r="G226" s="11" t="s">
        <v>15</v>
      </c>
      <c r="H226" s="11" t="s">
        <v>15</v>
      </c>
      <c r="I226" s="11" t="s">
        <v>15</v>
      </c>
      <c r="J226" s="11" t="s">
        <v>15</v>
      </c>
      <c r="K226" s="11" t="s">
        <v>15</v>
      </c>
      <c r="L226" s="11" t="s">
        <v>15</v>
      </c>
      <c r="M226" s="11" t="s">
        <v>15</v>
      </c>
      <c r="N226" s="11" t="s">
        <v>15</v>
      </c>
      <c r="O226" s="11">
        <f>SUM(C226:N226)</f>
        <v>0</v>
      </c>
    </row>
    <row r="227" spans="1:16" x14ac:dyDescent="0.2">
      <c r="A227" s="9" t="s">
        <v>89</v>
      </c>
      <c r="B227" s="10" t="s">
        <v>14</v>
      </c>
      <c r="C227" s="11" t="s">
        <v>15</v>
      </c>
      <c r="D227" s="11" t="s">
        <v>15</v>
      </c>
      <c r="E227" s="11" t="s">
        <v>15</v>
      </c>
      <c r="F227" s="11" t="s">
        <v>15</v>
      </c>
      <c r="G227" s="11" t="s">
        <v>15</v>
      </c>
      <c r="H227" s="11" t="s">
        <v>15</v>
      </c>
      <c r="I227" s="11" t="s">
        <v>15</v>
      </c>
      <c r="J227" s="11" t="s">
        <v>15</v>
      </c>
      <c r="K227" s="11" t="s">
        <v>15</v>
      </c>
      <c r="L227" s="11" t="s">
        <v>15</v>
      </c>
      <c r="M227" s="11" t="s">
        <v>15</v>
      </c>
      <c r="N227" s="11" t="s">
        <v>15</v>
      </c>
      <c r="O227" s="11">
        <f>SUM(C227:N227)</f>
        <v>0</v>
      </c>
    </row>
    <row r="228" spans="1:16" x14ac:dyDescent="0.2">
      <c r="O228" s="11">
        <f>SUM(C228:N228)</f>
        <v>0</v>
      </c>
    </row>
    <row r="229" spans="1:16" x14ac:dyDescent="0.2">
      <c r="A229" s="12" t="s">
        <v>296</v>
      </c>
      <c r="B229" s="10" t="s">
        <v>251</v>
      </c>
      <c r="C229" s="11" t="s">
        <v>15</v>
      </c>
      <c r="D229" s="11" t="s">
        <v>15</v>
      </c>
      <c r="E229" s="11" t="s">
        <v>15</v>
      </c>
      <c r="F229" s="11" t="s">
        <v>15</v>
      </c>
      <c r="G229" s="11" t="s">
        <v>15</v>
      </c>
      <c r="H229" s="11" t="s">
        <v>15</v>
      </c>
      <c r="I229" s="11" t="s">
        <v>15</v>
      </c>
      <c r="J229" s="11" t="s">
        <v>15</v>
      </c>
      <c r="K229" s="11" t="s">
        <v>15</v>
      </c>
      <c r="L229" s="11" t="s">
        <v>15</v>
      </c>
      <c r="M229" s="11" t="s">
        <v>15</v>
      </c>
      <c r="N229" s="11" t="s">
        <v>15</v>
      </c>
      <c r="O229" s="11">
        <f>SUM(C229:N229)</f>
        <v>0</v>
      </c>
    </row>
    <row r="230" spans="1:16" x14ac:dyDescent="0.2">
      <c r="A230" s="12" t="s">
        <v>296</v>
      </c>
      <c r="B230" s="10" t="s">
        <v>261</v>
      </c>
      <c r="C230" s="11" t="s">
        <v>15</v>
      </c>
      <c r="D230" s="11" t="s">
        <v>15</v>
      </c>
      <c r="E230" s="11" t="s">
        <v>15</v>
      </c>
      <c r="F230" s="11" t="s">
        <v>15</v>
      </c>
      <c r="G230" s="11" t="s">
        <v>15</v>
      </c>
      <c r="H230" s="333" t="s">
        <v>15</v>
      </c>
      <c r="I230" s="333" t="s">
        <v>15</v>
      </c>
      <c r="J230" s="11" t="s">
        <v>15</v>
      </c>
      <c r="K230" s="11" t="s">
        <v>15</v>
      </c>
      <c r="L230" s="11" t="s">
        <v>15</v>
      </c>
      <c r="M230" s="11" t="s">
        <v>15</v>
      </c>
      <c r="N230" s="11" t="s">
        <v>15</v>
      </c>
      <c r="O230" s="333">
        <f>SUM(C230:N230)</f>
        <v>0</v>
      </c>
    </row>
    <row r="231" spans="1:16" x14ac:dyDescent="0.2">
      <c r="A231" s="12" t="s">
        <v>86</v>
      </c>
      <c r="B231" s="10" t="s">
        <v>251</v>
      </c>
      <c r="C231" s="11" t="s">
        <v>15</v>
      </c>
      <c r="D231" s="11" t="s">
        <v>15</v>
      </c>
      <c r="E231" s="11" t="s">
        <v>15</v>
      </c>
      <c r="F231" s="11" t="s">
        <v>15</v>
      </c>
      <c r="G231" s="11" t="s">
        <v>15</v>
      </c>
      <c r="H231" s="11" t="s">
        <v>15</v>
      </c>
      <c r="I231" s="11" t="s">
        <v>15</v>
      </c>
      <c r="J231" s="11" t="s">
        <v>15</v>
      </c>
      <c r="K231" s="11" t="s">
        <v>15</v>
      </c>
      <c r="L231" s="11" t="s">
        <v>15</v>
      </c>
      <c r="M231" s="11" t="s">
        <v>15</v>
      </c>
      <c r="N231" s="11" t="s">
        <v>15</v>
      </c>
      <c r="O231" s="11">
        <f>SUM(C231:N231)</f>
        <v>0</v>
      </c>
    </row>
    <row r="232" spans="1:16" x14ac:dyDescent="0.2">
      <c r="A232" s="12" t="s">
        <v>86</v>
      </c>
      <c r="B232" s="10" t="s">
        <v>261</v>
      </c>
      <c r="C232" s="11" t="s">
        <v>15</v>
      </c>
      <c r="D232" s="11" t="s">
        <v>15</v>
      </c>
      <c r="E232" s="11" t="s">
        <v>15</v>
      </c>
      <c r="F232" s="11" t="s">
        <v>15</v>
      </c>
      <c r="G232" s="11" t="s">
        <v>15</v>
      </c>
      <c r="H232" s="333" t="s">
        <v>15</v>
      </c>
      <c r="I232" s="333" t="s">
        <v>15</v>
      </c>
      <c r="J232" s="11" t="s">
        <v>15</v>
      </c>
      <c r="K232" s="11" t="s">
        <v>15</v>
      </c>
      <c r="L232" s="11" t="s">
        <v>15</v>
      </c>
      <c r="M232" s="11" t="s">
        <v>15</v>
      </c>
      <c r="N232" s="11" t="s">
        <v>15</v>
      </c>
      <c r="O232" s="333">
        <f>SUM(C232:N232)</f>
        <v>0</v>
      </c>
    </row>
    <row r="233" spans="1:16" x14ac:dyDescent="0.2">
      <c r="A233" s="12" t="s">
        <v>299</v>
      </c>
      <c r="B233" s="10" t="s">
        <v>251</v>
      </c>
      <c r="C233" s="11" t="s">
        <v>15</v>
      </c>
      <c r="D233" s="11" t="s">
        <v>15</v>
      </c>
      <c r="E233" s="11" t="s">
        <v>15</v>
      </c>
      <c r="F233" s="11" t="s">
        <v>15</v>
      </c>
      <c r="G233" s="11" t="s">
        <v>15</v>
      </c>
      <c r="H233" s="333" t="s">
        <v>15</v>
      </c>
      <c r="I233" s="333" t="s">
        <v>15</v>
      </c>
      <c r="J233" s="11" t="s">
        <v>15</v>
      </c>
      <c r="K233" s="11" t="s">
        <v>15</v>
      </c>
      <c r="L233" s="11" t="s">
        <v>15</v>
      </c>
      <c r="M233" s="11" t="s">
        <v>15</v>
      </c>
      <c r="N233" s="11" t="s">
        <v>15</v>
      </c>
      <c r="O233" s="333">
        <f>SUM(C233:N233)</f>
        <v>0</v>
      </c>
    </row>
    <row r="234" spans="1:16" x14ac:dyDescent="0.2">
      <c r="A234" s="12" t="s">
        <v>89</v>
      </c>
      <c r="B234" s="10" t="s">
        <v>251</v>
      </c>
      <c r="C234" s="11" t="s">
        <v>15</v>
      </c>
      <c r="D234" s="11" t="s">
        <v>15</v>
      </c>
      <c r="E234" s="11" t="s">
        <v>15</v>
      </c>
      <c r="F234" s="11" t="s">
        <v>15</v>
      </c>
      <c r="G234" s="11" t="s">
        <v>15</v>
      </c>
      <c r="H234" s="11" t="s">
        <v>15</v>
      </c>
      <c r="I234" s="11" t="s">
        <v>15</v>
      </c>
      <c r="J234" s="11" t="s">
        <v>15</v>
      </c>
      <c r="K234" s="11" t="s">
        <v>15</v>
      </c>
      <c r="L234" s="11" t="s">
        <v>15</v>
      </c>
      <c r="M234" s="11" t="s">
        <v>15</v>
      </c>
      <c r="N234" s="11" t="s">
        <v>15</v>
      </c>
      <c r="O234" s="11">
        <f>SUM(C234:N234)</f>
        <v>0</v>
      </c>
    </row>
    <row r="235" spans="1:16" x14ac:dyDescent="0.2">
      <c r="A235" s="12" t="s">
        <v>89</v>
      </c>
      <c r="B235" s="10" t="s">
        <v>90</v>
      </c>
      <c r="C235" s="11" t="s">
        <v>15</v>
      </c>
      <c r="D235" s="11" t="s">
        <v>15</v>
      </c>
      <c r="E235" s="11" t="s">
        <v>15</v>
      </c>
      <c r="F235" s="11" t="s">
        <v>15</v>
      </c>
      <c r="G235" s="11" t="s">
        <v>15</v>
      </c>
      <c r="H235" s="11" t="s">
        <v>15</v>
      </c>
      <c r="I235" s="11" t="s">
        <v>15</v>
      </c>
      <c r="J235" s="11" t="s">
        <v>15</v>
      </c>
      <c r="K235" s="11" t="s">
        <v>15</v>
      </c>
      <c r="L235" s="11" t="s">
        <v>15</v>
      </c>
      <c r="M235" s="11" t="s">
        <v>15</v>
      </c>
      <c r="N235" s="11" t="s">
        <v>15</v>
      </c>
      <c r="O235" s="11">
        <f>SUM(C235:N235)</f>
        <v>0</v>
      </c>
    </row>
    <row r="236" spans="1:16" s="19" customFormat="1" ht="12" customHeight="1" thickBot="1" x14ac:dyDescent="0.25">
      <c r="A236" s="20" t="s">
        <v>91</v>
      </c>
      <c r="B236" s="17"/>
      <c r="C236" s="343">
        <f>SUM(C222:C235)</f>
        <v>0</v>
      </c>
      <c r="D236" s="343">
        <f>SUM(D222:D235)</f>
        <v>0</v>
      </c>
      <c r="E236" s="343">
        <f>SUM(E222:E235)</f>
        <v>0</v>
      </c>
      <c r="F236" s="343">
        <f>SUM(F222:F235)</f>
        <v>0</v>
      </c>
      <c r="G236" s="343">
        <f>SUM(G222:G235)</f>
        <v>0</v>
      </c>
      <c r="H236" s="343">
        <f>SUM(H222:H235)</f>
        <v>0</v>
      </c>
      <c r="I236" s="343">
        <f>SUM(I222:I235)</f>
        <v>0</v>
      </c>
      <c r="J236" s="343">
        <f>SUM(J222:J235)</f>
        <v>0</v>
      </c>
      <c r="K236" s="343">
        <f>SUM(K222:K235)</f>
        <v>0</v>
      </c>
      <c r="L236" s="343">
        <f>SUM(L222:L235)</f>
        <v>0</v>
      </c>
      <c r="M236" s="343">
        <f>SUM(M222:M235)</f>
        <v>0</v>
      </c>
      <c r="N236" s="343">
        <f>SUM(N222:N235)</f>
        <v>0</v>
      </c>
      <c r="O236" s="344">
        <f>SUM(O222:O235)</f>
        <v>0</v>
      </c>
      <c r="P236" s="2"/>
    </row>
    <row r="237" spans="1:16" ht="13.5" thickTop="1" x14ac:dyDescent="0.2">
      <c r="A237" s="14"/>
    </row>
    <row r="238" spans="1:16" ht="12" customHeight="1" x14ac:dyDescent="0.2">
      <c r="A238" s="12" t="s">
        <v>223</v>
      </c>
      <c r="B238" s="10" t="s">
        <v>69</v>
      </c>
      <c r="C238" s="11" t="s">
        <v>15</v>
      </c>
      <c r="D238" s="11" t="s">
        <v>15</v>
      </c>
      <c r="E238" s="11" t="s">
        <v>15</v>
      </c>
      <c r="F238" s="11" t="s">
        <v>15</v>
      </c>
      <c r="G238" s="11" t="s">
        <v>15</v>
      </c>
      <c r="H238" s="11" t="s">
        <v>15</v>
      </c>
      <c r="I238" s="11" t="s">
        <v>15</v>
      </c>
      <c r="J238" s="11" t="s">
        <v>15</v>
      </c>
      <c r="K238" s="11" t="s">
        <v>15</v>
      </c>
      <c r="L238" s="11" t="s">
        <v>15</v>
      </c>
      <c r="M238" s="11" t="s">
        <v>15</v>
      </c>
      <c r="N238" s="11" t="s">
        <v>15</v>
      </c>
      <c r="O238" s="337">
        <f>SUM(C238:N238)</f>
        <v>0</v>
      </c>
    </row>
    <row r="239" spans="1:16" ht="12" customHeight="1" x14ac:dyDescent="0.2">
      <c r="A239" s="12" t="s">
        <v>224</v>
      </c>
      <c r="B239" s="10" t="s">
        <v>69</v>
      </c>
      <c r="C239" s="11" t="s">
        <v>15</v>
      </c>
      <c r="D239" s="11" t="s">
        <v>15</v>
      </c>
      <c r="E239" s="11" t="s">
        <v>15</v>
      </c>
      <c r="F239" s="11" t="s">
        <v>15</v>
      </c>
      <c r="G239" s="11" t="s">
        <v>15</v>
      </c>
      <c r="H239" s="11" t="s">
        <v>15</v>
      </c>
      <c r="I239" s="11" t="s">
        <v>15</v>
      </c>
      <c r="J239" s="11" t="s">
        <v>15</v>
      </c>
      <c r="K239" s="11" t="s">
        <v>15</v>
      </c>
      <c r="L239" s="11" t="s">
        <v>15</v>
      </c>
      <c r="M239" s="11" t="s">
        <v>15</v>
      </c>
      <c r="N239" s="11" t="s">
        <v>15</v>
      </c>
      <c r="O239" s="337">
        <f>SUM(C239:N239)</f>
        <v>0</v>
      </c>
    </row>
    <row r="240" spans="1:16" ht="12" customHeight="1" x14ac:dyDescent="0.2">
      <c r="A240" s="15" t="s">
        <v>212</v>
      </c>
      <c r="B240" s="10" t="s">
        <v>69</v>
      </c>
      <c r="C240" s="333" t="s">
        <v>15</v>
      </c>
      <c r="D240" s="11" t="s">
        <v>15</v>
      </c>
      <c r="E240" s="11" t="s">
        <v>15</v>
      </c>
      <c r="F240" s="11" t="s">
        <v>15</v>
      </c>
      <c r="G240" s="11" t="s">
        <v>15</v>
      </c>
      <c r="H240" s="11" t="s">
        <v>15</v>
      </c>
      <c r="I240" s="11" t="s">
        <v>15</v>
      </c>
      <c r="J240" s="11" t="s">
        <v>15</v>
      </c>
      <c r="K240" s="11" t="s">
        <v>15</v>
      </c>
      <c r="L240" s="11" t="s">
        <v>15</v>
      </c>
      <c r="M240" s="11" t="s">
        <v>15</v>
      </c>
      <c r="N240" s="11" t="s">
        <v>15</v>
      </c>
      <c r="O240" s="337">
        <f>SUM(C240:N240)</f>
        <v>0</v>
      </c>
    </row>
    <row r="241" spans="1:16" ht="12" customHeight="1" x14ac:dyDescent="0.2">
      <c r="A241" s="12" t="s">
        <v>216</v>
      </c>
      <c r="B241" s="10" t="s">
        <v>69</v>
      </c>
      <c r="C241" s="333" t="s">
        <v>15</v>
      </c>
      <c r="D241" s="11" t="s">
        <v>15</v>
      </c>
      <c r="E241" s="11" t="s">
        <v>15</v>
      </c>
      <c r="F241" s="11" t="s">
        <v>15</v>
      </c>
      <c r="G241" s="11" t="s">
        <v>15</v>
      </c>
      <c r="H241" s="11" t="s">
        <v>15</v>
      </c>
      <c r="I241" s="11" t="s">
        <v>15</v>
      </c>
      <c r="J241" s="11" t="s">
        <v>15</v>
      </c>
      <c r="K241" s="11" t="s">
        <v>15</v>
      </c>
      <c r="L241" s="11" t="s">
        <v>15</v>
      </c>
      <c r="M241" s="11" t="s">
        <v>15</v>
      </c>
      <c r="N241" s="11" t="s">
        <v>15</v>
      </c>
      <c r="O241" s="337">
        <f>SUM(C241:N241)</f>
        <v>0</v>
      </c>
    </row>
    <row r="242" spans="1:16" ht="12" customHeight="1" x14ac:dyDescent="0.2">
      <c r="A242" s="12" t="s">
        <v>259</v>
      </c>
      <c r="B242" s="10" t="s">
        <v>69</v>
      </c>
      <c r="C242" s="333" t="s">
        <v>15</v>
      </c>
      <c r="D242" s="11" t="s">
        <v>15</v>
      </c>
      <c r="E242" s="11" t="s">
        <v>15</v>
      </c>
      <c r="F242" s="11" t="s">
        <v>15</v>
      </c>
      <c r="G242" s="11" t="s">
        <v>15</v>
      </c>
      <c r="H242" s="11" t="s">
        <v>15</v>
      </c>
      <c r="I242" s="11" t="s">
        <v>15</v>
      </c>
      <c r="J242" s="11" t="s">
        <v>15</v>
      </c>
      <c r="K242" s="11" t="s">
        <v>15</v>
      </c>
      <c r="L242" s="11" t="s">
        <v>15</v>
      </c>
      <c r="M242" s="11" t="s">
        <v>15</v>
      </c>
      <c r="N242" s="11" t="s">
        <v>15</v>
      </c>
      <c r="O242" s="337">
        <f>SUM(C242:N242)</f>
        <v>0</v>
      </c>
    </row>
    <row r="243" spans="1:16" ht="12" customHeight="1" x14ac:dyDescent="0.2">
      <c r="A243" s="12" t="s">
        <v>237</v>
      </c>
      <c r="B243" s="10" t="s">
        <v>69</v>
      </c>
      <c r="C243" s="333" t="s">
        <v>15</v>
      </c>
      <c r="D243" s="11" t="s">
        <v>15</v>
      </c>
      <c r="E243" s="11" t="s">
        <v>15</v>
      </c>
      <c r="F243" s="11" t="s">
        <v>15</v>
      </c>
      <c r="G243" s="11" t="s">
        <v>15</v>
      </c>
      <c r="H243" s="11" t="s">
        <v>15</v>
      </c>
      <c r="I243" s="11" t="s">
        <v>15</v>
      </c>
      <c r="J243" s="11" t="s">
        <v>15</v>
      </c>
      <c r="K243" s="11" t="s">
        <v>15</v>
      </c>
      <c r="L243" s="11" t="s">
        <v>15</v>
      </c>
      <c r="M243" s="11" t="s">
        <v>15</v>
      </c>
      <c r="N243" s="11" t="s">
        <v>15</v>
      </c>
      <c r="O243" s="337">
        <f>SUM(C243:N243)</f>
        <v>0</v>
      </c>
    </row>
    <row r="244" spans="1:16" ht="12.75" customHeight="1" x14ac:dyDescent="0.2">
      <c r="A244" s="15" t="s">
        <v>371</v>
      </c>
      <c r="B244" s="10" t="s">
        <v>69</v>
      </c>
      <c r="C244" s="333" t="s">
        <v>15</v>
      </c>
      <c r="D244" s="11" t="s">
        <v>15</v>
      </c>
      <c r="E244" s="11" t="s">
        <v>15</v>
      </c>
      <c r="F244" s="11" t="s">
        <v>15</v>
      </c>
      <c r="G244" s="11" t="s">
        <v>15</v>
      </c>
      <c r="H244" s="11" t="s">
        <v>15</v>
      </c>
      <c r="I244" s="11" t="s">
        <v>15</v>
      </c>
      <c r="J244" s="11" t="s">
        <v>15</v>
      </c>
      <c r="K244" s="11" t="s">
        <v>15</v>
      </c>
      <c r="L244" s="11" t="s">
        <v>15</v>
      </c>
      <c r="M244" s="11" t="s">
        <v>15</v>
      </c>
      <c r="N244" s="11" t="s">
        <v>15</v>
      </c>
      <c r="O244" s="337">
        <f>SUM(C244:N244)</f>
        <v>0</v>
      </c>
    </row>
    <row r="245" spans="1:16" ht="12" customHeight="1" x14ac:dyDescent="0.2">
      <c r="A245" s="12" t="s">
        <v>250</v>
      </c>
      <c r="B245" s="10" t="s">
        <v>69</v>
      </c>
      <c r="C245" s="333" t="s">
        <v>15</v>
      </c>
      <c r="D245" s="11" t="s">
        <v>15</v>
      </c>
      <c r="E245" s="11" t="s">
        <v>15</v>
      </c>
      <c r="F245" s="11" t="s">
        <v>15</v>
      </c>
      <c r="G245" s="11" t="s">
        <v>15</v>
      </c>
      <c r="H245" s="11" t="s">
        <v>15</v>
      </c>
      <c r="I245" s="11" t="s">
        <v>15</v>
      </c>
      <c r="J245" s="11" t="s">
        <v>15</v>
      </c>
      <c r="K245" s="11" t="s">
        <v>15</v>
      </c>
      <c r="L245" s="11" t="s">
        <v>15</v>
      </c>
      <c r="M245" s="11" t="s">
        <v>15</v>
      </c>
      <c r="N245" s="11" t="s">
        <v>15</v>
      </c>
      <c r="O245" s="337">
        <f>SUM(C245:N245)</f>
        <v>0</v>
      </c>
    </row>
    <row r="246" spans="1:16" ht="12" customHeight="1" x14ac:dyDescent="0.2">
      <c r="A246" s="12" t="s">
        <v>242</v>
      </c>
      <c r="B246" s="10" t="s">
        <v>69</v>
      </c>
      <c r="C246" s="333" t="s">
        <v>15</v>
      </c>
      <c r="D246" s="11" t="s">
        <v>15</v>
      </c>
      <c r="E246" s="11" t="s">
        <v>15</v>
      </c>
      <c r="F246" s="11" t="s">
        <v>15</v>
      </c>
      <c r="G246" s="11" t="s">
        <v>15</v>
      </c>
      <c r="H246" s="11" t="s">
        <v>15</v>
      </c>
      <c r="I246" s="11" t="s">
        <v>15</v>
      </c>
      <c r="J246" s="11" t="s">
        <v>15</v>
      </c>
      <c r="K246" s="11" t="s">
        <v>15</v>
      </c>
      <c r="L246" s="11" t="s">
        <v>15</v>
      </c>
      <c r="M246" s="11" t="s">
        <v>15</v>
      </c>
      <c r="N246" s="11" t="s">
        <v>15</v>
      </c>
      <c r="O246" s="337">
        <f>SUM(C246:N246)</f>
        <v>0</v>
      </c>
    </row>
    <row r="247" spans="1:16" ht="12" customHeight="1" x14ac:dyDescent="0.2">
      <c r="A247" s="12" t="s">
        <v>245</v>
      </c>
      <c r="B247" s="10" t="s">
        <v>69</v>
      </c>
      <c r="C247" s="333" t="s">
        <v>15</v>
      </c>
      <c r="D247" s="11" t="s">
        <v>15</v>
      </c>
      <c r="E247" s="11" t="s">
        <v>15</v>
      </c>
      <c r="F247" s="11" t="s">
        <v>15</v>
      </c>
      <c r="G247" s="11" t="s">
        <v>15</v>
      </c>
      <c r="H247" s="11" t="s">
        <v>15</v>
      </c>
      <c r="I247" s="11" t="s">
        <v>15</v>
      </c>
      <c r="J247" s="11" t="s">
        <v>15</v>
      </c>
      <c r="K247" s="11" t="s">
        <v>15</v>
      </c>
      <c r="L247" s="11" t="s">
        <v>15</v>
      </c>
      <c r="M247" s="11" t="s">
        <v>15</v>
      </c>
      <c r="N247" s="11" t="s">
        <v>15</v>
      </c>
      <c r="O247" s="337">
        <f>SUM(C247:N247)</f>
        <v>0</v>
      </c>
    </row>
    <row r="248" spans="1:16" x14ac:dyDescent="0.2">
      <c r="A248" s="12" t="s">
        <v>254</v>
      </c>
      <c r="B248" s="10" t="s">
        <v>69</v>
      </c>
      <c r="C248" s="333" t="s">
        <v>15</v>
      </c>
      <c r="D248" s="11" t="s">
        <v>15</v>
      </c>
      <c r="E248" s="11" t="s">
        <v>15</v>
      </c>
      <c r="F248" s="11" t="s">
        <v>15</v>
      </c>
      <c r="G248" s="11" t="s">
        <v>15</v>
      </c>
      <c r="H248" s="11" t="s">
        <v>15</v>
      </c>
      <c r="I248" s="11" t="s">
        <v>15</v>
      </c>
      <c r="J248" s="11" t="s">
        <v>15</v>
      </c>
      <c r="K248" s="11" t="s">
        <v>15</v>
      </c>
      <c r="L248" s="11" t="s">
        <v>15</v>
      </c>
      <c r="M248" s="11" t="s">
        <v>15</v>
      </c>
      <c r="N248" s="11" t="s">
        <v>15</v>
      </c>
      <c r="O248" s="337">
        <f>SUM(C248:N248)</f>
        <v>0</v>
      </c>
    </row>
    <row r="249" spans="1:16" x14ac:dyDescent="0.2">
      <c r="A249" s="12" t="s">
        <v>246</v>
      </c>
      <c r="B249" s="10" t="s">
        <v>69</v>
      </c>
      <c r="C249" s="333" t="s">
        <v>15</v>
      </c>
      <c r="D249" s="11" t="s">
        <v>15</v>
      </c>
      <c r="E249" s="11" t="s">
        <v>15</v>
      </c>
      <c r="F249" s="11" t="s">
        <v>15</v>
      </c>
      <c r="G249" s="11" t="s">
        <v>15</v>
      </c>
      <c r="H249" s="11" t="s">
        <v>15</v>
      </c>
      <c r="I249" s="11" t="s">
        <v>15</v>
      </c>
      <c r="J249" s="11" t="s">
        <v>15</v>
      </c>
      <c r="K249" s="11" t="s">
        <v>15</v>
      </c>
      <c r="L249" s="11" t="s">
        <v>15</v>
      </c>
      <c r="M249" s="11" t="s">
        <v>15</v>
      </c>
      <c r="N249" s="11" t="s">
        <v>15</v>
      </c>
      <c r="O249" s="337">
        <f>SUM(C249:N249)</f>
        <v>0</v>
      </c>
    </row>
    <row r="250" spans="1:16" s="322" customFormat="1" ht="14.25" x14ac:dyDescent="0.2">
      <c r="A250" s="318" t="s">
        <v>316</v>
      </c>
      <c r="B250" s="318" t="s">
        <v>69</v>
      </c>
      <c r="C250" s="345" t="s">
        <v>15</v>
      </c>
      <c r="D250" s="346" t="s">
        <v>15</v>
      </c>
      <c r="E250" s="346" t="s">
        <v>15</v>
      </c>
      <c r="F250" s="346" t="s">
        <v>15</v>
      </c>
      <c r="G250" s="346" t="s">
        <v>15</v>
      </c>
      <c r="H250" s="346" t="s">
        <v>15</v>
      </c>
      <c r="I250" s="346" t="s">
        <v>15</v>
      </c>
      <c r="J250" s="346" t="s">
        <v>15</v>
      </c>
      <c r="K250" s="346" t="s">
        <v>15</v>
      </c>
      <c r="L250" s="346" t="s">
        <v>15</v>
      </c>
      <c r="M250" s="346" t="s">
        <v>15</v>
      </c>
      <c r="N250" s="346" t="s">
        <v>15</v>
      </c>
      <c r="O250" s="347">
        <f>SUM(C250:N250)</f>
        <v>0</v>
      </c>
      <c r="P250" s="2"/>
    </row>
    <row r="251" spans="1:16" s="322" customFormat="1" ht="13.5" customHeight="1" x14ac:dyDescent="0.2">
      <c r="A251" s="318" t="s">
        <v>317</v>
      </c>
      <c r="B251" s="286" t="s">
        <v>69</v>
      </c>
      <c r="C251" s="345" t="s">
        <v>15</v>
      </c>
      <c r="D251" s="346" t="s">
        <v>15</v>
      </c>
      <c r="E251" s="346" t="s">
        <v>15</v>
      </c>
      <c r="F251" s="346" t="s">
        <v>15</v>
      </c>
      <c r="G251" s="346" t="s">
        <v>15</v>
      </c>
      <c r="H251" s="346" t="s">
        <v>15</v>
      </c>
      <c r="I251" s="346" t="s">
        <v>15</v>
      </c>
      <c r="J251" s="346" t="s">
        <v>15</v>
      </c>
      <c r="K251" s="346" t="s">
        <v>15</v>
      </c>
      <c r="L251" s="346" t="s">
        <v>15</v>
      </c>
      <c r="M251" s="346" t="s">
        <v>15</v>
      </c>
      <c r="N251" s="346" t="s">
        <v>15</v>
      </c>
      <c r="O251" s="347">
        <f>SUM(C251:N251)</f>
        <v>0</v>
      </c>
      <c r="P251" s="2"/>
    </row>
    <row r="252" spans="1:16" s="322" customFormat="1" ht="14.25" x14ac:dyDescent="0.2">
      <c r="A252" s="318" t="s">
        <v>318</v>
      </c>
      <c r="B252" s="286" t="s">
        <v>69</v>
      </c>
      <c r="C252" s="345" t="s">
        <v>15</v>
      </c>
      <c r="D252" s="346" t="s">
        <v>15</v>
      </c>
      <c r="E252" s="346" t="s">
        <v>15</v>
      </c>
      <c r="F252" s="346" t="s">
        <v>15</v>
      </c>
      <c r="G252" s="346" t="s">
        <v>15</v>
      </c>
      <c r="H252" s="346" t="s">
        <v>15</v>
      </c>
      <c r="I252" s="346" t="s">
        <v>15</v>
      </c>
      <c r="J252" s="346" t="s">
        <v>15</v>
      </c>
      <c r="K252" s="346" t="s">
        <v>15</v>
      </c>
      <c r="L252" s="346" t="s">
        <v>15</v>
      </c>
      <c r="M252" s="346" t="s">
        <v>15</v>
      </c>
      <c r="N252" s="346" t="s">
        <v>15</v>
      </c>
      <c r="O252" s="347">
        <f>SUM(C252:N252)</f>
        <v>0</v>
      </c>
      <c r="P252" s="2"/>
    </row>
    <row r="253" spans="1:16" s="322" customFormat="1" ht="14.25" x14ac:dyDescent="0.2">
      <c r="A253" s="318" t="s">
        <v>319</v>
      </c>
      <c r="B253" s="286" t="s">
        <v>69</v>
      </c>
      <c r="C253" s="345" t="s">
        <v>15</v>
      </c>
      <c r="D253" s="346" t="s">
        <v>15</v>
      </c>
      <c r="E253" s="346" t="s">
        <v>15</v>
      </c>
      <c r="F253" s="346" t="s">
        <v>15</v>
      </c>
      <c r="G253" s="346" t="s">
        <v>15</v>
      </c>
      <c r="H253" s="346" t="s">
        <v>15</v>
      </c>
      <c r="I253" s="346" t="s">
        <v>15</v>
      </c>
      <c r="J253" s="346" t="s">
        <v>15</v>
      </c>
      <c r="K253" s="346" t="s">
        <v>15</v>
      </c>
      <c r="L253" s="346" t="s">
        <v>15</v>
      </c>
      <c r="M253" s="346" t="s">
        <v>15</v>
      </c>
      <c r="N253" s="346" t="s">
        <v>15</v>
      </c>
      <c r="O253" s="347">
        <f>SUM(C253:N253)</f>
        <v>0</v>
      </c>
      <c r="P253" s="2"/>
    </row>
    <row r="254" spans="1:16" s="322" customFormat="1" ht="14.25" x14ac:dyDescent="0.2">
      <c r="A254" s="355" t="s">
        <v>378</v>
      </c>
      <c r="B254" s="286" t="s">
        <v>69</v>
      </c>
      <c r="C254" s="345" t="s">
        <v>15</v>
      </c>
      <c r="D254" s="346" t="s">
        <v>15</v>
      </c>
      <c r="E254" s="346" t="s">
        <v>15</v>
      </c>
      <c r="F254" s="346" t="s">
        <v>15</v>
      </c>
      <c r="G254" s="346" t="s">
        <v>15</v>
      </c>
      <c r="H254" s="346" t="s">
        <v>15</v>
      </c>
      <c r="I254" s="346" t="s">
        <v>15</v>
      </c>
      <c r="J254" s="346" t="s">
        <v>15</v>
      </c>
      <c r="K254" s="346" t="s">
        <v>15</v>
      </c>
      <c r="L254" s="346" t="s">
        <v>15</v>
      </c>
      <c r="M254" s="346" t="s">
        <v>15</v>
      </c>
      <c r="N254" s="346" t="s">
        <v>15</v>
      </c>
      <c r="O254" s="347" t="s">
        <v>15</v>
      </c>
      <c r="P254" s="2"/>
    </row>
    <row r="255" spans="1:16" s="322" customFormat="1" ht="14.25" x14ac:dyDescent="0.2">
      <c r="A255" s="355" t="s">
        <v>379</v>
      </c>
      <c r="B255" s="286" t="s">
        <v>69</v>
      </c>
      <c r="C255" s="345" t="s">
        <v>15</v>
      </c>
      <c r="D255" s="346" t="s">
        <v>15</v>
      </c>
      <c r="E255" s="346" t="s">
        <v>15</v>
      </c>
      <c r="F255" s="346" t="s">
        <v>15</v>
      </c>
      <c r="G255" s="346" t="s">
        <v>15</v>
      </c>
      <c r="H255" s="346" t="s">
        <v>15</v>
      </c>
      <c r="I255" s="346" t="s">
        <v>15</v>
      </c>
      <c r="J255" s="346" t="s">
        <v>15</v>
      </c>
      <c r="K255" s="346" t="s">
        <v>15</v>
      </c>
      <c r="L255" s="346" t="s">
        <v>15</v>
      </c>
      <c r="M255" s="346" t="s">
        <v>15</v>
      </c>
      <c r="N255" s="346" t="s">
        <v>15</v>
      </c>
      <c r="O255" s="347" t="s">
        <v>15</v>
      </c>
      <c r="P255" s="2"/>
    </row>
    <row r="256" spans="1:16" s="322" customFormat="1" ht="14.25" x14ac:dyDescent="0.2">
      <c r="A256" s="355" t="s">
        <v>380</v>
      </c>
      <c r="B256" s="286" t="s">
        <v>69</v>
      </c>
      <c r="C256" s="345" t="s">
        <v>15</v>
      </c>
      <c r="D256" s="346" t="s">
        <v>15</v>
      </c>
      <c r="E256" s="346" t="s">
        <v>15</v>
      </c>
      <c r="F256" s="346" t="s">
        <v>15</v>
      </c>
      <c r="G256" s="346" t="s">
        <v>15</v>
      </c>
      <c r="H256" s="346" t="s">
        <v>15</v>
      </c>
      <c r="I256" s="346" t="s">
        <v>15</v>
      </c>
      <c r="J256" s="346" t="s">
        <v>15</v>
      </c>
      <c r="K256" s="346" t="s">
        <v>15</v>
      </c>
      <c r="L256" s="346" t="s">
        <v>15</v>
      </c>
      <c r="M256" s="346" t="s">
        <v>15</v>
      </c>
      <c r="N256" s="346" t="s">
        <v>15</v>
      </c>
      <c r="O256" s="347" t="s">
        <v>15</v>
      </c>
      <c r="P256" s="2"/>
    </row>
    <row r="257" spans="1:16" s="322" customFormat="1" ht="14.25" x14ac:dyDescent="0.2">
      <c r="A257" s="355" t="s">
        <v>381</v>
      </c>
      <c r="B257" s="286" t="s">
        <v>69</v>
      </c>
      <c r="C257" s="345" t="s">
        <v>15</v>
      </c>
      <c r="D257" s="346" t="s">
        <v>15</v>
      </c>
      <c r="E257" s="346" t="s">
        <v>15</v>
      </c>
      <c r="F257" s="346" t="s">
        <v>15</v>
      </c>
      <c r="G257" s="346" t="s">
        <v>15</v>
      </c>
      <c r="H257" s="346" t="s">
        <v>15</v>
      </c>
      <c r="I257" s="346" t="s">
        <v>15</v>
      </c>
      <c r="J257" s="346" t="s">
        <v>15</v>
      </c>
      <c r="K257" s="346" t="s">
        <v>15</v>
      </c>
      <c r="L257" s="346" t="s">
        <v>15</v>
      </c>
      <c r="M257" s="346" t="s">
        <v>15</v>
      </c>
      <c r="N257" s="346" t="s">
        <v>15</v>
      </c>
      <c r="O257" s="347" t="s">
        <v>15</v>
      </c>
      <c r="P257" s="2"/>
    </row>
    <row r="258" spans="1:16" s="322" customFormat="1" ht="14.25" x14ac:dyDescent="0.2">
      <c r="A258" s="355" t="s">
        <v>382</v>
      </c>
      <c r="B258" s="286" t="s">
        <v>69</v>
      </c>
      <c r="C258" s="345" t="s">
        <v>15</v>
      </c>
      <c r="D258" s="346" t="s">
        <v>15</v>
      </c>
      <c r="E258" s="346" t="s">
        <v>15</v>
      </c>
      <c r="F258" s="346" t="s">
        <v>15</v>
      </c>
      <c r="G258" s="346" t="s">
        <v>15</v>
      </c>
      <c r="H258" s="346" t="s">
        <v>15</v>
      </c>
      <c r="I258" s="346" t="s">
        <v>15</v>
      </c>
      <c r="J258" s="346" t="s">
        <v>15</v>
      </c>
      <c r="K258" s="346" t="s">
        <v>15</v>
      </c>
      <c r="L258" s="346" t="s">
        <v>15</v>
      </c>
      <c r="M258" s="346" t="s">
        <v>15</v>
      </c>
      <c r="N258" s="346" t="s">
        <v>15</v>
      </c>
      <c r="O258" s="347" t="s">
        <v>15</v>
      </c>
      <c r="P258" s="2"/>
    </row>
    <row r="259" spans="1:16" s="322" customFormat="1" ht="14.25" x14ac:dyDescent="0.2">
      <c r="A259" s="355" t="s">
        <v>383</v>
      </c>
      <c r="B259" s="286" t="s">
        <v>69</v>
      </c>
      <c r="C259" s="345" t="s">
        <v>15</v>
      </c>
      <c r="D259" s="346" t="s">
        <v>15</v>
      </c>
      <c r="E259" s="346" t="s">
        <v>15</v>
      </c>
      <c r="F259" s="346" t="s">
        <v>15</v>
      </c>
      <c r="G259" s="346" t="s">
        <v>15</v>
      </c>
      <c r="H259" s="346" t="s">
        <v>15</v>
      </c>
      <c r="I259" s="346" t="s">
        <v>15</v>
      </c>
      <c r="J259" s="346" t="s">
        <v>15</v>
      </c>
      <c r="K259" s="346" t="s">
        <v>15</v>
      </c>
      <c r="L259" s="346" t="s">
        <v>15</v>
      </c>
      <c r="M259" s="346" t="s">
        <v>15</v>
      </c>
      <c r="N259" s="346" t="s">
        <v>15</v>
      </c>
      <c r="O259" s="347" t="s">
        <v>15</v>
      </c>
      <c r="P259" s="2"/>
    </row>
    <row r="260" spans="1:16" s="322" customFormat="1" ht="14.25" x14ac:dyDescent="0.2">
      <c r="A260" s="355" t="s">
        <v>384</v>
      </c>
      <c r="B260" s="286" t="s">
        <v>69</v>
      </c>
      <c r="C260" s="345" t="s">
        <v>15</v>
      </c>
      <c r="D260" s="346" t="s">
        <v>15</v>
      </c>
      <c r="E260" s="346" t="s">
        <v>15</v>
      </c>
      <c r="F260" s="346" t="s">
        <v>15</v>
      </c>
      <c r="G260" s="346" t="s">
        <v>15</v>
      </c>
      <c r="H260" s="346" t="s">
        <v>15</v>
      </c>
      <c r="I260" s="346" t="s">
        <v>15</v>
      </c>
      <c r="J260" s="346" t="s">
        <v>15</v>
      </c>
      <c r="K260" s="346" t="s">
        <v>15</v>
      </c>
      <c r="L260" s="346" t="s">
        <v>15</v>
      </c>
      <c r="M260" s="346" t="s">
        <v>15</v>
      </c>
      <c r="N260" s="346" t="s">
        <v>15</v>
      </c>
      <c r="O260" s="347" t="s">
        <v>15</v>
      </c>
      <c r="P260" s="2"/>
    </row>
    <row r="261" spans="1:16" s="322" customFormat="1" ht="14.25" x14ac:dyDescent="0.2">
      <c r="A261" s="355" t="s">
        <v>385</v>
      </c>
      <c r="B261" s="286" t="s">
        <v>69</v>
      </c>
      <c r="C261" s="345" t="s">
        <v>15</v>
      </c>
      <c r="D261" s="346" t="s">
        <v>15</v>
      </c>
      <c r="E261" s="346" t="s">
        <v>15</v>
      </c>
      <c r="F261" s="346" t="s">
        <v>15</v>
      </c>
      <c r="G261" s="346" t="s">
        <v>15</v>
      </c>
      <c r="H261" s="346" t="s">
        <v>15</v>
      </c>
      <c r="I261" s="346" t="s">
        <v>15</v>
      </c>
      <c r="J261" s="346" t="s">
        <v>15</v>
      </c>
      <c r="K261" s="346" t="s">
        <v>15</v>
      </c>
      <c r="L261" s="346" t="s">
        <v>15</v>
      </c>
      <c r="M261" s="346" t="s">
        <v>15</v>
      </c>
      <c r="N261" s="346" t="s">
        <v>15</v>
      </c>
      <c r="O261" s="347" t="s">
        <v>15</v>
      </c>
      <c r="P261" s="2"/>
    </row>
    <row r="262" spans="1:16" s="322" customFormat="1" ht="14.25" x14ac:dyDescent="0.2">
      <c r="A262" s="355" t="s">
        <v>386</v>
      </c>
      <c r="B262" s="286" t="s">
        <v>69</v>
      </c>
      <c r="C262" s="345" t="s">
        <v>15</v>
      </c>
      <c r="D262" s="346" t="s">
        <v>15</v>
      </c>
      <c r="E262" s="346" t="s">
        <v>15</v>
      </c>
      <c r="F262" s="346" t="s">
        <v>15</v>
      </c>
      <c r="G262" s="346" t="s">
        <v>15</v>
      </c>
      <c r="H262" s="346" t="s">
        <v>15</v>
      </c>
      <c r="I262" s="346" t="s">
        <v>15</v>
      </c>
      <c r="J262" s="346" t="s">
        <v>15</v>
      </c>
      <c r="K262" s="346" t="s">
        <v>15</v>
      </c>
      <c r="L262" s="346" t="s">
        <v>15</v>
      </c>
      <c r="M262" s="346" t="s">
        <v>15</v>
      </c>
      <c r="N262" s="346" t="s">
        <v>15</v>
      </c>
      <c r="O262" s="347" t="s">
        <v>15</v>
      </c>
      <c r="P262" s="2"/>
    </row>
    <row r="263" spans="1:16" s="322" customFormat="1" ht="14.25" x14ac:dyDescent="0.2">
      <c r="A263" s="355" t="s">
        <v>387</v>
      </c>
      <c r="B263" s="286" t="s">
        <v>69</v>
      </c>
      <c r="C263" s="345" t="s">
        <v>15</v>
      </c>
      <c r="D263" s="346" t="s">
        <v>15</v>
      </c>
      <c r="E263" s="346" t="s">
        <v>15</v>
      </c>
      <c r="F263" s="346" t="s">
        <v>15</v>
      </c>
      <c r="G263" s="346" t="s">
        <v>15</v>
      </c>
      <c r="H263" s="346" t="s">
        <v>15</v>
      </c>
      <c r="I263" s="346" t="s">
        <v>15</v>
      </c>
      <c r="J263" s="346" t="s">
        <v>15</v>
      </c>
      <c r="K263" s="346" t="s">
        <v>15</v>
      </c>
      <c r="L263" s="346" t="s">
        <v>15</v>
      </c>
      <c r="M263" s="346" t="s">
        <v>15</v>
      </c>
      <c r="N263" s="346" t="s">
        <v>15</v>
      </c>
      <c r="O263" s="347" t="s">
        <v>15</v>
      </c>
      <c r="P263" s="2"/>
    </row>
    <row r="264" spans="1:16" s="322" customFormat="1" ht="14.25" x14ac:dyDescent="0.2">
      <c r="A264" s="355" t="s">
        <v>388</v>
      </c>
      <c r="B264" s="286" t="s">
        <v>69</v>
      </c>
      <c r="C264" s="345" t="s">
        <v>15</v>
      </c>
      <c r="D264" s="346" t="s">
        <v>15</v>
      </c>
      <c r="E264" s="346" t="s">
        <v>15</v>
      </c>
      <c r="F264" s="346" t="s">
        <v>15</v>
      </c>
      <c r="G264" s="346" t="s">
        <v>15</v>
      </c>
      <c r="H264" s="346" t="s">
        <v>15</v>
      </c>
      <c r="I264" s="346" t="s">
        <v>15</v>
      </c>
      <c r="J264" s="346" t="s">
        <v>15</v>
      </c>
      <c r="K264" s="346" t="s">
        <v>15</v>
      </c>
      <c r="L264" s="346" t="s">
        <v>15</v>
      </c>
      <c r="M264" s="346" t="s">
        <v>15</v>
      </c>
      <c r="N264" s="346" t="s">
        <v>15</v>
      </c>
      <c r="O264" s="347" t="s">
        <v>15</v>
      </c>
      <c r="P264" s="2"/>
    </row>
    <row r="265" spans="1:16" s="322" customFormat="1" ht="13.5" customHeight="1" x14ac:dyDescent="0.2">
      <c r="A265" s="355" t="s">
        <v>436</v>
      </c>
      <c r="B265" s="286" t="s">
        <v>69</v>
      </c>
      <c r="C265" s="319" t="s">
        <v>15</v>
      </c>
      <c r="D265" s="320" t="s">
        <v>15</v>
      </c>
      <c r="E265" s="320" t="s">
        <v>15</v>
      </c>
      <c r="F265" s="320" t="s">
        <v>15</v>
      </c>
      <c r="G265" s="320" t="s">
        <v>15</v>
      </c>
      <c r="H265" s="320" t="s">
        <v>15</v>
      </c>
      <c r="I265" s="320" t="s">
        <v>15</v>
      </c>
      <c r="J265" s="320" t="s">
        <v>15</v>
      </c>
      <c r="K265" s="320" t="s">
        <v>15</v>
      </c>
      <c r="L265" s="320" t="s">
        <v>15</v>
      </c>
      <c r="M265" s="320" t="s">
        <v>15</v>
      </c>
      <c r="N265" s="320" t="s">
        <v>15</v>
      </c>
      <c r="O265" s="321" t="s">
        <v>15</v>
      </c>
      <c r="P265" s="2"/>
    </row>
    <row r="266" spans="1:16" s="322" customFormat="1" ht="14.25" x14ac:dyDescent="0.2">
      <c r="A266" s="355" t="s">
        <v>389</v>
      </c>
      <c r="B266" s="286" t="s">
        <v>69</v>
      </c>
      <c r="C266" s="345" t="s">
        <v>15</v>
      </c>
      <c r="D266" s="346" t="s">
        <v>15</v>
      </c>
      <c r="E266" s="346" t="s">
        <v>15</v>
      </c>
      <c r="F266" s="346" t="s">
        <v>15</v>
      </c>
      <c r="G266" s="346" t="s">
        <v>15</v>
      </c>
      <c r="H266" s="346" t="s">
        <v>15</v>
      </c>
      <c r="I266" s="346" t="s">
        <v>15</v>
      </c>
      <c r="J266" s="346" t="s">
        <v>15</v>
      </c>
      <c r="K266" s="346" t="s">
        <v>15</v>
      </c>
      <c r="L266" s="346" t="s">
        <v>15</v>
      </c>
      <c r="M266" s="346" t="s">
        <v>15</v>
      </c>
      <c r="N266" s="346" t="s">
        <v>15</v>
      </c>
      <c r="O266" s="347" t="s">
        <v>15</v>
      </c>
      <c r="P266" s="2"/>
    </row>
    <row r="267" spans="1:16" s="322" customFormat="1" ht="14.25" x14ac:dyDescent="0.2">
      <c r="A267" s="355" t="s">
        <v>390</v>
      </c>
      <c r="B267" s="286" t="s">
        <v>69</v>
      </c>
      <c r="C267" s="345" t="s">
        <v>15</v>
      </c>
      <c r="D267" s="346" t="s">
        <v>15</v>
      </c>
      <c r="E267" s="346" t="s">
        <v>15</v>
      </c>
      <c r="F267" s="346" t="s">
        <v>15</v>
      </c>
      <c r="G267" s="346" t="s">
        <v>15</v>
      </c>
      <c r="H267" s="346" t="s">
        <v>15</v>
      </c>
      <c r="I267" s="346" t="s">
        <v>15</v>
      </c>
      <c r="J267" s="346" t="s">
        <v>15</v>
      </c>
      <c r="K267" s="346" t="s">
        <v>15</v>
      </c>
      <c r="L267" s="346" t="s">
        <v>15</v>
      </c>
      <c r="M267" s="346" t="s">
        <v>15</v>
      </c>
      <c r="N267" s="346" t="s">
        <v>15</v>
      </c>
      <c r="O267" s="347" t="s">
        <v>15</v>
      </c>
      <c r="P267" s="2"/>
    </row>
    <row r="268" spans="1:16" s="322" customFormat="1" ht="14.25" x14ac:dyDescent="0.2">
      <c r="A268" s="355" t="s">
        <v>391</v>
      </c>
      <c r="B268" s="286" t="s">
        <v>69</v>
      </c>
      <c r="C268" s="345" t="s">
        <v>15</v>
      </c>
      <c r="D268" s="346" t="s">
        <v>15</v>
      </c>
      <c r="E268" s="346" t="s">
        <v>15</v>
      </c>
      <c r="F268" s="346" t="s">
        <v>15</v>
      </c>
      <c r="G268" s="346" t="s">
        <v>15</v>
      </c>
      <c r="H268" s="346" t="s">
        <v>15</v>
      </c>
      <c r="I268" s="346" t="s">
        <v>15</v>
      </c>
      <c r="J268" s="346" t="s">
        <v>15</v>
      </c>
      <c r="K268" s="346" t="s">
        <v>15</v>
      </c>
      <c r="L268" s="346" t="s">
        <v>15</v>
      </c>
      <c r="M268" s="346" t="s">
        <v>15</v>
      </c>
      <c r="N268" s="346" t="s">
        <v>15</v>
      </c>
      <c r="O268" s="347" t="s">
        <v>15</v>
      </c>
      <c r="P268" s="2"/>
    </row>
    <row r="269" spans="1:16" s="322" customFormat="1" ht="14.25" x14ac:dyDescent="0.2">
      <c r="A269" s="355" t="s">
        <v>392</v>
      </c>
      <c r="B269" s="286" t="s">
        <v>69</v>
      </c>
      <c r="C269" s="345" t="s">
        <v>15</v>
      </c>
      <c r="D269" s="346" t="s">
        <v>15</v>
      </c>
      <c r="E269" s="346" t="s">
        <v>15</v>
      </c>
      <c r="F269" s="346" t="s">
        <v>15</v>
      </c>
      <c r="G269" s="346" t="s">
        <v>15</v>
      </c>
      <c r="H269" s="346" t="s">
        <v>15</v>
      </c>
      <c r="I269" s="346" t="s">
        <v>15</v>
      </c>
      <c r="J269" s="346" t="s">
        <v>15</v>
      </c>
      <c r="K269" s="346" t="s">
        <v>15</v>
      </c>
      <c r="L269" s="346" t="s">
        <v>15</v>
      </c>
      <c r="M269" s="346" t="s">
        <v>15</v>
      </c>
      <c r="N269" s="346" t="s">
        <v>15</v>
      </c>
      <c r="O269" s="347" t="s">
        <v>15</v>
      </c>
      <c r="P269" s="2"/>
    </row>
    <row r="270" spans="1:16" s="322" customFormat="1" ht="14.25" x14ac:dyDescent="0.2">
      <c r="A270" s="355" t="s">
        <v>393</v>
      </c>
      <c r="B270" s="286" t="s">
        <v>69</v>
      </c>
      <c r="C270" s="345" t="s">
        <v>15</v>
      </c>
      <c r="D270" s="346" t="s">
        <v>15</v>
      </c>
      <c r="E270" s="346" t="s">
        <v>15</v>
      </c>
      <c r="F270" s="346" t="s">
        <v>15</v>
      </c>
      <c r="G270" s="346" t="s">
        <v>15</v>
      </c>
      <c r="H270" s="346" t="s">
        <v>15</v>
      </c>
      <c r="I270" s="346" t="s">
        <v>15</v>
      </c>
      <c r="J270" s="346" t="s">
        <v>15</v>
      </c>
      <c r="K270" s="346" t="s">
        <v>15</v>
      </c>
      <c r="L270" s="346" t="s">
        <v>15</v>
      </c>
      <c r="M270" s="346" t="s">
        <v>15</v>
      </c>
      <c r="N270" s="346" t="s">
        <v>15</v>
      </c>
      <c r="O270" s="347" t="s">
        <v>15</v>
      </c>
      <c r="P270" s="2"/>
    </row>
    <row r="271" spans="1:16" s="322" customFormat="1" ht="14.25" x14ac:dyDescent="0.2">
      <c r="A271" s="355" t="s">
        <v>394</v>
      </c>
      <c r="B271" s="286" t="s">
        <v>69</v>
      </c>
      <c r="C271" s="345" t="s">
        <v>15</v>
      </c>
      <c r="D271" s="346" t="s">
        <v>15</v>
      </c>
      <c r="E271" s="346" t="s">
        <v>15</v>
      </c>
      <c r="F271" s="346" t="s">
        <v>15</v>
      </c>
      <c r="G271" s="346" t="s">
        <v>15</v>
      </c>
      <c r="H271" s="346" t="s">
        <v>15</v>
      </c>
      <c r="I271" s="346" t="s">
        <v>15</v>
      </c>
      <c r="J271" s="346" t="s">
        <v>15</v>
      </c>
      <c r="K271" s="346" t="s">
        <v>15</v>
      </c>
      <c r="L271" s="346" t="s">
        <v>15</v>
      </c>
      <c r="M271" s="346" t="s">
        <v>15</v>
      </c>
      <c r="N271" s="346" t="s">
        <v>15</v>
      </c>
      <c r="O271" s="347" t="s">
        <v>15</v>
      </c>
      <c r="P271" s="2"/>
    </row>
    <row r="272" spans="1:16" s="322" customFormat="1" ht="14.25" x14ac:dyDescent="0.2">
      <c r="A272" s="355" t="s">
        <v>395</v>
      </c>
      <c r="B272" s="286" t="s">
        <v>69</v>
      </c>
      <c r="C272" s="345" t="s">
        <v>15</v>
      </c>
      <c r="D272" s="346" t="s">
        <v>15</v>
      </c>
      <c r="E272" s="346" t="s">
        <v>15</v>
      </c>
      <c r="F272" s="346" t="s">
        <v>15</v>
      </c>
      <c r="G272" s="346" t="s">
        <v>15</v>
      </c>
      <c r="H272" s="346" t="s">
        <v>15</v>
      </c>
      <c r="I272" s="346" t="s">
        <v>15</v>
      </c>
      <c r="J272" s="346" t="s">
        <v>15</v>
      </c>
      <c r="K272" s="346" t="s">
        <v>15</v>
      </c>
      <c r="L272" s="346" t="s">
        <v>15</v>
      </c>
      <c r="M272" s="346" t="s">
        <v>15</v>
      </c>
      <c r="N272" s="346" t="s">
        <v>15</v>
      </c>
      <c r="O272" s="347" t="s">
        <v>15</v>
      </c>
      <c r="P272" s="2"/>
    </row>
    <row r="273" spans="1:16" s="322" customFormat="1" ht="14.25" x14ac:dyDescent="0.2">
      <c r="A273" s="355" t="s">
        <v>396</v>
      </c>
      <c r="B273" s="286" t="s">
        <v>69</v>
      </c>
      <c r="C273" s="345" t="s">
        <v>15</v>
      </c>
      <c r="D273" s="346" t="s">
        <v>15</v>
      </c>
      <c r="E273" s="346" t="s">
        <v>15</v>
      </c>
      <c r="F273" s="346" t="s">
        <v>15</v>
      </c>
      <c r="G273" s="346" t="s">
        <v>15</v>
      </c>
      <c r="H273" s="346" t="s">
        <v>15</v>
      </c>
      <c r="I273" s="346" t="s">
        <v>15</v>
      </c>
      <c r="J273" s="346" t="s">
        <v>15</v>
      </c>
      <c r="K273" s="346" t="s">
        <v>15</v>
      </c>
      <c r="L273" s="346" t="s">
        <v>15</v>
      </c>
      <c r="M273" s="346" t="s">
        <v>15</v>
      </c>
      <c r="N273" s="346" t="s">
        <v>15</v>
      </c>
      <c r="O273" s="347" t="s">
        <v>15</v>
      </c>
      <c r="P273" s="2"/>
    </row>
    <row r="274" spans="1:16" s="322" customFormat="1" ht="14.25" x14ac:dyDescent="0.2">
      <c r="A274" s="355" t="s">
        <v>397</v>
      </c>
      <c r="B274" s="286" t="s">
        <v>69</v>
      </c>
      <c r="C274" s="345" t="s">
        <v>15</v>
      </c>
      <c r="D274" s="346" t="s">
        <v>15</v>
      </c>
      <c r="E274" s="346" t="s">
        <v>15</v>
      </c>
      <c r="F274" s="346" t="s">
        <v>15</v>
      </c>
      <c r="G274" s="346" t="s">
        <v>15</v>
      </c>
      <c r="H274" s="346" t="s">
        <v>15</v>
      </c>
      <c r="I274" s="346" t="s">
        <v>15</v>
      </c>
      <c r="J274" s="346" t="s">
        <v>15</v>
      </c>
      <c r="K274" s="346" t="s">
        <v>15</v>
      </c>
      <c r="L274" s="346" t="s">
        <v>15</v>
      </c>
      <c r="M274" s="346" t="s">
        <v>15</v>
      </c>
      <c r="N274" s="346" t="s">
        <v>15</v>
      </c>
      <c r="O274" s="347" t="s">
        <v>15</v>
      </c>
      <c r="P274" s="2"/>
    </row>
    <row r="275" spans="1:16" s="322" customFormat="1" ht="12.75" customHeight="1" x14ac:dyDescent="0.2">
      <c r="A275" s="354" t="s">
        <v>375</v>
      </c>
      <c r="B275" s="286" t="s">
        <v>69</v>
      </c>
      <c r="C275" s="345" t="s">
        <v>15</v>
      </c>
      <c r="D275" s="346" t="s">
        <v>15</v>
      </c>
      <c r="E275" s="346" t="s">
        <v>15</v>
      </c>
      <c r="F275" s="346" t="s">
        <v>15</v>
      </c>
      <c r="G275" s="346" t="s">
        <v>15</v>
      </c>
      <c r="H275" s="346" t="s">
        <v>15</v>
      </c>
      <c r="I275" s="346" t="s">
        <v>15</v>
      </c>
      <c r="J275" s="346" t="s">
        <v>15</v>
      </c>
      <c r="K275" s="346" t="s">
        <v>15</v>
      </c>
      <c r="L275" s="346" t="s">
        <v>15</v>
      </c>
      <c r="M275" s="346" t="s">
        <v>15</v>
      </c>
      <c r="N275" s="346" t="s">
        <v>15</v>
      </c>
      <c r="O275" s="347">
        <f>SUM(C275:N275)</f>
        <v>0</v>
      </c>
      <c r="P275" s="2"/>
    </row>
    <row r="276" spans="1:16" s="322" customFormat="1" ht="12.75" customHeight="1" x14ac:dyDescent="0.2">
      <c r="A276" s="354" t="s">
        <v>376</v>
      </c>
      <c r="B276" s="286" t="s">
        <v>69</v>
      </c>
      <c r="C276" s="345" t="s">
        <v>15</v>
      </c>
      <c r="D276" s="346" t="s">
        <v>15</v>
      </c>
      <c r="E276" s="346" t="s">
        <v>15</v>
      </c>
      <c r="F276" s="346" t="s">
        <v>15</v>
      </c>
      <c r="G276" s="346" t="s">
        <v>15</v>
      </c>
      <c r="H276" s="346" t="s">
        <v>15</v>
      </c>
      <c r="I276" s="346" t="s">
        <v>15</v>
      </c>
      <c r="J276" s="346" t="s">
        <v>15</v>
      </c>
      <c r="K276" s="346" t="s">
        <v>15</v>
      </c>
      <c r="L276" s="346" t="s">
        <v>15</v>
      </c>
      <c r="M276" s="346" t="s">
        <v>15</v>
      </c>
      <c r="N276" s="346" t="s">
        <v>15</v>
      </c>
      <c r="O276" s="347">
        <f>SUM(C276:N276)</f>
        <v>0</v>
      </c>
      <c r="P276" s="2"/>
    </row>
    <row r="277" spans="1:16" s="322" customFormat="1" ht="14.25" x14ac:dyDescent="0.2">
      <c r="A277" s="318" t="s">
        <v>320</v>
      </c>
      <c r="B277" s="286" t="s">
        <v>69</v>
      </c>
      <c r="C277" s="345" t="s">
        <v>15</v>
      </c>
      <c r="D277" s="346" t="s">
        <v>15</v>
      </c>
      <c r="E277" s="346" t="s">
        <v>15</v>
      </c>
      <c r="F277" s="346" t="s">
        <v>15</v>
      </c>
      <c r="G277" s="346" t="s">
        <v>15</v>
      </c>
      <c r="H277" s="346" t="s">
        <v>15</v>
      </c>
      <c r="I277" s="346" t="s">
        <v>15</v>
      </c>
      <c r="J277" s="346" t="s">
        <v>15</v>
      </c>
      <c r="K277" s="346" t="s">
        <v>15</v>
      </c>
      <c r="L277" s="346" t="s">
        <v>15</v>
      </c>
      <c r="M277" s="346" t="s">
        <v>15</v>
      </c>
      <c r="N277" s="346" t="s">
        <v>15</v>
      </c>
      <c r="O277" s="347">
        <f>SUM(C277:N277)</f>
        <v>0</v>
      </c>
      <c r="P277" s="2"/>
    </row>
    <row r="278" spans="1:16" s="322" customFormat="1" ht="14.25" x14ac:dyDescent="0.2">
      <c r="A278" s="318" t="s">
        <v>321</v>
      </c>
      <c r="B278" s="286" t="s">
        <v>69</v>
      </c>
      <c r="C278" s="345" t="s">
        <v>15</v>
      </c>
      <c r="D278" s="346" t="s">
        <v>15</v>
      </c>
      <c r="E278" s="346" t="s">
        <v>15</v>
      </c>
      <c r="F278" s="346" t="s">
        <v>15</v>
      </c>
      <c r="G278" s="346" t="s">
        <v>15</v>
      </c>
      <c r="H278" s="346" t="s">
        <v>15</v>
      </c>
      <c r="I278" s="346" t="s">
        <v>15</v>
      </c>
      <c r="J278" s="346" t="s">
        <v>15</v>
      </c>
      <c r="K278" s="346" t="s">
        <v>15</v>
      </c>
      <c r="L278" s="346" t="s">
        <v>15</v>
      </c>
      <c r="M278" s="346" t="s">
        <v>15</v>
      </c>
      <c r="N278" s="346" t="s">
        <v>15</v>
      </c>
      <c r="O278" s="347">
        <f>SUM(C278:N278)</f>
        <v>0</v>
      </c>
      <c r="P278" s="2"/>
    </row>
    <row r="279" spans="1:16" s="290" customFormat="1" ht="14.25" x14ac:dyDescent="0.2">
      <c r="A279" s="285" t="s">
        <v>266</v>
      </c>
      <c r="B279" s="286" t="s">
        <v>69</v>
      </c>
      <c r="C279" s="345" t="s">
        <v>15</v>
      </c>
      <c r="D279" s="346" t="s">
        <v>15</v>
      </c>
      <c r="E279" s="346" t="s">
        <v>15</v>
      </c>
      <c r="F279" s="346" t="s">
        <v>15</v>
      </c>
      <c r="G279" s="346" t="s">
        <v>15</v>
      </c>
      <c r="H279" s="346" t="s">
        <v>15</v>
      </c>
      <c r="I279" s="346" t="s">
        <v>15</v>
      </c>
      <c r="J279" s="346" t="s">
        <v>15</v>
      </c>
      <c r="K279" s="346" t="s">
        <v>15</v>
      </c>
      <c r="L279" s="346" t="s">
        <v>15</v>
      </c>
      <c r="M279" s="346" t="s">
        <v>15</v>
      </c>
      <c r="N279" s="346" t="s">
        <v>15</v>
      </c>
      <c r="O279" s="347">
        <f>SUM(C279:N279)</f>
        <v>0</v>
      </c>
      <c r="P279" s="2"/>
    </row>
    <row r="280" spans="1:16" s="290" customFormat="1" ht="14.25" x14ac:dyDescent="0.2">
      <c r="A280" s="285" t="s">
        <v>314</v>
      </c>
      <c r="B280" s="286" t="s">
        <v>69</v>
      </c>
      <c r="C280" s="345" t="s">
        <v>15</v>
      </c>
      <c r="D280" s="346" t="s">
        <v>15</v>
      </c>
      <c r="E280" s="346" t="s">
        <v>15</v>
      </c>
      <c r="F280" s="346" t="s">
        <v>15</v>
      </c>
      <c r="G280" s="346" t="s">
        <v>15</v>
      </c>
      <c r="H280" s="346" t="s">
        <v>15</v>
      </c>
      <c r="I280" s="346" t="s">
        <v>15</v>
      </c>
      <c r="J280" s="346" t="s">
        <v>15</v>
      </c>
      <c r="K280" s="346" t="s">
        <v>15</v>
      </c>
      <c r="L280" s="346" t="s">
        <v>15</v>
      </c>
      <c r="M280" s="346" t="s">
        <v>15</v>
      </c>
      <c r="N280" s="346" t="s">
        <v>15</v>
      </c>
      <c r="O280" s="347">
        <f>SUM(C280:N280)</f>
        <v>0</v>
      </c>
      <c r="P280" s="2"/>
    </row>
    <row r="281" spans="1:16" s="290" customFormat="1" ht="14.25" x14ac:dyDescent="0.2">
      <c r="A281" s="285" t="s">
        <v>297</v>
      </c>
      <c r="B281" s="286" t="s">
        <v>69</v>
      </c>
      <c r="C281" s="345" t="s">
        <v>15</v>
      </c>
      <c r="D281" s="346" t="s">
        <v>15</v>
      </c>
      <c r="E281" s="346" t="s">
        <v>15</v>
      </c>
      <c r="F281" s="346" t="s">
        <v>15</v>
      </c>
      <c r="G281" s="346" t="s">
        <v>15</v>
      </c>
      <c r="H281" s="346" t="s">
        <v>15</v>
      </c>
      <c r="I281" s="346" t="s">
        <v>15</v>
      </c>
      <c r="J281" s="346" t="s">
        <v>15</v>
      </c>
      <c r="K281" s="346" t="s">
        <v>15</v>
      </c>
      <c r="L281" s="346" t="s">
        <v>15</v>
      </c>
      <c r="M281" s="346" t="s">
        <v>15</v>
      </c>
      <c r="N281" s="346" t="s">
        <v>15</v>
      </c>
      <c r="O281" s="347">
        <f>SUM(C281:N281)</f>
        <v>0</v>
      </c>
      <c r="P281" s="2"/>
    </row>
    <row r="282" spans="1:16" s="290" customFormat="1" ht="14.25" x14ac:dyDescent="0.2">
      <c r="A282" s="285" t="s">
        <v>323</v>
      </c>
      <c r="B282" s="286" t="s">
        <v>69</v>
      </c>
      <c r="C282" s="345" t="s">
        <v>15</v>
      </c>
      <c r="D282" s="346" t="s">
        <v>15</v>
      </c>
      <c r="E282" s="346" t="s">
        <v>15</v>
      </c>
      <c r="F282" s="346" t="s">
        <v>15</v>
      </c>
      <c r="G282" s="346" t="s">
        <v>15</v>
      </c>
      <c r="H282" s="346" t="s">
        <v>15</v>
      </c>
      <c r="I282" s="346" t="s">
        <v>15</v>
      </c>
      <c r="J282" s="346" t="s">
        <v>15</v>
      </c>
      <c r="K282" s="346" t="s">
        <v>15</v>
      </c>
      <c r="L282" s="346" t="s">
        <v>15</v>
      </c>
      <c r="M282" s="346" t="s">
        <v>15</v>
      </c>
      <c r="N282" s="346" t="s">
        <v>15</v>
      </c>
      <c r="O282" s="347">
        <f>SUM(C282:N282)</f>
        <v>0</v>
      </c>
      <c r="P282" s="2"/>
    </row>
    <row r="283" spans="1:16" s="290" customFormat="1" ht="14.25" x14ac:dyDescent="0.2">
      <c r="A283" s="285" t="s">
        <v>315</v>
      </c>
      <c r="B283" s="286" t="s">
        <v>69</v>
      </c>
      <c r="C283" s="345" t="s">
        <v>15</v>
      </c>
      <c r="D283" s="346" t="s">
        <v>15</v>
      </c>
      <c r="E283" s="346" t="s">
        <v>15</v>
      </c>
      <c r="F283" s="346" t="s">
        <v>15</v>
      </c>
      <c r="G283" s="346" t="s">
        <v>15</v>
      </c>
      <c r="H283" s="346" t="s">
        <v>15</v>
      </c>
      <c r="I283" s="346" t="s">
        <v>15</v>
      </c>
      <c r="J283" s="346" t="s">
        <v>15</v>
      </c>
      <c r="K283" s="346" t="s">
        <v>15</v>
      </c>
      <c r="L283" s="346" t="s">
        <v>15</v>
      </c>
      <c r="M283" s="346" t="s">
        <v>15</v>
      </c>
      <c r="N283" s="346" t="s">
        <v>15</v>
      </c>
      <c r="O283" s="347">
        <f>SUM(C283:N283)</f>
        <v>0</v>
      </c>
      <c r="P283" s="2"/>
    </row>
    <row r="284" spans="1:16" s="290" customFormat="1" ht="14.25" x14ac:dyDescent="0.2">
      <c r="A284" s="285" t="s">
        <v>310</v>
      </c>
      <c r="B284" s="286" t="s">
        <v>69</v>
      </c>
      <c r="C284" s="345" t="s">
        <v>15</v>
      </c>
      <c r="D284" s="346" t="s">
        <v>15</v>
      </c>
      <c r="E284" s="346" t="s">
        <v>15</v>
      </c>
      <c r="F284" s="346" t="s">
        <v>15</v>
      </c>
      <c r="G284" s="346" t="s">
        <v>15</v>
      </c>
      <c r="H284" s="346" t="s">
        <v>15</v>
      </c>
      <c r="I284" s="346" t="s">
        <v>15</v>
      </c>
      <c r="J284" s="346" t="s">
        <v>15</v>
      </c>
      <c r="K284" s="346" t="s">
        <v>15</v>
      </c>
      <c r="L284" s="346" t="s">
        <v>15</v>
      </c>
      <c r="M284" s="346" t="s">
        <v>15</v>
      </c>
      <c r="N284" s="346" t="s">
        <v>15</v>
      </c>
      <c r="O284" s="347">
        <f>SUM(C284:N284)</f>
        <v>0</v>
      </c>
      <c r="P284" s="2"/>
    </row>
    <row r="285" spans="1:16" s="290" customFormat="1" ht="14.25" x14ac:dyDescent="0.2">
      <c r="A285" s="285" t="s">
        <v>267</v>
      </c>
      <c r="B285" s="286" t="s">
        <v>69</v>
      </c>
      <c r="C285" s="345" t="s">
        <v>15</v>
      </c>
      <c r="D285" s="346" t="s">
        <v>15</v>
      </c>
      <c r="E285" s="346" t="s">
        <v>15</v>
      </c>
      <c r="F285" s="346" t="s">
        <v>15</v>
      </c>
      <c r="G285" s="346" t="s">
        <v>15</v>
      </c>
      <c r="H285" s="346" t="s">
        <v>15</v>
      </c>
      <c r="I285" s="346" t="s">
        <v>15</v>
      </c>
      <c r="J285" s="346" t="s">
        <v>15</v>
      </c>
      <c r="K285" s="346" t="s">
        <v>15</v>
      </c>
      <c r="L285" s="346" t="s">
        <v>15</v>
      </c>
      <c r="M285" s="346" t="s">
        <v>15</v>
      </c>
      <c r="N285" s="346" t="s">
        <v>15</v>
      </c>
      <c r="O285" s="347">
        <f>SUM(C285:N285)</f>
        <v>0</v>
      </c>
      <c r="P285" s="2"/>
    </row>
    <row r="286" spans="1:16" s="290" customFormat="1" ht="14.25" x14ac:dyDescent="0.2">
      <c r="A286" s="285" t="s">
        <v>268</v>
      </c>
      <c r="B286" s="286" t="s">
        <v>69</v>
      </c>
      <c r="C286" s="345" t="s">
        <v>15</v>
      </c>
      <c r="D286" s="346" t="s">
        <v>15</v>
      </c>
      <c r="E286" s="346" t="s">
        <v>15</v>
      </c>
      <c r="F286" s="346" t="s">
        <v>15</v>
      </c>
      <c r="G286" s="346" t="s">
        <v>15</v>
      </c>
      <c r="H286" s="346" t="s">
        <v>15</v>
      </c>
      <c r="I286" s="346" t="s">
        <v>15</v>
      </c>
      <c r="J286" s="346" t="s">
        <v>15</v>
      </c>
      <c r="K286" s="346" t="s">
        <v>15</v>
      </c>
      <c r="L286" s="346" t="s">
        <v>15</v>
      </c>
      <c r="M286" s="346" t="s">
        <v>15</v>
      </c>
      <c r="N286" s="346" t="s">
        <v>15</v>
      </c>
      <c r="O286" s="347">
        <f>SUM(C286:N286)</f>
        <v>0</v>
      </c>
      <c r="P286" s="2"/>
    </row>
    <row r="287" spans="1:16" s="290" customFormat="1" ht="14.25" x14ac:dyDescent="0.2">
      <c r="A287" s="285" t="s">
        <v>269</v>
      </c>
      <c r="B287" s="286" t="s">
        <v>69</v>
      </c>
      <c r="C287" s="345" t="s">
        <v>15</v>
      </c>
      <c r="D287" s="346" t="s">
        <v>15</v>
      </c>
      <c r="E287" s="346" t="s">
        <v>15</v>
      </c>
      <c r="F287" s="346" t="s">
        <v>15</v>
      </c>
      <c r="G287" s="346" t="s">
        <v>15</v>
      </c>
      <c r="H287" s="346" t="s">
        <v>15</v>
      </c>
      <c r="I287" s="346" t="s">
        <v>15</v>
      </c>
      <c r="J287" s="346" t="s">
        <v>15</v>
      </c>
      <c r="K287" s="346" t="s">
        <v>15</v>
      </c>
      <c r="L287" s="346" t="s">
        <v>15</v>
      </c>
      <c r="M287" s="346" t="s">
        <v>15</v>
      </c>
      <c r="N287" s="346" t="s">
        <v>15</v>
      </c>
      <c r="O287" s="347">
        <f>SUM(C287:N287)</f>
        <v>0</v>
      </c>
      <c r="P287" s="2"/>
    </row>
    <row r="288" spans="1:16" s="290" customFormat="1" ht="14.25" x14ac:dyDescent="0.2">
      <c r="A288" s="285" t="s">
        <v>270</v>
      </c>
      <c r="B288" s="286" t="s">
        <v>69</v>
      </c>
      <c r="C288" s="345" t="s">
        <v>15</v>
      </c>
      <c r="D288" s="346" t="s">
        <v>15</v>
      </c>
      <c r="E288" s="346" t="s">
        <v>15</v>
      </c>
      <c r="F288" s="346" t="s">
        <v>15</v>
      </c>
      <c r="G288" s="346" t="s">
        <v>15</v>
      </c>
      <c r="H288" s="346" t="s">
        <v>15</v>
      </c>
      <c r="I288" s="346" t="s">
        <v>15</v>
      </c>
      <c r="J288" s="346" t="s">
        <v>15</v>
      </c>
      <c r="K288" s="346" t="s">
        <v>15</v>
      </c>
      <c r="L288" s="346" t="s">
        <v>15</v>
      </c>
      <c r="M288" s="346" t="s">
        <v>15</v>
      </c>
      <c r="N288" s="346" t="s">
        <v>15</v>
      </c>
      <c r="O288" s="347">
        <f>SUM(C288:N288)</f>
        <v>0</v>
      </c>
      <c r="P288" s="2"/>
    </row>
    <row r="289" spans="1:16" s="290" customFormat="1" ht="14.25" x14ac:dyDescent="0.2">
      <c r="A289" s="285" t="s">
        <v>271</v>
      </c>
      <c r="B289" s="286" t="s">
        <v>69</v>
      </c>
      <c r="C289" s="345" t="s">
        <v>15</v>
      </c>
      <c r="D289" s="346" t="s">
        <v>15</v>
      </c>
      <c r="E289" s="346" t="s">
        <v>15</v>
      </c>
      <c r="F289" s="346" t="s">
        <v>15</v>
      </c>
      <c r="G289" s="346" t="s">
        <v>15</v>
      </c>
      <c r="H289" s="346" t="s">
        <v>15</v>
      </c>
      <c r="I289" s="346" t="s">
        <v>15</v>
      </c>
      <c r="J289" s="346" t="s">
        <v>15</v>
      </c>
      <c r="K289" s="346" t="s">
        <v>15</v>
      </c>
      <c r="L289" s="346" t="s">
        <v>15</v>
      </c>
      <c r="M289" s="346" t="s">
        <v>15</v>
      </c>
      <c r="N289" s="346" t="s">
        <v>15</v>
      </c>
      <c r="O289" s="347">
        <f>SUM(C289:N289)</f>
        <v>0</v>
      </c>
      <c r="P289" s="2"/>
    </row>
    <row r="290" spans="1:16" s="290" customFormat="1" ht="14.25" x14ac:dyDescent="0.2">
      <c r="A290" s="285" t="s">
        <v>272</v>
      </c>
      <c r="B290" s="286" t="s">
        <v>69</v>
      </c>
      <c r="C290" s="345" t="s">
        <v>15</v>
      </c>
      <c r="D290" s="346" t="s">
        <v>15</v>
      </c>
      <c r="E290" s="346" t="s">
        <v>15</v>
      </c>
      <c r="F290" s="346" t="s">
        <v>15</v>
      </c>
      <c r="G290" s="346" t="s">
        <v>15</v>
      </c>
      <c r="H290" s="346" t="s">
        <v>15</v>
      </c>
      <c r="I290" s="346" t="s">
        <v>15</v>
      </c>
      <c r="J290" s="346" t="s">
        <v>15</v>
      </c>
      <c r="K290" s="346" t="s">
        <v>15</v>
      </c>
      <c r="L290" s="346" t="s">
        <v>15</v>
      </c>
      <c r="M290" s="346" t="s">
        <v>15</v>
      </c>
      <c r="N290" s="346" t="s">
        <v>15</v>
      </c>
      <c r="O290" s="347">
        <f>SUM(C290:N290)</f>
        <v>0</v>
      </c>
      <c r="P290" s="2"/>
    </row>
    <row r="291" spans="1:16" s="290" customFormat="1" ht="14.25" x14ac:dyDescent="0.2">
      <c r="A291" s="285" t="s">
        <v>273</v>
      </c>
      <c r="B291" s="286" t="s">
        <v>69</v>
      </c>
      <c r="C291" s="345" t="s">
        <v>15</v>
      </c>
      <c r="D291" s="346" t="s">
        <v>15</v>
      </c>
      <c r="E291" s="346" t="s">
        <v>15</v>
      </c>
      <c r="F291" s="346" t="s">
        <v>15</v>
      </c>
      <c r="G291" s="346" t="s">
        <v>15</v>
      </c>
      <c r="H291" s="346" t="s">
        <v>15</v>
      </c>
      <c r="I291" s="346" t="s">
        <v>15</v>
      </c>
      <c r="J291" s="346" t="s">
        <v>15</v>
      </c>
      <c r="K291" s="346" t="s">
        <v>15</v>
      </c>
      <c r="L291" s="346" t="s">
        <v>15</v>
      </c>
      <c r="M291" s="346" t="s">
        <v>15</v>
      </c>
      <c r="N291" s="346" t="s">
        <v>15</v>
      </c>
      <c r="O291" s="347">
        <f>SUM(C291:N291)</f>
        <v>0</v>
      </c>
      <c r="P291" s="2"/>
    </row>
    <row r="292" spans="1:16" s="290" customFormat="1" ht="14.25" x14ac:dyDescent="0.2">
      <c r="A292" s="285" t="s">
        <v>274</v>
      </c>
      <c r="B292" s="286" t="s">
        <v>69</v>
      </c>
      <c r="C292" s="345" t="s">
        <v>15</v>
      </c>
      <c r="D292" s="346" t="s">
        <v>15</v>
      </c>
      <c r="E292" s="346" t="s">
        <v>15</v>
      </c>
      <c r="F292" s="346" t="s">
        <v>15</v>
      </c>
      <c r="G292" s="346" t="s">
        <v>15</v>
      </c>
      <c r="H292" s="346" t="s">
        <v>15</v>
      </c>
      <c r="I292" s="346" t="s">
        <v>15</v>
      </c>
      <c r="J292" s="346" t="s">
        <v>15</v>
      </c>
      <c r="K292" s="346" t="s">
        <v>15</v>
      </c>
      <c r="L292" s="346" t="s">
        <v>15</v>
      </c>
      <c r="M292" s="346" t="s">
        <v>15</v>
      </c>
      <c r="N292" s="346" t="s">
        <v>15</v>
      </c>
      <c r="O292" s="347">
        <f>SUM(C292:N292)</f>
        <v>0</v>
      </c>
      <c r="P292" s="2"/>
    </row>
    <row r="293" spans="1:16" s="290" customFormat="1" ht="14.25" x14ac:dyDescent="0.2">
      <c r="A293" s="285" t="s">
        <v>275</v>
      </c>
      <c r="B293" s="286" t="s">
        <v>69</v>
      </c>
      <c r="C293" s="345" t="s">
        <v>15</v>
      </c>
      <c r="D293" s="346" t="s">
        <v>15</v>
      </c>
      <c r="E293" s="346" t="s">
        <v>15</v>
      </c>
      <c r="F293" s="346" t="s">
        <v>15</v>
      </c>
      <c r="G293" s="346" t="s">
        <v>15</v>
      </c>
      <c r="H293" s="346" t="s">
        <v>15</v>
      </c>
      <c r="I293" s="346" t="s">
        <v>15</v>
      </c>
      <c r="J293" s="346" t="s">
        <v>15</v>
      </c>
      <c r="K293" s="346" t="s">
        <v>15</v>
      </c>
      <c r="L293" s="346" t="s">
        <v>15</v>
      </c>
      <c r="M293" s="346" t="s">
        <v>15</v>
      </c>
      <c r="N293" s="346" t="s">
        <v>15</v>
      </c>
      <c r="O293" s="347">
        <f>SUM(C293:N293)</f>
        <v>0</v>
      </c>
      <c r="P293" s="2"/>
    </row>
    <row r="294" spans="1:16" customFormat="1" ht="15" x14ac:dyDescent="0.25">
      <c r="A294" s="329" t="s">
        <v>367</v>
      </c>
      <c r="B294" s="286" t="s">
        <v>69</v>
      </c>
      <c r="C294" s="345" t="s">
        <v>15</v>
      </c>
      <c r="D294" s="346" t="s">
        <v>15</v>
      </c>
      <c r="E294" s="346" t="s">
        <v>15</v>
      </c>
      <c r="F294" s="346" t="s">
        <v>15</v>
      </c>
      <c r="G294" s="346" t="s">
        <v>15</v>
      </c>
      <c r="H294" s="346" t="s">
        <v>15</v>
      </c>
      <c r="I294" s="346" t="s">
        <v>15</v>
      </c>
      <c r="J294" s="346" t="s">
        <v>15</v>
      </c>
      <c r="K294" s="346" t="s">
        <v>15</v>
      </c>
      <c r="L294" s="346" t="s">
        <v>15</v>
      </c>
      <c r="M294" s="346" t="s">
        <v>15</v>
      </c>
      <c r="N294" s="346" t="s">
        <v>15</v>
      </c>
      <c r="O294" s="347">
        <f>SUM(C294:N294)</f>
        <v>0</v>
      </c>
    </row>
    <row r="295" spans="1:16" s="290" customFormat="1" ht="14.25" x14ac:dyDescent="0.2">
      <c r="A295" s="285" t="s">
        <v>276</v>
      </c>
      <c r="B295" s="286" t="s">
        <v>69</v>
      </c>
      <c r="C295" s="345" t="s">
        <v>15</v>
      </c>
      <c r="D295" s="346" t="s">
        <v>15</v>
      </c>
      <c r="E295" s="346" t="s">
        <v>15</v>
      </c>
      <c r="F295" s="346" t="s">
        <v>15</v>
      </c>
      <c r="G295" s="346" t="s">
        <v>15</v>
      </c>
      <c r="H295" s="346" t="s">
        <v>15</v>
      </c>
      <c r="I295" s="346" t="s">
        <v>15</v>
      </c>
      <c r="J295" s="346" t="s">
        <v>15</v>
      </c>
      <c r="K295" s="346" t="s">
        <v>15</v>
      </c>
      <c r="L295" s="346" t="s">
        <v>15</v>
      </c>
      <c r="M295" s="346" t="s">
        <v>15</v>
      </c>
      <c r="N295" s="346" t="s">
        <v>15</v>
      </c>
      <c r="O295" s="347">
        <f>SUM(C295:N295)</f>
        <v>0</v>
      </c>
      <c r="P295" s="2"/>
    </row>
    <row r="296" spans="1:16" s="290" customFormat="1" ht="14.25" x14ac:dyDescent="0.2">
      <c r="A296" s="285" t="s">
        <v>277</v>
      </c>
      <c r="B296" s="286" t="s">
        <v>69</v>
      </c>
      <c r="C296" s="345" t="s">
        <v>15</v>
      </c>
      <c r="D296" s="346" t="s">
        <v>15</v>
      </c>
      <c r="E296" s="346" t="s">
        <v>15</v>
      </c>
      <c r="F296" s="346" t="s">
        <v>15</v>
      </c>
      <c r="G296" s="346" t="s">
        <v>15</v>
      </c>
      <c r="H296" s="346" t="s">
        <v>15</v>
      </c>
      <c r="I296" s="346" t="s">
        <v>15</v>
      </c>
      <c r="J296" s="346" t="s">
        <v>15</v>
      </c>
      <c r="K296" s="346" t="s">
        <v>15</v>
      </c>
      <c r="L296" s="346" t="s">
        <v>15</v>
      </c>
      <c r="M296" s="346" t="s">
        <v>15</v>
      </c>
      <c r="N296" s="346" t="s">
        <v>15</v>
      </c>
      <c r="O296" s="347">
        <f>SUM(C296:N296)</f>
        <v>0</v>
      </c>
      <c r="P296" s="2"/>
    </row>
    <row r="297" spans="1:16" s="290" customFormat="1" ht="14.25" x14ac:dyDescent="0.2">
      <c r="A297" s="285" t="s">
        <v>278</v>
      </c>
      <c r="B297" s="286" t="s">
        <v>69</v>
      </c>
      <c r="C297" s="345" t="s">
        <v>15</v>
      </c>
      <c r="D297" s="346" t="s">
        <v>15</v>
      </c>
      <c r="E297" s="346" t="s">
        <v>15</v>
      </c>
      <c r="F297" s="346" t="s">
        <v>15</v>
      </c>
      <c r="G297" s="346" t="s">
        <v>15</v>
      </c>
      <c r="H297" s="346" t="s">
        <v>15</v>
      </c>
      <c r="I297" s="346" t="s">
        <v>15</v>
      </c>
      <c r="J297" s="346" t="s">
        <v>15</v>
      </c>
      <c r="K297" s="346" t="s">
        <v>15</v>
      </c>
      <c r="L297" s="346" t="s">
        <v>15</v>
      </c>
      <c r="M297" s="346" t="s">
        <v>15</v>
      </c>
      <c r="N297" s="346" t="s">
        <v>15</v>
      </c>
      <c r="O297" s="347">
        <f>SUM(C297:N297)</f>
        <v>0</v>
      </c>
      <c r="P297" s="2"/>
    </row>
    <row r="298" spans="1:16" s="290" customFormat="1" ht="14.25" x14ac:dyDescent="0.2">
      <c r="A298" s="285" t="s">
        <v>279</v>
      </c>
      <c r="B298" s="286" t="s">
        <v>69</v>
      </c>
      <c r="C298" s="345" t="s">
        <v>15</v>
      </c>
      <c r="D298" s="346" t="s">
        <v>15</v>
      </c>
      <c r="E298" s="346" t="s">
        <v>15</v>
      </c>
      <c r="F298" s="346" t="s">
        <v>15</v>
      </c>
      <c r="G298" s="346" t="s">
        <v>15</v>
      </c>
      <c r="H298" s="346" t="s">
        <v>15</v>
      </c>
      <c r="I298" s="346" t="s">
        <v>15</v>
      </c>
      <c r="J298" s="346" t="s">
        <v>15</v>
      </c>
      <c r="K298" s="346" t="s">
        <v>15</v>
      </c>
      <c r="L298" s="346" t="s">
        <v>15</v>
      </c>
      <c r="M298" s="346" t="s">
        <v>15</v>
      </c>
      <c r="N298" s="346" t="s">
        <v>15</v>
      </c>
      <c r="O298" s="347">
        <f>SUM(C298:N298)</f>
        <v>0</v>
      </c>
      <c r="P298" s="2"/>
    </row>
    <row r="299" spans="1:16" s="290" customFormat="1" ht="14.25" x14ac:dyDescent="0.2">
      <c r="A299" s="285" t="s">
        <v>280</v>
      </c>
      <c r="B299" s="286" t="s">
        <v>69</v>
      </c>
      <c r="C299" s="345" t="s">
        <v>15</v>
      </c>
      <c r="D299" s="346" t="s">
        <v>15</v>
      </c>
      <c r="E299" s="346" t="s">
        <v>15</v>
      </c>
      <c r="F299" s="346" t="s">
        <v>15</v>
      </c>
      <c r="G299" s="346" t="s">
        <v>15</v>
      </c>
      <c r="H299" s="346" t="s">
        <v>15</v>
      </c>
      <c r="I299" s="346" t="s">
        <v>15</v>
      </c>
      <c r="J299" s="346" t="s">
        <v>15</v>
      </c>
      <c r="K299" s="346" t="s">
        <v>15</v>
      </c>
      <c r="L299" s="346" t="s">
        <v>15</v>
      </c>
      <c r="M299" s="346" t="s">
        <v>15</v>
      </c>
      <c r="N299" s="346" t="s">
        <v>15</v>
      </c>
      <c r="O299" s="347">
        <f>SUM(C299:N299)</f>
        <v>0</v>
      </c>
      <c r="P299" s="2"/>
    </row>
    <row r="300" spans="1:16" s="290" customFormat="1" ht="14.25" x14ac:dyDescent="0.2">
      <c r="A300" s="285" t="s">
        <v>281</v>
      </c>
      <c r="B300" s="286" t="s">
        <v>69</v>
      </c>
      <c r="C300" s="345" t="s">
        <v>15</v>
      </c>
      <c r="D300" s="346" t="s">
        <v>15</v>
      </c>
      <c r="E300" s="346" t="s">
        <v>15</v>
      </c>
      <c r="F300" s="346" t="s">
        <v>15</v>
      </c>
      <c r="G300" s="346" t="s">
        <v>15</v>
      </c>
      <c r="H300" s="346" t="s">
        <v>15</v>
      </c>
      <c r="I300" s="346" t="s">
        <v>15</v>
      </c>
      <c r="J300" s="346" t="s">
        <v>15</v>
      </c>
      <c r="K300" s="346" t="s">
        <v>15</v>
      </c>
      <c r="L300" s="346" t="s">
        <v>15</v>
      </c>
      <c r="M300" s="346" t="s">
        <v>15</v>
      </c>
      <c r="N300" s="346" t="s">
        <v>15</v>
      </c>
      <c r="O300" s="347">
        <f>SUM(C300:N300)</f>
        <v>0</v>
      </c>
      <c r="P300" s="2"/>
    </row>
    <row r="301" spans="1:16" s="290" customFormat="1" ht="15" customHeight="1" x14ac:dyDescent="0.2">
      <c r="A301" s="285" t="s">
        <v>282</v>
      </c>
      <c r="B301" s="286" t="s">
        <v>69</v>
      </c>
      <c r="C301" s="345" t="s">
        <v>15</v>
      </c>
      <c r="D301" s="346" t="s">
        <v>15</v>
      </c>
      <c r="E301" s="346" t="s">
        <v>15</v>
      </c>
      <c r="F301" s="346" t="s">
        <v>15</v>
      </c>
      <c r="G301" s="346" t="s">
        <v>15</v>
      </c>
      <c r="H301" s="346" t="s">
        <v>15</v>
      </c>
      <c r="I301" s="346" t="s">
        <v>15</v>
      </c>
      <c r="J301" s="346" t="s">
        <v>15</v>
      </c>
      <c r="K301" s="346" t="s">
        <v>15</v>
      </c>
      <c r="L301" s="346" t="s">
        <v>15</v>
      </c>
      <c r="M301" s="346" t="s">
        <v>15</v>
      </c>
      <c r="N301" s="346" t="s">
        <v>15</v>
      </c>
      <c r="O301" s="347">
        <f>SUM(C301:N301)</f>
        <v>0</v>
      </c>
      <c r="P301" s="2"/>
    </row>
    <row r="302" spans="1:16" s="290" customFormat="1" ht="14.25" x14ac:dyDescent="0.2">
      <c r="A302" s="285" t="s">
        <v>283</v>
      </c>
      <c r="B302" s="286" t="s">
        <v>69</v>
      </c>
      <c r="C302" s="345" t="s">
        <v>15</v>
      </c>
      <c r="D302" s="346" t="s">
        <v>15</v>
      </c>
      <c r="E302" s="346" t="s">
        <v>15</v>
      </c>
      <c r="F302" s="346" t="s">
        <v>15</v>
      </c>
      <c r="G302" s="346" t="s">
        <v>15</v>
      </c>
      <c r="H302" s="346" t="s">
        <v>15</v>
      </c>
      <c r="I302" s="346" t="s">
        <v>15</v>
      </c>
      <c r="J302" s="346" t="s">
        <v>15</v>
      </c>
      <c r="K302" s="346" t="s">
        <v>15</v>
      </c>
      <c r="L302" s="346" t="s">
        <v>15</v>
      </c>
      <c r="M302" s="346" t="s">
        <v>15</v>
      </c>
      <c r="N302" s="346" t="s">
        <v>15</v>
      </c>
      <c r="O302" s="347">
        <f>SUM(C302:N302)</f>
        <v>0</v>
      </c>
      <c r="P302" s="2"/>
    </row>
    <row r="303" spans="1:16" s="290" customFormat="1" ht="14.25" x14ac:dyDescent="0.2">
      <c r="A303" s="285" t="s">
        <v>284</v>
      </c>
      <c r="B303" s="286" t="s">
        <v>69</v>
      </c>
      <c r="C303" s="345" t="s">
        <v>15</v>
      </c>
      <c r="D303" s="346" t="s">
        <v>15</v>
      </c>
      <c r="E303" s="346" t="s">
        <v>15</v>
      </c>
      <c r="F303" s="346" t="s">
        <v>15</v>
      </c>
      <c r="G303" s="346" t="s">
        <v>15</v>
      </c>
      <c r="H303" s="346" t="s">
        <v>15</v>
      </c>
      <c r="I303" s="346" t="s">
        <v>15</v>
      </c>
      <c r="J303" s="346" t="s">
        <v>15</v>
      </c>
      <c r="K303" s="346" t="s">
        <v>15</v>
      </c>
      <c r="L303" s="346" t="s">
        <v>15</v>
      </c>
      <c r="M303" s="346" t="s">
        <v>15</v>
      </c>
      <c r="N303" s="346" t="s">
        <v>15</v>
      </c>
      <c r="O303" s="347">
        <f>SUM(C303:N303)</f>
        <v>0</v>
      </c>
      <c r="P303" s="2"/>
    </row>
    <row r="304" spans="1:16" s="290" customFormat="1" ht="14.25" x14ac:dyDescent="0.2">
      <c r="A304" s="285" t="s">
        <v>285</v>
      </c>
      <c r="B304" s="286" t="s">
        <v>69</v>
      </c>
      <c r="C304" s="345" t="s">
        <v>15</v>
      </c>
      <c r="D304" s="346" t="s">
        <v>15</v>
      </c>
      <c r="E304" s="346" t="s">
        <v>15</v>
      </c>
      <c r="F304" s="346" t="s">
        <v>15</v>
      </c>
      <c r="G304" s="346" t="s">
        <v>15</v>
      </c>
      <c r="H304" s="346" t="s">
        <v>15</v>
      </c>
      <c r="I304" s="346" t="s">
        <v>15</v>
      </c>
      <c r="J304" s="346" t="s">
        <v>15</v>
      </c>
      <c r="K304" s="346" t="s">
        <v>15</v>
      </c>
      <c r="L304" s="346" t="s">
        <v>15</v>
      </c>
      <c r="M304" s="346" t="s">
        <v>15</v>
      </c>
      <c r="N304" s="346" t="s">
        <v>15</v>
      </c>
      <c r="O304" s="347">
        <f>SUM(C304:N304)</f>
        <v>0</v>
      </c>
      <c r="P304" s="2"/>
    </row>
    <row r="305" spans="1:16" s="290" customFormat="1" ht="14.25" x14ac:dyDescent="0.2">
      <c r="A305" s="285" t="s">
        <v>286</v>
      </c>
      <c r="B305" s="286" t="s">
        <v>69</v>
      </c>
      <c r="C305" s="345" t="s">
        <v>15</v>
      </c>
      <c r="D305" s="346" t="s">
        <v>15</v>
      </c>
      <c r="E305" s="346" t="s">
        <v>15</v>
      </c>
      <c r="F305" s="346" t="s">
        <v>15</v>
      </c>
      <c r="G305" s="346" t="s">
        <v>15</v>
      </c>
      <c r="H305" s="346" t="s">
        <v>15</v>
      </c>
      <c r="I305" s="346" t="s">
        <v>15</v>
      </c>
      <c r="J305" s="346" t="s">
        <v>15</v>
      </c>
      <c r="K305" s="346" t="s">
        <v>15</v>
      </c>
      <c r="L305" s="346" t="s">
        <v>15</v>
      </c>
      <c r="M305" s="346" t="s">
        <v>15</v>
      </c>
      <c r="N305" s="346" t="s">
        <v>15</v>
      </c>
      <c r="O305" s="347">
        <f>SUM(C305:N305)</f>
        <v>0</v>
      </c>
      <c r="P305" s="2"/>
    </row>
    <row r="306" spans="1:16" s="290" customFormat="1" ht="14.25" x14ac:dyDescent="0.2">
      <c r="A306" s="285" t="s">
        <v>298</v>
      </c>
      <c r="B306" s="286" t="s">
        <v>69</v>
      </c>
      <c r="C306" s="345" t="s">
        <v>15</v>
      </c>
      <c r="D306" s="346" t="s">
        <v>15</v>
      </c>
      <c r="E306" s="346" t="s">
        <v>15</v>
      </c>
      <c r="F306" s="346" t="s">
        <v>15</v>
      </c>
      <c r="G306" s="346" t="s">
        <v>15</v>
      </c>
      <c r="H306" s="346" t="s">
        <v>15</v>
      </c>
      <c r="I306" s="346" t="s">
        <v>15</v>
      </c>
      <c r="J306" s="346" t="s">
        <v>15</v>
      </c>
      <c r="K306" s="346" t="s">
        <v>15</v>
      </c>
      <c r="L306" s="346" t="s">
        <v>15</v>
      </c>
      <c r="M306" s="346" t="s">
        <v>15</v>
      </c>
      <c r="N306" s="346" t="s">
        <v>15</v>
      </c>
      <c r="O306" s="347">
        <f>SUM(C306:N306)</f>
        <v>0</v>
      </c>
      <c r="P306" s="2"/>
    </row>
    <row r="307" spans="1:16" s="290" customFormat="1" ht="14.25" x14ac:dyDescent="0.2">
      <c r="A307" s="285" t="s">
        <v>287</v>
      </c>
      <c r="B307" s="286" t="s">
        <v>69</v>
      </c>
      <c r="C307" s="345" t="s">
        <v>15</v>
      </c>
      <c r="D307" s="346" t="s">
        <v>15</v>
      </c>
      <c r="E307" s="346" t="s">
        <v>15</v>
      </c>
      <c r="F307" s="346" t="s">
        <v>15</v>
      </c>
      <c r="G307" s="346" t="s">
        <v>15</v>
      </c>
      <c r="H307" s="346" t="s">
        <v>15</v>
      </c>
      <c r="I307" s="346" t="s">
        <v>15</v>
      </c>
      <c r="J307" s="346" t="s">
        <v>15</v>
      </c>
      <c r="K307" s="346" t="s">
        <v>15</v>
      </c>
      <c r="L307" s="346" t="s">
        <v>15</v>
      </c>
      <c r="M307" s="346" t="s">
        <v>15</v>
      </c>
      <c r="N307" s="346" t="s">
        <v>15</v>
      </c>
      <c r="O307" s="347">
        <f>SUM(C307:N307)</f>
        <v>0</v>
      </c>
      <c r="P307" s="2"/>
    </row>
    <row r="308" spans="1:16" s="290" customFormat="1" ht="14.25" x14ac:dyDescent="0.2">
      <c r="A308" s="285" t="s">
        <v>288</v>
      </c>
      <c r="B308" s="286" t="s">
        <v>69</v>
      </c>
      <c r="C308" s="345" t="s">
        <v>15</v>
      </c>
      <c r="D308" s="346" t="s">
        <v>15</v>
      </c>
      <c r="E308" s="346" t="s">
        <v>15</v>
      </c>
      <c r="F308" s="346" t="s">
        <v>15</v>
      </c>
      <c r="G308" s="346" t="s">
        <v>15</v>
      </c>
      <c r="H308" s="346" t="s">
        <v>15</v>
      </c>
      <c r="I308" s="346" t="s">
        <v>15</v>
      </c>
      <c r="J308" s="346" t="s">
        <v>15</v>
      </c>
      <c r="K308" s="346" t="s">
        <v>15</v>
      </c>
      <c r="L308" s="346" t="s">
        <v>15</v>
      </c>
      <c r="M308" s="346" t="s">
        <v>15</v>
      </c>
      <c r="N308" s="346" t="s">
        <v>15</v>
      </c>
      <c r="O308" s="347">
        <f>SUM(C308:N308)</f>
        <v>0</v>
      </c>
      <c r="P308" s="2"/>
    </row>
    <row r="309" spans="1:16" s="290" customFormat="1" ht="12.75" customHeight="1" x14ac:dyDescent="0.2">
      <c r="A309" s="285" t="s">
        <v>289</v>
      </c>
      <c r="B309" s="286" t="s">
        <v>69</v>
      </c>
      <c r="C309" s="345" t="s">
        <v>15</v>
      </c>
      <c r="D309" s="346" t="s">
        <v>15</v>
      </c>
      <c r="E309" s="346" t="s">
        <v>15</v>
      </c>
      <c r="F309" s="346" t="s">
        <v>15</v>
      </c>
      <c r="G309" s="346" t="s">
        <v>15</v>
      </c>
      <c r="H309" s="346" t="s">
        <v>15</v>
      </c>
      <c r="I309" s="346" t="s">
        <v>15</v>
      </c>
      <c r="J309" s="346" t="s">
        <v>15</v>
      </c>
      <c r="K309" s="346" t="s">
        <v>15</v>
      </c>
      <c r="L309" s="346" t="s">
        <v>15</v>
      </c>
      <c r="M309" s="346" t="s">
        <v>15</v>
      </c>
      <c r="N309" s="346" t="s">
        <v>15</v>
      </c>
      <c r="O309" s="347">
        <f>SUM(C309:N309)</f>
        <v>0</v>
      </c>
      <c r="P309" s="2"/>
    </row>
    <row r="310" spans="1:16" x14ac:dyDescent="0.2">
      <c r="A310" s="12" t="s">
        <v>203</v>
      </c>
      <c r="B310" s="10" t="s">
        <v>192</v>
      </c>
      <c r="C310" s="333" t="s">
        <v>15</v>
      </c>
      <c r="D310" s="11" t="s">
        <v>15</v>
      </c>
      <c r="E310" s="11" t="s">
        <v>15</v>
      </c>
      <c r="F310" s="11" t="s">
        <v>15</v>
      </c>
      <c r="G310" s="11" t="s">
        <v>15</v>
      </c>
      <c r="H310" s="11" t="s">
        <v>15</v>
      </c>
      <c r="I310" s="11" t="s">
        <v>15</v>
      </c>
      <c r="J310" s="11" t="s">
        <v>15</v>
      </c>
      <c r="K310" s="11" t="s">
        <v>15</v>
      </c>
      <c r="L310" s="11" t="s">
        <v>15</v>
      </c>
      <c r="M310" s="11" t="s">
        <v>15</v>
      </c>
      <c r="N310" s="11" t="s">
        <v>15</v>
      </c>
      <c r="O310" s="337">
        <f>SUM(C310:N310)</f>
        <v>0</v>
      </c>
    </row>
    <row r="311" spans="1:16" x14ac:dyDescent="0.2">
      <c r="A311" s="12" t="s">
        <v>203</v>
      </c>
      <c r="B311" s="10" t="s">
        <v>194</v>
      </c>
      <c r="C311" s="333" t="s">
        <v>15</v>
      </c>
      <c r="D311" s="11" t="s">
        <v>15</v>
      </c>
      <c r="E311" s="11" t="s">
        <v>15</v>
      </c>
      <c r="F311" s="11" t="s">
        <v>15</v>
      </c>
      <c r="G311" s="11" t="s">
        <v>15</v>
      </c>
      <c r="H311" s="11" t="s">
        <v>15</v>
      </c>
      <c r="I311" s="11" t="s">
        <v>15</v>
      </c>
      <c r="J311" s="11" t="s">
        <v>15</v>
      </c>
      <c r="K311" s="11" t="s">
        <v>15</v>
      </c>
      <c r="L311" s="11" t="s">
        <v>15</v>
      </c>
      <c r="M311" s="11" t="s">
        <v>15</v>
      </c>
      <c r="N311" s="11" t="s">
        <v>15</v>
      </c>
      <c r="O311" s="333">
        <f>SUM(C311:N311)</f>
        <v>0</v>
      </c>
    </row>
    <row r="312" spans="1:16" x14ac:dyDescent="0.2">
      <c r="A312" s="12" t="s">
        <v>300</v>
      </c>
      <c r="B312" s="10" t="s">
        <v>194</v>
      </c>
      <c r="C312" s="333" t="s">
        <v>15</v>
      </c>
      <c r="D312" s="11" t="s">
        <v>15</v>
      </c>
      <c r="E312" s="11" t="s">
        <v>15</v>
      </c>
      <c r="F312" s="339" t="s">
        <v>15</v>
      </c>
      <c r="G312" s="11" t="s">
        <v>15</v>
      </c>
      <c r="H312" s="11" t="s">
        <v>15</v>
      </c>
      <c r="I312" s="11" t="s">
        <v>15</v>
      </c>
      <c r="J312" s="11" t="s">
        <v>15</v>
      </c>
      <c r="K312" s="11" t="s">
        <v>15</v>
      </c>
      <c r="L312" s="11" t="s">
        <v>15</v>
      </c>
      <c r="M312" s="11" t="s">
        <v>15</v>
      </c>
      <c r="N312" s="11" t="s">
        <v>15</v>
      </c>
      <c r="O312" s="333">
        <f>SUM(C312:N312)</f>
        <v>0</v>
      </c>
    </row>
    <row r="313" spans="1:16" x14ac:dyDescent="0.2">
      <c r="A313" s="12" t="s">
        <v>203</v>
      </c>
      <c r="B313" s="10" t="s">
        <v>189</v>
      </c>
      <c r="C313" s="333" t="s">
        <v>15</v>
      </c>
      <c r="D313" s="11" t="s">
        <v>15</v>
      </c>
      <c r="E313" s="11" t="s">
        <v>15</v>
      </c>
      <c r="F313" s="11" t="s">
        <v>15</v>
      </c>
      <c r="G313" s="11" t="s">
        <v>15</v>
      </c>
      <c r="H313" s="11" t="s">
        <v>15</v>
      </c>
      <c r="I313" s="11" t="s">
        <v>15</v>
      </c>
      <c r="J313" s="11" t="s">
        <v>15</v>
      </c>
      <c r="K313" s="11" t="s">
        <v>15</v>
      </c>
      <c r="L313" s="11" t="s">
        <v>15</v>
      </c>
      <c r="M313" s="11" t="s">
        <v>15</v>
      </c>
      <c r="N313" s="11" t="s">
        <v>15</v>
      </c>
      <c r="O313" s="333">
        <f>SUM(C313:N313)</f>
        <v>0</v>
      </c>
    </row>
    <row r="314" spans="1:16" ht="12.75" customHeight="1" x14ac:dyDescent="0.2">
      <c r="A314" s="12" t="s">
        <v>203</v>
      </c>
      <c r="B314" s="10" t="s">
        <v>252</v>
      </c>
      <c r="C314" s="333" t="s">
        <v>15</v>
      </c>
      <c r="D314" s="11" t="s">
        <v>15</v>
      </c>
      <c r="E314" s="11" t="s">
        <v>15</v>
      </c>
      <c r="F314" s="11" t="s">
        <v>15</v>
      </c>
      <c r="G314" s="11" t="s">
        <v>15</v>
      </c>
      <c r="H314" s="11" t="s">
        <v>15</v>
      </c>
      <c r="I314" s="333" t="s">
        <v>15</v>
      </c>
      <c r="J314" s="333" t="s">
        <v>15</v>
      </c>
      <c r="K314" s="333" t="s">
        <v>15</v>
      </c>
      <c r="L314" s="333" t="s">
        <v>15</v>
      </c>
      <c r="M314" s="333" t="s">
        <v>15</v>
      </c>
      <c r="N314" s="333" t="s">
        <v>15</v>
      </c>
      <c r="O314" s="337">
        <f>SUM(C314:N314)</f>
        <v>0</v>
      </c>
    </row>
    <row r="315" spans="1:16" x14ac:dyDescent="0.2">
      <c r="A315" s="12" t="s">
        <v>203</v>
      </c>
      <c r="B315" s="10" t="s">
        <v>190</v>
      </c>
      <c r="C315" s="333" t="s">
        <v>15</v>
      </c>
      <c r="D315" s="11" t="s">
        <v>15</v>
      </c>
      <c r="E315" s="11" t="s">
        <v>15</v>
      </c>
      <c r="F315" s="339" t="s">
        <v>15</v>
      </c>
      <c r="G315" s="11" t="s">
        <v>15</v>
      </c>
      <c r="H315" s="333" t="s">
        <v>15</v>
      </c>
      <c r="I315" s="333" t="s">
        <v>15</v>
      </c>
      <c r="J315" s="11" t="s">
        <v>15</v>
      </c>
      <c r="K315" s="11" t="s">
        <v>15</v>
      </c>
      <c r="L315" s="11" t="s">
        <v>15</v>
      </c>
      <c r="M315" s="11" t="s">
        <v>15</v>
      </c>
      <c r="N315" s="11" t="s">
        <v>15</v>
      </c>
      <c r="O315" s="333">
        <f>SUM(C315:N315)</f>
        <v>0</v>
      </c>
    </row>
    <row r="316" spans="1:16" ht="12.75" customHeight="1" x14ac:dyDescent="0.2">
      <c r="A316" s="12" t="s">
        <v>300</v>
      </c>
      <c r="B316" s="10" t="s">
        <v>190</v>
      </c>
      <c r="C316" s="333" t="s">
        <v>15</v>
      </c>
      <c r="D316" s="11" t="s">
        <v>15</v>
      </c>
      <c r="E316" s="11" t="s">
        <v>15</v>
      </c>
      <c r="F316" s="339" t="s">
        <v>15</v>
      </c>
      <c r="G316" s="11" t="s">
        <v>15</v>
      </c>
      <c r="H316" s="333" t="s">
        <v>15</v>
      </c>
      <c r="I316" s="333" t="s">
        <v>15</v>
      </c>
      <c r="J316" s="11" t="s">
        <v>15</v>
      </c>
      <c r="K316" s="11" t="s">
        <v>15</v>
      </c>
      <c r="L316" s="11" t="s">
        <v>15</v>
      </c>
      <c r="M316" s="11" t="s">
        <v>15</v>
      </c>
      <c r="N316" s="11" t="s">
        <v>15</v>
      </c>
      <c r="O316" s="333">
        <f>SUM(C316:N316)</f>
        <v>0</v>
      </c>
    </row>
    <row r="317" spans="1:16" ht="12.75" customHeight="1" x14ac:dyDescent="0.2">
      <c r="A317" s="12" t="s">
        <v>203</v>
      </c>
      <c r="B317" s="10" t="s">
        <v>191</v>
      </c>
      <c r="C317" s="333" t="s">
        <v>15</v>
      </c>
      <c r="D317" s="11" t="s">
        <v>15</v>
      </c>
      <c r="E317" s="11" t="s">
        <v>15</v>
      </c>
      <c r="F317" s="339" t="s">
        <v>15</v>
      </c>
      <c r="G317" s="11" t="s">
        <v>15</v>
      </c>
      <c r="H317" s="11" t="s">
        <v>15</v>
      </c>
      <c r="I317" s="11" t="s">
        <v>15</v>
      </c>
      <c r="J317" s="11" t="s">
        <v>15</v>
      </c>
      <c r="K317" s="11" t="s">
        <v>15</v>
      </c>
      <c r="L317" s="11" t="s">
        <v>15</v>
      </c>
      <c r="M317" s="11" t="s">
        <v>15</v>
      </c>
      <c r="N317" s="11" t="s">
        <v>15</v>
      </c>
      <c r="O317" s="333">
        <f>SUM(C317:N317)</f>
        <v>0</v>
      </c>
    </row>
    <row r="318" spans="1:16" ht="12.75" customHeight="1" x14ac:dyDescent="0.2">
      <c r="A318" s="12" t="s">
        <v>203</v>
      </c>
      <c r="B318" s="10" t="s">
        <v>351</v>
      </c>
      <c r="C318" s="333" t="s">
        <v>15</v>
      </c>
      <c r="D318" s="11" t="s">
        <v>15</v>
      </c>
      <c r="E318" s="11" t="s">
        <v>15</v>
      </c>
      <c r="F318" s="339" t="s">
        <v>15</v>
      </c>
      <c r="G318" s="11" t="s">
        <v>15</v>
      </c>
      <c r="H318" s="11" t="s">
        <v>15</v>
      </c>
      <c r="I318" s="11" t="s">
        <v>15</v>
      </c>
      <c r="J318" s="11" t="s">
        <v>15</v>
      </c>
      <c r="K318" s="11" t="s">
        <v>15</v>
      </c>
      <c r="L318" s="11" t="s">
        <v>15</v>
      </c>
      <c r="M318" s="11" t="s">
        <v>15</v>
      </c>
      <c r="N318" s="11" t="s">
        <v>15</v>
      </c>
      <c r="O318" s="333">
        <f>SUM(C318:N318)</f>
        <v>0</v>
      </c>
    </row>
    <row r="319" spans="1:16" ht="12.75" customHeight="1" x14ac:dyDescent="0.2">
      <c r="A319" s="12" t="s">
        <v>203</v>
      </c>
      <c r="B319" s="10" t="s">
        <v>193</v>
      </c>
      <c r="C319" s="333" t="s">
        <v>15</v>
      </c>
      <c r="D319" s="11" t="s">
        <v>15</v>
      </c>
      <c r="E319" s="11" t="s">
        <v>15</v>
      </c>
      <c r="F319" s="11" t="s">
        <v>15</v>
      </c>
      <c r="G319" s="11" t="s">
        <v>15</v>
      </c>
      <c r="H319" s="11" t="s">
        <v>15</v>
      </c>
      <c r="I319" s="11" t="s">
        <v>15</v>
      </c>
      <c r="J319" s="11" t="s">
        <v>15</v>
      </c>
      <c r="K319" s="11" t="s">
        <v>15</v>
      </c>
      <c r="L319" s="11" t="s">
        <v>15</v>
      </c>
      <c r="M319" s="11" t="s">
        <v>15</v>
      </c>
      <c r="N319" s="11" t="s">
        <v>15</v>
      </c>
      <c r="O319" s="337">
        <f>SUM(C319:N319)</f>
        <v>0</v>
      </c>
    </row>
    <row r="320" spans="1:16" ht="12.75" customHeight="1" x14ac:dyDescent="0.2">
      <c r="A320" s="168" t="s">
        <v>372</v>
      </c>
      <c r="B320" s="10" t="s">
        <v>252</v>
      </c>
      <c r="C320" s="30" t="s">
        <v>15</v>
      </c>
      <c r="D320" s="6" t="s">
        <v>15</v>
      </c>
      <c r="E320" s="6" t="s">
        <v>15</v>
      </c>
      <c r="F320" s="6" t="s">
        <v>15</v>
      </c>
      <c r="G320" s="30" t="s">
        <v>15</v>
      </c>
      <c r="H320" s="6" t="s">
        <v>15</v>
      </c>
      <c r="I320" s="6" t="s">
        <v>15</v>
      </c>
      <c r="J320" s="6" t="s">
        <v>15</v>
      </c>
      <c r="K320" s="6" t="s">
        <v>15</v>
      </c>
      <c r="L320" s="6" t="s">
        <v>15</v>
      </c>
      <c r="M320" s="6" t="s">
        <v>15</v>
      </c>
      <c r="N320" s="6" t="s">
        <v>15</v>
      </c>
      <c r="O320" s="35">
        <f>SUM(C320:N320)</f>
        <v>0</v>
      </c>
    </row>
    <row r="321" spans="1:17" ht="12.75" customHeight="1" x14ac:dyDescent="0.2">
      <c r="A321" s="15" t="s">
        <v>183</v>
      </c>
      <c r="B321" s="10" t="s">
        <v>69</v>
      </c>
      <c r="C321" s="333" t="s">
        <v>15</v>
      </c>
      <c r="D321" s="11" t="s">
        <v>15</v>
      </c>
      <c r="E321" s="11" t="s">
        <v>15</v>
      </c>
      <c r="F321" s="11" t="s">
        <v>15</v>
      </c>
      <c r="G321" s="333" t="s">
        <v>15</v>
      </c>
      <c r="H321" s="11" t="s">
        <v>15</v>
      </c>
      <c r="I321" s="11" t="s">
        <v>15</v>
      </c>
      <c r="J321" s="11" t="s">
        <v>15</v>
      </c>
      <c r="K321" s="11" t="s">
        <v>15</v>
      </c>
      <c r="L321" s="11" t="s">
        <v>15</v>
      </c>
      <c r="M321" s="11" t="s">
        <v>15</v>
      </c>
      <c r="N321" s="11" t="s">
        <v>15</v>
      </c>
      <c r="O321" s="337">
        <f>SUM(C321:N321)</f>
        <v>0</v>
      </c>
    </row>
    <row r="322" spans="1:17" ht="12.75" customHeight="1" x14ac:dyDescent="0.2">
      <c r="A322" s="168" t="s">
        <v>325</v>
      </c>
      <c r="B322" s="10" t="s">
        <v>69</v>
      </c>
      <c r="C322" s="333" t="s">
        <v>15</v>
      </c>
      <c r="D322" s="11" t="s">
        <v>15</v>
      </c>
      <c r="E322" s="11" t="s">
        <v>15</v>
      </c>
      <c r="F322" s="11" t="s">
        <v>15</v>
      </c>
      <c r="G322" s="333" t="s">
        <v>15</v>
      </c>
      <c r="H322" s="11" t="s">
        <v>15</v>
      </c>
      <c r="I322" s="11" t="s">
        <v>15</v>
      </c>
      <c r="J322" s="11" t="s">
        <v>15</v>
      </c>
      <c r="K322" s="11" t="s">
        <v>15</v>
      </c>
      <c r="L322" s="11" t="s">
        <v>15</v>
      </c>
      <c r="M322" s="11" t="s">
        <v>15</v>
      </c>
      <c r="N322" s="11" t="s">
        <v>15</v>
      </c>
      <c r="O322" s="337">
        <f>SUM(C322:N322)</f>
        <v>0</v>
      </c>
    </row>
    <row r="323" spans="1:17" s="1" customFormat="1" ht="13.5" customHeight="1" x14ac:dyDescent="0.2">
      <c r="A323" s="9" t="s">
        <v>373</v>
      </c>
      <c r="B323" s="9" t="s">
        <v>69</v>
      </c>
      <c r="C323" s="8" t="s">
        <v>15</v>
      </c>
      <c r="D323" s="8" t="s">
        <v>15</v>
      </c>
      <c r="E323" s="8" t="s">
        <v>15</v>
      </c>
      <c r="F323" s="8" t="s">
        <v>15</v>
      </c>
      <c r="G323" s="8" t="s">
        <v>15</v>
      </c>
      <c r="H323" s="8" t="s">
        <v>15</v>
      </c>
      <c r="I323" s="8" t="s">
        <v>15</v>
      </c>
      <c r="J323" s="8" t="s">
        <v>15</v>
      </c>
      <c r="K323" s="8" t="s">
        <v>15</v>
      </c>
      <c r="L323" s="8" t="s">
        <v>15</v>
      </c>
      <c r="M323" s="8" t="s">
        <v>15</v>
      </c>
      <c r="N323" s="8" t="s">
        <v>15</v>
      </c>
      <c r="O323" s="8" t="s">
        <v>15</v>
      </c>
      <c r="Q323" s="281"/>
    </row>
    <row r="324" spans="1:17" s="1" customFormat="1" ht="13.5" customHeight="1" x14ac:dyDescent="0.2">
      <c r="A324" s="9" t="s">
        <v>377</v>
      </c>
      <c r="B324" s="9" t="s">
        <v>69</v>
      </c>
      <c r="C324" s="8" t="s">
        <v>15</v>
      </c>
      <c r="D324" s="8" t="s">
        <v>15</v>
      </c>
      <c r="E324" s="8" t="s">
        <v>15</v>
      </c>
      <c r="F324" s="8" t="s">
        <v>15</v>
      </c>
      <c r="G324" s="8" t="s">
        <v>15</v>
      </c>
      <c r="H324" s="8" t="s">
        <v>15</v>
      </c>
      <c r="I324" s="8" t="s">
        <v>15</v>
      </c>
      <c r="J324" s="8" t="s">
        <v>15</v>
      </c>
      <c r="K324" s="8" t="s">
        <v>15</v>
      </c>
      <c r="L324" s="8" t="s">
        <v>15</v>
      </c>
      <c r="M324" s="8" t="s">
        <v>15</v>
      </c>
      <c r="N324" s="8" t="s">
        <v>15</v>
      </c>
      <c r="O324" s="8" t="s">
        <v>15</v>
      </c>
      <c r="Q324" s="281"/>
    </row>
    <row r="325" spans="1:17" s="1" customFormat="1" ht="13.5" customHeight="1" x14ac:dyDescent="0.2">
      <c r="A325" s="356" t="s">
        <v>398</v>
      </c>
      <c r="B325" s="9" t="s">
        <v>69</v>
      </c>
      <c r="C325" s="8" t="s">
        <v>15</v>
      </c>
      <c r="D325" s="8" t="s">
        <v>15</v>
      </c>
      <c r="E325" s="8" t="s">
        <v>15</v>
      </c>
      <c r="F325" s="8" t="s">
        <v>15</v>
      </c>
      <c r="G325" s="8" t="s">
        <v>15</v>
      </c>
      <c r="H325" s="8" t="s">
        <v>15</v>
      </c>
      <c r="I325" s="8" t="s">
        <v>15</v>
      </c>
      <c r="J325" s="8" t="s">
        <v>15</v>
      </c>
      <c r="K325" s="8" t="s">
        <v>15</v>
      </c>
      <c r="L325" s="8" t="s">
        <v>15</v>
      </c>
      <c r="M325" s="8" t="s">
        <v>15</v>
      </c>
      <c r="N325" s="8" t="s">
        <v>15</v>
      </c>
      <c r="O325" s="8" t="s">
        <v>15</v>
      </c>
      <c r="Q325" s="281"/>
    </row>
    <row r="326" spans="1:17" x14ac:dyDescent="0.2">
      <c r="A326" s="12" t="s">
        <v>128</v>
      </c>
      <c r="B326" s="10" t="s">
        <v>69</v>
      </c>
      <c r="C326" s="11" t="s">
        <v>15</v>
      </c>
      <c r="D326" s="11" t="s">
        <v>15</v>
      </c>
      <c r="E326" s="11" t="s">
        <v>15</v>
      </c>
      <c r="F326" s="11" t="s">
        <v>15</v>
      </c>
      <c r="G326" s="11" t="s">
        <v>15</v>
      </c>
      <c r="H326" s="11" t="s">
        <v>15</v>
      </c>
      <c r="I326" s="11" t="s">
        <v>15</v>
      </c>
      <c r="J326" s="11" t="s">
        <v>15</v>
      </c>
      <c r="K326" s="11" t="s">
        <v>15</v>
      </c>
      <c r="L326" s="11" t="s">
        <v>15</v>
      </c>
      <c r="M326" s="11" t="s">
        <v>15</v>
      </c>
      <c r="N326" s="11" t="s">
        <v>15</v>
      </c>
      <c r="O326" s="337">
        <f>SUM(C326:N326)</f>
        <v>0</v>
      </c>
    </row>
    <row r="327" spans="1:17" x14ac:dyDescent="0.2">
      <c r="A327" s="12" t="s">
        <v>184</v>
      </c>
      <c r="B327" s="10" t="s">
        <v>69</v>
      </c>
      <c r="C327" s="11" t="s">
        <v>15</v>
      </c>
      <c r="D327" s="11" t="s">
        <v>15</v>
      </c>
      <c r="E327" s="11" t="s">
        <v>15</v>
      </c>
      <c r="F327" s="11" t="s">
        <v>15</v>
      </c>
      <c r="G327" s="11" t="s">
        <v>15</v>
      </c>
      <c r="H327" s="11" t="s">
        <v>15</v>
      </c>
      <c r="I327" s="11" t="s">
        <v>15</v>
      </c>
      <c r="J327" s="11" t="s">
        <v>15</v>
      </c>
      <c r="K327" s="11" t="s">
        <v>15</v>
      </c>
      <c r="L327" s="11" t="s">
        <v>15</v>
      </c>
      <c r="M327" s="11" t="s">
        <v>15</v>
      </c>
      <c r="N327" s="11" t="s">
        <v>15</v>
      </c>
      <c r="O327" s="337">
        <f>SUM(C327:N327)</f>
        <v>0</v>
      </c>
    </row>
    <row r="328" spans="1:17" x14ac:dyDescent="0.2">
      <c r="A328" s="12" t="s">
        <v>322</v>
      </c>
      <c r="B328" s="10" t="s">
        <v>69</v>
      </c>
      <c r="C328" s="11" t="s">
        <v>15</v>
      </c>
      <c r="D328" s="11" t="s">
        <v>15</v>
      </c>
      <c r="E328" s="11" t="s">
        <v>15</v>
      </c>
      <c r="F328" s="11" t="s">
        <v>15</v>
      </c>
      <c r="G328" s="11" t="s">
        <v>15</v>
      </c>
      <c r="H328" s="11" t="s">
        <v>15</v>
      </c>
      <c r="I328" s="11" t="s">
        <v>15</v>
      </c>
      <c r="J328" s="11" t="s">
        <v>15</v>
      </c>
      <c r="K328" s="11" t="s">
        <v>15</v>
      </c>
      <c r="L328" s="11" t="s">
        <v>15</v>
      </c>
      <c r="M328" s="11" t="s">
        <v>15</v>
      </c>
      <c r="N328" s="11" t="s">
        <v>15</v>
      </c>
      <c r="O328" s="337">
        <f>SUM(C328:N328)</f>
        <v>0</v>
      </c>
    </row>
    <row r="329" spans="1:17" ht="15" x14ac:dyDescent="0.25">
      <c r="A329" s="224" t="s">
        <v>116</v>
      </c>
      <c r="B329" s="10" t="s">
        <v>69</v>
      </c>
      <c r="C329" s="333" t="s">
        <v>15</v>
      </c>
      <c r="D329" s="11" t="s">
        <v>15</v>
      </c>
      <c r="E329" s="11" t="s">
        <v>15</v>
      </c>
      <c r="F329" s="11" t="s">
        <v>15</v>
      </c>
      <c r="G329" s="11" t="s">
        <v>15</v>
      </c>
      <c r="H329" s="11" t="s">
        <v>15</v>
      </c>
      <c r="I329" s="11" t="s">
        <v>15</v>
      </c>
      <c r="J329" s="11" t="s">
        <v>15</v>
      </c>
      <c r="K329" s="11" t="s">
        <v>15</v>
      </c>
      <c r="L329" s="11" t="s">
        <v>15</v>
      </c>
      <c r="M329" s="11" t="s">
        <v>15</v>
      </c>
      <c r="N329" s="11" t="s">
        <v>15</v>
      </c>
      <c r="O329" s="337">
        <f>SUM(C329:N329)</f>
        <v>0</v>
      </c>
    </row>
    <row r="330" spans="1:17" ht="15" x14ac:dyDescent="0.25">
      <c r="A330" s="224" t="s">
        <v>327</v>
      </c>
      <c r="B330" s="10" t="s">
        <v>69</v>
      </c>
      <c r="C330" s="333" t="s">
        <v>15</v>
      </c>
      <c r="D330" s="11" t="s">
        <v>15</v>
      </c>
      <c r="E330" s="11" t="s">
        <v>15</v>
      </c>
      <c r="F330" s="11" t="s">
        <v>15</v>
      </c>
      <c r="G330" s="11" t="s">
        <v>15</v>
      </c>
      <c r="H330" s="11" t="s">
        <v>15</v>
      </c>
      <c r="I330" s="11" t="s">
        <v>15</v>
      </c>
      <c r="J330" s="11" t="s">
        <v>15</v>
      </c>
      <c r="K330" s="11" t="s">
        <v>15</v>
      </c>
      <c r="L330" s="11" t="s">
        <v>15</v>
      </c>
      <c r="M330" s="11" t="s">
        <v>15</v>
      </c>
      <c r="N330" s="11" t="s">
        <v>15</v>
      </c>
      <c r="O330" s="337">
        <f>SUM(C330:N330)</f>
        <v>0</v>
      </c>
    </row>
    <row r="331" spans="1:17" ht="15" x14ac:dyDescent="0.25">
      <c r="A331" s="224" t="s">
        <v>328</v>
      </c>
      <c r="B331" s="10" t="s">
        <v>69</v>
      </c>
      <c r="C331" s="333" t="s">
        <v>15</v>
      </c>
      <c r="D331" s="11" t="s">
        <v>15</v>
      </c>
      <c r="E331" s="11" t="s">
        <v>15</v>
      </c>
      <c r="F331" s="11" t="s">
        <v>15</v>
      </c>
      <c r="G331" s="11" t="s">
        <v>15</v>
      </c>
      <c r="H331" s="11" t="s">
        <v>15</v>
      </c>
      <c r="I331" s="11" t="s">
        <v>15</v>
      </c>
      <c r="J331" s="11" t="s">
        <v>15</v>
      </c>
      <c r="K331" s="11" t="s">
        <v>15</v>
      </c>
      <c r="L331" s="11" t="s">
        <v>15</v>
      </c>
      <c r="M331" s="11" t="s">
        <v>15</v>
      </c>
      <c r="N331" s="11" t="s">
        <v>15</v>
      </c>
      <c r="O331" s="337">
        <f>SUM(C331:N331)</f>
        <v>0</v>
      </c>
    </row>
    <row r="332" spans="1:17" ht="15" x14ac:dyDescent="0.25">
      <c r="A332" s="224" t="s">
        <v>329</v>
      </c>
      <c r="B332" s="10" t="s">
        <v>69</v>
      </c>
      <c r="C332" s="333" t="s">
        <v>15</v>
      </c>
      <c r="D332" s="11" t="s">
        <v>15</v>
      </c>
      <c r="E332" s="11" t="s">
        <v>15</v>
      </c>
      <c r="F332" s="11" t="s">
        <v>15</v>
      </c>
      <c r="G332" s="11" t="s">
        <v>15</v>
      </c>
      <c r="H332" s="11" t="s">
        <v>15</v>
      </c>
      <c r="I332" s="11" t="s">
        <v>15</v>
      </c>
      <c r="J332" s="11" t="s">
        <v>15</v>
      </c>
      <c r="K332" s="11" t="s">
        <v>15</v>
      </c>
      <c r="L332" s="11" t="s">
        <v>15</v>
      </c>
      <c r="M332" s="11" t="s">
        <v>15</v>
      </c>
      <c r="N332" s="11" t="s">
        <v>15</v>
      </c>
      <c r="O332" s="337">
        <f>SUM(C332:N332)</f>
        <v>0</v>
      </c>
    </row>
    <row r="333" spans="1:17" ht="15" x14ac:dyDescent="0.25">
      <c r="A333" s="224" t="s">
        <v>330</v>
      </c>
      <c r="B333" s="10" t="s">
        <v>69</v>
      </c>
      <c r="C333" s="333" t="s">
        <v>15</v>
      </c>
      <c r="D333" s="11" t="s">
        <v>15</v>
      </c>
      <c r="E333" s="11" t="s">
        <v>15</v>
      </c>
      <c r="F333" s="11" t="s">
        <v>15</v>
      </c>
      <c r="G333" s="11" t="s">
        <v>15</v>
      </c>
      <c r="H333" s="11" t="s">
        <v>15</v>
      </c>
      <c r="I333" s="11" t="s">
        <v>15</v>
      </c>
      <c r="J333" s="11" t="s">
        <v>15</v>
      </c>
      <c r="K333" s="11" t="s">
        <v>15</v>
      </c>
      <c r="L333" s="11" t="s">
        <v>15</v>
      </c>
      <c r="M333" s="11" t="s">
        <v>15</v>
      </c>
      <c r="N333" s="11" t="s">
        <v>15</v>
      </c>
      <c r="O333" s="337">
        <f>SUM(C333:N333)</f>
        <v>0</v>
      </c>
    </row>
    <row r="334" spans="1:17" ht="15" x14ac:dyDescent="0.25">
      <c r="A334" s="224" t="s">
        <v>343</v>
      </c>
      <c r="B334" s="10" t="s">
        <v>69</v>
      </c>
      <c r="C334" s="333" t="s">
        <v>15</v>
      </c>
      <c r="D334" s="11" t="s">
        <v>15</v>
      </c>
      <c r="E334" s="11" t="s">
        <v>15</v>
      </c>
      <c r="F334" s="11" t="s">
        <v>15</v>
      </c>
      <c r="G334" s="11" t="s">
        <v>15</v>
      </c>
      <c r="H334" s="11" t="s">
        <v>15</v>
      </c>
      <c r="I334" s="11" t="s">
        <v>15</v>
      </c>
      <c r="J334" s="11" t="s">
        <v>15</v>
      </c>
      <c r="K334" s="11" t="s">
        <v>15</v>
      </c>
      <c r="L334" s="11" t="s">
        <v>15</v>
      </c>
      <c r="M334" s="11" t="s">
        <v>15</v>
      </c>
      <c r="N334" s="11" t="s">
        <v>15</v>
      </c>
      <c r="O334" s="337">
        <f>SUM(C334:N334)</f>
        <v>0</v>
      </c>
    </row>
    <row r="335" spans="1:17" ht="12.75" customHeight="1" x14ac:dyDescent="0.2">
      <c r="A335" s="260" t="s">
        <v>413</v>
      </c>
      <c r="B335" s="10" t="s">
        <v>69</v>
      </c>
      <c r="C335" s="333" t="s">
        <v>15</v>
      </c>
      <c r="D335" s="11" t="s">
        <v>15</v>
      </c>
      <c r="E335" s="11" t="s">
        <v>15</v>
      </c>
      <c r="F335" s="11" t="s">
        <v>15</v>
      </c>
      <c r="G335" s="11" t="s">
        <v>15</v>
      </c>
      <c r="H335" s="11" t="s">
        <v>15</v>
      </c>
      <c r="I335" s="11" t="s">
        <v>15</v>
      </c>
      <c r="J335" s="11" t="s">
        <v>15</v>
      </c>
      <c r="K335" s="11" t="s">
        <v>15</v>
      </c>
      <c r="L335" s="11" t="s">
        <v>15</v>
      </c>
      <c r="M335" s="11" t="s">
        <v>15</v>
      </c>
      <c r="N335" s="11" t="s">
        <v>15</v>
      </c>
      <c r="O335" s="337" t="s">
        <v>15</v>
      </c>
      <c r="Q335" s="260" t="s">
        <v>428</v>
      </c>
    </row>
    <row r="336" spans="1:17" ht="12.75" customHeight="1" x14ac:dyDescent="0.2">
      <c r="A336" s="260" t="s">
        <v>399</v>
      </c>
      <c r="B336" s="10" t="s">
        <v>69</v>
      </c>
      <c r="C336" s="333" t="s">
        <v>15</v>
      </c>
      <c r="D336" s="11" t="s">
        <v>15</v>
      </c>
      <c r="E336" s="11" t="s">
        <v>15</v>
      </c>
      <c r="F336" s="11" t="s">
        <v>15</v>
      </c>
      <c r="G336" s="11" t="s">
        <v>15</v>
      </c>
      <c r="H336" s="11" t="s">
        <v>15</v>
      </c>
      <c r="I336" s="11" t="s">
        <v>15</v>
      </c>
      <c r="J336" s="11" t="s">
        <v>15</v>
      </c>
      <c r="K336" s="11" t="s">
        <v>15</v>
      </c>
      <c r="L336" s="11" t="s">
        <v>15</v>
      </c>
      <c r="M336" s="11" t="s">
        <v>15</v>
      </c>
      <c r="N336" s="11" t="s">
        <v>15</v>
      </c>
      <c r="O336" s="337" t="s">
        <v>15</v>
      </c>
      <c r="Q336" s="260" t="s">
        <v>428</v>
      </c>
    </row>
    <row r="337" spans="1:17" ht="12.75" customHeight="1" x14ac:dyDescent="0.2">
      <c r="A337" s="15" t="s">
        <v>400</v>
      </c>
      <c r="B337" s="10" t="s">
        <v>69</v>
      </c>
      <c r="C337" s="333" t="s">
        <v>15</v>
      </c>
      <c r="D337" s="11" t="s">
        <v>15</v>
      </c>
      <c r="E337" s="11" t="s">
        <v>15</v>
      </c>
      <c r="F337" s="11" t="s">
        <v>15</v>
      </c>
      <c r="G337" s="11" t="s">
        <v>15</v>
      </c>
      <c r="H337" s="11" t="s">
        <v>15</v>
      </c>
      <c r="I337" s="11" t="s">
        <v>15</v>
      </c>
      <c r="J337" s="11" t="s">
        <v>15</v>
      </c>
      <c r="K337" s="11" t="s">
        <v>15</v>
      </c>
      <c r="L337" s="11" t="s">
        <v>15</v>
      </c>
      <c r="M337" s="11" t="s">
        <v>15</v>
      </c>
      <c r="N337" s="11" t="s">
        <v>15</v>
      </c>
      <c r="O337" s="337" t="s">
        <v>15</v>
      </c>
      <c r="Q337" s="260" t="s">
        <v>428</v>
      </c>
    </row>
    <row r="338" spans="1:17" ht="12.75" customHeight="1" x14ac:dyDescent="0.2">
      <c r="A338" s="15" t="s">
        <v>401</v>
      </c>
      <c r="B338" s="10" t="s">
        <v>69</v>
      </c>
      <c r="C338" s="333" t="s">
        <v>15</v>
      </c>
      <c r="D338" s="11" t="s">
        <v>15</v>
      </c>
      <c r="E338" s="11" t="s">
        <v>15</v>
      </c>
      <c r="F338" s="11" t="s">
        <v>15</v>
      </c>
      <c r="G338" s="11" t="s">
        <v>15</v>
      </c>
      <c r="H338" s="11" t="s">
        <v>15</v>
      </c>
      <c r="I338" s="11" t="s">
        <v>15</v>
      </c>
      <c r="J338" s="11" t="s">
        <v>15</v>
      </c>
      <c r="K338" s="11" t="s">
        <v>15</v>
      </c>
      <c r="L338" s="11" t="s">
        <v>15</v>
      </c>
      <c r="M338" s="11" t="s">
        <v>15</v>
      </c>
      <c r="N338" s="11" t="s">
        <v>15</v>
      </c>
      <c r="O338" s="337" t="s">
        <v>15</v>
      </c>
      <c r="Q338" s="260" t="s">
        <v>428</v>
      </c>
    </row>
    <row r="339" spans="1:17" ht="12.75" customHeight="1" x14ac:dyDescent="0.2">
      <c r="A339" s="15" t="s">
        <v>402</v>
      </c>
      <c r="B339" s="10" t="s">
        <v>69</v>
      </c>
      <c r="C339" s="333" t="s">
        <v>15</v>
      </c>
      <c r="D339" s="11" t="s">
        <v>15</v>
      </c>
      <c r="E339" s="11" t="s">
        <v>15</v>
      </c>
      <c r="F339" s="11" t="s">
        <v>15</v>
      </c>
      <c r="G339" s="11" t="s">
        <v>15</v>
      </c>
      <c r="H339" s="11" t="s">
        <v>15</v>
      </c>
      <c r="I339" s="11" t="s">
        <v>15</v>
      </c>
      <c r="J339" s="11" t="s">
        <v>15</v>
      </c>
      <c r="K339" s="11" t="s">
        <v>15</v>
      </c>
      <c r="L339" s="11" t="s">
        <v>15</v>
      </c>
      <c r="M339" s="11" t="s">
        <v>15</v>
      </c>
      <c r="N339" s="11" t="s">
        <v>15</v>
      </c>
      <c r="O339" s="337" t="s">
        <v>15</v>
      </c>
      <c r="Q339" s="260" t="s">
        <v>428</v>
      </c>
    </row>
    <row r="340" spans="1:17" ht="12.75" customHeight="1" x14ac:dyDescent="0.2">
      <c r="A340" s="15" t="s">
        <v>403</v>
      </c>
      <c r="B340" s="10" t="s">
        <v>69</v>
      </c>
      <c r="C340" s="333" t="s">
        <v>15</v>
      </c>
      <c r="D340" s="11" t="s">
        <v>15</v>
      </c>
      <c r="E340" s="11" t="s">
        <v>15</v>
      </c>
      <c r="F340" s="11" t="s">
        <v>15</v>
      </c>
      <c r="G340" s="11" t="s">
        <v>15</v>
      </c>
      <c r="H340" s="11" t="s">
        <v>15</v>
      </c>
      <c r="I340" s="11" t="s">
        <v>15</v>
      </c>
      <c r="J340" s="11" t="s">
        <v>15</v>
      </c>
      <c r="K340" s="11" t="s">
        <v>15</v>
      </c>
      <c r="L340" s="11" t="s">
        <v>15</v>
      </c>
      <c r="M340" s="11" t="s">
        <v>15</v>
      </c>
      <c r="N340" s="11" t="s">
        <v>15</v>
      </c>
      <c r="O340" s="337" t="s">
        <v>15</v>
      </c>
      <c r="Q340" s="260" t="s">
        <v>428</v>
      </c>
    </row>
    <row r="341" spans="1:17" ht="12.75" customHeight="1" x14ac:dyDescent="0.2">
      <c r="A341" s="15" t="s">
        <v>404</v>
      </c>
      <c r="B341" s="10" t="s">
        <v>69</v>
      </c>
      <c r="C341" s="333" t="s">
        <v>15</v>
      </c>
      <c r="D341" s="11" t="s">
        <v>15</v>
      </c>
      <c r="E341" s="11" t="s">
        <v>15</v>
      </c>
      <c r="F341" s="11" t="s">
        <v>15</v>
      </c>
      <c r="G341" s="11" t="s">
        <v>15</v>
      </c>
      <c r="H341" s="11" t="s">
        <v>15</v>
      </c>
      <c r="I341" s="11" t="s">
        <v>15</v>
      </c>
      <c r="J341" s="11" t="s">
        <v>15</v>
      </c>
      <c r="K341" s="11" t="s">
        <v>15</v>
      </c>
      <c r="L341" s="11" t="s">
        <v>15</v>
      </c>
      <c r="M341" s="11" t="s">
        <v>15</v>
      </c>
      <c r="N341" s="11" t="s">
        <v>15</v>
      </c>
      <c r="O341" s="337" t="s">
        <v>15</v>
      </c>
      <c r="Q341" s="260" t="s">
        <v>428</v>
      </c>
    </row>
    <row r="342" spans="1:17" ht="12.75" customHeight="1" x14ac:dyDescent="0.2">
      <c r="A342" s="15" t="s">
        <v>405</v>
      </c>
      <c r="B342" s="10" t="s">
        <v>69</v>
      </c>
      <c r="C342" s="333" t="s">
        <v>15</v>
      </c>
      <c r="D342" s="11" t="s">
        <v>15</v>
      </c>
      <c r="E342" s="11" t="s">
        <v>15</v>
      </c>
      <c r="F342" s="11" t="s">
        <v>15</v>
      </c>
      <c r="G342" s="11" t="s">
        <v>15</v>
      </c>
      <c r="H342" s="11" t="s">
        <v>15</v>
      </c>
      <c r="I342" s="11" t="s">
        <v>15</v>
      </c>
      <c r="J342" s="11" t="s">
        <v>15</v>
      </c>
      <c r="K342" s="11" t="s">
        <v>15</v>
      </c>
      <c r="L342" s="11" t="s">
        <v>15</v>
      </c>
      <c r="M342" s="11" t="s">
        <v>15</v>
      </c>
      <c r="N342" s="11" t="s">
        <v>15</v>
      </c>
      <c r="O342" s="337" t="s">
        <v>15</v>
      </c>
      <c r="Q342" s="260" t="s">
        <v>428</v>
      </c>
    </row>
    <row r="343" spans="1:17" ht="12.75" customHeight="1" x14ac:dyDescent="0.2">
      <c r="A343" s="15" t="s">
        <v>406</v>
      </c>
      <c r="B343" s="10" t="s">
        <v>69</v>
      </c>
      <c r="C343" s="333" t="s">
        <v>15</v>
      </c>
      <c r="D343" s="11" t="s">
        <v>15</v>
      </c>
      <c r="E343" s="11" t="s">
        <v>15</v>
      </c>
      <c r="F343" s="11" t="s">
        <v>15</v>
      </c>
      <c r="G343" s="11" t="s">
        <v>15</v>
      </c>
      <c r="H343" s="11" t="s">
        <v>15</v>
      </c>
      <c r="I343" s="11" t="s">
        <v>15</v>
      </c>
      <c r="J343" s="11" t="s">
        <v>15</v>
      </c>
      <c r="K343" s="11" t="s">
        <v>15</v>
      </c>
      <c r="L343" s="11" t="s">
        <v>15</v>
      </c>
      <c r="M343" s="11" t="s">
        <v>15</v>
      </c>
      <c r="N343" s="11" t="s">
        <v>15</v>
      </c>
      <c r="O343" s="337" t="s">
        <v>15</v>
      </c>
      <c r="Q343" s="260" t="s">
        <v>428</v>
      </c>
    </row>
    <row r="344" spans="1:17" ht="12.75" customHeight="1" x14ac:dyDescent="0.2">
      <c r="A344" s="15" t="s">
        <v>411</v>
      </c>
      <c r="B344" s="10" t="s">
        <v>69</v>
      </c>
      <c r="C344" s="333" t="s">
        <v>15</v>
      </c>
      <c r="D344" s="11" t="s">
        <v>15</v>
      </c>
      <c r="E344" s="11" t="s">
        <v>15</v>
      </c>
      <c r="F344" s="11" t="s">
        <v>15</v>
      </c>
      <c r="G344" s="11" t="s">
        <v>15</v>
      </c>
      <c r="H344" s="11" t="s">
        <v>15</v>
      </c>
      <c r="I344" s="11" t="s">
        <v>15</v>
      </c>
      <c r="J344" s="11" t="s">
        <v>15</v>
      </c>
      <c r="K344" s="11" t="s">
        <v>15</v>
      </c>
      <c r="L344" s="11" t="s">
        <v>15</v>
      </c>
      <c r="M344" s="11" t="s">
        <v>15</v>
      </c>
      <c r="N344" s="11" t="s">
        <v>15</v>
      </c>
      <c r="O344" s="337" t="s">
        <v>15</v>
      </c>
      <c r="Q344" s="260" t="s">
        <v>428</v>
      </c>
    </row>
    <row r="345" spans="1:17" ht="12.75" customHeight="1" x14ac:dyDescent="0.2">
      <c r="A345" s="260" t="s">
        <v>412</v>
      </c>
      <c r="B345" s="10" t="s">
        <v>69</v>
      </c>
      <c r="C345" s="333" t="s">
        <v>15</v>
      </c>
      <c r="D345" s="11" t="s">
        <v>15</v>
      </c>
      <c r="E345" s="11" t="s">
        <v>15</v>
      </c>
      <c r="F345" s="11" t="s">
        <v>15</v>
      </c>
      <c r="G345" s="11" t="s">
        <v>15</v>
      </c>
      <c r="H345" s="11" t="s">
        <v>15</v>
      </c>
      <c r="I345" s="11" t="s">
        <v>15</v>
      </c>
      <c r="J345" s="11" t="s">
        <v>15</v>
      </c>
      <c r="K345" s="11" t="s">
        <v>15</v>
      </c>
      <c r="L345" s="11" t="s">
        <v>15</v>
      </c>
      <c r="M345" s="11" t="s">
        <v>15</v>
      </c>
      <c r="N345" s="11" t="s">
        <v>15</v>
      </c>
      <c r="O345" s="337" t="s">
        <v>15</v>
      </c>
      <c r="Q345" s="260" t="s">
        <v>428</v>
      </c>
    </row>
    <row r="346" spans="1:17" ht="12.75" customHeight="1" x14ac:dyDescent="0.2">
      <c r="A346" s="15" t="s">
        <v>415</v>
      </c>
      <c r="B346" s="10" t="s">
        <v>69</v>
      </c>
      <c r="C346" s="333" t="s">
        <v>15</v>
      </c>
      <c r="D346" s="11" t="s">
        <v>15</v>
      </c>
      <c r="E346" s="11" t="s">
        <v>15</v>
      </c>
      <c r="F346" s="11" t="s">
        <v>15</v>
      </c>
      <c r="G346" s="11" t="s">
        <v>15</v>
      </c>
      <c r="H346" s="11" t="s">
        <v>15</v>
      </c>
      <c r="I346" s="11" t="s">
        <v>15</v>
      </c>
      <c r="J346" s="11" t="s">
        <v>15</v>
      </c>
      <c r="K346" s="11" t="s">
        <v>15</v>
      </c>
      <c r="L346" s="11" t="s">
        <v>15</v>
      </c>
      <c r="M346" s="11" t="s">
        <v>15</v>
      </c>
      <c r="N346" s="11" t="s">
        <v>15</v>
      </c>
      <c r="O346" s="337" t="s">
        <v>15</v>
      </c>
      <c r="Q346" s="260" t="s">
        <v>428</v>
      </c>
    </row>
    <row r="347" spans="1:17" ht="12.75" customHeight="1" x14ac:dyDescent="0.2">
      <c r="A347" s="15" t="s">
        <v>416</v>
      </c>
      <c r="B347" s="10" t="s">
        <v>69</v>
      </c>
      <c r="C347" s="333" t="s">
        <v>15</v>
      </c>
      <c r="D347" s="11" t="s">
        <v>15</v>
      </c>
      <c r="E347" s="11" t="s">
        <v>15</v>
      </c>
      <c r="F347" s="11" t="s">
        <v>15</v>
      </c>
      <c r="G347" s="11" t="s">
        <v>15</v>
      </c>
      <c r="H347" s="11" t="s">
        <v>15</v>
      </c>
      <c r="I347" s="11" t="s">
        <v>15</v>
      </c>
      <c r="J347" s="11" t="s">
        <v>15</v>
      </c>
      <c r="K347" s="11" t="s">
        <v>15</v>
      </c>
      <c r="L347" s="11" t="s">
        <v>15</v>
      </c>
      <c r="M347" s="11" t="s">
        <v>15</v>
      </c>
      <c r="N347" s="11" t="s">
        <v>15</v>
      </c>
      <c r="O347" s="337" t="s">
        <v>15</v>
      </c>
      <c r="Q347" s="260" t="s">
        <v>428</v>
      </c>
    </row>
    <row r="348" spans="1:17" ht="12.75" customHeight="1" x14ac:dyDescent="0.2">
      <c r="A348" s="15" t="s">
        <v>407</v>
      </c>
      <c r="B348" s="10" t="s">
        <v>69</v>
      </c>
      <c r="C348" s="333" t="s">
        <v>15</v>
      </c>
      <c r="D348" s="11" t="s">
        <v>15</v>
      </c>
      <c r="E348" s="11" t="s">
        <v>15</v>
      </c>
      <c r="F348" s="11" t="s">
        <v>15</v>
      </c>
      <c r="G348" s="11" t="s">
        <v>15</v>
      </c>
      <c r="H348" s="11" t="s">
        <v>15</v>
      </c>
      <c r="I348" s="11" t="s">
        <v>15</v>
      </c>
      <c r="J348" s="11" t="s">
        <v>15</v>
      </c>
      <c r="K348" s="11" t="s">
        <v>15</v>
      </c>
      <c r="L348" s="11" t="s">
        <v>15</v>
      </c>
      <c r="M348" s="11" t="s">
        <v>15</v>
      </c>
      <c r="N348" s="11" t="s">
        <v>15</v>
      </c>
      <c r="O348" s="337" t="s">
        <v>15</v>
      </c>
      <c r="Q348" s="260" t="s">
        <v>428</v>
      </c>
    </row>
    <row r="349" spans="1:17" ht="12.75" customHeight="1" x14ac:dyDescent="0.2">
      <c r="A349" s="15" t="s">
        <v>408</v>
      </c>
      <c r="B349" s="10" t="s">
        <v>69</v>
      </c>
      <c r="C349" s="333" t="s">
        <v>15</v>
      </c>
      <c r="D349" s="11" t="s">
        <v>15</v>
      </c>
      <c r="E349" s="11" t="s">
        <v>15</v>
      </c>
      <c r="F349" s="11" t="s">
        <v>15</v>
      </c>
      <c r="G349" s="11" t="s">
        <v>15</v>
      </c>
      <c r="H349" s="11" t="s">
        <v>15</v>
      </c>
      <c r="I349" s="11" t="s">
        <v>15</v>
      </c>
      <c r="J349" s="11" t="s">
        <v>15</v>
      </c>
      <c r="K349" s="11" t="s">
        <v>15</v>
      </c>
      <c r="L349" s="11" t="s">
        <v>15</v>
      </c>
      <c r="M349" s="11" t="s">
        <v>15</v>
      </c>
      <c r="N349" s="11" t="s">
        <v>15</v>
      </c>
      <c r="O349" s="337" t="s">
        <v>15</v>
      </c>
      <c r="Q349" s="260" t="s">
        <v>428</v>
      </c>
    </row>
    <row r="350" spans="1:17" ht="12.75" customHeight="1" x14ac:dyDescent="0.2">
      <c r="A350" s="15" t="s">
        <v>409</v>
      </c>
      <c r="B350" s="10" t="s">
        <v>69</v>
      </c>
      <c r="C350" s="333" t="s">
        <v>15</v>
      </c>
      <c r="D350" s="11" t="s">
        <v>15</v>
      </c>
      <c r="E350" s="11" t="s">
        <v>15</v>
      </c>
      <c r="F350" s="11" t="s">
        <v>15</v>
      </c>
      <c r="G350" s="11" t="s">
        <v>15</v>
      </c>
      <c r="H350" s="11" t="s">
        <v>15</v>
      </c>
      <c r="I350" s="11" t="s">
        <v>15</v>
      </c>
      <c r="J350" s="11" t="s">
        <v>15</v>
      </c>
      <c r="K350" s="11" t="s">
        <v>15</v>
      </c>
      <c r="L350" s="11" t="s">
        <v>15</v>
      </c>
      <c r="M350" s="11" t="s">
        <v>15</v>
      </c>
      <c r="N350" s="11" t="s">
        <v>15</v>
      </c>
      <c r="O350" s="337" t="s">
        <v>15</v>
      </c>
      <c r="Q350" s="260" t="s">
        <v>428</v>
      </c>
    </row>
    <row r="351" spans="1:17" ht="12.75" customHeight="1" x14ac:dyDescent="0.2">
      <c r="A351" s="15" t="s">
        <v>410</v>
      </c>
      <c r="B351" s="10" t="s">
        <v>69</v>
      </c>
      <c r="C351" s="333" t="s">
        <v>15</v>
      </c>
      <c r="D351" s="11" t="s">
        <v>15</v>
      </c>
      <c r="E351" s="11" t="s">
        <v>15</v>
      </c>
      <c r="F351" s="11" t="s">
        <v>15</v>
      </c>
      <c r="G351" s="11" t="s">
        <v>15</v>
      </c>
      <c r="H351" s="11" t="s">
        <v>15</v>
      </c>
      <c r="I351" s="11" t="s">
        <v>15</v>
      </c>
      <c r="J351" s="11" t="s">
        <v>15</v>
      </c>
      <c r="K351" s="11" t="s">
        <v>15</v>
      </c>
      <c r="L351" s="11" t="s">
        <v>15</v>
      </c>
      <c r="M351" s="11" t="s">
        <v>15</v>
      </c>
      <c r="N351" s="11" t="s">
        <v>15</v>
      </c>
      <c r="O351" s="337" t="s">
        <v>15</v>
      </c>
      <c r="Q351" s="260" t="s">
        <v>428</v>
      </c>
    </row>
    <row r="352" spans="1:17" ht="12.75" customHeight="1" x14ac:dyDescent="0.2">
      <c r="A352" s="260" t="s">
        <v>425</v>
      </c>
      <c r="B352" s="10" t="s">
        <v>69</v>
      </c>
      <c r="C352" s="333" t="s">
        <v>15</v>
      </c>
      <c r="D352" s="11" t="s">
        <v>15</v>
      </c>
      <c r="E352" s="11" t="s">
        <v>15</v>
      </c>
      <c r="F352" s="11" t="s">
        <v>15</v>
      </c>
      <c r="G352" s="11" t="s">
        <v>15</v>
      </c>
      <c r="H352" s="11" t="s">
        <v>15</v>
      </c>
      <c r="I352" s="11" t="s">
        <v>15</v>
      </c>
      <c r="J352" s="11" t="s">
        <v>15</v>
      </c>
      <c r="K352" s="11" t="s">
        <v>15</v>
      </c>
      <c r="L352" s="11" t="s">
        <v>15</v>
      </c>
      <c r="M352" s="11" t="s">
        <v>15</v>
      </c>
      <c r="N352" s="11" t="s">
        <v>15</v>
      </c>
      <c r="O352" s="337" t="s">
        <v>15</v>
      </c>
      <c r="Q352" s="260" t="s">
        <v>429</v>
      </c>
    </row>
    <row r="353" spans="1:17" ht="12.75" customHeight="1" x14ac:dyDescent="0.2">
      <c r="A353" s="260" t="s">
        <v>426</v>
      </c>
      <c r="B353" s="10" t="s">
        <v>69</v>
      </c>
      <c r="C353" s="333" t="s">
        <v>15</v>
      </c>
      <c r="D353" s="11" t="s">
        <v>15</v>
      </c>
      <c r="E353" s="11" t="s">
        <v>15</v>
      </c>
      <c r="F353" s="11" t="s">
        <v>15</v>
      </c>
      <c r="G353" s="11" t="s">
        <v>15</v>
      </c>
      <c r="H353" s="11" t="s">
        <v>15</v>
      </c>
      <c r="I353" s="11" t="s">
        <v>15</v>
      </c>
      <c r="J353" s="11" t="s">
        <v>15</v>
      </c>
      <c r="K353" s="11" t="s">
        <v>15</v>
      </c>
      <c r="L353" s="11" t="s">
        <v>15</v>
      </c>
      <c r="M353" s="11" t="s">
        <v>15</v>
      </c>
      <c r="N353" s="11" t="s">
        <v>15</v>
      </c>
      <c r="O353" s="337" t="s">
        <v>15</v>
      </c>
      <c r="Q353" s="260" t="s">
        <v>429</v>
      </c>
    </row>
    <row r="354" spans="1:17" ht="12.75" customHeight="1" x14ac:dyDescent="0.2">
      <c r="A354" s="260" t="s">
        <v>414</v>
      </c>
      <c r="B354" s="10" t="s">
        <v>69</v>
      </c>
      <c r="C354" s="333" t="s">
        <v>15</v>
      </c>
      <c r="D354" s="11" t="s">
        <v>15</v>
      </c>
      <c r="E354" s="11" t="s">
        <v>15</v>
      </c>
      <c r="F354" s="11" t="s">
        <v>15</v>
      </c>
      <c r="G354" s="11" t="s">
        <v>15</v>
      </c>
      <c r="H354" s="11" t="s">
        <v>15</v>
      </c>
      <c r="I354" s="11" t="s">
        <v>15</v>
      </c>
      <c r="J354" s="11" t="s">
        <v>15</v>
      </c>
      <c r="K354" s="11" t="s">
        <v>15</v>
      </c>
      <c r="L354" s="11" t="s">
        <v>15</v>
      </c>
      <c r="M354" s="11" t="s">
        <v>15</v>
      </c>
      <c r="N354" s="11" t="s">
        <v>15</v>
      </c>
      <c r="O354" s="337" t="s">
        <v>15</v>
      </c>
      <c r="Q354" s="260" t="s">
        <v>428</v>
      </c>
    </row>
    <row r="355" spans="1:17" ht="12.75" customHeight="1" x14ac:dyDescent="0.2">
      <c r="A355" s="260" t="s">
        <v>420</v>
      </c>
      <c r="B355" s="10" t="s">
        <v>69</v>
      </c>
      <c r="C355" s="333" t="s">
        <v>15</v>
      </c>
      <c r="D355" s="11" t="s">
        <v>15</v>
      </c>
      <c r="E355" s="11" t="s">
        <v>15</v>
      </c>
      <c r="F355" s="11" t="s">
        <v>15</v>
      </c>
      <c r="G355" s="11" t="s">
        <v>15</v>
      </c>
      <c r="H355" s="11" t="s">
        <v>15</v>
      </c>
      <c r="I355" s="11" t="s">
        <v>15</v>
      </c>
      <c r="J355" s="11" t="s">
        <v>15</v>
      </c>
      <c r="K355" s="11" t="s">
        <v>15</v>
      </c>
      <c r="L355" s="11" t="s">
        <v>15</v>
      </c>
      <c r="M355" s="11" t="s">
        <v>15</v>
      </c>
      <c r="N355" s="11" t="s">
        <v>15</v>
      </c>
      <c r="O355" s="337" t="s">
        <v>15</v>
      </c>
      <c r="Q355" s="260" t="s">
        <v>149</v>
      </c>
    </row>
    <row r="356" spans="1:17" ht="12.75" customHeight="1" x14ac:dyDescent="0.2">
      <c r="A356" s="15" t="s">
        <v>418</v>
      </c>
      <c r="B356" s="10" t="s">
        <v>69</v>
      </c>
      <c r="C356" s="333" t="s">
        <v>15</v>
      </c>
      <c r="D356" s="11" t="s">
        <v>15</v>
      </c>
      <c r="E356" s="11" t="s">
        <v>15</v>
      </c>
      <c r="F356" s="11" t="s">
        <v>15</v>
      </c>
      <c r="G356" s="11" t="s">
        <v>15</v>
      </c>
      <c r="H356" s="11" t="s">
        <v>15</v>
      </c>
      <c r="I356" s="11" t="s">
        <v>15</v>
      </c>
      <c r="J356" s="11" t="s">
        <v>15</v>
      </c>
      <c r="K356" s="11" t="s">
        <v>15</v>
      </c>
      <c r="L356" s="11" t="s">
        <v>15</v>
      </c>
      <c r="M356" s="11" t="s">
        <v>15</v>
      </c>
      <c r="N356" s="11" t="s">
        <v>15</v>
      </c>
      <c r="O356" s="337" t="s">
        <v>15</v>
      </c>
      <c r="Q356" s="260" t="s">
        <v>149</v>
      </c>
    </row>
    <row r="357" spans="1:17" ht="12.75" customHeight="1" x14ac:dyDescent="0.2">
      <c r="A357" s="15" t="s">
        <v>417</v>
      </c>
      <c r="B357" s="10" t="s">
        <v>69</v>
      </c>
      <c r="C357" s="333" t="s">
        <v>15</v>
      </c>
      <c r="D357" s="11" t="s">
        <v>15</v>
      </c>
      <c r="E357" s="11" t="s">
        <v>15</v>
      </c>
      <c r="F357" s="11" t="s">
        <v>15</v>
      </c>
      <c r="G357" s="11" t="s">
        <v>15</v>
      </c>
      <c r="H357" s="11" t="s">
        <v>15</v>
      </c>
      <c r="I357" s="11" t="s">
        <v>15</v>
      </c>
      <c r="J357" s="11" t="s">
        <v>15</v>
      </c>
      <c r="K357" s="11" t="s">
        <v>15</v>
      </c>
      <c r="L357" s="11" t="s">
        <v>15</v>
      </c>
      <c r="M357" s="11" t="s">
        <v>15</v>
      </c>
      <c r="N357" s="11" t="s">
        <v>15</v>
      </c>
      <c r="O357" s="337" t="s">
        <v>15</v>
      </c>
      <c r="Q357" s="260" t="s">
        <v>149</v>
      </c>
    </row>
    <row r="358" spans="1:17" ht="12.75" customHeight="1" x14ac:dyDescent="0.2">
      <c r="A358" s="260" t="s">
        <v>427</v>
      </c>
      <c r="B358" s="10" t="s">
        <v>69</v>
      </c>
      <c r="C358" s="333" t="s">
        <v>15</v>
      </c>
      <c r="D358" s="11" t="s">
        <v>15</v>
      </c>
      <c r="E358" s="11" t="s">
        <v>15</v>
      </c>
      <c r="F358" s="11" t="s">
        <v>15</v>
      </c>
      <c r="G358" s="11" t="s">
        <v>15</v>
      </c>
      <c r="H358" s="11" t="s">
        <v>15</v>
      </c>
      <c r="I358" s="11" t="s">
        <v>15</v>
      </c>
      <c r="J358" s="11" t="s">
        <v>15</v>
      </c>
      <c r="K358" s="11" t="s">
        <v>15</v>
      </c>
      <c r="L358" s="11" t="s">
        <v>15</v>
      </c>
      <c r="M358" s="11" t="s">
        <v>15</v>
      </c>
      <c r="N358" s="11" t="s">
        <v>15</v>
      </c>
      <c r="O358" s="337" t="s">
        <v>15</v>
      </c>
      <c r="Q358" s="260" t="s">
        <v>149</v>
      </c>
    </row>
    <row r="359" spans="1:17" ht="12.75" customHeight="1" x14ac:dyDescent="0.2">
      <c r="A359" s="260" t="s">
        <v>421</v>
      </c>
      <c r="B359" s="10" t="s">
        <v>69</v>
      </c>
      <c r="C359" s="333" t="s">
        <v>15</v>
      </c>
      <c r="D359" s="11" t="s">
        <v>15</v>
      </c>
      <c r="E359" s="11" t="s">
        <v>15</v>
      </c>
      <c r="F359" s="11" t="s">
        <v>15</v>
      </c>
      <c r="G359" s="11" t="s">
        <v>15</v>
      </c>
      <c r="H359" s="11" t="s">
        <v>15</v>
      </c>
      <c r="I359" s="11" t="s">
        <v>15</v>
      </c>
      <c r="J359" s="11" t="s">
        <v>15</v>
      </c>
      <c r="K359" s="11" t="s">
        <v>15</v>
      </c>
      <c r="L359" s="11" t="s">
        <v>15</v>
      </c>
      <c r="M359" s="11" t="s">
        <v>15</v>
      </c>
      <c r="N359" s="11" t="s">
        <v>15</v>
      </c>
      <c r="O359" s="337" t="s">
        <v>15</v>
      </c>
      <c r="Q359" s="260" t="s">
        <v>149</v>
      </c>
    </row>
    <row r="360" spans="1:17" ht="12.75" customHeight="1" x14ac:dyDescent="0.2">
      <c r="A360" s="15" t="s">
        <v>422</v>
      </c>
      <c r="B360" s="10" t="s">
        <v>69</v>
      </c>
      <c r="C360" s="333" t="s">
        <v>15</v>
      </c>
      <c r="D360" s="11" t="s">
        <v>15</v>
      </c>
      <c r="E360" s="11" t="s">
        <v>15</v>
      </c>
      <c r="F360" s="11" t="s">
        <v>15</v>
      </c>
      <c r="G360" s="11" t="s">
        <v>15</v>
      </c>
      <c r="H360" s="11" t="s">
        <v>15</v>
      </c>
      <c r="I360" s="11" t="s">
        <v>15</v>
      </c>
      <c r="J360" s="11" t="s">
        <v>15</v>
      </c>
      <c r="K360" s="11" t="s">
        <v>15</v>
      </c>
      <c r="L360" s="11" t="s">
        <v>15</v>
      </c>
      <c r="M360" s="11" t="s">
        <v>15</v>
      </c>
      <c r="N360" s="11" t="s">
        <v>15</v>
      </c>
      <c r="O360" s="337" t="s">
        <v>15</v>
      </c>
      <c r="Q360" s="260" t="s">
        <v>149</v>
      </c>
    </row>
    <row r="361" spans="1:17" ht="12.75" customHeight="1" x14ac:dyDescent="0.2">
      <c r="A361" s="15" t="s">
        <v>419</v>
      </c>
      <c r="B361" s="10" t="s">
        <v>69</v>
      </c>
      <c r="C361" s="333" t="s">
        <v>15</v>
      </c>
      <c r="D361" s="11" t="s">
        <v>15</v>
      </c>
      <c r="E361" s="11" t="s">
        <v>15</v>
      </c>
      <c r="F361" s="11" t="s">
        <v>15</v>
      </c>
      <c r="G361" s="11" t="s">
        <v>15</v>
      </c>
      <c r="H361" s="11" t="s">
        <v>15</v>
      </c>
      <c r="I361" s="11" t="s">
        <v>15</v>
      </c>
      <c r="J361" s="11" t="s">
        <v>15</v>
      </c>
      <c r="K361" s="11" t="s">
        <v>15</v>
      </c>
      <c r="L361" s="11" t="s">
        <v>15</v>
      </c>
      <c r="M361" s="11" t="s">
        <v>15</v>
      </c>
      <c r="N361" s="11" t="s">
        <v>15</v>
      </c>
      <c r="O361" s="337" t="s">
        <v>15</v>
      </c>
      <c r="Q361" s="260" t="s">
        <v>149</v>
      </c>
    </row>
    <row r="362" spans="1:17" ht="12.75" customHeight="1" x14ac:dyDescent="0.2">
      <c r="A362" s="15" t="s">
        <v>424</v>
      </c>
      <c r="B362" s="10" t="s">
        <v>69</v>
      </c>
      <c r="C362" s="333" t="s">
        <v>15</v>
      </c>
      <c r="D362" s="11" t="s">
        <v>15</v>
      </c>
      <c r="E362" s="11" t="s">
        <v>15</v>
      </c>
      <c r="F362" s="11" t="s">
        <v>15</v>
      </c>
      <c r="G362" s="11" t="s">
        <v>15</v>
      </c>
      <c r="H362" s="11" t="s">
        <v>15</v>
      </c>
      <c r="I362" s="11" t="s">
        <v>15</v>
      </c>
      <c r="J362" s="11" t="s">
        <v>15</v>
      </c>
      <c r="K362" s="11" t="s">
        <v>15</v>
      </c>
      <c r="L362" s="11" t="s">
        <v>15</v>
      </c>
      <c r="M362" s="11" t="s">
        <v>15</v>
      </c>
      <c r="N362" s="11" t="s">
        <v>15</v>
      </c>
      <c r="O362" s="337" t="s">
        <v>15</v>
      </c>
      <c r="Q362" s="260" t="s">
        <v>149</v>
      </c>
    </row>
    <row r="363" spans="1:17" ht="12.75" customHeight="1" x14ac:dyDescent="0.2">
      <c r="A363" s="15" t="s">
        <v>423</v>
      </c>
      <c r="B363" s="10" t="s">
        <v>69</v>
      </c>
      <c r="C363" s="333" t="s">
        <v>15</v>
      </c>
      <c r="D363" s="11" t="s">
        <v>15</v>
      </c>
      <c r="E363" s="11" t="s">
        <v>15</v>
      </c>
      <c r="F363" s="11" t="s">
        <v>15</v>
      </c>
      <c r="G363" s="11" t="s">
        <v>15</v>
      </c>
      <c r="H363" s="11" t="s">
        <v>15</v>
      </c>
      <c r="I363" s="11" t="s">
        <v>15</v>
      </c>
      <c r="J363" s="11" t="s">
        <v>15</v>
      </c>
      <c r="K363" s="11" t="s">
        <v>15</v>
      </c>
      <c r="L363" s="11" t="s">
        <v>15</v>
      </c>
      <c r="M363" s="11" t="s">
        <v>15</v>
      </c>
      <c r="N363" s="11" t="s">
        <v>15</v>
      </c>
      <c r="O363" s="337" t="s">
        <v>15</v>
      </c>
      <c r="Q363" s="260" t="s">
        <v>149</v>
      </c>
    </row>
    <row r="364" spans="1:17" ht="12.75" customHeight="1" x14ac:dyDescent="0.25">
      <c r="A364" s="224" t="s">
        <v>434</v>
      </c>
      <c r="B364" s="10" t="s">
        <v>69</v>
      </c>
      <c r="C364" s="333" t="s">
        <v>15</v>
      </c>
      <c r="D364" s="11" t="s">
        <v>15</v>
      </c>
      <c r="E364" s="11" t="s">
        <v>15</v>
      </c>
      <c r="F364" s="11" t="s">
        <v>15</v>
      </c>
      <c r="G364" s="11" t="s">
        <v>15</v>
      </c>
      <c r="H364" s="11" t="s">
        <v>15</v>
      </c>
      <c r="I364" s="11" t="s">
        <v>15</v>
      </c>
      <c r="J364" s="11" t="s">
        <v>15</v>
      </c>
      <c r="K364" s="11" t="s">
        <v>15</v>
      </c>
      <c r="L364" s="11" t="s">
        <v>15</v>
      </c>
      <c r="M364" s="11" t="s">
        <v>15</v>
      </c>
      <c r="N364" s="11" t="s">
        <v>15</v>
      </c>
      <c r="O364" s="337" t="s">
        <v>15</v>
      </c>
      <c r="P364" s="10" t="s">
        <v>148</v>
      </c>
      <c r="Q364" s="10" t="s">
        <v>432</v>
      </c>
    </row>
    <row r="365" spans="1:17" x14ac:dyDescent="0.2">
      <c r="A365" s="12"/>
      <c r="B365" s="10"/>
      <c r="I365" s="11"/>
      <c r="J365" s="11"/>
      <c r="K365" s="11"/>
      <c r="L365" s="11"/>
      <c r="M365" s="11"/>
      <c r="N365" s="11"/>
    </row>
    <row r="366" spans="1:17" x14ac:dyDescent="0.2">
      <c r="A366" s="12"/>
      <c r="B366" s="10"/>
      <c r="I366" s="11"/>
      <c r="J366" s="11"/>
      <c r="K366" s="11"/>
      <c r="L366" s="11"/>
      <c r="M366" s="11"/>
      <c r="N366" s="11"/>
    </row>
    <row r="367" spans="1:17" x14ac:dyDescent="0.2">
      <c r="A367" s="14"/>
    </row>
    <row r="368" spans="1:17" x14ac:dyDescent="0.2">
      <c r="C368" s="332">
        <f>+C219+C236+SUM(C238:C309)+C312+C314+C316+SUM(C321:C364)</f>
        <v>0</v>
      </c>
      <c r="D368" s="332">
        <f>+D219+D236+SUM(D238:D309)+D312+D314+D316+SUM(D321:D364)</f>
        <v>0</v>
      </c>
      <c r="E368" s="332">
        <f>+E219+E236+SUM(E238:E309)+E312+E314+E316+SUM(E321:E364)</f>
        <v>0</v>
      </c>
      <c r="F368" s="332">
        <f>+F219+F236+SUM(F238:F309)+F312+F314+F316+SUM(F321:F364)</f>
        <v>0</v>
      </c>
      <c r="G368" s="332">
        <f>+G219+G236+SUM(G238:G309)+G312+G314+G316+SUM(G321:G364)</f>
        <v>0</v>
      </c>
      <c r="H368" s="332">
        <f>+H219+H236+SUM(H238:H309)+H312+H314+H316+SUM(H321:H364)</f>
        <v>0</v>
      </c>
      <c r="I368" s="332">
        <f>+I219+I236+SUM(I238:I309)+I312+I314+I316+SUM(I321:I364)</f>
        <v>0</v>
      </c>
      <c r="J368" s="332">
        <f>+J219+J236+SUM(J238:J309)+J312+J314+J316+SUM(J321:J364)</f>
        <v>0</v>
      </c>
      <c r="K368" s="332">
        <f>+K219+K236+SUM(K238:K309)+K312+K314+K316+SUM(K321:K364)</f>
        <v>0</v>
      </c>
      <c r="L368" s="332">
        <f>+L219+L236+SUM(L238:L309)+L312+L314+L316+SUM(L321:L364)</f>
        <v>0</v>
      </c>
      <c r="M368" s="332">
        <f>+M219+M236+SUM(M238:M309)+M312+M314+M316+SUM(M321:M364)</f>
        <v>0</v>
      </c>
      <c r="N368" s="332">
        <f>+N219+N236+SUM(N238:N309)+N312+N314+N316+SUM(N321:N364)</f>
        <v>0</v>
      </c>
      <c r="O368" s="332">
        <f>+O219+O236+SUM(O238:O309)+O312+O314+O316+SUM(O321:O364)</f>
        <v>0</v>
      </c>
    </row>
    <row r="371" spans="1:13" x14ac:dyDescent="0.2">
      <c r="A371" s="9"/>
    </row>
    <row r="372" spans="1:13" x14ac:dyDescent="0.2">
      <c r="A372" s="9"/>
      <c r="B372" s="10"/>
      <c r="D372" s="338"/>
      <c r="E372" s="338"/>
      <c r="F372" s="338"/>
      <c r="G372" s="338"/>
      <c r="H372" s="338"/>
      <c r="I372" s="338"/>
      <c r="J372" s="348"/>
      <c r="K372" s="348"/>
      <c r="L372" s="348"/>
      <c r="M372" s="348"/>
    </row>
    <row r="373" spans="1:13" ht="14.25" x14ac:dyDescent="0.2">
      <c r="A373" s="15"/>
      <c r="B373" s="10"/>
      <c r="D373" s="338"/>
      <c r="E373" s="338"/>
      <c r="F373" s="348"/>
      <c r="G373" s="348"/>
      <c r="H373" s="348"/>
      <c r="I373" s="348"/>
      <c r="J373" s="348"/>
      <c r="K373" s="348"/>
      <c r="L373" s="348"/>
      <c r="M373" s="348"/>
    </row>
    <row r="374" spans="1:13" ht="14.25" x14ac:dyDescent="0.2">
      <c r="A374" s="15"/>
      <c r="B374" s="10"/>
      <c r="D374" s="338"/>
      <c r="E374" s="338"/>
      <c r="F374" s="338"/>
      <c r="G374" s="338"/>
      <c r="H374" s="348"/>
      <c r="I374" s="348"/>
      <c r="J374" s="348"/>
      <c r="K374" s="348"/>
      <c r="L374" s="348"/>
      <c r="M374" s="348"/>
    </row>
    <row r="375" spans="1:13" ht="14.25" x14ac:dyDescent="0.2">
      <c r="A375" s="15"/>
      <c r="B375" s="10"/>
      <c r="D375" s="338"/>
      <c r="E375" s="338"/>
      <c r="F375" s="338"/>
      <c r="G375" s="338"/>
      <c r="H375" s="348"/>
      <c r="I375" s="348"/>
      <c r="J375" s="348"/>
      <c r="K375" s="348"/>
      <c r="L375" s="348"/>
      <c r="M375" s="348"/>
    </row>
    <row r="376" spans="1:13" ht="14.25" x14ac:dyDescent="0.2">
      <c r="A376" s="15"/>
      <c r="B376" s="10"/>
      <c r="D376" s="338"/>
      <c r="E376" s="338"/>
      <c r="F376" s="338"/>
      <c r="G376" s="338"/>
      <c r="H376" s="348"/>
      <c r="I376" s="348"/>
      <c r="J376" s="348"/>
      <c r="K376" s="348"/>
      <c r="L376" s="348"/>
      <c r="M376" s="348"/>
    </row>
    <row r="377" spans="1:13" ht="14.25" x14ac:dyDescent="0.2">
      <c r="A377" s="15"/>
      <c r="B377" s="10"/>
      <c r="D377" s="338"/>
      <c r="E377" s="338"/>
      <c r="F377" s="338"/>
      <c r="G377" s="338"/>
      <c r="H377" s="348"/>
      <c r="I377" s="348"/>
      <c r="J377" s="348"/>
      <c r="K377" s="348"/>
      <c r="L377" s="348"/>
      <c r="M377" s="348"/>
    </row>
    <row r="378" spans="1:13" ht="14.25" x14ac:dyDescent="0.2">
      <c r="A378" s="15"/>
      <c r="B378" s="10"/>
      <c r="D378" s="338"/>
      <c r="E378" s="338"/>
      <c r="F378" s="338"/>
      <c r="G378" s="338"/>
      <c r="H378" s="348"/>
      <c r="I378" s="348"/>
      <c r="J378" s="348"/>
      <c r="K378" s="348"/>
      <c r="L378" s="348"/>
      <c r="M378" s="348"/>
    </row>
    <row r="379" spans="1:13" ht="14.25" x14ac:dyDescent="0.2">
      <c r="A379" s="15"/>
      <c r="B379" s="10"/>
      <c r="C379" s="338"/>
      <c r="D379" s="338"/>
      <c r="E379" s="338"/>
      <c r="F379" s="338"/>
      <c r="G379" s="338"/>
      <c r="H379" s="348"/>
      <c r="I379" s="348"/>
      <c r="J379" s="348"/>
      <c r="K379" s="348"/>
      <c r="L379" s="348"/>
      <c r="M379" s="348"/>
    </row>
    <row r="380" spans="1:13" ht="14.25" x14ac:dyDescent="0.2">
      <c r="A380" s="15"/>
      <c r="B380" s="10"/>
      <c r="C380" s="338"/>
      <c r="D380" s="338"/>
      <c r="E380" s="338"/>
      <c r="F380" s="338"/>
      <c r="G380" s="338"/>
      <c r="H380" s="348"/>
      <c r="I380" s="348"/>
      <c r="J380" s="348"/>
      <c r="K380" s="348"/>
      <c r="L380" s="348"/>
      <c r="M380" s="348"/>
    </row>
    <row r="381" spans="1:13" ht="14.25" x14ac:dyDescent="0.2">
      <c r="A381" s="15"/>
      <c r="B381" s="10"/>
      <c r="C381" s="338"/>
      <c r="D381" s="338"/>
      <c r="E381" s="338"/>
      <c r="F381" s="338"/>
      <c r="G381" s="338"/>
      <c r="H381" s="348"/>
      <c r="I381" s="348"/>
      <c r="J381" s="348"/>
      <c r="K381" s="348"/>
      <c r="L381" s="348"/>
      <c r="M381" s="348"/>
    </row>
    <row r="382" spans="1:13" ht="14.25" x14ac:dyDescent="0.2">
      <c r="A382" s="15"/>
      <c r="B382" s="10"/>
      <c r="C382" s="338"/>
      <c r="D382" s="338"/>
      <c r="E382" s="338"/>
      <c r="F382" s="338"/>
      <c r="G382" s="338"/>
      <c r="H382" s="348"/>
      <c r="I382" s="348"/>
      <c r="J382" s="348"/>
      <c r="K382" s="348"/>
      <c r="L382" s="348"/>
      <c r="M382" s="348"/>
    </row>
    <row r="383" spans="1:13" ht="14.25" x14ac:dyDescent="0.2">
      <c r="A383" s="15"/>
      <c r="B383" s="10"/>
      <c r="C383" s="338"/>
      <c r="D383" s="338"/>
      <c r="E383" s="338"/>
      <c r="F383" s="338"/>
      <c r="G383" s="338"/>
      <c r="H383" s="338"/>
      <c r="I383" s="338"/>
      <c r="J383" s="348"/>
      <c r="K383" s="348"/>
      <c r="L383" s="348"/>
      <c r="M383" s="348"/>
    </row>
    <row r="384" spans="1:13" ht="14.25" x14ac:dyDescent="0.2">
      <c r="A384" s="15"/>
      <c r="B384" s="10"/>
      <c r="C384" s="338"/>
      <c r="D384" s="338"/>
      <c r="E384" s="338"/>
      <c r="F384" s="338"/>
      <c r="G384" s="338"/>
      <c r="H384" s="338"/>
      <c r="I384" s="338"/>
      <c r="J384" s="348"/>
      <c r="K384" s="348"/>
      <c r="L384" s="348"/>
      <c r="M384" s="348"/>
    </row>
  </sheetData>
  <autoFilter ref="A7:Q78"/>
  <sortState ref="A122:Q164">
    <sortCondition ref="A122:A164"/>
  </sortState>
  <pageMargins left="0.17" right="0.17" top="0.28000000000000003" bottom="0.35" header="0.17" footer="0.3"/>
  <pageSetup scale="45" fitToHeight="2" orientation="portrait" r:id="rId1"/>
  <headerFooter>
    <oddHeader>&amp;A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384"/>
  <sheetViews>
    <sheetView topLeftCell="A249" workbookViewId="0">
      <selection activeCell="A267" sqref="A267"/>
    </sheetView>
  </sheetViews>
  <sheetFormatPr defaultColWidth="8" defaultRowHeight="12.75" x14ac:dyDescent="0.2"/>
  <cols>
    <col min="1" max="1" width="39.25" style="1" customWidth="1"/>
    <col min="2" max="2" width="16.25" style="2" customWidth="1"/>
    <col min="3" max="14" width="10.625" style="5" customWidth="1"/>
    <col min="15" max="15" width="16.25" style="332" customWidth="1"/>
    <col min="16" max="16384" width="8" style="2"/>
  </cols>
  <sheetData>
    <row r="1" spans="1:15" x14ac:dyDescent="0.2">
      <c r="D1" s="331"/>
    </row>
    <row r="2" spans="1:15" x14ac:dyDescent="0.2">
      <c r="C2" s="333" t="s">
        <v>312</v>
      </c>
      <c r="D2" s="333" t="s">
        <v>312</v>
      </c>
      <c r="E2" s="333" t="s">
        <v>312</v>
      </c>
      <c r="F2" s="333" t="s">
        <v>312</v>
      </c>
      <c r="G2" s="333" t="s">
        <v>312</v>
      </c>
      <c r="H2" s="333" t="s">
        <v>312</v>
      </c>
      <c r="I2" s="333" t="s">
        <v>312</v>
      </c>
      <c r="J2" s="333" t="s">
        <v>312</v>
      </c>
      <c r="K2" s="333" t="s">
        <v>312</v>
      </c>
      <c r="L2" s="333" t="s">
        <v>312</v>
      </c>
      <c r="M2" s="333" t="s">
        <v>312</v>
      </c>
      <c r="N2" s="333" t="s">
        <v>312</v>
      </c>
      <c r="O2" s="333"/>
    </row>
    <row r="3" spans="1:15" x14ac:dyDescent="0.2">
      <c r="C3" s="333" t="s">
        <v>200</v>
      </c>
      <c r="D3" s="333" t="s">
        <v>200</v>
      </c>
      <c r="E3" s="333" t="s">
        <v>200</v>
      </c>
      <c r="F3" s="333" t="s">
        <v>200</v>
      </c>
      <c r="G3" s="333" t="s">
        <v>200</v>
      </c>
      <c r="H3" s="333" t="s">
        <v>200</v>
      </c>
      <c r="I3" s="333" t="s">
        <v>200</v>
      </c>
      <c r="J3" s="333" t="s">
        <v>200</v>
      </c>
      <c r="K3" s="333" t="s">
        <v>200</v>
      </c>
      <c r="L3" s="333" t="s">
        <v>200</v>
      </c>
      <c r="M3" s="333" t="s">
        <v>200</v>
      </c>
      <c r="N3" s="333" t="s">
        <v>200</v>
      </c>
      <c r="O3" s="333"/>
    </row>
    <row r="4" spans="1:15" x14ac:dyDescent="0.2">
      <c r="C4" s="333" t="s">
        <v>199</v>
      </c>
      <c r="D4" s="333" t="s">
        <v>199</v>
      </c>
      <c r="E4" s="333" t="s">
        <v>199</v>
      </c>
      <c r="F4" s="333" t="s">
        <v>199</v>
      </c>
      <c r="G4" s="333" t="s">
        <v>199</v>
      </c>
      <c r="H4" s="333" t="s">
        <v>199</v>
      </c>
      <c r="I4" s="333" t="s">
        <v>199</v>
      </c>
      <c r="J4" s="333" t="s">
        <v>199</v>
      </c>
      <c r="K4" s="333" t="s">
        <v>199</v>
      </c>
      <c r="L4" s="333" t="s">
        <v>199</v>
      </c>
      <c r="M4" s="333" t="s">
        <v>199</v>
      </c>
      <c r="N4" s="333" t="s">
        <v>199</v>
      </c>
      <c r="O4" s="333"/>
    </row>
    <row r="5" spans="1:15" ht="14.25" x14ac:dyDescent="0.2">
      <c r="C5" s="275" t="s">
        <v>198</v>
      </c>
      <c r="D5" s="275" t="s">
        <v>198</v>
      </c>
      <c r="E5" s="275" t="s">
        <v>198</v>
      </c>
      <c r="F5" s="275" t="s">
        <v>198</v>
      </c>
      <c r="G5" s="275" t="s">
        <v>198</v>
      </c>
      <c r="H5" s="275" t="s">
        <v>198</v>
      </c>
      <c r="I5" s="275" t="s">
        <v>198</v>
      </c>
      <c r="J5" s="275" t="s">
        <v>198</v>
      </c>
      <c r="K5" s="275" t="s">
        <v>198</v>
      </c>
      <c r="L5" s="275" t="s">
        <v>198</v>
      </c>
      <c r="M5" s="275" t="s">
        <v>198</v>
      </c>
      <c r="N5" s="275" t="s">
        <v>198</v>
      </c>
      <c r="O5" s="333"/>
    </row>
    <row r="6" spans="1:15" ht="21" customHeight="1" x14ac:dyDescent="0.2">
      <c r="C6" s="11" t="s">
        <v>0</v>
      </c>
      <c r="D6" s="11" t="s">
        <v>0</v>
      </c>
      <c r="E6" s="11" t="s">
        <v>0</v>
      </c>
      <c r="F6" s="11" t="s">
        <v>0</v>
      </c>
      <c r="G6" s="11" t="s">
        <v>0</v>
      </c>
      <c r="H6" s="11" t="s">
        <v>0</v>
      </c>
      <c r="I6" s="11" t="s">
        <v>0</v>
      </c>
      <c r="J6" s="11" t="s">
        <v>0</v>
      </c>
      <c r="K6" s="11" t="s">
        <v>0</v>
      </c>
      <c r="L6" s="11" t="s">
        <v>0</v>
      </c>
      <c r="M6" s="11" t="s">
        <v>0</v>
      </c>
      <c r="N6" s="334" t="s">
        <v>0</v>
      </c>
      <c r="O6" s="335" t="s">
        <v>0</v>
      </c>
    </row>
    <row r="7" spans="1:15" x14ac:dyDescent="0.2">
      <c r="B7" s="1"/>
      <c r="C7" s="336" t="s">
        <v>1</v>
      </c>
      <c r="D7" s="336" t="s">
        <v>2</v>
      </c>
      <c r="E7" s="336" t="s">
        <v>3</v>
      </c>
      <c r="F7" s="336" t="s">
        <v>4</v>
      </c>
      <c r="G7" s="336" t="s">
        <v>5</v>
      </c>
      <c r="H7" s="336" t="s">
        <v>6</v>
      </c>
      <c r="I7" s="336" t="s">
        <v>7</v>
      </c>
      <c r="J7" s="336" t="s">
        <v>8</v>
      </c>
      <c r="K7" s="336" t="s">
        <v>9</v>
      </c>
      <c r="L7" s="336" t="s">
        <v>10</v>
      </c>
      <c r="M7" s="336" t="s">
        <v>11</v>
      </c>
      <c r="N7" s="336" t="s">
        <v>12</v>
      </c>
      <c r="O7" s="337" t="s">
        <v>13</v>
      </c>
    </row>
    <row r="8" spans="1:15" ht="12.75" customHeight="1" x14ac:dyDescent="0.2">
      <c r="A8" s="15" t="s">
        <v>16</v>
      </c>
      <c r="B8" s="10" t="s">
        <v>14</v>
      </c>
      <c r="C8" s="11">
        <v>41</v>
      </c>
      <c r="D8" s="11">
        <v>38</v>
      </c>
      <c r="E8" s="11">
        <v>-64</v>
      </c>
      <c r="F8" s="11">
        <v>27</v>
      </c>
      <c r="G8" s="11">
        <v>3895.98</v>
      </c>
      <c r="H8" s="11">
        <v>-3895.98</v>
      </c>
      <c r="I8" s="11">
        <v>198</v>
      </c>
      <c r="J8" s="11">
        <v>-203</v>
      </c>
      <c r="K8" s="11">
        <v>90</v>
      </c>
      <c r="L8" s="11">
        <v>26</v>
      </c>
      <c r="M8" s="11">
        <v>60</v>
      </c>
      <c r="N8" s="11">
        <v>-210</v>
      </c>
      <c r="O8" s="333">
        <f>SUM(C8:N8)</f>
        <v>3</v>
      </c>
    </row>
    <row r="9" spans="1:15" ht="12.75" customHeight="1" x14ac:dyDescent="0.2">
      <c r="A9" s="15" t="s">
        <v>17</v>
      </c>
      <c r="B9" s="10" t="s">
        <v>14</v>
      </c>
      <c r="C9" s="11">
        <v>216</v>
      </c>
      <c r="D9" s="11">
        <v>95</v>
      </c>
      <c r="E9" s="11">
        <v>98</v>
      </c>
      <c r="F9" s="11">
        <v>37</v>
      </c>
      <c r="G9" s="11">
        <v>977</v>
      </c>
      <c r="H9" s="11">
        <v>126</v>
      </c>
      <c r="I9" s="11">
        <v>1021</v>
      </c>
      <c r="J9" s="11">
        <v>181</v>
      </c>
      <c r="K9" s="11">
        <v>411</v>
      </c>
      <c r="L9" s="11">
        <v>109</v>
      </c>
      <c r="M9" s="11">
        <v>269</v>
      </c>
      <c r="N9" s="11">
        <v>13</v>
      </c>
      <c r="O9" s="333">
        <f>SUM(C9:N9)</f>
        <v>3553</v>
      </c>
    </row>
    <row r="10" spans="1:15" ht="12.75" customHeight="1" x14ac:dyDescent="0.2">
      <c r="A10" s="15" t="s">
        <v>18</v>
      </c>
      <c r="B10" s="10" t="s">
        <v>14</v>
      </c>
      <c r="C10" s="11">
        <v>1012</v>
      </c>
      <c r="D10" s="11">
        <v>783</v>
      </c>
      <c r="E10" s="11">
        <v>546</v>
      </c>
      <c r="F10" s="11">
        <v>492</v>
      </c>
      <c r="G10" s="11">
        <v>6627</v>
      </c>
      <c r="H10" s="11">
        <v>1274</v>
      </c>
      <c r="I10" s="11">
        <v>5549</v>
      </c>
      <c r="J10" s="11">
        <v>1110</v>
      </c>
      <c r="K10" s="11">
        <v>2545</v>
      </c>
      <c r="L10" s="11">
        <v>741</v>
      </c>
      <c r="M10" s="11">
        <v>1281</v>
      </c>
      <c r="N10" s="11">
        <v>56</v>
      </c>
      <c r="O10" s="333">
        <f>SUM(C10:N10)</f>
        <v>22016</v>
      </c>
    </row>
    <row r="11" spans="1:15" ht="12.75" customHeight="1" x14ac:dyDescent="0.2">
      <c r="A11" s="15" t="s">
        <v>255</v>
      </c>
      <c r="B11" s="10" t="s">
        <v>14</v>
      </c>
      <c r="C11" s="11">
        <v>12</v>
      </c>
      <c r="D11" s="11">
        <v>6</v>
      </c>
      <c r="E11" s="11">
        <v>9</v>
      </c>
      <c r="F11" s="11">
        <v>4</v>
      </c>
      <c r="G11" s="11">
        <v>43</v>
      </c>
      <c r="H11" s="11">
        <v>16</v>
      </c>
      <c r="I11" s="11">
        <v>37</v>
      </c>
      <c r="J11" s="11">
        <v>11</v>
      </c>
      <c r="K11" s="11">
        <v>21</v>
      </c>
      <c r="L11" s="11">
        <v>3</v>
      </c>
      <c r="M11" s="11">
        <v>12</v>
      </c>
      <c r="N11" s="11">
        <v>1</v>
      </c>
      <c r="O11" s="333">
        <f>SUM(C11:N11)</f>
        <v>175</v>
      </c>
    </row>
    <row r="12" spans="1:15" ht="12.75" customHeight="1" x14ac:dyDescent="0.2">
      <c r="A12" s="15" t="s">
        <v>39</v>
      </c>
      <c r="B12" s="10" t="s">
        <v>14</v>
      </c>
      <c r="C12" s="11" t="s">
        <v>15</v>
      </c>
      <c r="D12" s="11" t="s">
        <v>15</v>
      </c>
      <c r="E12" s="11" t="s">
        <v>15</v>
      </c>
      <c r="F12" s="11" t="s">
        <v>15</v>
      </c>
      <c r="G12" s="11" t="s">
        <v>15</v>
      </c>
      <c r="H12" s="11" t="s">
        <v>15</v>
      </c>
      <c r="I12" s="11" t="s">
        <v>15</v>
      </c>
      <c r="J12" s="11" t="s">
        <v>15</v>
      </c>
      <c r="K12" s="11" t="s">
        <v>15</v>
      </c>
      <c r="L12" s="11" t="s">
        <v>15</v>
      </c>
      <c r="M12" s="11" t="s">
        <v>15</v>
      </c>
      <c r="N12" s="11" t="s">
        <v>15</v>
      </c>
      <c r="O12" s="333">
        <f>SUM(C12:N12)</f>
        <v>0</v>
      </c>
    </row>
    <row r="13" spans="1:15" ht="12.75" customHeight="1" x14ac:dyDescent="0.2">
      <c r="A13" s="15" t="s">
        <v>19</v>
      </c>
      <c r="B13" s="10" t="s">
        <v>14</v>
      </c>
      <c r="C13" s="11">
        <v>3</v>
      </c>
      <c r="D13" s="11">
        <v>3</v>
      </c>
      <c r="E13" s="11">
        <v>33</v>
      </c>
      <c r="F13" s="11">
        <v>48</v>
      </c>
      <c r="G13" s="11">
        <v>412</v>
      </c>
      <c r="H13" s="11">
        <v>54</v>
      </c>
      <c r="I13" s="11">
        <v>336</v>
      </c>
      <c r="J13" s="11">
        <v>54</v>
      </c>
      <c r="K13" s="11">
        <v>114</v>
      </c>
      <c r="L13" s="11">
        <v>36</v>
      </c>
      <c r="M13" s="11">
        <v>78</v>
      </c>
      <c r="N13" s="11">
        <v>3</v>
      </c>
      <c r="O13" s="333">
        <f>SUM(C13:N13)</f>
        <v>1174</v>
      </c>
    </row>
    <row r="14" spans="1:15" ht="12.75" customHeight="1" x14ac:dyDescent="0.2">
      <c r="A14" s="15" t="s">
        <v>204</v>
      </c>
      <c r="B14" s="10" t="s">
        <v>14</v>
      </c>
      <c r="C14" s="11">
        <v>271</v>
      </c>
      <c r="D14" s="11">
        <v>177</v>
      </c>
      <c r="E14" s="11">
        <v>168</v>
      </c>
      <c r="F14" s="11">
        <v>112</v>
      </c>
      <c r="G14" s="11">
        <v>1698</v>
      </c>
      <c r="H14" s="11">
        <v>365</v>
      </c>
      <c r="I14" s="11">
        <v>1570</v>
      </c>
      <c r="J14" s="11">
        <v>357</v>
      </c>
      <c r="K14" s="11">
        <v>713</v>
      </c>
      <c r="L14" s="11">
        <v>184</v>
      </c>
      <c r="M14" s="11">
        <v>338</v>
      </c>
      <c r="N14" s="11">
        <v>16</v>
      </c>
      <c r="O14" s="333">
        <f>SUM(C14:N14)</f>
        <v>5969</v>
      </c>
    </row>
    <row r="15" spans="1:15" ht="12.75" customHeight="1" x14ac:dyDescent="0.2">
      <c r="A15" s="15" t="s">
        <v>20</v>
      </c>
      <c r="B15" s="10" t="s">
        <v>14</v>
      </c>
      <c r="C15" s="11" t="s">
        <v>15</v>
      </c>
      <c r="D15" s="11" t="s">
        <v>15</v>
      </c>
      <c r="E15" s="11" t="s">
        <v>15</v>
      </c>
      <c r="F15" s="11" t="s">
        <v>15</v>
      </c>
      <c r="G15" s="11" t="s">
        <v>15</v>
      </c>
      <c r="H15" s="11" t="s">
        <v>15</v>
      </c>
      <c r="I15" s="11" t="s">
        <v>15</v>
      </c>
      <c r="J15" s="11" t="s">
        <v>15</v>
      </c>
      <c r="K15" s="11" t="s">
        <v>15</v>
      </c>
      <c r="L15" s="11" t="s">
        <v>15</v>
      </c>
      <c r="M15" s="11" t="s">
        <v>15</v>
      </c>
      <c r="N15" s="11" t="s">
        <v>15</v>
      </c>
      <c r="O15" s="333">
        <f>SUM(C15:N15)</f>
        <v>0</v>
      </c>
    </row>
    <row r="16" spans="1:15" ht="12.75" customHeight="1" x14ac:dyDescent="0.2">
      <c r="A16" s="15" t="s">
        <v>21</v>
      </c>
      <c r="B16" s="10" t="s">
        <v>14</v>
      </c>
      <c r="C16" s="11">
        <v>72</v>
      </c>
      <c r="D16" s="11">
        <v>50</v>
      </c>
      <c r="E16" s="11">
        <v>38</v>
      </c>
      <c r="F16" s="11">
        <v>28</v>
      </c>
      <c r="G16" s="11">
        <v>276</v>
      </c>
      <c r="H16" s="11">
        <v>55</v>
      </c>
      <c r="I16" s="11">
        <v>529</v>
      </c>
      <c r="J16" s="11">
        <v>69</v>
      </c>
      <c r="K16" s="11">
        <v>129</v>
      </c>
      <c r="L16" s="11">
        <v>37</v>
      </c>
      <c r="M16" s="11">
        <v>98</v>
      </c>
      <c r="N16" s="11">
        <v>3</v>
      </c>
      <c r="O16" s="333">
        <f>SUM(C16:N16)</f>
        <v>1384</v>
      </c>
    </row>
    <row r="17" spans="1:15" ht="12.75" customHeight="1" x14ac:dyDescent="0.2">
      <c r="A17" s="15" t="s">
        <v>40</v>
      </c>
      <c r="B17" s="10" t="s">
        <v>14</v>
      </c>
      <c r="C17" s="11" t="s">
        <v>15</v>
      </c>
      <c r="D17" s="11" t="s">
        <v>15</v>
      </c>
      <c r="E17" s="11" t="s">
        <v>15</v>
      </c>
      <c r="F17" s="11" t="s">
        <v>15</v>
      </c>
      <c r="G17" s="11" t="s">
        <v>15</v>
      </c>
      <c r="H17" s="11" t="s">
        <v>15</v>
      </c>
      <c r="I17" s="11" t="s">
        <v>15</v>
      </c>
      <c r="J17" s="11" t="s">
        <v>15</v>
      </c>
      <c r="K17" s="11" t="s">
        <v>15</v>
      </c>
      <c r="L17" s="11" t="s">
        <v>15</v>
      </c>
      <c r="M17" s="11" t="s">
        <v>15</v>
      </c>
      <c r="N17" s="11" t="s">
        <v>15</v>
      </c>
      <c r="O17" s="333">
        <f>SUM(C17:N17)</f>
        <v>0</v>
      </c>
    </row>
    <row r="18" spans="1:15" ht="12.75" customHeight="1" x14ac:dyDescent="0.2">
      <c r="A18" s="15" t="s">
        <v>22</v>
      </c>
      <c r="B18" s="10" t="s">
        <v>14</v>
      </c>
      <c r="C18" s="338" t="s">
        <v>15</v>
      </c>
      <c r="D18" s="338" t="s">
        <v>15</v>
      </c>
      <c r="E18" s="338" t="s">
        <v>15</v>
      </c>
      <c r="F18" s="338" t="s">
        <v>15</v>
      </c>
      <c r="G18" s="338" t="s">
        <v>15</v>
      </c>
      <c r="H18" s="338" t="s">
        <v>15</v>
      </c>
      <c r="I18" s="338" t="s">
        <v>15</v>
      </c>
      <c r="J18" s="338" t="s">
        <v>15</v>
      </c>
      <c r="K18" s="338" t="s">
        <v>15</v>
      </c>
      <c r="L18" s="338" t="s">
        <v>15</v>
      </c>
      <c r="M18" s="338" t="s">
        <v>15</v>
      </c>
      <c r="N18" s="11" t="s">
        <v>15</v>
      </c>
      <c r="O18" s="333">
        <f>SUM(C18:N18)</f>
        <v>0</v>
      </c>
    </row>
    <row r="19" spans="1:15" ht="12.75" customHeight="1" x14ac:dyDescent="0.2">
      <c r="A19" s="15" t="s">
        <v>23</v>
      </c>
      <c r="B19" s="10" t="s">
        <v>14</v>
      </c>
      <c r="C19" s="11">
        <v>278</v>
      </c>
      <c r="D19" s="11">
        <v>399</v>
      </c>
      <c r="E19" s="11">
        <v>169</v>
      </c>
      <c r="F19" s="11">
        <v>155</v>
      </c>
      <c r="G19" s="11">
        <v>1977</v>
      </c>
      <c r="H19" s="11">
        <v>316</v>
      </c>
      <c r="I19" s="11">
        <v>1258</v>
      </c>
      <c r="J19" s="11">
        <v>303</v>
      </c>
      <c r="K19" s="11">
        <v>743</v>
      </c>
      <c r="L19" s="11">
        <v>180</v>
      </c>
      <c r="M19" s="11">
        <v>362</v>
      </c>
      <c r="N19" s="11">
        <v>19</v>
      </c>
      <c r="O19" s="333">
        <f>SUM(C19:N19)</f>
        <v>6159</v>
      </c>
    </row>
    <row r="20" spans="1:15" ht="12.75" customHeight="1" x14ac:dyDescent="0.2">
      <c r="A20" s="15" t="s">
        <v>24</v>
      </c>
      <c r="B20" s="10" t="s">
        <v>14</v>
      </c>
      <c r="C20" s="11">
        <v>36</v>
      </c>
      <c r="D20" s="11">
        <v>23</v>
      </c>
      <c r="E20" s="11">
        <v>18</v>
      </c>
      <c r="F20" s="11">
        <v>7</v>
      </c>
      <c r="G20" s="11">
        <v>211</v>
      </c>
      <c r="H20" s="11">
        <v>48</v>
      </c>
      <c r="I20" s="11">
        <v>186</v>
      </c>
      <c r="J20" s="11">
        <v>36</v>
      </c>
      <c r="K20" s="11">
        <v>84</v>
      </c>
      <c r="L20" s="11">
        <v>22</v>
      </c>
      <c r="M20" s="11">
        <v>60</v>
      </c>
      <c r="N20" s="11">
        <v>2</v>
      </c>
      <c r="O20" s="333">
        <f>SUM(C20:N20)</f>
        <v>733</v>
      </c>
    </row>
    <row r="21" spans="1:15" ht="12.75" customHeight="1" x14ac:dyDescent="0.2">
      <c r="A21" s="15" t="s">
        <v>25</v>
      </c>
      <c r="B21" s="10" t="s">
        <v>14</v>
      </c>
      <c r="C21" s="11">
        <v>83</v>
      </c>
      <c r="D21" s="11">
        <v>19</v>
      </c>
      <c r="E21" s="11">
        <v>29</v>
      </c>
      <c r="F21" s="11">
        <v>41</v>
      </c>
      <c r="G21" s="11">
        <v>226</v>
      </c>
      <c r="H21" s="11">
        <v>112</v>
      </c>
      <c r="I21" s="11">
        <v>327</v>
      </c>
      <c r="J21" s="11">
        <v>76</v>
      </c>
      <c r="K21" s="11">
        <v>204</v>
      </c>
      <c r="L21" s="11">
        <v>56</v>
      </c>
      <c r="M21" s="11">
        <v>98</v>
      </c>
      <c r="N21" s="11">
        <v>4</v>
      </c>
      <c r="O21" s="333">
        <f>SUM(C21:N21)</f>
        <v>1275</v>
      </c>
    </row>
    <row r="22" spans="1:15" ht="12.75" customHeight="1" x14ac:dyDescent="0.2">
      <c r="A22" s="15" t="s">
        <v>26</v>
      </c>
      <c r="B22" s="10" t="s">
        <v>14</v>
      </c>
      <c r="C22" s="11">
        <v>26</v>
      </c>
      <c r="D22" s="11">
        <v>13</v>
      </c>
      <c r="E22" s="11">
        <v>12</v>
      </c>
      <c r="F22" s="11">
        <v>19</v>
      </c>
      <c r="G22" s="11">
        <v>10</v>
      </c>
      <c r="H22" s="11" t="s">
        <v>15</v>
      </c>
      <c r="I22" s="11">
        <v>63</v>
      </c>
      <c r="J22" s="11">
        <v>31</v>
      </c>
      <c r="K22" s="11">
        <v>34</v>
      </c>
      <c r="L22" s="11">
        <v>11</v>
      </c>
      <c r="M22" s="11">
        <v>24</v>
      </c>
      <c r="N22" s="11">
        <v>6</v>
      </c>
      <c r="O22" s="333">
        <f>SUM(C22:N22)</f>
        <v>249</v>
      </c>
    </row>
    <row r="23" spans="1:15" ht="12.75" customHeight="1" x14ac:dyDescent="0.2">
      <c r="A23" s="15" t="s">
        <v>27</v>
      </c>
      <c r="B23" s="10" t="s">
        <v>14</v>
      </c>
      <c r="C23" s="11" t="s">
        <v>15</v>
      </c>
      <c r="D23" s="11" t="s">
        <v>15</v>
      </c>
      <c r="E23" s="11" t="s">
        <v>15</v>
      </c>
      <c r="F23" s="11" t="s">
        <v>15</v>
      </c>
      <c r="G23" s="11" t="s">
        <v>15</v>
      </c>
      <c r="H23" s="11" t="s">
        <v>15</v>
      </c>
      <c r="I23" s="11" t="s">
        <v>15</v>
      </c>
      <c r="J23" s="11" t="s">
        <v>15</v>
      </c>
      <c r="K23" s="11" t="s">
        <v>15</v>
      </c>
      <c r="L23" s="11" t="s">
        <v>15</v>
      </c>
      <c r="M23" s="11" t="s">
        <v>15</v>
      </c>
      <c r="N23" s="11" t="s">
        <v>15</v>
      </c>
      <c r="O23" s="333">
        <f>SUM(C23:N23)</f>
        <v>0</v>
      </c>
    </row>
    <row r="24" spans="1:15" ht="12.75" customHeight="1" x14ac:dyDescent="0.2">
      <c r="A24" s="15" t="s">
        <v>72</v>
      </c>
      <c r="B24" s="10" t="s">
        <v>14</v>
      </c>
      <c r="C24" s="11">
        <v>40</v>
      </c>
      <c r="D24" s="11">
        <v>25</v>
      </c>
      <c r="E24" s="11">
        <v>33</v>
      </c>
      <c r="F24" s="11">
        <v>19</v>
      </c>
      <c r="G24" s="11">
        <v>170</v>
      </c>
      <c r="H24" s="11">
        <v>39</v>
      </c>
      <c r="I24" s="11">
        <v>231</v>
      </c>
      <c r="J24" s="11">
        <v>39</v>
      </c>
      <c r="K24" s="11">
        <v>91</v>
      </c>
      <c r="L24" s="11">
        <v>26</v>
      </c>
      <c r="M24" s="11">
        <v>60</v>
      </c>
      <c r="N24" s="11">
        <v>4</v>
      </c>
      <c r="O24" s="333">
        <f>SUM(C24:N24)</f>
        <v>777</v>
      </c>
    </row>
    <row r="25" spans="1:15" ht="12.75" customHeight="1" x14ac:dyDescent="0.2">
      <c r="A25" s="15" t="s">
        <v>28</v>
      </c>
      <c r="B25" s="10" t="s">
        <v>14</v>
      </c>
      <c r="C25" s="11" t="s">
        <v>15</v>
      </c>
      <c r="D25" s="11" t="s">
        <v>15</v>
      </c>
      <c r="E25" s="11" t="s">
        <v>15</v>
      </c>
      <c r="F25" s="11" t="s">
        <v>15</v>
      </c>
      <c r="G25" s="11" t="s">
        <v>15</v>
      </c>
      <c r="H25" s="11" t="s">
        <v>15</v>
      </c>
      <c r="I25" s="11" t="s">
        <v>15</v>
      </c>
      <c r="J25" s="11" t="s">
        <v>15</v>
      </c>
      <c r="K25" s="11" t="s">
        <v>15</v>
      </c>
      <c r="L25" s="11" t="s">
        <v>15</v>
      </c>
      <c r="M25" s="11" t="s">
        <v>15</v>
      </c>
      <c r="N25" s="11" t="s">
        <v>15</v>
      </c>
      <c r="O25" s="333">
        <f>SUM(C25:N25)</f>
        <v>0</v>
      </c>
    </row>
    <row r="26" spans="1:15" ht="12.75" customHeight="1" x14ac:dyDescent="0.2">
      <c r="A26" s="15" t="s">
        <v>82</v>
      </c>
      <c r="B26" s="10" t="s">
        <v>14</v>
      </c>
      <c r="C26" s="338">
        <v>233</v>
      </c>
      <c r="D26" s="338">
        <v>142</v>
      </c>
      <c r="E26" s="338">
        <v>135</v>
      </c>
      <c r="F26" s="338">
        <v>112</v>
      </c>
      <c r="G26" s="338">
        <v>1020</v>
      </c>
      <c r="H26" s="338">
        <v>219</v>
      </c>
      <c r="I26" s="338">
        <v>1103</v>
      </c>
      <c r="J26" s="338">
        <v>210</v>
      </c>
      <c r="K26" s="338">
        <v>604</v>
      </c>
      <c r="L26" s="338">
        <v>131</v>
      </c>
      <c r="M26" s="338">
        <v>319</v>
      </c>
      <c r="N26" s="11">
        <v>14</v>
      </c>
      <c r="O26" s="333">
        <f>SUM(C26:N26)</f>
        <v>4242</v>
      </c>
    </row>
    <row r="27" spans="1:15" ht="12.75" customHeight="1" x14ac:dyDescent="0.2">
      <c r="A27" s="15" t="s">
        <v>165</v>
      </c>
      <c r="B27" s="10" t="s">
        <v>14</v>
      </c>
      <c r="C27" s="338" t="s">
        <v>15</v>
      </c>
      <c r="D27" s="338" t="s">
        <v>15</v>
      </c>
      <c r="E27" s="338" t="s">
        <v>15</v>
      </c>
      <c r="F27" s="338" t="s">
        <v>15</v>
      </c>
      <c r="G27" s="338" t="s">
        <v>15</v>
      </c>
      <c r="H27" s="338" t="s">
        <v>15</v>
      </c>
      <c r="I27" s="338" t="s">
        <v>15</v>
      </c>
      <c r="J27" s="338" t="s">
        <v>15</v>
      </c>
      <c r="K27" s="338" t="s">
        <v>15</v>
      </c>
      <c r="L27" s="338" t="s">
        <v>15</v>
      </c>
      <c r="M27" s="338" t="s">
        <v>15</v>
      </c>
      <c r="N27" s="11" t="s">
        <v>15</v>
      </c>
      <c r="O27" s="333">
        <f>SUM(C27:N27)</f>
        <v>0</v>
      </c>
    </row>
    <row r="28" spans="1:15" ht="12.75" customHeight="1" x14ac:dyDescent="0.2">
      <c r="A28" s="15" t="s">
        <v>166</v>
      </c>
      <c r="B28" s="10" t="s">
        <v>14</v>
      </c>
      <c r="C28" s="338">
        <v>973</v>
      </c>
      <c r="D28" s="338">
        <v>637</v>
      </c>
      <c r="E28" s="338">
        <v>327</v>
      </c>
      <c r="F28" s="338">
        <v>312</v>
      </c>
      <c r="G28" s="338">
        <v>2731</v>
      </c>
      <c r="H28" s="338">
        <v>573</v>
      </c>
      <c r="I28" s="338">
        <v>2443</v>
      </c>
      <c r="J28" s="338">
        <v>530</v>
      </c>
      <c r="K28" s="338">
        <v>1031</v>
      </c>
      <c r="L28" s="338">
        <v>218</v>
      </c>
      <c r="M28" s="338">
        <v>627</v>
      </c>
      <c r="N28" s="11">
        <v>28</v>
      </c>
      <c r="O28" s="333">
        <f>SUM(C28:N28)</f>
        <v>10430</v>
      </c>
    </row>
    <row r="29" spans="1:15" ht="12.75" customHeight="1" x14ac:dyDescent="0.2">
      <c r="A29" s="15" t="s">
        <v>167</v>
      </c>
      <c r="B29" s="10" t="s">
        <v>14</v>
      </c>
      <c r="C29" s="338" t="s">
        <v>15</v>
      </c>
      <c r="D29" s="338" t="s">
        <v>15</v>
      </c>
      <c r="E29" s="338" t="s">
        <v>15</v>
      </c>
      <c r="F29" s="338" t="s">
        <v>15</v>
      </c>
      <c r="G29" s="338" t="s">
        <v>15</v>
      </c>
      <c r="H29" s="338" t="s">
        <v>15</v>
      </c>
      <c r="I29" s="338" t="s">
        <v>15</v>
      </c>
      <c r="J29" s="338" t="s">
        <v>15</v>
      </c>
      <c r="K29" s="338" t="s">
        <v>15</v>
      </c>
      <c r="L29" s="338" t="s">
        <v>15</v>
      </c>
      <c r="M29" s="338" t="s">
        <v>15</v>
      </c>
      <c r="N29" s="11" t="s">
        <v>15</v>
      </c>
      <c r="O29" s="333">
        <f>SUM(C29:N29)</f>
        <v>0</v>
      </c>
    </row>
    <row r="30" spans="1:15" ht="12.75" customHeight="1" x14ac:dyDescent="0.2">
      <c r="A30" s="15" t="s">
        <v>168</v>
      </c>
      <c r="B30" s="10" t="s">
        <v>14</v>
      </c>
      <c r="C30" s="338" t="s">
        <v>15</v>
      </c>
      <c r="D30" s="338" t="s">
        <v>15</v>
      </c>
      <c r="E30" s="338" t="s">
        <v>15</v>
      </c>
      <c r="F30" s="338" t="s">
        <v>15</v>
      </c>
      <c r="G30" s="338" t="s">
        <v>15</v>
      </c>
      <c r="H30" s="338" t="s">
        <v>15</v>
      </c>
      <c r="I30" s="338" t="s">
        <v>15</v>
      </c>
      <c r="J30" s="338" t="s">
        <v>15</v>
      </c>
      <c r="K30" s="338" t="s">
        <v>15</v>
      </c>
      <c r="L30" s="338" t="s">
        <v>15</v>
      </c>
      <c r="M30" s="338" t="s">
        <v>15</v>
      </c>
      <c r="N30" s="11" t="s">
        <v>15</v>
      </c>
      <c r="O30" s="333">
        <f>SUM(C30:N30)</f>
        <v>0</v>
      </c>
    </row>
    <row r="31" spans="1:15" ht="12.75" customHeight="1" x14ac:dyDescent="0.2">
      <c r="A31" s="15" t="s">
        <v>73</v>
      </c>
      <c r="B31" s="10" t="s">
        <v>14</v>
      </c>
      <c r="C31" s="11" t="s">
        <v>15</v>
      </c>
      <c r="D31" s="11" t="s">
        <v>15</v>
      </c>
      <c r="E31" s="11" t="s">
        <v>15</v>
      </c>
      <c r="F31" s="11" t="s">
        <v>15</v>
      </c>
      <c r="G31" s="11" t="s">
        <v>15</v>
      </c>
      <c r="H31" s="11" t="s">
        <v>15</v>
      </c>
      <c r="I31" s="11" t="s">
        <v>15</v>
      </c>
      <c r="J31" s="11" t="s">
        <v>15</v>
      </c>
      <c r="K31" s="11" t="s">
        <v>15</v>
      </c>
      <c r="L31" s="11" t="s">
        <v>15</v>
      </c>
      <c r="M31" s="11" t="s">
        <v>15</v>
      </c>
      <c r="N31" s="11" t="s">
        <v>15</v>
      </c>
      <c r="O31" s="333">
        <f>SUM(C31:N31)</f>
        <v>0</v>
      </c>
    </row>
    <row r="32" spans="1:15" ht="12.75" customHeight="1" x14ac:dyDescent="0.2">
      <c r="A32" s="15" t="s">
        <v>169</v>
      </c>
      <c r="B32" s="10" t="s">
        <v>14</v>
      </c>
      <c r="C32" s="338" t="s">
        <v>15</v>
      </c>
      <c r="D32" s="338" t="s">
        <v>15</v>
      </c>
      <c r="E32" s="338" t="s">
        <v>15</v>
      </c>
      <c r="F32" s="338" t="s">
        <v>15</v>
      </c>
      <c r="G32" s="338" t="s">
        <v>15</v>
      </c>
      <c r="H32" s="338" t="s">
        <v>15</v>
      </c>
      <c r="I32" s="338" t="s">
        <v>15</v>
      </c>
      <c r="J32" s="338" t="s">
        <v>15</v>
      </c>
      <c r="K32" s="338" t="s">
        <v>15</v>
      </c>
      <c r="L32" s="338" t="s">
        <v>15</v>
      </c>
      <c r="M32" s="338" t="s">
        <v>15</v>
      </c>
      <c r="N32" s="11" t="s">
        <v>15</v>
      </c>
      <c r="O32" s="333">
        <f>SUM(C32:N32)</f>
        <v>0</v>
      </c>
    </row>
    <row r="33" spans="1:15" ht="12.75" customHeight="1" x14ac:dyDescent="0.2">
      <c r="A33" s="15" t="s">
        <v>29</v>
      </c>
      <c r="B33" s="10" t="s">
        <v>14</v>
      </c>
      <c r="C33" s="11">
        <v>543</v>
      </c>
      <c r="D33" s="11">
        <v>462</v>
      </c>
      <c r="E33" s="11">
        <v>222</v>
      </c>
      <c r="F33" s="11">
        <v>353</v>
      </c>
      <c r="G33" s="11">
        <v>3608</v>
      </c>
      <c r="H33" s="11">
        <v>387</v>
      </c>
      <c r="I33" s="11">
        <v>1705</v>
      </c>
      <c r="J33" s="11">
        <v>398</v>
      </c>
      <c r="K33" s="11">
        <v>620</v>
      </c>
      <c r="L33" s="11">
        <v>163</v>
      </c>
      <c r="M33" s="11">
        <v>405</v>
      </c>
      <c r="N33" s="11">
        <v>18</v>
      </c>
      <c r="O33" s="333">
        <f>SUM(C33:N33)</f>
        <v>8884</v>
      </c>
    </row>
    <row r="34" spans="1:15" ht="12.75" customHeight="1" x14ac:dyDescent="0.2">
      <c r="A34" s="15" t="s">
        <v>30</v>
      </c>
      <c r="B34" s="10" t="s">
        <v>14</v>
      </c>
      <c r="C34" s="11" t="s">
        <v>15</v>
      </c>
      <c r="D34" s="11" t="s">
        <v>15</v>
      </c>
      <c r="E34" s="11" t="s">
        <v>15</v>
      </c>
      <c r="F34" s="11" t="s">
        <v>15</v>
      </c>
      <c r="G34" s="11" t="s">
        <v>15</v>
      </c>
      <c r="H34" s="11" t="s">
        <v>15</v>
      </c>
      <c r="I34" s="11" t="s">
        <v>15</v>
      </c>
      <c r="J34" s="11" t="s">
        <v>15</v>
      </c>
      <c r="K34" s="11" t="s">
        <v>15</v>
      </c>
      <c r="L34" s="11" t="s">
        <v>15</v>
      </c>
      <c r="M34" s="11" t="s">
        <v>15</v>
      </c>
      <c r="N34" s="11" t="s">
        <v>15</v>
      </c>
      <c r="O34" s="333">
        <f>SUM(C34:N34)</f>
        <v>0</v>
      </c>
    </row>
    <row r="35" spans="1:15" ht="12.75" customHeight="1" x14ac:dyDescent="0.2">
      <c r="A35" s="15" t="s">
        <v>74</v>
      </c>
      <c r="B35" s="10" t="s">
        <v>14</v>
      </c>
      <c r="C35" s="338" t="s">
        <v>15</v>
      </c>
      <c r="D35" s="338" t="s">
        <v>15</v>
      </c>
      <c r="E35" s="338" t="s">
        <v>15</v>
      </c>
      <c r="F35" s="338" t="s">
        <v>15</v>
      </c>
      <c r="G35" s="338" t="s">
        <v>15</v>
      </c>
      <c r="H35" s="338" t="s">
        <v>15</v>
      </c>
      <c r="I35" s="338" t="s">
        <v>15</v>
      </c>
      <c r="J35" s="338" t="s">
        <v>15</v>
      </c>
      <c r="K35" s="338" t="s">
        <v>15</v>
      </c>
      <c r="L35" s="338" t="s">
        <v>15</v>
      </c>
      <c r="M35" s="338" t="s">
        <v>15</v>
      </c>
      <c r="N35" s="11" t="s">
        <v>15</v>
      </c>
      <c r="O35" s="333">
        <f>SUM(C35:N35)</f>
        <v>0</v>
      </c>
    </row>
    <row r="36" spans="1:15" ht="12.75" customHeight="1" x14ac:dyDescent="0.2">
      <c r="A36" s="15" t="s">
        <v>75</v>
      </c>
      <c r="B36" s="10" t="s">
        <v>14</v>
      </c>
      <c r="C36" s="338">
        <v>6</v>
      </c>
      <c r="D36" s="338">
        <v>7</v>
      </c>
      <c r="E36" s="338">
        <v>7</v>
      </c>
      <c r="F36" s="338">
        <v>6</v>
      </c>
      <c r="G36" s="338">
        <v>43</v>
      </c>
      <c r="H36" s="338">
        <v>5</v>
      </c>
      <c r="I36" s="338">
        <v>27</v>
      </c>
      <c r="J36" s="338">
        <v>6</v>
      </c>
      <c r="K36" s="338">
        <v>18</v>
      </c>
      <c r="L36" s="338">
        <v>2</v>
      </c>
      <c r="M36" s="338">
        <v>7</v>
      </c>
      <c r="N36" s="11" t="s">
        <v>15</v>
      </c>
      <c r="O36" s="333">
        <f>SUM(C36:N36)</f>
        <v>134</v>
      </c>
    </row>
    <row r="37" spans="1:15" ht="12.75" customHeight="1" x14ac:dyDescent="0.2">
      <c r="A37" s="15" t="s">
        <v>76</v>
      </c>
      <c r="B37" s="10" t="s">
        <v>14</v>
      </c>
      <c r="C37" s="338" t="s">
        <v>15</v>
      </c>
      <c r="D37" s="338" t="s">
        <v>15</v>
      </c>
      <c r="E37" s="338" t="s">
        <v>15</v>
      </c>
      <c r="F37" s="338" t="s">
        <v>15</v>
      </c>
      <c r="G37" s="338" t="s">
        <v>15</v>
      </c>
      <c r="H37" s="338" t="s">
        <v>15</v>
      </c>
      <c r="I37" s="338" t="s">
        <v>15</v>
      </c>
      <c r="J37" s="338" t="s">
        <v>15</v>
      </c>
      <c r="K37" s="338" t="s">
        <v>15</v>
      </c>
      <c r="L37" s="338" t="s">
        <v>15</v>
      </c>
      <c r="M37" s="338" t="s">
        <v>15</v>
      </c>
      <c r="N37" s="11" t="s">
        <v>15</v>
      </c>
      <c r="O37" s="333">
        <f>SUM(C37:N37)</f>
        <v>0</v>
      </c>
    </row>
    <row r="38" spans="1:15" ht="12.75" customHeight="1" x14ac:dyDescent="0.2">
      <c r="A38" s="15" t="s">
        <v>77</v>
      </c>
      <c r="B38" s="10" t="s">
        <v>14</v>
      </c>
      <c r="C38" s="338">
        <v>24</v>
      </c>
      <c r="D38" s="338">
        <v>17</v>
      </c>
      <c r="E38" s="338">
        <v>10</v>
      </c>
      <c r="F38" s="338">
        <v>11</v>
      </c>
      <c r="G38" s="338">
        <v>66</v>
      </c>
      <c r="H38" s="338">
        <v>13</v>
      </c>
      <c r="I38" s="338">
        <v>54</v>
      </c>
      <c r="J38" s="338">
        <v>9</v>
      </c>
      <c r="K38" s="338">
        <v>16</v>
      </c>
      <c r="L38" s="338">
        <v>4</v>
      </c>
      <c r="M38" s="338">
        <v>7</v>
      </c>
      <c r="N38" s="11" t="s">
        <v>15</v>
      </c>
      <c r="O38" s="333">
        <f>SUM(C38:N38)</f>
        <v>231</v>
      </c>
    </row>
    <row r="39" spans="1:15" ht="12.75" customHeight="1" x14ac:dyDescent="0.2">
      <c r="A39" s="15" t="s">
        <v>78</v>
      </c>
      <c r="B39" s="10" t="s">
        <v>14</v>
      </c>
      <c r="C39" s="11" t="s">
        <v>15</v>
      </c>
      <c r="D39" s="11" t="s">
        <v>15</v>
      </c>
      <c r="E39" s="11" t="s">
        <v>15</v>
      </c>
      <c r="F39" s="11" t="s">
        <v>15</v>
      </c>
      <c r="G39" s="11" t="s">
        <v>15</v>
      </c>
      <c r="H39" s="11" t="s">
        <v>15</v>
      </c>
      <c r="I39" s="11" t="s">
        <v>15</v>
      </c>
      <c r="J39" s="11" t="s">
        <v>15</v>
      </c>
      <c r="K39" s="11" t="s">
        <v>15</v>
      </c>
      <c r="L39" s="11" t="s">
        <v>15</v>
      </c>
      <c r="M39" s="11" t="s">
        <v>15</v>
      </c>
      <c r="N39" s="11" t="s">
        <v>15</v>
      </c>
      <c r="O39" s="333">
        <f>SUM(C39:N39)</f>
        <v>0</v>
      </c>
    </row>
    <row r="40" spans="1:15" ht="12.75" customHeight="1" x14ac:dyDescent="0.2">
      <c r="A40" s="15" t="s">
        <v>79</v>
      </c>
      <c r="B40" s="10" t="s">
        <v>14</v>
      </c>
      <c r="C40" s="11">
        <v>171</v>
      </c>
      <c r="D40" s="11">
        <v>64</v>
      </c>
      <c r="E40" s="11">
        <v>80</v>
      </c>
      <c r="F40" s="11">
        <v>75</v>
      </c>
      <c r="G40" s="11">
        <v>497</v>
      </c>
      <c r="H40" s="11">
        <v>112</v>
      </c>
      <c r="I40" s="11">
        <v>509</v>
      </c>
      <c r="J40" s="11">
        <v>99</v>
      </c>
      <c r="K40" s="11">
        <v>175</v>
      </c>
      <c r="L40" s="11">
        <v>57</v>
      </c>
      <c r="M40" s="11">
        <v>102</v>
      </c>
      <c r="N40" s="11">
        <v>5</v>
      </c>
      <c r="O40" s="333">
        <f>SUM(C40:N40)</f>
        <v>1946</v>
      </c>
    </row>
    <row r="41" spans="1:15" ht="12.75" customHeight="1" x14ac:dyDescent="0.2">
      <c r="A41" s="15" t="s">
        <v>80</v>
      </c>
      <c r="B41" s="10" t="s">
        <v>14</v>
      </c>
      <c r="C41" s="11">
        <v>29</v>
      </c>
      <c r="D41" s="11">
        <v>23</v>
      </c>
      <c r="E41" s="11">
        <v>16</v>
      </c>
      <c r="F41" s="11">
        <v>25</v>
      </c>
      <c r="G41" s="11">
        <v>103</v>
      </c>
      <c r="H41" s="11">
        <v>29</v>
      </c>
      <c r="I41" s="11">
        <v>199</v>
      </c>
      <c r="J41" s="11">
        <v>50</v>
      </c>
      <c r="K41" s="11">
        <v>99</v>
      </c>
      <c r="L41" s="11">
        <v>11</v>
      </c>
      <c r="M41" s="11">
        <v>55</v>
      </c>
      <c r="N41" s="11">
        <v>2</v>
      </c>
      <c r="O41" s="333">
        <f>SUM(C41:N41)</f>
        <v>641</v>
      </c>
    </row>
    <row r="42" spans="1:15" ht="12.75" customHeight="1" x14ac:dyDescent="0.2">
      <c r="A42" s="15" t="s">
        <v>133</v>
      </c>
      <c r="B42" s="10" t="s">
        <v>14</v>
      </c>
      <c r="C42" s="11">
        <v>9</v>
      </c>
      <c r="D42" s="11">
        <v>4</v>
      </c>
      <c r="E42" s="11">
        <v>5</v>
      </c>
      <c r="F42" s="11">
        <v>1</v>
      </c>
      <c r="G42" s="11">
        <v>10</v>
      </c>
      <c r="H42" s="11">
        <v>4</v>
      </c>
      <c r="I42" s="11">
        <v>14</v>
      </c>
      <c r="J42" s="11">
        <v>3</v>
      </c>
      <c r="K42" s="11">
        <v>7</v>
      </c>
      <c r="L42" s="11">
        <v>1</v>
      </c>
      <c r="M42" s="11">
        <v>3</v>
      </c>
      <c r="N42" s="11" t="s">
        <v>15</v>
      </c>
      <c r="O42" s="333">
        <f>SUM(C42:N42)</f>
        <v>61</v>
      </c>
    </row>
    <row r="43" spans="1:15" s="283" customFormat="1" ht="12.75" customHeight="1" x14ac:dyDescent="0.2">
      <c r="A43" s="12" t="s">
        <v>210</v>
      </c>
      <c r="B43" s="12" t="s">
        <v>14</v>
      </c>
      <c r="C43" s="338">
        <v>44</v>
      </c>
      <c r="D43" s="338">
        <v>47</v>
      </c>
      <c r="E43" s="338">
        <v>23</v>
      </c>
      <c r="F43" s="338">
        <v>11</v>
      </c>
      <c r="G43" s="338" t="s">
        <v>15</v>
      </c>
      <c r="H43" s="338" t="s">
        <v>15</v>
      </c>
      <c r="I43" s="338" t="s">
        <v>15</v>
      </c>
      <c r="J43" s="338" t="s">
        <v>15</v>
      </c>
      <c r="K43" s="338" t="s">
        <v>15</v>
      </c>
      <c r="L43" s="338" t="s">
        <v>15</v>
      </c>
      <c r="M43" s="338" t="s">
        <v>15</v>
      </c>
      <c r="N43" s="11" t="s">
        <v>15</v>
      </c>
      <c r="O43" s="333">
        <f>SUM(C43:N43)</f>
        <v>125</v>
      </c>
    </row>
    <row r="44" spans="1:15" ht="12.75" customHeight="1" x14ac:dyDescent="0.2">
      <c r="A44" s="15" t="s">
        <v>170</v>
      </c>
      <c r="B44" s="10" t="s">
        <v>14</v>
      </c>
      <c r="C44" s="338" t="s">
        <v>15</v>
      </c>
      <c r="D44" s="338" t="s">
        <v>15</v>
      </c>
      <c r="E44" s="338" t="s">
        <v>15</v>
      </c>
      <c r="F44" s="338" t="s">
        <v>15</v>
      </c>
      <c r="G44" s="338" t="s">
        <v>15</v>
      </c>
      <c r="H44" s="338" t="s">
        <v>15</v>
      </c>
      <c r="I44" s="338" t="s">
        <v>15</v>
      </c>
      <c r="J44" s="338" t="s">
        <v>15</v>
      </c>
      <c r="K44" s="338" t="s">
        <v>15</v>
      </c>
      <c r="L44" s="338" t="s">
        <v>15</v>
      </c>
      <c r="M44" s="338" t="s">
        <v>15</v>
      </c>
      <c r="N44" s="11" t="s">
        <v>15</v>
      </c>
      <c r="O44" s="333">
        <f>SUM(C44:N44)</f>
        <v>0</v>
      </c>
    </row>
    <row r="45" spans="1:15" ht="12.75" customHeight="1" x14ac:dyDescent="0.2">
      <c r="A45" s="182" t="s">
        <v>195</v>
      </c>
      <c r="B45" s="10" t="s">
        <v>14</v>
      </c>
      <c r="C45" s="11">
        <v>40</v>
      </c>
      <c r="D45" s="11">
        <v>26</v>
      </c>
      <c r="E45" s="11">
        <v>10</v>
      </c>
      <c r="F45" s="11">
        <v>3</v>
      </c>
      <c r="G45" s="11">
        <v>125</v>
      </c>
      <c r="H45" s="11">
        <v>72</v>
      </c>
      <c r="I45" s="11">
        <v>128</v>
      </c>
      <c r="J45" s="11">
        <v>30</v>
      </c>
      <c r="K45" s="11">
        <v>150</v>
      </c>
      <c r="L45" s="11">
        <v>20</v>
      </c>
      <c r="M45" s="11">
        <v>89</v>
      </c>
      <c r="N45" s="11">
        <v>3</v>
      </c>
      <c r="O45" s="333">
        <f>SUM(C45:N45)</f>
        <v>696</v>
      </c>
    </row>
    <row r="46" spans="1:15" ht="12.75" customHeight="1" x14ac:dyDescent="0.2">
      <c r="A46" s="15" t="s">
        <v>256</v>
      </c>
      <c r="B46" s="10" t="s">
        <v>14</v>
      </c>
      <c r="C46" s="338">
        <v>29</v>
      </c>
      <c r="D46" s="338">
        <v>29</v>
      </c>
      <c r="E46" s="338">
        <v>9</v>
      </c>
      <c r="F46" s="338">
        <v>17</v>
      </c>
      <c r="G46" s="338">
        <v>138</v>
      </c>
      <c r="H46" s="338">
        <v>21</v>
      </c>
      <c r="I46" s="338">
        <v>111</v>
      </c>
      <c r="J46" s="338">
        <v>18</v>
      </c>
      <c r="K46" s="338">
        <v>52</v>
      </c>
      <c r="L46" s="338">
        <v>8</v>
      </c>
      <c r="M46" s="338">
        <v>19</v>
      </c>
      <c r="N46" s="11">
        <v>1</v>
      </c>
      <c r="O46" s="333">
        <f>SUM(C46:N46)</f>
        <v>452</v>
      </c>
    </row>
    <row r="47" spans="1:15" ht="12.75" customHeight="1" x14ac:dyDescent="0.2">
      <c r="A47" s="15" t="s">
        <v>205</v>
      </c>
      <c r="B47" s="10" t="s">
        <v>14</v>
      </c>
      <c r="C47" s="11">
        <v>47</v>
      </c>
      <c r="D47" s="11">
        <v>38</v>
      </c>
      <c r="E47" s="11">
        <v>28</v>
      </c>
      <c r="F47" s="11">
        <v>30</v>
      </c>
      <c r="G47" s="11">
        <v>274</v>
      </c>
      <c r="H47" s="11">
        <v>38</v>
      </c>
      <c r="I47" s="11">
        <v>276</v>
      </c>
      <c r="J47" s="11">
        <v>35</v>
      </c>
      <c r="K47" s="11">
        <v>71</v>
      </c>
      <c r="L47" s="11">
        <v>23</v>
      </c>
      <c r="M47" s="11">
        <v>52</v>
      </c>
      <c r="N47" s="11">
        <v>2</v>
      </c>
      <c r="O47" s="333">
        <f>SUM(C47:N47)</f>
        <v>914</v>
      </c>
    </row>
    <row r="48" spans="1:15" ht="12.75" customHeight="1" x14ac:dyDescent="0.2">
      <c r="A48" s="15" t="s">
        <v>207</v>
      </c>
      <c r="B48" s="10" t="s">
        <v>14</v>
      </c>
      <c r="C48" s="11" t="s">
        <v>15</v>
      </c>
      <c r="D48" s="11" t="s">
        <v>15</v>
      </c>
      <c r="E48" s="11" t="s">
        <v>15</v>
      </c>
      <c r="F48" s="11" t="s">
        <v>15</v>
      </c>
      <c r="G48" s="11" t="s">
        <v>15</v>
      </c>
      <c r="H48" s="11" t="s">
        <v>15</v>
      </c>
      <c r="I48" s="11" t="s">
        <v>15</v>
      </c>
      <c r="J48" s="11" t="s">
        <v>15</v>
      </c>
      <c r="K48" s="11" t="s">
        <v>15</v>
      </c>
      <c r="L48" s="11" t="s">
        <v>15</v>
      </c>
      <c r="M48" s="11" t="s">
        <v>15</v>
      </c>
      <c r="N48" s="11" t="s">
        <v>15</v>
      </c>
      <c r="O48" s="333">
        <f>SUM(C48:N48)</f>
        <v>0</v>
      </c>
    </row>
    <row r="49" spans="1:15" ht="12.75" customHeight="1" x14ac:dyDescent="0.2">
      <c r="A49" s="15" t="s">
        <v>257</v>
      </c>
      <c r="B49" s="10" t="s">
        <v>14</v>
      </c>
      <c r="C49" s="338">
        <v>199</v>
      </c>
      <c r="D49" s="338">
        <v>155</v>
      </c>
      <c r="E49" s="338">
        <v>122</v>
      </c>
      <c r="F49" s="338">
        <v>122</v>
      </c>
      <c r="G49" s="338">
        <v>1153</v>
      </c>
      <c r="H49" s="338">
        <v>208</v>
      </c>
      <c r="I49" s="338">
        <v>1041</v>
      </c>
      <c r="J49" s="338">
        <v>229</v>
      </c>
      <c r="K49" s="338">
        <v>450</v>
      </c>
      <c r="L49" s="338">
        <v>76</v>
      </c>
      <c r="M49" s="338">
        <v>141</v>
      </c>
      <c r="N49" s="11">
        <v>7</v>
      </c>
      <c r="O49" s="333">
        <f>SUM(C49:N49)</f>
        <v>3903</v>
      </c>
    </row>
    <row r="50" spans="1:15" ht="12.75" customHeight="1" x14ac:dyDescent="0.2">
      <c r="A50" s="15" t="s">
        <v>258</v>
      </c>
      <c r="B50" s="10" t="s">
        <v>14</v>
      </c>
      <c r="C50" s="338">
        <v>53</v>
      </c>
      <c r="D50" s="338">
        <v>58</v>
      </c>
      <c r="E50" s="338">
        <v>2</v>
      </c>
      <c r="F50" s="338">
        <v>3</v>
      </c>
      <c r="G50" s="338">
        <v>23</v>
      </c>
      <c r="H50" s="338">
        <v>2</v>
      </c>
      <c r="I50" s="338">
        <v>11</v>
      </c>
      <c r="J50" s="338">
        <v>2</v>
      </c>
      <c r="K50" s="338">
        <v>2</v>
      </c>
      <c r="L50" s="338">
        <v>1</v>
      </c>
      <c r="M50" s="338">
        <v>3</v>
      </c>
      <c r="N50" s="11" t="s">
        <v>15</v>
      </c>
      <c r="O50" s="333">
        <f>SUM(C50:N50)</f>
        <v>160</v>
      </c>
    </row>
    <row r="51" spans="1:15" ht="12.75" customHeight="1" x14ac:dyDescent="0.2">
      <c r="A51" s="260" t="s">
        <v>41</v>
      </c>
      <c r="B51" s="10" t="s">
        <v>14</v>
      </c>
      <c r="C51" s="11" t="s">
        <v>15</v>
      </c>
      <c r="D51" s="11">
        <v>390.17</v>
      </c>
      <c r="E51" s="11">
        <v>1783.9</v>
      </c>
      <c r="F51" s="11">
        <v>1182.93</v>
      </c>
      <c r="G51" s="11">
        <v>-3292.41</v>
      </c>
      <c r="H51" s="11" t="s">
        <v>15</v>
      </c>
      <c r="I51" s="11">
        <v>431.27</v>
      </c>
      <c r="J51" s="11">
        <v>-448.07</v>
      </c>
      <c r="K51" s="11" t="s">
        <v>15</v>
      </c>
      <c r="L51" s="11">
        <v>6042.19</v>
      </c>
      <c r="M51" s="11">
        <v>-6047.01</v>
      </c>
      <c r="N51" s="11" t="s">
        <v>15</v>
      </c>
      <c r="O51" s="333">
        <f>SUM(C51:N51)</f>
        <v>42.969999999999345</v>
      </c>
    </row>
    <row r="52" spans="1:15" ht="12.75" customHeight="1" x14ac:dyDescent="0.2">
      <c r="A52" s="15" t="s">
        <v>61</v>
      </c>
      <c r="B52" s="10" t="s">
        <v>14</v>
      </c>
      <c r="C52" s="11" t="s">
        <v>15</v>
      </c>
      <c r="D52" s="11" t="s">
        <v>15</v>
      </c>
      <c r="E52" s="11" t="s">
        <v>15</v>
      </c>
      <c r="F52" s="11" t="s">
        <v>15</v>
      </c>
      <c r="G52" s="11" t="s">
        <v>15</v>
      </c>
      <c r="H52" s="11" t="s">
        <v>15</v>
      </c>
      <c r="I52" s="11" t="s">
        <v>15</v>
      </c>
      <c r="J52" s="11" t="s">
        <v>15</v>
      </c>
      <c r="K52" s="11" t="s">
        <v>15</v>
      </c>
      <c r="L52" s="11" t="s">
        <v>15</v>
      </c>
      <c r="M52" s="11" t="s">
        <v>15</v>
      </c>
      <c r="N52" s="11" t="s">
        <v>15</v>
      </c>
      <c r="O52" s="333">
        <f>SUM(C52:N52)</f>
        <v>0</v>
      </c>
    </row>
    <row r="53" spans="1:15" ht="12.75" customHeight="1" x14ac:dyDescent="0.2">
      <c r="A53" s="15" t="s">
        <v>81</v>
      </c>
      <c r="B53" s="10" t="s">
        <v>14</v>
      </c>
      <c r="C53" s="11" t="s">
        <v>15</v>
      </c>
      <c r="D53" s="11" t="s">
        <v>15</v>
      </c>
      <c r="E53" s="11" t="s">
        <v>15</v>
      </c>
      <c r="F53" s="11" t="s">
        <v>15</v>
      </c>
      <c r="G53" s="11" t="s">
        <v>15</v>
      </c>
      <c r="H53" s="11" t="s">
        <v>15</v>
      </c>
      <c r="I53" s="11" t="s">
        <v>15</v>
      </c>
      <c r="J53" s="11" t="s">
        <v>15</v>
      </c>
      <c r="K53" s="11" t="s">
        <v>15</v>
      </c>
      <c r="L53" s="11" t="s">
        <v>15</v>
      </c>
      <c r="M53" s="11" t="s">
        <v>15</v>
      </c>
      <c r="N53" s="11" t="s">
        <v>15</v>
      </c>
      <c r="O53" s="333">
        <f>SUM(C53:N53)</f>
        <v>0</v>
      </c>
    </row>
    <row r="54" spans="1:15" ht="12.75" customHeight="1" x14ac:dyDescent="0.2">
      <c r="A54" s="15" t="s">
        <v>33</v>
      </c>
      <c r="B54" s="10" t="s">
        <v>14</v>
      </c>
      <c r="C54" s="11">
        <v>8453.0300000000007</v>
      </c>
      <c r="D54" s="11" t="s">
        <v>15</v>
      </c>
      <c r="E54" s="11">
        <v>718.07</v>
      </c>
      <c r="F54" s="11">
        <v>3486.69</v>
      </c>
      <c r="G54" s="11">
        <v>4041.46</v>
      </c>
      <c r="H54" s="11">
        <v>2952.7</v>
      </c>
      <c r="I54" s="11">
        <v>11947.24</v>
      </c>
      <c r="J54" s="11">
        <v>-1938.67</v>
      </c>
      <c r="K54" s="11">
        <v>9494.83</v>
      </c>
      <c r="L54" s="11">
        <v>51131.81</v>
      </c>
      <c r="M54" s="11">
        <v>47544.01</v>
      </c>
      <c r="N54" s="11">
        <v>10916.78</v>
      </c>
      <c r="O54" s="333">
        <f>SUM(C54:N54)</f>
        <v>148747.95000000001</v>
      </c>
    </row>
    <row r="55" spans="1:15" s="39" customFormat="1" ht="12.75" customHeight="1" x14ac:dyDescent="0.2">
      <c r="A55" s="40" t="s">
        <v>32</v>
      </c>
      <c r="B55" s="10" t="s">
        <v>14</v>
      </c>
      <c r="C55" s="333">
        <v>75363.399999999994</v>
      </c>
      <c r="D55" s="333">
        <v>93038.25</v>
      </c>
      <c r="E55" s="333">
        <v>72252.2</v>
      </c>
      <c r="F55" s="333">
        <v>130651.69</v>
      </c>
      <c r="G55" s="333">
        <v>111563.03</v>
      </c>
      <c r="H55" s="333">
        <v>85706.63</v>
      </c>
      <c r="I55" s="333">
        <v>44872</v>
      </c>
      <c r="J55" s="333">
        <v>129439.3</v>
      </c>
      <c r="K55" s="333">
        <v>101956.16</v>
      </c>
      <c r="L55" s="333">
        <v>117390.56</v>
      </c>
      <c r="M55" s="333">
        <v>142898.48000000001</v>
      </c>
      <c r="N55" s="333">
        <v>117207.46</v>
      </c>
      <c r="O55" s="333">
        <f>SUM(C55:N55)</f>
        <v>1222339.1599999999</v>
      </c>
    </row>
    <row r="56" spans="1:15" ht="12.75" customHeight="1" x14ac:dyDescent="0.2">
      <c r="A56" s="15" t="s">
        <v>31</v>
      </c>
      <c r="B56" s="10" t="s">
        <v>14</v>
      </c>
      <c r="C56" s="11" t="s">
        <v>15</v>
      </c>
      <c r="D56" s="11" t="s">
        <v>15</v>
      </c>
      <c r="E56" s="11" t="s">
        <v>15</v>
      </c>
      <c r="F56" s="11" t="s">
        <v>15</v>
      </c>
      <c r="G56" s="11" t="s">
        <v>15</v>
      </c>
      <c r="H56" s="11" t="s">
        <v>15</v>
      </c>
      <c r="I56" s="11" t="s">
        <v>15</v>
      </c>
      <c r="J56" s="11" t="s">
        <v>15</v>
      </c>
      <c r="K56" s="11" t="s">
        <v>15</v>
      </c>
      <c r="L56" s="11" t="s">
        <v>15</v>
      </c>
      <c r="M56" s="11" t="s">
        <v>15</v>
      </c>
      <c r="N56" s="11" t="s">
        <v>15</v>
      </c>
      <c r="O56" s="333">
        <f>SUM(C56:N56)</f>
        <v>0</v>
      </c>
    </row>
    <row r="57" spans="1:15" ht="12.75" customHeight="1" x14ac:dyDescent="0.2">
      <c r="A57" s="15" t="s">
        <v>59</v>
      </c>
      <c r="B57" s="10" t="s">
        <v>14</v>
      </c>
      <c r="C57" s="11" t="s">
        <v>15</v>
      </c>
      <c r="D57" s="11" t="s">
        <v>15</v>
      </c>
      <c r="E57" s="11" t="s">
        <v>15</v>
      </c>
      <c r="F57" s="11" t="s">
        <v>15</v>
      </c>
      <c r="G57" s="11" t="s">
        <v>15</v>
      </c>
      <c r="H57" s="11" t="s">
        <v>15</v>
      </c>
      <c r="I57" s="11" t="s">
        <v>15</v>
      </c>
      <c r="J57" s="11" t="s">
        <v>15</v>
      </c>
      <c r="K57" s="11" t="s">
        <v>15</v>
      </c>
      <c r="L57" s="11" t="s">
        <v>15</v>
      </c>
      <c r="M57" s="11" t="s">
        <v>15</v>
      </c>
      <c r="N57" s="11" t="s">
        <v>15</v>
      </c>
      <c r="O57" s="333">
        <f>SUM(C57:N57)</f>
        <v>0</v>
      </c>
    </row>
    <row r="58" spans="1:15" s="39" customFormat="1" ht="12.75" customHeight="1" x14ac:dyDescent="0.2">
      <c r="A58" s="40" t="s">
        <v>161</v>
      </c>
      <c r="B58" s="10" t="s">
        <v>14</v>
      </c>
      <c r="C58" s="333" t="s">
        <v>15</v>
      </c>
      <c r="D58" s="333" t="s">
        <v>15</v>
      </c>
      <c r="E58" s="333" t="s">
        <v>15</v>
      </c>
      <c r="F58" s="333" t="s">
        <v>15</v>
      </c>
      <c r="G58" s="333" t="s">
        <v>15</v>
      </c>
      <c r="H58" s="333" t="s">
        <v>15</v>
      </c>
      <c r="I58" s="333" t="s">
        <v>15</v>
      </c>
      <c r="J58" s="333" t="s">
        <v>15</v>
      </c>
      <c r="K58" s="333" t="s">
        <v>15</v>
      </c>
      <c r="L58" s="333" t="s">
        <v>15</v>
      </c>
      <c r="M58" s="333" t="s">
        <v>15</v>
      </c>
      <c r="N58" s="333" t="s">
        <v>15</v>
      </c>
      <c r="O58" s="333">
        <f>SUM(C58:N58)</f>
        <v>0</v>
      </c>
    </row>
    <row r="59" spans="1:15" s="39" customFormat="1" ht="12.75" customHeight="1" x14ac:dyDescent="0.2">
      <c r="A59" s="184" t="s">
        <v>173</v>
      </c>
      <c r="B59" s="10" t="s">
        <v>14</v>
      </c>
      <c r="C59" s="333" t="s">
        <v>15</v>
      </c>
      <c r="D59" s="333" t="s">
        <v>15</v>
      </c>
      <c r="E59" s="333" t="s">
        <v>15</v>
      </c>
      <c r="F59" s="333" t="s">
        <v>15</v>
      </c>
      <c r="G59" s="333" t="s">
        <v>15</v>
      </c>
      <c r="H59" s="333" t="s">
        <v>15</v>
      </c>
      <c r="I59" s="333" t="s">
        <v>15</v>
      </c>
      <c r="J59" s="333" t="s">
        <v>15</v>
      </c>
      <c r="K59" s="333" t="s">
        <v>15</v>
      </c>
      <c r="L59" s="333" t="s">
        <v>15</v>
      </c>
      <c r="M59" s="333" t="s">
        <v>15</v>
      </c>
      <c r="N59" s="333" t="s">
        <v>15</v>
      </c>
      <c r="O59" s="333">
        <f>SUM(C59:N59)</f>
        <v>0</v>
      </c>
    </row>
    <row r="60" spans="1:15" s="39" customFormat="1" ht="12.75" customHeight="1" x14ac:dyDescent="0.2">
      <c r="A60" s="40" t="s">
        <v>179</v>
      </c>
      <c r="B60" s="10" t="s">
        <v>14</v>
      </c>
      <c r="C60" s="333" t="s">
        <v>15</v>
      </c>
      <c r="D60" s="333" t="s">
        <v>15</v>
      </c>
      <c r="E60" s="333" t="s">
        <v>15</v>
      </c>
      <c r="F60" s="333" t="s">
        <v>15</v>
      </c>
      <c r="G60" s="333" t="s">
        <v>15</v>
      </c>
      <c r="H60" s="333" t="s">
        <v>15</v>
      </c>
      <c r="I60" s="333" t="s">
        <v>15</v>
      </c>
      <c r="J60" s="333">
        <v>-2153</v>
      </c>
      <c r="K60" s="333" t="s">
        <v>15</v>
      </c>
      <c r="L60" s="333" t="s">
        <v>15</v>
      </c>
      <c r="M60" s="333">
        <v>-3325</v>
      </c>
      <c r="N60" s="333" t="s">
        <v>15</v>
      </c>
      <c r="O60" s="333">
        <f>SUM(C60:N60)</f>
        <v>-5478</v>
      </c>
    </row>
    <row r="61" spans="1:15" s="39" customFormat="1" ht="12.75" customHeight="1" x14ac:dyDescent="0.2">
      <c r="A61" s="183" t="s">
        <v>47</v>
      </c>
      <c r="B61" s="10" t="s">
        <v>14</v>
      </c>
      <c r="C61" s="333" t="s">
        <v>15</v>
      </c>
      <c r="D61" s="333" t="s">
        <v>15</v>
      </c>
      <c r="E61" s="333">
        <v>-453.45</v>
      </c>
      <c r="F61" s="333" t="s">
        <v>15</v>
      </c>
      <c r="G61" s="333" t="s">
        <v>15</v>
      </c>
      <c r="H61" s="333">
        <v>-2701.12</v>
      </c>
      <c r="I61" s="333">
        <v>-606.38</v>
      </c>
      <c r="J61" s="333">
        <v>-5039.82</v>
      </c>
      <c r="K61" s="333">
        <v>-15520.43</v>
      </c>
      <c r="L61" s="333">
        <v>-2381.04</v>
      </c>
      <c r="M61" s="333">
        <v>-5143.3</v>
      </c>
      <c r="N61" s="333">
        <v>-30948.59</v>
      </c>
      <c r="O61" s="333">
        <f>SUM(C61:N61)</f>
        <v>-62794.130000000005</v>
      </c>
    </row>
    <row r="62" spans="1:15" s="39" customFormat="1" ht="12.75" customHeight="1" x14ac:dyDescent="0.2">
      <c r="A62" s="184" t="s">
        <v>176</v>
      </c>
      <c r="B62" s="10" t="s">
        <v>14</v>
      </c>
      <c r="C62" s="333" t="s">
        <v>15</v>
      </c>
      <c r="D62" s="333" t="s">
        <v>15</v>
      </c>
      <c r="E62" s="333" t="s">
        <v>15</v>
      </c>
      <c r="F62" s="333" t="s">
        <v>15</v>
      </c>
      <c r="G62" s="333" t="s">
        <v>15</v>
      </c>
      <c r="H62" s="333" t="s">
        <v>15</v>
      </c>
      <c r="I62" s="333" t="s">
        <v>15</v>
      </c>
      <c r="J62" s="333" t="s">
        <v>15</v>
      </c>
      <c r="K62" s="333" t="s">
        <v>15</v>
      </c>
      <c r="L62" s="333" t="s">
        <v>15</v>
      </c>
      <c r="M62" s="333" t="s">
        <v>15</v>
      </c>
      <c r="N62" s="333" t="s">
        <v>15</v>
      </c>
      <c r="O62" s="333">
        <f>SUM(C62:N62)</f>
        <v>0</v>
      </c>
    </row>
    <row r="63" spans="1:15" s="39" customFormat="1" ht="12.75" customHeight="1" x14ac:dyDescent="0.2">
      <c r="A63" s="184" t="s">
        <v>163</v>
      </c>
      <c r="B63" s="10" t="s">
        <v>14</v>
      </c>
      <c r="C63" s="333" t="s">
        <v>15</v>
      </c>
      <c r="D63" s="333" t="s">
        <v>15</v>
      </c>
      <c r="E63" s="333" t="s">
        <v>15</v>
      </c>
      <c r="F63" s="333" t="s">
        <v>15</v>
      </c>
      <c r="G63" s="333" t="s">
        <v>15</v>
      </c>
      <c r="H63" s="333" t="s">
        <v>15</v>
      </c>
      <c r="I63" s="333" t="s">
        <v>15</v>
      </c>
      <c r="J63" s="333" t="s">
        <v>15</v>
      </c>
      <c r="K63" s="333" t="s">
        <v>15</v>
      </c>
      <c r="L63" s="333" t="s">
        <v>15</v>
      </c>
      <c r="M63" s="333" t="s">
        <v>15</v>
      </c>
      <c r="N63" s="333" t="s">
        <v>15</v>
      </c>
      <c r="O63" s="333">
        <f>SUM(C63:N63)</f>
        <v>0</v>
      </c>
    </row>
    <row r="64" spans="1:15" s="39" customFormat="1" ht="12.75" customHeight="1" x14ac:dyDescent="0.2">
      <c r="A64" s="200" t="s">
        <v>174</v>
      </c>
      <c r="B64" s="10" t="s">
        <v>14</v>
      </c>
      <c r="C64" s="333" t="s">
        <v>15</v>
      </c>
      <c r="D64" s="333" t="s">
        <v>15</v>
      </c>
      <c r="E64" s="333" t="s">
        <v>15</v>
      </c>
      <c r="F64" s="333" t="s">
        <v>15</v>
      </c>
      <c r="G64" s="333" t="s">
        <v>15</v>
      </c>
      <c r="H64" s="333" t="s">
        <v>15</v>
      </c>
      <c r="I64" s="333" t="s">
        <v>15</v>
      </c>
      <c r="J64" s="333" t="s">
        <v>15</v>
      </c>
      <c r="K64" s="333" t="s">
        <v>15</v>
      </c>
      <c r="L64" s="333" t="s">
        <v>15</v>
      </c>
      <c r="M64" s="333" t="s">
        <v>15</v>
      </c>
      <c r="N64" s="333" t="s">
        <v>15</v>
      </c>
      <c r="O64" s="333">
        <f>SUM(C64:N64)</f>
        <v>0</v>
      </c>
    </row>
    <row r="65" spans="1:15" s="39" customFormat="1" ht="12.75" customHeight="1" x14ac:dyDescent="0.2">
      <c r="A65" s="184" t="s">
        <v>160</v>
      </c>
      <c r="B65" s="10" t="s">
        <v>14</v>
      </c>
      <c r="C65" s="333" t="s">
        <v>15</v>
      </c>
      <c r="D65" s="333" t="s">
        <v>15</v>
      </c>
      <c r="E65" s="333" t="s">
        <v>15</v>
      </c>
      <c r="F65" s="333" t="s">
        <v>15</v>
      </c>
      <c r="G65" s="333" t="s">
        <v>15</v>
      </c>
      <c r="H65" s="333" t="s">
        <v>15</v>
      </c>
      <c r="I65" s="333" t="s">
        <v>15</v>
      </c>
      <c r="J65" s="333" t="s">
        <v>15</v>
      </c>
      <c r="K65" s="333" t="s">
        <v>15</v>
      </c>
      <c r="L65" s="333" t="s">
        <v>15</v>
      </c>
      <c r="M65" s="333" t="s">
        <v>15</v>
      </c>
      <c r="N65" s="333" t="s">
        <v>15</v>
      </c>
      <c r="O65" s="333">
        <f>SUM(C65:N65)</f>
        <v>0</v>
      </c>
    </row>
    <row r="66" spans="1:15" s="39" customFormat="1" ht="12.75" customHeight="1" x14ac:dyDescent="0.2">
      <c r="A66" s="184" t="s">
        <v>175</v>
      </c>
      <c r="B66" s="10" t="s">
        <v>14</v>
      </c>
      <c r="C66" s="333" t="s">
        <v>15</v>
      </c>
      <c r="D66" s="333" t="s">
        <v>15</v>
      </c>
      <c r="E66" s="333" t="s">
        <v>15</v>
      </c>
      <c r="F66" s="333" t="s">
        <v>15</v>
      </c>
      <c r="G66" s="333" t="s">
        <v>15</v>
      </c>
      <c r="H66" s="333" t="s">
        <v>15</v>
      </c>
      <c r="I66" s="333" t="s">
        <v>15</v>
      </c>
      <c r="J66" s="333" t="s">
        <v>15</v>
      </c>
      <c r="K66" s="333" t="s">
        <v>15</v>
      </c>
      <c r="L66" s="333" t="s">
        <v>15</v>
      </c>
      <c r="M66" s="333" t="s">
        <v>15</v>
      </c>
      <c r="N66" s="333" t="s">
        <v>15</v>
      </c>
      <c r="O66" s="333">
        <f>SUM(C66:N66)</f>
        <v>0</v>
      </c>
    </row>
    <row r="67" spans="1:15" s="39" customFormat="1" ht="12.75" customHeight="1" x14ac:dyDescent="0.2">
      <c r="A67" s="184" t="s">
        <v>164</v>
      </c>
      <c r="B67" s="10" t="s">
        <v>14</v>
      </c>
      <c r="C67" s="333" t="s">
        <v>15</v>
      </c>
      <c r="D67" s="333" t="s">
        <v>15</v>
      </c>
      <c r="E67" s="333" t="s">
        <v>15</v>
      </c>
      <c r="F67" s="333" t="s">
        <v>15</v>
      </c>
      <c r="G67" s="333" t="s">
        <v>15</v>
      </c>
      <c r="H67" s="333" t="s">
        <v>15</v>
      </c>
      <c r="I67" s="333" t="s">
        <v>15</v>
      </c>
      <c r="J67" s="333" t="s">
        <v>15</v>
      </c>
      <c r="K67" s="333" t="s">
        <v>15</v>
      </c>
      <c r="L67" s="333" t="s">
        <v>15</v>
      </c>
      <c r="M67" s="333" t="s">
        <v>15</v>
      </c>
      <c r="N67" s="333" t="s">
        <v>15</v>
      </c>
      <c r="O67" s="333">
        <f>SUM(C67:N67)</f>
        <v>0</v>
      </c>
    </row>
    <row r="68" spans="1:15" s="39" customFormat="1" ht="12.75" customHeight="1" x14ac:dyDescent="0.2">
      <c r="A68" s="183" t="s">
        <v>131</v>
      </c>
      <c r="B68" s="10" t="s">
        <v>14</v>
      </c>
      <c r="C68" s="333" t="s">
        <v>15</v>
      </c>
      <c r="D68" s="333">
        <v>4635.26</v>
      </c>
      <c r="E68" s="333">
        <v>16470.25</v>
      </c>
      <c r="F68" s="333">
        <v>10737.91</v>
      </c>
      <c r="G68" s="333">
        <v>71756.210000000006</v>
      </c>
      <c r="H68" s="333">
        <v>15189.51</v>
      </c>
      <c r="I68" s="333">
        <v>2521.6799999999998</v>
      </c>
      <c r="J68" s="333">
        <v>4202.4799999999996</v>
      </c>
      <c r="K68" s="333">
        <v>5806.38</v>
      </c>
      <c r="L68" s="333" t="s">
        <v>15</v>
      </c>
      <c r="M68" s="333" t="s">
        <v>15</v>
      </c>
      <c r="N68" s="333">
        <v>2460.62</v>
      </c>
      <c r="O68" s="333">
        <f>SUM(C68:N68)</f>
        <v>133780.29999999999</v>
      </c>
    </row>
    <row r="69" spans="1:15" ht="12.75" customHeight="1" x14ac:dyDescent="0.2">
      <c r="A69" s="15" t="s">
        <v>62</v>
      </c>
      <c r="B69" s="10" t="s">
        <v>14</v>
      </c>
      <c r="C69" s="11" t="s">
        <v>15</v>
      </c>
      <c r="D69" s="11" t="s">
        <v>15</v>
      </c>
      <c r="E69" s="11" t="s">
        <v>15</v>
      </c>
      <c r="F69" s="11" t="s">
        <v>15</v>
      </c>
      <c r="G69" s="11" t="s">
        <v>15</v>
      </c>
      <c r="H69" s="11" t="s">
        <v>15</v>
      </c>
      <c r="I69" s="11" t="s">
        <v>15</v>
      </c>
      <c r="J69" s="11" t="s">
        <v>15</v>
      </c>
      <c r="K69" s="11" t="s">
        <v>15</v>
      </c>
      <c r="L69" s="11" t="s">
        <v>15</v>
      </c>
      <c r="M69" s="11" t="s">
        <v>15</v>
      </c>
      <c r="N69" s="11" t="s">
        <v>15</v>
      </c>
      <c r="O69" s="333">
        <f>SUM(C69:N69)</f>
        <v>0</v>
      </c>
    </row>
    <row r="70" spans="1:15" ht="12.75" customHeight="1" x14ac:dyDescent="0.2">
      <c r="A70" s="15" t="s">
        <v>262</v>
      </c>
      <c r="B70" s="10" t="s">
        <v>14</v>
      </c>
      <c r="C70" s="11" t="s">
        <v>15</v>
      </c>
      <c r="D70" s="11">
        <v>27405.919999999998</v>
      </c>
      <c r="E70" s="11">
        <v>601.45000000000005</v>
      </c>
      <c r="F70" s="11" t="s">
        <v>15</v>
      </c>
      <c r="G70" s="11">
        <v>22812.21</v>
      </c>
      <c r="H70" s="11">
        <v>3259.82</v>
      </c>
      <c r="I70" s="11">
        <v>14888.44</v>
      </c>
      <c r="J70" s="11">
        <v>-1869.87</v>
      </c>
      <c r="K70" s="11">
        <v>2250</v>
      </c>
      <c r="L70" s="11">
        <v>9928.42</v>
      </c>
      <c r="M70" s="11" t="s">
        <v>15</v>
      </c>
      <c r="N70" s="11">
        <v>-400</v>
      </c>
      <c r="O70" s="333">
        <f>SUM(C70:N70)</f>
        <v>78876.39</v>
      </c>
    </row>
    <row r="71" spans="1:15" ht="12.75" customHeight="1" x14ac:dyDescent="0.2">
      <c r="A71" s="15" t="s">
        <v>308</v>
      </c>
      <c r="B71" s="10" t="s">
        <v>14</v>
      </c>
      <c r="C71" s="11" t="s">
        <v>15</v>
      </c>
      <c r="D71" s="11" t="s">
        <v>15</v>
      </c>
      <c r="E71" s="11" t="s">
        <v>15</v>
      </c>
      <c r="F71" s="11" t="s">
        <v>15</v>
      </c>
      <c r="G71" s="11" t="s">
        <v>15</v>
      </c>
      <c r="H71" s="11" t="s">
        <v>15</v>
      </c>
      <c r="I71" s="11" t="s">
        <v>15</v>
      </c>
      <c r="J71" s="11" t="s">
        <v>15</v>
      </c>
      <c r="K71" s="11" t="s">
        <v>15</v>
      </c>
      <c r="L71" s="11" t="s">
        <v>15</v>
      </c>
      <c r="M71" s="11" t="s">
        <v>15</v>
      </c>
      <c r="N71" s="11" t="s">
        <v>15</v>
      </c>
      <c r="O71" s="333" t="s">
        <v>15</v>
      </c>
    </row>
    <row r="72" spans="1:15" ht="12.75" customHeight="1" x14ac:dyDescent="0.2">
      <c r="A72" s="15" t="s">
        <v>303</v>
      </c>
      <c r="B72" s="10" t="s">
        <v>14</v>
      </c>
      <c r="C72" s="11" t="s">
        <v>15</v>
      </c>
      <c r="D72" s="11" t="s">
        <v>15</v>
      </c>
      <c r="E72" s="11" t="s">
        <v>15</v>
      </c>
      <c r="F72" s="11" t="s">
        <v>15</v>
      </c>
      <c r="G72" s="11" t="s">
        <v>15</v>
      </c>
      <c r="H72" s="11" t="s">
        <v>15</v>
      </c>
      <c r="I72" s="11" t="s">
        <v>15</v>
      </c>
      <c r="J72" s="11" t="s">
        <v>15</v>
      </c>
      <c r="K72" s="11" t="s">
        <v>15</v>
      </c>
      <c r="L72" s="11" t="s">
        <v>15</v>
      </c>
      <c r="M72" s="11" t="s">
        <v>15</v>
      </c>
      <c r="N72" s="11" t="s">
        <v>15</v>
      </c>
      <c r="O72" s="333" t="s">
        <v>15</v>
      </c>
    </row>
    <row r="73" spans="1:15" ht="12.75" customHeight="1" x14ac:dyDescent="0.2">
      <c r="A73" s="15" t="s">
        <v>304</v>
      </c>
      <c r="B73" s="10" t="s">
        <v>14</v>
      </c>
      <c r="C73" s="11" t="s">
        <v>15</v>
      </c>
      <c r="D73" s="11" t="s">
        <v>15</v>
      </c>
      <c r="E73" s="11" t="s">
        <v>15</v>
      </c>
      <c r="F73" s="11" t="s">
        <v>15</v>
      </c>
      <c r="G73" s="11" t="s">
        <v>15</v>
      </c>
      <c r="H73" s="11" t="s">
        <v>15</v>
      </c>
      <c r="I73" s="11" t="s">
        <v>15</v>
      </c>
      <c r="J73" s="11" t="s">
        <v>15</v>
      </c>
      <c r="K73" s="11" t="s">
        <v>15</v>
      </c>
      <c r="L73" s="11" t="s">
        <v>15</v>
      </c>
      <c r="M73" s="11" t="s">
        <v>15</v>
      </c>
      <c r="N73" s="11" t="s">
        <v>15</v>
      </c>
      <c r="O73" s="333" t="s">
        <v>15</v>
      </c>
    </row>
    <row r="74" spans="1:15" ht="12.75" customHeight="1" x14ac:dyDescent="0.2">
      <c r="A74" s="297" t="s">
        <v>301</v>
      </c>
      <c r="B74" s="10" t="s">
        <v>14</v>
      </c>
      <c r="C74" s="11">
        <v>2386.0700000000002</v>
      </c>
      <c r="D74" s="11" t="s">
        <v>15</v>
      </c>
      <c r="E74" s="11">
        <v>557.14</v>
      </c>
      <c r="F74" s="11" t="s">
        <v>15</v>
      </c>
      <c r="G74" s="11">
        <v>17.53</v>
      </c>
      <c r="H74" s="11" t="s">
        <v>15</v>
      </c>
      <c r="I74" s="11" t="s">
        <v>15</v>
      </c>
      <c r="J74" s="11">
        <v>25.54</v>
      </c>
      <c r="K74" s="11">
        <v>407.78</v>
      </c>
      <c r="L74" s="11">
        <v>122.28</v>
      </c>
      <c r="M74" s="11">
        <v>621.66</v>
      </c>
      <c r="N74" s="11">
        <v>126.58</v>
      </c>
      <c r="O74" s="333">
        <f>SUM(C74:N74)</f>
        <v>4264.5800000000008</v>
      </c>
    </row>
    <row r="75" spans="1:15" ht="12.75" customHeight="1" x14ac:dyDescent="0.2">
      <c r="A75" s="297" t="s">
        <v>302</v>
      </c>
      <c r="B75" s="10" t="s">
        <v>14</v>
      </c>
      <c r="C75" s="11">
        <v>39854.99</v>
      </c>
      <c r="D75" s="11">
        <v>52893.08</v>
      </c>
      <c r="E75" s="11">
        <v>42451.47</v>
      </c>
      <c r="F75" s="339">
        <v>31666.240000000002</v>
      </c>
      <c r="G75" s="11">
        <v>40928.81</v>
      </c>
      <c r="H75" s="11">
        <v>31236.41</v>
      </c>
      <c r="I75" s="11">
        <v>52973.18</v>
      </c>
      <c r="J75" s="11">
        <v>44443.25</v>
      </c>
      <c r="K75" s="11">
        <v>39111.46</v>
      </c>
      <c r="L75" s="11">
        <v>25919.23</v>
      </c>
      <c r="M75" s="11">
        <v>41825.26</v>
      </c>
      <c r="N75" s="11">
        <v>25500.15</v>
      </c>
      <c r="O75" s="333">
        <f>SUM(C75:N75)</f>
        <v>468803.53</v>
      </c>
    </row>
    <row r="76" spans="1:15" ht="12.75" customHeight="1" x14ac:dyDescent="0.2">
      <c r="A76" s="182" t="s">
        <v>219</v>
      </c>
      <c r="B76" s="10" t="s">
        <v>14</v>
      </c>
      <c r="C76" s="11">
        <v>1858.5</v>
      </c>
      <c r="D76" s="11" t="s">
        <v>15</v>
      </c>
      <c r="E76" s="11" t="s">
        <v>15</v>
      </c>
      <c r="F76" s="11" t="s">
        <v>15</v>
      </c>
      <c r="G76" s="11" t="s">
        <v>15</v>
      </c>
      <c r="H76" s="11">
        <v>45.84</v>
      </c>
      <c r="I76" s="11" t="s">
        <v>15</v>
      </c>
      <c r="J76" s="11" t="s">
        <v>15</v>
      </c>
      <c r="K76" s="11">
        <v>1089.02</v>
      </c>
      <c r="L76" s="11">
        <v>1873.3</v>
      </c>
      <c r="M76" s="11">
        <v>5311.9</v>
      </c>
      <c r="N76" s="11">
        <v>9757.36</v>
      </c>
      <c r="O76" s="333">
        <f>SUM(C76:N76)</f>
        <v>19935.919999999998</v>
      </c>
    </row>
    <row r="77" spans="1:15" ht="12.75" customHeight="1" x14ac:dyDescent="0.2">
      <c r="A77" s="260" t="s">
        <v>218</v>
      </c>
      <c r="B77" s="10" t="s">
        <v>14</v>
      </c>
      <c r="C77" s="333" t="s">
        <v>15</v>
      </c>
      <c r="D77" s="11" t="s">
        <v>15</v>
      </c>
      <c r="E77" s="11" t="s">
        <v>15</v>
      </c>
      <c r="F77" s="11" t="s">
        <v>15</v>
      </c>
      <c r="G77" s="11" t="s">
        <v>15</v>
      </c>
      <c r="H77" s="11" t="s">
        <v>15</v>
      </c>
      <c r="I77" s="11" t="s">
        <v>15</v>
      </c>
      <c r="J77" s="11" t="s">
        <v>15</v>
      </c>
      <c r="K77" s="11" t="s">
        <v>15</v>
      </c>
      <c r="L77" s="11" t="s">
        <v>15</v>
      </c>
      <c r="M77" s="11" t="s">
        <v>15</v>
      </c>
      <c r="N77" s="11" t="s">
        <v>15</v>
      </c>
      <c r="O77" s="333">
        <f>SUM(C77:N77)</f>
        <v>0</v>
      </c>
    </row>
    <row r="78" spans="1:15" s="1" customFormat="1" ht="12.75" customHeight="1" x14ac:dyDescent="0.25">
      <c r="A78" s="29" t="s">
        <v>83</v>
      </c>
      <c r="B78" s="9"/>
      <c r="C78" s="331">
        <f>SUM(C8:C77)</f>
        <v>132405.99</v>
      </c>
      <c r="D78" s="331">
        <f>SUM(D8:D77)</f>
        <v>181702.68</v>
      </c>
      <c r="E78" s="331">
        <f>SUM(E8:E77)</f>
        <v>136466.03</v>
      </c>
      <c r="F78" s="331">
        <f>SUM(F8:F77)</f>
        <v>179795.46</v>
      </c>
      <c r="G78" s="331">
        <f>SUM(G8:G77)</f>
        <v>274140.82</v>
      </c>
      <c r="H78" s="331">
        <f>SUM(H8:H77)</f>
        <v>135881.81</v>
      </c>
      <c r="I78" s="331">
        <f>SUM(I8:I77)</f>
        <v>145953.43</v>
      </c>
      <c r="J78" s="331">
        <f>SUM(J8:J77)</f>
        <v>170344.13999999998</v>
      </c>
      <c r="K78" s="331">
        <f>SUM(K8:K77)</f>
        <v>153069.19999999998</v>
      </c>
      <c r="L78" s="331">
        <f>SUM(L8:L77)</f>
        <v>212172.75</v>
      </c>
      <c r="M78" s="331">
        <f>SUM(M8:M77)</f>
        <v>228255.00000000003</v>
      </c>
      <c r="N78" s="331">
        <f>SUM(N8:N77)</f>
        <v>134617.35999999999</v>
      </c>
      <c r="O78" s="340">
        <f>SUM(O8:O77)</f>
        <v>2084804.6699999997</v>
      </c>
    </row>
    <row r="79" spans="1:15" ht="12.75" customHeight="1" x14ac:dyDescent="0.2">
      <c r="A79" s="15"/>
      <c r="B79" s="10"/>
    </row>
    <row r="80" spans="1:15" ht="12.75" customHeight="1" x14ac:dyDescent="0.2">
      <c r="A80" s="260" t="s">
        <v>218</v>
      </c>
      <c r="B80" s="12" t="s">
        <v>251</v>
      </c>
      <c r="C80" s="333" t="s">
        <v>15</v>
      </c>
      <c r="D80" s="11" t="s">
        <v>15</v>
      </c>
      <c r="E80" s="11" t="s">
        <v>15</v>
      </c>
      <c r="F80" s="11" t="s">
        <v>15</v>
      </c>
      <c r="G80" s="11" t="s">
        <v>15</v>
      </c>
      <c r="H80" s="11" t="s">
        <v>15</v>
      </c>
      <c r="I80" s="11" t="s">
        <v>15</v>
      </c>
      <c r="J80" s="11" t="s">
        <v>15</v>
      </c>
      <c r="K80" s="11" t="s">
        <v>15</v>
      </c>
      <c r="L80" s="11" t="s">
        <v>15</v>
      </c>
      <c r="M80" s="11" t="s">
        <v>15</v>
      </c>
      <c r="N80" s="11" t="s">
        <v>15</v>
      </c>
      <c r="O80" s="333">
        <f>SUM(C80:N80)</f>
        <v>0</v>
      </c>
    </row>
    <row r="81" spans="1:15" ht="12.75" customHeight="1" x14ac:dyDescent="0.2">
      <c r="A81" s="182" t="s">
        <v>219</v>
      </c>
      <c r="B81" s="12" t="s">
        <v>251</v>
      </c>
      <c r="C81" s="333">
        <v>5429.63</v>
      </c>
      <c r="D81" s="11">
        <v>34264.44</v>
      </c>
      <c r="E81" s="11">
        <v>1951.45</v>
      </c>
      <c r="F81" s="11">
        <v>13361.18</v>
      </c>
      <c r="G81" s="11">
        <v>18571.580000000002</v>
      </c>
      <c r="H81" s="11">
        <v>17808.650000000001</v>
      </c>
      <c r="I81" s="11">
        <v>17988.62</v>
      </c>
      <c r="J81" s="11">
        <v>16751.96</v>
      </c>
      <c r="K81" s="11">
        <v>16496.11</v>
      </c>
      <c r="L81" s="11">
        <v>13612.03</v>
      </c>
      <c r="M81" s="11">
        <v>15906.45</v>
      </c>
      <c r="N81" s="11">
        <v>12489.7</v>
      </c>
      <c r="O81" s="333">
        <f>SUM(C81:N81)</f>
        <v>184631.80000000002</v>
      </c>
    </row>
    <row r="82" spans="1:15" ht="12.75" customHeight="1" x14ac:dyDescent="0.2">
      <c r="A82" s="297" t="s">
        <v>303</v>
      </c>
      <c r="B82" s="12" t="s">
        <v>251</v>
      </c>
      <c r="C82" s="333">
        <v>6710.79</v>
      </c>
      <c r="D82" s="11">
        <v>16753.05</v>
      </c>
      <c r="E82" s="11">
        <v>13784.23</v>
      </c>
      <c r="F82" s="339">
        <v>6548.99</v>
      </c>
      <c r="G82" s="11">
        <v>25449.83</v>
      </c>
      <c r="H82" s="11">
        <v>17691.97</v>
      </c>
      <c r="I82" s="11">
        <v>8574.67</v>
      </c>
      <c r="J82" s="11">
        <v>9284.1</v>
      </c>
      <c r="K82" s="11">
        <v>13090.94</v>
      </c>
      <c r="L82" s="11">
        <v>16408.89</v>
      </c>
      <c r="M82" s="11">
        <v>18206.89</v>
      </c>
      <c r="N82" s="11">
        <v>12351.43</v>
      </c>
      <c r="O82" s="333">
        <f>SUM(C82:N82)</f>
        <v>164855.78000000003</v>
      </c>
    </row>
    <row r="83" spans="1:15" ht="12.75" customHeight="1" x14ac:dyDescent="0.2">
      <c r="A83" s="297" t="s">
        <v>301</v>
      </c>
      <c r="B83" s="12" t="s">
        <v>251</v>
      </c>
      <c r="C83" s="333">
        <v>107.32</v>
      </c>
      <c r="D83" s="11">
        <v>354.26</v>
      </c>
      <c r="E83" s="11" t="s">
        <v>15</v>
      </c>
      <c r="F83" s="11" t="s">
        <v>15</v>
      </c>
      <c r="G83" s="11">
        <v>54.46</v>
      </c>
      <c r="H83" s="11">
        <v>50.54</v>
      </c>
      <c r="I83" s="11">
        <v>82.39</v>
      </c>
      <c r="J83" s="11" t="s">
        <v>15</v>
      </c>
      <c r="K83" s="11" t="s">
        <v>15</v>
      </c>
      <c r="L83" s="11" t="s">
        <v>15</v>
      </c>
      <c r="M83" s="11" t="s">
        <v>15</v>
      </c>
      <c r="N83" s="11">
        <v>212.21</v>
      </c>
      <c r="O83" s="333">
        <f>SUM(C83:N83)</f>
        <v>861.18</v>
      </c>
    </row>
    <row r="84" spans="1:15" ht="12.75" customHeight="1" x14ac:dyDescent="0.2">
      <c r="A84" s="297" t="s">
        <v>304</v>
      </c>
      <c r="B84" s="12" t="s">
        <v>251</v>
      </c>
      <c r="C84" s="333">
        <v>483.04</v>
      </c>
      <c r="D84" s="11">
        <v>2808</v>
      </c>
      <c r="E84" s="11">
        <v>92.29</v>
      </c>
      <c r="F84" s="339">
        <v>8456.84</v>
      </c>
      <c r="G84" s="11">
        <v>2194.64</v>
      </c>
      <c r="H84" s="11">
        <v>1302.71</v>
      </c>
      <c r="I84" s="11">
        <v>4558.63</v>
      </c>
      <c r="J84" s="11">
        <v>5583.25</v>
      </c>
      <c r="K84" s="11">
        <v>2772.03</v>
      </c>
      <c r="L84" s="11">
        <v>1765.59</v>
      </c>
      <c r="M84" s="11">
        <v>5809.82</v>
      </c>
      <c r="N84" s="11">
        <v>5259.32</v>
      </c>
      <c r="O84" s="333">
        <f>SUM(C84:N84)</f>
        <v>41086.159999999996</v>
      </c>
    </row>
    <row r="85" spans="1:15" ht="12.75" customHeight="1" x14ac:dyDescent="0.2">
      <c r="A85" s="297" t="s">
        <v>302</v>
      </c>
      <c r="B85" s="12" t="s">
        <v>251</v>
      </c>
      <c r="C85" s="333">
        <v>2102.89</v>
      </c>
      <c r="D85" s="11">
        <v>2982.56</v>
      </c>
      <c r="E85" s="11">
        <v>3649.98</v>
      </c>
      <c r="F85" s="339">
        <v>1002.56</v>
      </c>
      <c r="G85" s="11">
        <v>2544.5100000000002</v>
      </c>
      <c r="H85" s="11">
        <v>1592.96</v>
      </c>
      <c r="I85" s="11">
        <v>1748.16</v>
      </c>
      <c r="J85" s="11">
        <v>2133.77</v>
      </c>
      <c r="K85" s="11">
        <v>1923.2</v>
      </c>
      <c r="L85" s="11">
        <v>1987.61</v>
      </c>
      <c r="M85" s="11">
        <v>3129.73</v>
      </c>
      <c r="N85" s="11">
        <v>2023.87</v>
      </c>
      <c r="O85" s="333">
        <f>SUM(C85:N85)</f>
        <v>26821.8</v>
      </c>
    </row>
    <row r="86" spans="1:15" ht="12.75" customHeight="1" x14ac:dyDescent="0.2">
      <c r="A86" s="297" t="s">
        <v>308</v>
      </c>
      <c r="B86" s="12" t="s">
        <v>251</v>
      </c>
      <c r="C86" s="333">
        <v>1194.6600000000001</v>
      </c>
      <c r="D86" s="11">
        <v>173</v>
      </c>
      <c r="E86" s="11">
        <v>6590.53</v>
      </c>
      <c r="F86" s="11">
        <v>1933.72</v>
      </c>
      <c r="G86" s="11">
        <v>2938.4</v>
      </c>
      <c r="H86" s="11">
        <v>92.94</v>
      </c>
      <c r="I86" s="11">
        <v>12352.58</v>
      </c>
      <c r="J86" s="11">
        <v>31708.39</v>
      </c>
      <c r="K86" s="11">
        <v>6423.63</v>
      </c>
      <c r="L86" s="11">
        <v>10404.59</v>
      </c>
      <c r="M86" s="11">
        <v>3033</v>
      </c>
      <c r="N86" s="11">
        <v>6896.46</v>
      </c>
      <c r="O86" s="333">
        <f>SUM(C86:N86)</f>
        <v>83741.900000000009</v>
      </c>
    </row>
    <row r="87" spans="1:15" ht="12.75" customHeight="1" x14ac:dyDescent="0.2">
      <c r="A87" s="260" t="s">
        <v>262</v>
      </c>
      <c r="B87" s="12" t="s">
        <v>251</v>
      </c>
      <c r="C87" s="333">
        <v>90284.32</v>
      </c>
      <c r="D87" s="11">
        <v>76941.88</v>
      </c>
      <c r="E87" s="11">
        <v>116623.44</v>
      </c>
      <c r="F87" s="11">
        <v>67355.38</v>
      </c>
      <c r="G87" s="11">
        <v>149581.18</v>
      </c>
      <c r="H87" s="11">
        <v>31358.799999999999</v>
      </c>
      <c r="I87" s="11">
        <v>88585.47</v>
      </c>
      <c r="J87" s="11">
        <v>46234.03</v>
      </c>
      <c r="K87" s="11">
        <v>157237.71</v>
      </c>
      <c r="L87" s="11">
        <v>51518.68</v>
      </c>
      <c r="M87" s="11">
        <v>77561.710000000006</v>
      </c>
      <c r="N87" s="11">
        <v>47305.91</v>
      </c>
      <c r="O87" s="333">
        <f>SUM(C87:N87)</f>
        <v>1000588.51</v>
      </c>
    </row>
    <row r="88" spans="1:15" ht="12.75" customHeight="1" x14ac:dyDescent="0.2">
      <c r="A88" s="15" t="s">
        <v>262</v>
      </c>
      <c r="B88" s="12" t="s">
        <v>263</v>
      </c>
      <c r="C88" s="333" t="s">
        <v>15</v>
      </c>
      <c r="D88" s="11" t="s">
        <v>15</v>
      </c>
      <c r="E88" s="11" t="s">
        <v>15</v>
      </c>
      <c r="F88" s="11" t="s">
        <v>15</v>
      </c>
      <c r="G88" s="11" t="s">
        <v>15</v>
      </c>
      <c r="H88" s="11" t="s">
        <v>15</v>
      </c>
      <c r="I88" s="11" t="s">
        <v>15</v>
      </c>
      <c r="J88" s="11" t="s">
        <v>15</v>
      </c>
      <c r="K88" s="11" t="s">
        <v>15</v>
      </c>
      <c r="L88" s="11" t="s">
        <v>15</v>
      </c>
      <c r="M88" s="11" t="s">
        <v>15</v>
      </c>
      <c r="N88" s="11" t="s">
        <v>15</v>
      </c>
      <c r="O88" s="333">
        <f>SUM(C88:N88)</f>
        <v>0</v>
      </c>
    </row>
    <row r="89" spans="1:15" customFormat="1" ht="15" x14ac:dyDescent="0.25">
      <c r="A89" s="329" t="s">
        <v>354</v>
      </c>
      <c r="B89" s="168" t="s">
        <v>251</v>
      </c>
      <c r="C89" s="11" t="s">
        <v>15</v>
      </c>
      <c r="D89" s="11" t="s">
        <v>15</v>
      </c>
      <c r="E89" s="11" t="s">
        <v>15</v>
      </c>
      <c r="F89" s="11" t="s">
        <v>15</v>
      </c>
      <c r="G89" s="11">
        <v>4968.09</v>
      </c>
      <c r="H89" s="11">
        <v>1656.03</v>
      </c>
      <c r="I89" s="11" t="s">
        <v>15</v>
      </c>
      <c r="J89" s="11" t="s">
        <v>15</v>
      </c>
      <c r="K89" s="11" t="s">
        <v>15</v>
      </c>
      <c r="L89" s="11" t="s">
        <v>15</v>
      </c>
      <c r="M89" s="11" t="s">
        <v>15</v>
      </c>
      <c r="N89" s="11">
        <v>-4890.03</v>
      </c>
      <c r="O89" s="333">
        <f>SUM(C89:N89)</f>
        <v>1734.0900000000001</v>
      </c>
    </row>
    <row r="90" spans="1:15" ht="12.75" customHeight="1" x14ac:dyDescent="0.2">
      <c r="A90" s="297" t="s">
        <v>324</v>
      </c>
      <c r="B90" s="168" t="s">
        <v>69</v>
      </c>
      <c r="C90" s="333">
        <v>1233.5999999999999</v>
      </c>
      <c r="D90" s="11">
        <v>577.02</v>
      </c>
      <c r="E90" s="11">
        <v>656.58</v>
      </c>
      <c r="F90" s="11" t="s">
        <v>15</v>
      </c>
      <c r="G90" s="11">
        <v>2097.44</v>
      </c>
      <c r="H90" s="11" t="s">
        <v>15</v>
      </c>
      <c r="I90" s="11" t="s">
        <v>15</v>
      </c>
      <c r="J90" s="11" t="s">
        <v>15</v>
      </c>
      <c r="K90" s="11" t="s">
        <v>15</v>
      </c>
      <c r="L90" s="11" t="s">
        <v>15</v>
      </c>
      <c r="M90" s="11" t="s">
        <v>15</v>
      </c>
      <c r="N90" s="11" t="s">
        <v>15</v>
      </c>
      <c r="O90" s="341">
        <f>SUM(C90:N90)</f>
        <v>4564.6399999999994</v>
      </c>
    </row>
    <row r="91" spans="1:15" ht="12.75" customHeight="1" x14ac:dyDescent="0.2">
      <c r="A91" s="15" t="s">
        <v>369</v>
      </c>
      <c r="B91" s="168" t="s">
        <v>69</v>
      </c>
      <c r="C91" s="333">
        <v>116.15</v>
      </c>
      <c r="D91" s="11">
        <v>328.37</v>
      </c>
      <c r="E91" s="11" t="s">
        <v>15</v>
      </c>
      <c r="F91" s="11">
        <v>-59.85</v>
      </c>
      <c r="G91" s="11">
        <v>308.95999999999998</v>
      </c>
      <c r="H91" s="11" t="s">
        <v>15</v>
      </c>
      <c r="I91" s="11" t="s">
        <v>15</v>
      </c>
      <c r="J91" s="11">
        <v>5313.95</v>
      </c>
      <c r="K91" s="11" t="s">
        <v>15</v>
      </c>
      <c r="L91" s="11" t="s">
        <v>15</v>
      </c>
      <c r="M91" s="11">
        <v>800</v>
      </c>
      <c r="N91" s="11" t="s">
        <v>15</v>
      </c>
      <c r="O91" s="341">
        <f>SUM(C91:N91)</f>
        <v>6807.58</v>
      </c>
    </row>
    <row r="92" spans="1:15" ht="12.75" customHeight="1" x14ac:dyDescent="0.2">
      <c r="A92" s="15" t="s">
        <v>335</v>
      </c>
      <c r="B92" s="168" t="s">
        <v>69</v>
      </c>
      <c r="C92" s="333">
        <v>157.52000000000001</v>
      </c>
      <c r="D92" s="11">
        <v>124.88</v>
      </c>
      <c r="E92" s="11">
        <v>59.78</v>
      </c>
      <c r="F92" s="11">
        <v>33.42</v>
      </c>
      <c r="G92" s="11">
        <v>36.36</v>
      </c>
      <c r="H92" s="11">
        <v>49.83</v>
      </c>
      <c r="I92" s="11" t="s">
        <v>15</v>
      </c>
      <c r="J92" s="11" t="s">
        <v>15</v>
      </c>
      <c r="K92" s="11" t="s">
        <v>15</v>
      </c>
      <c r="L92" s="11" t="s">
        <v>15</v>
      </c>
      <c r="M92" s="11" t="s">
        <v>15</v>
      </c>
      <c r="N92" s="11" t="s">
        <v>15</v>
      </c>
      <c r="O92" s="341">
        <f>SUM(C92:N92)</f>
        <v>461.78999999999996</v>
      </c>
    </row>
    <row r="93" spans="1:15" ht="12.75" customHeight="1" x14ac:dyDescent="0.2">
      <c r="A93" s="15" t="s">
        <v>336</v>
      </c>
      <c r="B93" s="330" t="s">
        <v>69</v>
      </c>
      <c r="C93" s="333" t="s">
        <v>15</v>
      </c>
      <c r="D93" s="11" t="s">
        <v>15</v>
      </c>
      <c r="E93" s="11" t="s">
        <v>15</v>
      </c>
      <c r="F93" s="11" t="s">
        <v>15</v>
      </c>
      <c r="G93" s="11" t="s">
        <v>15</v>
      </c>
      <c r="H93" s="11" t="s">
        <v>15</v>
      </c>
      <c r="I93" s="11" t="s">
        <v>15</v>
      </c>
      <c r="J93" s="11" t="s">
        <v>15</v>
      </c>
      <c r="K93" s="11" t="s">
        <v>15</v>
      </c>
      <c r="L93" s="11" t="s">
        <v>15</v>
      </c>
      <c r="M93" s="11" t="s">
        <v>15</v>
      </c>
      <c r="N93" s="11" t="s">
        <v>15</v>
      </c>
      <c r="O93" s="333">
        <f>SUM(C93:N93)</f>
        <v>0</v>
      </c>
    </row>
    <row r="94" spans="1:15" ht="12.75" customHeight="1" x14ac:dyDescent="0.2">
      <c r="A94" s="15" t="s">
        <v>337</v>
      </c>
      <c r="B94" s="330" t="s">
        <v>69</v>
      </c>
      <c r="C94" s="333" t="s">
        <v>15</v>
      </c>
      <c r="D94" s="11" t="s">
        <v>15</v>
      </c>
      <c r="E94" s="11" t="s">
        <v>15</v>
      </c>
      <c r="F94" s="11" t="s">
        <v>15</v>
      </c>
      <c r="G94" s="11" t="s">
        <v>15</v>
      </c>
      <c r="H94" s="11" t="s">
        <v>15</v>
      </c>
      <c r="I94" s="11" t="s">
        <v>15</v>
      </c>
      <c r="J94" s="11" t="s">
        <v>15</v>
      </c>
      <c r="K94" s="11" t="s">
        <v>15</v>
      </c>
      <c r="L94" s="11" t="s">
        <v>15</v>
      </c>
      <c r="M94" s="11" t="s">
        <v>15</v>
      </c>
      <c r="N94" s="11" t="s">
        <v>15</v>
      </c>
      <c r="O94" s="333">
        <f>SUM(C94:N94)</f>
        <v>0</v>
      </c>
    </row>
    <row r="95" spans="1:15" ht="12.75" customHeight="1" x14ac:dyDescent="0.2">
      <c r="A95" s="15" t="s">
        <v>338</v>
      </c>
      <c r="B95" s="330" t="s">
        <v>69</v>
      </c>
      <c r="C95" s="333" t="s">
        <v>15</v>
      </c>
      <c r="D95" s="11" t="s">
        <v>15</v>
      </c>
      <c r="E95" s="11" t="s">
        <v>15</v>
      </c>
      <c r="F95" s="11" t="s">
        <v>15</v>
      </c>
      <c r="G95" s="11" t="s">
        <v>15</v>
      </c>
      <c r="H95" s="11" t="s">
        <v>15</v>
      </c>
      <c r="I95" s="11" t="s">
        <v>15</v>
      </c>
      <c r="J95" s="11" t="s">
        <v>15</v>
      </c>
      <c r="K95" s="11" t="s">
        <v>15</v>
      </c>
      <c r="L95" s="11" t="s">
        <v>15</v>
      </c>
      <c r="M95" s="11" t="s">
        <v>15</v>
      </c>
      <c r="N95" s="11" t="s">
        <v>15</v>
      </c>
      <c r="O95" s="333">
        <f>SUM(C95:N95)</f>
        <v>0</v>
      </c>
    </row>
    <row r="96" spans="1:15" ht="12.75" customHeight="1" x14ac:dyDescent="0.2">
      <c r="A96" s="15" t="s">
        <v>344</v>
      </c>
      <c r="B96" s="168" t="s">
        <v>69</v>
      </c>
      <c r="C96" s="333">
        <v>43</v>
      </c>
      <c r="D96" s="11">
        <v>53</v>
      </c>
      <c r="E96" s="11">
        <v>43</v>
      </c>
      <c r="F96" s="11">
        <v>43</v>
      </c>
      <c r="G96" s="11">
        <v>53</v>
      </c>
      <c r="H96" s="11">
        <v>43</v>
      </c>
      <c r="I96" s="11">
        <v>43</v>
      </c>
      <c r="J96" s="11">
        <v>53</v>
      </c>
      <c r="K96" s="11">
        <v>43</v>
      </c>
      <c r="L96" s="11">
        <v>43</v>
      </c>
      <c r="M96" s="11">
        <v>53</v>
      </c>
      <c r="N96" s="11">
        <v>43</v>
      </c>
      <c r="O96" s="342">
        <f>SUM(C96:N96)</f>
        <v>556</v>
      </c>
    </row>
    <row r="97" spans="1:15" ht="12.75" customHeight="1" x14ac:dyDescent="0.2">
      <c r="A97" s="15" t="s">
        <v>339</v>
      </c>
      <c r="B97" s="168" t="s">
        <v>69</v>
      </c>
      <c r="C97" s="333">
        <v>723</v>
      </c>
      <c r="D97" s="11">
        <v>904</v>
      </c>
      <c r="E97" s="11">
        <v>723</v>
      </c>
      <c r="F97" s="11">
        <v>723</v>
      </c>
      <c r="G97" s="11">
        <v>904</v>
      </c>
      <c r="H97" s="11">
        <v>723</v>
      </c>
      <c r="I97" s="11">
        <v>1123</v>
      </c>
      <c r="J97" s="11">
        <v>904</v>
      </c>
      <c r="K97" s="11">
        <v>723</v>
      </c>
      <c r="L97" s="11">
        <v>723</v>
      </c>
      <c r="M97" s="11">
        <v>904</v>
      </c>
      <c r="N97" s="11">
        <v>723</v>
      </c>
      <c r="O97" s="333">
        <f>SUM(C97:N97)</f>
        <v>9800</v>
      </c>
    </row>
    <row r="98" spans="1:15" ht="12.75" customHeight="1" x14ac:dyDescent="0.2">
      <c r="A98" s="15" t="s">
        <v>326</v>
      </c>
      <c r="B98" s="168" t="s">
        <v>69</v>
      </c>
      <c r="C98" s="333">
        <v>2085</v>
      </c>
      <c r="D98" s="11">
        <v>2606</v>
      </c>
      <c r="E98" s="11">
        <v>2085</v>
      </c>
      <c r="F98" s="11">
        <v>2085</v>
      </c>
      <c r="G98" s="11">
        <v>2606</v>
      </c>
      <c r="H98" s="11">
        <v>2085</v>
      </c>
      <c r="I98" s="11">
        <v>2085</v>
      </c>
      <c r="J98" s="11">
        <v>2606</v>
      </c>
      <c r="K98" s="11">
        <v>2085</v>
      </c>
      <c r="L98" s="11">
        <v>2085</v>
      </c>
      <c r="M98" s="11">
        <v>2606</v>
      </c>
      <c r="N98" s="11">
        <v>2085</v>
      </c>
      <c r="O98" s="333">
        <f>SUM(C98:N98)</f>
        <v>27104</v>
      </c>
    </row>
    <row r="99" spans="1:15" ht="12.75" customHeight="1" x14ac:dyDescent="0.2">
      <c r="A99" s="15" t="s">
        <v>342</v>
      </c>
      <c r="B99" s="168" t="s">
        <v>69</v>
      </c>
      <c r="C99" s="333">
        <v>1404</v>
      </c>
      <c r="D99" s="11">
        <v>1755</v>
      </c>
      <c r="E99" s="11">
        <v>1404</v>
      </c>
      <c r="F99" s="11">
        <v>1404</v>
      </c>
      <c r="G99" s="11">
        <v>1755</v>
      </c>
      <c r="H99" s="11">
        <v>1404</v>
      </c>
      <c r="I99" s="11">
        <v>1404</v>
      </c>
      <c r="J99" s="11">
        <v>1755</v>
      </c>
      <c r="K99" s="11">
        <v>1404</v>
      </c>
      <c r="L99" s="11">
        <v>1404</v>
      </c>
      <c r="M99" s="11">
        <v>1755</v>
      </c>
      <c r="N99" s="11">
        <v>1404</v>
      </c>
      <c r="O99" s="333">
        <f>SUM(C99:N99)</f>
        <v>18252</v>
      </c>
    </row>
    <row r="100" spans="1:15" ht="12.75" customHeight="1" x14ac:dyDescent="0.2">
      <c r="A100" s="15" t="s">
        <v>340</v>
      </c>
      <c r="B100" s="330" t="s">
        <v>69</v>
      </c>
      <c r="C100" s="333">
        <v>51851.360000000001</v>
      </c>
      <c r="D100" s="11" t="s">
        <v>15</v>
      </c>
      <c r="E100" s="11" t="s">
        <v>15</v>
      </c>
      <c r="F100" s="11" t="s">
        <v>15</v>
      </c>
      <c r="G100" s="11" t="s">
        <v>15</v>
      </c>
      <c r="H100" s="11">
        <v>-215624.2</v>
      </c>
      <c r="I100" s="11" t="s">
        <v>15</v>
      </c>
      <c r="J100" s="11" t="s">
        <v>15</v>
      </c>
      <c r="K100" s="11" t="s">
        <v>15</v>
      </c>
      <c r="L100" s="11" t="s">
        <v>15</v>
      </c>
      <c r="M100" s="11" t="s">
        <v>15</v>
      </c>
      <c r="N100" s="11" t="s">
        <v>15</v>
      </c>
      <c r="O100" s="333">
        <f>SUM(C100:N100)</f>
        <v>-163772.84000000003</v>
      </c>
    </row>
    <row r="101" spans="1:15" ht="12.75" customHeight="1" x14ac:dyDescent="0.2">
      <c r="A101" s="15" t="s">
        <v>331</v>
      </c>
      <c r="B101" s="330" t="s">
        <v>69</v>
      </c>
      <c r="C101" s="333" t="s">
        <v>15</v>
      </c>
      <c r="D101" s="11">
        <v>2047</v>
      </c>
      <c r="E101" s="11">
        <v>2583.85</v>
      </c>
      <c r="F101" s="11">
        <v>8383</v>
      </c>
      <c r="G101" s="11" t="s">
        <v>15</v>
      </c>
      <c r="H101" s="11" t="s">
        <v>15</v>
      </c>
      <c r="I101" s="11">
        <v>23124.9</v>
      </c>
      <c r="J101" s="11">
        <v>11624.7</v>
      </c>
      <c r="K101" s="11" t="s">
        <v>15</v>
      </c>
      <c r="L101" s="11">
        <v>1497.6</v>
      </c>
      <c r="M101" s="11" t="s">
        <v>15</v>
      </c>
      <c r="N101" s="11">
        <v>2225.25</v>
      </c>
      <c r="O101" s="333">
        <f>SUM(C101:N101)</f>
        <v>51486.299999999996</v>
      </c>
    </row>
    <row r="102" spans="1:15" ht="12.75" customHeight="1" x14ac:dyDescent="0.2">
      <c r="A102" s="15" t="s">
        <v>332</v>
      </c>
      <c r="B102" s="330" t="s">
        <v>69</v>
      </c>
      <c r="C102" s="333" t="s">
        <v>15</v>
      </c>
      <c r="D102" s="11">
        <v>874.45</v>
      </c>
      <c r="E102" s="11">
        <v>1166.95</v>
      </c>
      <c r="F102" s="11" t="s">
        <v>15</v>
      </c>
      <c r="G102" s="11" t="s">
        <v>15</v>
      </c>
      <c r="H102" s="11" t="s">
        <v>15</v>
      </c>
      <c r="I102" s="11">
        <v>400.74</v>
      </c>
      <c r="J102" s="11" t="s">
        <v>15</v>
      </c>
      <c r="K102" s="11" t="s">
        <v>15</v>
      </c>
      <c r="L102" s="11" t="s">
        <v>15</v>
      </c>
      <c r="M102" s="11" t="s">
        <v>15</v>
      </c>
      <c r="N102" s="11" t="s">
        <v>15</v>
      </c>
      <c r="O102" s="333">
        <f>SUM(C102:N102)</f>
        <v>2442.1400000000003</v>
      </c>
    </row>
    <row r="103" spans="1:15" ht="12.75" customHeight="1" x14ac:dyDescent="0.2">
      <c r="A103" s="15" t="s">
        <v>333</v>
      </c>
      <c r="B103" s="330" t="s">
        <v>69</v>
      </c>
      <c r="C103" s="333" t="s">
        <v>15</v>
      </c>
      <c r="D103" s="11">
        <v>442.5</v>
      </c>
      <c r="E103" s="11" t="s">
        <v>15</v>
      </c>
      <c r="F103" s="11">
        <v>400.7</v>
      </c>
      <c r="G103" s="11" t="s">
        <v>15</v>
      </c>
      <c r="H103" s="11" t="s">
        <v>15</v>
      </c>
      <c r="I103" s="11">
        <v>435.8</v>
      </c>
      <c r="J103" s="11" t="s">
        <v>15</v>
      </c>
      <c r="K103" s="11" t="s">
        <v>15</v>
      </c>
      <c r="L103" s="11" t="s">
        <v>15</v>
      </c>
      <c r="M103" s="11" t="s">
        <v>15</v>
      </c>
      <c r="N103" s="11">
        <v>400</v>
      </c>
      <c r="O103" s="333">
        <f>SUM(C103:N103)</f>
        <v>1679</v>
      </c>
    </row>
    <row r="104" spans="1:15" ht="12.75" customHeight="1" x14ac:dyDescent="0.2">
      <c r="A104" s="15" t="s">
        <v>341</v>
      </c>
      <c r="B104" s="330" t="s">
        <v>69</v>
      </c>
      <c r="C104" s="333" t="s">
        <v>15</v>
      </c>
      <c r="D104" s="11" t="s">
        <v>15</v>
      </c>
      <c r="E104" s="11">
        <v>50028.3</v>
      </c>
      <c r="F104" s="11">
        <v>1.4</v>
      </c>
      <c r="G104" s="11" t="s">
        <v>15</v>
      </c>
      <c r="H104" s="11" t="s">
        <v>15</v>
      </c>
      <c r="I104" s="11">
        <v>24115.4</v>
      </c>
      <c r="J104" s="11">
        <v>9971.58</v>
      </c>
      <c r="K104" s="11" t="s">
        <v>15</v>
      </c>
      <c r="L104" s="11" t="s">
        <v>15</v>
      </c>
      <c r="M104" s="11" t="s">
        <v>15</v>
      </c>
      <c r="N104" s="11" t="s">
        <v>15</v>
      </c>
      <c r="O104" s="333">
        <f>SUM(C104:N104)</f>
        <v>84116.680000000008</v>
      </c>
    </row>
    <row r="105" spans="1:15" ht="12.75" customHeight="1" x14ac:dyDescent="0.2">
      <c r="A105" s="15" t="s">
        <v>345</v>
      </c>
      <c r="B105" s="330" t="s">
        <v>69</v>
      </c>
      <c r="C105" s="333" t="s">
        <v>15</v>
      </c>
      <c r="D105" s="11">
        <v>6201.96</v>
      </c>
      <c r="E105" s="11" t="s">
        <v>15</v>
      </c>
      <c r="F105" s="11">
        <v>12523.5</v>
      </c>
      <c r="G105" s="11">
        <v>3092.31</v>
      </c>
      <c r="H105" s="11">
        <v>3498.26</v>
      </c>
      <c r="I105" s="11">
        <v>644.6</v>
      </c>
      <c r="J105" s="11">
        <v>13987.26</v>
      </c>
      <c r="K105" s="11">
        <v>3498.26</v>
      </c>
      <c r="L105" s="11">
        <v>3498.26</v>
      </c>
      <c r="M105" s="11" t="s">
        <v>15</v>
      </c>
      <c r="N105" s="11" t="s">
        <v>15</v>
      </c>
      <c r="O105" s="333">
        <f>SUM(C105:N105)</f>
        <v>46944.41</v>
      </c>
    </row>
    <row r="106" spans="1:15" ht="12.75" customHeight="1" x14ac:dyDescent="0.2">
      <c r="A106" s="15" t="s">
        <v>180</v>
      </c>
      <c r="B106" s="330" t="s">
        <v>69</v>
      </c>
      <c r="C106" s="333" t="s">
        <v>15</v>
      </c>
      <c r="D106" s="11" t="s">
        <v>15</v>
      </c>
      <c r="E106" s="11" t="s">
        <v>15</v>
      </c>
      <c r="F106" s="11" t="s">
        <v>15</v>
      </c>
      <c r="G106" s="11" t="s">
        <v>15</v>
      </c>
      <c r="H106" s="11" t="s">
        <v>15</v>
      </c>
      <c r="I106" s="11" t="s">
        <v>15</v>
      </c>
      <c r="J106" s="11" t="s">
        <v>15</v>
      </c>
      <c r="K106" s="11" t="s">
        <v>15</v>
      </c>
      <c r="L106" s="11" t="s">
        <v>15</v>
      </c>
      <c r="M106" s="11" t="s">
        <v>15</v>
      </c>
      <c r="N106" s="11" t="s">
        <v>15</v>
      </c>
      <c r="O106" s="333">
        <f>SUM(C106:N106)</f>
        <v>0</v>
      </c>
    </row>
    <row r="107" spans="1:15" ht="12.75" customHeight="1" x14ac:dyDescent="0.2">
      <c r="A107" s="15" t="s">
        <v>161</v>
      </c>
      <c r="B107" s="330" t="s">
        <v>69</v>
      </c>
      <c r="C107" s="333" t="s">
        <v>15</v>
      </c>
      <c r="D107" s="11" t="s">
        <v>15</v>
      </c>
      <c r="E107" s="11" t="s">
        <v>15</v>
      </c>
      <c r="F107" s="11" t="s">
        <v>15</v>
      </c>
      <c r="G107" s="11" t="s">
        <v>15</v>
      </c>
      <c r="H107" s="11" t="s">
        <v>15</v>
      </c>
      <c r="I107" s="11" t="s">
        <v>15</v>
      </c>
      <c r="J107" s="11" t="s">
        <v>15</v>
      </c>
      <c r="K107" s="11" t="s">
        <v>15</v>
      </c>
      <c r="L107" s="11" t="s">
        <v>15</v>
      </c>
      <c r="M107" s="11" t="s">
        <v>15</v>
      </c>
      <c r="N107" s="11" t="s">
        <v>15</v>
      </c>
      <c r="O107" s="333">
        <f>SUM(C107:N107)</f>
        <v>0</v>
      </c>
    </row>
    <row r="108" spans="1:15" s="39" customFormat="1" ht="12.75" customHeight="1" x14ac:dyDescent="0.2">
      <c r="A108" s="40" t="s">
        <v>264</v>
      </c>
      <c r="B108" s="168" t="s">
        <v>251</v>
      </c>
      <c r="C108" s="333" t="s">
        <v>15</v>
      </c>
      <c r="D108" s="333" t="s">
        <v>15</v>
      </c>
      <c r="E108" s="333" t="s">
        <v>15</v>
      </c>
      <c r="F108" s="333" t="s">
        <v>15</v>
      </c>
      <c r="G108" s="333" t="s">
        <v>15</v>
      </c>
      <c r="H108" s="333" t="s">
        <v>15</v>
      </c>
      <c r="I108" s="333" t="s">
        <v>15</v>
      </c>
      <c r="J108" s="333" t="s">
        <v>15</v>
      </c>
      <c r="K108" s="333" t="s">
        <v>15</v>
      </c>
      <c r="L108" s="333" t="s">
        <v>15</v>
      </c>
      <c r="M108" s="333" t="s">
        <v>15</v>
      </c>
      <c r="N108" s="333" t="s">
        <v>15</v>
      </c>
      <c r="O108" s="333">
        <f>SUM(C108:N108)</f>
        <v>0</v>
      </c>
    </row>
    <row r="109" spans="1:15" s="39" customFormat="1" ht="12.75" customHeight="1" x14ac:dyDescent="0.2">
      <c r="A109" s="40" t="s">
        <v>53</v>
      </c>
      <c r="B109" s="168" t="s">
        <v>251</v>
      </c>
      <c r="C109" s="333" t="s">
        <v>15</v>
      </c>
      <c r="D109" s="333">
        <v>305.7</v>
      </c>
      <c r="E109" s="333" t="s">
        <v>15</v>
      </c>
      <c r="F109" s="333" t="s">
        <v>15</v>
      </c>
      <c r="G109" s="333" t="s">
        <v>15</v>
      </c>
      <c r="H109" s="333" t="s">
        <v>15</v>
      </c>
      <c r="I109" s="333" t="s">
        <v>15</v>
      </c>
      <c r="J109" s="333" t="s">
        <v>15</v>
      </c>
      <c r="K109" s="333" t="s">
        <v>15</v>
      </c>
      <c r="L109" s="333">
        <v>765</v>
      </c>
      <c r="M109" s="333" t="s">
        <v>15</v>
      </c>
      <c r="N109" s="333" t="s">
        <v>15</v>
      </c>
      <c r="O109" s="333">
        <f>SUM(C109:N109)</f>
        <v>1070.7</v>
      </c>
    </row>
    <row r="110" spans="1:15" s="39" customFormat="1" ht="12.75" customHeight="1" x14ac:dyDescent="0.2">
      <c r="A110" s="40" t="s">
        <v>52</v>
      </c>
      <c r="B110" s="168" t="s">
        <v>251</v>
      </c>
      <c r="C110" s="333" t="s">
        <v>15</v>
      </c>
      <c r="D110" s="333" t="s">
        <v>15</v>
      </c>
      <c r="E110" s="333" t="s">
        <v>15</v>
      </c>
      <c r="F110" s="333" t="s">
        <v>15</v>
      </c>
      <c r="G110" s="333" t="s">
        <v>15</v>
      </c>
      <c r="H110" s="333" t="s">
        <v>15</v>
      </c>
      <c r="I110" s="333" t="s">
        <v>15</v>
      </c>
      <c r="J110" s="333" t="s">
        <v>15</v>
      </c>
      <c r="K110" s="333" t="s">
        <v>15</v>
      </c>
      <c r="L110" s="333" t="s">
        <v>15</v>
      </c>
      <c r="M110" s="333" t="s">
        <v>15</v>
      </c>
      <c r="N110" s="333" t="s">
        <v>15</v>
      </c>
      <c r="O110" s="333">
        <f>SUM(C110:N110)</f>
        <v>0</v>
      </c>
    </row>
    <row r="111" spans="1:15" s="39" customFormat="1" ht="12.75" customHeight="1" x14ac:dyDescent="0.2">
      <c r="A111" s="40" t="s">
        <v>54</v>
      </c>
      <c r="B111" s="168" t="s">
        <v>251</v>
      </c>
      <c r="C111" s="333" t="s">
        <v>15</v>
      </c>
      <c r="D111" s="333" t="s">
        <v>15</v>
      </c>
      <c r="E111" s="333" t="s">
        <v>15</v>
      </c>
      <c r="F111" s="333" t="s">
        <v>15</v>
      </c>
      <c r="G111" s="333" t="s">
        <v>15</v>
      </c>
      <c r="H111" s="333" t="s">
        <v>15</v>
      </c>
      <c r="I111" s="333" t="s">
        <v>15</v>
      </c>
      <c r="J111" s="333" t="s">
        <v>15</v>
      </c>
      <c r="K111" s="333" t="s">
        <v>15</v>
      </c>
      <c r="L111" s="333" t="s">
        <v>15</v>
      </c>
      <c r="M111" s="333" t="s">
        <v>15</v>
      </c>
      <c r="N111" s="333" t="s">
        <v>15</v>
      </c>
      <c r="O111" s="333">
        <f>SUM(C111:N111)</f>
        <v>0</v>
      </c>
    </row>
    <row r="112" spans="1:15" s="39" customFormat="1" ht="12.75" customHeight="1" x14ac:dyDescent="0.2">
      <c r="A112" s="40" t="s">
        <v>68</v>
      </c>
      <c r="B112" s="168" t="s">
        <v>251</v>
      </c>
      <c r="C112" s="333" t="s">
        <v>15</v>
      </c>
      <c r="D112" s="333" t="s">
        <v>15</v>
      </c>
      <c r="E112" s="333" t="s">
        <v>15</v>
      </c>
      <c r="F112" s="333" t="s">
        <v>15</v>
      </c>
      <c r="G112" s="333" t="s">
        <v>15</v>
      </c>
      <c r="H112" s="333" t="s">
        <v>15</v>
      </c>
      <c r="I112" s="333" t="s">
        <v>15</v>
      </c>
      <c r="J112" s="333" t="s">
        <v>15</v>
      </c>
      <c r="K112" s="333" t="s">
        <v>15</v>
      </c>
      <c r="L112" s="333" t="s">
        <v>15</v>
      </c>
      <c r="M112" s="333" t="s">
        <v>15</v>
      </c>
      <c r="N112" s="333" t="s">
        <v>15</v>
      </c>
      <c r="O112" s="333">
        <f>SUM(C112:N112)</f>
        <v>0</v>
      </c>
    </row>
    <row r="113" spans="1:15" s="39" customFormat="1" ht="12.75" customHeight="1" x14ac:dyDescent="0.2">
      <c r="A113" s="40" t="s">
        <v>55</v>
      </c>
      <c r="B113" s="168" t="s">
        <v>251</v>
      </c>
      <c r="C113" s="333" t="s">
        <v>15</v>
      </c>
      <c r="D113" s="333" t="s">
        <v>15</v>
      </c>
      <c r="E113" s="333" t="s">
        <v>15</v>
      </c>
      <c r="F113" s="333" t="s">
        <v>15</v>
      </c>
      <c r="G113" s="333" t="s">
        <v>15</v>
      </c>
      <c r="H113" s="333" t="s">
        <v>15</v>
      </c>
      <c r="I113" s="333" t="s">
        <v>15</v>
      </c>
      <c r="J113" s="333" t="s">
        <v>15</v>
      </c>
      <c r="K113" s="333" t="s">
        <v>15</v>
      </c>
      <c r="L113" s="333" t="s">
        <v>15</v>
      </c>
      <c r="M113" s="333">
        <v>4601</v>
      </c>
      <c r="N113" s="333">
        <v>11803.15</v>
      </c>
      <c r="O113" s="333">
        <f>SUM(C113:N113)</f>
        <v>16404.150000000001</v>
      </c>
    </row>
    <row r="114" spans="1:15" s="39" customFormat="1" ht="12.75" customHeight="1" x14ac:dyDescent="0.2">
      <c r="A114" s="40" t="s">
        <v>48</v>
      </c>
      <c r="B114" s="168" t="s">
        <v>251</v>
      </c>
      <c r="C114" s="333">
        <v>2357.08</v>
      </c>
      <c r="D114" s="333">
        <v>4766.62</v>
      </c>
      <c r="E114" s="333" t="s">
        <v>15</v>
      </c>
      <c r="F114" s="333">
        <v>5042.3500000000004</v>
      </c>
      <c r="G114" s="333">
        <v>5153.5</v>
      </c>
      <c r="H114" s="333" t="s">
        <v>15</v>
      </c>
      <c r="I114" s="333">
        <v>20905.330000000002</v>
      </c>
      <c r="J114" s="333">
        <v>2526</v>
      </c>
      <c r="K114" s="333">
        <v>5224.4799999999996</v>
      </c>
      <c r="L114" s="333">
        <v>2561.2199999999998</v>
      </c>
      <c r="M114" s="333">
        <v>7919</v>
      </c>
      <c r="N114" s="333">
        <v>514.48</v>
      </c>
      <c r="O114" s="333">
        <f>SUM(C114:N114)</f>
        <v>56970.060000000005</v>
      </c>
    </row>
    <row r="115" spans="1:15" s="39" customFormat="1" ht="12.75" customHeight="1" x14ac:dyDescent="0.2">
      <c r="A115" s="200" t="s">
        <v>56</v>
      </c>
      <c r="B115" s="168" t="s">
        <v>251</v>
      </c>
      <c r="C115" s="333" t="s">
        <v>15</v>
      </c>
      <c r="D115" s="333" t="s">
        <v>15</v>
      </c>
      <c r="E115" s="333" t="s">
        <v>15</v>
      </c>
      <c r="F115" s="333" t="s">
        <v>15</v>
      </c>
      <c r="G115" s="333" t="s">
        <v>15</v>
      </c>
      <c r="H115" s="333" t="s">
        <v>15</v>
      </c>
      <c r="I115" s="333" t="s">
        <v>15</v>
      </c>
      <c r="J115" s="333" t="s">
        <v>15</v>
      </c>
      <c r="K115" s="333" t="s">
        <v>15</v>
      </c>
      <c r="L115" s="333" t="s">
        <v>15</v>
      </c>
      <c r="M115" s="333" t="s">
        <v>15</v>
      </c>
      <c r="N115" s="333" t="s">
        <v>15</v>
      </c>
      <c r="O115" s="333">
        <f>SUM(C115:N115)</f>
        <v>0</v>
      </c>
    </row>
    <row r="116" spans="1:15" s="39" customFormat="1" ht="12.75" customHeight="1" x14ac:dyDescent="0.2">
      <c r="A116" s="184" t="s">
        <v>173</v>
      </c>
      <c r="B116" s="168" t="s">
        <v>251</v>
      </c>
      <c r="C116" s="333" t="s">
        <v>15</v>
      </c>
      <c r="D116" s="333" t="s">
        <v>15</v>
      </c>
      <c r="E116" s="333" t="s">
        <v>15</v>
      </c>
      <c r="F116" s="333" t="s">
        <v>15</v>
      </c>
      <c r="G116" s="333" t="s">
        <v>15</v>
      </c>
      <c r="H116" s="333" t="s">
        <v>15</v>
      </c>
      <c r="I116" s="333" t="s">
        <v>15</v>
      </c>
      <c r="J116" s="333" t="s">
        <v>15</v>
      </c>
      <c r="K116" s="333" t="s">
        <v>15</v>
      </c>
      <c r="L116" s="333" t="s">
        <v>15</v>
      </c>
      <c r="M116" s="333" t="s">
        <v>15</v>
      </c>
      <c r="N116" s="333" t="s">
        <v>15</v>
      </c>
      <c r="O116" s="333">
        <f>SUM(C116:N116)</f>
        <v>0</v>
      </c>
    </row>
    <row r="117" spans="1:15" s="39" customFormat="1" ht="12.75" customHeight="1" x14ac:dyDescent="0.2">
      <c r="A117" s="184" t="s">
        <v>179</v>
      </c>
      <c r="B117" s="168" t="s">
        <v>251</v>
      </c>
      <c r="C117" s="333" t="s">
        <v>15</v>
      </c>
      <c r="D117" s="333" t="s">
        <v>15</v>
      </c>
      <c r="E117" s="333" t="s">
        <v>15</v>
      </c>
      <c r="F117" s="333" t="s">
        <v>15</v>
      </c>
      <c r="G117" s="333" t="s">
        <v>15</v>
      </c>
      <c r="H117" s="333" t="s">
        <v>15</v>
      </c>
      <c r="I117" s="333" t="s">
        <v>15</v>
      </c>
      <c r="J117" s="333" t="s">
        <v>15</v>
      </c>
      <c r="K117" s="333" t="s">
        <v>15</v>
      </c>
      <c r="L117" s="333" t="s">
        <v>15</v>
      </c>
      <c r="M117" s="333" t="s">
        <v>15</v>
      </c>
      <c r="N117" s="333" t="s">
        <v>15</v>
      </c>
      <c r="O117" s="333">
        <f>SUM(C117:N117)</f>
        <v>0</v>
      </c>
    </row>
    <row r="118" spans="1:15" s="39" customFormat="1" ht="12.75" customHeight="1" x14ac:dyDescent="0.2">
      <c r="A118" s="184" t="s">
        <v>162</v>
      </c>
      <c r="B118" s="168" t="s">
        <v>251</v>
      </c>
      <c r="C118" s="333" t="s">
        <v>15</v>
      </c>
      <c r="D118" s="333" t="s">
        <v>15</v>
      </c>
      <c r="E118" s="333" t="s">
        <v>15</v>
      </c>
      <c r="F118" s="333" t="s">
        <v>15</v>
      </c>
      <c r="G118" s="333" t="s">
        <v>15</v>
      </c>
      <c r="H118" s="333" t="s">
        <v>15</v>
      </c>
      <c r="I118" s="333" t="s">
        <v>15</v>
      </c>
      <c r="J118" s="333" t="s">
        <v>15</v>
      </c>
      <c r="K118" s="333" t="s">
        <v>15</v>
      </c>
      <c r="L118" s="333" t="s">
        <v>15</v>
      </c>
      <c r="M118" s="333" t="s">
        <v>15</v>
      </c>
      <c r="N118" s="333" t="s">
        <v>15</v>
      </c>
      <c r="O118" s="333">
        <f>SUM(C118:N118)</f>
        <v>0</v>
      </c>
    </row>
    <row r="119" spans="1:15" s="39" customFormat="1" ht="12.75" customHeight="1" x14ac:dyDescent="0.2">
      <c r="A119" s="200" t="s">
        <v>47</v>
      </c>
      <c r="B119" s="168" t="s">
        <v>251</v>
      </c>
      <c r="C119" s="333">
        <v>5555.04</v>
      </c>
      <c r="D119" s="333" t="s">
        <v>15</v>
      </c>
      <c r="E119" s="333" t="s">
        <v>15</v>
      </c>
      <c r="F119" s="333" t="s">
        <v>15</v>
      </c>
      <c r="G119" s="333">
        <v>1187.71</v>
      </c>
      <c r="H119" s="333" t="s">
        <v>15</v>
      </c>
      <c r="I119" s="333">
        <v>3330</v>
      </c>
      <c r="J119" s="333">
        <v>4506.49</v>
      </c>
      <c r="K119" s="333">
        <v>9489.2800000000007</v>
      </c>
      <c r="L119" s="333">
        <v>8452.23</v>
      </c>
      <c r="M119" s="333" t="s">
        <v>15</v>
      </c>
      <c r="N119" s="333" t="s">
        <v>15</v>
      </c>
      <c r="O119" s="333">
        <f>SUM(C119:N119)</f>
        <v>32520.75</v>
      </c>
    </row>
    <row r="120" spans="1:15" s="39" customFormat="1" ht="12.75" customHeight="1" x14ac:dyDescent="0.2">
      <c r="A120" s="184" t="s">
        <v>176</v>
      </c>
      <c r="B120" s="168" t="s">
        <v>251</v>
      </c>
      <c r="C120" s="333" t="s">
        <v>15</v>
      </c>
      <c r="D120" s="333" t="s">
        <v>15</v>
      </c>
      <c r="E120" s="333" t="s">
        <v>15</v>
      </c>
      <c r="F120" s="333" t="s">
        <v>15</v>
      </c>
      <c r="G120" s="333" t="s">
        <v>15</v>
      </c>
      <c r="H120" s="333" t="s">
        <v>15</v>
      </c>
      <c r="I120" s="333" t="s">
        <v>15</v>
      </c>
      <c r="J120" s="333" t="s">
        <v>15</v>
      </c>
      <c r="K120" s="333" t="s">
        <v>15</v>
      </c>
      <c r="L120" s="333" t="s">
        <v>15</v>
      </c>
      <c r="M120" s="333" t="s">
        <v>15</v>
      </c>
      <c r="N120" s="333" t="s">
        <v>15</v>
      </c>
      <c r="O120" s="333">
        <f>SUM(C120:N120)</f>
        <v>0</v>
      </c>
    </row>
    <row r="121" spans="1:15" s="39" customFormat="1" ht="12.75" customHeight="1" x14ac:dyDescent="0.2">
      <c r="A121" s="184" t="s">
        <v>163</v>
      </c>
      <c r="B121" s="168" t="s">
        <v>251</v>
      </c>
      <c r="C121" s="333" t="s">
        <v>15</v>
      </c>
      <c r="D121" s="333" t="s">
        <v>15</v>
      </c>
      <c r="E121" s="333" t="s">
        <v>15</v>
      </c>
      <c r="F121" s="333" t="s">
        <v>15</v>
      </c>
      <c r="G121" s="333" t="s">
        <v>15</v>
      </c>
      <c r="H121" s="333" t="s">
        <v>15</v>
      </c>
      <c r="I121" s="333" t="s">
        <v>15</v>
      </c>
      <c r="J121" s="333" t="s">
        <v>15</v>
      </c>
      <c r="K121" s="333" t="s">
        <v>15</v>
      </c>
      <c r="L121" s="333" t="s">
        <v>15</v>
      </c>
      <c r="M121" s="333" t="s">
        <v>15</v>
      </c>
      <c r="N121" s="333" t="s">
        <v>15</v>
      </c>
      <c r="O121" s="333">
        <f>SUM(C121:N121)</f>
        <v>0</v>
      </c>
    </row>
    <row r="122" spans="1:15" s="39" customFormat="1" ht="12.75" customHeight="1" x14ac:dyDescent="0.2">
      <c r="A122" s="184" t="s">
        <v>160</v>
      </c>
      <c r="B122" s="168" t="s">
        <v>251</v>
      </c>
      <c r="C122" s="333" t="s">
        <v>15</v>
      </c>
      <c r="D122" s="333" t="s">
        <v>15</v>
      </c>
      <c r="E122" s="333" t="s">
        <v>15</v>
      </c>
      <c r="F122" s="333" t="s">
        <v>15</v>
      </c>
      <c r="G122" s="333" t="s">
        <v>15</v>
      </c>
      <c r="H122" s="333" t="s">
        <v>15</v>
      </c>
      <c r="I122" s="333" t="s">
        <v>15</v>
      </c>
      <c r="J122" s="333" t="s">
        <v>15</v>
      </c>
      <c r="K122" s="333" t="s">
        <v>15</v>
      </c>
      <c r="L122" s="333" t="s">
        <v>15</v>
      </c>
      <c r="M122" s="333" t="s">
        <v>15</v>
      </c>
      <c r="N122" s="333" t="s">
        <v>15</v>
      </c>
      <c r="O122" s="333">
        <f>SUM(C122:N122)</f>
        <v>0</v>
      </c>
    </row>
    <row r="123" spans="1:15" s="39" customFormat="1" ht="12.75" customHeight="1" x14ac:dyDescent="0.2">
      <c r="A123" s="184" t="s">
        <v>175</v>
      </c>
      <c r="B123" s="168" t="s">
        <v>251</v>
      </c>
      <c r="C123" s="333" t="s">
        <v>15</v>
      </c>
      <c r="D123" s="333" t="s">
        <v>15</v>
      </c>
      <c r="E123" s="333" t="s">
        <v>15</v>
      </c>
      <c r="F123" s="333" t="s">
        <v>15</v>
      </c>
      <c r="G123" s="333" t="s">
        <v>15</v>
      </c>
      <c r="H123" s="333" t="s">
        <v>15</v>
      </c>
      <c r="I123" s="333" t="s">
        <v>15</v>
      </c>
      <c r="J123" s="333" t="s">
        <v>15</v>
      </c>
      <c r="K123" s="333" t="s">
        <v>15</v>
      </c>
      <c r="L123" s="333" t="s">
        <v>15</v>
      </c>
      <c r="M123" s="333" t="s">
        <v>15</v>
      </c>
      <c r="N123" s="333" t="s">
        <v>15</v>
      </c>
      <c r="O123" s="333">
        <f>SUM(C123:N123)</f>
        <v>0</v>
      </c>
    </row>
    <row r="124" spans="1:15" s="39" customFormat="1" ht="12.75" customHeight="1" x14ac:dyDescent="0.2">
      <c r="A124" s="184" t="s">
        <v>164</v>
      </c>
      <c r="B124" s="168" t="s">
        <v>251</v>
      </c>
      <c r="C124" s="333" t="s">
        <v>15</v>
      </c>
      <c r="D124" s="333" t="s">
        <v>15</v>
      </c>
      <c r="E124" s="333" t="s">
        <v>15</v>
      </c>
      <c r="F124" s="333" t="s">
        <v>15</v>
      </c>
      <c r="G124" s="333" t="s">
        <v>15</v>
      </c>
      <c r="H124" s="333" t="s">
        <v>15</v>
      </c>
      <c r="I124" s="333" t="s">
        <v>15</v>
      </c>
      <c r="J124" s="333" t="s">
        <v>15</v>
      </c>
      <c r="K124" s="333" t="s">
        <v>15</v>
      </c>
      <c r="L124" s="333" t="s">
        <v>15</v>
      </c>
      <c r="M124" s="333" t="s">
        <v>15</v>
      </c>
      <c r="N124" s="333" t="s">
        <v>15</v>
      </c>
      <c r="O124" s="333">
        <f>SUM(C124:N124)</f>
        <v>0</v>
      </c>
    </row>
    <row r="125" spans="1:15" s="39" customFormat="1" ht="12.75" customHeight="1" x14ac:dyDescent="0.2">
      <c r="A125" s="200" t="s">
        <v>131</v>
      </c>
      <c r="B125" s="168" t="s">
        <v>251</v>
      </c>
      <c r="C125" s="333">
        <v>18224.189999999999</v>
      </c>
      <c r="D125" s="333">
        <v>14782.45</v>
      </c>
      <c r="E125" s="333">
        <v>115.28</v>
      </c>
      <c r="F125" s="333">
        <v>160.88</v>
      </c>
      <c r="G125" s="333">
        <v>120.25</v>
      </c>
      <c r="H125" s="333">
        <v>3530.04</v>
      </c>
      <c r="I125" s="333">
        <v>17414.490000000002</v>
      </c>
      <c r="J125" s="333">
        <v>32290.69</v>
      </c>
      <c r="K125" s="333">
        <v>18687.04</v>
      </c>
      <c r="L125" s="333">
        <v>26258.18</v>
      </c>
      <c r="M125" s="333">
        <v>18762.89</v>
      </c>
      <c r="N125" s="333">
        <v>13768.61</v>
      </c>
      <c r="O125" s="333">
        <f>SUM(C125:N125)</f>
        <v>164114.99</v>
      </c>
    </row>
    <row r="126" spans="1:15" s="39" customFormat="1" ht="12.75" customHeight="1" x14ac:dyDescent="0.2">
      <c r="A126" s="183" t="s">
        <v>129</v>
      </c>
      <c r="B126" s="12" t="s">
        <v>119</v>
      </c>
      <c r="C126" s="333" t="s">
        <v>15</v>
      </c>
      <c r="D126" s="333" t="s">
        <v>15</v>
      </c>
      <c r="E126" s="333" t="s">
        <v>15</v>
      </c>
      <c r="F126" s="333" t="s">
        <v>15</v>
      </c>
      <c r="G126" s="333" t="s">
        <v>15</v>
      </c>
      <c r="H126" s="333" t="s">
        <v>15</v>
      </c>
      <c r="I126" s="333" t="s">
        <v>15</v>
      </c>
      <c r="J126" s="333" t="s">
        <v>15</v>
      </c>
      <c r="K126" s="333" t="s">
        <v>15</v>
      </c>
      <c r="L126" s="333" t="s">
        <v>15</v>
      </c>
      <c r="M126" s="333" t="s">
        <v>15</v>
      </c>
      <c r="N126" s="333" t="s">
        <v>15</v>
      </c>
      <c r="O126" s="333">
        <f>SUM(C126:N126)</f>
        <v>0</v>
      </c>
    </row>
    <row r="127" spans="1:15" s="39" customFormat="1" ht="12.75" customHeight="1" x14ac:dyDescent="0.2">
      <c r="A127" s="40" t="s">
        <v>63</v>
      </c>
      <c r="B127" s="168" t="s">
        <v>69</v>
      </c>
      <c r="C127" s="333" t="s">
        <v>15</v>
      </c>
      <c r="D127" s="333" t="s">
        <v>15</v>
      </c>
      <c r="E127" s="333" t="s">
        <v>15</v>
      </c>
      <c r="F127" s="333" t="s">
        <v>15</v>
      </c>
      <c r="G127" s="333" t="s">
        <v>15</v>
      </c>
      <c r="H127" s="333" t="s">
        <v>15</v>
      </c>
      <c r="I127" s="333" t="s">
        <v>15</v>
      </c>
      <c r="J127" s="333" t="s">
        <v>15</v>
      </c>
      <c r="K127" s="333" t="s">
        <v>15</v>
      </c>
      <c r="L127" s="333" t="s">
        <v>15</v>
      </c>
      <c r="M127" s="333" t="s">
        <v>15</v>
      </c>
      <c r="N127" s="333" t="s">
        <v>15</v>
      </c>
      <c r="O127" s="333">
        <f>SUM(C127:N127)</f>
        <v>0</v>
      </c>
    </row>
    <row r="128" spans="1:15" s="39" customFormat="1" ht="12.75" customHeight="1" x14ac:dyDescent="0.2">
      <c r="A128" s="40" t="s">
        <v>64</v>
      </c>
      <c r="B128" s="168" t="s">
        <v>251</v>
      </c>
      <c r="C128" s="333" t="s">
        <v>15</v>
      </c>
      <c r="D128" s="333" t="s">
        <v>15</v>
      </c>
      <c r="E128" s="333" t="s">
        <v>15</v>
      </c>
      <c r="F128" s="333" t="s">
        <v>15</v>
      </c>
      <c r="G128" s="333" t="s">
        <v>15</v>
      </c>
      <c r="H128" s="333" t="s">
        <v>15</v>
      </c>
      <c r="I128" s="333" t="s">
        <v>15</v>
      </c>
      <c r="J128" s="333" t="s">
        <v>15</v>
      </c>
      <c r="K128" s="333" t="s">
        <v>15</v>
      </c>
      <c r="L128" s="333" t="s">
        <v>15</v>
      </c>
      <c r="M128" s="333" t="s">
        <v>15</v>
      </c>
      <c r="N128" s="333" t="s">
        <v>15</v>
      </c>
      <c r="O128" s="333">
        <f>SUM(C128:N128)</f>
        <v>0</v>
      </c>
    </row>
    <row r="129" spans="1:15" s="39" customFormat="1" ht="12.75" customHeight="1" x14ac:dyDescent="0.2">
      <c r="A129" s="40" t="s">
        <v>126</v>
      </c>
      <c r="B129" s="168" t="s">
        <v>69</v>
      </c>
      <c r="C129" s="333" t="s">
        <v>15</v>
      </c>
      <c r="D129" s="333" t="s">
        <v>15</v>
      </c>
      <c r="E129" s="333" t="s">
        <v>15</v>
      </c>
      <c r="F129" s="333" t="s">
        <v>15</v>
      </c>
      <c r="G129" s="333" t="s">
        <v>15</v>
      </c>
      <c r="H129" s="333" t="s">
        <v>15</v>
      </c>
      <c r="I129" s="333" t="s">
        <v>15</v>
      </c>
      <c r="J129" s="333" t="s">
        <v>15</v>
      </c>
      <c r="K129" s="333" t="s">
        <v>15</v>
      </c>
      <c r="L129" s="333" t="s">
        <v>15</v>
      </c>
      <c r="M129" s="333" t="s">
        <v>15</v>
      </c>
      <c r="N129" s="333" t="s">
        <v>15</v>
      </c>
      <c r="O129" s="333">
        <f>SUM(C129:N129)</f>
        <v>0</v>
      </c>
    </row>
    <row r="130" spans="1:15" s="39" customFormat="1" ht="12.75" customHeight="1" x14ac:dyDescent="0.2">
      <c r="A130" s="40" t="s">
        <v>130</v>
      </c>
      <c r="B130" s="168" t="s">
        <v>69</v>
      </c>
      <c r="C130" s="333" t="s">
        <v>15</v>
      </c>
      <c r="D130" s="333" t="s">
        <v>15</v>
      </c>
      <c r="E130" s="333" t="s">
        <v>15</v>
      </c>
      <c r="F130" s="333">
        <v>2041</v>
      </c>
      <c r="G130" s="333" t="s">
        <v>15</v>
      </c>
      <c r="H130" s="333" t="s">
        <v>15</v>
      </c>
      <c r="I130" s="333" t="s">
        <v>15</v>
      </c>
      <c r="J130" s="333" t="s">
        <v>15</v>
      </c>
      <c r="K130" s="333" t="s">
        <v>15</v>
      </c>
      <c r="L130" s="333">
        <v>2500</v>
      </c>
      <c r="M130" s="333" t="s">
        <v>15</v>
      </c>
      <c r="N130" s="333" t="s">
        <v>15</v>
      </c>
      <c r="O130" s="333">
        <f>SUM(C130:N130)</f>
        <v>4541</v>
      </c>
    </row>
    <row r="131" spans="1:15" s="39" customFormat="1" ht="12.75" customHeight="1" x14ac:dyDescent="0.2">
      <c r="A131" s="40" t="s">
        <v>181</v>
      </c>
      <c r="B131" s="168" t="s">
        <v>69</v>
      </c>
      <c r="C131" s="333" t="s">
        <v>15</v>
      </c>
      <c r="D131" s="333" t="s">
        <v>15</v>
      </c>
      <c r="E131" s="333" t="s">
        <v>15</v>
      </c>
      <c r="F131" s="333" t="s">
        <v>15</v>
      </c>
      <c r="G131" s="333" t="s">
        <v>15</v>
      </c>
      <c r="H131" s="333" t="s">
        <v>15</v>
      </c>
      <c r="I131" s="333" t="s">
        <v>15</v>
      </c>
      <c r="J131" s="333" t="s">
        <v>15</v>
      </c>
      <c r="K131" s="333" t="s">
        <v>15</v>
      </c>
      <c r="L131" s="333" t="s">
        <v>15</v>
      </c>
      <c r="M131" s="333" t="s">
        <v>15</v>
      </c>
      <c r="N131" s="333" t="s">
        <v>15</v>
      </c>
      <c r="O131" s="333">
        <f>SUM(C131:N131)</f>
        <v>0</v>
      </c>
    </row>
    <row r="132" spans="1:15" s="39" customFormat="1" ht="12.75" customHeight="1" x14ac:dyDescent="0.2">
      <c r="A132" s="40" t="s">
        <v>171</v>
      </c>
      <c r="B132" s="168" t="s">
        <v>69</v>
      </c>
      <c r="C132" s="333" t="s">
        <v>15</v>
      </c>
      <c r="D132" s="333" t="s">
        <v>15</v>
      </c>
      <c r="E132" s="333" t="s">
        <v>15</v>
      </c>
      <c r="F132" s="333" t="s">
        <v>15</v>
      </c>
      <c r="G132" s="333" t="s">
        <v>15</v>
      </c>
      <c r="H132" s="333" t="s">
        <v>15</v>
      </c>
      <c r="I132" s="333" t="s">
        <v>15</v>
      </c>
      <c r="J132" s="333" t="s">
        <v>15</v>
      </c>
      <c r="K132" s="333" t="s">
        <v>15</v>
      </c>
      <c r="L132" s="333" t="s">
        <v>15</v>
      </c>
      <c r="M132" s="333" t="s">
        <v>15</v>
      </c>
      <c r="N132" s="333" t="s">
        <v>15</v>
      </c>
      <c r="O132" s="333">
        <f>SUM(C132:N132)</f>
        <v>0</v>
      </c>
    </row>
    <row r="133" spans="1:15" s="39" customFormat="1" ht="12.75" customHeight="1" x14ac:dyDescent="0.2">
      <c r="A133" s="40" t="s">
        <v>44</v>
      </c>
      <c r="B133" s="168" t="s">
        <v>251</v>
      </c>
      <c r="C133" s="333" t="s">
        <v>15</v>
      </c>
      <c r="D133" s="333" t="s">
        <v>15</v>
      </c>
      <c r="E133" s="333" t="s">
        <v>15</v>
      </c>
      <c r="F133" s="333" t="s">
        <v>15</v>
      </c>
      <c r="G133" s="333" t="s">
        <v>15</v>
      </c>
      <c r="H133" s="333" t="s">
        <v>15</v>
      </c>
      <c r="I133" s="333" t="s">
        <v>15</v>
      </c>
      <c r="J133" s="333" t="s">
        <v>15</v>
      </c>
      <c r="K133" s="333" t="s">
        <v>15</v>
      </c>
      <c r="L133" s="333" t="s">
        <v>15</v>
      </c>
      <c r="M133" s="333" t="s">
        <v>15</v>
      </c>
      <c r="N133" s="333" t="s">
        <v>15</v>
      </c>
      <c r="O133" s="333">
        <f>SUM(C133:N133)</f>
        <v>0</v>
      </c>
    </row>
    <row r="134" spans="1:15" s="39" customFormat="1" ht="12.75" customHeight="1" x14ac:dyDescent="0.2">
      <c r="A134" s="200" t="s">
        <v>66</v>
      </c>
      <c r="B134" s="168" t="s">
        <v>251</v>
      </c>
      <c r="C134" s="333" t="s">
        <v>15</v>
      </c>
      <c r="D134" s="333" t="s">
        <v>15</v>
      </c>
      <c r="E134" s="333" t="s">
        <v>15</v>
      </c>
      <c r="F134" s="333" t="s">
        <v>15</v>
      </c>
      <c r="G134" s="333" t="s">
        <v>15</v>
      </c>
      <c r="H134" s="333" t="s">
        <v>15</v>
      </c>
      <c r="I134" s="333" t="s">
        <v>15</v>
      </c>
      <c r="J134" s="333" t="s">
        <v>15</v>
      </c>
      <c r="K134" s="333" t="s">
        <v>15</v>
      </c>
      <c r="L134" s="333" t="s">
        <v>15</v>
      </c>
      <c r="M134" s="333" t="s">
        <v>15</v>
      </c>
      <c r="N134" s="333" t="s">
        <v>15</v>
      </c>
      <c r="O134" s="333">
        <f>SUM(C134:N134)</f>
        <v>0</v>
      </c>
    </row>
    <row r="135" spans="1:15" s="39" customFormat="1" ht="12.75" customHeight="1" x14ac:dyDescent="0.2">
      <c r="A135" s="40" t="s">
        <v>70</v>
      </c>
      <c r="B135" s="168" t="s">
        <v>251</v>
      </c>
      <c r="C135" s="333" t="s">
        <v>15</v>
      </c>
      <c r="D135" s="333" t="s">
        <v>15</v>
      </c>
      <c r="E135" s="333" t="s">
        <v>15</v>
      </c>
      <c r="F135" s="333" t="s">
        <v>15</v>
      </c>
      <c r="G135" s="333" t="s">
        <v>15</v>
      </c>
      <c r="H135" s="333" t="s">
        <v>15</v>
      </c>
      <c r="I135" s="333" t="s">
        <v>15</v>
      </c>
      <c r="J135" s="333" t="s">
        <v>15</v>
      </c>
      <c r="K135" s="333" t="s">
        <v>15</v>
      </c>
      <c r="L135" s="333" t="s">
        <v>15</v>
      </c>
      <c r="M135" s="333" t="s">
        <v>15</v>
      </c>
      <c r="N135" s="333" t="s">
        <v>15</v>
      </c>
      <c r="O135" s="333">
        <f>SUM(C135:N135)</f>
        <v>0</v>
      </c>
    </row>
    <row r="136" spans="1:15" s="39" customFormat="1" ht="12.75" customHeight="1" x14ac:dyDescent="0.2">
      <c r="A136" s="40" t="s">
        <v>71</v>
      </c>
      <c r="B136" s="168" t="s">
        <v>251</v>
      </c>
      <c r="C136" s="333" t="s">
        <v>15</v>
      </c>
      <c r="D136" s="333" t="s">
        <v>15</v>
      </c>
      <c r="E136" s="333" t="s">
        <v>15</v>
      </c>
      <c r="F136" s="333" t="s">
        <v>15</v>
      </c>
      <c r="G136" s="333" t="s">
        <v>15</v>
      </c>
      <c r="H136" s="333" t="s">
        <v>15</v>
      </c>
      <c r="I136" s="333" t="s">
        <v>15</v>
      </c>
      <c r="J136" s="333" t="s">
        <v>15</v>
      </c>
      <c r="K136" s="333" t="s">
        <v>15</v>
      </c>
      <c r="L136" s="333" t="s">
        <v>15</v>
      </c>
      <c r="M136" s="333" t="s">
        <v>15</v>
      </c>
      <c r="N136" s="333" t="s">
        <v>15</v>
      </c>
      <c r="O136" s="333">
        <f>SUM(C136:N136)</f>
        <v>0</v>
      </c>
    </row>
    <row r="137" spans="1:15" s="39" customFormat="1" ht="12.75" customHeight="1" x14ac:dyDescent="0.2">
      <c r="A137" s="40" t="s">
        <v>58</v>
      </c>
      <c r="B137" s="168" t="s">
        <v>251</v>
      </c>
      <c r="C137" s="333" t="s">
        <v>15</v>
      </c>
      <c r="D137" s="333" t="s">
        <v>15</v>
      </c>
      <c r="E137" s="333" t="s">
        <v>15</v>
      </c>
      <c r="F137" s="333" t="s">
        <v>15</v>
      </c>
      <c r="G137" s="333" t="s">
        <v>15</v>
      </c>
      <c r="H137" s="333" t="s">
        <v>15</v>
      </c>
      <c r="I137" s="333" t="s">
        <v>15</v>
      </c>
      <c r="J137" s="333" t="s">
        <v>15</v>
      </c>
      <c r="K137" s="333" t="s">
        <v>15</v>
      </c>
      <c r="L137" s="333" t="s">
        <v>15</v>
      </c>
      <c r="M137" s="333" t="s">
        <v>15</v>
      </c>
      <c r="N137" s="333" t="s">
        <v>15</v>
      </c>
      <c r="O137" s="333">
        <f>SUM(C137:N137)</f>
        <v>0</v>
      </c>
    </row>
    <row r="138" spans="1:15" s="39" customFormat="1" ht="12.75" customHeight="1" x14ac:dyDescent="0.2">
      <c r="A138" s="40" t="s">
        <v>67</v>
      </c>
      <c r="B138" s="168" t="s">
        <v>251</v>
      </c>
      <c r="C138" s="333" t="s">
        <v>15</v>
      </c>
      <c r="D138" s="333" t="s">
        <v>15</v>
      </c>
      <c r="E138" s="333" t="s">
        <v>15</v>
      </c>
      <c r="F138" s="333" t="s">
        <v>15</v>
      </c>
      <c r="G138" s="333" t="s">
        <v>15</v>
      </c>
      <c r="H138" s="333" t="s">
        <v>15</v>
      </c>
      <c r="I138" s="333" t="s">
        <v>15</v>
      </c>
      <c r="J138" s="333" t="s">
        <v>15</v>
      </c>
      <c r="K138" s="333" t="s">
        <v>15</v>
      </c>
      <c r="L138" s="333" t="s">
        <v>15</v>
      </c>
      <c r="M138" s="333" t="s">
        <v>15</v>
      </c>
      <c r="N138" s="333" t="s">
        <v>15</v>
      </c>
      <c r="O138" s="333">
        <f>SUM(C138:N138)</f>
        <v>0</v>
      </c>
    </row>
    <row r="139" spans="1:15" s="39" customFormat="1" ht="12.75" customHeight="1" x14ac:dyDescent="0.2">
      <c r="A139" s="200" t="s">
        <v>45</v>
      </c>
      <c r="B139" s="168" t="s">
        <v>251</v>
      </c>
      <c r="C139" s="333" t="s">
        <v>15</v>
      </c>
      <c r="D139" s="333" t="s">
        <v>15</v>
      </c>
      <c r="E139" s="333" t="s">
        <v>15</v>
      </c>
      <c r="F139" s="333" t="s">
        <v>15</v>
      </c>
      <c r="G139" s="333" t="s">
        <v>15</v>
      </c>
      <c r="H139" s="333" t="s">
        <v>15</v>
      </c>
      <c r="I139" s="333" t="s">
        <v>15</v>
      </c>
      <c r="J139" s="333" t="s">
        <v>15</v>
      </c>
      <c r="K139" s="333" t="s">
        <v>15</v>
      </c>
      <c r="L139" s="333" t="s">
        <v>15</v>
      </c>
      <c r="M139" s="333" t="s">
        <v>15</v>
      </c>
      <c r="N139" s="333" t="s">
        <v>15</v>
      </c>
      <c r="O139" s="333">
        <f>SUM(C139:N139)</f>
        <v>0</v>
      </c>
    </row>
    <row r="140" spans="1:15" s="39" customFormat="1" ht="12.75" customHeight="1" x14ac:dyDescent="0.2">
      <c r="A140" s="40" t="s">
        <v>42</v>
      </c>
      <c r="B140" s="168" t="s">
        <v>251</v>
      </c>
      <c r="C140" s="333">
        <v>2032.06</v>
      </c>
      <c r="D140" s="333">
        <v>1887.72</v>
      </c>
      <c r="E140" s="333">
        <v>1100.8</v>
      </c>
      <c r="F140" s="333">
        <v>3103.41</v>
      </c>
      <c r="G140" s="333">
        <v>5020.6499999999996</v>
      </c>
      <c r="H140" s="333">
        <v>212.81</v>
      </c>
      <c r="I140" s="333">
        <v>6200.66</v>
      </c>
      <c r="J140" s="333">
        <v>2814.1</v>
      </c>
      <c r="K140" s="333">
        <v>1179.4000000000001</v>
      </c>
      <c r="L140" s="333">
        <v>1290.18</v>
      </c>
      <c r="M140" s="333" t="s">
        <v>15</v>
      </c>
      <c r="N140" s="333">
        <v>835.12</v>
      </c>
      <c r="O140" s="333">
        <f>SUM(C140:N140)</f>
        <v>25676.91</v>
      </c>
    </row>
    <row r="141" spans="1:15" s="39" customFormat="1" ht="12.75" customHeight="1" x14ac:dyDescent="0.2">
      <c r="A141" s="40" t="s">
        <v>43</v>
      </c>
      <c r="B141" s="168" t="s">
        <v>251</v>
      </c>
      <c r="C141" s="333" t="s">
        <v>15</v>
      </c>
      <c r="D141" s="333" t="s">
        <v>15</v>
      </c>
      <c r="E141" s="333" t="s">
        <v>15</v>
      </c>
      <c r="F141" s="333" t="s">
        <v>15</v>
      </c>
      <c r="G141" s="333" t="s">
        <v>15</v>
      </c>
      <c r="H141" s="333" t="s">
        <v>15</v>
      </c>
      <c r="I141" s="333" t="s">
        <v>15</v>
      </c>
      <c r="J141" s="333" t="s">
        <v>15</v>
      </c>
      <c r="K141" s="333" t="s">
        <v>15</v>
      </c>
      <c r="L141" s="333" t="s">
        <v>15</v>
      </c>
      <c r="M141" s="333" t="s">
        <v>15</v>
      </c>
      <c r="N141" s="333" t="s">
        <v>15</v>
      </c>
      <c r="O141" s="333">
        <f>SUM(C141:N141)</f>
        <v>0</v>
      </c>
    </row>
    <row r="142" spans="1:15" s="39" customFormat="1" ht="12.75" customHeight="1" x14ac:dyDescent="0.2">
      <c r="A142" s="40" t="s">
        <v>57</v>
      </c>
      <c r="B142" s="168" t="s">
        <v>251</v>
      </c>
      <c r="C142" s="333" t="s">
        <v>15</v>
      </c>
      <c r="D142" s="333" t="s">
        <v>15</v>
      </c>
      <c r="E142" s="333">
        <v>16163.16</v>
      </c>
      <c r="F142" s="333">
        <v>-16162.46</v>
      </c>
      <c r="G142" s="333">
        <v>8.07</v>
      </c>
      <c r="H142" s="333" t="s">
        <v>15</v>
      </c>
      <c r="I142" s="333" t="s">
        <v>15</v>
      </c>
      <c r="J142" s="333" t="s">
        <v>15</v>
      </c>
      <c r="K142" s="333" t="s">
        <v>15</v>
      </c>
      <c r="L142" s="333" t="s">
        <v>15</v>
      </c>
      <c r="M142" s="333" t="s">
        <v>15</v>
      </c>
      <c r="N142" s="333" t="s">
        <v>15</v>
      </c>
      <c r="O142" s="333">
        <f>SUM(C142:N142)</f>
        <v>8.7700000000007279</v>
      </c>
    </row>
    <row r="143" spans="1:15" s="39" customFormat="1" ht="12.75" customHeight="1" x14ac:dyDescent="0.2">
      <c r="A143" s="40" t="s">
        <v>433</v>
      </c>
      <c r="B143" s="168" t="s">
        <v>251</v>
      </c>
      <c r="C143" s="333" t="s">
        <v>15</v>
      </c>
      <c r="D143" s="333" t="s">
        <v>15</v>
      </c>
      <c r="E143" s="333" t="s">
        <v>15</v>
      </c>
      <c r="F143" s="333" t="s">
        <v>15</v>
      </c>
      <c r="G143" s="333" t="s">
        <v>15</v>
      </c>
      <c r="H143" s="333" t="s">
        <v>15</v>
      </c>
      <c r="I143" s="333" t="s">
        <v>15</v>
      </c>
      <c r="J143" s="333" t="s">
        <v>15</v>
      </c>
      <c r="K143" s="333" t="s">
        <v>15</v>
      </c>
      <c r="L143" s="333" t="s">
        <v>15</v>
      </c>
      <c r="M143" s="333">
        <v>974.45</v>
      </c>
      <c r="N143" s="333" t="s">
        <v>15</v>
      </c>
      <c r="O143" s="333">
        <f>SUM(C143:N143)</f>
        <v>974.45</v>
      </c>
    </row>
    <row r="144" spans="1:15" customFormat="1" ht="15" x14ac:dyDescent="0.25">
      <c r="A144" s="329" t="s">
        <v>361</v>
      </c>
      <c r="B144" s="168" t="s">
        <v>251</v>
      </c>
      <c r="C144" s="11" t="s">
        <v>15</v>
      </c>
      <c r="D144" s="11" t="s">
        <v>15</v>
      </c>
      <c r="E144" s="11" t="s">
        <v>15</v>
      </c>
      <c r="F144" s="11" t="s">
        <v>15</v>
      </c>
      <c r="G144" s="11">
        <v>3942.3</v>
      </c>
      <c r="H144" s="11" t="s">
        <v>15</v>
      </c>
      <c r="I144" s="11" t="s">
        <v>15</v>
      </c>
      <c r="J144" s="11">
        <v>1926.96</v>
      </c>
      <c r="K144" s="11" t="s">
        <v>15</v>
      </c>
      <c r="L144" s="11" t="s">
        <v>15</v>
      </c>
      <c r="M144" s="11" t="s">
        <v>15</v>
      </c>
      <c r="N144" s="11">
        <v>2222.08</v>
      </c>
      <c r="O144" s="333">
        <f>SUM(C144:N144)</f>
        <v>8091.34</v>
      </c>
    </row>
    <row r="145" spans="1:15" customFormat="1" ht="15" x14ac:dyDescent="0.25">
      <c r="A145" s="329" t="s">
        <v>362</v>
      </c>
      <c r="B145" s="168" t="s">
        <v>251</v>
      </c>
      <c r="C145" s="11">
        <v>535.30999999999995</v>
      </c>
      <c r="D145" s="11">
        <v>507.42</v>
      </c>
      <c r="E145" s="11">
        <v>375.6</v>
      </c>
      <c r="F145" s="11">
        <v>565.03</v>
      </c>
      <c r="G145" s="11">
        <v>449.32</v>
      </c>
      <c r="H145" s="11">
        <v>489.08</v>
      </c>
      <c r="I145" s="11">
        <v>317.27999999999997</v>
      </c>
      <c r="J145" s="11">
        <v>433.32</v>
      </c>
      <c r="K145" s="11">
        <v>244.36</v>
      </c>
      <c r="L145" s="11">
        <v>213.58</v>
      </c>
      <c r="M145" s="11">
        <v>471.41</v>
      </c>
      <c r="N145" s="11">
        <v>437.52</v>
      </c>
      <c r="O145" s="333">
        <f>SUM(C145:N145)</f>
        <v>5039.2299999999996</v>
      </c>
    </row>
    <row r="146" spans="1:15" customFormat="1" ht="15" x14ac:dyDescent="0.25">
      <c r="A146" s="329" t="s">
        <v>363</v>
      </c>
      <c r="B146" s="168" t="s">
        <v>251</v>
      </c>
      <c r="C146" s="11" t="s">
        <v>15</v>
      </c>
      <c r="D146" s="11">
        <v>17.010000000000002</v>
      </c>
      <c r="E146" s="11">
        <v>16.86</v>
      </c>
      <c r="F146" s="11" t="s">
        <v>15</v>
      </c>
      <c r="G146" s="11">
        <v>5.38</v>
      </c>
      <c r="H146" s="11" t="s">
        <v>15</v>
      </c>
      <c r="I146" s="11" t="s">
        <v>15</v>
      </c>
      <c r="J146" s="11" t="s">
        <v>15</v>
      </c>
      <c r="K146" s="11" t="s">
        <v>15</v>
      </c>
      <c r="L146" s="11" t="s">
        <v>15</v>
      </c>
      <c r="M146" s="11" t="s">
        <v>15</v>
      </c>
      <c r="N146" s="11" t="s">
        <v>15</v>
      </c>
      <c r="O146" s="333">
        <f>SUM(C146:N146)</f>
        <v>39.250000000000007</v>
      </c>
    </row>
    <row r="147" spans="1:15" customFormat="1" ht="15" x14ac:dyDescent="0.25">
      <c r="A147" s="329" t="s">
        <v>364</v>
      </c>
      <c r="B147" s="168" t="s">
        <v>251</v>
      </c>
      <c r="C147" s="11">
        <v>8533.25</v>
      </c>
      <c r="D147" s="11">
        <v>91.4</v>
      </c>
      <c r="E147" s="11">
        <v>727.97</v>
      </c>
      <c r="F147" s="11" t="s">
        <v>15</v>
      </c>
      <c r="G147" s="11">
        <v>20354.189999999999</v>
      </c>
      <c r="H147" s="11">
        <v>3731.7</v>
      </c>
      <c r="I147" s="11">
        <v>7126.83</v>
      </c>
      <c r="J147" s="11">
        <v>9578.84</v>
      </c>
      <c r="K147" s="11">
        <v>8318.41</v>
      </c>
      <c r="L147" s="11">
        <v>3774.29</v>
      </c>
      <c r="M147" s="11">
        <v>8313.85</v>
      </c>
      <c r="N147" s="11">
        <v>10269.780000000001</v>
      </c>
      <c r="O147" s="333">
        <f>SUM(C147:N147)</f>
        <v>80820.509999999995</v>
      </c>
    </row>
    <row r="148" spans="1:15" customFormat="1" ht="15" x14ac:dyDescent="0.25">
      <c r="A148" s="329" t="s">
        <v>365</v>
      </c>
      <c r="B148" s="168" t="s">
        <v>251</v>
      </c>
      <c r="C148" s="11">
        <v>23245.94</v>
      </c>
      <c r="D148" s="11">
        <v>23176.83</v>
      </c>
      <c r="E148" s="11">
        <v>24260.99</v>
      </c>
      <c r="F148" s="11">
        <v>2589.09</v>
      </c>
      <c r="G148" s="11">
        <v>62312.45</v>
      </c>
      <c r="H148" s="11">
        <v>19807.75</v>
      </c>
      <c r="I148" s="11">
        <v>26254.92</v>
      </c>
      <c r="J148" s="11">
        <v>11916.86</v>
      </c>
      <c r="K148" s="11">
        <v>29664</v>
      </c>
      <c r="L148" s="11">
        <v>10090.48</v>
      </c>
      <c r="M148" s="11">
        <v>12683.28</v>
      </c>
      <c r="N148" s="11">
        <v>18836.09</v>
      </c>
      <c r="O148" s="333">
        <f>SUM(C148:N148)</f>
        <v>264838.68</v>
      </c>
    </row>
    <row r="149" spans="1:15" customFormat="1" ht="15" x14ac:dyDescent="0.25">
      <c r="A149" s="329" t="s">
        <v>366</v>
      </c>
      <c r="B149" s="168" t="s">
        <v>251</v>
      </c>
      <c r="C149" s="11" t="s">
        <v>15</v>
      </c>
      <c r="D149" s="11">
        <v>10.91</v>
      </c>
      <c r="E149" s="11">
        <v>3128.03</v>
      </c>
      <c r="F149" s="11" t="s">
        <v>15</v>
      </c>
      <c r="G149" s="11" t="s">
        <v>15</v>
      </c>
      <c r="H149" s="11" t="s">
        <v>15</v>
      </c>
      <c r="I149" s="11" t="s">
        <v>15</v>
      </c>
      <c r="J149" s="11" t="s">
        <v>15</v>
      </c>
      <c r="K149" s="11" t="s">
        <v>15</v>
      </c>
      <c r="L149" s="11" t="s">
        <v>15</v>
      </c>
      <c r="M149" s="11">
        <v>85.65</v>
      </c>
      <c r="N149" s="11" t="s">
        <v>15</v>
      </c>
      <c r="O149" s="333">
        <f>SUM(C149:N149)</f>
        <v>3224.59</v>
      </c>
    </row>
    <row r="150" spans="1:15" customFormat="1" ht="15" x14ac:dyDescent="0.25">
      <c r="A150" s="329" t="s">
        <v>355</v>
      </c>
      <c r="B150" s="168" t="s">
        <v>251</v>
      </c>
      <c r="C150" s="11">
        <v>1740.7</v>
      </c>
      <c r="D150" s="11" t="s">
        <v>15</v>
      </c>
      <c r="E150" s="11">
        <v>24050.7</v>
      </c>
      <c r="F150" s="11" t="s">
        <v>15</v>
      </c>
      <c r="G150" s="11">
        <v>3246.96</v>
      </c>
      <c r="H150" s="11" t="s">
        <v>15</v>
      </c>
      <c r="I150" s="11">
        <v>1472</v>
      </c>
      <c r="J150" s="11">
        <v>15650.86</v>
      </c>
      <c r="K150" s="11" t="s">
        <v>15</v>
      </c>
      <c r="L150" s="11">
        <v>7618.67</v>
      </c>
      <c r="M150" s="11" t="s">
        <v>15</v>
      </c>
      <c r="N150" s="11">
        <v>9997.1</v>
      </c>
      <c r="O150" s="333">
        <f>SUM(C150:N150)</f>
        <v>63776.99</v>
      </c>
    </row>
    <row r="151" spans="1:15" customFormat="1" ht="15" x14ac:dyDescent="0.25">
      <c r="A151" s="329" t="s">
        <v>356</v>
      </c>
      <c r="B151" s="168" t="s">
        <v>251</v>
      </c>
      <c r="C151" s="11">
        <v>7290.2</v>
      </c>
      <c r="D151" s="11" t="s">
        <v>15</v>
      </c>
      <c r="E151" s="11" t="s">
        <v>15</v>
      </c>
      <c r="F151" s="11" t="s">
        <v>15</v>
      </c>
      <c r="G151" s="11">
        <v>4664.42</v>
      </c>
      <c r="H151" s="11" t="s">
        <v>15</v>
      </c>
      <c r="I151" s="11" t="s">
        <v>15</v>
      </c>
      <c r="J151" s="11">
        <v>9089.1299999999992</v>
      </c>
      <c r="K151" s="11" t="s">
        <v>15</v>
      </c>
      <c r="L151" s="11" t="s">
        <v>15</v>
      </c>
      <c r="M151" s="11" t="s">
        <v>15</v>
      </c>
      <c r="N151" s="11" t="s">
        <v>15</v>
      </c>
      <c r="O151" s="333">
        <f>SUM(C151:N151)</f>
        <v>21043.75</v>
      </c>
    </row>
    <row r="152" spans="1:15" customFormat="1" ht="15" x14ac:dyDescent="0.25">
      <c r="A152" s="329" t="s">
        <v>359</v>
      </c>
      <c r="B152" s="168" t="s">
        <v>69</v>
      </c>
      <c r="C152" s="11">
        <v>-29360.3</v>
      </c>
      <c r="D152" s="11">
        <v>-10280</v>
      </c>
      <c r="E152" s="11">
        <v>-33180.31</v>
      </c>
      <c r="F152" s="11">
        <v>-32274.06</v>
      </c>
      <c r="G152" s="11">
        <v>1707.3300000000017</v>
      </c>
      <c r="H152" s="11">
        <v>-15948.44</v>
      </c>
      <c r="I152" s="11">
        <v>-13520</v>
      </c>
      <c r="J152" s="11">
        <v>1634.3199999999997</v>
      </c>
      <c r="K152" s="11">
        <v>3531</v>
      </c>
      <c r="L152" s="11">
        <v>-15851</v>
      </c>
      <c r="M152" s="11">
        <v>-19362.650000000001</v>
      </c>
      <c r="N152" s="11">
        <v>20640</v>
      </c>
      <c r="O152" s="333">
        <f>SUM(C152:N152)</f>
        <v>-142264.10999999999</v>
      </c>
    </row>
    <row r="153" spans="1:15" customFormat="1" ht="15" x14ac:dyDescent="0.25">
      <c r="A153" s="329" t="s">
        <v>360</v>
      </c>
      <c r="B153" s="168" t="s">
        <v>251</v>
      </c>
      <c r="C153" s="11">
        <v>18141.599999999999</v>
      </c>
      <c r="D153" s="11" t="s">
        <v>15</v>
      </c>
      <c r="E153" s="11">
        <v>20989.4</v>
      </c>
      <c r="F153" s="11" t="s">
        <v>15</v>
      </c>
      <c r="G153" s="11">
        <v>49923.38</v>
      </c>
      <c r="H153" s="11" t="s">
        <v>15</v>
      </c>
      <c r="I153" s="11">
        <v>3899</v>
      </c>
      <c r="J153" s="11">
        <v>3861</v>
      </c>
      <c r="K153" s="11" t="s">
        <v>15</v>
      </c>
      <c r="L153" s="11" t="s">
        <v>15</v>
      </c>
      <c r="M153" s="11" t="s">
        <v>15</v>
      </c>
      <c r="N153" s="11" t="s">
        <v>15</v>
      </c>
      <c r="O153" s="333">
        <f>SUM(C153:N153)</f>
        <v>96814.38</v>
      </c>
    </row>
    <row r="154" spans="1:15" customFormat="1" ht="15" x14ac:dyDescent="0.25">
      <c r="A154" s="329" t="s">
        <v>357</v>
      </c>
      <c r="B154" s="168" t="s">
        <v>251</v>
      </c>
      <c r="C154" s="11">
        <v>18345.39</v>
      </c>
      <c r="D154" s="11">
        <v>2891.4</v>
      </c>
      <c r="E154" s="11">
        <v>7749.65</v>
      </c>
      <c r="F154" s="11">
        <v>1465.7</v>
      </c>
      <c r="G154" s="11">
        <v>66697.88</v>
      </c>
      <c r="H154" s="11">
        <v>20128.57</v>
      </c>
      <c r="I154" s="11">
        <v>9510.0499999999993</v>
      </c>
      <c r="J154" s="11">
        <v>27801.62</v>
      </c>
      <c r="K154" s="11">
        <v>13146.05</v>
      </c>
      <c r="L154" s="11">
        <v>16110.2</v>
      </c>
      <c r="M154" s="11">
        <v>24522.84</v>
      </c>
      <c r="N154" s="11">
        <v>19984.36</v>
      </c>
      <c r="O154" s="333">
        <f>SUM(C154:N154)</f>
        <v>228353.71000000002</v>
      </c>
    </row>
    <row r="155" spans="1:15" customFormat="1" ht="15" x14ac:dyDescent="0.25">
      <c r="A155" s="329" t="s">
        <v>358</v>
      </c>
      <c r="B155" s="168" t="s">
        <v>251</v>
      </c>
      <c r="C155" s="11">
        <v>8398.35</v>
      </c>
      <c r="D155" s="11">
        <v>9859.65</v>
      </c>
      <c r="E155" s="11">
        <v>7265.9</v>
      </c>
      <c r="F155" s="11" t="s">
        <v>15</v>
      </c>
      <c r="G155" s="11">
        <v>14190.82</v>
      </c>
      <c r="H155" s="11" t="s">
        <v>15</v>
      </c>
      <c r="I155" s="11">
        <v>27722.25</v>
      </c>
      <c r="J155" s="11">
        <v>28417.3</v>
      </c>
      <c r="K155" s="11">
        <v>10563.25</v>
      </c>
      <c r="L155" s="11">
        <v>9132.0400000000009</v>
      </c>
      <c r="M155" s="11">
        <v>1482.5</v>
      </c>
      <c r="N155" s="11">
        <v>29137</v>
      </c>
      <c r="O155" s="333">
        <f>SUM(C155:N155)</f>
        <v>146169.06</v>
      </c>
    </row>
    <row r="156" spans="1:15" customFormat="1" ht="15" x14ac:dyDescent="0.25">
      <c r="A156" s="329" t="s">
        <v>368</v>
      </c>
      <c r="B156" s="168" t="s">
        <v>251</v>
      </c>
      <c r="C156" s="11" t="s">
        <v>15</v>
      </c>
      <c r="D156" s="11" t="s">
        <v>15</v>
      </c>
      <c r="E156" s="11" t="s">
        <v>15</v>
      </c>
      <c r="F156" s="11" t="s">
        <v>15</v>
      </c>
      <c r="G156" s="11">
        <v>5147.54</v>
      </c>
      <c r="H156" s="11" t="s">
        <v>15</v>
      </c>
      <c r="I156" s="11" t="s">
        <v>15</v>
      </c>
      <c r="J156" s="11">
        <v>5661.67</v>
      </c>
      <c r="K156" s="11" t="s">
        <v>15</v>
      </c>
      <c r="L156" s="11" t="s">
        <v>15</v>
      </c>
      <c r="M156" s="11">
        <v>-1038.26</v>
      </c>
      <c r="N156" s="11" t="s">
        <v>15</v>
      </c>
      <c r="O156" s="333">
        <f>SUM(C156:N156)</f>
        <v>9770.9499999999989</v>
      </c>
    </row>
    <row r="157" spans="1:15" s="39" customFormat="1" ht="12.75" customHeight="1" x14ac:dyDescent="0.2">
      <c r="A157" s="40" t="s">
        <v>34</v>
      </c>
      <c r="B157" s="168" t="s">
        <v>251</v>
      </c>
      <c r="C157" s="333">
        <v>3572.53</v>
      </c>
      <c r="D157" s="333">
        <v>115723.55</v>
      </c>
      <c r="E157" s="333">
        <v>21329.77</v>
      </c>
      <c r="F157" s="333">
        <v>127430.61</v>
      </c>
      <c r="G157" s="333">
        <v>-87957.79</v>
      </c>
      <c r="H157" s="333">
        <v>234014.13</v>
      </c>
      <c r="I157" s="333">
        <v>240391.75</v>
      </c>
      <c r="J157" s="333">
        <v>-78396.34</v>
      </c>
      <c r="K157" s="333">
        <v>95732.1</v>
      </c>
      <c r="L157" s="333">
        <v>125254.35</v>
      </c>
      <c r="M157" s="333">
        <v>143827.93</v>
      </c>
      <c r="N157" s="333">
        <v>92752.25</v>
      </c>
      <c r="O157" s="333">
        <f>SUM(C157:N157)</f>
        <v>1033674.8400000001</v>
      </c>
    </row>
    <row r="158" spans="1:15" s="39" customFormat="1" ht="12.75" customHeight="1" x14ac:dyDescent="0.2">
      <c r="A158" s="40" t="s">
        <v>35</v>
      </c>
      <c r="B158" s="168" t="s">
        <v>251</v>
      </c>
      <c r="C158" s="333" t="s">
        <v>15</v>
      </c>
      <c r="D158" s="333" t="s">
        <v>15</v>
      </c>
      <c r="E158" s="333" t="s">
        <v>15</v>
      </c>
      <c r="F158" s="333" t="s">
        <v>15</v>
      </c>
      <c r="G158" s="333" t="s">
        <v>15</v>
      </c>
      <c r="H158" s="333" t="s">
        <v>15</v>
      </c>
      <c r="I158" s="333" t="s">
        <v>15</v>
      </c>
      <c r="J158" s="333" t="s">
        <v>15</v>
      </c>
      <c r="K158" s="333" t="s">
        <v>15</v>
      </c>
      <c r="L158" s="333" t="s">
        <v>15</v>
      </c>
      <c r="M158" s="333" t="s">
        <v>15</v>
      </c>
      <c r="N158" s="333" t="s">
        <v>15</v>
      </c>
      <c r="O158" s="333">
        <f>SUM(C158:N158)</f>
        <v>0</v>
      </c>
    </row>
    <row r="159" spans="1:15" s="39" customFormat="1" ht="12.75" customHeight="1" x14ac:dyDescent="0.2">
      <c r="A159" s="200" t="s">
        <v>352</v>
      </c>
      <c r="B159" s="168" t="s">
        <v>251</v>
      </c>
      <c r="C159" s="333">
        <v>22704.09</v>
      </c>
      <c r="D159" s="333">
        <v>31470.54</v>
      </c>
      <c r="E159" s="333">
        <v>14178.8</v>
      </c>
      <c r="F159" s="333">
        <v>29865.95</v>
      </c>
      <c r="G159" s="333">
        <v>52124.49</v>
      </c>
      <c r="H159" s="333">
        <v>34127.86</v>
      </c>
      <c r="I159" s="333">
        <v>33108.71</v>
      </c>
      <c r="J159" s="333">
        <v>65823.19</v>
      </c>
      <c r="K159" s="333">
        <v>44586.96</v>
      </c>
      <c r="L159" s="333">
        <v>40234.36</v>
      </c>
      <c r="M159" s="333">
        <v>42528.99</v>
      </c>
      <c r="N159" s="333">
        <v>69489.539999999994</v>
      </c>
      <c r="O159" s="333">
        <f>SUM(C159:N159)</f>
        <v>480243.48</v>
      </c>
    </row>
    <row r="160" spans="1:15" s="39" customFormat="1" ht="12.75" customHeight="1" x14ac:dyDescent="0.2">
      <c r="A160" s="40" t="s">
        <v>36</v>
      </c>
      <c r="B160" s="168" t="s">
        <v>251</v>
      </c>
      <c r="C160" s="333" t="s">
        <v>15</v>
      </c>
      <c r="D160" s="333" t="s">
        <v>15</v>
      </c>
      <c r="E160" s="333" t="s">
        <v>15</v>
      </c>
      <c r="F160" s="333" t="s">
        <v>15</v>
      </c>
      <c r="G160" s="333" t="s">
        <v>15</v>
      </c>
      <c r="H160" s="333" t="s">
        <v>15</v>
      </c>
      <c r="I160" s="333" t="s">
        <v>15</v>
      </c>
      <c r="J160" s="333" t="s">
        <v>15</v>
      </c>
      <c r="K160" s="333" t="s">
        <v>15</v>
      </c>
      <c r="L160" s="333" t="s">
        <v>15</v>
      </c>
      <c r="M160" s="333" t="s">
        <v>15</v>
      </c>
      <c r="N160" s="333" t="s">
        <v>15</v>
      </c>
      <c r="O160" s="333">
        <f>SUM(C160:N160)</f>
        <v>0</v>
      </c>
    </row>
    <row r="161" spans="1:15" s="39" customFormat="1" ht="12.75" customHeight="1" x14ac:dyDescent="0.2">
      <c r="A161" s="200" t="s">
        <v>353</v>
      </c>
      <c r="B161" s="168" t="s">
        <v>251</v>
      </c>
      <c r="C161" s="333">
        <v>-8790</v>
      </c>
      <c r="D161" s="333">
        <v>-1241</v>
      </c>
      <c r="E161" s="333">
        <v>15027</v>
      </c>
      <c r="F161" s="333">
        <v>4686</v>
      </c>
      <c r="G161" s="333">
        <v>24483</v>
      </c>
      <c r="H161" s="333">
        <v>19046</v>
      </c>
      <c r="I161" s="333">
        <v>11039</v>
      </c>
      <c r="J161" s="333">
        <v>-63348</v>
      </c>
      <c r="K161" s="333">
        <v>1303</v>
      </c>
      <c r="L161" s="333">
        <v>-12730</v>
      </c>
      <c r="M161" s="333">
        <v>-13227</v>
      </c>
      <c r="N161" s="333">
        <v>36803</v>
      </c>
      <c r="O161" s="333">
        <f>SUM(C161:N161)</f>
        <v>13051</v>
      </c>
    </row>
    <row r="162" spans="1:15" s="39" customFormat="1" ht="12.75" customHeight="1" x14ac:dyDescent="0.2">
      <c r="A162" s="40" t="s">
        <v>37</v>
      </c>
      <c r="B162" s="168" t="s">
        <v>251</v>
      </c>
      <c r="C162" s="333" t="s">
        <v>15</v>
      </c>
      <c r="D162" s="333" t="s">
        <v>15</v>
      </c>
      <c r="E162" s="333" t="s">
        <v>15</v>
      </c>
      <c r="F162" s="333" t="s">
        <v>15</v>
      </c>
      <c r="G162" s="333" t="s">
        <v>15</v>
      </c>
      <c r="H162" s="333" t="s">
        <v>15</v>
      </c>
      <c r="I162" s="333" t="s">
        <v>15</v>
      </c>
      <c r="J162" s="333" t="s">
        <v>15</v>
      </c>
      <c r="K162" s="333" t="s">
        <v>15</v>
      </c>
      <c r="L162" s="333" t="s">
        <v>15</v>
      </c>
      <c r="M162" s="333" t="s">
        <v>15</v>
      </c>
      <c r="N162" s="333" t="s">
        <v>15</v>
      </c>
      <c r="O162" s="333">
        <f>SUM(C162:N162)</f>
        <v>0</v>
      </c>
    </row>
    <row r="163" spans="1:15" s="39" customFormat="1" ht="13.5" customHeight="1" x14ac:dyDescent="0.2">
      <c r="A163" s="200" t="s">
        <v>374</v>
      </c>
      <c r="B163" s="168" t="s">
        <v>251</v>
      </c>
      <c r="C163" s="30" t="s">
        <v>15</v>
      </c>
      <c r="D163" s="30" t="s">
        <v>15</v>
      </c>
      <c r="E163" s="30" t="s">
        <v>15</v>
      </c>
      <c r="F163" s="30" t="s">
        <v>15</v>
      </c>
      <c r="G163" s="30" t="s">
        <v>15</v>
      </c>
      <c r="H163" s="30">
        <v>284.64999999999998</v>
      </c>
      <c r="I163" s="30" t="s">
        <v>15</v>
      </c>
      <c r="J163" s="30" t="s">
        <v>15</v>
      </c>
      <c r="K163" s="30" t="s">
        <v>15</v>
      </c>
      <c r="L163" s="30" t="s">
        <v>15</v>
      </c>
      <c r="M163" s="30" t="s">
        <v>15</v>
      </c>
      <c r="N163" s="30" t="s">
        <v>15</v>
      </c>
      <c r="O163" s="38">
        <f>SUM(C163:N163)</f>
        <v>284.64999999999998</v>
      </c>
    </row>
    <row r="164" spans="1:15" s="39" customFormat="1" ht="12.75" customHeight="1" x14ac:dyDescent="0.2">
      <c r="A164" s="200" t="s">
        <v>38</v>
      </c>
      <c r="B164" s="168" t="s">
        <v>251</v>
      </c>
      <c r="C164" s="333">
        <v>11773.18</v>
      </c>
      <c r="D164" s="333">
        <v>14857.17</v>
      </c>
      <c r="E164" s="333">
        <v>6632.46</v>
      </c>
      <c r="F164" s="333">
        <v>13658.86</v>
      </c>
      <c r="G164" s="333">
        <v>28774.46</v>
      </c>
      <c r="H164" s="333">
        <v>22764.37</v>
      </c>
      <c r="I164" s="333">
        <v>28340.25</v>
      </c>
      <c r="J164" s="333">
        <v>22935.68</v>
      </c>
      <c r="K164" s="333">
        <v>18645.27</v>
      </c>
      <c r="L164" s="333">
        <v>19301.98</v>
      </c>
      <c r="M164" s="333">
        <v>26378.14</v>
      </c>
      <c r="N164" s="333">
        <v>27933.4</v>
      </c>
      <c r="O164" s="333">
        <f>SUM(C164:N164)</f>
        <v>241995.22</v>
      </c>
    </row>
    <row r="165" spans="1:15" ht="12.75" customHeight="1" x14ac:dyDescent="0.2">
      <c r="A165" s="15" t="s">
        <v>16</v>
      </c>
      <c r="B165" s="12" t="s">
        <v>251</v>
      </c>
      <c r="C165" s="11">
        <v>12196</v>
      </c>
      <c r="D165" s="11">
        <v>12574</v>
      </c>
      <c r="E165" s="11">
        <v>6305</v>
      </c>
      <c r="F165" s="11">
        <v>11601</v>
      </c>
      <c r="G165" s="11">
        <v>170684.49</v>
      </c>
      <c r="H165" s="11">
        <v>-207534.49</v>
      </c>
      <c r="I165" s="11">
        <v>6267</v>
      </c>
      <c r="J165" s="11">
        <v>-13464</v>
      </c>
      <c r="K165" s="11">
        <v>10723</v>
      </c>
      <c r="L165" s="11">
        <v>11666</v>
      </c>
      <c r="M165" s="11">
        <v>9441</v>
      </c>
      <c r="N165" s="11">
        <v>-14750</v>
      </c>
      <c r="O165" s="333">
        <f>SUM(C165:N165)</f>
        <v>15709</v>
      </c>
    </row>
    <row r="166" spans="1:15" ht="12.75" customHeight="1" x14ac:dyDescent="0.2">
      <c r="A166" s="15" t="s">
        <v>17</v>
      </c>
      <c r="B166" s="12" t="s">
        <v>251</v>
      </c>
      <c r="C166" s="11">
        <v>35759</v>
      </c>
      <c r="D166" s="11">
        <v>24102</v>
      </c>
      <c r="E166" s="11">
        <v>27978</v>
      </c>
      <c r="F166" s="11">
        <v>23772</v>
      </c>
      <c r="G166" s="11">
        <v>36855</v>
      </c>
      <c r="H166" s="11">
        <v>32093</v>
      </c>
      <c r="I166" s="11">
        <v>29280</v>
      </c>
      <c r="J166" s="11">
        <v>35010</v>
      </c>
      <c r="K166" s="11">
        <v>20423</v>
      </c>
      <c r="L166" s="11">
        <v>25928</v>
      </c>
      <c r="M166" s="11">
        <v>27344</v>
      </c>
      <c r="N166" s="11">
        <v>39043</v>
      </c>
      <c r="O166" s="333">
        <f>SUM(C166:N166)</f>
        <v>357587</v>
      </c>
    </row>
    <row r="167" spans="1:15" ht="12.75" customHeight="1" x14ac:dyDescent="0.2">
      <c r="A167" s="15" t="s">
        <v>18</v>
      </c>
      <c r="B167" s="12" t="s">
        <v>251</v>
      </c>
      <c r="C167" s="11">
        <v>287223.63</v>
      </c>
      <c r="D167" s="11">
        <v>235232.06</v>
      </c>
      <c r="E167" s="11">
        <v>138238.10999999999</v>
      </c>
      <c r="F167" s="11">
        <v>190801.84</v>
      </c>
      <c r="G167" s="11">
        <v>160272.25</v>
      </c>
      <c r="H167" s="11">
        <v>292466.71000000002</v>
      </c>
      <c r="I167" s="11">
        <v>173151.92</v>
      </c>
      <c r="J167" s="11">
        <v>216647.94</v>
      </c>
      <c r="K167" s="11">
        <v>124335.3</v>
      </c>
      <c r="L167" s="11">
        <v>181231.08</v>
      </c>
      <c r="M167" s="11">
        <v>121865.97</v>
      </c>
      <c r="N167" s="11">
        <v>159229.1</v>
      </c>
      <c r="O167" s="333">
        <f>SUM(C167:N167)</f>
        <v>2280695.91</v>
      </c>
    </row>
    <row r="168" spans="1:15" ht="12.75" customHeight="1" x14ac:dyDescent="0.2">
      <c r="A168" s="15" t="s">
        <v>255</v>
      </c>
      <c r="B168" s="12" t="s">
        <v>251</v>
      </c>
      <c r="C168" s="11">
        <v>160</v>
      </c>
      <c r="D168" s="11">
        <v>123</v>
      </c>
      <c r="E168" s="11">
        <v>142</v>
      </c>
      <c r="F168" s="11">
        <v>117</v>
      </c>
      <c r="G168" s="11">
        <v>126</v>
      </c>
      <c r="H168" s="11">
        <v>302</v>
      </c>
      <c r="I168" s="11">
        <v>90</v>
      </c>
      <c r="J168" s="11">
        <v>163</v>
      </c>
      <c r="K168" s="11">
        <v>85</v>
      </c>
      <c r="L168" s="11">
        <v>60</v>
      </c>
      <c r="M168" s="11">
        <v>81</v>
      </c>
      <c r="N168" s="11">
        <v>180</v>
      </c>
      <c r="O168" s="333">
        <f>SUM(C168:N168)</f>
        <v>1629</v>
      </c>
    </row>
    <row r="169" spans="1:15" ht="12.75" customHeight="1" x14ac:dyDescent="0.2">
      <c r="A169" s="15" t="s">
        <v>39</v>
      </c>
      <c r="B169" s="12" t="s">
        <v>251</v>
      </c>
      <c r="C169" s="11">
        <v>277.98</v>
      </c>
      <c r="D169" s="11" t="s">
        <v>15</v>
      </c>
      <c r="E169" s="11">
        <v>25</v>
      </c>
      <c r="F169" s="11">
        <v>15.21</v>
      </c>
      <c r="G169" s="11">
        <v>51.03</v>
      </c>
      <c r="H169" s="11" t="s">
        <v>15</v>
      </c>
      <c r="I169" s="11" t="s">
        <v>15</v>
      </c>
      <c r="J169" s="11" t="s">
        <v>15</v>
      </c>
      <c r="K169" s="11" t="s">
        <v>15</v>
      </c>
      <c r="L169" s="11" t="s">
        <v>15</v>
      </c>
      <c r="M169" s="11" t="s">
        <v>15</v>
      </c>
      <c r="N169" s="11" t="s">
        <v>15</v>
      </c>
      <c r="O169" s="333">
        <f>SUM(C169:N169)</f>
        <v>369.22</v>
      </c>
    </row>
    <row r="170" spans="1:15" ht="12.75" customHeight="1" x14ac:dyDescent="0.2">
      <c r="A170" s="15" t="s">
        <v>19</v>
      </c>
      <c r="B170" s="12" t="s">
        <v>251</v>
      </c>
      <c r="C170" s="11">
        <v>58873.09</v>
      </c>
      <c r="D170" s="11">
        <v>73110.13</v>
      </c>
      <c r="E170" s="11">
        <v>59771</v>
      </c>
      <c r="F170" s="11">
        <v>53205</v>
      </c>
      <c r="G170" s="11" t="s">
        <v>15</v>
      </c>
      <c r="H170" s="11" t="s">
        <v>15</v>
      </c>
      <c r="I170" s="11" t="s">
        <v>15</v>
      </c>
      <c r="J170" s="11" t="s">
        <v>15</v>
      </c>
      <c r="K170" s="11" t="s">
        <v>15</v>
      </c>
      <c r="L170" s="11" t="s">
        <v>15</v>
      </c>
      <c r="M170" s="11" t="s">
        <v>15</v>
      </c>
      <c r="N170" s="11" t="s">
        <v>15</v>
      </c>
      <c r="O170" s="333">
        <f>SUM(C170:N170)</f>
        <v>244959.22</v>
      </c>
    </row>
    <row r="171" spans="1:15" ht="12.75" customHeight="1" x14ac:dyDescent="0.2">
      <c r="A171" s="15" t="s">
        <v>204</v>
      </c>
      <c r="B171" s="12" t="s">
        <v>251</v>
      </c>
      <c r="C171" s="11">
        <v>18050</v>
      </c>
      <c r="D171" s="11">
        <v>16107</v>
      </c>
      <c r="E171" s="11">
        <v>11757</v>
      </c>
      <c r="F171" s="11">
        <v>11055</v>
      </c>
      <c r="G171" s="11">
        <v>17261</v>
      </c>
      <c r="H171" s="11">
        <v>26053</v>
      </c>
      <c r="I171" s="11">
        <v>14456</v>
      </c>
      <c r="J171" s="11">
        <v>13418</v>
      </c>
      <c r="K171" s="11">
        <v>8226</v>
      </c>
      <c r="L171" s="11">
        <v>10177</v>
      </c>
      <c r="M171" s="11">
        <v>7710</v>
      </c>
      <c r="N171" s="11">
        <v>11243</v>
      </c>
      <c r="O171" s="333">
        <f>SUM(C171:N171)</f>
        <v>165513</v>
      </c>
    </row>
    <row r="172" spans="1:15" ht="12.75" customHeight="1" x14ac:dyDescent="0.2">
      <c r="A172" s="15" t="s">
        <v>20</v>
      </c>
      <c r="B172" s="12" t="s">
        <v>251</v>
      </c>
      <c r="C172" s="11" t="s">
        <v>15</v>
      </c>
      <c r="D172" s="11" t="s">
        <v>15</v>
      </c>
      <c r="E172" s="11" t="s">
        <v>15</v>
      </c>
      <c r="F172" s="11" t="s">
        <v>15</v>
      </c>
      <c r="G172" s="11" t="s">
        <v>15</v>
      </c>
      <c r="H172" s="11" t="s">
        <v>15</v>
      </c>
      <c r="I172" s="11" t="s">
        <v>15</v>
      </c>
      <c r="J172" s="11" t="s">
        <v>15</v>
      </c>
      <c r="K172" s="11" t="s">
        <v>15</v>
      </c>
      <c r="L172" s="11" t="s">
        <v>15</v>
      </c>
      <c r="M172" s="11" t="s">
        <v>15</v>
      </c>
      <c r="N172" s="11" t="s">
        <v>15</v>
      </c>
      <c r="O172" s="333">
        <f>SUM(C172:N172)</f>
        <v>0</v>
      </c>
    </row>
    <row r="173" spans="1:15" ht="12.75" customHeight="1" x14ac:dyDescent="0.2">
      <c r="A173" s="15" t="s">
        <v>21</v>
      </c>
      <c r="B173" s="12" t="s">
        <v>251</v>
      </c>
      <c r="C173" s="11">
        <v>671</v>
      </c>
      <c r="D173" s="11">
        <v>644</v>
      </c>
      <c r="E173" s="11">
        <v>491</v>
      </c>
      <c r="F173" s="11">
        <v>517</v>
      </c>
      <c r="G173" s="11">
        <v>508</v>
      </c>
      <c r="H173" s="11">
        <v>716</v>
      </c>
      <c r="I173" s="11">
        <v>554</v>
      </c>
      <c r="J173" s="11">
        <v>643</v>
      </c>
      <c r="K173" s="11">
        <v>302</v>
      </c>
      <c r="L173" s="11">
        <v>393</v>
      </c>
      <c r="M173" s="11">
        <v>355</v>
      </c>
      <c r="N173" s="11">
        <v>365</v>
      </c>
      <c r="O173" s="333">
        <f>SUM(C173:N173)</f>
        <v>6159</v>
      </c>
    </row>
    <row r="174" spans="1:15" ht="12.75" customHeight="1" x14ac:dyDescent="0.2">
      <c r="A174" s="15" t="s">
        <v>40</v>
      </c>
      <c r="B174" s="12" t="s">
        <v>251</v>
      </c>
      <c r="C174" s="11" t="s">
        <v>15</v>
      </c>
      <c r="D174" s="11" t="s">
        <v>15</v>
      </c>
      <c r="E174" s="11" t="s">
        <v>15</v>
      </c>
      <c r="F174" s="11" t="s">
        <v>15</v>
      </c>
      <c r="G174" s="11" t="s">
        <v>15</v>
      </c>
      <c r="H174" s="11" t="s">
        <v>15</v>
      </c>
      <c r="I174" s="11" t="s">
        <v>15</v>
      </c>
      <c r="J174" s="11" t="s">
        <v>15</v>
      </c>
      <c r="K174" s="11" t="s">
        <v>15</v>
      </c>
      <c r="L174" s="11" t="s">
        <v>15</v>
      </c>
      <c r="M174" s="11" t="s">
        <v>15</v>
      </c>
      <c r="N174" s="11" t="s">
        <v>15</v>
      </c>
      <c r="O174" s="333">
        <f>SUM(C174:N174)</f>
        <v>0</v>
      </c>
    </row>
    <row r="175" spans="1:15" ht="12.75" customHeight="1" x14ac:dyDescent="0.2">
      <c r="A175" s="15" t="s">
        <v>22</v>
      </c>
      <c r="B175" s="12" t="s">
        <v>251</v>
      </c>
      <c r="C175" s="11" t="s">
        <v>15</v>
      </c>
      <c r="D175" s="11" t="s">
        <v>15</v>
      </c>
      <c r="E175" s="11" t="s">
        <v>15</v>
      </c>
      <c r="F175" s="11" t="s">
        <v>15</v>
      </c>
      <c r="G175" s="11" t="s">
        <v>15</v>
      </c>
      <c r="H175" s="11" t="s">
        <v>15</v>
      </c>
      <c r="I175" s="11" t="s">
        <v>15</v>
      </c>
      <c r="J175" s="11" t="s">
        <v>15</v>
      </c>
      <c r="K175" s="11" t="s">
        <v>15</v>
      </c>
      <c r="L175" s="11" t="s">
        <v>15</v>
      </c>
      <c r="M175" s="11" t="s">
        <v>15</v>
      </c>
      <c r="N175" s="11" t="s">
        <v>15</v>
      </c>
      <c r="O175" s="333">
        <f>SUM(C175:N175)</f>
        <v>0</v>
      </c>
    </row>
    <row r="176" spans="1:15" customFormat="1" ht="12.75" customHeight="1" x14ac:dyDescent="0.2">
      <c r="A176" s="15" t="s">
        <v>23</v>
      </c>
      <c r="B176" s="12" t="s">
        <v>251</v>
      </c>
      <c r="C176" s="11">
        <v>12234</v>
      </c>
      <c r="D176" s="11">
        <v>27881</v>
      </c>
      <c r="E176" s="11">
        <v>8508</v>
      </c>
      <c r="F176" s="11">
        <v>19076</v>
      </c>
      <c r="G176" s="11">
        <v>17960</v>
      </c>
      <c r="H176" s="11">
        <v>19762</v>
      </c>
      <c r="I176" s="11">
        <v>11377</v>
      </c>
      <c r="J176" s="11">
        <v>16611</v>
      </c>
      <c r="K176" s="11">
        <v>10607</v>
      </c>
      <c r="L176" s="11">
        <v>11796</v>
      </c>
      <c r="M176" s="11">
        <v>9077</v>
      </c>
      <c r="N176" s="11">
        <v>16621</v>
      </c>
      <c r="O176" s="333">
        <f>SUM(C176:N176)</f>
        <v>181510</v>
      </c>
    </row>
    <row r="177" spans="1:15" customFormat="1" ht="12.75" customHeight="1" x14ac:dyDescent="0.2">
      <c r="A177" s="15" t="s">
        <v>24</v>
      </c>
      <c r="B177" s="12" t="s">
        <v>251</v>
      </c>
      <c r="C177" s="11">
        <v>13248</v>
      </c>
      <c r="D177" s="11">
        <v>20055</v>
      </c>
      <c r="E177" s="11">
        <v>8015</v>
      </c>
      <c r="F177" s="11">
        <v>7356</v>
      </c>
      <c r="G177" s="11">
        <v>16099</v>
      </c>
      <c r="H177" s="11">
        <v>28136</v>
      </c>
      <c r="I177" s="11">
        <v>13976</v>
      </c>
      <c r="J177" s="11">
        <v>15772</v>
      </c>
      <c r="K177" s="11">
        <v>9559</v>
      </c>
      <c r="L177" s="11">
        <v>10364</v>
      </c>
      <c r="M177" s="11">
        <v>10248</v>
      </c>
      <c r="N177" s="11">
        <v>12687</v>
      </c>
      <c r="O177" s="333">
        <f>SUM(C177:N177)</f>
        <v>165515</v>
      </c>
    </row>
    <row r="178" spans="1:15" customFormat="1" ht="12.75" customHeight="1" x14ac:dyDescent="0.2">
      <c r="A178" s="15" t="s">
        <v>25</v>
      </c>
      <c r="B178" s="12" t="s">
        <v>251</v>
      </c>
      <c r="C178" s="11">
        <v>31635</v>
      </c>
      <c r="D178" s="11">
        <v>29342</v>
      </c>
      <c r="E178" s="11">
        <v>15817</v>
      </c>
      <c r="F178" s="11">
        <v>33204</v>
      </c>
      <c r="G178" s="11">
        <v>25761</v>
      </c>
      <c r="H178" s="11">
        <v>34281</v>
      </c>
      <c r="I178" s="11">
        <v>15667</v>
      </c>
      <c r="J178" s="11">
        <v>21266</v>
      </c>
      <c r="K178" s="11">
        <v>14044</v>
      </c>
      <c r="L178" s="11">
        <v>17201</v>
      </c>
      <c r="M178" s="11">
        <v>11194</v>
      </c>
      <c r="N178" s="11">
        <v>14895</v>
      </c>
      <c r="O178" s="333">
        <f>SUM(C178:N178)</f>
        <v>264307</v>
      </c>
    </row>
    <row r="179" spans="1:15" customFormat="1" ht="12.75" customHeight="1" x14ac:dyDescent="0.2">
      <c r="A179" s="15" t="s">
        <v>26</v>
      </c>
      <c r="B179" s="12" t="s">
        <v>251</v>
      </c>
      <c r="C179" s="11">
        <v>6686</v>
      </c>
      <c r="D179" s="11">
        <v>2359</v>
      </c>
      <c r="E179" s="11">
        <v>5882</v>
      </c>
      <c r="F179" s="11">
        <v>4875</v>
      </c>
      <c r="G179" s="11">
        <v>825</v>
      </c>
      <c r="H179" s="11" t="s">
        <v>15</v>
      </c>
      <c r="I179" s="11">
        <v>4110</v>
      </c>
      <c r="J179" s="11">
        <v>8249</v>
      </c>
      <c r="K179" s="11">
        <v>3030</v>
      </c>
      <c r="L179" s="11">
        <v>3708</v>
      </c>
      <c r="M179" s="11">
        <v>2619</v>
      </c>
      <c r="N179" s="11">
        <v>9622</v>
      </c>
      <c r="O179" s="333">
        <f>SUM(C179:N179)</f>
        <v>51965</v>
      </c>
    </row>
    <row r="180" spans="1:15" customFormat="1" ht="12.75" customHeight="1" x14ac:dyDescent="0.2">
      <c r="A180" s="15" t="s">
        <v>27</v>
      </c>
      <c r="B180" s="12" t="s">
        <v>251</v>
      </c>
      <c r="C180" s="11" t="s">
        <v>15</v>
      </c>
      <c r="D180" s="11" t="s">
        <v>15</v>
      </c>
      <c r="E180" s="11" t="s">
        <v>15</v>
      </c>
      <c r="F180" s="11" t="s">
        <v>15</v>
      </c>
      <c r="G180" s="11" t="s">
        <v>15</v>
      </c>
      <c r="H180" s="11" t="s">
        <v>15</v>
      </c>
      <c r="I180" s="11" t="s">
        <v>15</v>
      </c>
      <c r="J180" s="11" t="s">
        <v>15</v>
      </c>
      <c r="K180" s="11" t="s">
        <v>15</v>
      </c>
      <c r="L180" s="11" t="s">
        <v>15</v>
      </c>
      <c r="M180" s="11" t="s">
        <v>15</v>
      </c>
      <c r="N180" s="11" t="s">
        <v>15</v>
      </c>
      <c r="O180" s="333">
        <f>SUM(C180:N180)</f>
        <v>0</v>
      </c>
    </row>
    <row r="181" spans="1:15" customFormat="1" ht="12.75" customHeight="1" x14ac:dyDescent="0.2">
      <c r="A181" s="15" t="s">
        <v>72</v>
      </c>
      <c r="B181" s="12" t="s">
        <v>251</v>
      </c>
      <c r="C181" s="11">
        <v>534</v>
      </c>
      <c r="D181" s="11">
        <v>558</v>
      </c>
      <c r="E181" s="11">
        <v>546</v>
      </c>
      <c r="F181" s="11">
        <v>538</v>
      </c>
      <c r="G181" s="11">
        <v>435</v>
      </c>
      <c r="H181" s="11">
        <v>776</v>
      </c>
      <c r="I181" s="11">
        <v>586</v>
      </c>
      <c r="J181" s="11">
        <v>641</v>
      </c>
      <c r="K181" s="11">
        <v>381</v>
      </c>
      <c r="L181" s="11">
        <v>477</v>
      </c>
      <c r="M181" s="11">
        <v>435</v>
      </c>
      <c r="N181" s="11">
        <v>823</v>
      </c>
      <c r="O181" s="333">
        <f>SUM(C181:N181)</f>
        <v>6730</v>
      </c>
    </row>
    <row r="182" spans="1:15" customFormat="1" ht="12.75" customHeight="1" x14ac:dyDescent="0.2">
      <c r="A182" s="15" t="s">
        <v>28</v>
      </c>
      <c r="B182" s="12" t="s">
        <v>251</v>
      </c>
      <c r="C182" s="11" t="s">
        <v>15</v>
      </c>
      <c r="D182" s="11" t="s">
        <v>15</v>
      </c>
      <c r="E182" s="11" t="s">
        <v>15</v>
      </c>
      <c r="F182" s="11" t="s">
        <v>15</v>
      </c>
      <c r="G182" s="11" t="s">
        <v>15</v>
      </c>
      <c r="H182" s="11" t="s">
        <v>15</v>
      </c>
      <c r="I182" s="11" t="s">
        <v>15</v>
      </c>
      <c r="J182" s="11" t="s">
        <v>15</v>
      </c>
      <c r="K182" s="11" t="s">
        <v>15</v>
      </c>
      <c r="L182" s="11" t="s">
        <v>15</v>
      </c>
      <c r="M182" s="11" t="s">
        <v>15</v>
      </c>
      <c r="N182" s="11" t="s">
        <v>15</v>
      </c>
      <c r="O182" s="333">
        <f>SUM(C182:N182)</f>
        <v>0</v>
      </c>
    </row>
    <row r="183" spans="1:15" ht="12.75" customHeight="1" x14ac:dyDescent="0.2">
      <c r="A183" s="15" t="s">
        <v>82</v>
      </c>
      <c r="B183" s="12" t="s">
        <v>251</v>
      </c>
      <c r="C183" s="11">
        <v>34667</v>
      </c>
      <c r="D183" s="11">
        <v>34137</v>
      </c>
      <c r="E183" s="11">
        <v>23504</v>
      </c>
      <c r="F183" s="11">
        <v>37431</v>
      </c>
      <c r="G183" s="11">
        <v>26432</v>
      </c>
      <c r="H183" s="11">
        <v>43276</v>
      </c>
      <c r="I183" s="11">
        <v>29572</v>
      </c>
      <c r="J183" s="11">
        <v>34912</v>
      </c>
      <c r="K183" s="11">
        <v>25803</v>
      </c>
      <c r="L183" s="11">
        <v>26723</v>
      </c>
      <c r="M183" s="11">
        <v>24313</v>
      </c>
      <c r="N183" s="11">
        <v>33076</v>
      </c>
      <c r="O183" s="333">
        <f>SUM(C183:N183)</f>
        <v>373846</v>
      </c>
    </row>
    <row r="184" spans="1:15" ht="12.75" customHeight="1" x14ac:dyDescent="0.2">
      <c r="A184" s="15" t="s">
        <v>165</v>
      </c>
      <c r="B184" s="12" t="s">
        <v>251</v>
      </c>
      <c r="C184" s="11" t="s">
        <v>15</v>
      </c>
      <c r="D184" s="11" t="s">
        <v>15</v>
      </c>
      <c r="E184" s="11" t="s">
        <v>15</v>
      </c>
      <c r="F184" s="11" t="s">
        <v>15</v>
      </c>
      <c r="G184" s="11" t="s">
        <v>15</v>
      </c>
      <c r="H184" s="11" t="s">
        <v>15</v>
      </c>
      <c r="I184" s="11" t="s">
        <v>15</v>
      </c>
      <c r="J184" s="11" t="s">
        <v>15</v>
      </c>
      <c r="K184" s="11" t="s">
        <v>15</v>
      </c>
      <c r="L184" s="11" t="s">
        <v>15</v>
      </c>
      <c r="M184" s="11" t="s">
        <v>15</v>
      </c>
      <c r="N184" s="11" t="s">
        <v>15</v>
      </c>
      <c r="O184" s="333">
        <f>SUM(C184:N184)</f>
        <v>0</v>
      </c>
    </row>
    <row r="185" spans="1:15" ht="12.75" customHeight="1" x14ac:dyDescent="0.2">
      <c r="A185" s="15" t="s">
        <v>166</v>
      </c>
      <c r="B185" s="12" t="s">
        <v>251</v>
      </c>
      <c r="C185" s="11">
        <v>10009</v>
      </c>
      <c r="D185" s="11">
        <v>9900</v>
      </c>
      <c r="E185" s="11">
        <v>4043</v>
      </c>
      <c r="F185" s="11">
        <v>6468</v>
      </c>
      <c r="G185" s="11">
        <v>4785</v>
      </c>
      <c r="H185" s="11">
        <v>7547</v>
      </c>
      <c r="I185" s="11">
        <v>4324</v>
      </c>
      <c r="J185" s="11">
        <v>5836</v>
      </c>
      <c r="K185" s="11">
        <v>2981</v>
      </c>
      <c r="L185" s="11">
        <v>2838</v>
      </c>
      <c r="M185" s="11">
        <v>3101</v>
      </c>
      <c r="N185" s="11">
        <v>4521</v>
      </c>
      <c r="O185" s="333">
        <f>SUM(C185:N185)</f>
        <v>66353</v>
      </c>
    </row>
    <row r="186" spans="1:15" ht="12.75" customHeight="1" x14ac:dyDescent="0.2">
      <c r="A186" s="15" t="s">
        <v>167</v>
      </c>
      <c r="B186" s="12" t="s">
        <v>251</v>
      </c>
      <c r="C186" s="11" t="s">
        <v>15</v>
      </c>
      <c r="D186" s="11" t="s">
        <v>15</v>
      </c>
      <c r="E186" s="11" t="s">
        <v>15</v>
      </c>
      <c r="F186" s="11" t="s">
        <v>15</v>
      </c>
      <c r="G186" s="11" t="s">
        <v>15</v>
      </c>
      <c r="H186" s="11" t="s">
        <v>15</v>
      </c>
      <c r="I186" s="11" t="s">
        <v>15</v>
      </c>
      <c r="J186" s="11" t="s">
        <v>15</v>
      </c>
      <c r="K186" s="11" t="s">
        <v>15</v>
      </c>
      <c r="L186" s="11" t="s">
        <v>15</v>
      </c>
      <c r="M186" s="11" t="s">
        <v>15</v>
      </c>
      <c r="N186" s="11" t="s">
        <v>15</v>
      </c>
      <c r="O186" s="333">
        <f>SUM(C186:N186)</f>
        <v>0</v>
      </c>
    </row>
    <row r="187" spans="1:15" ht="12.75" customHeight="1" x14ac:dyDescent="0.2">
      <c r="A187" s="15" t="s">
        <v>168</v>
      </c>
      <c r="B187" s="12" t="s">
        <v>251</v>
      </c>
      <c r="C187" s="11" t="s">
        <v>15</v>
      </c>
      <c r="D187" s="11" t="s">
        <v>15</v>
      </c>
      <c r="E187" s="11" t="s">
        <v>15</v>
      </c>
      <c r="F187" s="11" t="s">
        <v>15</v>
      </c>
      <c r="G187" s="11" t="s">
        <v>15</v>
      </c>
      <c r="H187" s="11" t="s">
        <v>15</v>
      </c>
      <c r="I187" s="11" t="s">
        <v>15</v>
      </c>
      <c r="J187" s="11" t="s">
        <v>15</v>
      </c>
      <c r="K187" s="11" t="s">
        <v>15</v>
      </c>
      <c r="L187" s="11" t="s">
        <v>15</v>
      </c>
      <c r="M187" s="11" t="s">
        <v>15</v>
      </c>
      <c r="N187" s="11" t="s">
        <v>15</v>
      </c>
      <c r="O187" s="333">
        <f>SUM(C187:N187)</f>
        <v>0</v>
      </c>
    </row>
    <row r="188" spans="1:15" ht="12.75" customHeight="1" x14ac:dyDescent="0.2">
      <c r="A188" s="15" t="s">
        <v>73</v>
      </c>
      <c r="B188" s="12" t="s">
        <v>251</v>
      </c>
      <c r="C188" s="11" t="s">
        <v>15</v>
      </c>
      <c r="D188" s="11" t="s">
        <v>15</v>
      </c>
      <c r="E188" s="11" t="s">
        <v>15</v>
      </c>
      <c r="F188" s="11" t="s">
        <v>15</v>
      </c>
      <c r="G188" s="11" t="s">
        <v>15</v>
      </c>
      <c r="H188" s="11" t="s">
        <v>15</v>
      </c>
      <c r="I188" s="11" t="s">
        <v>15</v>
      </c>
      <c r="J188" s="11" t="s">
        <v>15</v>
      </c>
      <c r="K188" s="11" t="s">
        <v>15</v>
      </c>
      <c r="L188" s="11" t="s">
        <v>15</v>
      </c>
      <c r="M188" s="11" t="s">
        <v>15</v>
      </c>
      <c r="N188" s="11" t="s">
        <v>15</v>
      </c>
      <c r="O188" s="333">
        <f>SUM(C188:N188)</f>
        <v>0</v>
      </c>
    </row>
    <row r="189" spans="1:15" ht="12.75" customHeight="1" x14ac:dyDescent="0.2">
      <c r="A189" s="15" t="s">
        <v>169</v>
      </c>
      <c r="B189" s="12" t="s">
        <v>251</v>
      </c>
      <c r="C189" s="11" t="s">
        <v>15</v>
      </c>
      <c r="D189" s="11" t="s">
        <v>15</v>
      </c>
      <c r="E189" s="11" t="s">
        <v>15</v>
      </c>
      <c r="F189" s="11" t="s">
        <v>15</v>
      </c>
      <c r="G189" s="11" t="s">
        <v>15</v>
      </c>
      <c r="H189" s="11" t="s">
        <v>15</v>
      </c>
      <c r="I189" s="11" t="s">
        <v>15</v>
      </c>
      <c r="J189" s="11" t="s">
        <v>15</v>
      </c>
      <c r="K189" s="11" t="s">
        <v>15</v>
      </c>
      <c r="L189" s="11" t="s">
        <v>15</v>
      </c>
      <c r="M189" s="11" t="s">
        <v>15</v>
      </c>
      <c r="N189" s="11" t="s">
        <v>15</v>
      </c>
      <c r="O189" s="333">
        <f>SUM(C189:N189)</f>
        <v>0</v>
      </c>
    </row>
    <row r="190" spans="1:15" ht="12.75" customHeight="1" x14ac:dyDescent="0.2">
      <c r="A190" s="15" t="s">
        <v>29</v>
      </c>
      <c r="B190" s="12" t="s">
        <v>251</v>
      </c>
      <c r="C190" s="11">
        <v>50559</v>
      </c>
      <c r="D190" s="11">
        <v>56075</v>
      </c>
      <c r="E190" s="11">
        <v>29418</v>
      </c>
      <c r="F190" s="11">
        <v>82319</v>
      </c>
      <c r="G190" s="11">
        <v>76523</v>
      </c>
      <c r="H190" s="11">
        <v>65768</v>
      </c>
      <c r="I190" s="11">
        <v>45344</v>
      </c>
      <c r="J190" s="11">
        <v>61222</v>
      </c>
      <c r="K190" s="11">
        <v>24945</v>
      </c>
      <c r="L190" s="11">
        <v>32562</v>
      </c>
      <c r="M190" s="11">
        <v>29658</v>
      </c>
      <c r="N190" s="11">
        <v>41300</v>
      </c>
      <c r="O190" s="333">
        <f>SUM(C190:N190)</f>
        <v>595693</v>
      </c>
    </row>
    <row r="191" spans="1:15" ht="12.75" customHeight="1" x14ac:dyDescent="0.2">
      <c r="A191" s="15" t="s">
        <v>30</v>
      </c>
      <c r="B191" s="12" t="s">
        <v>251</v>
      </c>
      <c r="C191" s="11" t="s">
        <v>15</v>
      </c>
      <c r="D191" s="11" t="s">
        <v>15</v>
      </c>
      <c r="E191" s="11" t="s">
        <v>15</v>
      </c>
      <c r="F191" s="11" t="s">
        <v>15</v>
      </c>
      <c r="G191" s="11" t="s">
        <v>15</v>
      </c>
      <c r="H191" s="11" t="s">
        <v>15</v>
      </c>
      <c r="I191" s="11" t="s">
        <v>15</v>
      </c>
      <c r="J191" s="11" t="s">
        <v>15</v>
      </c>
      <c r="K191" s="11" t="s">
        <v>15</v>
      </c>
      <c r="L191" s="11" t="s">
        <v>15</v>
      </c>
      <c r="M191" s="11" t="s">
        <v>15</v>
      </c>
      <c r="N191" s="11" t="s">
        <v>15</v>
      </c>
      <c r="O191" s="333">
        <f>SUM(C191:N191)</f>
        <v>0</v>
      </c>
    </row>
    <row r="192" spans="1:15" ht="12.75" customHeight="1" x14ac:dyDescent="0.2">
      <c r="A192" s="15" t="s">
        <v>75</v>
      </c>
      <c r="B192" s="12" t="s">
        <v>251</v>
      </c>
      <c r="C192" s="11">
        <v>157</v>
      </c>
      <c r="D192" s="11">
        <v>244</v>
      </c>
      <c r="E192" s="11">
        <v>208</v>
      </c>
      <c r="F192" s="11">
        <v>192</v>
      </c>
      <c r="G192" s="11">
        <v>125</v>
      </c>
      <c r="H192" s="11">
        <v>169</v>
      </c>
      <c r="I192" s="11">
        <v>124</v>
      </c>
      <c r="J192" s="11">
        <v>171</v>
      </c>
      <c r="K192" s="11">
        <v>128</v>
      </c>
      <c r="L192" s="11">
        <v>89</v>
      </c>
      <c r="M192" s="11">
        <v>85</v>
      </c>
      <c r="N192" s="11">
        <v>136</v>
      </c>
      <c r="O192" s="333">
        <f>SUM(C192:N192)</f>
        <v>1828</v>
      </c>
    </row>
    <row r="193" spans="1:15" ht="12.75" customHeight="1" x14ac:dyDescent="0.2">
      <c r="A193" s="15" t="s">
        <v>76</v>
      </c>
      <c r="B193" s="12" t="s">
        <v>251</v>
      </c>
      <c r="C193" s="11" t="s">
        <v>15</v>
      </c>
      <c r="D193" s="11" t="s">
        <v>15</v>
      </c>
      <c r="E193" s="11" t="s">
        <v>15</v>
      </c>
      <c r="F193" s="11" t="s">
        <v>15</v>
      </c>
      <c r="G193" s="11" t="s">
        <v>15</v>
      </c>
      <c r="H193" s="11" t="s">
        <v>15</v>
      </c>
      <c r="I193" s="11" t="s">
        <v>15</v>
      </c>
      <c r="J193" s="11" t="s">
        <v>15</v>
      </c>
      <c r="K193" s="11" t="s">
        <v>15</v>
      </c>
      <c r="L193" s="11" t="s">
        <v>15</v>
      </c>
      <c r="M193" s="11" t="s">
        <v>15</v>
      </c>
      <c r="N193" s="11" t="s">
        <v>15</v>
      </c>
      <c r="O193" s="333">
        <f>SUM(C193:N193)</f>
        <v>0</v>
      </c>
    </row>
    <row r="194" spans="1:15" ht="12.75" customHeight="1" x14ac:dyDescent="0.2">
      <c r="A194" s="15" t="s">
        <v>77</v>
      </c>
      <c r="B194" s="12" t="s">
        <v>251</v>
      </c>
      <c r="C194" s="11">
        <v>489</v>
      </c>
      <c r="D194" s="11">
        <v>297</v>
      </c>
      <c r="E194" s="11">
        <v>237</v>
      </c>
      <c r="F194" s="11">
        <v>249</v>
      </c>
      <c r="G194" s="11">
        <v>195</v>
      </c>
      <c r="H194" s="11">
        <v>330</v>
      </c>
      <c r="I194" s="11">
        <v>183</v>
      </c>
      <c r="J194" s="11">
        <v>185</v>
      </c>
      <c r="K194" s="11">
        <v>92</v>
      </c>
      <c r="L194" s="11">
        <v>112</v>
      </c>
      <c r="M194" s="11">
        <v>72</v>
      </c>
      <c r="N194" s="11">
        <v>115</v>
      </c>
      <c r="O194" s="333">
        <f>SUM(C194:N194)</f>
        <v>2556</v>
      </c>
    </row>
    <row r="195" spans="1:15" ht="12.75" customHeight="1" x14ac:dyDescent="0.2">
      <c r="A195" s="15" t="s">
        <v>78</v>
      </c>
      <c r="B195" s="12" t="s">
        <v>251</v>
      </c>
      <c r="C195" s="11" t="s">
        <v>15</v>
      </c>
      <c r="D195" s="11" t="s">
        <v>15</v>
      </c>
      <c r="E195" s="11" t="s">
        <v>15</v>
      </c>
      <c r="F195" s="11" t="s">
        <v>15</v>
      </c>
      <c r="G195" s="11" t="s">
        <v>15</v>
      </c>
      <c r="H195" s="11" t="s">
        <v>15</v>
      </c>
      <c r="I195" s="11" t="s">
        <v>15</v>
      </c>
      <c r="J195" s="11" t="s">
        <v>15</v>
      </c>
      <c r="K195" s="11" t="s">
        <v>15</v>
      </c>
      <c r="L195" s="11" t="s">
        <v>15</v>
      </c>
      <c r="M195" s="11" t="s">
        <v>15</v>
      </c>
      <c r="N195" s="11" t="s">
        <v>15</v>
      </c>
      <c r="O195" s="333">
        <f>SUM(C195:N195)</f>
        <v>0</v>
      </c>
    </row>
    <row r="196" spans="1:15" ht="12.75" customHeight="1" x14ac:dyDescent="0.2">
      <c r="A196" s="15" t="s">
        <v>79</v>
      </c>
      <c r="B196" s="12" t="s">
        <v>251</v>
      </c>
      <c r="C196" s="11">
        <v>290</v>
      </c>
      <c r="D196" s="11">
        <v>196</v>
      </c>
      <c r="E196" s="11">
        <v>167</v>
      </c>
      <c r="F196" s="11">
        <v>232</v>
      </c>
      <c r="G196" s="11">
        <v>142</v>
      </c>
      <c r="H196" s="11">
        <v>252</v>
      </c>
      <c r="I196" s="11">
        <v>143</v>
      </c>
      <c r="J196" s="11">
        <v>181</v>
      </c>
      <c r="K196" s="11">
        <v>89</v>
      </c>
      <c r="L196" s="11">
        <v>124</v>
      </c>
      <c r="M196" s="11">
        <v>86</v>
      </c>
      <c r="N196" s="11">
        <v>130</v>
      </c>
      <c r="O196" s="333">
        <f>SUM(C196:N196)</f>
        <v>2032</v>
      </c>
    </row>
    <row r="197" spans="1:15" ht="12.75" customHeight="1" x14ac:dyDescent="0.2">
      <c r="A197" s="15" t="s">
        <v>80</v>
      </c>
      <c r="B197" s="12" t="s">
        <v>251</v>
      </c>
      <c r="C197" s="11">
        <v>502</v>
      </c>
      <c r="D197" s="11">
        <v>700</v>
      </c>
      <c r="E197" s="11">
        <v>333</v>
      </c>
      <c r="F197" s="11">
        <v>981</v>
      </c>
      <c r="G197" s="11">
        <v>425</v>
      </c>
      <c r="H197" s="11">
        <v>591</v>
      </c>
      <c r="I197" s="11">
        <v>692</v>
      </c>
      <c r="J197" s="11">
        <v>801</v>
      </c>
      <c r="K197" s="11">
        <v>430</v>
      </c>
      <c r="L197" s="11">
        <v>305</v>
      </c>
      <c r="M197" s="11">
        <v>461</v>
      </c>
      <c r="N197" s="11">
        <v>584</v>
      </c>
      <c r="O197" s="333">
        <f>SUM(C197:N197)</f>
        <v>6805</v>
      </c>
    </row>
    <row r="198" spans="1:15" ht="12.75" customHeight="1" x14ac:dyDescent="0.2">
      <c r="A198" s="15" t="s">
        <v>133</v>
      </c>
      <c r="B198" s="12" t="s">
        <v>251</v>
      </c>
      <c r="C198" s="11">
        <v>432</v>
      </c>
      <c r="D198" s="11">
        <v>391</v>
      </c>
      <c r="E198" s="11">
        <v>267</v>
      </c>
      <c r="F198" s="11">
        <v>167</v>
      </c>
      <c r="G198" s="11">
        <v>93</v>
      </c>
      <c r="H198" s="11">
        <v>243</v>
      </c>
      <c r="I198" s="11">
        <v>111</v>
      </c>
      <c r="J198" s="11">
        <v>171</v>
      </c>
      <c r="K198" s="11">
        <v>98</v>
      </c>
      <c r="L198" s="11">
        <v>74</v>
      </c>
      <c r="M198" s="11">
        <v>74</v>
      </c>
      <c r="N198" s="11">
        <v>27</v>
      </c>
      <c r="O198" s="333">
        <f>SUM(C198:N198)</f>
        <v>2148</v>
      </c>
    </row>
    <row r="199" spans="1:15" ht="12.75" customHeight="1" x14ac:dyDescent="0.2">
      <c r="A199" s="15" t="s">
        <v>210</v>
      </c>
      <c r="B199" s="12" t="s">
        <v>251</v>
      </c>
      <c r="C199" s="11">
        <v>830</v>
      </c>
      <c r="D199" s="11">
        <v>803</v>
      </c>
      <c r="E199" s="11">
        <v>543</v>
      </c>
      <c r="F199" s="11">
        <v>249</v>
      </c>
      <c r="G199" s="11" t="s">
        <v>15</v>
      </c>
      <c r="H199" s="11" t="s">
        <v>15</v>
      </c>
      <c r="I199" s="11" t="s">
        <v>15</v>
      </c>
      <c r="J199" s="11" t="s">
        <v>15</v>
      </c>
      <c r="K199" s="11" t="s">
        <v>15</v>
      </c>
      <c r="L199" s="11" t="s">
        <v>15</v>
      </c>
      <c r="M199" s="11" t="s">
        <v>15</v>
      </c>
      <c r="N199" s="11" t="s">
        <v>15</v>
      </c>
      <c r="O199" s="333">
        <f>SUM(C199:N199)</f>
        <v>2425</v>
      </c>
    </row>
    <row r="200" spans="1:15" ht="12.75" customHeight="1" x14ac:dyDescent="0.2">
      <c r="A200" s="15" t="s">
        <v>170</v>
      </c>
      <c r="B200" s="12" t="s">
        <v>251</v>
      </c>
      <c r="C200" s="11" t="s">
        <v>15</v>
      </c>
      <c r="D200" s="11" t="s">
        <v>15</v>
      </c>
      <c r="E200" s="11" t="s">
        <v>15</v>
      </c>
      <c r="F200" s="11" t="s">
        <v>15</v>
      </c>
      <c r="G200" s="11" t="s">
        <v>15</v>
      </c>
      <c r="H200" s="11" t="s">
        <v>15</v>
      </c>
      <c r="I200" s="11" t="s">
        <v>15</v>
      </c>
      <c r="J200" s="11" t="s">
        <v>15</v>
      </c>
      <c r="K200" s="11" t="s">
        <v>15</v>
      </c>
      <c r="L200" s="11" t="s">
        <v>15</v>
      </c>
      <c r="M200" s="11" t="s">
        <v>15</v>
      </c>
      <c r="N200" s="11" t="s">
        <v>15</v>
      </c>
      <c r="O200" s="333">
        <f>SUM(C200:N200)</f>
        <v>0</v>
      </c>
    </row>
    <row r="201" spans="1:15" ht="12.75" customHeight="1" x14ac:dyDescent="0.2">
      <c r="A201" s="15" t="s">
        <v>195</v>
      </c>
      <c r="B201" s="12" t="s">
        <v>251</v>
      </c>
      <c r="C201" s="11">
        <v>1455</v>
      </c>
      <c r="D201" s="11">
        <v>1787</v>
      </c>
      <c r="E201" s="11">
        <v>504</v>
      </c>
      <c r="F201" s="11">
        <v>362</v>
      </c>
      <c r="G201" s="11">
        <v>1134</v>
      </c>
      <c r="H201" s="11">
        <v>2948</v>
      </c>
      <c r="I201" s="11">
        <v>919</v>
      </c>
      <c r="J201" s="11">
        <v>1225</v>
      </c>
      <c r="K201" s="11">
        <v>1309</v>
      </c>
      <c r="L201" s="11">
        <v>1037</v>
      </c>
      <c r="M201" s="11">
        <v>1365</v>
      </c>
      <c r="N201" s="11">
        <v>1769</v>
      </c>
      <c r="O201" s="333">
        <f>SUM(C201:N201)</f>
        <v>15814</v>
      </c>
    </row>
    <row r="202" spans="1:15" ht="12.75" customHeight="1" x14ac:dyDescent="0.2">
      <c r="A202" s="15" t="s">
        <v>256</v>
      </c>
      <c r="B202" s="12" t="s">
        <v>251</v>
      </c>
      <c r="C202" s="11">
        <v>3213</v>
      </c>
      <c r="D202" s="11">
        <v>3509</v>
      </c>
      <c r="E202" s="11">
        <v>779</v>
      </c>
      <c r="F202" s="11">
        <v>2348</v>
      </c>
      <c r="G202" s="11">
        <v>1439</v>
      </c>
      <c r="H202" s="11">
        <v>1938</v>
      </c>
      <c r="I202" s="11">
        <v>1190</v>
      </c>
      <c r="J202" s="11">
        <v>1375</v>
      </c>
      <c r="K202" s="11">
        <v>929</v>
      </c>
      <c r="L202" s="11">
        <v>796</v>
      </c>
      <c r="M202" s="11">
        <v>770</v>
      </c>
      <c r="N202" s="11">
        <v>1487</v>
      </c>
      <c r="O202" s="333">
        <f>SUM(C202:N202)</f>
        <v>19773</v>
      </c>
    </row>
    <row r="203" spans="1:15" ht="12.75" customHeight="1" x14ac:dyDescent="0.2">
      <c r="A203" s="15" t="s">
        <v>205</v>
      </c>
      <c r="B203" s="12" t="s">
        <v>251</v>
      </c>
      <c r="C203" s="11">
        <v>332</v>
      </c>
      <c r="D203" s="11">
        <v>290</v>
      </c>
      <c r="E203" s="11">
        <v>245</v>
      </c>
      <c r="F203" s="11">
        <v>312</v>
      </c>
      <c r="G203" s="11">
        <v>238</v>
      </c>
      <c r="H203" s="11">
        <v>362</v>
      </c>
      <c r="I203" s="11">
        <v>314</v>
      </c>
      <c r="J203" s="11">
        <v>288</v>
      </c>
      <c r="K203" s="11">
        <v>152</v>
      </c>
      <c r="L203" s="11">
        <v>224</v>
      </c>
      <c r="M203" s="11">
        <v>181</v>
      </c>
      <c r="N203" s="11">
        <v>195</v>
      </c>
      <c r="O203" s="333">
        <f>SUM(C203:N203)</f>
        <v>3133</v>
      </c>
    </row>
    <row r="204" spans="1:15" ht="12.75" customHeight="1" x14ac:dyDescent="0.2">
      <c r="A204" s="15" t="s">
        <v>207</v>
      </c>
      <c r="B204" s="12" t="s">
        <v>251</v>
      </c>
      <c r="C204" s="11" t="s">
        <v>15</v>
      </c>
      <c r="D204" s="11" t="s">
        <v>15</v>
      </c>
      <c r="E204" s="11" t="s">
        <v>15</v>
      </c>
      <c r="F204" s="11" t="s">
        <v>15</v>
      </c>
      <c r="G204" s="11" t="s">
        <v>15</v>
      </c>
      <c r="H204" s="11" t="s">
        <v>15</v>
      </c>
      <c r="I204" s="11" t="s">
        <v>15</v>
      </c>
      <c r="J204" s="11" t="s">
        <v>15</v>
      </c>
      <c r="K204" s="11" t="s">
        <v>15</v>
      </c>
      <c r="L204" s="11" t="s">
        <v>15</v>
      </c>
      <c r="M204" s="11" t="s">
        <v>15</v>
      </c>
      <c r="N204" s="11" t="s">
        <v>15</v>
      </c>
      <c r="O204" s="333">
        <f>SUM(C204:N204)</f>
        <v>0</v>
      </c>
    </row>
    <row r="205" spans="1:15" ht="12.75" customHeight="1" x14ac:dyDescent="0.2">
      <c r="A205" s="15" t="s">
        <v>257</v>
      </c>
      <c r="B205" s="12" t="s">
        <v>251</v>
      </c>
      <c r="C205" s="11">
        <v>522</v>
      </c>
      <c r="D205" s="11">
        <v>532</v>
      </c>
      <c r="E205" s="11">
        <v>377</v>
      </c>
      <c r="F205" s="11">
        <v>575</v>
      </c>
      <c r="G205" s="11">
        <v>472</v>
      </c>
      <c r="H205" s="11">
        <v>702</v>
      </c>
      <c r="I205" s="11">
        <v>471</v>
      </c>
      <c r="J205" s="11">
        <v>664</v>
      </c>
      <c r="K205" s="11">
        <v>337</v>
      </c>
      <c r="L205" s="11">
        <v>212</v>
      </c>
      <c r="M205" s="11">
        <v>133</v>
      </c>
      <c r="N205" s="11">
        <v>215</v>
      </c>
      <c r="O205" s="333">
        <f>SUM(C205:N205)</f>
        <v>5212</v>
      </c>
    </row>
    <row r="206" spans="1:15" ht="12.75" customHeight="1" x14ac:dyDescent="0.2">
      <c r="A206" s="15" t="s">
        <v>258</v>
      </c>
      <c r="B206" s="12" t="s">
        <v>251</v>
      </c>
      <c r="C206" s="11">
        <v>93</v>
      </c>
      <c r="D206" s="11">
        <v>88</v>
      </c>
      <c r="E206" s="11">
        <v>78</v>
      </c>
      <c r="F206" s="11">
        <v>108</v>
      </c>
      <c r="G206" s="11">
        <v>81</v>
      </c>
      <c r="H206" s="11">
        <v>96</v>
      </c>
      <c r="I206" s="11">
        <v>65</v>
      </c>
      <c r="J206" s="11">
        <v>78</v>
      </c>
      <c r="K206" s="11">
        <v>24</v>
      </c>
      <c r="L206" s="11">
        <v>56</v>
      </c>
      <c r="M206" s="11">
        <v>50</v>
      </c>
      <c r="N206" s="11">
        <v>80</v>
      </c>
      <c r="O206" s="333">
        <f>SUM(C206:N206)</f>
        <v>897</v>
      </c>
    </row>
    <row r="207" spans="1:15" ht="12.75" customHeight="1" x14ac:dyDescent="0.2">
      <c r="A207" s="15" t="s">
        <v>31</v>
      </c>
      <c r="B207" s="12" t="s">
        <v>251</v>
      </c>
      <c r="C207" s="11">
        <v>2568.19</v>
      </c>
      <c r="D207" s="11">
        <v>2823.08</v>
      </c>
      <c r="E207" s="11">
        <v>1756.39</v>
      </c>
      <c r="F207" s="11">
        <v>2242.79</v>
      </c>
      <c r="G207" s="11">
        <v>2577.4699999999998</v>
      </c>
      <c r="H207" s="11">
        <v>21534.79</v>
      </c>
      <c r="I207" s="11">
        <v>4051.53</v>
      </c>
      <c r="J207" s="11">
        <v>7724.09</v>
      </c>
      <c r="K207" s="11">
        <v>3087.45</v>
      </c>
      <c r="L207" s="11">
        <v>3379.53</v>
      </c>
      <c r="M207" s="11">
        <v>4080.28</v>
      </c>
      <c r="N207" s="11">
        <v>1975.68</v>
      </c>
      <c r="O207" s="333">
        <f>SUM(C207:N207)</f>
        <v>57801.27</v>
      </c>
    </row>
    <row r="208" spans="1:15" ht="12.75" customHeight="1" x14ac:dyDescent="0.2">
      <c r="A208" s="15" t="s">
        <v>59</v>
      </c>
      <c r="B208" s="12" t="s">
        <v>251</v>
      </c>
      <c r="C208" s="11" t="s">
        <v>15</v>
      </c>
      <c r="D208" s="11" t="s">
        <v>15</v>
      </c>
      <c r="E208" s="11" t="s">
        <v>15</v>
      </c>
      <c r="F208" s="11" t="s">
        <v>15</v>
      </c>
      <c r="G208" s="11" t="s">
        <v>15</v>
      </c>
      <c r="H208" s="11" t="s">
        <v>15</v>
      </c>
      <c r="I208" s="11" t="s">
        <v>15</v>
      </c>
      <c r="J208" s="11" t="s">
        <v>15</v>
      </c>
      <c r="K208" s="11" t="s">
        <v>15</v>
      </c>
      <c r="L208" s="11" t="s">
        <v>15</v>
      </c>
      <c r="M208" s="11" t="s">
        <v>15</v>
      </c>
      <c r="N208" s="11" t="s">
        <v>15</v>
      </c>
      <c r="O208" s="333">
        <f>SUM(C208:N208)</f>
        <v>0</v>
      </c>
    </row>
    <row r="209" spans="1:15" ht="12.75" customHeight="1" x14ac:dyDescent="0.2">
      <c r="A209" s="15" t="s">
        <v>60</v>
      </c>
      <c r="B209" s="12" t="s">
        <v>251</v>
      </c>
      <c r="C209" s="11" t="s">
        <v>15</v>
      </c>
      <c r="D209" s="11" t="s">
        <v>15</v>
      </c>
      <c r="E209" s="11" t="s">
        <v>15</v>
      </c>
      <c r="F209" s="11" t="s">
        <v>15</v>
      </c>
      <c r="G209" s="11" t="s">
        <v>15</v>
      </c>
      <c r="H209" s="11" t="s">
        <v>15</v>
      </c>
      <c r="I209" s="11" t="s">
        <v>15</v>
      </c>
      <c r="J209" s="11" t="s">
        <v>15</v>
      </c>
      <c r="K209" s="11" t="s">
        <v>15</v>
      </c>
      <c r="L209" s="11" t="s">
        <v>15</v>
      </c>
      <c r="M209" s="11" t="s">
        <v>15</v>
      </c>
      <c r="N209" s="11" t="s">
        <v>15</v>
      </c>
      <c r="O209" s="333">
        <f>SUM(C209:N209)</f>
        <v>0</v>
      </c>
    </row>
    <row r="210" spans="1:15" ht="12.75" customHeight="1" x14ac:dyDescent="0.2">
      <c r="A210" s="15" t="s">
        <v>61</v>
      </c>
      <c r="B210" s="12" t="s">
        <v>251</v>
      </c>
      <c r="C210" s="11" t="s">
        <v>15</v>
      </c>
      <c r="D210" s="11" t="s">
        <v>15</v>
      </c>
      <c r="E210" s="11" t="s">
        <v>15</v>
      </c>
      <c r="F210" s="11" t="s">
        <v>15</v>
      </c>
      <c r="G210" s="11" t="s">
        <v>15</v>
      </c>
      <c r="H210" s="11" t="s">
        <v>15</v>
      </c>
      <c r="I210" s="11" t="s">
        <v>15</v>
      </c>
      <c r="J210" s="11" t="s">
        <v>15</v>
      </c>
      <c r="K210" s="11" t="s">
        <v>15</v>
      </c>
      <c r="L210" s="11" t="s">
        <v>15</v>
      </c>
      <c r="M210" s="11" t="s">
        <v>15</v>
      </c>
      <c r="N210" s="11" t="s">
        <v>15</v>
      </c>
      <c r="O210" s="333">
        <f>SUM(C210:N210)</f>
        <v>0</v>
      </c>
    </row>
    <row r="211" spans="1:15" ht="12.75" customHeight="1" x14ac:dyDescent="0.2">
      <c r="A211" s="15" t="s">
        <v>81</v>
      </c>
      <c r="B211" s="12" t="s">
        <v>251</v>
      </c>
      <c r="C211" s="11" t="s">
        <v>15</v>
      </c>
      <c r="D211" s="11" t="s">
        <v>15</v>
      </c>
      <c r="E211" s="11" t="s">
        <v>15</v>
      </c>
      <c r="F211" s="11" t="s">
        <v>15</v>
      </c>
      <c r="G211" s="11" t="s">
        <v>15</v>
      </c>
      <c r="H211" s="11" t="s">
        <v>15</v>
      </c>
      <c r="I211" s="11" t="s">
        <v>15</v>
      </c>
      <c r="J211" s="11" t="s">
        <v>15</v>
      </c>
      <c r="K211" s="11" t="s">
        <v>15</v>
      </c>
      <c r="L211" s="11" t="s">
        <v>15</v>
      </c>
      <c r="M211" s="11" t="s">
        <v>15</v>
      </c>
      <c r="N211" s="11" t="s">
        <v>15</v>
      </c>
      <c r="O211" s="333">
        <f>SUM(C211:N211)</f>
        <v>0</v>
      </c>
    </row>
    <row r="212" spans="1:15" s="39" customFormat="1" ht="12.75" customHeight="1" x14ac:dyDescent="0.2">
      <c r="A212" s="40" t="s">
        <v>32</v>
      </c>
      <c r="B212" s="168" t="s">
        <v>251</v>
      </c>
      <c r="C212" s="333">
        <v>173795.47</v>
      </c>
      <c r="D212" s="333">
        <v>169563.04</v>
      </c>
      <c r="E212" s="333">
        <v>81967.460000000006</v>
      </c>
      <c r="F212" s="333">
        <v>102271.6</v>
      </c>
      <c r="G212" s="333">
        <v>71594.2</v>
      </c>
      <c r="H212" s="333">
        <v>185152.33</v>
      </c>
      <c r="I212" s="333">
        <v>36046.550000000003</v>
      </c>
      <c r="J212" s="333">
        <v>183216.1</v>
      </c>
      <c r="K212" s="333">
        <v>177587.55</v>
      </c>
      <c r="L212" s="333">
        <v>78018.19</v>
      </c>
      <c r="M212" s="333">
        <v>204344.02</v>
      </c>
      <c r="N212" s="333">
        <v>93276.07</v>
      </c>
      <c r="O212" s="333">
        <f>SUM(C212:N212)</f>
        <v>1556832.58</v>
      </c>
    </row>
    <row r="213" spans="1:15" s="39" customFormat="1" ht="12.75" customHeight="1" x14ac:dyDescent="0.2">
      <c r="A213" s="40" t="s">
        <v>41</v>
      </c>
      <c r="B213" s="168" t="s">
        <v>251</v>
      </c>
      <c r="C213" s="333">
        <v>-898.8</v>
      </c>
      <c r="D213" s="333">
        <v>9621.7099999999991</v>
      </c>
      <c r="E213" s="333">
        <v>8213.27</v>
      </c>
      <c r="F213" s="333">
        <v>7487.13</v>
      </c>
      <c r="G213" s="333">
        <v>11815.3</v>
      </c>
      <c r="H213" s="333">
        <v>975.39</v>
      </c>
      <c r="I213" s="333">
        <v>3942.5</v>
      </c>
      <c r="J213" s="333">
        <v>28582.74</v>
      </c>
      <c r="K213" s="333">
        <v>12088.62</v>
      </c>
      <c r="L213" s="333">
        <v>5956.17</v>
      </c>
      <c r="M213" s="333">
        <v>22426.17</v>
      </c>
      <c r="N213" s="333">
        <v>3459.34</v>
      </c>
      <c r="O213" s="333">
        <f>SUM(C213:N213)</f>
        <v>113669.54</v>
      </c>
    </row>
    <row r="214" spans="1:15" s="39" customFormat="1" ht="12.75" customHeight="1" x14ac:dyDescent="0.2">
      <c r="A214" s="40" t="s">
        <v>33</v>
      </c>
      <c r="B214" s="168" t="s">
        <v>251</v>
      </c>
      <c r="C214" s="333">
        <v>12988.29</v>
      </c>
      <c r="D214" s="333">
        <v>9561.4</v>
      </c>
      <c r="E214" s="333">
        <v>1071.03</v>
      </c>
      <c r="F214" s="333">
        <v>12893.26</v>
      </c>
      <c r="G214" s="333">
        <v>15933.09</v>
      </c>
      <c r="H214" s="333">
        <v>-105.42</v>
      </c>
      <c r="I214" s="333">
        <v>385.78</v>
      </c>
      <c r="J214" s="333">
        <v>34138.43</v>
      </c>
      <c r="K214" s="333">
        <v>21286.43</v>
      </c>
      <c r="L214" s="333">
        <v>62140.959999999999</v>
      </c>
      <c r="M214" s="333">
        <v>8781.36</v>
      </c>
      <c r="N214" s="333">
        <v>6122.43</v>
      </c>
      <c r="O214" s="333">
        <f>SUM(C214:N214)</f>
        <v>185197.03999999998</v>
      </c>
    </row>
    <row r="215" spans="1:15" ht="12.75" customHeight="1" x14ac:dyDescent="0.2">
      <c r="A215" s="200" t="s">
        <v>174</v>
      </c>
      <c r="B215" s="12" t="s">
        <v>251</v>
      </c>
      <c r="C215" s="11" t="s">
        <v>15</v>
      </c>
      <c r="D215" s="11" t="s">
        <v>15</v>
      </c>
      <c r="E215" s="11" t="s">
        <v>15</v>
      </c>
      <c r="F215" s="11" t="s">
        <v>15</v>
      </c>
      <c r="G215" s="11" t="s">
        <v>15</v>
      </c>
      <c r="H215" s="11" t="s">
        <v>15</v>
      </c>
      <c r="I215" s="11" t="s">
        <v>15</v>
      </c>
      <c r="J215" s="11" t="s">
        <v>15</v>
      </c>
      <c r="K215" s="11" t="s">
        <v>15</v>
      </c>
      <c r="L215" s="11" t="s">
        <v>15</v>
      </c>
      <c r="M215" s="11" t="s">
        <v>15</v>
      </c>
      <c r="N215" s="11" t="s">
        <v>15</v>
      </c>
      <c r="O215" s="333">
        <f>SUM(C215:N215)</f>
        <v>0</v>
      </c>
    </row>
    <row r="216" spans="1:15" ht="12.75" customHeight="1" x14ac:dyDescent="0.2">
      <c r="A216" s="15" t="s">
        <v>118</v>
      </c>
      <c r="B216" s="12" t="s">
        <v>119</v>
      </c>
      <c r="C216" s="11" t="s">
        <v>15</v>
      </c>
      <c r="D216" s="11" t="s">
        <v>15</v>
      </c>
      <c r="E216" s="11" t="s">
        <v>15</v>
      </c>
      <c r="F216" s="11" t="s">
        <v>15</v>
      </c>
      <c r="G216" s="11" t="s">
        <v>15</v>
      </c>
      <c r="H216" s="11" t="s">
        <v>15</v>
      </c>
      <c r="I216" s="11" t="s">
        <v>15</v>
      </c>
      <c r="J216" s="11" t="s">
        <v>15</v>
      </c>
      <c r="K216" s="11" t="s">
        <v>15</v>
      </c>
      <c r="L216" s="11" t="s">
        <v>15</v>
      </c>
      <c r="M216" s="11" t="s">
        <v>15</v>
      </c>
      <c r="N216" s="11" t="s">
        <v>15</v>
      </c>
      <c r="O216" s="333">
        <f>SUM(C216:N216)</f>
        <v>0</v>
      </c>
    </row>
    <row r="217" spans="1:15" s="14" customFormat="1" ht="12.75" customHeight="1" x14ac:dyDescent="0.2">
      <c r="A217" s="13" t="s">
        <v>84</v>
      </c>
      <c r="C217" s="5">
        <f>SUM(C80:C216)</f>
        <v>1047775.7399999999</v>
      </c>
      <c r="D217" s="5">
        <f>SUM(D80:D216)</f>
        <v>1101624.1599999999</v>
      </c>
      <c r="E217" s="5">
        <f>SUM(E80:E216)</f>
        <v>768560.70000000007</v>
      </c>
      <c r="F217" s="5">
        <f>SUM(F80:F216)</f>
        <v>879389.03</v>
      </c>
      <c r="G217" s="5">
        <f>SUM(G80:G216)</f>
        <v>1139553.9000000001</v>
      </c>
      <c r="H217" s="5">
        <f>SUM(H80:H216)</f>
        <v>764752.32</v>
      </c>
      <c r="I217" s="5">
        <f>SUM(I80:I216)</f>
        <v>1008172.7600000001</v>
      </c>
      <c r="J217" s="5">
        <f>SUM(J80:J216)</f>
        <v>938761.98</v>
      </c>
      <c r="K217" s="5">
        <f>SUM(K80:K216)</f>
        <v>939093.83000000007</v>
      </c>
      <c r="L217" s="5">
        <f>SUM(L80:L216)</f>
        <v>837571.94000000006</v>
      </c>
      <c r="M217" s="5">
        <f>SUM(M80:M216)</f>
        <v>889040.42</v>
      </c>
      <c r="N217" s="5">
        <f>SUM(N80:N216)</f>
        <v>892379.22</v>
      </c>
      <c r="O217" s="332">
        <f>SUM(O80:O216)</f>
        <v>11206675.999999998</v>
      </c>
    </row>
    <row r="218" spans="1:15" ht="12.75" customHeight="1" x14ac:dyDescent="0.2"/>
    <row r="219" spans="1:15" s="1" customFormat="1" ht="12.75" customHeight="1" thickBot="1" x14ac:dyDescent="0.25">
      <c r="A219" s="20" t="s">
        <v>370</v>
      </c>
      <c r="B219" s="16"/>
      <c r="C219" s="343">
        <f>+C217+C78</f>
        <v>1180181.73</v>
      </c>
      <c r="D219" s="343">
        <f>+D217+D78</f>
        <v>1283326.8399999999</v>
      </c>
      <c r="E219" s="343">
        <f>+E217+E78</f>
        <v>905026.7300000001</v>
      </c>
      <c r="F219" s="343">
        <f>+F217+F78</f>
        <v>1059184.49</v>
      </c>
      <c r="G219" s="343">
        <f>+G217+G78</f>
        <v>1413694.7200000002</v>
      </c>
      <c r="H219" s="343">
        <f>+H217+H78</f>
        <v>900634.12999999989</v>
      </c>
      <c r="I219" s="343">
        <f>+I217+I78</f>
        <v>1154126.1900000002</v>
      </c>
      <c r="J219" s="343">
        <f>+J217+J78</f>
        <v>1109106.1199999999</v>
      </c>
      <c r="K219" s="343">
        <f>+K217+K78</f>
        <v>1092163.03</v>
      </c>
      <c r="L219" s="343">
        <f>+L217+L78</f>
        <v>1049744.69</v>
      </c>
      <c r="M219" s="343">
        <f>+M217+M78</f>
        <v>1117295.4200000002</v>
      </c>
      <c r="N219" s="343">
        <f>+N217+N78</f>
        <v>1026996.58</v>
      </c>
      <c r="O219" s="344">
        <f>+O217+O78</f>
        <v>13291480.669999998</v>
      </c>
    </row>
    <row r="220" spans="1:15" ht="12.75" customHeight="1" thickTop="1" x14ac:dyDescent="0.2"/>
    <row r="221" spans="1:15" ht="12.75" customHeight="1" x14ac:dyDescent="0.2"/>
    <row r="222" spans="1:15" ht="12.75" customHeight="1" x14ac:dyDescent="0.2">
      <c r="A222" s="9" t="s">
        <v>85</v>
      </c>
      <c r="B222" s="10" t="s">
        <v>14</v>
      </c>
      <c r="C222" s="11" t="s">
        <v>15</v>
      </c>
      <c r="D222" s="11" t="s">
        <v>15</v>
      </c>
      <c r="E222" s="11" t="s">
        <v>15</v>
      </c>
      <c r="F222" s="11" t="s">
        <v>15</v>
      </c>
      <c r="G222" s="11" t="s">
        <v>15</v>
      </c>
      <c r="H222" s="11" t="s">
        <v>15</v>
      </c>
      <c r="I222" s="11" t="s">
        <v>15</v>
      </c>
      <c r="J222" s="11" t="s">
        <v>15</v>
      </c>
      <c r="K222" s="11" t="s">
        <v>15</v>
      </c>
      <c r="L222" s="11" t="s">
        <v>15</v>
      </c>
      <c r="M222" s="11" t="s">
        <v>15</v>
      </c>
      <c r="N222" s="11" t="s">
        <v>15</v>
      </c>
      <c r="O222" s="11">
        <f>SUM(C222:N222)</f>
        <v>0</v>
      </c>
    </row>
    <row r="223" spans="1:15" ht="12.75" customHeight="1" x14ac:dyDescent="0.2">
      <c r="A223" s="9" t="s">
        <v>296</v>
      </c>
      <c r="B223" s="10" t="s">
        <v>14</v>
      </c>
      <c r="C223" s="11">
        <v>7473.65</v>
      </c>
      <c r="D223" s="11">
        <v>8047.21</v>
      </c>
      <c r="E223" s="11">
        <v>19916.61</v>
      </c>
      <c r="F223" s="11">
        <v>16075.11</v>
      </c>
      <c r="G223" s="11">
        <v>647.98</v>
      </c>
      <c r="H223" s="11">
        <v>8395.65</v>
      </c>
      <c r="I223" s="11">
        <v>5559.38</v>
      </c>
      <c r="J223" s="11">
        <v>14079.41</v>
      </c>
      <c r="K223" s="11">
        <v>28228.9</v>
      </c>
      <c r="L223" s="11">
        <v>42840.39</v>
      </c>
      <c r="M223" s="11">
        <v>-33570.35</v>
      </c>
      <c r="N223" s="11">
        <v>4494.95</v>
      </c>
      <c r="O223" s="11">
        <f>SUM(C223:N223)</f>
        <v>122188.89000000003</v>
      </c>
    </row>
    <row r="224" spans="1:15" ht="12.75" customHeight="1" x14ac:dyDescent="0.2">
      <c r="A224" s="9" t="s">
        <v>86</v>
      </c>
      <c r="B224" s="10" t="s">
        <v>14</v>
      </c>
      <c r="C224" s="11" t="s">
        <v>15</v>
      </c>
      <c r="D224" s="11" t="s">
        <v>15</v>
      </c>
      <c r="E224" s="11" t="s">
        <v>15</v>
      </c>
      <c r="F224" s="11" t="s">
        <v>15</v>
      </c>
      <c r="G224" s="11" t="s">
        <v>15</v>
      </c>
      <c r="H224" s="11" t="s">
        <v>15</v>
      </c>
      <c r="I224" s="11" t="s">
        <v>15</v>
      </c>
      <c r="J224" s="11" t="s">
        <v>15</v>
      </c>
      <c r="K224" s="11" t="s">
        <v>15</v>
      </c>
      <c r="L224" s="11" t="s">
        <v>15</v>
      </c>
      <c r="M224" s="11" t="s">
        <v>15</v>
      </c>
      <c r="N224" s="11" t="s">
        <v>15</v>
      </c>
      <c r="O224" s="11">
        <f>SUM(C224:N224)</f>
        <v>0</v>
      </c>
    </row>
    <row r="225" spans="1:15" ht="12.75" customHeight="1" x14ac:dyDescent="0.2">
      <c r="A225" s="9" t="s">
        <v>85</v>
      </c>
      <c r="B225" s="10" t="s">
        <v>87</v>
      </c>
      <c r="C225" s="11" t="s">
        <v>15</v>
      </c>
      <c r="D225" s="11" t="s">
        <v>15</v>
      </c>
      <c r="E225" s="11" t="s">
        <v>15</v>
      </c>
      <c r="F225" s="11" t="s">
        <v>15</v>
      </c>
      <c r="G225" s="11" t="s">
        <v>15</v>
      </c>
      <c r="H225" s="11" t="s">
        <v>15</v>
      </c>
      <c r="I225" s="11" t="s">
        <v>15</v>
      </c>
      <c r="J225" s="11" t="s">
        <v>15</v>
      </c>
      <c r="K225" s="11" t="s">
        <v>15</v>
      </c>
      <c r="L225" s="11" t="s">
        <v>15</v>
      </c>
      <c r="M225" s="11" t="s">
        <v>15</v>
      </c>
      <c r="N225" s="11" t="s">
        <v>15</v>
      </c>
      <c r="O225" s="11">
        <f>SUM(C225:N225)</f>
        <v>0</v>
      </c>
    </row>
    <row r="226" spans="1:15" ht="12.75" customHeight="1" x14ac:dyDescent="0.2">
      <c r="A226" s="9" t="s">
        <v>85</v>
      </c>
      <c r="B226" s="10" t="s">
        <v>88</v>
      </c>
      <c r="C226" s="11" t="s">
        <v>15</v>
      </c>
      <c r="D226" s="11" t="s">
        <v>15</v>
      </c>
      <c r="E226" s="11" t="s">
        <v>15</v>
      </c>
      <c r="F226" s="11" t="s">
        <v>15</v>
      </c>
      <c r="G226" s="11" t="s">
        <v>15</v>
      </c>
      <c r="H226" s="11" t="s">
        <v>15</v>
      </c>
      <c r="I226" s="11" t="s">
        <v>15</v>
      </c>
      <c r="J226" s="11" t="s">
        <v>15</v>
      </c>
      <c r="K226" s="11" t="s">
        <v>15</v>
      </c>
      <c r="L226" s="11" t="s">
        <v>15</v>
      </c>
      <c r="M226" s="11" t="s">
        <v>15</v>
      </c>
      <c r="N226" s="11" t="s">
        <v>15</v>
      </c>
      <c r="O226" s="11">
        <f>SUM(C226:N226)</f>
        <v>0</v>
      </c>
    </row>
    <row r="227" spans="1:15" ht="12.75" customHeight="1" x14ac:dyDescent="0.2">
      <c r="A227" s="9" t="s">
        <v>89</v>
      </c>
      <c r="B227" s="10" t="s">
        <v>14</v>
      </c>
      <c r="C227" s="11" t="s">
        <v>15</v>
      </c>
      <c r="D227" s="11">
        <v>36.06</v>
      </c>
      <c r="E227" s="11" t="s">
        <v>15</v>
      </c>
      <c r="F227" s="11" t="s">
        <v>15</v>
      </c>
      <c r="G227" s="11" t="s">
        <v>15</v>
      </c>
      <c r="H227" s="11" t="s">
        <v>15</v>
      </c>
      <c r="I227" s="11" t="s">
        <v>15</v>
      </c>
      <c r="J227" s="11" t="s">
        <v>15</v>
      </c>
      <c r="K227" s="11" t="s">
        <v>15</v>
      </c>
      <c r="L227" s="11" t="s">
        <v>15</v>
      </c>
      <c r="M227" s="11" t="s">
        <v>15</v>
      </c>
      <c r="N227" s="11" t="s">
        <v>15</v>
      </c>
      <c r="O227" s="11">
        <f>SUM(C227:N227)</f>
        <v>36.06</v>
      </c>
    </row>
    <row r="228" spans="1:15" ht="12.75" customHeight="1" x14ac:dyDescent="0.2">
      <c r="O228" s="11">
        <f>SUM(C228:N228)</f>
        <v>0</v>
      </c>
    </row>
    <row r="229" spans="1:15" ht="12.75" customHeight="1" x14ac:dyDescent="0.2">
      <c r="A229" s="12" t="s">
        <v>296</v>
      </c>
      <c r="B229" s="10" t="s">
        <v>251</v>
      </c>
      <c r="C229" s="11">
        <v>102143.14</v>
      </c>
      <c r="D229" s="11">
        <v>140058.21</v>
      </c>
      <c r="E229" s="11">
        <v>96977.8</v>
      </c>
      <c r="F229" s="11">
        <v>174758.08</v>
      </c>
      <c r="G229" s="11">
        <v>137559.63</v>
      </c>
      <c r="H229" s="11">
        <v>136691.43</v>
      </c>
      <c r="I229" s="11">
        <v>120237.74</v>
      </c>
      <c r="J229" s="11">
        <v>213950.11</v>
      </c>
      <c r="K229" s="11">
        <v>87235</v>
      </c>
      <c r="L229" s="11">
        <v>121950.89</v>
      </c>
      <c r="M229" s="11">
        <v>12013.41</v>
      </c>
      <c r="N229" s="11">
        <v>103874.66</v>
      </c>
      <c r="O229" s="11">
        <f>SUM(C229:N229)</f>
        <v>1447450.0999999999</v>
      </c>
    </row>
    <row r="230" spans="1:15" ht="12.75" customHeight="1" x14ac:dyDescent="0.2">
      <c r="A230" s="12" t="s">
        <v>296</v>
      </c>
      <c r="B230" s="10" t="s">
        <v>261</v>
      </c>
      <c r="C230" s="11">
        <v>-4255</v>
      </c>
      <c r="D230" s="11">
        <v>-5319</v>
      </c>
      <c r="E230" s="11">
        <v>-4255</v>
      </c>
      <c r="F230" s="11">
        <v>-4255</v>
      </c>
      <c r="G230" s="11">
        <v>-5319</v>
      </c>
      <c r="H230" s="333">
        <v>-4255</v>
      </c>
      <c r="I230" s="333">
        <v>-4255</v>
      </c>
      <c r="J230" s="11">
        <v>-5319</v>
      </c>
      <c r="K230" s="11">
        <v>-4255</v>
      </c>
      <c r="L230" s="11">
        <v>-4255</v>
      </c>
      <c r="M230" s="11">
        <v>40423</v>
      </c>
      <c r="N230" s="11">
        <v>5319</v>
      </c>
      <c r="O230" s="333">
        <f>SUM(C230:N230)</f>
        <v>0</v>
      </c>
    </row>
    <row r="231" spans="1:15" ht="12.75" customHeight="1" x14ac:dyDescent="0.2">
      <c r="A231" s="12" t="s">
        <v>86</v>
      </c>
      <c r="B231" s="10" t="s">
        <v>251</v>
      </c>
      <c r="C231" s="11" t="s">
        <v>15</v>
      </c>
      <c r="D231" s="11" t="s">
        <v>15</v>
      </c>
      <c r="E231" s="11" t="s">
        <v>15</v>
      </c>
      <c r="F231" s="11" t="s">
        <v>15</v>
      </c>
      <c r="G231" s="11" t="s">
        <v>15</v>
      </c>
      <c r="H231" s="11" t="s">
        <v>15</v>
      </c>
      <c r="I231" s="11" t="s">
        <v>15</v>
      </c>
      <c r="J231" s="11" t="s">
        <v>15</v>
      </c>
      <c r="K231" s="11" t="s">
        <v>15</v>
      </c>
      <c r="L231" s="11" t="s">
        <v>15</v>
      </c>
      <c r="M231" s="11" t="s">
        <v>15</v>
      </c>
      <c r="N231" s="11" t="s">
        <v>15</v>
      </c>
      <c r="O231" s="11">
        <f>SUM(C231:N231)</f>
        <v>0</v>
      </c>
    </row>
    <row r="232" spans="1:15" ht="12.75" customHeight="1" x14ac:dyDescent="0.2">
      <c r="A232" s="12" t="s">
        <v>86</v>
      </c>
      <c r="B232" s="10" t="s">
        <v>261</v>
      </c>
      <c r="C232" s="11" t="s">
        <v>15</v>
      </c>
      <c r="D232" s="11" t="s">
        <v>15</v>
      </c>
      <c r="E232" s="11" t="s">
        <v>15</v>
      </c>
      <c r="F232" s="11" t="s">
        <v>15</v>
      </c>
      <c r="G232" s="11" t="s">
        <v>15</v>
      </c>
      <c r="H232" s="333" t="s">
        <v>15</v>
      </c>
      <c r="I232" s="333" t="s">
        <v>15</v>
      </c>
      <c r="J232" s="11" t="s">
        <v>15</v>
      </c>
      <c r="K232" s="11" t="s">
        <v>15</v>
      </c>
      <c r="L232" s="11" t="s">
        <v>15</v>
      </c>
      <c r="M232" s="11" t="s">
        <v>15</v>
      </c>
      <c r="N232" s="11" t="s">
        <v>15</v>
      </c>
      <c r="O232" s="333">
        <f>SUM(C232:N232)</f>
        <v>0</v>
      </c>
    </row>
    <row r="233" spans="1:15" ht="12.75" customHeight="1" x14ac:dyDescent="0.2">
      <c r="A233" s="12" t="s">
        <v>299</v>
      </c>
      <c r="B233" s="10" t="s">
        <v>251</v>
      </c>
      <c r="C233" s="11" t="s">
        <v>15</v>
      </c>
      <c r="D233" s="11" t="s">
        <v>15</v>
      </c>
      <c r="E233" s="11" t="s">
        <v>15</v>
      </c>
      <c r="F233" s="11" t="s">
        <v>15</v>
      </c>
      <c r="G233" s="11" t="s">
        <v>15</v>
      </c>
      <c r="H233" s="333" t="s">
        <v>15</v>
      </c>
      <c r="I233" s="333" t="s">
        <v>15</v>
      </c>
      <c r="J233" s="11" t="s">
        <v>15</v>
      </c>
      <c r="K233" s="11" t="s">
        <v>15</v>
      </c>
      <c r="L233" s="11" t="s">
        <v>15</v>
      </c>
      <c r="M233" s="11" t="s">
        <v>15</v>
      </c>
      <c r="N233" s="11" t="s">
        <v>15</v>
      </c>
      <c r="O233" s="333">
        <f>SUM(C233:N233)</f>
        <v>0</v>
      </c>
    </row>
    <row r="234" spans="1:15" ht="12.75" customHeight="1" x14ac:dyDescent="0.2">
      <c r="A234" s="12" t="s">
        <v>89</v>
      </c>
      <c r="B234" s="10" t="s">
        <v>251</v>
      </c>
      <c r="C234" s="11">
        <v>52091.57</v>
      </c>
      <c r="D234" s="11">
        <v>103327.97</v>
      </c>
      <c r="E234" s="11">
        <v>4923.63</v>
      </c>
      <c r="F234" s="11">
        <v>52545.07</v>
      </c>
      <c r="G234" s="11">
        <v>63243.11</v>
      </c>
      <c r="H234" s="11">
        <v>59059.06</v>
      </c>
      <c r="I234" s="11">
        <v>71844.100000000006</v>
      </c>
      <c r="J234" s="11">
        <v>95558.19</v>
      </c>
      <c r="K234" s="11">
        <v>63367.44</v>
      </c>
      <c r="L234" s="11">
        <v>73398.720000000001</v>
      </c>
      <c r="M234" s="11">
        <v>76739.820000000007</v>
      </c>
      <c r="N234" s="11">
        <v>62108.37</v>
      </c>
      <c r="O234" s="11">
        <f>SUM(C234:N234)</f>
        <v>778207.04999999993</v>
      </c>
    </row>
    <row r="235" spans="1:15" ht="12.75" customHeight="1" x14ac:dyDescent="0.2">
      <c r="A235" s="12" t="s">
        <v>89</v>
      </c>
      <c r="B235" s="10" t="s">
        <v>90</v>
      </c>
      <c r="C235" s="11" t="s">
        <v>15</v>
      </c>
      <c r="D235" s="11" t="s">
        <v>15</v>
      </c>
      <c r="E235" s="11" t="s">
        <v>15</v>
      </c>
      <c r="F235" s="11" t="s">
        <v>15</v>
      </c>
      <c r="G235" s="11" t="s">
        <v>15</v>
      </c>
      <c r="H235" s="11" t="s">
        <v>15</v>
      </c>
      <c r="I235" s="11" t="s">
        <v>15</v>
      </c>
      <c r="J235" s="11" t="s">
        <v>15</v>
      </c>
      <c r="K235" s="11" t="s">
        <v>15</v>
      </c>
      <c r="L235" s="11" t="s">
        <v>15</v>
      </c>
      <c r="M235" s="11" t="s">
        <v>15</v>
      </c>
      <c r="N235" s="11" t="s">
        <v>15</v>
      </c>
      <c r="O235" s="11">
        <f>SUM(C235:N235)</f>
        <v>0</v>
      </c>
    </row>
    <row r="236" spans="1:15" s="19" customFormat="1" ht="12.75" customHeight="1" thickBot="1" x14ac:dyDescent="0.25">
      <c r="A236" s="20" t="s">
        <v>91</v>
      </c>
      <c r="B236" s="17"/>
      <c r="C236" s="343">
        <f>SUM(C222:C235)</f>
        <v>157453.35999999999</v>
      </c>
      <c r="D236" s="343">
        <f>SUM(D222:D235)</f>
        <v>246150.44999999998</v>
      </c>
      <c r="E236" s="343">
        <f>SUM(E222:E235)</f>
        <v>117563.04000000001</v>
      </c>
      <c r="F236" s="343">
        <f>SUM(F222:F235)</f>
        <v>239123.26</v>
      </c>
      <c r="G236" s="343">
        <f>SUM(G222:G235)</f>
        <v>196131.72000000003</v>
      </c>
      <c r="H236" s="343">
        <f>SUM(H222:H235)</f>
        <v>199891.13999999998</v>
      </c>
      <c r="I236" s="343">
        <f>SUM(I222:I235)</f>
        <v>193386.22000000003</v>
      </c>
      <c r="J236" s="343">
        <f>SUM(J222:J235)</f>
        <v>318268.70999999996</v>
      </c>
      <c r="K236" s="343">
        <f>SUM(K222:K235)</f>
        <v>174576.34</v>
      </c>
      <c r="L236" s="343">
        <f>SUM(L222:L235)</f>
        <v>233935</v>
      </c>
      <c r="M236" s="343">
        <f>SUM(M222:M235)</f>
        <v>95605.88</v>
      </c>
      <c r="N236" s="343">
        <f>SUM(N222:N235)</f>
        <v>175796.98</v>
      </c>
      <c r="O236" s="344">
        <f>SUM(O222:O235)</f>
        <v>2347882.0999999996</v>
      </c>
    </row>
    <row r="237" spans="1:15" ht="12.75" customHeight="1" thickTop="1" x14ac:dyDescent="0.2">
      <c r="A237" s="14"/>
    </row>
    <row r="238" spans="1:15" ht="12.75" customHeight="1" x14ac:dyDescent="0.2">
      <c r="A238" s="12" t="s">
        <v>223</v>
      </c>
      <c r="B238" s="10" t="s">
        <v>69</v>
      </c>
      <c r="C238" s="11">
        <v>-15107.85</v>
      </c>
      <c r="D238" s="11">
        <v>5053.2700000000004</v>
      </c>
      <c r="E238" s="11">
        <v>-7282.3500000000022</v>
      </c>
      <c r="F238" s="11">
        <v>-16806.68</v>
      </c>
      <c r="G238" s="11">
        <v>12829.47</v>
      </c>
      <c r="H238" s="11">
        <v>9727.39</v>
      </c>
      <c r="I238" s="11">
        <v>-15149.45</v>
      </c>
      <c r="J238" s="11">
        <v>-30828.640000000003</v>
      </c>
      <c r="K238" s="11">
        <v>20976.1</v>
      </c>
      <c r="L238" s="11">
        <v>-84976.33</v>
      </c>
      <c r="M238" s="11">
        <v>5844.65</v>
      </c>
      <c r="N238" s="11">
        <v>1651.71</v>
      </c>
      <c r="O238" s="337">
        <f>SUM(C238:N238)</f>
        <v>-114068.71</v>
      </c>
    </row>
    <row r="239" spans="1:15" ht="12.75" customHeight="1" x14ac:dyDescent="0.2">
      <c r="A239" s="12" t="s">
        <v>224</v>
      </c>
      <c r="B239" s="10" t="s">
        <v>69</v>
      </c>
      <c r="C239" s="11" t="s">
        <v>15</v>
      </c>
      <c r="D239" s="11" t="s">
        <v>15</v>
      </c>
      <c r="E239" s="11" t="s">
        <v>15</v>
      </c>
      <c r="F239" s="11" t="s">
        <v>15</v>
      </c>
      <c r="G239" s="11" t="s">
        <v>15</v>
      </c>
      <c r="H239" s="11" t="s">
        <v>15</v>
      </c>
      <c r="I239" s="11" t="s">
        <v>15</v>
      </c>
      <c r="J239" s="11" t="s">
        <v>15</v>
      </c>
      <c r="K239" s="11" t="s">
        <v>15</v>
      </c>
      <c r="L239" s="11" t="s">
        <v>15</v>
      </c>
      <c r="M239" s="11" t="s">
        <v>15</v>
      </c>
      <c r="N239" s="11">
        <v>35</v>
      </c>
      <c r="O239" s="337">
        <f>SUM(C239:N239)</f>
        <v>35</v>
      </c>
    </row>
    <row r="240" spans="1:15" ht="12.75" customHeight="1" x14ac:dyDescent="0.2">
      <c r="A240" s="15" t="s">
        <v>212</v>
      </c>
      <c r="B240" s="10" t="s">
        <v>69</v>
      </c>
      <c r="C240" s="333">
        <v>-14511.69</v>
      </c>
      <c r="D240" s="11">
        <v>1962.8899999999994</v>
      </c>
      <c r="E240" s="11">
        <v>7786.3000000000011</v>
      </c>
      <c r="F240" s="11">
        <v>-4116.18</v>
      </c>
      <c r="G240" s="11">
        <v>2719.3299999999981</v>
      </c>
      <c r="H240" s="11">
        <v>-4195.4899999999989</v>
      </c>
      <c r="I240" s="11">
        <v>-9600.48</v>
      </c>
      <c r="J240" s="11">
        <v>13324.58</v>
      </c>
      <c r="K240" s="11">
        <v>-9671.0299999999988</v>
      </c>
      <c r="L240" s="11">
        <v>-9351.39</v>
      </c>
      <c r="M240" s="11">
        <v>-28927.98</v>
      </c>
      <c r="N240" s="11">
        <v>52457.630000000005</v>
      </c>
      <c r="O240" s="337">
        <f>SUM(C240:N240)</f>
        <v>-2123.5099999999948</v>
      </c>
    </row>
    <row r="241" spans="1:15" ht="12.75" customHeight="1" x14ac:dyDescent="0.2">
      <c r="A241" s="12" t="s">
        <v>216</v>
      </c>
      <c r="B241" s="10" t="s">
        <v>69</v>
      </c>
      <c r="C241" s="333">
        <v>61882.520000000004</v>
      </c>
      <c r="D241" s="11">
        <v>83011.570000000007</v>
      </c>
      <c r="E241" s="11">
        <v>84897.19</v>
      </c>
      <c r="F241" s="11">
        <v>42313.05</v>
      </c>
      <c r="G241" s="11">
        <v>71534.28</v>
      </c>
      <c r="H241" s="11">
        <v>64157.08</v>
      </c>
      <c r="I241" s="11">
        <v>41812.639999999999</v>
      </c>
      <c r="J241" s="11">
        <v>72759.88</v>
      </c>
      <c r="K241" s="11">
        <v>74742.399999999994</v>
      </c>
      <c r="L241" s="11">
        <v>57671.450000000004</v>
      </c>
      <c r="M241" s="11">
        <v>85409.71</v>
      </c>
      <c r="N241" s="11">
        <v>118602.11</v>
      </c>
      <c r="O241" s="337">
        <f>SUM(C241:N241)</f>
        <v>858793.87999999989</v>
      </c>
    </row>
    <row r="242" spans="1:15" ht="12.75" customHeight="1" x14ac:dyDescent="0.2">
      <c r="A242" s="12" t="s">
        <v>259</v>
      </c>
      <c r="B242" s="10" t="s">
        <v>69</v>
      </c>
      <c r="C242" s="333" t="s">
        <v>15</v>
      </c>
      <c r="D242" s="11" t="s">
        <v>15</v>
      </c>
      <c r="E242" s="11" t="s">
        <v>15</v>
      </c>
      <c r="F242" s="11" t="s">
        <v>15</v>
      </c>
      <c r="G242" s="11" t="s">
        <v>15</v>
      </c>
      <c r="H242" s="11" t="s">
        <v>15</v>
      </c>
      <c r="I242" s="11" t="s">
        <v>15</v>
      </c>
      <c r="J242" s="11" t="s">
        <v>15</v>
      </c>
      <c r="K242" s="11" t="s">
        <v>15</v>
      </c>
      <c r="L242" s="11" t="s">
        <v>15</v>
      </c>
      <c r="M242" s="11" t="s">
        <v>15</v>
      </c>
      <c r="N242" s="11" t="s">
        <v>15</v>
      </c>
      <c r="O242" s="337">
        <f>SUM(C242:N242)</f>
        <v>0</v>
      </c>
    </row>
    <row r="243" spans="1:15" ht="12.75" customHeight="1" x14ac:dyDescent="0.2">
      <c r="A243" s="12" t="s">
        <v>237</v>
      </c>
      <c r="B243" s="10" t="s">
        <v>69</v>
      </c>
      <c r="C243" s="333">
        <v>93879.98</v>
      </c>
      <c r="D243" s="11">
        <v>99903.8</v>
      </c>
      <c r="E243" s="11">
        <v>148982.38</v>
      </c>
      <c r="F243" s="11">
        <v>114135.78</v>
      </c>
      <c r="G243" s="11">
        <v>106432.84</v>
      </c>
      <c r="H243" s="11">
        <v>111541.67</v>
      </c>
      <c r="I243" s="11">
        <v>100587.24</v>
      </c>
      <c r="J243" s="11">
        <v>109593.27</v>
      </c>
      <c r="K243" s="11">
        <v>59784.22</v>
      </c>
      <c r="L243" s="11">
        <v>89593.55</v>
      </c>
      <c r="M243" s="11">
        <v>136337.4</v>
      </c>
      <c r="N243" s="11">
        <v>83062.53</v>
      </c>
      <c r="O243" s="337">
        <f>SUM(C243:N243)</f>
        <v>1253834.6600000001</v>
      </c>
    </row>
    <row r="244" spans="1:15" ht="12.75" customHeight="1" x14ac:dyDescent="0.2">
      <c r="A244" s="15" t="s">
        <v>371</v>
      </c>
      <c r="B244" s="10" t="s">
        <v>69</v>
      </c>
      <c r="C244" s="333" t="s">
        <v>15</v>
      </c>
      <c r="D244" s="11" t="s">
        <v>15</v>
      </c>
      <c r="E244" s="11" t="s">
        <v>15</v>
      </c>
      <c r="F244" s="11" t="s">
        <v>15</v>
      </c>
      <c r="G244" s="11" t="s">
        <v>15</v>
      </c>
      <c r="H244" s="11">
        <v>215623.67999999999</v>
      </c>
      <c r="I244" s="11" t="s">
        <v>15</v>
      </c>
      <c r="J244" s="11" t="s">
        <v>15</v>
      </c>
      <c r="K244" s="11" t="s">
        <v>15</v>
      </c>
      <c r="L244" s="11" t="s">
        <v>15</v>
      </c>
      <c r="M244" s="11" t="s">
        <v>15</v>
      </c>
      <c r="N244" s="11" t="s">
        <v>15</v>
      </c>
      <c r="O244" s="337">
        <f>SUM(C244:N244)</f>
        <v>215623.67999999999</v>
      </c>
    </row>
    <row r="245" spans="1:15" ht="12.75" customHeight="1" x14ac:dyDescent="0.2">
      <c r="A245" s="12" t="s">
        <v>250</v>
      </c>
      <c r="B245" s="10" t="s">
        <v>69</v>
      </c>
      <c r="C245" s="333">
        <v>31713.29</v>
      </c>
      <c r="D245" s="11">
        <v>23853.77</v>
      </c>
      <c r="E245" s="11">
        <v>43956.43</v>
      </c>
      <c r="F245" s="11">
        <v>2306.7399999999998</v>
      </c>
      <c r="G245" s="11">
        <v>19294.419999999998</v>
      </c>
      <c r="H245" s="11">
        <v>33963.440000000002</v>
      </c>
      <c r="I245" s="11">
        <v>17656.330000000002</v>
      </c>
      <c r="J245" s="11">
        <v>716.48999999999978</v>
      </c>
      <c r="K245" s="11">
        <v>28794.23</v>
      </c>
      <c r="L245" s="11">
        <v>10391.129999999999</v>
      </c>
      <c r="M245" s="11">
        <v>-106480.77</v>
      </c>
      <c r="N245" s="11">
        <v>161385.74</v>
      </c>
      <c r="O245" s="337">
        <f>SUM(C245:N245)</f>
        <v>267551.24</v>
      </c>
    </row>
    <row r="246" spans="1:15" ht="12.75" customHeight="1" x14ac:dyDescent="0.2">
      <c r="A246" s="12" t="s">
        <v>242</v>
      </c>
      <c r="B246" s="10" t="s">
        <v>69</v>
      </c>
      <c r="C246" s="333">
        <v>4381.22</v>
      </c>
      <c r="D246" s="11">
        <v>7859.93</v>
      </c>
      <c r="E246" s="11">
        <v>3195.01</v>
      </c>
      <c r="F246" s="11">
        <v>9576.14</v>
      </c>
      <c r="G246" s="11">
        <v>12138.32</v>
      </c>
      <c r="H246" s="11">
        <v>6552.78</v>
      </c>
      <c r="I246" s="11">
        <v>5066.79</v>
      </c>
      <c r="J246" s="11">
        <v>12518.08</v>
      </c>
      <c r="K246" s="11">
        <v>5232.17</v>
      </c>
      <c r="L246" s="11">
        <v>652.44000000000005</v>
      </c>
      <c r="M246" s="11">
        <v>7243.46</v>
      </c>
      <c r="N246" s="11">
        <v>5207.92</v>
      </c>
      <c r="O246" s="337">
        <f>SUM(C246:N246)</f>
        <v>79624.260000000009</v>
      </c>
    </row>
    <row r="247" spans="1:15" ht="12.75" customHeight="1" x14ac:dyDescent="0.2">
      <c r="A247" s="12" t="s">
        <v>245</v>
      </c>
      <c r="B247" s="10" t="s">
        <v>69</v>
      </c>
      <c r="C247" s="333">
        <v>3449.26</v>
      </c>
      <c r="D247" s="11">
        <v>31458.18</v>
      </c>
      <c r="E247" s="11">
        <v>-20441.55</v>
      </c>
      <c r="F247" s="11">
        <v>1784</v>
      </c>
      <c r="G247" s="11">
        <v>22468.18</v>
      </c>
      <c r="H247" s="11">
        <v>-944.95999999999992</v>
      </c>
      <c r="I247" s="11">
        <v>27751.48</v>
      </c>
      <c r="J247" s="11">
        <v>529.14</v>
      </c>
      <c r="K247" s="11">
        <v>-4759.6900000000005</v>
      </c>
      <c r="L247" s="11">
        <v>4518.13</v>
      </c>
      <c r="M247" s="11">
        <v>63587.369999999995</v>
      </c>
      <c r="N247" s="11">
        <v>1864.9900000000002</v>
      </c>
      <c r="O247" s="337">
        <f>SUM(C247:N247)</f>
        <v>131264.53</v>
      </c>
    </row>
    <row r="248" spans="1:15" ht="12.75" customHeight="1" x14ac:dyDescent="0.2">
      <c r="A248" s="12" t="s">
        <v>254</v>
      </c>
      <c r="B248" s="10" t="s">
        <v>69</v>
      </c>
      <c r="C248" s="333">
        <v>184081.58000000002</v>
      </c>
      <c r="D248" s="11">
        <v>275057.01</v>
      </c>
      <c r="E248" s="11">
        <v>196063.93</v>
      </c>
      <c r="F248" s="11">
        <v>258520.22999999998</v>
      </c>
      <c r="G248" s="11">
        <v>138451.67000000001</v>
      </c>
      <c r="H248" s="11">
        <v>204126.37</v>
      </c>
      <c r="I248" s="11">
        <v>181524.38</v>
      </c>
      <c r="J248" s="11">
        <v>200331.75</v>
      </c>
      <c r="K248" s="11">
        <v>183621.66999999998</v>
      </c>
      <c r="L248" s="11">
        <v>132158.48000000001</v>
      </c>
      <c r="M248" s="11">
        <v>174918.59999999998</v>
      </c>
      <c r="N248" s="11">
        <v>111481.67000000001</v>
      </c>
      <c r="O248" s="337">
        <f>SUM(C248:N248)</f>
        <v>2240337.34</v>
      </c>
    </row>
    <row r="249" spans="1:15" ht="12.75" customHeight="1" x14ac:dyDescent="0.2">
      <c r="A249" s="12" t="s">
        <v>246</v>
      </c>
      <c r="B249" s="10" t="s">
        <v>69</v>
      </c>
      <c r="C249" s="333">
        <v>137696.26</v>
      </c>
      <c r="D249" s="11">
        <v>23957.18</v>
      </c>
      <c r="E249" s="11">
        <v>31008.89</v>
      </c>
      <c r="F249" s="11">
        <v>29396.94</v>
      </c>
      <c r="G249" s="11">
        <v>-6222.1500000000005</v>
      </c>
      <c r="H249" s="11">
        <v>65433.31</v>
      </c>
      <c r="I249" s="11">
        <v>35870.269999999997</v>
      </c>
      <c r="J249" s="11">
        <v>-8818.6</v>
      </c>
      <c r="K249" s="11">
        <v>19659.14</v>
      </c>
      <c r="L249" s="11">
        <v>29414.68</v>
      </c>
      <c r="M249" s="11">
        <v>56312.85</v>
      </c>
      <c r="N249" s="11">
        <v>5339.7999999999993</v>
      </c>
      <c r="O249" s="337">
        <f>SUM(C249:N249)</f>
        <v>419048.57000000007</v>
      </c>
    </row>
    <row r="250" spans="1:15" s="322" customFormat="1" ht="12.75" customHeight="1" x14ac:dyDescent="0.2">
      <c r="A250" s="318" t="s">
        <v>316</v>
      </c>
      <c r="B250" s="318" t="s">
        <v>69</v>
      </c>
      <c r="C250" s="345">
        <v>32260.44</v>
      </c>
      <c r="D250" s="346">
        <v>-9300.27</v>
      </c>
      <c r="E250" s="346">
        <v>-19818.990000000002</v>
      </c>
      <c r="F250" s="346">
        <v>677.04</v>
      </c>
      <c r="G250" s="346">
        <v>2864.2400000000002</v>
      </c>
      <c r="H250" s="346">
        <v>59228.26</v>
      </c>
      <c r="I250" s="346">
        <v>29273.79</v>
      </c>
      <c r="J250" s="346">
        <v>6444.9400000000005</v>
      </c>
      <c r="K250" s="346">
        <v>44.370000000000005</v>
      </c>
      <c r="L250" s="346">
        <v>2695.72</v>
      </c>
      <c r="M250" s="346">
        <v>4993.68</v>
      </c>
      <c r="N250" s="346">
        <v>23950.44</v>
      </c>
      <c r="O250" s="347">
        <f>SUM(C250:N250)</f>
        <v>133313.66</v>
      </c>
    </row>
    <row r="251" spans="1:15" s="322" customFormat="1" ht="12.75" customHeight="1" x14ac:dyDescent="0.2">
      <c r="A251" s="318" t="s">
        <v>317</v>
      </c>
      <c r="B251" s="286" t="s">
        <v>69</v>
      </c>
      <c r="C251" s="345" t="s">
        <v>15</v>
      </c>
      <c r="D251" s="346">
        <v>1502.85</v>
      </c>
      <c r="E251" s="346" t="s">
        <v>15</v>
      </c>
      <c r="F251" s="346" t="s">
        <v>15</v>
      </c>
      <c r="G251" s="346" t="s">
        <v>15</v>
      </c>
      <c r="H251" s="346" t="s">
        <v>15</v>
      </c>
      <c r="I251" s="346" t="s">
        <v>15</v>
      </c>
      <c r="J251" s="346" t="s">
        <v>15</v>
      </c>
      <c r="K251" s="346" t="s">
        <v>15</v>
      </c>
      <c r="L251" s="346" t="s">
        <v>15</v>
      </c>
      <c r="M251" s="346" t="s">
        <v>15</v>
      </c>
      <c r="N251" s="346" t="s">
        <v>15</v>
      </c>
      <c r="O251" s="347">
        <f>SUM(C251:N251)</f>
        <v>1502.85</v>
      </c>
    </row>
    <row r="252" spans="1:15" s="322" customFormat="1" ht="12.75" customHeight="1" x14ac:dyDescent="0.2">
      <c r="A252" s="318" t="s">
        <v>318</v>
      </c>
      <c r="B252" s="286" t="s">
        <v>69</v>
      </c>
      <c r="C252" s="345">
        <v>351.79</v>
      </c>
      <c r="D252" s="346">
        <v>51.35</v>
      </c>
      <c r="E252" s="346" t="s">
        <v>15</v>
      </c>
      <c r="F252" s="346" t="s">
        <v>15</v>
      </c>
      <c r="G252" s="346" t="s">
        <v>15</v>
      </c>
      <c r="H252" s="346" t="s">
        <v>15</v>
      </c>
      <c r="I252" s="346">
        <v>1172.8900000000001</v>
      </c>
      <c r="J252" s="346" t="s">
        <v>15</v>
      </c>
      <c r="K252" s="346" t="s">
        <v>15</v>
      </c>
      <c r="L252" s="346" t="s">
        <v>15</v>
      </c>
      <c r="M252" s="346" t="s">
        <v>15</v>
      </c>
      <c r="N252" s="346" t="s">
        <v>15</v>
      </c>
      <c r="O252" s="347">
        <f>SUM(C252:N252)</f>
        <v>1576.0300000000002</v>
      </c>
    </row>
    <row r="253" spans="1:15" s="322" customFormat="1" ht="12.75" customHeight="1" x14ac:dyDescent="0.2">
      <c r="A253" s="318" t="s">
        <v>319</v>
      </c>
      <c r="B253" s="286" t="s">
        <v>69</v>
      </c>
      <c r="C253" s="345" t="s">
        <v>15</v>
      </c>
      <c r="D253" s="346">
        <v>2334.4299999999998</v>
      </c>
      <c r="E253" s="346" t="s">
        <v>15</v>
      </c>
      <c r="F253" s="346" t="s">
        <v>15</v>
      </c>
      <c r="G253" s="346" t="s">
        <v>15</v>
      </c>
      <c r="H253" s="346" t="s">
        <v>15</v>
      </c>
      <c r="I253" s="346" t="s">
        <v>15</v>
      </c>
      <c r="J253" s="346" t="s">
        <v>15</v>
      </c>
      <c r="K253" s="346" t="s">
        <v>15</v>
      </c>
      <c r="L253" s="346">
        <v>-2057</v>
      </c>
      <c r="M253" s="346" t="s">
        <v>15</v>
      </c>
      <c r="N253" s="346" t="s">
        <v>15</v>
      </c>
      <c r="O253" s="347">
        <f>SUM(C253:N253)</f>
        <v>277.42999999999984</v>
      </c>
    </row>
    <row r="254" spans="1:15" s="322" customFormat="1" ht="12.75" customHeight="1" x14ac:dyDescent="0.2">
      <c r="A254" s="355" t="s">
        <v>378</v>
      </c>
      <c r="B254" s="286" t="s">
        <v>69</v>
      </c>
      <c r="C254" s="345" t="s">
        <v>15</v>
      </c>
      <c r="D254" s="346" t="s">
        <v>15</v>
      </c>
      <c r="E254" s="346" t="s">
        <v>15</v>
      </c>
      <c r="F254" s="346" t="s">
        <v>15</v>
      </c>
      <c r="G254" s="346" t="s">
        <v>15</v>
      </c>
      <c r="H254" s="346" t="s">
        <v>15</v>
      </c>
      <c r="I254" s="346" t="s">
        <v>15</v>
      </c>
      <c r="J254" s="346">
        <v>1521.83</v>
      </c>
      <c r="K254" s="346">
        <v>712.33</v>
      </c>
      <c r="L254" s="346">
        <v>1285.6199999999999</v>
      </c>
      <c r="M254" s="346">
        <v>1403.13</v>
      </c>
      <c r="N254" s="346">
        <v>164.61</v>
      </c>
      <c r="O254" s="347">
        <v>5087.5200000000004</v>
      </c>
    </row>
    <row r="255" spans="1:15" s="322" customFormat="1" ht="12.75" customHeight="1" x14ac:dyDescent="0.2">
      <c r="A255" s="355" t="s">
        <v>379</v>
      </c>
      <c r="B255" s="286" t="s">
        <v>69</v>
      </c>
      <c r="C255" s="345" t="s">
        <v>15</v>
      </c>
      <c r="D255" s="346" t="s">
        <v>15</v>
      </c>
      <c r="E255" s="346" t="s">
        <v>15</v>
      </c>
      <c r="F255" s="346" t="s">
        <v>15</v>
      </c>
      <c r="G255" s="346" t="s">
        <v>15</v>
      </c>
      <c r="H255" s="346" t="s">
        <v>15</v>
      </c>
      <c r="I255" s="346" t="s">
        <v>15</v>
      </c>
      <c r="J255" s="346">
        <v>41003.120000000003</v>
      </c>
      <c r="K255" s="346">
        <v>28524.799999999999</v>
      </c>
      <c r="L255" s="346">
        <v>18376.05</v>
      </c>
      <c r="M255" s="346">
        <v>47541.73</v>
      </c>
      <c r="N255" s="346">
        <v>31138.62</v>
      </c>
      <c r="O255" s="347">
        <v>166584.32000000001</v>
      </c>
    </row>
    <row r="256" spans="1:15" s="322" customFormat="1" ht="12.75" customHeight="1" x14ac:dyDescent="0.2">
      <c r="A256" s="355" t="s">
        <v>380</v>
      </c>
      <c r="B256" s="286" t="s">
        <v>69</v>
      </c>
      <c r="C256" s="345" t="s">
        <v>15</v>
      </c>
      <c r="D256" s="346" t="s">
        <v>15</v>
      </c>
      <c r="E256" s="346" t="s">
        <v>15</v>
      </c>
      <c r="F256" s="346" t="s">
        <v>15</v>
      </c>
      <c r="G256" s="346" t="s">
        <v>15</v>
      </c>
      <c r="H256" s="346" t="s">
        <v>15</v>
      </c>
      <c r="I256" s="346" t="s">
        <v>15</v>
      </c>
      <c r="J256" s="346">
        <v>60591.02</v>
      </c>
      <c r="K256" s="346">
        <v>49582.16</v>
      </c>
      <c r="L256" s="346">
        <v>405139.64</v>
      </c>
      <c r="M256" s="346">
        <v>48749.43</v>
      </c>
      <c r="N256" s="346">
        <v>233332.77</v>
      </c>
      <c r="O256" s="347">
        <v>797395.02</v>
      </c>
    </row>
    <row r="257" spans="1:16" s="322" customFormat="1" ht="12.75" customHeight="1" x14ac:dyDescent="0.2">
      <c r="A257" s="355" t="s">
        <v>381</v>
      </c>
      <c r="B257" s="286" t="s">
        <v>69</v>
      </c>
      <c r="C257" s="345" t="s">
        <v>15</v>
      </c>
      <c r="D257" s="346" t="s">
        <v>15</v>
      </c>
      <c r="E257" s="346" t="s">
        <v>15</v>
      </c>
      <c r="F257" s="346" t="s">
        <v>15</v>
      </c>
      <c r="G257" s="346" t="s">
        <v>15</v>
      </c>
      <c r="H257" s="346" t="s">
        <v>15</v>
      </c>
      <c r="I257" s="346" t="s">
        <v>15</v>
      </c>
      <c r="J257" s="346">
        <v>266555.34000000003</v>
      </c>
      <c r="K257" s="346">
        <v>123304.15</v>
      </c>
      <c r="L257" s="346">
        <v>202487.8</v>
      </c>
      <c r="M257" s="346">
        <v>228064.04</v>
      </c>
      <c r="N257" s="346">
        <v>-181357.64</v>
      </c>
      <c r="O257" s="347">
        <v>639053.68999999994</v>
      </c>
    </row>
    <row r="258" spans="1:16" s="322" customFormat="1" ht="12.75" customHeight="1" x14ac:dyDescent="0.2">
      <c r="A258" s="355" t="s">
        <v>382</v>
      </c>
      <c r="B258" s="286" t="s">
        <v>69</v>
      </c>
      <c r="C258" s="345" t="s">
        <v>15</v>
      </c>
      <c r="D258" s="346" t="s">
        <v>15</v>
      </c>
      <c r="E258" s="346" t="s">
        <v>15</v>
      </c>
      <c r="F258" s="346" t="s">
        <v>15</v>
      </c>
      <c r="G258" s="346" t="s">
        <v>15</v>
      </c>
      <c r="H258" s="346" t="s">
        <v>15</v>
      </c>
      <c r="I258" s="346" t="s">
        <v>15</v>
      </c>
      <c r="J258" s="346">
        <v>14944.41</v>
      </c>
      <c r="K258" s="346">
        <v>17685.939999999999</v>
      </c>
      <c r="L258" s="346">
        <v>14981.07</v>
      </c>
      <c r="M258" s="346">
        <v>18855.8</v>
      </c>
      <c r="N258" s="346">
        <v>16407.91</v>
      </c>
      <c r="O258" s="347">
        <v>82875.13</v>
      </c>
    </row>
    <row r="259" spans="1:16" s="322" customFormat="1" ht="12.75" customHeight="1" x14ac:dyDescent="0.2">
      <c r="A259" s="355" t="s">
        <v>383</v>
      </c>
      <c r="B259" s="286" t="s">
        <v>69</v>
      </c>
      <c r="C259" s="345" t="s">
        <v>15</v>
      </c>
      <c r="D259" s="346" t="s">
        <v>15</v>
      </c>
      <c r="E259" s="346" t="s">
        <v>15</v>
      </c>
      <c r="F259" s="346" t="s">
        <v>15</v>
      </c>
      <c r="G259" s="346" t="s">
        <v>15</v>
      </c>
      <c r="H259" s="346" t="s">
        <v>15</v>
      </c>
      <c r="I259" s="346" t="s">
        <v>15</v>
      </c>
      <c r="J259" s="346">
        <v>82555.490000000005</v>
      </c>
      <c r="K259" s="346">
        <v>63118.13</v>
      </c>
      <c r="L259" s="346">
        <v>67199.210000000006</v>
      </c>
      <c r="M259" s="346">
        <v>68572.45</v>
      </c>
      <c r="N259" s="346">
        <v>83198.429999999993</v>
      </c>
      <c r="O259" s="347">
        <v>364643.70999999996</v>
      </c>
    </row>
    <row r="260" spans="1:16" s="322" customFormat="1" ht="12.75" customHeight="1" x14ac:dyDescent="0.2">
      <c r="A260" s="355" t="s">
        <v>384</v>
      </c>
      <c r="B260" s="286" t="s">
        <v>69</v>
      </c>
      <c r="C260" s="345" t="s">
        <v>15</v>
      </c>
      <c r="D260" s="346" t="s">
        <v>15</v>
      </c>
      <c r="E260" s="346" t="s">
        <v>15</v>
      </c>
      <c r="F260" s="346" t="s">
        <v>15</v>
      </c>
      <c r="G260" s="346" t="s">
        <v>15</v>
      </c>
      <c r="H260" s="346" t="s">
        <v>15</v>
      </c>
      <c r="I260" s="346" t="s">
        <v>15</v>
      </c>
      <c r="J260" s="346">
        <v>31860.720000000001</v>
      </c>
      <c r="K260" s="346">
        <v>19863.43</v>
      </c>
      <c r="L260" s="346">
        <v>23459.45</v>
      </c>
      <c r="M260" s="346">
        <v>29834.67</v>
      </c>
      <c r="N260" s="346">
        <v>29262.880000000001</v>
      </c>
      <c r="O260" s="347">
        <v>134281.15</v>
      </c>
    </row>
    <row r="261" spans="1:16" s="322" customFormat="1" ht="12.75" customHeight="1" x14ac:dyDescent="0.2">
      <c r="A261" s="355" t="s">
        <v>385</v>
      </c>
      <c r="B261" s="286" t="s">
        <v>69</v>
      </c>
      <c r="C261" s="345" t="s">
        <v>15</v>
      </c>
      <c r="D261" s="346" t="s">
        <v>15</v>
      </c>
      <c r="E261" s="346" t="s">
        <v>15</v>
      </c>
      <c r="F261" s="346" t="s">
        <v>15</v>
      </c>
      <c r="G261" s="346" t="s">
        <v>15</v>
      </c>
      <c r="H261" s="346" t="s">
        <v>15</v>
      </c>
      <c r="I261" s="346" t="s">
        <v>15</v>
      </c>
      <c r="J261" s="346">
        <v>233585.06</v>
      </c>
      <c r="K261" s="346">
        <v>169099.91</v>
      </c>
      <c r="L261" s="346">
        <v>164617.01</v>
      </c>
      <c r="M261" s="346">
        <v>215162.46</v>
      </c>
      <c r="N261" s="346">
        <v>211475.66</v>
      </c>
      <c r="O261" s="347">
        <v>993940.1</v>
      </c>
    </row>
    <row r="262" spans="1:16" s="322" customFormat="1" ht="12.75" customHeight="1" x14ac:dyDescent="0.2">
      <c r="A262" s="355" t="s">
        <v>386</v>
      </c>
      <c r="B262" s="286" t="s">
        <v>69</v>
      </c>
      <c r="C262" s="345" t="s">
        <v>15</v>
      </c>
      <c r="D262" s="346" t="s">
        <v>15</v>
      </c>
      <c r="E262" s="346" t="s">
        <v>15</v>
      </c>
      <c r="F262" s="346" t="s">
        <v>15</v>
      </c>
      <c r="G262" s="346" t="s">
        <v>15</v>
      </c>
      <c r="H262" s="346" t="s">
        <v>15</v>
      </c>
      <c r="I262" s="346" t="s">
        <v>15</v>
      </c>
      <c r="J262" s="346">
        <v>152897.96</v>
      </c>
      <c r="K262" s="346">
        <v>101208.82</v>
      </c>
      <c r="L262" s="346">
        <v>128737.17</v>
      </c>
      <c r="M262" s="346">
        <v>132136.62</v>
      </c>
      <c r="N262" s="346">
        <v>137955.26</v>
      </c>
      <c r="O262" s="347">
        <v>652935.82999999996</v>
      </c>
    </row>
    <row r="263" spans="1:16" s="322" customFormat="1" ht="12.75" customHeight="1" x14ac:dyDescent="0.2">
      <c r="A263" s="355" t="s">
        <v>387</v>
      </c>
      <c r="B263" s="286" t="s">
        <v>69</v>
      </c>
      <c r="C263" s="345" t="s">
        <v>15</v>
      </c>
      <c r="D263" s="346" t="s">
        <v>15</v>
      </c>
      <c r="E263" s="346" t="s">
        <v>15</v>
      </c>
      <c r="F263" s="346" t="s">
        <v>15</v>
      </c>
      <c r="G263" s="346" t="s">
        <v>15</v>
      </c>
      <c r="H263" s="346" t="s">
        <v>15</v>
      </c>
      <c r="I263" s="346" t="s">
        <v>15</v>
      </c>
      <c r="J263" s="346">
        <v>6011.28</v>
      </c>
      <c r="K263" s="346">
        <v>4671.29</v>
      </c>
      <c r="L263" s="346">
        <v>4939.83</v>
      </c>
      <c r="M263" s="346">
        <v>6622.89</v>
      </c>
      <c r="N263" s="346">
        <v>7269.88</v>
      </c>
      <c r="O263" s="347">
        <v>29515.170000000002</v>
      </c>
    </row>
    <row r="264" spans="1:16" s="322" customFormat="1" ht="12.75" customHeight="1" x14ac:dyDescent="0.2">
      <c r="A264" s="355" t="s">
        <v>388</v>
      </c>
      <c r="B264" s="286" t="s">
        <v>69</v>
      </c>
      <c r="C264" s="345" t="s">
        <v>15</v>
      </c>
      <c r="D264" s="346" t="s">
        <v>15</v>
      </c>
      <c r="E264" s="346" t="s">
        <v>15</v>
      </c>
      <c r="F264" s="346" t="s">
        <v>15</v>
      </c>
      <c r="G264" s="346" t="s">
        <v>15</v>
      </c>
      <c r="H264" s="346" t="s">
        <v>15</v>
      </c>
      <c r="I264" s="346" t="s">
        <v>15</v>
      </c>
      <c r="J264" s="346">
        <v>176223.69</v>
      </c>
      <c r="K264" s="346">
        <v>135213.29999999999</v>
      </c>
      <c r="L264" s="346">
        <v>106412.88</v>
      </c>
      <c r="M264" s="346">
        <v>128135.05</v>
      </c>
      <c r="N264" s="346">
        <v>159345.4</v>
      </c>
      <c r="O264" s="347">
        <v>705330.32</v>
      </c>
    </row>
    <row r="265" spans="1:16" s="322" customFormat="1" ht="13.5" customHeight="1" x14ac:dyDescent="0.2">
      <c r="A265" s="355" t="s">
        <v>436</v>
      </c>
      <c r="B265" s="286" t="s">
        <v>69</v>
      </c>
      <c r="C265" s="319" t="s">
        <v>15</v>
      </c>
      <c r="D265" s="320" t="s">
        <v>15</v>
      </c>
      <c r="E265" s="320" t="s">
        <v>15</v>
      </c>
      <c r="F265" s="320" t="s">
        <v>15</v>
      </c>
      <c r="G265" s="320" t="s">
        <v>15</v>
      </c>
      <c r="H265" s="320" t="s">
        <v>15</v>
      </c>
      <c r="I265" s="320" t="s">
        <v>15</v>
      </c>
      <c r="J265" s="320" t="s">
        <v>15</v>
      </c>
      <c r="K265" s="320" t="s">
        <v>15</v>
      </c>
      <c r="L265" s="320" t="s">
        <v>15</v>
      </c>
      <c r="M265" s="320" t="s">
        <v>15</v>
      </c>
      <c r="N265" s="320">
        <v>1268.8599999999999</v>
      </c>
      <c r="O265" s="321">
        <v>1268.8599999999999</v>
      </c>
      <c r="P265" s="2"/>
    </row>
    <row r="266" spans="1:16" s="322" customFormat="1" ht="12.75" customHeight="1" x14ac:dyDescent="0.2">
      <c r="A266" s="355" t="s">
        <v>389</v>
      </c>
      <c r="B266" s="286" t="s">
        <v>69</v>
      </c>
      <c r="C266" s="345" t="s">
        <v>15</v>
      </c>
      <c r="D266" s="346" t="s">
        <v>15</v>
      </c>
      <c r="E266" s="346" t="s">
        <v>15</v>
      </c>
      <c r="F266" s="346" t="s">
        <v>15</v>
      </c>
      <c r="G266" s="346" t="s">
        <v>15</v>
      </c>
      <c r="H266" s="346" t="s">
        <v>15</v>
      </c>
      <c r="I266" s="346" t="s">
        <v>15</v>
      </c>
      <c r="J266" s="346">
        <v>28041.25</v>
      </c>
      <c r="K266" s="346">
        <v>23555.06</v>
      </c>
      <c r="L266" s="346">
        <v>28740.18</v>
      </c>
      <c r="M266" s="346">
        <v>33958.03</v>
      </c>
      <c r="N266" s="346">
        <v>271779.59999999998</v>
      </c>
      <c r="O266" s="347">
        <v>386074.12</v>
      </c>
    </row>
    <row r="267" spans="1:16" s="322" customFormat="1" ht="12.75" customHeight="1" x14ac:dyDescent="0.2">
      <c r="A267" s="355" t="s">
        <v>390</v>
      </c>
      <c r="B267" s="286" t="s">
        <v>69</v>
      </c>
      <c r="C267" s="345" t="s">
        <v>15</v>
      </c>
      <c r="D267" s="346" t="s">
        <v>15</v>
      </c>
      <c r="E267" s="346" t="s">
        <v>15</v>
      </c>
      <c r="F267" s="346" t="s">
        <v>15</v>
      </c>
      <c r="G267" s="346" t="s">
        <v>15</v>
      </c>
      <c r="H267" s="346" t="s">
        <v>15</v>
      </c>
      <c r="I267" s="346" t="s">
        <v>15</v>
      </c>
      <c r="J267" s="346">
        <v>23566.3</v>
      </c>
      <c r="K267" s="346">
        <v>29699.33</v>
      </c>
      <c r="L267" s="346">
        <v>14032.95</v>
      </c>
      <c r="M267" s="346">
        <v>25614.16</v>
      </c>
      <c r="N267" s="346">
        <v>54405.98</v>
      </c>
      <c r="O267" s="347">
        <v>147318.72</v>
      </c>
    </row>
    <row r="268" spans="1:16" s="322" customFormat="1" ht="12.75" customHeight="1" x14ac:dyDescent="0.2">
      <c r="A268" s="355" t="s">
        <v>391</v>
      </c>
      <c r="B268" s="286" t="s">
        <v>69</v>
      </c>
      <c r="C268" s="345" t="s">
        <v>15</v>
      </c>
      <c r="D268" s="346" t="s">
        <v>15</v>
      </c>
      <c r="E268" s="346" t="s">
        <v>15</v>
      </c>
      <c r="F268" s="346" t="s">
        <v>15</v>
      </c>
      <c r="G268" s="346" t="s">
        <v>15</v>
      </c>
      <c r="H268" s="346" t="s">
        <v>15</v>
      </c>
      <c r="I268" s="346" t="s">
        <v>15</v>
      </c>
      <c r="J268" s="346">
        <v>941.85</v>
      </c>
      <c r="K268" s="346">
        <v>406.45</v>
      </c>
      <c r="L268" s="346">
        <v>890.92</v>
      </c>
      <c r="M268" s="346">
        <v>859.81</v>
      </c>
      <c r="N268" s="346">
        <v>806.12</v>
      </c>
      <c r="O268" s="347">
        <v>3905.1499999999996</v>
      </c>
    </row>
    <row r="269" spans="1:16" s="322" customFormat="1" ht="12.75" customHeight="1" x14ac:dyDescent="0.2">
      <c r="A269" s="355" t="s">
        <v>392</v>
      </c>
      <c r="B269" s="286" t="s">
        <v>69</v>
      </c>
      <c r="C269" s="345" t="s">
        <v>15</v>
      </c>
      <c r="D269" s="346" t="s">
        <v>15</v>
      </c>
      <c r="E269" s="346" t="s">
        <v>15</v>
      </c>
      <c r="F269" s="346" t="s">
        <v>15</v>
      </c>
      <c r="G269" s="346" t="s">
        <v>15</v>
      </c>
      <c r="H269" s="346" t="s">
        <v>15</v>
      </c>
      <c r="I269" s="346" t="s">
        <v>15</v>
      </c>
      <c r="J269" s="346">
        <v>12696.14</v>
      </c>
      <c r="K269" s="346">
        <v>6173.04</v>
      </c>
      <c r="L269" s="346">
        <v>10235.629999999999</v>
      </c>
      <c r="M269" s="346">
        <v>11590.33</v>
      </c>
      <c r="N269" s="346">
        <v>13741.56</v>
      </c>
      <c r="O269" s="347">
        <v>54436.7</v>
      </c>
    </row>
    <row r="270" spans="1:16" s="322" customFormat="1" ht="12.75" customHeight="1" x14ac:dyDescent="0.2">
      <c r="A270" s="355" t="s">
        <v>393</v>
      </c>
      <c r="B270" s="286" t="s">
        <v>69</v>
      </c>
      <c r="C270" s="345" t="s">
        <v>15</v>
      </c>
      <c r="D270" s="346" t="s">
        <v>15</v>
      </c>
      <c r="E270" s="346" t="s">
        <v>15</v>
      </c>
      <c r="F270" s="346" t="s">
        <v>15</v>
      </c>
      <c r="G270" s="346" t="s">
        <v>15</v>
      </c>
      <c r="H270" s="346" t="s">
        <v>15</v>
      </c>
      <c r="I270" s="346" t="s">
        <v>15</v>
      </c>
      <c r="J270" s="346">
        <v>166976.59</v>
      </c>
      <c r="K270" s="346">
        <v>33440.31</v>
      </c>
      <c r="L270" s="346">
        <v>71597.460000000006</v>
      </c>
      <c r="M270" s="346">
        <v>108774.01</v>
      </c>
      <c r="N270" s="346">
        <v>132902.45000000001</v>
      </c>
      <c r="O270" s="347">
        <v>513690.82000000007</v>
      </c>
    </row>
    <row r="271" spans="1:16" s="322" customFormat="1" ht="12.75" customHeight="1" x14ac:dyDescent="0.2">
      <c r="A271" s="355" t="s">
        <v>394</v>
      </c>
      <c r="B271" s="286" t="s">
        <v>69</v>
      </c>
      <c r="C271" s="345" t="s">
        <v>15</v>
      </c>
      <c r="D271" s="346" t="s">
        <v>15</v>
      </c>
      <c r="E271" s="346" t="s">
        <v>15</v>
      </c>
      <c r="F271" s="346" t="s">
        <v>15</v>
      </c>
      <c r="G271" s="346" t="s">
        <v>15</v>
      </c>
      <c r="H271" s="346" t="s">
        <v>15</v>
      </c>
      <c r="I271" s="346" t="s">
        <v>15</v>
      </c>
      <c r="J271" s="346">
        <v>14834.5</v>
      </c>
      <c r="K271" s="346">
        <v>21535.14</v>
      </c>
      <c r="L271" s="346">
        <v>16190.39</v>
      </c>
      <c r="M271" s="346">
        <v>19682.72</v>
      </c>
      <c r="N271" s="346">
        <v>49995.67</v>
      </c>
      <c r="O271" s="347">
        <v>122238.42</v>
      </c>
    </row>
    <row r="272" spans="1:16" s="322" customFormat="1" ht="12.75" customHeight="1" x14ac:dyDescent="0.2">
      <c r="A272" s="355" t="s">
        <v>395</v>
      </c>
      <c r="B272" s="286" t="s">
        <v>69</v>
      </c>
      <c r="C272" s="345" t="s">
        <v>15</v>
      </c>
      <c r="D272" s="346" t="s">
        <v>15</v>
      </c>
      <c r="E272" s="346" t="s">
        <v>15</v>
      </c>
      <c r="F272" s="346" t="s">
        <v>15</v>
      </c>
      <c r="G272" s="346" t="s">
        <v>15</v>
      </c>
      <c r="H272" s="346" t="s">
        <v>15</v>
      </c>
      <c r="I272" s="346" t="s">
        <v>15</v>
      </c>
      <c r="J272" s="346">
        <v>3257.65</v>
      </c>
      <c r="K272" s="346">
        <v>460.28</v>
      </c>
      <c r="L272" s="346">
        <v>5725.6</v>
      </c>
      <c r="M272" s="346">
        <v>4159.57</v>
      </c>
      <c r="N272" s="346">
        <v>13043.19</v>
      </c>
      <c r="O272" s="347">
        <v>26646.29</v>
      </c>
    </row>
    <row r="273" spans="1:15" s="322" customFormat="1" ht="12.75" customHeight="1" x14ac:dyDescent="0.2">
      <c r="A273" s="355" t="s">
        <v>396</v>
      </c>
      <c r="B273" s="286" t="s">
        <v>69</v>
      </c>
      <c r="C273" s="345" t="s">
        <v>15</v>
      </c>
      <c r="D273" s="346" t="s">
        <v>15</v>
      </c>
      <c r="E273" s="346" t="s">
        <v>15</v>
      </c>
      <c r="F273" s="346" t="s">
        <v>15</v>
      </c>
      <c r="G273" s="346" t="s">
        <v>15</v>
      </c>
      <c r="H273" s="346" t="s">
        <v>15</v>
      </c>
      <c r="I273" s="346" t="s">
        <v>15</v>
      </c>
      <c r="J273" s="346">
        <v>45838.81</v>
      </c>
      <c r="K273" s="346">
        <v>34655.97</v>
      </c>
      <c r="L273" s="346">
        <v>248414.88</v>
      </c>
      <c r="M273" s="346">
        <v>55407.73</v>
      </c>
      <c r="N273" s="346">
        <v>71753.97</v>
      </c>
      <c r="O273" s="347">
        <v>456071.36</v>
      </c>
    </row>
    <row r="274" spans="1:15" s="322" customFormat="1" ht="12.75" customHeight="1" x14ac:dyDescent="0.2">
      <c r="A274" s="355" t="s">
        <v>397</v>
      </c>
      <c r="B274" s="286" t="s">
        <v>69</v>
      </c>
      <c r="C274" s="345" t="s">
        <v>15</v>
      </c>
      <c r="D274" s="346" t="s">
        <v>15</v>
      </c>
      <c r="E274" s="346" t="s">
        <v>15</v>
      </c>
      <c r="F274" s="346" t="s">
        <v>15</v>
      </c>
      <c r="G274" s="346" t="s">
        <v>15</v>
      </c>
      <c r="H274" s="346" t="s">
        <v>15</v>
      </c>
      <c r="I274" s="346" t="s">
        <v>15</v>
      </c>
      <c r="J274" s="346">
        <v>70847.17</v>
      </c>
      <c r="K274" s="346">
        <v>11709.91</v>
      </c>
      <c r="L274" s="346">
        <v>48558.05</v>
      </c>
      <c r="M274" s="346">
        <v>54062.64</v>
      </c>
      <c r="N274" s="346">
        <v>133091.1</v>
      </c>
      <c r="O274" s="347">
        <v>318268.87</v>
      </c>
    </row>
    <row r="275" spans="1:15" s="322" customFormat="1" ht="12.75" customHeight="1" x14ac:dyDescent="0.2">
      <c r="A275" s="354" t="s">
        <v>375</v>
      </c>
      <c r="B275" s="286" t="s">
        <v>69</v>
      </c>
      <c r="C275" s="345" t="s">
        <v>15</v>
      </c>
      <c r="D275" s="346" t="s">
        <v>15</v>
      </c>
      <c r="E275" s="346" t="s">
        <v>15</v>
      </c>
      <c r="F275" s="346" t="s">
        <v>15</v>
      </c>
      <c r="G275" s="346" t="s">
        <v>15</v>
      </c>
      <c r="H275" s="346" t="s">
        <v>15</v>
      </c>
      <c r="I275" s="346" t="s">
        <v>15</v>
      </c>
      <c r="J275" s="346">
        <v>-74487.48</v>
      </c>
      <c r="K275" s="346">
        <v>-14931.58</v>
      </c>
      <c r="L275" s="346">
        <v>-529810.84</v>
      </c>
      <c r="M275" s="346">
        <v>112966.77</v>
      </c>
      <c r="N275" s="346">
        <v>60213.63</v>
      </c>
      <c r="O275" s="347">
        <f>SUM(C275:N275)</f>
        <v>-446049.49999999988</v>
      </c>
    </row>
    <row r="276" spans="1:15" s="322" customFormat="1" ht="12.75" customHeight="1" x14ac:dyDescent="0.2">
      <c r="A276" s="354" t="s">
        <v>376</v>
      </c>
      <c r="B276" s="286" t="s">
        <v>69</v>
      </c>
      <c r="C276" s="345" t="s">
        <v>15</v>
      </c>
      <c r="D276" s="346" t="s">
        <v>15</v>
      </c>
      <c r="E276" s="346" t="s">
        <v>15</v>
      </c>
      <c r="F276" s="346" t="s">
        <v>15</v>
      </c>
      <c r="G276" s="346" t="s">
        <v>15</v>
      </c>
      <c r="H276" s="346" t="s">
        <v>15</v>
      </c>
      <c r="I276" s="346" t="s">
        <v>15</v>
      </c>
      <c r="J276" s="346">
        <v>2.11</v>
      </c>
      <c r="K276" s="346" t="s">
        <v>15</v>
      </c>
      <c r="L276" s="346" t="s">
        <v>15</v>
      </c>
      <c r="M276" s="346" t="s">
        <v>15</v>
      </c>
      <c r="N276" s="346" t="s">
        <v>15</v>
      </c>
      <c r="O276" s="347">
        <f>SUM(C276:N276)</f>
        <v>2.11</v>
      </c>
    </row>
    <row r="277" spans="1:15" s="322" customFormat="1" ht="12.75" customHeight="1" x14ac:dyDescent="0.2">
      <c r="A277" s="318" t="s">
        <v>320</v>
      </c>
      <c r="B277" s="286" t="s">
        <v>69</v>
      </c>
      <c r="C277" s="345">
        <v>-1373.48</v>
      </c>
      <c r="D277" s="346">
        <v>2381.37</v>
      </c>
      <c r="E277" s="346">
        <v>2041.13</v>
      </c>
      <c r="F277" s="346">
        <v>-1998.62</v>
      </c>
      <c r="G277" s="346">
        <v>6113.84</v>
      </c>
      <c r="H277" s="346">
        <v>19324.45</v>
      </c>
      <c r="I277" s="346">
        <v>3477.27</v>
      </c>
      <c r="J277" s="346">
        <v>23793.200000000001</v>
      </c>
      <c r="K277" s="346">
        <v>7968.33</v>
      </c>
      <c r="L277" s="346">
        <v>-10890.52</v>
      </c>
      <c r="M277" s="346">
        <v>11575.19</v>
      </c>
      <c r="N277" s="346">
        <v>-3025.06</v>
      </c>
      <c r="O277" s="347">
        <f>SUM(C277:N277)</f>
        <v>59387.100000000006</v>
      </c>
    </row>
    <row r="278" spans="1:15" s="322" customFormat="1" ht="12.75" customHeight="1" x14ac:dyDescent="0.2">
      <c r="A278" s="318" t="s">
        <v>321</v>
      </c>
      <c r="B278" s="286" t="s">
        <v>69</v>
      </c>
      <c r="C278" s="345">
        <v>9.52</v>
      </c>
      <c r="D278" s="346">
        <v>3837.9100000000003</v>
      </c>
      <c r="E278" s="346" t="s">
        <v>15</v>
      </c>
      <c r="F278" s="346" t="s">
        <v>15</v>
      </c>
      <c r="G278" s="346" t="s">
        <v>15</v>
      </c>
      <c r="H278" s="346" t="s">
        <v>15</v>
      </c>
      <c r="I278" s="346" t="s">
        <v>15</v>
      </c>
      <c r="J278" s="346" t="s">
        <v>15</v>
      </c>
      <c r="K278" s="346" t="s">
        <v>15</v>
      </c>
      <c r="L278" s="346" t="s">
        <v>15</v>
      </c>
      <c r="M278" s="346" t="s">
        <v>15</v>
      </c>
      <c r="N278" s="346" t="s">
        <v>15</v>
      </c>
      <c r="O278" s="347">
        <f>SUM(C278:N278)</f>
        <v>3847.4300000000003</v>
      </c>
    </row>
    <row r="279" spans="1:15" s="290" customFormat="1" ht="12.75" customHeight="1" x14ac:dyDescent="0.2">
      <c r="A279" s="285" t="s">
        <v>266</v>
      </c>
      <c r="B279" s="286" t="s">
        <v>69</v>
      </c>
      <c r="C279" s="345">
        <v>1113.29</v>
      </c>
      <c r="D279" s="346">
        <v>1117.92</v>
      </c>
      <c r="E279" s="346" t="s">
        <v>15</v>
      </c>
      <c r="F279" s="346" t="s">
        <v>15</v>
      </c>
      <c r="G279" s="346" t="s">
        <v>15</v>
      </c>
      <c r="H279" s="346" t="s">
        <v>15</v>
      </c>
      <c r="I279" s="346" t="s">
        <v>15</v>
      </c>
      <c r="J279" s="346" t="s">
        <v>15</v>
      </c>
      <c r="K279" s="346" t="s">
        <v>15</v>
      </c>
      <c r="L279" s="346" t="s">
        <v>15</v>
      </c>
      <c r="M279" s="346" t="s">
        <v>15</v>
      </c>
      <c r="N279" s="346" t="s">
        <v>15</v>
      </c>
      <c r="O279" s="347">
        <f>SUM(C279:N279)</f>
        <v>2231.21</v>
      </c>
    </row>
    <row r="280" spans="1:15" s="290" customFormat="1" ht="12.75" customHeight="1" x14ac:dyDescent="0.2">
      <c r="A280" s="285" t="s">
        <v>314</v>
      </c>
      <c r="B280" s="286" t="s">
        <v>69</v>
      </c>
      <c r="C280" s="345">
        <v>1269.57</v>
      </c>
      <c r="D280" s="346">
        <v>1252.3800000000001</v>
      </c>
      <c r="E280" s="346">
        <v>1236.6400000000001</v>
      </c>
      <c r="F280" s="346">
        <v>1189.4000000000001</v>
      </c>
      <c r="G280" s="346">
        <v>1135.0999999999999</v>
      </c>
      <c r="H280" s="346" t="s">
        <v>15</v>
      </c>
      <c r="I280" s="346">
        <v>2154.0700000000002</v>
      </c>
      <c r="J280" s="346">
        <v>1113.08</v>
      </c>
      <c r="K280" s="346">
        <v>1121.78</v>
      </c>
      <c r="L280" s="346">
        <v>1103.54</v>
      </c>
      <c r="M280" s="346">
        <v>-12206.52</v>
      </c>
      <c r="N280" s="346" t="s">
        <v>15</v>
      </c>
      <c r="O280" s="347">
        <f>SUM(C280:N280)</f>
        <v>-630.95999999999913</v>
      </c>
    </row>
    <row r="281" spans="1:15" s="290" customFormat="1" ht="12.75" customHeight="1" x14ac:dyDescent="0.2">
      <c r="A281" s="285" t="s">
        <v>297</v>
      </c>
      <c r="B281" s="286" t="s">
        <v>69</v>
      </c>
      <c r="C281" s="345">
        <v>8931.07</v>
      </c>
      <c r="D281" s="346">
        <v>3002.1800000000003</v>
      </c>
      <c r="E281" s="346" t="s">
        <v>15</v>
      </c>
      <c r="F281" s="346" t="s">
        <v>15</v>
      </c>
      <c r="G281" s="346" t="s">
        <v>15</v>
      </c>
      <c r="H281" s="346" t="s">
        <v>15</v>
      </c>
      <c r="I281" s="346" t="s">
        <v>15</v>
      </c>
      <c r="J281" s="346" t="s">
        <v>15</v>
      </c>
      <c r="K281" s="346" t="s">
        <v>15</v>
      </c>
      <c r="L281" s="346" t="s">
        <v>15</v>
      </c>
      <c r="M281" s="346" t="s">
        <v>15</v>
      </c>
      <c r="N281" s="346" t="s">
        <v>15</v>
      </c>
      <c r="O281" s="347">
        <f>SUM(C281:N281)</f>
        <v>11933.25</v>
      </c>
    </row>
    <row r="282" spans="1:15" s="290" customFormat="1" ht="13.5" customHeight="1" x14ac:dyDescent="0.2">
      <c r="A282" s="285" t="s">
        <v>323</v>
      </c>
      <c r="B282" s="286" t="s">
        <v>69</v>
      </c>
      <c r="C282" s="345" t="s">
        <v>15</v>
      </c>
      <c r="D282" s="346" t="s">
        <v>15</v>
      </c>
      <c r="E282" s="346" t="s">
        <v>15</v>
      </c>
      <c r="F282" s="346">
        <v>-19253.259999999998</v>
      </c>
      <c r="G282" s="346" t="s">
        <v>15</v>
      </c>
      <c r="H282" s="346" t="s">
        <v>15</v>
      </c>
      <c r="I282" s="346" t="s">
        <v>15</v>
      </c>
      <c r="J282" s="346" t="s">
        <v>15</v>
      </c>
      <c r="K282" s="346" t="s">
        <v>15</v>
      </c>
      <c r="L282" s="346">
        <v>2228.56</v>
      </c>
      <c r="M282" s="346" t="s">
        <v>15</v>
      </c>
      <c r="N282" s="346" t="s">
        <v>15</v>
      </c>
      <c r="O282" s="347">
        <f>SUM(C282:N282)</f>
        <v>-17024.699999999997</v>
      </c>
    </row>
    <row r="283" spans="1:15" s="290" customFormat="1" ht="12.75" customHeight="1" x14ac:dyDescent="0.2">
      <c r="A283" s="285" t="s">
        <v>315</v>
      </c>
      <c r="B283" s="286" t="s">
        <v>69</v>
      </c>
      <c r="C283" s="345">
        <v>225.67</v>
      </c>
      <c r="D283" s="346">
        <v>1062.53</v>
      </c>
      <c r="E283" s="346" t="s">
        <v>15</v>
      </c>
      <c r="F283" s="346" t="s">
        <v>15</v>
      </c>
      <c r="G283" s="346" t="s">
        <v>15</v>
      </c>
      <c r="H283" s="346" t="s">
        <v>15</v>
      </c>
      <c r="I283" s="346" t="s">
        <v>15</v>
      </c>
      <c r="J283" s="346" t="s">
        <v>15</v>
      </c>
      <c r="K283" s="346" t="s">
        <v>15</v>
      </c>
      <c r="L283" s="346" t="s">
        <v>15</v>
      </c>
      <c r="M283" s="346" t="s">
        <v>15</v>
      </c>
      <c r="N283" s="346" t="s">
        <v>15</v>
      </c>
      <c r="O283" s="347">
        <f>SUM(C283:N283)</f>
        <v>1288.2</v>
      </c>
    </row>
    <row r="284" spans="1:15" s="290" customFormat="1" ht="12.75" customHeight="1" x14ac:dyDescent="0.2">
      <c r="A284" s="285" t="s">
        <v>310</v>
      </c>
      <c r="B284" s="286" t="s">
        <v>69</v>
      </c>
      <c r="C284" s="345" t="s">
        <v>15</v>
      </c>
      <c r="D284" s="346" t="s">
        <v>15</v>
      </c>
      <c r="E284" s="346" t="s">
        <v>15</v>
      </c>
      <c r="F284" s="346" t="s">
        <v>15</v>
      </c>
      <c r="G284" s="346" t="s">
        <v>15</v>
      </c>
      <c r="H284" s="346" t="s">
        <v>15</v>
      </c>
      <c r="I284" s="346" t="s">
        <v>15</v>
      </c>
      <c r="J284" s="346" t="s">
        <v>15</v>
      </c>
      <c r="K284" s="346" t="s">
        <v>15</v>
      </c>
      <c r="L284" s="346" t="s">
        <v>15</v>
      </c>
      <c r="M284" s="346" t="s">
        <v>15</v>
      </c>
      <c r="N284" s="346" t="s">
        <v>15</v>
      </c>
      <c r="O284" s="347">
        <f>SUM(C284:N284)</f>
        <v>0</v>
      </c>
    </row>
    <row r="285" spans="1:15" s="290" customFormat="1" ht="12.75" customHeight="1" x14ac:dyDescent="0.2">
      <c r="A285" s="285" t="s">
        <v>267</v>
      </c>
      <c r="B285" s="286" t="s">
        <v>69</v>
      </c>
      <c r="C285" s="345" t="s">
        <v>15</v>
      </c>
      <c r="D285" s="346">
        <v>20.63</v>
      </c>
      <c r="E285" s="346">
        <v>20.37</v>
      </c>
      <c r="F285" s="346">
        <v>-19.59</v>
      </c>
      <c r="G285" s="346">
        <v>3219.04</v>
      </c>
      <c r="H285" s="346">
        <v>-103.22</v>
      </c>
      <c r="I285" s="346">
        <v>608.52</v>
      </c>
      <c r="J285" s="346" t="s">
        <v>15</v>
      </c>
      <c r="K285" s="346" t="s">
        <v>15</v>
      </c>
      <c r="L285" s="346" t="s">
        <v>15</v>
      </c>
      <c r="M285" s="346" t="s">
        <v>15</v>
      </c>
      <c r="N285" s="346" t="s">
        <v>15</v>
      </c>
      <c r="O285" s="347">
        <f>SUM(C285:N285)</f>
        <v>3745.75</v>
      </c>
    </row>
    <row r="286" spans="1:15" s="290" customFormat="1" ht="12.75" customHeight="1" x14ac:dyDescent="0.2">
      <c r="A286" s="285" t="s">
        <v>268</v>
      </c>
      <c r="B286" s="286" t="s">
        <v>69</v>
      </c>
      <c r="C286" s="345">
        <v>36283.269999999997</v>
      </c>
      <c r="D286" s="346">
        <v>48275.15</v>
      </c>
      <c r="E286" s="346">
        <v>84202.75</v>
      </c>
      <c r="F286" s="346">
        <v>-15882.32</v>
      </c>
      <c r="G286" s="346">
        <v>38017.1</v>
      </c>
      <c r="H286" s="346">
        <v>20591.240000000002</v>
      </c>
      <c r="I286" s="346">
        <v>32588.51</v>
      </c>
      <c r="J286" s="346" t="s">
        <v>15</v>
      </c>
      <c r="K286" s="346" t="s">
        <v>15</v>
      </c>
      <c r="L286" s="346" t="s">
        <v>15</v>
      </c>
      <c r="M286" s="346" t="s">
        <v>15</v>
      </c>
      <c r="N286" s="346" t="s">
        <v>15</v>
      </c>
      <c r="O286" s="347">
        <f>SUM(C286:N286)</f>
        <v>244075.69999999998</v>
      </c>
    </row>
    <row r="287" spans="1:15" s="290" customFormat="1" ht="12.75" customHeight="1" x14ac:dyDescent="0.2">
      <c r="A287" s="285" t="s">
        <v>269</v>
      </c>
      <c r="B287" s="286" t="s">
        <v>69</v>
      </c>
      <c r="C287" s="345" t="s">
        <v>15</v>
      </c>
      <c r="D287" s="346" t="s">
        <v>15</v>
      </c>
      <c r="E287" s="346" t="s">
        <v>15</v>
      </c>
      <c r="F287" s="346">
        <v>224425.33</v>
      </c>
      <c r="G287" s="346">
        <v>278625.96000000002</v>
      </c>
      <c r="H287" s="346">
        <v>-110122.92</v>
      </c>
      <c r="I287" s="346">
        <v>-4987.38</v>
      </c>
      <c r="J287" s="346">
        <v>-365273.99</v>
      </c>
      <c r="K287" s="346" t="s">
        <v>15</v>
      </c>
      <c r="L287" s="346" t="s">
        <v>15</v>
      </c>
      <c r="M287" s="346" t="s">
        <v>15</v>
      </c>
      <c r="N287" s="346" t="s">
        <v>15</v>
      </c>
      <c r="O287" s="347">
        <f>SUM(C287:N287)</f>
        <v>22667.000000000058</v>
      </c>
    </row>
    <row r="288" spans="1:15" s="290" customFormat="1" ht="12.75" customHeight="1" x14ac:dyDescent="0.2">
      <c r="A288" s="285" t="s">
        <v>270</v>
      </c>
      <c r="B288" s="286" t="s">
        <v>69</v>
      </c>
      <c r="C288" s="345">
        <v>213926.26</v>
      </c>
      <c r="D288" s="346">
        <v>263417.53000000003</v>
      </c>
      <c r="E288" s="346">
        <v>438918.71</v>
      </c>
      <c r="F288" s="346">
        <v>-48912.84</v>
      </c>
      <c r="G288" s="346">
        <v>242987.53</v>
      </c>
      <c r="H288" s="346">
        <v>80119.149999999994</v>
      </c>
      <c r="I288" s="346">
        <v>248363.03</v>
      </c>
      <c r="J288" s="346" t="s">
        <v>15</v>
      </c>
      <c r="K288" s="346" t="s">
        <v>15</v>
      </c>
      <c r="L288" s="346" t="s">
        <v>15</v>
      </c>
      <c r="M288" s="346" t="s">
        <v>15</v>
      </c>
      <c r="N288" s="346" t="s">
        <v>15</v>
      </c>
      <c r="O288" s="347">
        <f>SUM(C288:N288)</f>
        <v>1438819.3699999999</v>
      </c>
    </row>
    <row r="289" spans="1:15" s="290" customFormat="1" ht="12.75" customHeight="1" x14ac:dyDescent="0.2">
      <c r="A289" s="285" t="s">
        <v>271</v>
      </c>
      <c r="B289" s="286" t="s">
        <v>69</v>
      </c>
      <c r="C289" s="345">
        <v>27036.74</v>
      </c>
      <c r="D289" s="346">
        <v>40784.33</v>
      </c>
      <c r="E289" s="346">
        <v>29471.31</v>
      </c>
      <c r="F289" s="346">
        <v>-22137.68</v>
      </c>
      <c r="G289" s="346">
        <v>26337.18</v>
      </c>
      <c r="H289" s="346">
        <v>22430.69</v>
      </c>
      <c r="I289" s="346">
        <v>13682.06</v>
      </c>
      <c r="J289" s="346" t="s">
        <v>15</v>
      </c>
      <c r="K289" s="346" t="s">
        <v>15</v>
      </c>
      <c r="L289" s="346" t="s">
        <v>15</v>
      </c>
      <c r="M289" s="346" t="s">
        <v>15</v>
      </c>
      <c r="N289" s="346" t="s">
        <v>15</v>
      </c>
      <c r="O289" s="347">
        <f>SUM(C289:N289)</f>
        <v>137604.63</v>
      </c>
    </row>
    <row r="290" spans="1:15" s="290" customFormat="1" ht="12.75" customHeight="1" x14ac:dyDescent="0.2">
      <c r="A290" s="285" t="s">
        <v>272</v>
      </c>
      <c r="B290" s="286" t="s">
        <v>69</v>
      </c>
      <c r="C290" s="345">
        <v>69308.259999999995</v>
      </c>
      <c r="D290" s="346">
        <v>113511.08</v>
      </c>
      <c r="E290" s="346">
        <v>185842.27</v>
      </c>
      <c r="F290" s="346">
        <v>-38073.480000000003</v>
      </c>
      <c r="G290" s="346">
        <v>73400.240000000005</v>
      </c>
      <c r="H290" s="346">
        <v>79277.81</v>
      </c>
      <c r="I290" s="346">
        <v>46773.83</v>
      </c>
      <c r="J290" s="346" t="s">
        <v>15</v>
      </c>
      <c r="K290" s="346" t="s">
        <v>15</v>
      </c>
      <c r="L290" s="346" t="s">
        <v>15</v>
      </c>
      <c r="M290" s="346" t="s">
        <v>15</v>
      </c>
      <c r="N290" s="346" t="s">
        <v>15</v>
      </c>
      <c r="O290" s="347">
        <f>SUM(C290:N290)</f>
        <v>530040.01</v>
      </c>
    </row>
    <row r="291" spans="1:15" s="290" customFormat="1" ht="12.75" customHeight="1" x14ac:dyDescent="0.2">
      <c r="A291" s="285" t="s">
        <v>273</v>
      </c>
      <c r="B291" s="286" t="s">
        <v>69</v>
      </c>
      <c r="C291" s="345">
        <v>26727.9</v>
      </c>
      <c r="D291" s="346">
        <v>35470.769999999997</v>
      </c>
      <c r="E291" s="346">
        <v>59436.85</v>
      </c>
      <c r="F291" s="346">
        <v>-8699.8700000000008</v>
      </c>
      <c r="G291" s="346">
        <v>21786.49</v>
      </c>
      <c r="H291" s="346">
        <v>23341.51</v>
      </c>
      <c r="I291" s="346">
        <v>22240.66</v>
      </c>
      <c r="J291" s="346" t="s">
        <v>15</v>
      </c>
      <c r="K291" s="346" t="s">
        <v>15</v>
      </c>
      <c r="L291" s="346" t="s">
        <v>15</v>
      </c>
      <c r="M291" s="346" t="s">
        <v>15</v>
      </c>
      <c r="N291" s="346" t="s">
        <v>15</v>
      </c>
      <c r="O291" s="347">
        <f>SUM(C291:N291)</f>
        <v>180304.31</v>
      </c>
    </row>
    <row r="292" spans="1:15" s="290" customFormat="1" ht="12.75" customHeight="1" x14ac:dyDescent="0.2">
      <c r="A292" s="285" t="s">
        <v>274</v>
      </c>
      <c r="B292" s="286" t="s">
        <v>69</v>
      </c>
      <c r="C292" s="345">
        <v>202283.17</v>
      </c>
      <c r="D292" s="346">
        <v>278021.18</v>
      </c>
      <c r="E292" s="346">
        <v>484176.09</v>
      </c>
      <c r="F292" s="346">
        <v>-83419.539999999994</v>
      </c>
      <c r="G292" s="346">
        <v>226205.69</v>
      </c>
      <c r="H292" s="346">
        <v>187713.1</v>
      </c>
      <c r="I292" s="346">
        <v>162116.22</v>
      </c>
      <c r="J292" s="346" t="s">
        <v>15</v>
      </c>
      <c r="K292" s="346" t="s">
        <v>15</v>
      </c>
      <c r="L292" s="346" t="s">
        <v>15</v>
      </c>
      <c r="M292" s="346" t="s">
        <v>15</v>
      </c>
      <c r="N292" s="346" t="s">
        <v>15</v>
      </c>
      <c r="O292" s="347">
        <f>SUM(C292:N292)</f>
        <v>1457095.91</v>
      </c>
    </row>
    <row r="293" spans="1:15" s="290" customFormat="1" ht="12.75" customHeight="1" x14ac:dyDescent="0.2">
      <c r="A293" s="285" t="s">
        <v>275</v>
      </c>
      <c r="B293" s="286" t="s">
        <v>69</v>
      </c>
      <c r="C293" s="345">
        <v>186297.71</v>
      </c>
      <c r="D293" s="346">
        <v>267900.76</v>
      </c>
      <c r="E293" s="346">
        <v>435054.97</v>
      </c>
      <c r="F293" s="346">
        <v>-301630.33</v>
      </c>
      <c r="G293" s="346">
        <v>133561.13</v>
      </c>
      <c r="H293" s="346">
        <v>120679.61</v>
      </c>
      <c r="I293" s="346">
        <v>115784.99</v>
      </c>
      <c r="J293" s="346" t="s">
        <v>15</v>
      </c>
      <c r="K293" s="346" t="s">
        <v>15</v>
      </c>
      <c r="L293" s="346" t="s">
        <v>15</v>
      </c>
      <c r="M293" s="346" t="s">
        <v>15</v>
      </c>
      <c r="N293" s="346" t="s">
        <v>15</v>
      </c>
      <c r="O293" s="347">
        <f>SUM(C293:N293)</f>
        <v>957648.83999999985</v>
      </c>
    </row>
    <row r="294" spans="1:15" customFormat="1" ht="14.25" x14ac:dyDescent="0.2">
      <c r="A294" s="260" t="s">
        <v>367</v>
      </c>
      <c r="B294" s="286" t="s">
        <v>69</v>
      </c>
      <c r="C294" s="345" t="s">
        <v>15</v>
      </c>
      <c r="D294" s="346" t="s">
        <v>15</v>
      </c>
      <c r="E294" s="346" t="s">
        <v>15</v>
      </c>
      <c r="F294" s="346" t="s">
        <v>15</v>
      </c>
      <c r="G294" s="346">
        <v>-214179.58</v>
      </c>
      <c r="H294" s="346" t="s">
        <v>15</v>
      </c>
      <c r="I294" s="346" t="s">
        <v>15</v>
      </c>
      <c r="J294" s="346" t="s">
        <v>15</v>
      </c>
      <c r="K294" s="346" t="s">
        <v>15</v>
      </c>
      <c r="L294" s="346" t="s">
        <v>15</v>
      </c>
      <c r="M294" s="346" t="s">
        <v>15</v>
      </c>
      <c r="N294" s="346" t="s">
        <v>15</v>
      </c>
      <c r="O294" s="347">
        <f>SUM(C294:N294)</f>
        <v>-214179.58</v>
      </c>
    </row>
    <row r="295" spans="1:15" s="290" customFormat="1" ht="12.75" customHeight="1" x14ac:dyDescent="0.2">
      <c r="A295" s="285" t="s">
        <v>276</v>
      </c>
      <c r="B295" s="286" t="s">
        <v>69</v>
      </c>
      <c r="C295" s="345">
        <v>6127.5</v>
      </c>
      <c r="D295" s="346">
        <v>8770.16</v>
      </c>
      <c r="E295" s="346">
        <v>12809.41</v>
      </c>
      <c r="F295" s="346">
        <v>-1321.44</v>
      </c>
      <c r="G295" s="346">
        <v>2750.18</v>
      </c>
      <c r="H295" s="346">
        <v>6766.38</v>
      </c>
      <c r="I295" s="346">
        <v>4443.8999999999996</v>
      </c>
      <c r="J295" s="346" t="s">
        <v>15</v>
      </c>
      <c r="K295" s="346" t="s">
        <v>15</v>
      </c>
      <c r="L295" s="346" t="s">
        <v>15</v>
      </c>
      <c r="M295" s="346" t="s">
        <v>15</v>
      </c>
      <c r="N295" s="346" t="s">
        <v>15</v>
      </c>
      <c r="O295" s="347">
        <f>SUM(C295:N295)</f>
        <v>40346.090000000004</v>
      </c>
    </row>
    <row r="296" spans="1:15" s="290" customFormat="1" ht="12.75" customHeight="1" x14ac:dyDescent="0.2">
      <c r="A296" s="285" t="s">
        <v>277</v>
      </c>
      <c r="B296" s="286" t="s">
        <v>69</v>
      </c>
      <c r="C296" s="345" t="s">
        <v>15</v>
      </c>
      <c r="D296" s="346" t="s">
        <v>15</v>
      </c>
      <c r="E296" s="346" t="s">
        <v>15</v>
      </c>
      <c r="F296" s="346" t="s">
        <v>15</v>
      </c>
      <c r="G296" s="346" t="s">
        <v>15</v>
      </c>
      <c r="H296" s="346" t="s">
        <v>15</v>
      </c>
      <c r="I296" s="346" t="s">
        <v>15</v>
      </c>
      <c r="J296" s="346" t="s">
        <v>15</v>
      </c>
      <c r="K296" s="346" t="s">
        <v>15</v>
      </c>
      <c r="L296" s="346" t="s">
        <v>15</v>
      </c>
      <c r="M296" s="346" t="s">
        <v>15</v>
      </c>
      <c r="N296" s="346" t="s">
        <v>15</v>
      </c>
      <c r="O296" s="347">
        <f>SUM(C296:N296)</f>
        <v>0</v>
      </c>
    </row>
    <row r="297" spans="1:15" s="290" customFormat="1" ht="12.75" customHeight="1" x14ac:dyDescent="0.2">
      <c r="A297" s="285" t="s">
        <v>278</v>
      </c>
      <c r="B297" s="286" t="s">
        <v>69</v>
      </c>
      <c r="C297" s="345">
        <v>125873.56</v>
      </c>
      <c r="D297" s="346">
        <v>147593</v>
      </c>
      <c r="E297" s="346">
        <v>283746.11</v>
      </c>
      <c r="F297" s="346">
        <v>-32644.6</v>
      </c>
      <c r="G297" s="346">
        <v>116147.2</v>
      </c>
      <c r="H297" s="346">
        <v>75917.95</v>
      </c>
      <c r="I297" s="346">
        <v>135030.01999999999</v>
      </c>
      <c r="J297" s="346" t="s">
        <v>15</v>
      </c>
      <c r="K297" s="346" t="s">
        <v>15</v>
      </c>
      <c r="L297" s="346" t="s">
        <v>15</v>
      </c>
      <c r="M297" s="346" t="s">
        <v>15</v>
      </c>
      <c r="N297" s="346" t="s">
        <v>15</v>
      </c>
      <c r="O297" s="347">
        <f>SUM(C297:N297)</f>
        <v>851663.23999999987</v>
      </c>
    </row>
    <row r="298" spans="1:15" s="290" customFormat="1" ht="12.75" customHeight="1" x14ac:dyDescent="0.2">
      <c r="A298" s="285" t="s">
        <v>279</v>
      </c>
      <c r="B298" s="286" t="s">
        <v>69</v>
      </c>
      <c r="C298" s="345">
        <v>28093.41</v>
      </c>
      <c r="D298" s="346">
        <v>24134.46</v>
      </c>
      <c r="E298" s="346">
        <v>54647.18</v>
      </c>
      <c r="F298" s="346">
        <v>6708.59</v>
      </c>
      <c r="G298" s="346">
        <v>22134.36</v>
      </c>
      <c r="H298" s="346">
        <v>45117.81</v>
      </c>
      <c r="I298" s="346">
        <v>-1887.47</v>
      </c>
      <c r="J298" s="346" t="s">
        <v>15</v>
      </c>
      <c r="K298" s="346" t="s">
        <v>15</v>
      </c>
      <c r="L298" s="346" t="s">
        <v>15</v>
      </c>
      <c r="M298" s="346" t="s">
        <v>15</v>
      </c>
      <c r="N298" s="346" t="s">
        <v>15</v>
      </c>
      <c r="O298" s="347">
        <f>SUM(C298:N298)</f>
        <v>178948.34</v>
      </c>
    </row>
    <row r="299" spans="1:15" s="290" customFormat="1" ht="12.75" customHeight="1" x14ac:dyDescent="0.2">
      <c r="A299" s="285" t="s">
        <v>280</v>
      </c>
      <c r="B299" s="286" t="s">
        <v>69</v>
      </c>
      <c r="C299" s="345">
        <v>12820.82</v>
      </c>
      <c r="D299" s="346">
        <v>18113.650000000001</v>
      </c>
      <c r="E299" s="346">
        <v>35140.61</v>
      </c>
      <c r="F299" s="346">
        <v>-1915.58</v>
      </c>
      <c r="G299" s="346">
        <v>63906.64</v>
      </c>
      <c r="H299" s="346">
        <v>11457.18</v>
      </c>
      <c r="I299" s="346">
        <v>13705.45</v>
      </c>
      <c r="J299" s="346" t="s">
        <v>15</v>
      </c>
      <c r="K299" s="346" t="s">
        <v>15</v>
      </c>
      <c r="L299" s="346" t="s">
        <v>15</v>
      </c>
      <c r="M299" s="346" t="s">
        <v>15</v>
      </c>
      <c r="N299" s="346" t="s">
        <v>15</v>
      </c>
      <c r="O299" s="347">
        <f>SUM(C299:N299)</f>
        <v>153228.77000000002</v>
      </c>
    </row>
    <row r="300" spans="1:15" s="290" customFormat="1" ht="12.75" customHeight="1" x14ac:dyDescent="0.2">
      <c r="A300" s="285" t="s">
        <v>281</v>
      </c>
      <c r="B300" s="286" t="s">
        <v>69</v>
      </c>
      <c r="C300" s="345" t="s">
        <v>15</v>
      </c>
      <c r="D300" s="346" t="s">
        <v>15</v>
      </c>
      <c r="E300" s="346" t="s">
        <v>15</v>
      </c>
      <c r="F300" s="346">
        <v>371.68</v>
      </c>
      <c r="G300" s="346">
        <v>191.15</v>
      </c>
      <c r="H300" s="346">
        <v>258.8</v>
      </c>
      <c r="I300" s="346">
        <v>471.13</v>
      </c>
      <c r="J300" s="346" t="s">
        <v>15</v>
      </c>
      <c r="K300" s="346" t="s">
        <v>15</v>
      </c>
      <c r="L300" s="346" t="s">
        <v>15</v>
      </c>
      <c r="M300" s="346" t="s">
        <v>15</v>
      </c>
      <c r="N300" s="346" t="s">
        <v>15</v>
      </c>
      <c r="O300" s="347">
        <f>SUM(C300:N300)</f>
        <v>1292.7600000000002</v>
      </c>
    </row>
    <row r="301" spans="1:15" s="290" customFormat="1" ht="12.75" customHeight="1" x14ac:dyDescent="0.2">
      <c r="A301" s="285" t="s">
        <v>282</v>
      </c>
      <c r="B301" s="286" t="s">
        <v>69</v>
      </c>
      <c r="C301" s="345">
        <v>12115.65</v>
      </c>
      <c r="D301" s="346">
        <v>15351.48</v>
      </c>
      <c r="E301" s="346">
        <v>24586.26</v>
      </c>
      <c r="F301" s="346">
        <v>-3447.17</v>
      </c>
      <c r="G301" s="346">
        <v>13264.76</v>
      </c>
      <c r="H301" s="346">
        <v>9537.93</v>
      </c>
      <c r="I301" s="346">
        <v>12399.44</v>
      </c>
      <c r="J301" s="346" t="s">
        <v>15</v>
      </c>
      <c r="K301" s="346" t="s">
        <v>15</v>
      </c>
      <c r="L301" s="346" t="s">
        <v>15</v>
      </c>
      <c r="M301" s="346" t="s">
        <v>15</v>
      </c>
      <c r="N301" s="346" t="s">
        <v>15</v>
      </c>
      <c r="O301" s="347">
        <f>SUM(C301:N301)</f>
        <v>83808.350000000006</v>
      </c>
    </row>
    <row r="302" spans="1:15" s="290" customFormat="1" ht="12.75" customHeight="1" x14ac:dyDescent="0.2">
      <c r="A302" s="285" t="s">
        <v>283</v>
      </c>
      <c r="B302" s="286" t="s">
        <v>69</v>
      </c>
      <c r="C302" s="345">
        <v>72920.240000000005</v>
      </c>
      <c r="D302" s="346">
        <v>72757.55</v>
      </c>
      <c r="E302" s="346">
        <v>191146.1</v>
      </c>
      <c r="F302" s="346">
        <v>14300.19</v>
      </c>
      <c r="G302" s="346">
        <v>79341.100000000006</v>
      </c>
      <c r="H302" s="346">
        <v>97110.7</v>
      </c>
      <c r="I302" s="346">
        <v>46267.73</v>
      </c>
      <c r="J302" s="346" t="s">
        <v>15</v>
      </c>
      <c r="K302" s="346" t="s">
        <v>15</v>
      </c>
      <c r="L302" s="346" t="s">
        <v>15</v>
      </c>
      <c r="M302" s="346" t="s">
        <v>15</v>
      </c>
      <c r="N302" s="346" t="s">
        <v>15</v>
      </c>
      <c r="O302" s="347">
        <f>SUM(C302:N302)</f>
        <v>573843.61</v>
      </c>
    </row>
    <row r="303" spans="1:15" s="290" customFormat="1" ht="12.75" customHeight="1" x14ac:dyDescent="0.2">
      <c r="A303" s="285" t="s">
        <v>284</v>
      </c>
      <c r="B303" s="286" t="s">
        <v>69</v>
      </c>
      <c r="C303" s="345">
        <v>16471.96</v>
      </c>
      <c r="D303" s="346">
        <v>14909.56</v>
      </c>
      <c r="E303" s="346">
        <v>26405</v>
      </c>
      <c r="F303" s="346">
        <v>2229.09</v>
      </c>
      <c r="G303" s="346">
        <v>10320.76</v>
      </c>
      <c r="H303" s="346">
        <v>13181.5</v>
      </c>
      <c r="I303" s="346">
        <v>8321.64</v>
      </c>
      <c r="J303" s="346" t="s">
        <v>15</v>
      </c>
      <c r="K303" s="346" t="s">
        <v>15</v>
      </c>
      <c r="L303" s="346" t="s">
        <v>15</v>
      </c>
      <c r="M303" s="346" t="s">
        <v>15</v>
      </c>
      <c r="N303" s="346" t="s">
        <v>15</v>
      </c>
      <c r="O303" s="347">
        <f>SUM(C303:N303)</f>
        <v>91839.51</v>
      </c>
    </row>
    <row r="304" spans="1:15" s="290" customFormat="1" ht="12.75" customHeight="1" x14ac:dyDescent="0.2">
      <c r="A304" s="285" t="s">
        <v>285</v>
      </c>
      <c r="B304" s="286" t="s">
        <v>69</v>
      </c>
      <c r="C304" s="345">
        <v>6525.69</v>
      </c>
      <c r="D304" s="346">
        <v>1552.78</v>
      </c>
      <c r="E304" s="346">
        <v>5643.87</v>
      </c>
      <c r="F304" s="346">
        <v>3766.34</v>
      </c>
      <c r="G304" s="346">
        <v>4229.78</v>
      </c>
      <c r="H304" s="346">
        <v>2433.63</v>
      </c>
      <c r="I304" s="346">
        <v>-5076.13</v>
      </c>
      <c r="J304" s="346" t="s">
        <v>15</v>
      </c>
      <c r="K304" s="346" t="s">
        <v>15</v>
      </c>
      <c r="L304" s="346" t="s">
        <v>15</v>
      </c>
      <c r="M304" s="346" t="s">
        <v>15</v>
      </c>
      <c r="N304" s="346" t="s">
        <v>15</v>
      </c>
      <c r="O304" s="347">
        <f>SUM(C304:N304)</f>
        <v>19075.96</v>
      </c>
    </row>
    <row r="305" spans="1:15" s="290" customFormat="1" ht="12.75" customHeight="1" x14ac:dyDescent="0.2">
      <c r="A305" s="285" t="s">
        <v>286</v>
      </c>
      <c r="B305" s="286" t="s">
        <v>69</v>
      </c>
      <c r="C305" s="345">
        <v>39770.61</v>
      </c>
      <c r="D305" s="346">
        <v>51189.58</v>
      </c>
      <c r="E305" s="346">
        <v>89875.36</v>
      </c>
      <c r="F305" s="346">
        <v>-11443.92</v>
      </c>
      <c r="G305" s="346">
        <v>47229.71</v>
      </c>
      <c r="H305" s="346">
        <v>40612.980000000003</v>
      </c>
      <c r="I305" s="346">
        <v>34532.050000000003</v>
      </c>
      <c r="J305" s="346" t="s">
        <v>15</v>
      </c>
      <c r="K305" s="346" t="s">
        <v>15</v>
      </c>
      <c r="L305" s="346" t="s">
        <v>15</v>
      </c>
      <c r="M305" s="346" t="s">
        <v>15</v>
      </c>
      <c r="N305" s="346" t="s">
        <v>15</v>
      </c>
      <c r="O305" s="347">
        <f>SUM(C305:N305)</f>
        <v>291766.37</v>
      </c>
    </row>
    <row r="306" spans="1:15" s="290" customFormat="1" ht="12.75" customHeight="1" x14ac:dyDescent="0.2">
      <c r="A306" s="285" t="s">
        <v>298</v>
      </c>
      <c r="B306" s="286" t="s">
        <v>69</v>
      </c>
      <c r="C306" s="345">
        <v>7393.98</v>
      </c>
      <c r="D306" s="346">
        <v>6681.94</v>
      </c>
      <c r="E306" s="346">
        <v>116076.17</v>
      </c>
      <c r="F306" s="346">
        <v>-102998.97</v>
      </c>
      <c r="G306" s="346">
        <v>112195.3</v>
      </c>
      <c r="H306" s="346">
        <v>-115122.27</v>
      </c>
      <c r="I306" s="346">
        <v>-108291.37</v>
      </c>
      <c r="J306" s="346">
        <v>152193.65</v>
      </c>
      <c r="K306" s="346">
        <v>172219.31</v>
      </c>
      <c r="L306" s="346">
        <v>118754.97</v>
      </c>
      <c r="M306" s="346">
        <v>83029.509999999995</v>
      </c>
      <c r="N306" s="346">
        <v>-34576.879999999997</v>
      </c>
      <c r="O306" s="347">
        <f>SUM(C306:N306)</f>
        <v>407555.33999999997</v>
      </c>
    </row>
    <row r="307" spans="1:15" s="290" customFormat="1" ht="12.75" customHeight="1" x14ac:dyDescent="0.2">
      <c r="A307" s="285" t="s">
        <v>287</v>
      </c>
      <c r="B307" s="286" t="s">
        <v>69</v>
      </c>
      <c r="C307" s="345">
        <v>345913.29</v>
      </c>
      <c r="D307" s="346">
        <v>109827.24</v>
      </c>
      <c r="E307" s="346">
        <v>-1263269.05</v>
      </c>
      <c r="F307" s="346">
        <v>1743173.4</v>
      </c>
      <c r="G307" s="346">
        <v>368625.77</v>
      </c>
      <c r="H307" s="346">
        <v>209779.20000000001</v>
      </c>
      <c r="I307" s="346">
        <v>196406.2</v>
      </c>
      <c r="J307" s="346">
        <v>475681.03</v>
      </c>
      <c r="K307" s="346">
        <v>835903.65</v>
      </c>
      <c r="L307" s="346">
        <v>265117.53999999998</v>
      </c>
      <c r="M307" s="346">
        <v>250789.05</v>
      </c>
      <c r="N307" s="346">
        <v>358050.51</v>
      </c>
      <c r="O307" s="347">
        <f>SUM(C307:N307)</f>
        <v>3895997.83</v>
      </c>
    </row>
    <row r="308" spans="1:15" s="290" customFormat="1" ht="12.75" customHeight="1" x14ac:dyDescent="0.2">
      <c r="A308" s="285" t="s">
        <v>288</v>
      </c>
      <c r="B308" s="286" t="s">
        <v>69</v>
      </c>
      <c r="C308" s="345">
        <v>76657.600000000006</v>
      </c>
      <c r="D308" s="346">
        <v>180863.11</v>
      </c>
      <c r="E308" s="346">
        <v>14436.86</v>
      </c>
      <c r="F308" s="346">
        <v>218189.92</v>
      </c>
      <c r="G308" s="346">
        <v>137991.78</v>
      </c>
      <c r="H308" s="346">
        <v>177131.43</v>
      </c>
      <c r="I308" s="346">
        <v>141791.65</v>
      </c>
      <c r="J308" s="346">
        <v>184712.5</v>
      </c>
      <c r="K308" s="346">
        <v>178044.35</v>
      </c>
      <c r="L308" s="346">
        <v>64890.27</v>
      </c>
      <c r="M308" s="346">
        <v>269837.63</v>
      </c>
      <c r="N308" s="346">
        <v>256571.16</v>
      </c>
      <c r="O308" s="347">
        <f>SUM(C308:N308)</f>
        <v>1901118.26</v>
      </c>
    </row>
    <row r="309" spans="1:15" s="290" customFormat="1" ht="12.75" customHeight="1" x14ac:dyDescent="0.2">
      <c r="A309" s="285" t="s">
        <v>289</v>
      </c>
      <c r="B309" s="286" t="s">
        <v>69</v>
      </c>
      <c r="C309" s="345">
        <v>53577.48</v>
      </c>
      <c r="D309" s="346">
        <v>85529.72</v>
      </c>
      <c r="E309" s="346">
        <v>123818.1</v>
      </c>
      <c r="F309" s="346">
        <v>-28029</v>
      </c>
      <c r="G309" s="346">
        <v>60857.83</v>
      </c>
      <c r="H309" s="346">
        <v>46260.66</v>
      </c>
      <c r="I309" s="346">
        <v>47807.73</v>
      </c>
      <c r="J309" s="346">
        <v>365273.99</v>
      </c>
      <c r="K309" s="346">
        <v>-339853.5</v>
      </c>
      <c r="L309" s="346" t="s">
        <v>15</v>
      </c>
      <c r="M309" s="346" t="s">
        <v>15</v>
      </c>
      <c r="N309" s="346" t="s">
        <v>15</v>
      </c>
      <c r="O309" s="347">
        <f>SUM(C309:N309)</f>
        <v>415243.01</v>
      </c>
    </row>
    <row r="310" spans="1:15" ht="12.75" customHeight="1" x14ac:dyDescent="0.2">
      <c r="A310" s="12" t="s">
        <v>203</v>
      </c>
      <c r="B310" s="10" t="s">
        <v>192</v>
      </c>
      <c r="C310" s="333" t="s">
        <v>15</v>
      </c>
      <c r="D310" s="11" t="s">
        <v>15</v>
      </c>
      <c r="E310" s="11" t="s">
        <v>15</v>
      </c>
      <c r="F310" s="11" t="s">
        <v>15</v>
      </c>
      <c r="G310" s="11" t="s">
        <v>15</v>
      </c>
      <c r="H310" s="11" t="s">
        <v>15</v>
      </c>
      <c r="I310" s="11">
        <v>129727.54</v>
      </c>
      <c r="J310" s="357">
        <v>-48196.930000000008</v>
      </c>
      <c r="K310" s="11">
        <v>-31764.670000000002</v>
      </c>
      <c r="L310" s="11">
        <v>9192.8900000000012</v>
      </c>
      <c r="M310" s="11">
        <v>13263.84</v>
      </c>
      <c r="N310" s="11">
        <v>14082.02</v>
      </c>
      <c r="O310" s="337">
        <f>SUM(C310:N310)</f>
        <v>86304.689999999988</v>
      </c>
    </row>
    <row r="311" spans="1:15" ht="12.75" customHeight="1" x14ac:dyDescent="0.2">
      <c r="A311" s="12" t="s">
        <v>203</v>
      </c>
      <c r="B311" s="10" t="s">
        <v>194</v>
      </c>
      <c r="C311" s="333" t="s">
        <v>15</v>
      </c>
      <c r="D311" s="11" t="s">
        <v>15</v>
      </c>
      <c r="E311" s="11" t="s">
        <v>15</v>
      </c>
      <c r="F311" s="11" t="s">
        <v>15</v>
      </c>
      <c r="G311" s="11" t="s">
        <v>15</v>
      </c>
      <c r="H311" s="11" t="s">
        <v>15</v>
      </c>
      <c r="I311" s="11" t="s">
        <v>15</v>
      </c>
      <c r="J311" s="357" t="s">
        <v>15</v>
      </c>
      <c r="K311" s="11" t="s">
        <v>15</v>
      </c>
      <c r="L311" s="11" t="s">
        <v>15</v>
      </c>
      <c r="M311" s="11" t="s">
        <v>15</v>
      </c>
      <c r="N311" s="11" t="s">
        <v>15</v>
      </c>
      <c r="O311" s="333">
        <f>SUM(C311:N311)</f>
        <v>0</v>
      </c>
    </row>
    <row r="312" spans="1:15" ht="12.75" customHeight="1" x14ac:dyDescent="0.2">
      <c r="A312" s="12" t="s">
        <v>300</v>
      </c>
      <c r="B312" s="10" t="s">
        <v>194</v>
      </c>
      <c r="C312" s="333">
        <v>470.14</v>
      </c>
      <c r="D312" s="11">
        <v>373.93</v>
      </c>
      <c r="E312" s="11">
        <v>1081.03</v>
      </c>
      <c r="F312" s="339">
        <v>96.52</v>
      </c>
      <c r="G312" s="11">
        <v>1136.8900000000001</v>
      </c>
      <c r="H312" s="11">
        <v>2470.06</v>
      </c>
      <c r="I312" s="11">
        <v>2193.8000000000002</v>
      </c>
      <c r="J312" s="357">
        <v>3808.63</v>
      </c>
      <c r="K312" s="11">
        <v>4600.0600000000004</v>
      </c>
      <c r="L312" s="11">
        <v>2982.39</v>
      </c>
      <c r="M312" s="11">
        <v>7837.33</v>
      </c>
      <c r="N312" s="11">
        <v>-7561.79</v>
      </c>
      <c r="O312" s="333">
        <f>SUM(C312:N312)</f>
        <v>19488.989999999998</v>
      </c>
    </row>
    <row r="313" spans="1:15" ht="12.75" customHeight="1" x14ac:dyDescent="0.2">
      <c r="A313" s="12" t="s">
        <v>203</v>
      </c>
      <c r="B313" s="10" t="s">
        <v>189</v>
      </c>
      <c r="C313" s="333" t="s">
        <v>15</v>
      </c>
      <c r="D313" s="11" t="s">
        <v>15</v>
      </c>
      <c r="E313" s="11" t="s">
        <v>15</v>
      </c>
      <c r="F313" s="11" t="s">
        <v>15</v>
      </c>
      <c r="G313" s="11" t="s">
        <v>15</v>
      </c>
      <c r="H313" s="11" t="s">
        <v>15</v>
      </c>
      <c r="I313" s="11">
        <v>23464.51</v>
      </c>
      <c r="J313" s="11">
        <v>18249.37</v>
      </c>
      <c r="K313" s="11">
        <v>9817.52</v>
      </c>
      <c r="L313" s="11">
        <v>9529.94</v>
      </c>
      <c r="M313" s="11">
        <v>13263.84</v>
      </c>
      <c r="N313" s="11">
        <v>14192.82</v>
      </c>
      <c r="O313" s="333">
        <f>SUM(C313:N313)</f>
        <v>88518</v>
      </c>
    </row>
    <row r="314" spans="1:15" ht="12.75" customHeight="1" x14ac:dyDescent="0.2">
      <c r="A314" s="12" t="s">
        <v>203</v>
      </c>
      <c r="B314" s="10" t="s">
        <v>252</v>
      </c>
      <c r="C314" s="333">
        <v>229532.61</v>
      </c>
      <c r="D314" s="11">
        <v>248704.31999999998</v>
      </c>
      <c r="E314" s="11">
        <v>108843.01000000001</v>
      </c>
      <c r="F314" s="11">
        <v>169408.81999999998</v>
      </c>
      <c r="G314" s="11">
        <v>248055.71</v>
      </c>
      <c r="H314" s="11">
        <v>157479.55000000002</v>
      </c>
      <c r="I314" s="333">
        <v>83659.840000000011</v>
      </c>
      <c r="J314" s="333">
        <v>139258.63</v>
      </c>
      <c r="K314" s="333">
        <v>95753.38</v>
      </c>
      <c r="L314" s="333">
        <v>128324.17</v>
      </c>
      <c r="M314" s="333">
        <v>68469.39</v>
      </c>
      <c r="N314" s="333">
        <v>95995.37</v>
      </c>
      <c r="O314" s="337">
        <f>SUM(C314:N314)</f>
        <v>1773484.7999999993</v>
      </c>
    </row>
    <row r="315" spans="1:15" ht="12.75" customHeight="1" x14ac:dyDescent="0.2">
      <c r="A315" s="12" t="s">
        <v>203</v>
      </c>
      <c r="B315" s="10" t="s">
        <v>190</v>
      </c>
      <c r="C315" s="333" t="s">
        <v>15</v>
      </c>
      <c r="D315" s="11" t="s">
        <v>15</v>
      </c>
      <c r="E315" s="11" t="s">
        <v>15</v>
      </c>
      <c r="F315" s="339" t="s">
        <v>15</v>
      </c>
      <c r="G315" s="11" t="s">
        <v>15</v>
      </c>
      <c r="H315" s="333" t="s">
        <v>15</v>
      </c>
      <c r="I315" s="333" t="s">
        <v>15</v>
      </c>
      <c r="J315" s="357" t="s">
        <v>15</v>
      </c>
      <c r="K315" s="11" t="s">
        <v>15</v>
      </c>
      <c r="L315" s="11" t="s">
        <v>15</v>
      </c>
      <c r="M315" s="11" t="s">
        <v>15</v>
      </c>
      <c r="N315" s="11" t="s">
        <v>15</v>
      </c>
      <c r="O315" s="333">
        <f>SUM(C315:N315)</f>
        <v>0</v>
      </c>
    </row>
    <row r="316" spans="1:15" ht="12.75" customHeight="1" x14ac:dyDescent="0.2">
      <c r="A316" s="12" t="s">
        <v>300</v>
      </c>
      <c r="B316" s="10" t="s">
        <v>190</v>
      </c>
      <c r="C316" s="333">
        <v>44794.22</v>
      </c>
      <c r="D316" s="11">
        <v>42090.06</v>
      </c>
      <c r="E316" s="11">
        <v>-9790.34</v>
      </c>
      <c r="F316" s="339">
        <v>418.81</v>
      </c>
      <c r="G316" s="11">
        <v>41855.629999999997</v>
      </c>
      <c r="H316" s="333">
        <v>11441.49</v>
      </c>
      <c r="I316" s="358">
        <v>44040.12</v>
      </c>
      <c r="J316" s="358">
        <v>20275.349999999999</v>
      </c>
      <c r="K316" s="358">
        <v>17197.98</v>
      </c>
      <c r="L316" s="359">
        <v>11497.86</v>
      </c>
      <c r="M316" s="11">
        <v>9726.9500000000007</v>
      </c>
      <c r="N316" s="11">
        <v>6284.78</v>
      </c>
      <c r="O316" s="333">
        <f>SUM(C316:N316)</f>
        <v>239832.91000000006</v>
      </c>
    </row>
    <row r="317" spans="1:15" ht="12.75" customHeight="1" x14ac:dyDescent="0.2">
      <c r="A317" s="12" t="s">
        <v>203</v>
      </c>
      <c r="B317" s="10" t="s">
        <v>191</v>
      </c>
      <c r="C317" s="333">
        <v>228849.61</v>
      </c>
      <c r="D317" s="11">
        <v>248036.74</v>
      </c>
      <c r="E317" s="11">
        <v>108256.07</v>
      </c>
      <c r="F317" s="339">
        <v>160522.18</v>
      </c>
      <c r="G317" s="11">
        <v>247587.77</v>
      </c>
      <c r="H317" s="11">
        <v>139277.72</v>
      </c>
      <c r="I317" s="358">
        <v>104231.72</v>
      </c>
      <c r="J317" s="358">
        <v>140220</v>
      </c>
      <c r="K317" s="358">
        <v>99014.77</v>
      </c>
      <c r="L317" s="359">
        <v>129663.9</v>
      </c>
      <c r="M317" s="11">
        <v>68435.039999999994</v>
      </c>
      <c r="N317" s="11">
        <v>95995.37</v>
      </c>
      <c r="O317" s="333">
        <f>SUM(C317:N317)</f>
        <v>1770090.8899999997</v>
      </c>
    </row>
    <row r="318" spans="1:15" ht="12.75" customHeight="1" x14ac:dyDescent="0.2">
      <c r="A318" s="12" t="s">
        <v>203</v>
      </c>
      <c r="B318" s="10" t="s">
        <v>351</v>
      </c>
      <c r="C318" s="333" t="s">
        <v>15</v>
      </c>
      <c r="D318" s="11" t="s">
        <v>15</v>
      </c>
      <c r="E318" s="11" t="s">
        <v>15</v>
      </c>
      <c r="F318" s="339">
        <v>8352.18</v>
      </c>
      <c r="G318" s="11" t="s">
        <v>15</v>
      </c>
      <c r="H318" s="11">
        <v>18130.41</v>
      </c>
      <c r="I318" s="358">
        <v>-20607.98</v>
      </c>
      <c r="J318" s="358">
        <v>-1035.52</v>
      </c>
      <c r="K318" s="358">
        <v>-3297.8</v>
      </c>
      <c r="L318" s="359">
        <v>-1343.59</v>
      </c>
      <c r="M318" s="11" t="s">
        <v>15</v>
      </c>
      <c r="N318" s="11" t="s">
        <v>15</v>
      </c>
      <c r="O318" s="333">
        <f>SUM(C318:N318)</f>
        <v>197.70000000000005</v>
      </c>
    </row>
    <row r="319" spans="1:15" ht="12.75" customHeight="1" x14ac:dyDescent="0.2">
      <c r="A319" s="12" t="s">
        <v>203</v>
      </c>
      <c r="B319" s="10" t="s">
        <v>193</v>
      </c>
      <c r="C319" s="333" t="s">
        <v>15</v>
      </c>
      <c r="D319" s="11" t="s">
        <v>15</v>
      </c>
      <c r="E319" s="11" t="s">
        <v>15</v>
      </c>
      <c r="F319" s="11" t="s">
        <v>15</v>
      </c>
      <c r="G319" s="11" t="s">
        <v>15</v>
      </c>
      <c r="H319" s="11" t="s">
        <v>15</v>
      </c>
      <c r="I319" s="11" t="s">
        <v>15</v>
      </c>
      <c r="J319" s="357" t="s">
        <v>15</v>
      </c>
      <c r="K319" s="11" t="s">
        <v>15</v>
      </c>
      <c r="L319" s="11" t="s">
        <v>15</v>
      </c>
      <c r="M319" s="11" t="s">
        <v>15</v>
      </c>
      <c r="N319" s="11" t="s">
        <v>15</v>
      </c>
      <c r="O319" s="337">
        <f>SUM(C319:N319)</f>
        <v>0</v>
      </c>
    </row>
    <row r="320" spans="1:15" ht="12.75" customHeight="1" x14ac:dyDescent="0.2">
      <c r="A320" s="168" t="s">
        <v>372</v>
      </c>
      <c r="B320" s="10" t="s">
        <v>69</v>
      </c>
      <c r="C320" s="30" t="s">
        <v>15</v>
      </c>
      <c r="D320" s="6" t="s">
        <v>15</v>
      </c>
      <c r="E320" s="6" t="s">
        <v>15</v>
      </c>
      <c r="F320" s="6" t="s">
        <v>15</v>
      </c>
      <c r="G320" s="30" t="s">
        <v>15</v>
      </c>
      <c r="H320" s="6" t="s">
        <v>15</v>
      </c>
      <c r="I320" s="6">
        <v>31905.47</v>
      </c>
      <c r="J320" s="6">
        <v>327.45</v>
      </c>
      <c r="K320" s="6">
        <v>5032.59</v>
      </c>
      <c r="L320" s="6">
        <v>2024.25</v>
      </c>
      <c r="M320" s="6">
        <v>41500.36</v>
      </c>
      <c r="N320" s="6">
        <v>14665.539999999999</v>
      </c>
      <c r="O320" s="35">
        <f>SUM(C320:N320)</f>
        <v>95455.659999999989</v>
      </c>
    </row>
    <row r="321" spans="1:16" s="1" customFormat="1" ht="12.75" customHeight="1" x14ac:dyDescent="0.25">
      <c r="A321" s="29" t="s">
        <v>183</v>
      </c>
      <c r="B321" s="9" t="s">
        <v>69</v>
      </c>
      <c r="C321" s="337" t="s">
        <v>15</v>
      </c>
      <c r="D321" s="336" t="s">
        <v>15</v>
      </c>
      <c r="E321" s="336" t="s">
        <v>15</v>
      </c>
      <c r="F321" s="336" t="s">
        <v>15</v>
      </c>
      <c r="G321" s="337" t="s">
        <v>15</v>
      </c>
      <c r="H321" s="336" t="s">
        <v>15</v>
      </c>
      <c r="I321" s="336" t="s">
        <v>15</v>
      </c>
      <c r="J321" s="336" t="s">
        <v>15</v>
      </c>
      <c r="K321" s="336" t="s">
        <v>15</v>
      </c>
      <c r="L321" s="336" t="s">
        <v>15</v>
      </c>
      <c r="M321" s="336" t="s">
        <v>15</v>
      </c>
      <c r="N321" s="336" t="s">
        <v>15</v>
      </c>
      <c r="O321" s="337">
        <f>SUM(C321:N321)</f>
        <v>0</v>
      </c>
    </row>
    <row r="322" spans="1:16" s="1" customFormat="1" ht="12.75" customHeight="1" x14ac:dyDescent="0.2">
      <c r="A322" s="373" t="s">
        <v>325</v>
      </c>
      <c r="B322" s="9" t="s">
        <v>69</v>
      </c>
      <c r="C322" s="337" t="s">
        <v>15</v>
      </c>
      <c r="D322" s="336" t="s">
        <v>15</v>
      </c>
      <c r="E322" s="336">
        <v>110.82</v>
      </c>
      <c r="F322" s="336">
        <v>85.33</v>
      </c>
      <c r="G322" s="337">
        <v>-196.15</v>
      </c>
      <c r="H322" s="336" t="s">
        <v>15</v>
      </c>
      <c r="I322" s="336" t="s">
        <v>15</v>
      </c>
      <c r="J322" s="336" t="s">
        <v>15</v>
      </c>
      <c r="K322" s="336">
        <v>28.55</v>
      </c>
      <c r="L322" s="336">
        <v>21.8</v>
      </c>
      <c r="M322" s="336" t="s">
        <v>15</v>
      </c>
      <c r="N322" s="336" t="s">
        <v>15</v>
      </c>
      <c r="O322" s="337">
        <f>SUM(C322:N322)</f>
        <v>50.349999999999973</v>
      </c>
    </row>
    <row r="323" spans="1:16" s="1" customFormat="1" ht="13.5" customHeight="1" x14ac:dyDescent="0.2">
      <c r="A323" s="9" t="s">
        <v>373</v>
      </c>
      <c r="B323" s="9" t="s">
        <v>69</v>
      </c>
      <c r="C323" s="8" t="s">
        <v>15</v>
      </c>
      <c r="D323" s="8" t="s">
        <v>15</v>
      </c>
      <c r="E323" s="8" t="s">
        <v>15</v>
      </c>
      <c r="F323" s="8" t="s">
        <v>15</v>
      </c>
      <c r="G323" s="8" t="s">
        <v>15</v>
      </c>
      <c r="H323" s="8">
        <v>155.91</v>
      </c>
      <c r="I323" s="8">
        <v>414.68</v>
      </c>
      <c r="J323" s="8" t="s">
        <v>15</v>
      </c>
      <c r="K323" s="8" t="s">
        <v>15</v>
      </c>
      <c r="L323" s="8" t="s">
        <v>15</v>
      </c>
      <c r="M323" s="8" t="s">
        <v>15</v>
      </c>
      <c r="N323" s="8" t="s">
        <v>15</v>
      </c>
      <c r="O323" s="8">
        <v>570.59</v>
      </c>
      <c r="P323" s="281"/>
    </row>
    <row r="324" spans="1:16" s="1" customFormat="1" ht="13.5" customHeight="1" x14ac:dyDescent="0.2">
      <c r="A324" s="9" t="s">
        <v>377</v>
      </c>
      <c r="B324" s="9" t="s">
        <v>69</v>
      </c>
      <c r="C324" s="8" t="s">
        <v>15</v>
      </c>
      <c r="D324" s="8" t="s">
        <v>15</v>
      </c>
      <c r="E324" s="8" t="s">
        <v>15</v>
      </c>
      <c r="F324" s="8" t="s">
        <v>15</v>
      </c>
      <c r="G324" s="8" t="s">
        <v>15</v>
      </c>
      <c r="H324" s="8" t="s">
        <v>15</v>
      </c>
      <c r="I324" s="8" t="s">
        <v>15</v>
      </c>
      <c r="J324" s="8">
        <v>172.48</v>
      </c>
      <c r="K324" s="8" t="s">
        <v>15</v>
      </c>
      <c r="L324" s="8" t="s">
        <v>15</v>
      </c>
      <c r="M324" s="8" t="s">
        <v>15</v>
      </c>
      <c r="N324" s="8" t="s">
        <v>15</v>
      </c>
      <c r="O324" s="8">
        <v>172.48</v>
      </c>
      <c r="P324" s="281"/>
    </row>
    <row r="325" spans="1:16" s="1" customFormat="1" ht="13.5" customHeight="1" x14ac:dyDescent="0.2">
      <c r="A325" s="356" t="s">
        <v>398</v>
      </c>
      <c r="B325" s="9" t="s">
        <v>69</v>
      </c>
      <c r="C325" s="8" t="s">
        <v>15</v>
      </c>
      <c r="D325" s="8" t="s">
        <v>15</v>
      </c>
      <c r="E325" s="8" t="s">
        <v>15</v>
      </c>
      <c r="F325" s="8" t="s">
        <v>15</v>
      </c>
      <c r="G325" s="8" t="s">
        <v>15</v>
      </c>
      <c r="H325" s="8" t="s">
        <v>15</v>
      </c>
      <c r="I325" s="8" t="s">
        <v>15</v>
      </c>
      <c r="J325" s="8">
        <v>1332.78</v>
      </c>
      <c r="K325" s="8" t="s">
        <v>15</v>
      </c>
      <c r="L325" s="8" t="s">
        <v>15</v>
      </c>
      <c r="M325" s="8" t="s">
        <v>15</v>
      </c>
      <c r="N325" s="8" t="s">
        <v>15</v>
      </c>
      <c r="O325" s="8">
        <v>1332.78</v>
      </c>
      <c r="P325" s="281"/>
    </row>
    <row r="326" spans="1:16" s="1" customFormat="1" ht="12.75" customHeight="1" x14ac:dyDescent="0.2">
      <c r="A326" s="9" t="s">
        <v>128</v>
      </c>
      <c r="B326" s="9" t="s">
        <v>69</v>
      </c>
      <c r="C326" s="336" t="s">
        <v>15</v>
      </c>
      <c r="D326" s="336" t="s">
        <v>15</v>
      </c>
      <c r="E326" s="336" t="s">
        <v>15</v>
      </c>
      <c r="F326" s="336" t="s">
        <v>15</v>
      </c>
      <c r="G326" s="336" t="s">
        <v>15</v>
      </c>
      <c r="H326" s="336" t="s">
        <v>15</v>
      </c>
      <c r="I326" s="336" t="s">
        <v>15</v>
      </c>
      <c r="J326" s="336" t="s">
        <v>15</v>
      </c>
      <c r="K326" s="336" t="s">
        <v>15</v>
      </c>
      <c r="L326" s="336" t="s">
        <v>15</v>
      </c>
      <c r="M326" s="336" t="s">
        <v>15</v>
      </c>
      <c r="N326" s="336" t="s">
        <v>15</v>
      </c>
      <c r="O326" s="337">
        <f>SUM(C326:N326)</f>
        <v>0</v>
      </c>
    </row>
    <row r="327" spans="1:16" s="1" customFormat="1" ht="12.75" customHeight="1" x14ac:dyDescent="0.2">
      <c r="A327" s="9" t="s">
        <v>184</v>
      </c>
      <c r="B327" s="9" t="s">
        <v>69</v>
      </c>
      <c r="C327" s="336" t="s">
        <v>15</v>
      </c>
      <c r="D327" s="336" t="s">
        <v>15</v>
      </c>
      <c r="E327" s="336" t="s">
        <v>15</v>
      </c>
      <c r="F327" s="336" t="s">
        <v>15</v>
      </c>
      <c r="G327" s="336" t="s">
        <v>15</v>
      </c>
      <c r="H327" s="336" t="s">
        <v>15</v>
      </c>
      <c r="I327" s="336" t="s">
        <v>15</v>
      </c>
      <c r="J327" s="336" t="s">
        <v>15</v>
      </c>
      <c r="K327" s="336" t="s">
        <v>15</v>
      </c>
      <c r="L327" s="336" t="s">
        <v>15</v>
      </c>
      <c r="M327" s="336" t="s">
        <v>15</v>
      </c>
      <c r="N327" s="336" t="s">
        <v>15</v>
      </c>
      <c r="O327" s="337">
        <f>SUM(C327:N327)</f>
        <v>0</v>
      </c>
    </row>
    <row r="328" spans="1:16" s="1" customFormat="1" ht="12.75" customHeight="1" x14ac:dyDescent="0.2">
      <c r="A328" s="9" t="s">
        <v>322</v>
      </c>
      <c r="B328" s="9" t="s">
        <v>69</v>
      </c>
      <c r="C328" s="336">
        <v>2743.45</v>
      </c>
      <c r="D328" s="336">
        <v>1402.8</v>
      </c>
      <c r="E328" s="336" t="s">
        <v>15</v>
      </c>
      <c r="F328" s="336">
        <v>201.02</v>
      </c>
      <c r="G328" s="336">
        <v>62.9</v>
      </c>
      <c r="H328" s="336">
        <v>84.94</v>
      </c>
      <c r="I328" s="336">
        <v>542.23</v>
      </c>
      <c r="J328" s="336">
        <v>990.66</v>
      </c>
      <c r="K328" s="336">
        <v>674.31</v>
      </c>
      <c r="L328" s="336">
        <v>578.66</v>
      </c>
      <c r="M328" s="336">
        <v>1396.19</v>
      </c>
      <c r="N328" s="336">
        <v>1237.79</v>
      </c>
      <c r="O328" s="337">
        <f>SUM(C328:N328)</f>
        <v>9914.9500000000007</v>
      </c>
    </row>
    <row r="329" spans="1:16" s="1" customFormat="1" ht="12.75" customHeight="1" x14ac:dyDescent="0.25">
      <c r="A329" s="374" t="s">
        <v>116</v>
      </c>
      <c r="B329" s="9" t="s">
        <v>69</v>
      </c>
      <c r="C329" s="337">
        <v>1311762.95</v>
      </c>
      <c r="D329" s="336">
        <v>1523110.5</v>
      </c>
      <c r="E329" s="336">
        <v>708996.16</v>
      </c>
      <c r="F329" s="336">
        <v>1011821.57</v>
      </c>
      <c r="G329" s="336">
        <v>1440582.68</v>
      </c>
      <c r="H329" s="336">
        <v>1244897.07</v>
      </c>
      <c r="I329" s="336">
        <v>1080602.72</v>
      </c>
      <c r="J329" s="336">
        <v>1271323.97</v>
      </c>
      <c r="K329" s="336">
        <v>1011197.69</v>
      </c>
      <c r="L329" s="336">
        <v>1221957.95</v>
      </c>
      <c r="M329" s="336">
        <v>840659.97</v>
      </c>
      <c r="N329" s="336">
        <v>910383.41</v>
      </c>
      <c r="O329" s="337">
        <f>SUM(C329:N329)</f>
        <v>13577296.640000001</v>
      </c>
    </row>
    <row r="330" spans="1:16" ht="12.75" customHeight="1" x14ac:dyDescent="0.25">
      <c r="A330" s="224" t="s">
        <v>327</v>
      </c>
      <c r="B330" s="10" t="s">
        <v>69</v>
      </c>
      <c r="C330" s="333" t="s">
        <v>15</v>
      </c>
      <c r="D330" s="11" t="s">
        <v>15</v>
      </c>
      <c r="E330" s="11" t="s">
        <v>15</v>
      </c>
      <c r="F330" s="11">
        <v>92.92</v>
      </c>
      <c r="G330" s="11">
        <v>20.53</v>
      </c>
      <c r="H330" s="11">
        <v>89.35</v>
      </c>
      <c r="I330" s="11">
        <v>179.8</v>
      </c>
      <c r="J330" s="11">
        <v>24.08</v>
      </c>
      <c r="K330" s="11">
        <v>22.84</v>
      </c>
      <c r="L330" s="11" t="s">
        <v>15</v>
      </c>
      <c r="M330" s="11" t="s">
        <v>15</v>
      </c>
      <c r="N330" s="11">
        <v>667.53</v>
      </c>
      <c r="O330" s="337">
        <f>SUM(C330:N330)</f>
        <v>1097.05</v>
      </c>
    </row>
    <row r="331" spans="1:16" ht="12.75" customHeight="1" x14ac:dyDescent="0.25">
      <c r="A331" s="224" t="s">
        <v>328</v>
      </c>
      <c r="B331" s="10" t="s">
        <v>69</v>
      </c>
      <c r="C331" s="333">
        <v>7412.08</v>
      </c>
      <c r="D331" s="11">
        <v>7797.87</v>
      </c>
      <c r="E331" s="11">
        <v>6855.83</v>
      </c>
      <c r="F331" s="11">
        <v>6233.3</v>
      </c>
      <c r="G331" s="11">
        <v>6962.5</v>
      </c>
      <c r="H331" s="11">
        <v>898.19</v>
      </c>
      <c r="I331" s="11">
        <v>304.58999999999997</v>
      </c>
      <c r="J331" s="11">
        <v>9956.0499999999993</v>
      </c>
      <c r="K331" s="11">
        <v>5468.05</v>
      </c>
      <c r="L331" s="11">
        <v>379.6</v>
      </c>
      <c r="M331" s="11">
        <v>8587.81</v>
      </c>
      <c r="N331" s="11">
        <v>484.53</v>
      </c>
      <c r="O331" s="337">
        <f>SUM(C331:N331)</f>
        <v>61340.4</v>
      </c>
    </row>
    <row r="332" spans="1:16" ht="12.75" customHeight="1" x14ac:dyDescent="0.25">
      <c r="A332" s="224" t="s">
        <v>329</v>
      </c>
      <c r="B332" s="10" t="s">
        <v>69</v>
      </c>
      <c r="C332" s="333">
        <v>6414.03</v>
      </c>
      <c r="D332" s="11">
        <v>10326.07</v>
      </c>
      <c r="E332" s="11">
        <v>7400.57</v>
      </c>
      <c r="F332" s="11">
        <v>5783.08</v>
      </c>
      <c r="G332" s="11">
        <v>11463.3</v>
      </c>
      <c r="H332" s="11">
        <v>5813.75</v>
      </c>
      <c r="I332" s="11">
        <v>510.43</v>
      </c>
      <c r="J332" s="11">
        <v>10810.59</v>
      </c>
      <c r="K332" s="11">
        <v>2693.74</v>
      </c>
      <c r="L332" s="11">
        <v>2926.43</v>
      </c>
      <c r="M332" s="11">
        <v>21127.1</v>
      </c>
      <c r="N332" s="11">
        <v>4545.1000000000004</v>
      </c>
      <c r="O332" s="337">
        <f>SUM(C332:N332)</f>
        <v>89814.19</v>
      </c>
    </row>
    <row r="333" spans="1:16" ht="12.75" customHeight="1" x14ac:dyDescent="0.25">
      <c r="A333" s="224" t="s">
        <v>330</v>
      </c>
      <c r="B333" s="10" t="s">
        <v>69</v>
      </c>
      <c r="C333" s="333">
        <v>1314.97</v>
      </c>
      <c r="D333" s="11">
        <v>3845.65</v>
      </c>
      <c r="E333" s="11">
        <v>893.68</v>
      </c>
      <c r="F333" s="11">
        <v>3023.29</v>
      </c>
      <c r="G333" s="11">
        <v>3930.44</v>
      </c>
      <c r="H333" s="11">
        <v>1213.0899999999999</v>
      </c>
      <c r="I333" s="11">
        <v>1417.45</v>
      </c>
      <c r="J333" s="11">
        <v>1638.77</v>
      </c>
      <c r="K333" s="11">
        <v>1304.22</v>
      </c>
      <c r="L333" s="11">
        <v>53646.9</v>
      </c>
      <c r="M333" s="11">
        <v>28154.240000000002</v>
      </c>
      <c r="N333" s="11">
        <v>1688</v>
      </c>
      <c r="O333" s="337">
        <f>SUM(C333:N333)</f>
        <v>102070.70000000001</v>
      </c>
    </row>
    <row r="334" spans="1:16" ht="12.75" customHeight="1" x14ac:dyDescent="0.25">
      <c r="A334" s="224" t="s">
        <v>343</v>
      </c>
      <c r="B334" s="10" t="s">
        <v>69</v>
      </c>
      <c r="C334" s="333">
        <v>12948.66</v>
      </c>
      <c r="D334" s="11">
        <v>8866.08</v>
      </c>
      <c r="E334" s="11">
        <v>1597.68</v>
      </c>
      <c r="F334" s="11">
        <v>22083.03</v>
      </c>
      <c r="G334" s="11">
        <v>947.9</v>
      </c>
      <c r="H334" s="11" t="s">
        <v>15</v>
      </c>
      <c r="I334" s="11" t="s">
        <v>15</v>
      </c>
      <c r="J334" s="11">
        <v>5674.86</v>
      </c>
      <c r="K334" s="11">
        <v>590.62</v>
      </c>
      <c r="L334" s="11">
        <v>221.15</v>
      </c>
      <c r="M334" s="11">
        <v>1588.6</v>
      </c>
      <c r="N334" s="11">
        <v>1120.05</v>
      </c>
      <c r="O334" s="337">
        <f>SUM(C334:N334)</f>
        <v>55638.630000000005</v>
      </c>
    </row>
    <row r="335" spans="1:16" ht="12.75" customHeight="1" x14ac:dyDescent="0.2">
      <c r="A335" s="260" t="s">
        <v>413</v>
      </c>
      <c r="B335" s="10" t="s">
        <v>69</v>
      </c>
      <c r="C335" s="333" t="s">
        <v>15</v>
      </c>
      <c r="D335" s="11" t="s">
        <v>15</v>
      </c>
      <c r="E335" s="11" t="s">
        <v>15</v>
      </c>
      <c r="F335" s="11" t="s">
        <v>15</v>
      </c>
      <c r="G335" s="11" t="s">
        <v>15</v>
      </c>
      <c r="H335" s="11" t="s">
        <v>15</v>
      </c>
      <c r="I335" s="11" t="s">
        <v>15</v>
      </c>
      <c r="J335" s="11">
        <v>5539.18</v>
      </c>
      <c r="K335" s="11">
        <v>3801.42</v>
      </c>
      <c r="L335" s="11">
        <v>10</v>
      </c>
      <c r="M335" s="11">
        <v>157.30000000000001</v>
      </c>
      <c r="N335" s="11">
        <v>5821.82</v>
      </c>
      <c r="O335" s="337">
        <v>15329.720000000001</v>
      </c>
      <c r="P335" s="260" t="s">
        <v>428</v>
      </c>
    </row>
    <row r="336" spans="1:16" ht="12.75" customHeight="1" x14ac:dyDescent="0.2">
      <c r="A336" s="15" t="s">
        <v>399</v>
      </c>
      <c r="B336" s="10" t="s">
        <v>69</v>
      </c>
      <c r="C336" s="333" t="s">
        <v>15</v>
      </c>
      <c r="D336" s="11" t="s">
        <v>15</v>
      </c>
      <c r="E336" s="11" t="s">
        <v>15</v>
      </c>
      <c r="F336" s="11" t="s">
        <v>15</v>
      </c>
      <c r="G336" s="11" t="s">
        <v>15</v>
      </c>
      <c r="H336" s="11" t="s">
        <v>15</v>
      </c>
      <c r="I336" s="11" t="s">
        <v>15</v>
      </c>
      <c r="J336" s="11">
        <v>20645.740000000002</v>
      </c>
      <c r="K336" s="11">
        <v>10215.91</v>
      </c>
      <c r="L336" s="11">
        <v>9276.3700000000008</v>
      </c>
      <c r="M336" s="11">
        <v>10927.56</v>
      </c>
      <c r="N336" s="11">
        <v>11355.36</v>
      </c>
      <c r="O336" s="337">
        <v>62420.94</v>
      </c>
      <c r="P336" s="260" t="s">
        <v>428</v>
      </c>
    </row>
    <row r="337" spans="1:16" ht="12.75" customHeight="1" x14ac:dyDescent="0.2">
      <c r="A337" s="15" t="s">
        <v>400</v>
      </c>
      <c r="B337" s="10" t="s">
        <v>69</v>
      </c>
      <c r="C337" s="333" t="s">
        <v>15</v>
      </c>
      <c r="D337" s="11" t="s">
        <v>15</v>
      </c>
      <c r="E337" s="11" t="s">
        <v>15</v>
      </c>
      <c r="F337" s="11" t="s">
        <v>15</v>
      </c>
      <c r="G337" s="11" t="s">
        <v>15</v>
      </c>
      <c r="H337" s="11" t="s">
        <v>15</v>
      </c>
      <c r="I337" s="11" t="s">
        <v>15</v>
      </c>
      <c r="J337" s="11">
        <v>21036.52</v>
      </c>
      <c r="K337" s="11">
        <v>13962.04</v>
      </c>
      <c r="L337" s="11">
        <v>14088.12</v>
      </c>
      <c r="M337" s="11">
        <v>14657.69</v>
      </c>
      <c r="N337" s="11">
        <v>18547.310000000001</v>
      </c>
      <c r="O337" s="337">
        <v>82291.679999999993</v>
      </c>
      <c r="P337" s="260" t="s">
        <v>428</v>
      </c>
    </row>
    <row r="338" spans="1:16" ht="12.75" customHeight="1" x14ac:dyDescent="0.2">
      <c r="A338" s="15" t="s">
        <v>401</v>
      </c>
      <c r="B338" s="10" t="s">
        <v>69</v>
      </c>
      <c r="C338" s="333" t="s">
        <v>15</v>
      </c>
      <c r="D338" s="11" t="s">
        <v>15</v>
      </c>
      <c r="E338" s="11" t="s">
        <v>15</v>
      </c>
      <c r="F338" s="11" t="s">
        <v>15</v>
      </c>
      <c r="G338" s="11" t="s">
        <v>15</v>
      </c>
      <c r="H338" s="11" t="s">
        <v>15</v>
      </c>
      <c r="I338" s="11" t="s">
        <v>15</v>
      </c>
      <c r="J338" s="11">
        <v>17838.07</v>
      </c>
      <c r="K338" s="11">
        <v>7948.69</v>
      </c>
      <c r="L338" s="11">
        <v>7721.06</v>
      </c>
      <c r="M338" s="11">
        <v>11318.51</v>
      </c>
      <c r="N338" s="11">
        <v>9171.34</v>
      </c>
      <c r="O338" s="337">
        <v>53997.67</v>
      </c>
      <c r="P338" s="260" t="s">
        <v>428</v>
      </c>
    </row>
    <row r="339" spans="1:16" ht="12.75" customHeight="1" x14ac:dyDescent="0.2">
      <c r="A339" s="15" t="s">
        <v>402</v>
      </c>
      <c r="B339" s="10" t="s">
        <v>69</v>
      </c>
      <c r="C339" s="333" t="s">
        <v>15</v>
      </c>
      <c r="D339" s="11" t="s">
        <v>15</v>
      </c>
      <c r="E339" s="11" t="s">
        <v>15</v>
      </c>
      <c r="F339" s="11" t="s">
        <v>15</v>
      </c>
      <c r="G339" s="11" t="s">
        <v>15</v>
      </c>
      <c r="H339" s="11" t="s">
        <v>15</v>
      </c>
      <c r="I339" s="11" t="s">
        <v>15</v>
      </c>
      <c r="J339" s="11">
        <v>12.37</v>
      </c>
      <c r="K339" s="11" t="s">
        <v>15</v>
      </c>
      <c r="L339" s="11">
        <v>12.43</v>
      </c>
      <c r="M339" s="11" t="s">
        <v>15</v>
      </c>
      <c r="N339" s="11">
        <v>12.19</v>
      </c>
      <c r="O339" s="337">
        <v>36.989999999999995</v>
      </c>
      <c r="P339" s="260" t="s">
        <v>428</v>
      </c>
    </row>
    <row r="340" spans="1:16" ht="12.75" customHeight="1" x14ac:dyDescent="0.2">
      <c r="A340" s="15" t="s">
        <v>403</v>
      </c>
      <c r="B340" s="10" t="s">
        <v>69</v>
      </c>
      <c r="C340" s="333" t="s">
        <v>15</v>
      </c>
      <c r="D340" s="11" t="s">
        <v>15</v>
      </c>
      <c r="E340" s="11" t="s">
        <v>15</v>
      </c>
      <c r="F340" s="11" t="s">
        <v>15</v>
      </c>
      <c r="G340" s="11" t="s">
        <v>15</v>
      </c>
      <c r="H340" s="11" t="s">
        <v>15</v>
      </c>
      <c r="I340" s="11" t="s">
        <v>15</v>
      </c>
      <c r="J340" s="11">
        <v>22902.2</v>
      </c>
      <c r="K340" s="11">
        <v>12876.29</v>
      </c>
      <c r="L340" s="11">
        <v>7856.59</v>
      </c>
      <c r="M340" s="11">
        <v>20014.810000000001</v>
      </c>
      <c r="N340" s="11">
        <v>11108.96</v>
      </c>
      <c r="O340" s="337">
        <v>74758.850000000006</v>
      </c>
      <c r="P340" s="260" t="s">
        <v>428</v>
      </c>
    </row>
    <row r="341" spans="1:16" ht="12.75" customHeight="1" x14ac:dyDescent="0.2">
      <c r="A341" s="15" t="s">
        <v>404</v>
      </c>
      <c r="B341" s="10" t="s">
        <v>69</v>
      </c>
      <c r="C341" s="333" t="s">
        <v>15</v>
      </c>
      <c r="D341" s="11" t="s">
        <v>15</v>
      </c>
      <c r="E341" s="11" t="s">
        <v>15</v>
      </c>
      <c r="F341" s="11" t="s">
        <v>15</v>
      </c>
      <c r="G341" s="11" t="s">
        <v>15</v>
      </c>
      <c r="H341" s="11" t="s">
        <v>15</v>
      </c>
      <c r="I341" s="11" t="s">
        <v>15</v>
      </c>
      <c r="J341" s="11">
        <v>23.66</v>
      </c>
      <c r="K341" s="11">
        <v>27.31</v>
      </c>
      <c r="L341" s="11" t="s">
        <v>15</v>
      </c>
      <c r="M341" s="11">
        <v>137.18</v>
      </c>
      <c r="N341" s="11">
        <v>4210.3999999999996</v>
      </c>
      <c r="O341" s="337">
        <v>4398.55</v>
      </c>
      <c r="P341" s="260" t="s">
        <v>428</v>
      </c>
    </row>
    <row r="342" spans="1:16" ht="12.75" customHeight="1" x14ac:dyDescent="0.2">
      <c r="A342" s="15" t="s">
        <v>405</v>
      </c>
      <c r="B342" s="10" t="s">
        <v>69</v>
      </c>
      <c r="C342" s="333" t="s">
        <v>15</v>
      </c>
      <c r="D342" s="11" t="s">
        <v>15</v>
      </c>
      <c r="E342" s="11" t="s">
        <v>15</v>
      </c>
      <c r="F342" s="11" t="s">
        <v>15</v>
      </c>
      <c r="G342" s="11" t="s">
        <v>15</v>
      </c>
      <c r="H342" s="11" t="s">
        <v>15</v>
      </c>
      <c r="I342" s="11" t="s">
        <v>15</v>
      </c>
      <c r="J342" s="11">
        <v>77172.48000000001</v>
      </c>
      <c r="K342" s="11">
        <v>88103.49</v>
      </c>
      <c r="L342" s="11">
        <v>68511.740000000005</v>
      </c>
      <c r="M342" s="11">
        <v>75536</v>
      </c>
      <c r="N342" s="11">
        <v>74086.53</v>
      </c>
      <c r="O342" s="337">
        <v>383410.24</v>
      </c>
      <c r="P342" s="260" t="s">
        <v>428</v>
      </c>
    </row>
    <row r="343" spans="1:16" ht="12.75" customHeight="1" x14ac:dyDescent="0.2">
      <c r="A343" s="15" t="s">
        <v>406</v>
      </c>
      <c r="B343" s="10" t="s">
        <v>69</v>
      </c>
      <c r="C343" s="333" t="s">
        <v>15</v>
      </c>
      <c r="D343" s="11" t="s">
        <v>15</v>
      </c>
      <c r="E343" s="11" t="s">
        <v>15</v>
      </c>
      <c r="F343" s="11" t="s">
        <v>15</v>
      </c>
      <c r="G343" s="11" t="s">
        <v>15</v>
      </c>
      <c r="H343" s="11" t="s">
        <v>15</v>
      </c>
      <c r="I343" s="11" t="s">
        <v>15</v>
      </c>
      <c r="J343" s="11">
        <v>43476.28</v>
      </c>
      <c r="K343" s="11">
        <v>23143.77</v>
      </c>
      <c r="L343" s="11">
        <v>23236.03</v>
      </c>
      <c r="M343" s="11">
        <v>37744.42</v>
      </c>
      <c r="N343" s="11">
        <v>24107.84</v>
      </c>
      <c r="O343" s="337">
        <v>151708.34</v>
      </c>
      <c r="P343" s="260" t="s">
        <v>428</v>
      </c>
    </row>
    <row r="344" spans="1:16" ht="12.75" customHeight="1" x14ac:dyDescent="0.2">
      <c r="A344" s="15" t="s">
        <v>411</v>
      </c>
      <c r="B344" s="10" t="s">
        <v>69</v>
      </c>
      <c r="C344" s="333" t="s">
        <v>15</v>
      </c>
      <c r="D344" s="11" t="s">
        <v>15</v>
      </c>
      <c r="E344" s="11" t="s">
        <v>15</v>
      </c>
      <c r="F344" s="11" t="s">
        <v>15</v>
      </c>
      <c r="G344" s="11" t="s">
        <v>15</v>
      </c>
      <c r="H344" s="11" t="s">
        <v>15</v>
      </c>
      <c r="I344" s="11" t="s">
        <v>15</v>
      </c>
      <c r="J344" s="11">
        <v>41564.43</v>
      </c>
      <c r="K344" s="11">
        <v>27301.82</v>
      </c>
      <c r="L344" s="11">
        <v>38175.589999999997</v>
      </c>
      <c r="M344" s="11">
        <v>23616.799999999999</v>
      </c>
      <c r="N344" s="11">
        <v>43210.59</v>
      </c>
      <c r="O344" s="337">
        <v>173869.22999999998</v>
      </c>
      <c r="P344" s="260" t="s">
        <v>428</v>
      </c>
    </row>
    <row r="345" spans="1:16" ht="12.75" customHeight="1" x14ac:dyDescent="0.2">
      <c r="A345" s="260" t="s">
        <v>412</v>
      </c>
      <c r="B345" s="10" t="s">
        <v>69</v>
      </c>
      <c r="C345" s="333" t="s">
        <v>15</v>
      </c>
      <c r="D345" s="11" t="s">
        <v>15</v>
      </c>
      <c r="E345" s="11" t="s">
        <v>15</v>
      </c>
      <c r="F345" s="11" t="s">
        <v>15</v>
      </c>
      <c r="G345" s="11" t="s">
        <v>15</v>
      </c>
      <c r="H345" s="11" t="s">
        <v>15</v>
      </c>
      <c r="I345" s="11" t="s">
        <v>15</v>
      </c>
      <c r="J345" s="11">
        <v>25812.23</v>
      </c>
      <c r="K345" s="11">
        <v>12176.47</v>
      </c>
      <c r="L345" s="11">
        <v>15869.34</v>
      </c>
      <c r="M345" s="11">
        <v>8331.2099999999991</v>
      </c>
      <c r="N345" s="11">
        <v>20441.599999999999</v>
      </c>
      <c r="O345" s="337">
        <v>82630.849999999991</v>
      </c>
      <c r="P345" s="260" t="s">
        <v>428</v>
      </c>
    </row>
    <row r="346" spans="1:16" ht="12.75" customHeight="1" x14ac:dyDescent="0.2">
      <c r="A346" s="15" t="s">
        <v>415</v>
      </c>
      <c r="B346" s="10" t="s">
        <v>69</v>
      </c>
      <c r="C346" s="333" t="s">
        <v>15</v>
      </c>
      <c r="D346" s="11" t="s">
        <v>15</v>
      </c>
      <c r="E346" s="11" t="s">
        <v>15</v>
      </c>
      <c r="F346" s="11" t="s">
        <v>15</v>
      </c>
      <c r="G346" s="11" t="s">
        <v>15</v>
      </c>
      <c r="H346" s="11" t="s">
        <v>15</v>
      </c>
      <c r="I346" s="11" t="s">
        <v>15</v>
      </c>
      <c r="J346" s="11">
        <v>732.59</v>
      </c>
      <c r="K346" s="11">
        <v>1431.77</v>
      </c>
      <c r="L346" s="11">
        <v>543.53</v>
      </c>
      <c r="M346" s="11">
        <v>166.04</v>
      </c>
      <c r="N346" s="11">
        <v>221.88</v>
      </c>
      <c r="O346" s="337">
        <v>3095.81</v>
      </c>
      <c r="P346" s="260" t="s">
        <v>428</v>
      </c>
    </row>
    <row r="347" spans="1:16" ht="12.75" customHeight="1" x14ac:dyDescent="0.2">
      <c r="A347" s="15" t="s">
        <v>416</v>
      </c>
      <c r="B347" s="10" t="s">
        <v>69</v>
      </c>
      <c r="C347" s="333" t="s">
        <v>15</v>
      </c>
      <c r="D347" s="11" t="s">
        <v>15</v>
      </c>
      <c r="E347" s="11" t="s">
        <v>15</v>
      </c>
      <c r="F347" s="11" t="s">
        <v>15</v>
      </c>
      <c r="G347" s="11" t="s">
        <v>15</v>
      </c>
      <c r="H347" s="11" t="s">
        <v>15</v>
      </c>
      <c r="I347" s="11" t="s">
        <v>15</v>
      </c>
      <c r="J347" s="11">
        <v>55.04</v>
      </c>
      <c r="K347" s="11">
        <v>4585.83</v>
      </c>
      <c r="L347" s="11">
        <v>2120.7399999999998</v>
      </c>
      <c r="M347" s="11">
        <v>13070.69</v>
      </c>
      <c r="N347" s="11">
        <v>1862.15</v>
      </c>
      <c r="O347" s="337">
        <v>21694.45</v>
      </c>
      <c r="P347" s="260" t="s">
        <v>428</v>
      </c>
    </row>
    <row r="348" spans="1:16" ht="12.75" customHeight="1" x14ac:dyDescent="0.2">
      <c r="A348" s="15" t="s">
        <v>407</v>
      </c>
      <c r="B348" s="10" t="s">
        <v>69</v>
      </c>
      <c r="C348" s="333" t="s">
        <v>15</v>
      </c>
      <c r="D348" s="11" t="s">
        <v>15</v>
      </c>
      <c r="E348" s="11" t="s">
        <v>15</v>
      </c>
      <c r="F348" s="11" t="s">
        <v>15</v>
      </c>
      <c r="G348" s="11" t="s">
        <v>15</v>
      </c>
      <c r="H348" s="11" t="s">
        <v>15</v>
      </c>
      <c r="I348" s="11" t="s">
        <v>15</v>
      </c>
      <c r="J348" s="11">
        <v>40368.160000000003</v>
      </c>
      <c r="K348" s="11">
        <v>29751.85</v>
      </c>
      <c r="L348" s="11">
        <v>27582.21</v>
      </c>
      <c r="M348" s="11">
        <v>45922.080000000002</v>
      </c>
      <c r="N348" s="11">
        <v>31103.19</v>
      </c>
      <c r="O348" s="337">
        <v>174727.49000000002</v>
      </c>
      <c r="P348" s="260" t="s">
        <v>428</v>
      </c>
    </row>
    <row r="349" spans="1:16" ht="12.75" customHeight="1" x14ac:dyDescent="0.2">
      <c r="A349" s="15" t="s">
        <v>408</v>
      </c>
      <c r="B349" s="10" t="s">
        <v>69</v>
      </c>
      <c r="C349" s="333" t="s">
        <v>15</v>
      </c>
      <c r="D349" s="11" t="s">
        <v>15</v>
      </c>
      <c r="E349" s="11" t="s">
        <v>15</v>
      </c>
      <c r="F349" s="11" t="s">
        <v>15</v>
      </c>
      <c r="G349" s="11" t="s">
        <v>15</v>
      </c>
      <c r="H349" s="11" t="s">
        <v>15</v>
      </c>
      <c r="I349" s="11" t="s">
        <v>15</v>
      </c>
      <c r="J349" s="11">
        <v>198.95</v>
      </c>
      <c r="K349" s="11">
        <v>453.51</v>
      </c>
      <c r="L349" s="11">
        <v>93.27</v>
      </c>
      <c r="M349" s="11">
        <v>488.98</v>
      </c>
      <c r="N349" s="11">
        <v>63.04</v>
      </c>
      <c r="O349" s="337">
        <v>1297.75</v>
      </c>
      <c r="P349" s="260" t="s">
        <v>428</v>
      </c>
    </row>
    <row r="350" spans="1:16" ht="12.75" customHeight="1" x14ac:dyDescent="0.2">
      <c r="A350" s="15" t="s">
        <v>409</v>
      </c>
      <c r="B350" s="10" t="s">
        <v>69</v>
      </c>
      <c r="C350" s="333" t="s">
        <v>15</v>
      </c>
      <c r="D350" s="11" t="s">
        <v>15</v>
      </c>
      <c r="E350" s="11" t="s">
        <v>15</v>
      </c>
      <c r="F350" s="11" t="s">
        <v>15</v>
      </c>
      <c r="G350" s="11" t="s">
        <v>15</v>
      </c>
      <c r="H350" s="11" t="s">
        <v>15</v>
      </c>
      <c r="I350" s="11" t="s">
        <v>15</v>
      </c>
      <c r="J350" s="11">
        <v>33.159999999999997</v>
      </c>
      <c r="K350" s="11" t="s">
        <v>15</v>
      </c>
      <c r="L350" s="11">
        <v>181.43</v>
      </c>
      <c r="M350" s="11">
        <v>200.77</v>
      </c>
      <c r="N350" s="11" t="s">
        <v>15</v>
      </c>
      <c r="O350" s="337">
        <v>415.36</v>
      </c>
      <c r="P350" s="260" t="s">
        <v>428</v>
      </c>
    </row>
    <row r="351" spans="1:16" ht="12.75" customHeight="1" x14ac:dyDescent="0.2">
      <c r="A351" s="15" t="s">
        <v>410</v>
      </c>
      <c r="B351" s="10" t="s">
        <v>69</v>
      </c>
      <c r="C351" s="333" t="s">
        <v>15</v>
      </c>
      <c r="D351" s="11" t="s">
        <v>15</v>
      </c>
      <c r="E351" s="11" t="s">
        <v>15</v>
      </c>
      <c r="F351" s="11" t="s">
        <v>15</v>
      </c>
      <c r="G351" s="11" t="s">
        <v>15</v>
      </c>
      <c r="H351" s="11" t="s">
        <v>15</v>
      </c>
      <c r="I351" s="11" t="s">
        <v>15</v>
      </c>
      <c r="J351" s="11">
        <v>40663.06</v>
      </c>
      <c r="K351" s="11">
        <v>12051.71</v>
      </c>
      <c r="L351" s="11">
        <v>22365.24</v>
      </c>
      <c r="M351" s="11">
        <v>26104.62</v>
      </c>
      <c r="N351" s="11">
        <v>128934.13</v>
      </c>
      <c r="O351" s="337">
        <v>230118.75999999998</v>
      </c>
      <c r="P351" s="260" t="s">
        <v>428</v>
      </c>
    </row>
    <row r="352" spans="1:16" ht="12.75" customHeight="1" x14ac:dyDescent="0.2">
      <c r="A352" s="260" t="s">
        <v>425</v>
      </c>
      <c r="B352" s="10" t="s">
        <v>69</v>
      </c>
      <c r="C352" s="333">
        <v>6214.39</v>
      </c>
      <c r="D352" s="11">
        <v>4102.55</v>
      </c>
      <c r="E352" s="11">
        <v>1512.81</v>
      </c>
      <c r="F352" s="11">
        <v>10284.290000000001</v>
      </c>
      <c r="G352" s="11">
        <v>12359.58</v>
      </c>
      <c r="H352" s="11">
        <v>14203.13</v>
      </c>
      <c r="I352" s="11">
        <v>4802.43</v>
      </c>
      <c r="J352" s="11">
        <v>10980.55</v>
      </c>
      <c r="K352" s="11">
        <v>8882.17</v>
      </c>
      <c r="L352" s="11">
        <v>9092.2999999999993</v>
      </c>
      <c r="M352" s="11">
        <v>10742.84</v>
      </c>
      <c r="N352" s="11">
        <v>12305.59</v>
      </c>
      <c r="O352" s="337">
        <v>105482.62999999999</v>
      </c>
      <c r="P352" s="260" t="s">
        <v>429</v>
      </c>
    </row>
    <row r="353" spans="1:17" ht="12.75" customHeight="1" x14ac:dyDescent="0.2">
      <c r="A353" s="260" t="s">
        <v>426</v>
      </c>
      <c r="B353" s="10" t="s">
        <v>69</v>
      </c>
      <c r="C353" s="333" t="s">
        <v>15</v>
      </c>
      <c r="D353" s="11" t="s">
        <v>15</v>
      </c>
      <c r="E353" s="11" t="s">
        <v>15</v>
      </c>
      <c r="F353" s="11" t="s">
        <v>15</v>
      </c>
      <c r="G353" s="11" t="s">
        <v>15</v>
      </c>
      <c r="H353" s="11" t="s">
        <v>15</v>
      </c>
      <c r="I353" s="11">
        <v>150.01</v>
      </c>
      <c r="J353" s="11" t="s">
        <v>15</v>
      </c>
      <c r="K353" s="11" t="s">
        <v>15</v>
      </c>
      <c r="L353" s="11" t="s">
        <v>15</v>
      </c>
      <c r="M353" s="11" t="s">
        <v>15</v>
      </c>
      <c r="N353" s="11" t="s">
        <v>15</v>
      </c>
      <c r="O353" s="337">
        <v>150.01</v>
      </c>
      <c r="P353" s="260" t="s">
        <v>429</v>
      </c>
    </row>
    <row r="354" spans="1:17" ht="14.25" x14ac:dyDescent="0.2">
      <c r="A354" s="260" t="s">
        <v>414</v>
      </c>
      <c r="B354" s="10" t="s">
        <v>69</v>
      </c>
      <c r="C354" s="333" t="s">
        <v>15</v>
      </c>
      <c r="D354" s="11" t="s">
        <v>15</v>
      </c>
      <c r="E354" s="11" t="s">
        <v>15</v>
      </c>
      <c r="F354" s="11" t="s">
        <v>15</v>
      </c>
      <c r="G354" s="11" t="s">
        <v>15</v>
      </c>
      <c r="H354" s="11" t="s">
        <v>15</v>
      </c>
      <c r="I354" s="11" t="s">
        <v>15</v>
      </c>
      <c r="J354" s="11">
        <v>27689.01</v>
      </c>
      <c r="K354" s="11">
        <v>17942.77</v>
      </c>
      <c r="L354" s="11">
        <v>19044.2</v>
      </c>
      <c r="M354" s="11">
        <v>17467.71</v>
      </c>
      <c r="N354" s="11">
        <v>22391.65</v>
      </c>
      <c r="O354" s="337">
        <v>104535.34</v>
      </c>
      <c r="P354" s="260" t="s">
        <v>428</v>
      </c>
    </row>
    <row r="355" spans="1:17" ht="14.25" x14ac:dyDescent="0.2">
      <c r="A355" s="260" t="s">
        <v>420</v>
      </c>
      <c r="B355" s="10" t="s">
        <v>69</v>
      </c>
      <c r="C355" s="333">
        <v>71789.83</v>
      </c>
      <c r="D355" s="11">
        <v>10265.290000000001</v>
      </c>
      <c r="E355" s="11">
        <v>64308.21</v>
      </c>
      <c r="F355" s="11">
        <v>11993.66</v>
      </c>
      <c r="G355" s="11">
        <v>40961.43</v>
      </c>
      <c r="H355" s="11">
        <v>27746.75</v>
      </c>
      <c r="I355" s="11">
        <v>37386.47</v>
      </c>
      <c r="J355" s="11">
        <v>97052.96</v>
      </c>
      <c r="K355" s="11">
        <v>28494.49</v>
      </c>
      <c r="L355" s="11">
        <v>26305.68</v>
      </c>
      <c r="M355" s="11">
        <v>21809.26</v>
      </c>
      <c r="N355" s="11">
        <v>53328.08</v>
      </c>
      <c r="O355" s="337">
        <v>491442.11</v>
      </c>
      <c r="P355" s="260" t="s">
        <v>149</v>
      </c>
    </row>
    <row r="356" spans="1:17" ht="14.25" x14ac:dyDescent="0.2">
      <c r="A356" s="15" t="s">
        <v>418</v>
      </c>
      <c r="B356" s="10" t="s">
        <v>69</v>
      </c>
      <c r="C356" s="333">
        <v>-1104.06</v>
      </c>
      <c r="D356" s="11" t="s">
        <v>15</v>
      </c>
      <c r="E356" s="11">
        <v>911.55</v>
      </c>
      <c r="F356" s="11">
        <v>-152.1</v>
      </c>
      <c r="G356" s="11" t="s">
        <v>15</v>
      </c>
      <c r="H356" s="11">
        <v>3939.01</v>
      </c>
      <c r="I356" s="11">
        <v>345.67</v>
      </c>
      <c r="J356" s="11">
        <v>8380.4500000000007</v>
      </c>
      <c r="K356" s="11">
        <v>-1869.58</v>
      </c>
      <c r="L356" s="11">
        <v>21801.99</v>
      </c>
      <c r="M356" s="11">
        <v>2773.84</v>
      </c>
      <c r="N356" s="11">
        <v>33278.22</v>
      </c>
      <c r="O356" s="337">
        <v>68304.990000000005</v>
      </c>
      <c r="P356" s="260" t="s">
        <v>149</v>
      </c>
    </row>
    <row r="357" spans="1:17" ht="14.25" x14ac:dyDescent="0.2">
      <c r="A357" s="15" t="s">
        <v>417</v>
      </c>
      <c r="B357" s="10" t="s">
        <v>69</v>
      </c>
      <c r="C357" s="333" t="s">
        <v>15</v>
      </c>
      <c r="D357" s="11">
        <v>1587.38</v>
      </c>
      <c r="E357" s="11">
        <v>594.04999999999995</v>
      </c>
      <c r="F357" s="11">
        <v>4394.84</v>
      </c>
      <c r="G357" s="11">
        <v>-593.98</v>
      </c>
      <c r="H357" s="11">
        <v>-30.2</v>
      </c>
      <c r="I357" s="11" t="s">
        <v>15</v>
      </c>
      <c r="J357" s="11">
        <v>4939.62</v>
      </c>
      <c r="K357" s="11">
        <v>2768</v>
      </c>
      <c r="L357" s="11">
        <v>-765.54</v>
      </c>
      <c r="M357" s="11" t="s">
        <v>15</v>
      </c>
      <c r="N357" s="11">
        <v>771.21</v>
      </c>
      <c r="O357" s="337">
        <v>13665.38</v>
      </c>
      <c r="P357" s="260" t="s">
        <v>149</v>
      </c>
    </row>
    <row r="358" spans="1:17" ht="14.25" x14ac:dyDescent="0.2">
      <c r="A358" s="260" t="s">
        <v>427</v>
      </c>
      <c r="B358" s="10" t="s">
        <v>69</v>
      </c>
      <c r="C358" s="333">
        <v>994.16</v>
      </c>
      <c r="D358" s="11">
        <v>1551.64</v>
      </c>
      <c r="E358" s="11">
        <v>884.32</v>
      </c>
      <c r="F358" s="11">
        <v>688.7</v>
      </c>
      <c r="G358" s="11">
        <v>634.79999999999995</v>
      </c>
      <c r="H358" s="11">
        <v>456.58</v>
      </c>
      <c r="I358" s="11">
        <v>1321.73</v>
      </c>
      <c r="J358" s="11">
        <v>631.64</v>
      </c>
      <c r="K358" s="11">
        <v>850.62</v>
      </c>
      <c r="L358" s="11">
        <v>927.66</v>
      </c>
      <c r="M358" s="11">
        <v>715.03</v>
      </c>
      <c r="N358" s="11">
        <v>450.42</v>
      </c>
      <c r="O358" s="337">
        <v>10107.300000000001</v>
      </c>
      <c r="P358" s="260" t="s">
        <v>149</v>
      </c>
    </row>
    <row r="359" spans="1:17" ht="14.25" x14ac:dyDescent="0.2">
      <c r="A359" s="260" t="s">
        <v>421</v>
      </c>
      <c r="B359" s="10" t="s">
        <v>69</v>
      </c>
      <c r="C359" s="333">
        <v>-5622.31</v>
      </c>
      <c r="D359" s="11">
        <v>-1647.28</v>
      </c>
      <c r="E359" s="11">
        <v>-5853.48</v>
      </c>
      <c r="F359" s="11">
        <v>-4763.54</v>
      </c>
      <c r="G359" s="11">
        <v>-2767.21</v>
      </c>
      <c r="H359" s="11">
        <v>-3751.97</v>
      </c>
      <c r="I359" s="11">
        <v>-5927.21</v>
      </c>
      <c r="J359" s="11">
        <v>-5648.97</v>
      </c>
      <c r="K359" s="11">
        <v>-7805.26</v>
      </c>
      <c r="L359" s="11">
        <v>-5139.37</v>
      </c>
      <c r="M359" s="11">
        <v>-4566.42</v>
      </c>
      <c r="N359" s="11">
        <v>-7967.56</v>
      </c>
      <c r="O359" s="337">
        <v>-61460.58</v>
      </c>
      <c r="P359" s="260" t="s">
        <v>149</v>
      </c>
    </row>
    <row r="360" spans="1:17" ht="14.25" x14ac:dyDescent="0.2">
      <c r="A360" s="15" t="s">
        <v>422</v>
      </c>
      <c r="B360" s="10" t="s">
        <v>69</v>
      </c>
      <c r="C360" s="333">
        <v>2248.92</v>
      </c>
      <c r="D360" s="11">
        <v>658.91</v>
      </c>
      <c r="E360" s="11">
        <v>2341.39</v>
      </c>
      <c r="F360" s="11">
        <v>1905.41</v>
      </c>
      <c r="G360" s="11">
        <v>1106.8900000000001</v>
      </c>
      <c r="H360" s="11">
        <v>1500.79</v>
      </c>
      <c r="I360" s="11">
        <v>2370.88</v>
      </c>
      <c r="J360" s="11">
        <v>2259.59</v>
      </c>
      <c r="K360" s="11">
        <v>3122.1</v>
      </c>
      <c r="L360" s="11">
        <v>2055.75</v>
      </c>
      <c r="M360" s="11">
        <v>1826.57</v>
      </c>
      <c r="N360" s="11">
        <v>3187.03</v>
      </c>
      <c r="O360" s="337">
        <v>24584.229999999996</v>
      </c>
      <c r="P360" s="260" t="s">
        <v>149</v>
      </c>
    </row>
    <row r="361" spans="1:17" ht="14.25" x14ac:dyDescent="0.2">
      <c r="A361" s="15" t="s">
        <v>419</v>
      </c>
      <c r="B361" s="10" t="s">
        <v>69</v>
      </c>
      <c r="C361" s="333">
        <v>3092.27</v>
      </c>
      <c r="D361" s="11">
        <v>906</v>
      </c>
      <c r="E361" s="11">
        <v>3219.41</v>
      </c>
      <c r="F361" s="11">
        <v>2619.9499999999998</v>
      </c>
      <c r="G361" s="11">
        <v>1521.97</v>
      </c>
      <c r="H361" s="11">
        <v>2063.59</v>
      </c>
      <c r="I361" s="11">
        <v>3259.97</v>
      </c>
      <c r="J361" s="11">
        <v>3106.94</v>
      </c>
      <c r="K361" s="11">
        <v>4292.8900000000003</v>
      </c>
      <c r="L361" s="11">
        <v>2826.65</v>
      </c>
      <c r="M361" s="11">
        <v>2511.5300000000002</v>
      </c>
      <c r="N361" s="11">
        <v>4382.16</v>
      </c>
      <c r="O361" s="337">
        <v>33803.33</v>
      </c>
      <c r="P361" s="260" t="s">
        <v>149</v>
      </c>
    </row>
    <row r="362" spans="1:17" ht="14.25" x14ac:dyDescent="0.2">
      <c r="A362" s="15" t="s">
        <v>424</v>
      </c>
      <c r="B362" s="10" t="s">
        <v>69</v>
      </c>
      <c r="C362" s="333">
        <v>281.12</v>
      </c>
      <c r="D362" s="11">
        <v>82.36</v>
      </c>
      <c r="E362" s="11">
        <v>292.67</v>
      </c>
      <c r="F362" s="11">
        <v>238.18</v>
      </c>
      <c r="G362" s="11">
        <v>138.36000000000001</v>
      </c>
      <c r="H362" s="11">
        <v>187.6</v>
      </c>
      <c r="I362" s="11">
        <v>296.36</v>
      </c>
      <c r="J362" s="11">
        <v>282.45</v>
      </c>
      <c r="K362" s="11">
        <v>390.26</v>
      </c>
      <c r="L362" s="11">
        <v>256.97000000000003</v>
      </c>
      <c r="M362" s="11">
        <v>228.32</v>
      </c>
      <c r="N362" s="11">
        <v>398.38</v>
      </c>
      <c r="O362" s="337">
        <v>3073.0299999999997</v>
      </c>
      <c r="P362" s="260" t="s">
        <v>149</v>
      </c>
    </row>
    <row r="363" spans="1:17" ht="14.25" x14ac:dyDescent="0.2">
      <c r="A363" s="15" t="s">
        <v>423</v>
      </c>
      <c r="B363" s="10" t="s">
        <v>69</v>
      </c>
      <c r="C363" s="333">
        <v>5622.31</v>
      </c>
      <c r="D363" s="11">
        <v>1647.28</v>
      </c>
      <c r="E363" s="11">
        <v>5853.48</v>
      </c>
      <c r="F363" s="11">
        <v>4763.54</v>
      </c>
      <c r="G363" s="11">
        <v>2767.21</v>
      </c>
      <c r="H363" s="11">
        <v>3751.97</v>
      </c>
      <c r="I363" s="11">
        <v>5927.21</v>
      </c>
      <c r="J363" s="11">
        <v>5648.97</v>
      </c>
      <c r="K363" s="11">
        <v>7805.26</v>
      </c>
      <c r="L363" s="11">
        <v>5139.37</v>
      </c>
      <c r="M363" s="11">
        <v>4566.42</v>
      </c>
      <c r="N363" s="11">
        <v>7967.56</v>
      </c>
      <c r="O363" s="337">
        <v>61460.58</v>
      </c>
      <c r="P363" s="260" t="s">
        <v>149</v>
      </c>
    </row>
    <row r="364" spans="1:17" ht="12.75" customHeight="1" x14ac:dyDescent="0.25">
      <c r="A364" s="224" t="s">
        <v>434</v>
      </c>
      <c r="B364" s="10" t="s">
        <v>69</v>
      </c>
      <c r="C364" s="333" t="s">
        <v>15</v>
      </c>
      <c r="D364" s="11" t="s">
        <v>15</v>
      </c>
      <c r="E364" s="11" t="s">
        <v>15</v>
      </c>
      <c r="F364" s="11" t="s">
        <v>15</v>
      </c>
      <c r="G364" s="11" t="s">
        <v>15</v>
      </c>
      <c r="H364" s="11" t="s">
        <v>15</v>
      </c>
      <c r="I364" s="11" t="s">
        <v>15</v>
      </c>
      <c r="J364" s="11" t="s">
        <v>15</v>
      </c>
      <c r="K364" s="11" t="s">
        <v>15</v>
      </c>
      <c r="L364" s="11" t="s">
        <v>15</v>
      </c>
      <c r="M364" s="11">
        <v>13316.21</v>
      </c>
      <c r="N364" s="11">
        <v>1123.79</v>
      </c>
      <c r="O364" s="337">
        <v>14440</v>
      </c>
      <c r="P364" s="10" t="s">
        <v>148</v>
      </c>
      <c r="Q364" s="10" t="s">
        <v>432</v>
      </c>
    </row>
    <row r="365" spans="1:17" ht="12.75" customHeight="1" x14ac:dyDescent="0.25">
      <c r="A365" s="224"/>
      <c r="B365" s="10"/>
      <c r="C365" s="333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337"/>
    </row>
    <row r="366" spans="1:17" ht="12.75" customHeight="1" x14ac:dyDescent="0.2">
      <c r="A366" s="12"/>
      <c r="B366" s="10"/>
      <c r="I366" s="11"/>
      <c r="J366" s="11"/>
      <c r="K366" s="11"/>
      <c r="L366" s="11"/>
      <c r="M366" s="11"/>
      <c r="N366" s="11"/>
    </row>
    <row r="367" spans="1:17" ht="12.75" customHeight="1" x14ac:dyDescent="0.2">
      <c r="A367" s="14"/>
    </row>
    <row r="368" spans="1:17" ht="12.75" customHeight="1" x14ac:dyDescent="0.2">
      <c r="C368" s="332">
        <f>+C219+C236+SUM(C238:C309)+C312+C314+C316+SUM(C321:C364)</f>
        <v>5134922.37</v>
      </c>
      <c r="D368" s="332">
        <f>+D219+D236+SUM(D238:D309)+D312+D314+D316+SUM(D321:D364)</f>
        <v>5739184.6100000003</v>
      </c>
      <c r="E368" s="332">
        <f>+E219+E236+SUM(E238:E309)+E312+E314+E316+SUM(E321:E364)</f>
        <v>3826452.9300000006</v>
      </c>
      <c r="F368" s="332">
        <f>+F219+F236+SUM(F238:F309)+F312+F314+F316+SUM(F321:F364)</f>
        <v>4479841.16</v>
      </c>
      <c r="G368" s="332">
        <f>+G219+G236+SUM(G238:G309)+G312+G314+G316+SUM(G321:G364)</f>
        <v>5679684.46</v>
      </c>
      <c r="H368" s="332">
        <f>+H219+H236+SUM(H238:H309)+H312+H314+H316+SUM(H321:H364)</f>
        <v>4404044.75</v>
      </c>
      <c r="I368" s="332">
        <f>+I219+I236+SUM(I238:I309)+I312+I314+I316+SUM(I321:I364)</f>
        <v>4196001.22</v>
      </c>
      <c r="J368" s="332">
        <f>+J219+J236+SUM(J238:J309)+J312+J314+J316+SUM(J321:J364)</f>
        <v>5980368.1699999999</v>
      </c>
      <c r="K368" s="332">
        <f>+K219+K236+SUM(K238:K309)+K312+K314+K316+SUM(K321:K364)</f>
        <v>4812492.08</v>
      </c>
      <c r="L368" s="332">
        <f>+L219+L236+SUM(L238:L309)+L312+L314+L316+SUM(L321:L364)</f>
        <v>4749532.1199999992</v>
      </c>
      <c r="M368" s="332">
        <f>+M219+M236+SUM(M238:M309)+M312+M314+M316+SUM(M321:M364)</f>
        <v>4914652.7200000007</v>
      </c>
      <c r="N368" s="332">
        <f>+N219+N236+SUM(N238:N309)+N312+N314+N316+SUM(N321:N364)</f>
        <v>5406768.3699999992</v>
      </c>
      <c r="O368" s="332">
        <f>+O219+O236+SUM(O238:O309)+O312+O314+O316+SUM(O321:O364)</f>
        <v>59323944.959999993</v>
      </c>
    </row>
    <row r="369" spans="1:13" ht="12.75" customHeight="1" x14ac:dyDescent="0.2"/>
    <row r="370" spans="1:13" ht="12.75" customHeight="1" x14ac:dyDescent="0.2"/>
    <row r="371" spans="1:13" ht="12.75" customHeight="1" x14ac:dyDescent="0.2">
      <c r="A371" s="9"/>
    </row>
    <row r="372" spans="1:13" ht="12.75" customHeight="1" x14ac:dyDescent="0.2">
      <c r="A372" s="9"/>
      <c r="B372" s="10"/>
      <c r="D372" s="338"/>
      <c r="E372" s="338"/>
      <c r="F372" s="338"/>
      <c r="G372" s="338"/>
      <c r="H372" s="338"/>
      <c r="I372" s="338"/>
      <c r="J372" s="348"/>
      <c r="K372" s="348"/>
      <c r="L372" s="348"/>
      <c r="M372" s="348"/>
    </row>
    <row r="373" spans="1:13" ht="12.75" customHeight="1" x14ac:dyDescent="0.2">
      <c r="A373" s="15"/>
      <c r="B373" s="10"/>
      <c r="D373" s="338"/>
      <c r="E373" s="338"/>
      <c r="F373" s="348"/>
      <c r="G373" s="348"/>
      <c r="H373" s="348"/>
      <c r="I373" s="348"/>
      <c r="J373" s="348"/>
      <c r="K373" s="348"/>
      <c r="L373" s="348"/>
      <c r="M373" s="348"/>
    </row>
    <row r="374" spans="1:13" ht="12.75" customHeight="1" x14ac:dyDescent="0.2">
      <c r="A374" s="15"/>
      <c r="B374" s="10"/>
      <c r="D374" s="338"/>
      <c r="E374" s="338"/>
      <c r="F374" s="338"/>
      <c r="G374" s="338"/>
      <c r="H374" s="348"/>
      <c r="I374" s="348"/>
      <c r="J374" s="348"/>
      <c r="K374" s="348"/>
      <c r="L374" s="348"/>
      <c r="M374" s="348"/>
    </row>
    <row r="375" spans="1:13" ht="12.75" customHeight="1" x14ac:dyDescent="0.2">
      <c r="A375" s="15"/>
      <c r="B375" s="10"/>
      <c r="D375" s="338"/>
      <c r="E375" s="338"/>
      <c r="F375" s="338"/>
      <c r="G375" s="338"/>
      <c r="H375" s="348"/>
      <c r="I375" s="348"/>
      <c r="J375" s="348"/>
      <c r="K375" s="348"/>
      <c r="L375" s="348"/>
      <c r="M375" s="348"/>
    </row>
    <row r="376" spans="1:13" ht="12.75" customHeight="1" x14ac:dyDescent="0.2">
      <c r="A376" s="15"/>
      <c r="B376" s="10"/>
      <c r="D376" s="338"/>
      <c r="E376" s="338"/>
      <c r="F376" s="338"/>
      <c r="G376" s="338"/>
      <c r="H376" s="348"/>
      <c r="I376" s="348"/>
      <c r="J376" s="348"/>
      <c r="K376" s="348"/>
      <c r="L376" s="348"/>
      <c r="M376" s="348"/>
    </row>
    <row r="377" spans="1:13" ht="14.25" x14ac:dyDescent="0.2">
      <c r="A377" s="15"/>
      <c r="B377" s="10"/>
      <c r="D377" s="338"/>
      <c r="E377" s="338"/>
      <c r="F377" s="338"/>
      <c r="G377" s="338"/>
      <c r="H377" s="348"/>
      <c r="I377" s="348"/>
      <c r="J377" s="348"/>
      <c r="K377" s="348"/>
      <c r="L377" s="348"/>
      <c r="M377" s="348"/>
    </row>
    <row r="378" spans="1:13" ht="14.25" x14ac:dyDescent="0.2">
      <c r="A378" s="15"/>
      <c r="B378" s="10"/>
      <c r="D378" s="338"/>
      <c r="E378" s="338"/>
      <c r="F378" s="338"/>
      <c r="G378" s="338"/>
      <c r="H378" s="348"/>
      <c r="I378" s="348"/>
      <c r="J378" s="348"/>
      <c r="K378" s="348"/>
      <c r="L378" s="348"/>
      <c r="M378" s="348"/>
    </row>
    <row r="379" spans="1:13" ht="14.25" x14ac:dyDescent="0.2">
      <c r="A379" s="15"/>
      <c r="B379" s="10"/>
      <c r="C379" s="338"/>
      <c r="D379" s="338"/>
      <c r="E379" s="338"/>
      <c r="F379" s="338"/>
      <c r="G379" s="338"/>
      <c r="H379" s="348"/>
      <c r="I379" s="348"/>
      <c r="J379" s="348"/>
      <c r="K379" s="348"/>
      <c r="L379" s="348"/>
      <c r="M379" s="348"/>
    </row>
    <row r="380" spans="1:13" ht="14.25" x14ac:dyDescent="0.2">
      <c r="A380" s="15"/>
      <c r="B380" s="10"/>
      <c r="C380" s="338"/>
      <c r="D380" s="338"/>
      <c r="E380" s="338"/>
      <c r="F380" s="338"/>
      <c r="G380" s="338"/>
      <c r="H380" s="348"/>
      <c r="I380" s="348"/>
      <c r="J380" s="348"/>
      <c r="K380" s="348"/>
      <c r="L380" s="348"/>
      <c r="M380" s="348"/>
    </row>
    <row r="381" spans="1:13" ht="14.25" x14ac:dyDescent="0.2">
      <c r="A381" s="15"/>
      <c r="B381" s="10"/>
      <c r="C381" s="338"/>
      <c r="D381" s="338"/>
      <c r="E381" s="338"/>
      <c r="F381" s="338"/>
      <c r="G381" s="338"/>
      <c r="H381" s="348"/>
      <c r="I381" s="348"/>
      <c r="J381" s="348"/>
      <c r="K381" s="348"/>
      <c r="L381" s="348"/>
      <c r="M381" s="348"/>
    </row>
    <row r="382" spans="1:13" ht="14.25" x14ac:dyDescent="0.2">
      <c r="A382" s="15"/>
      <c r="B382" s="10"/>
      <c r="C382" s="338"/>
      <c r="D382" s="338"/>
      <c r="E382" s="338"/>
      <c r="F382" s="338"/>
      <c r="G382" s="338"/>
      <c r="H382" s="348"/>
      <c r="I382" s="348"/>
      <c r="J382" s="348"/>
      <c r="K382" s="348"/>
      <c r="L382" s="348"/>
      <c r="M382" s="348"/>
    </row>
    <row r="383" spans="1:13" ht="14.25" x14ac:dyDescent="0.2">
      <c r="A383" s="15"/>
      <c r="B383" s="10"/>
      <c r="C383" s="338"/>
      <c r="D383" s="338"/>
      <c r="E383" s="338"/>
      <c r="F383" s="338"/>
      <c r="G383" s="338"/>
      <c r="H383" s="338"/>
      <c r="I383" s="338"/>
      <c r="J383" s="348"/>
      <c r="K383" s="348"/>
      <c r="L383" s="348"/>
      <c r="M383" s="348"/>
    </row>
    <row r="384" spans="1:13" ht="14.25" x14ac:dyDescent="0.2">
      <c r="A384" s="15"/>
      <c r="B384" s="10"/>
      <c r="C384" s="338"/>
      <c r="D384" s="338"/>
      <c r="E384" s="338"/>
      <c r="F384" s="338"/>
      <c r="G384" s="338"/>
      <c r="H384" s="338"/>
      <c r="I384" s="338"/>
      <c r="J384" s="348"/>
      <c r="K384" s="348"/>
      <c r="L384" s="348"/>
      <c r="M384" s="348"/>
    </row>
  </sheetData>
  <autoFilter ref="A1:P384"/>
  <sortState ref="A8:P50">
    <sortCondition ref="A8:A50"/>
  </sortState>
  <pageMargins left="0.17" right="0.16" top="0.31" bottom="0.24" header="0.21" footer="0.25"/>
  <pageSetup scale="41" fitToHeight="3" orientation="portrait" r:id="rId1"/>
  <headerFooter>
    <oddHeader>&amp;A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P35"/>
  <sheetViews>
    <sheetView workbookViewId="0">
      <selection activeCell="I7" sqref="I7"/>
    </sheetView>
  </sheetViews>
  <sheetFormatPr defaultRowHeight="14.25" x14ac:dyDescent="0.2"/>
  <cols>
    <col min="1" max="1" width="31.125" bestFit="1" customWidth="1"/>
    <col min="2" max="3" width="13.375" bestFit="1" customWidth="1"/>
    <col min="4" max="4" width="13.875" bestFit="1" customWidth="1"/>
    <col min="5" max="5" width="14.875" bestFit="1" customWidth="1"/>
    <col min="6" max="8" width="14.375" bestFit="1" customWidth="1"/>
    <col min="9" max="9" width="14.875" bestFit="1" customWidth="1"/>
    <col min="10" max="12" width="2" customWidth="1"/>
    <col min="13" max="13" width="13" bestFit="1" customWidth="1"/>
    <col min="14" max="16" width="13.625" bestFit="1" customWidth="1"/>
  </cols>
  <sheetData>
    <row r="2" spans="1:16" s="270" customFormat="1" x14ac:dyDescent="0.2">
      <c r="A2" s="40"/>
      <c r="B2" s="268"/>
      <c r="C2" s="268"/>
      <c r="D2" s="268"/>
      <c r="E2" s="268"/>
      <c r="F2" s="268"/>
      <c r="G2" s="268"/>
      <c r="H2" s="268"/>
      <c r="I2" s="268"/>
      <c r="J2" s="269"/>
      <c r="K2" s="269"/>
      <c r="L2" s="269"/>
      <c r="M2" s="269"/>
      <c r="N2" s="269"/>
      <c r="O2" s="269"/>
      <c r="P2" s="269"/>
    </row>
    <row r="3" spans="1:16" s="270" customFormat="1" x14ac:dyDescent="0.2">
      <c r="A3" s="40" t="s">
        <v>69</v>
      </c>
      <c r="B3" s="282"/>
      <c r="C3" s="271"/>
      <c r="D3" s="268"/>
      <c r="E3" s="268"/>
      <c r="F3" s="268"/>
      <c r="G3" s="268"/>
      <c r="H3" s="268"/>
      <c r="I3" s="268"/>
      <c r="J3" s="269"/>
      <c r="K3" s="269"/>
      <c r="L3" s="269"/>
      <c r="M3" s="30"/>
      <c r="N3" s="30"/>
      <c r="O3" s="269"/>
      <c r="P3" s="269"/>
    </row>
    <row r="4" spans="1:16" s="270" customFormat="1" x14ac:dyDescent="0.2">
      <c r="A4" s="40" t="s">
        <v>0</v>
      </c>
      <c r="B4" s="268"/>
      <c r="C4" s="268"/>
      <c r="D4" s="268"/>
      <c r="E4" s="268"/>
      <c r="F4" s="268"/>
      <c r="G4" s="268"/>
      <c r="H4" s="268"/>
      <c r="I4" s="268"/>
      <c r="J4" s="269"/>
      <c r="K4" s="269"/>
      <c r="L4" s="269"/>
      <c r="M4" s="30"/>
      <c r="N4" s="30"/>
      <c r="O4" s="269"/>
      <c r="P4" s="269"/>
    </row>
    <row r="5" spans="1:16" s="270" customFormat="1" x14ac:dyDescent="0.2">
      <c r="A5" s="40"/>
      <c r="B5" s="271" t="s">
        <v>12</v>
      </c>
      <c r="C5" s="271" t="s">
        <v>12</v>
      </c>
      <c r="D5" s="271" t="s">
        <v>12</v>
      </c>
      <c r="E5" s="271" t="s">
        <v>12</v>
      </c>
      <c r="F5" s="268" t="s">
        <v>13</v>
      </c>
      <c r="G5" s="268" t="s">
        <v>13</v>
      </c>
      <c r="H5" s="268" t="s">
        <v>13</v>
      </c>
      <c r="I5" s="268" t="s">
        <v>13</v>
      </c>
      <c r="J5" s="269"/>
      <c r="K5" s="269"/>
      <c r="L5" s="269"/>
      <c r="M5" s="30"/>
      <c r="N5" s="30"/>
      <c r="O5" s="269"/>
      <c r="P5" s="269"/>
    </row>
    <row r="6" spans="1:16" s="270" customFormat="1" x14ac:dyDescent="0.2">
      <c r="A6" s="40"/>
      <c r="B6" s="268" t="s">
        <v>312</v>
      </c>
      <c r="C6" s="268" t="s">
        <v>312</v>
      </c>
      <c r="D6" s="268" t="s">
        <v>312</v>
      </c>
      <c r="E6" s="268" t="s">
        <v>312</v>
      </c>
      <c r="F6" s="268" t="s">
        <v>312</v>
      </c>
      <c r="G6" s="268" t="s">
        <v>312</v>
      </c>
      <c r="H6" s="268" t="s">
        <v>312</v>
      </c>
      <c r="I6" s="268" t="s">
        <v>312</v>
      </c>
      <c r="J6" s="269"/>
      <c r="K6" s="269"/>
      <c r="L6" s="269"/>
      <c r="M6" s="30"/>
      <c r="N6" s="30"/>
      <c r="O6" s="269"/>
      <c r="P6" s="269"/>
    </row>
    <row r="7" spans="1:16" s="270" customFormat="1" x14ac:dyDescent="0.2">
      <c r="A7" s="40"/>
      <c r="B7" s="268" t="s">
        <v>200</v>
      </c>
      <c r="C7" s="268" t="s">
        <v>211</v>
      </c>
      <c r="D7" s="268" t="s">
        <v>201</v>
      </c>
      <c r="E7" s="268" t="s">
        <v>200</v>
      </c>
      <c r="F7" s="268" t="s">
        <v>200</v>
      </c>
      <c r="G7" s="268" t="s">
        <v>211</v>
      </c>
      <c r="H7" s="268" t="s">
        <v>201</v>
      </c>
      <c r="I7" s="268" t="s">
        <v>200</v>
      </c>
      <c r="J7" s="269"/>
      <c r="K7" s="269"/>
      <c r="L7" s="269"/>
      <c r="M7" s="7"/>
      <c r="N7" s="7"/>
      <c r="O7" s="269"/>
      <c r="P7" s="269"/>
    </row>
    <row r="8" spans="1:16" s="270" customFormat="1" x14ac:dyDescent="0.2">
      <c r="A8" s="15"/>
      <c r="B8" s="272" t="s">
        <v>199</v>
      </c>
      <c r="C8" s="272" t="s">
        <v>199</v>
      </c>
      <c r="D8" s="272" t="s">
        <v>199</v>
      </c>
      <c r="E8" s="30" t="s">
        <v>199</v>
      </c>
      <c r="F8" s="272" t="s">
        <v>199</v>
      </c>
      <c r="G8" s="272" t="s">
        <v>199</v>
      </c>
      <c r="H8" s="272" t="s">
        <v>199</v>
      </c>
      <c r="I8" s="30" t="s">
        <v>199</v>
      </c>
      <c r="J8" s="273"/>
      <c r="K8" s="273"/>
      <c r="L8" s="274"/>
      <c r="M8" s="8"/>
      <c r="N8" s="37"/>
      <c r="O8" s="274"/>
      <c r="P8" s="274"/>
    </row>
    <row r="9" spans="1:16" s="270" customFormat="1" x14ac:dyDescent="0.2">
      <c r="A9" s="15"/>
      <c r="B9" s="275" t="s">
        <v>198</v>
      </c>
      <c r="C9" s="275" t="s">
        <v>95</v>
      </c>
      <c r="D9" s="276" t="s">
        <v>177</v>
      </c>
      <c r="E9" s="30" t="s">
        <v>198</v>
      </c>
      <c r="F9" s="275" t="s">
        <v>198</v>
      </c>
      <c r="G9" s="275" t="s">
        <v>95</v>
      </c>
      <c r="H9" s="276" t="s">
        <v>177</v>
      </c>
      <c r="I9" s="30" t="s">
        <v>198</v>
      </c>
      <c r="J9" s="277"/>
      <c r="K9" s="277"/>
      <c r="L9" s="277"/>
      <c r="M9" s="277"/>
      <c r="N9" s="277"/>
      <c r="O9" s="277"/>
      <c r="P9" s="277"/>
    </row>
    <row r="10" spans="1:16" s="270" customFormat="1" x14ac:dyDescent="0.2">
      <c r="A10" s="40" t="s">
        <v>227</v>
      </c>
      <c r="B10" s="323">
        <v>5435515.9300000016</v>
      </c>
      <c r="C10" s="323">
        <v>3301909.1228742739</v>
      </c>
      <c r="D10" s="323" t="s">
        <v>15</v>
      </c>
      <c r="E10" s="323">
        <v>5435515.9300000016</v>
      </c>
      <c r="F10" s="324">
        <v>59506486.170000009</v>
      </c>
      <c r="G10" s="323">
        <v>40361258.571358509</v>
      </c>
      <c r="H10" s="323" t="s">
        <v>15</v>
      </c>
      <c r="I10" s="323">
        <v>59506486.170000009</v>
      </c>
    </row>
    <row r="11" spans="1:16" s="270" customFormat="1" x14ac:dyDescent="0.2">
      <c r="A11" s="40" t="s">
        <v>228</v>
      </c>
      <c r="B11" s="323">
        <v>662491.46</v>
      </c>
      <c r="C11" s="323">
        <v>456911.6062294505</v>
      </c>
      <c r="D11" s="323" t="s">
        <v>15</v>
      </c>
      <c r="E11" s="323">
        <v>662491.46</v>
      </c>
      <c r="F11" s="323">
        <v>6761392.6700000009</v>
      </c>
      <c r="G11" s="323">
        <v>5939850.8809828563</v>
      </c>
      <c r="H11" s="323" t="s">
        <v>15</v>
      </c>
      <c r="I11" s="323">
        <v>6761392.6700000009</v>
      </c>
    </row>
    <row r="12" spans="1:16" s="270" customFormat="1" x14ac:dyDescent="0.2">
      <c r="A12" s="40" t="s">
        <v>229</v>
      </c>
      <c r="B12" s="323">
        <v>347440.63999999996</v>
      </c>
      <c r="C12" s="324">
        <v>444008.14225291542</v>
      </c>
      <c r="D12" s="323" t="s">
        <v>15</v>
      </c>
      <c r="E12" s="323">
        <v>347440.63999999996</v>
      </c>
      <c r="F12" s="323">
        <v>4991630.79</v>
      </c>
      <c r="G12" s="324">
        <v>5844127.1154270107</v>
      </c>
      <c r="H12" s="323" t="s">
        <v>15</v>
      </c>
      <c r="I12" s="323">
        <v>4991630.79</v>
      </c>
    </row>
    <row r="13" spans="1:16" s="270" customFormat="1" x14ac:dyDescent="0.2">
      <c r="A13" s="40" t="s">
        <v>230</v>
      </c>
      <c r="B13" s="323">
        <v>477389.16000000009</v>
      </c>
      <c r="C13" s="324">
        <v>491188.92500370817</v>
      </c>
      <c r="D13" s="323" t="s">
        <v>15</v>
      </c>
      <c r="E13" s="323">
        <v>477389.16000000009</v>
      </c>
      <c r="F13" s="323">
        <v>2939341.02</v>
      </c>
      <c r="G13" s="324">
        <v>3761200.8222452467</v>
      </c>
      <c r="H13" s="323" t="s">
        <v>15</v>
      </c>
      <c r="I13" s="323">
        <v>2939341.02</v>
      </c>
    </row>
    <row r="14" spans="1:16" s="270" customFormat="1" x14ac:dyDescent="0.2">
      <c r="A14" s="40" t="s">
        <v>231</v>
      </c>
      <c r="B14" s="323">
        <v>47449.240000000005</v>
      </c>
      <c r="C14" s="323" t="s">
        <v>15</v>
      </c>
      <c r="D14" s="323" t="s">
        <v>15</v>
      </c>
      <c r="E14" s="323">
        <v>47449.240000000005</v>
      </c>
      <c r="F14" s="323">
        <v>764494.29999999993</v>
      </c>
      <c r="G14" s="323" t="s">
        <v>15</v>
      </c>
      <c r="H14" s="323" t="s">
        <v>15</v>
      </c>
      <c r="I14" s="323">
        <v>764494.29999999993</v>
      </c>
    </row>
    <row r="15" spans="1:16" s="270" customFormat="1" x14ac:dyDescent="0.2">
      <c r="A15" s="40" t="s">
        <v>232</v>
      </c>
      <c r="B15" s="323">
        <v>175796.98</v>
      </c>
      <c r="C15" s="323">
        <v>147279</v>
      </c>
      <c r="D15" s="323" t="s">
        <v>15</v>
      </c>
      <c r="E15" s="323">
        <v>175796.98</v>
      </c>
      <c r="F15" s="323">
        <v>2347882.1</v>
      </c>
      <c r="G15" s="323">
        <v>1914633</v>
      </c>
      <c r="H15" s="325" t="s">
        <v>15</v>
      </c>
      <c r="I15" s="323">
        <v>2347882.1</v>
      </c>
    </row>
    <row r="16" spans="1:16" s="270" customFormat="1" x14ac:dyDescent="0.2">
      <c r="A16" s="40" t="s">
        <v>233</v>
      </c>
      <c r="B16" s="323">
        <v>910383.41</v>
      </c>
      <c r="C16" s="323">
        <v>1500000</v>
      </c>
      <c r="D16" s="323" t="s">
        <v>15</v>
      </c>
      <c r="E16" s="323">
        <v>910383.41</v>
      </c>
      <c r="F16" s="323">
        <v>13577296.640000001</v>
      </c>
      <c r="G16" s="323">
        <v>19500000</v>
      </c>
      <c r="H16" s="325" t="s">
        <v>15</v>
      </c>
      <c r="I16" s="323">
        <v>13577296.640000001</v>
      </c>
    </row>
    <row r="17" spans="1:13" s="270" customFormat="1" x14ac:dyDescent="0.2">
      <c r="A17" s="40" t="s">
        <v>234</v>
      </c>
      <c r="B17" s="323">
        <v>45473.56</v>
      </c>
      <c r="C17" s="323" t="s">
        <v>15</v>
      </c>
      <c r="D17" s="323" t="s">
        <v>15</v>
      </c>
      <c r="E17" s="323">
        <v>45473.56</v>
      </c>
      <c r="F17" s="323">
        <v>706693.03</v>
      </c>
      <c r="G17" s="323" t="s">
        <v>15</v>
      </c>
      <c r="H17" s="325" t="s">
        <v>15</v>
      </c>
      <c r="I17" s="323">
        <v>706693.03</v>
      </c>
    </row>
    <row r="18" spans="1:13" s="270" customFormat="1" x14ac:dyDescent="0.2">
      <c r="A18" s="40" t="s">
        <v>235</v>
      </c>
      <c r="B18" s="324">
        <v>110038.17</v>
      </c>
      <c r="C18" s="323">
        <v>260521.44938820001</v>
      </c>
      <c r="D18" s="323" t="s">
        <v>15</v>
      </c>
      <c r="E18" s="323">
        <v>110038.17</v>
      </c>
      <c r="F18" s="323">
        <v>2129807.2000000002</v>
      </c>
      <c r="G18" s="324">
        <v>3377446.7527033999</v>
      </c>
      <c r="H18" s="325" t="s">
        <v>15</v>
      </c>
      <c r="I18" s="323">
        <v>2129807.2000000002</v>
      </c>
    </row>
    <row r="19" spans="1:13" s="270" customFormat="1" x14ac:dyDescent="0.2">
      <c r="A19" s="40" t="s">
        <v>236</v>
      </c>
      <c r="B19" s="324">
        <v>346522.13000000006</v>
      </c>
      <c r="C19" s="323" t="s">
        <v>15</v>
      </c>
      <c r="D19" s="323" t="s">
        <v>15</v>
      </c>
      <c r="E19" s="323">
        <v>346522.13000000006</v>
      </c>
      <c r="F19" s="323">
        <v>3047677.0999999996</v>
      </c>
      <c r="G19" s="323" t="s">
        <v>15</v>
      </c>
      <c r="H19" s="325" t="s">
        <v>15</v>
      </c>
      <c r="I19" s="325">
        <v>3047677.0999999996</v>
      </c>
    </row>
    <row r="20" spans="1:13" s="270" customFormat="1" x14ac:dyDescent="0.2">
      <c r="A20" s="40" t="s">
        <v>248</v>
      </c>
      <c r="B20" s="324">
        <v>206872.56</v>
      </c>
      <c r="C20" s="323" t="s">
        <v>15</v>
      </c>
      <c r="D20" s="323" t="s">
        <v>15</v>
      </c>
      <c r="E20" s="323">
        <v>206872.56</v>
      </c>
      <c r="F20" s="323">
        <v>2407876.48</v>
      </c>
      <c r="G20" s="323" t="s">
        <v>15</v>
      </c>
      <c r="H20" s="323" t="s">
        <v>15</v>
      </c>
      <c r="I20" s="325">
        <v>2407876.48</v>
      </c>
    </row>
    <row r="21" spans="1:13" s="270" customFormat="1" x14ac:dyDescent="0.2">
      <c r="A21" s="40" t="s">
        <v>291</v>
      </c>
      <c r="B21" s="324">
        <v>2133289.87</v>
      </c>
      <c r="C21" s="323" t="s">
        <v>15</v>
      </c>
      <c r="D21" s="323" t="s">
        <v>15</v>
      </c>
      <c r="E21" s="323">
        <v>2133289.87</v>
      </c>
      <c r="F21" s="323">
        <v>20031204.760000005</v>
      </c>
      <c r="G21" s="323" t="s">
        <v>15</v>
      </c>
      <c r="H21" s="323" t="s">
        <v>15</v>
      </c>
      <c r="I21" s="325">
        <v>20031204.760000005</v>
      </c>
      <c r="M21" s="350"/>
    </row>
    <row r="22" spans="1:13" s="270" customFormat="1" x14ac:dyDescent="0.2">
      <c r="A22" s="40" t="s">
        <v>309</v>
      </c>
      <c r="B22" s="326">
        <v>2006.4300000000003</v>
      </c>
      <c r="C22" s="326">
        <v>2000</v>
      </c>
      <c r="D22" s="326" t="s">
        <v>15</v>
      </c>
      <c r="E22" s="326">
        <v>2006.4300000000003</v>
      </c>
      <c r="F22" s="326">
        <v>85475.989999999991</v>
      </c>
      <c r="G22" s="326">
        <v>24000</v>
      </c>
      <c r="H22" s="326" t="s">
        <v>15</v>
      </c>
      <c r="I22" s="326">
        <v>85475.989999999991</v>
      </c>
    </row>
    <row r="23" spans="1:13" s="270" customFormat="1" x14ac:dyDescent="0.2">
      <c r="A23" s="40" t="s">
        <v>347</v>
      </c>
      <c r="B23" s="351">
        <v>9470.16</v>
      </c>
      <c r="C23" s="352" t="s">
        <v>15</v>
      </c>
      <c r="D23" s="352" t="s">
        <v>15</v>
      </c>
      <c r="E23" s="352">
        <v>9470.16</v>
      </c>
      <c r="F23" s="351">
        <v>295812.28000000003</v>
      </c>
      <c r="G23" s="352" t="s">
        <v>15</v>
      </c>
      <c r="H23" s="352" t="s">
        <v>15</v>
      </c>
      <c r="I23" s="352">
        <v>295812.28000000003</v>
      </c>
    </row>
    <row r="24" spans="1:13" s="270" customFormat="1" x14ac:dyDescent="0.2">
      <c r="A24" s="40" t="s">
        <v>348</v>
      </c>
      <c r="B24" s="351">
        <v>3348.25</v>
      </c>
      <c r="C24" s="352" t="s">
        <v>15</v>
      </c>
      <c r="D24" s="352" t="s">
        <v>15</v>
      </c>
      <c r="E24" s="352">
        <v>3348.25</v>
      </c>
      <c r="F24" s="351">
        <v>72676.81</v>
      </c>
      <c r="G24" s="352" t="s">
        <v>15</v>
      </c>
      <c r="H24" s="352" t="s">
        <v>15</v>
      </c>
      <c r="I24" s="352">
        <v>72676.81</v>
      </c>
    </row>
    <row r="25" spans="1:13" s="270" customFormat="1" x14ac:dyDescent="0.2">
      <c r="A25" s="40" t="s">
        <v>349</v>
      </c>
      <c r="B25" s="351">
        <v>3017.4700000000003</v>
      </c>
      <c r="C25" s="352" t="s">
        <v>15</v>
      </c>
      <c r="D25" s="352" t="s">
        <v>15</v>
      </c>
      <c r="E25" s="352">
        <v>3017.4700000000003</v>
      </c>
      <c r="F25" s="351">
        <v>6973.6199999999826</v>
      </c>
      <c r="G25" s="352" t="s">
        <v>15</v>
      </c>
      <c r="H25" s="352" t="s">
        <v>15</v>
      </c>
      <c r="I25" s="352">
        <v>6973.6199999999826</v>
      </c>
    </row>
    <row r="26" spans="1:13" s="270" customFormat="1" x14ac:dyDescent="0.2">
      <c r="A26" s="40" t="s">
        <v>350</v>
      </c>
      <c r="B26" s="352" t="s">
        <v>15</v>
      </c>
      <c r="C26" s="352" t="s">
        <v>15</v>
      </c>
      <c r="D26" s="352" t="s">
        <v>15</v>
      </c>
      <c r="E26" s="352" t="s">
        <v>15</v>
      </c>
      <c r="F26" s="351">
        <v>46944.41</v>
      </c>
      <c r="G26" s="352" t="s">
        <v>15</v>
      </c>
      <c r="H26" s="352" t="s">
        <v>15</v>
      </c>
      <c r="I26" s="352">
        <v>46944.41</v>
      </c>
    </row>
    <row r="27" spans="1:13" s="270" customFormat="1" x14ac:dyDescent="0.2">
      <c r="A27" s="40"/>
      <c r="B27" s="349"/>
      <c r="C27" s="349"/>
      <c r="D27" s="349"/>
      <c r="E27" s="349"/>
      <c r="F27" s="349"/>
      <c r="G27" s="349"/>
      <c r="H27" s="349"/>
      <c r="I27" s="349"/>
    </row>
    <row r="28" spans="1:13" s="270" customFormat="1" x14ac:dyDescent="0.2">
      <c r="B28" s="349">
        <f>SUM(B11:B26)</f>
        <v>5480989.4899999993</v>
      </c>
      <c r="C28" s="349">
        <f>SUM(C11:C26)</f>
        <v>3301909.1228742739</v>
      </c>
      <c r="D28" s="349">
        <f>SUM(D11:D26)</f>
        <v>0</v>
      </c>
      <c r="E28" s="349">
        <f>SUM(E11:E26)</f>
        <v>5480989.4899999993</v>
      </c>
      <c r="F28" s="349">
        <f>SUM(F11:F26)</f>
        <v>60213179.20000001</v>
      </c>
      <c r="G28" s="349">
        <f>SUM(G11:G26)</f>
        <v>40361258.571358517</v>
      </c>
      <c r="H28" s="349">
        <f>SUM(H11:H26)</f>
        <v>0</v>
      </c>
      <c r="I28" s="349">
        <f>SUM(I11:I26)</f>
        <v>60213179.20000001</v>
      </c>
    </row>
    <row r="29" spans="1:13" s="270" customFormat="1" x14ac:dyDescent="0.2">
      <c r="B29" s="353">
        <f>+B28-B10-B17</f>
        <v>-2.2700987756252289E-9</v>
      </c>
      <c r="C29" s="353">
        <f>+C28-C10-C17</f>
        <v>0</v>
      </c>
      <c r="D29" s="353">
        <f>+D28-D10-D17</f>
        <v>0</v>
      </c>
      <c r="E29" s="353">
        <f>+E28-E10-E17</f>
        <v>-2.2700987756252289E-9</v>
      </c>
      <c r="F29" s="353">
        <f>+F28-F10-F17</f>
        <v>1.1641532182693481E-9</v>
      </c>
      <c r="G29" s="353">
        <f>+G28-G10-G17</f>
        <v>7.4505805969238281E-9</v>
      </c>
      <c r="H29" s="353">
        <f>+H28-H10-H17</f>
        <v>0</v>
      </c>
      <c r="I29" s="353">
        <f>+I28-I10-I17</f>
        <v>1.1641532182693481E-9</v>
      </c>
    </row>
    <row r="30" spans="1:13" x14ac:dyDescent="0.2">
      <c r="B30" s="278"/>
      <c r="C30" s="278"/>
      <c r="D30" s="278"/>
      <c r="E30" s="278"/>
      <c r="F30" s="278"/>
      <c r="G30" s="278"/>
      <c r="H30" s="278"/>
      <c r="I30" s="278"/>
    </row>
    <row r="31" spans="1:13" x14ac:dyDescent="0.2">
      <c r="B31" s="278"/>
    </row>
    <row r="32" spans="1:13" x14ac:dyDescent="0.2">
      <c r="A32" s="15"/>
    </row>
    <row r="33" spans="1:1" x14ac:dyDescent="0.2">
      <c r="A33" s="15"/>
    </row>
    <row r="34" spans="1:1" x14ac:dyDescent="0.2">
      <c r="A34" s="15"/>
    </row>
    <row r="35" spans="1:1" x14ac:dyDescent="0.2">
      <c r="A35" s="15"/>
    </row>
  </sheetData>
  <pageMargins left="0.7" right="0.7" top="0.75" bottom="0.75" header="0.3" footer="0.3"/>
  <pageSetup scale="7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Report</vt:lpstr>
      <vt:lpstr>Freight report</vt:lpstr>
      <vt:lpstr>Act vs Budget - revised format</vt:lpstr>
      <vt:lpstr>Net Sales Actual</vt:lpstr>
      <vt:lpstr>Net Sales Budget</vt:lpstr>
      <vt:lpstr>FY15 Budget</vt:lpstr>
      <vt:lpstr>FY15 Current Forecast</vt:lpstr>
      <vt:lpstr>FY15 Working Forecast</vt:lpstr>
      <vt:lpstr>check</vt:lpstr>
      <vt:lpstr>'FY15 Budget'!Print_Titles</vt:lpstr>
    </vt:vector>
  </TitlesOfParts>
  <Company>Tyco Healthcare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Susan.Moore</dc:creator>
  <cp:lastModifiedBy>connie.robeen</cp:lastModifiedBy>
  <cp:lastPrinted>2015-09-30T14:49:07Z</cp:lastPrinted>
  <dcterms:created xsi:type="dcterms:W3CDTF">2009-09-08T12:54:22Z</dcterms:created>
  <dcterms:modified xsi:type="dcterms:W3CDTF">2015-11-04T14:59:02Z</dcterms:modified>
</cp:coreProperties>
</file>