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berto.guajardo\Box\FQ - JUUL SG HoldCo\2019\08 - August\08 Accrued Expenses\"/>
    </mc:Choice>
  </mc:AlternateContent>
  <xr:revisionPtr revIDLastSave="0" documentId="13_ncr:1_{455CBDC9-ACE9-4DBA-88E6-C2848516AC89}" xr6:coauthVersionLast="41" xr6:coauthVersionMax="41" xr10:uidLastSave="{00000000-0000-0000-0000-000000000000}"/>
  <bookViews>
    <workbookView xWindow="-28910" yWindow="-110" windowWidth="29020" windowHeight="15820" xr2:uid="{FE2E1311-7FD9-4F1C-90EA-ED3F25B48271}"/>
  </bookViews>
  <sheets>
    <sheet name="220950 Accrued Freight &amp; Fulfil" sheetId="34" r:id="rId1"/>
    <sheet name="Reconciliation Sheet" sheetId="26" r:id="rId2"/>
    <sheet name="Trial Balance 9.10.19" sheetId="31" r:id="rId3"/>
    <sheet name="220950 Account Details" sheetId="3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0">#REF!</definedName>
    <definedName name="__________ALL2">[1]GERM3435!$A$1:$P$380</definedName>
    <definedName name="__________Sum1">'[2]P &amp; L Qtrly Comp Chg 1 vs 2'!$W$8:$W$148</definedName>
    <definedName name="__________SUM2">[1]GERM3435!$A$300:$Q$347</definedName>
    <definedName name="_________ALL2">[1]GERM3435!$A$1:$P$380</definedName>
    <definedName name="_________Sum1">'[2]P &amp; L Qtrly Comp Chg 1 vs 2'!$W$8:$W$148</definedName>
    <definedName name="_________SUM2">[1]GERM3435!$A$300:$Q$347</definedName>
    <definedName name="________ALL2">[1]GERM3435!$A$1:$P$380</definedName>
    <definedName name="________Sum1">'[2]P &amp; L Qtrly Comp Chg 1 vs 2'!$W$8:$W$148</definedName>
    <definedName name="________SUM2">[1]GERM3435!$A$300:$Q$347</definedName>
    <definedName name="_______ALL2">[1]GERM3435!$A$1:$P$380</definedName>
    <definedName name="_______Sum1">'[2]P &amp; L Qtrly Comp Chg 1 vs 2'!$W$8:$W$148</definedName>
    <definedName name="_______SUM2">[1]GERM3435!$A$300:$Q$347</definedName>
    <definedName name="______ALL2">[1]GERM3435!$A$1:$P$380</definedName>
    <definedName name="______Sum1">'[2]P &amp; L Qtrly Comp Chg 1 vs 2'!$W$8:$W$148</definedName>
    <definedName name="______SUM2">[1]GERM3435!$A$300:$Q$347</definedName>
    <definedName name="_____ALL2">[1]GERM3435!$A$1:$P$380</definedName>
    <definedName name="_____Sum1">'[2]P &amp; L Qtrly Comp Chg 1 vs 2'!$W$8:$W$148</definedName>
    <definedName name="_____SUM2">[1]GERM3435!$A$300:$Q$347</definedName>
    <definedName name="____ALL2">[1]GERM3435!$A$1:$P$380</definedName>
    <definedName name="____Sum1">'[2]P &amp; L Qtrly Comp Chg 1 vs 2'!$W$8:$W$148</definedName>
    <definedName name="____SUM2">[1]GERM3435!$A$300:$Q$347</definedName>
    <definedName name="___ALL2">[1]GERM3435!$A$1:$P$380</definedName>
    <definedName name="___Sum1">'[2]P &amp; L Qtrly Comp Chg 1 vs 2'!$W$8:$W$148</definedName>
    <definedName name="___SUM2">[1]GERM3435!$A$300:$Q$347</definedName>
    <definedName name="__ALL2">[1]GERM3435!$A$1:$P$380</definedName>
    <definedName name="__IntlFixup" hidden="1">TRUE</definedName>
    <definedName name="__IntlFixupTable" hidden="1">#REF!</definedName>
    <definedName name="__Sum1">'[2]P &amp; L Qtrly Comp Chg 1 vs 2'!$W$8:$W$148</definedName>
    <definedName name="__SUM2">[1]GERM3435!$A$300:$Q$347</definedName>
    <definedName name="_2006Q4">'[3]2006 Q4 Personnel Summary'!$D$10:$O$1799</definedName>
    <definedName name="_2007Q1">'[3]2007 Q1 Personnel Summary'!$C$8:$O$1903</definedName>
    <definedName name="_2007Q1BookComp">'[3]Book Option Data'!$C$9:$BA$916</definedName>
    <definedName name="_2007Q1BookRSPComp">'[3]Book RSP Data'!$C$10:$AQ$136</definedName>
    <definedName name="_2007Q1PersonnelSummary">'[3]2007 Q1 Personnel Summary'!$C$8:$O$1903</definedName>
    <definedName name="_ALL2">[1]GERM3435!$A$1:$P$380</definedName>
    <definedName name="_EPs2">#REF!</definedName>
    <definedName name="_EPs3">#REF!</definedName>
    <definedName name="_EPs4">#REF!</definedName>
    <definedName name="_EPs5">#REF!</definedName>
    <definedName name="_xlnm._FilterDatabase" localSheetId="3" hidden="1">'220950 Account Details'!$A$26:$N$26</definedName>
    <definedName name="_xlnm._FilterDatabase" localSheetId="2" hidden="1">'Trial Balance 9.10.19'!$A$5:$G$120</definedName>
    <definedName name="_GrantInformation">#REF!</definedName>
    <definedName name="_INT1">#REF!</definedName>
    <definedName name="_ISO_Calculaton">#REF!</definedName>
    <definedName name="_Key1" hidden="1">#REF!</definedName>
    <definedName name="_Key2" hidden="1">#REF!</definedName>
    <definedName name="_LTM1">#REF!</definedName>
    <definedName name="_new1">'[4]Plan 00'!#REF!</definedName>
    <definedName name="_old1">#REF!</definedName>
    <definedName name="_OptionType">'[5]2007Q2 Personnel Summary'!$F$9:$K$1935</definedName>
    <definedName name="_Order1" hidden="1">255</definedName>
    <definedName name="_Order2" hidden="1">255</definedName>
    <definedName name="_PMT1">#REF!</definedName>
    <definedName name="_PriorGrantInformation">#REF!</definedName>
    <definedName name="_Sort" hidden="1">#REF!</definedName>
    <definedName name="_Sum1">'[2]P &amp; L Qtrly Comp Chg 1 vs 2'!$W$8:$W$148</definedName>
    <definedName name="_SUM2">[1]GERM3435!$A$300:$Q$347</definedName>
    <definedName name="_tic1">#REF!</definedName>
    <definedName name="_tic2">#REF!</definedName>
    <definedName name="a" hidden="1">{#N/A,#N/A,FALSE,"Sales_Total";#N/A,#N/A,FALSE,"Mktg_Total";#N/A,#N/A,FALSE,"Tech_Total";#N/A,#N/A,FALSE,"Dev_Total";#N/A,#N/A,FALSE,"Admin_Total"}</definedName>
    <definedName name="aassdd">[0]!aassdd</definedName>
    <definedName name="Abschreibungen_April">[6]Abschreibungen!$O$173</definedName>
    <definedName name="Abschreibungen_August">[6]Abschreibungen!$S$173</definedName>
    <definedName name="Abschreibungen_Dezember">[6]Abschreibungen!$W$173</definedName>
    <definedName name="Abschreibungen_Februar">[6]Abschreibungen!$M$173</definedName>
    <definedName name="Abschreibungen_Januar">[6]Abschreibungen!$L$173</definedName>
    <definedName name="Abschreibungen_Juli">[6]Abschreibungen!$R$173</definedName>
    <definedName name="Abschreibungen_Juni">[6]Abschreibungen!$Q$173</definedName>
    <definedName name="Abschreibungen_Mai">[6]Abschreibungen!$P$173</definedName>
    <definedName name="Abschreibungen_März">[6]Abschreibungen!$N$173</definedName>
    <definedName name="Abschreibungen_November">[6]Abschreibungen!$V$173</definedName>
    <definedName name="Abschreibungen_Oktober">[6]Abschreibungen!$U$173</definedName>
    <definedName name="Abschreibungen_September">[6]Abschreibungen!$T$173</definedName>
    <definedName name="accmdepr">#REF!</definedName>
    <definedName name="ACF">[7]Entry!$A$104</definedName>
    <definedName name="ACFS">#REF!</definedName>
    <definedName name="ActiveQtrs">#REF!</definedName>
    <definedName name="adfg" hidden="1">{#N/A,#N/A,TRUE,"Monthly BCG";#N/A,#N/A,TRUE,"Monthly w|o Wireless";#N/A,#N/A,TRUE,"Monthly Wireless"}</definedName>
    <definedName name="adminexp">#REF!</definedName>
    <definedName name="adminexpqtr">#REF!</definedName>
    <definedName name="AEBIT">[7]Entry!$A$101</definedName>
    <definedName name="AEBITDA">[7]Entry!$A$102</definedName>
    <definedName name="AEBITDAX">[7]Entry!$A$103</definedName>
    <definedName name="AES">#REF!</definedName>
    <definedName name="Aggregator_Costs">[8]Assumptions!$B$159</definedName>
    <definedName name="AIT_2_Tapes">#REF!</definedName>
    <definedName name="ALL">#REF!</definedName>
    <definedName name="Amort">#REF!</definedName>
    <definedName name="ANetInc">[7]Entry!$A$99</definedName>
    <definedName name="ann.growth">'[4]Plan 00'!#REF!</definedName>
    <definedName name="anngrowth">'[4]Plan 00'!#REF!</definedName>
    <definedName name="AnnualGrowth">'[9]Plan 00'!#REF!</definedName>
    <definedName name="anscount" hidden="1">2</definedName>
    <definedName name="App_Server_Costs">[8]Assumptions!$B$162</definedName>
    <definedName name="ARA_Threshold">#REF!</definedName>
    <definedName name="Arcserve9License">#REF!</definedName>
    <definedName name="areax1">#REF!</definedName>
    <definedName name="areax2">#REF!</definedName>
    <definedName name="areax3">#REF!</definedName>
    <definedName name="ARP_Threshold">#REF!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hidden="1">{#N/A,#N/A,TRUE,"4Q BCG";#N/A,#N/A,TRUE,"4Q w|o Wireless";#N/A,#N/A,TRUE,"4Q Wireless"}</definedName>
    <definedName name="asdf" hidden="1">{#N/A,#N/A,FALSE,"Qrt Fcst";#N/A,#N/A,FALSE,"Qrt Fcst vs Plan &amp; PY";#N/A,#N/A,FALSE,"FY Fcst vs Plan &amp; PY";#N/A,#N/A,FALSE,"EVA CAP";#N/A,#N/A,FALSE,"EVA NOPAT"}</definedName>
    <definedName name="asf" hidden="1">{#N/A,#N/A,TRUE,"Monthly BCG";#N/A,#N/A,TRUE,"Qrt BCG";#N/A,#N/A,TRUE,"FY BCG";#N/A,#N/A,TRUE,"1Q BCG";#N/A,#N/A,TRUE,"2Q BCG";#N/A,#N/A,TRUE,"3Q BCG";#N/A,#N/A,TRUE,"4Q BCG"}</definedName>
    <definedName name="Asof">#REF!</definedName>
    <definedName name="ASP">#REF!</definedName>
    <definedName name="aug">#REF!</definedName>
    <definedName name="Ausbildung_April">'[6]Aus- und Weiterbildung'!$H$34</definedName>
    <definedName name="Ausbildung_August">'[6]Aus- und Weiterbildung'!$L$34</definedName>
    <definedName name="Ausbildung_Dezember">'[6]Aus- und Weiterbildung'!$P$34</definedName>
    <definedName name="Ausbildung_Februar">'[6]Aus- und Weiterbildung'!$F$34</definedName>
    <definedName name="Ausbildung_Januar">'[6]Aus- und Weiterbildung'!$E$34</definedName>
    <definedName name="Ausbildung_Juli">'[6]Aus- und Weiterbildung'!$K$34</definedName>
    <definedName name="Ausbildung_Juni">'[6]Aus- und Weiterbildung'!$J$34</definedName>
    <definedName name="Ausbildung_Mai">'[6]Aus- und Weiterbildung'!$I$34</definedName>
    <definedName name="Ausbildung_März">'[6]Aus- und Weiterbildung'!$G$34</definedName>
    <definedName name="Ausbildung_November">'[6]Aus- und Weiterbildung'!$O$34</definedName>
    <definedName name="Ausbildung_Oktober">'[6]Aus- und Weiterbildung'!$N$34</definedName>
    <definedName name="Ausbildung_September">'[6]Aus- und Weiterbildung'!$M$34</definedName>
    <definedName name="AverageEquity">#REF!</definedName>
    <definedName name="AveYear">#REF!</definedName>
    <definedName name="AVGUnitCost">#REF!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>#REF!</definedName>
    <definedName name="b" hidden="1">{#N/A,#N/A,FALSE,"Dev_Total";#N/A,#N/A,FALSE,"Dev_Comp";#N/A,#N/A,FALSE,"Dev_Equip"}</definedName>
    <definedName name="Backup_Cost_incremental_clients">#REF!</definedName>
    <definedName name="Backup_Disk_Cost_for_4000_TB">#REF!</definedName>
    <definedName name="Backup_Licenses_Increments">#REF!</definedName>
    <definedName name="Backup_Licenses_Initial_Purchase">#REF!</definedName>
    <definedName name="Backup_Licenses_new_soft">#REF!</definedName>
    <definedName name="Backup_Storage_Increments">#REF!</definedName>
    <definedName name="Backup_Storage_Ratio_to_DB_storage">#REF!</definedName>
    <definedName name="BackupStorageCost">#REF!</definedName>
    <definedName name="Balance_Sheet">#REF!</definedName>
    <definedName name="Bandwidth_Cost_ATT">#REF!</definedName>
    <definedName name="Bandwidth_Cost_ATT_OLD">#REF!</definedName>
    <definedName name="Bandwidth_Cost_ATT_UPDATED2H04">#REF!</definedName>
    <definedName name="Bandwidth_Cost_EMC">#REF!</definedName>
    <definedName name="Bandwidth_Cost_for_Overage__GB_EMC">#REF!</definedName>
    <definedName name="Bandwidth_Cost_for_Overage__Mbps_ATT">#REF!</definedName>
    <definedName name="Bandwidth_Cost_for_Overage__Mbps_ATT_OLD">#REF!</definedName>
    <definedName name="Bandwidth_Cost_for_Overage__Mbps_ATT_UPDATED2H04">#REF!</definedName>
    <definedName name="Bandwidth_Cost_for_Overage__Mbps_Inflow">#REF!</definedName>
    <definedName name="Bandwidth_Cost_for_Overage__Mbps_TBD">#REF!</definedName>
    <definedName name="Bandwidth_Cost_Inflow">#REF!</definedName>
    <definedName name="Bandwidth_Cost_per_GB">#REF!</definedName>
    <definedName name="Bandwidth_Cost_TBD">#REF!</definedName>
    <definedName name="Bandwidth_Inbound_Percentage_Inflow">#REF!</definedName>
    <definedName name="Bandwidth_Percentage_ATT">#REF!</definedName>
    <definedName name="Bandwidth_Percentage_ATT_OLD">#REF!</definedName>
    <definedName name="Bandwidth_Percentage_ATT_UPDATED2H04">#REF!</definedName>
    <definedName name="Bandwidth_Percentage_EMC">#REF!</definedName>
    <definedName name="Bandwidth_Percentage_Inbound">#REF!</definedName>
    <definedName name="Bandwidth_Percentage_Inflow">#REF!</definedName>
    <definedName name="Bandwidth_Percentage_Inflow_OLD">#REF!</definedName>
    <definedName name="Bandwidth_Percentage_TBD">#REF!</definedName>
    <definedName name="Bandwidth_Uptick_for_95_percentile_to_100">#REF!</definedName>
    <definedName name="Beratung_April">[6]Beratungskosten!$H$30</definedName>
    <definedName name="Beratung_August">[6]Beratungskosten!$L$30</definedName>
    <definedName name="Beratung_Dezember">[6]Beratungskosten!$P$30</definedName>
    <definedName name="Beratung_Februar">[6]Beratungskosten!$F$30</definedName>
    <definedName name="Beratung_Januar">[6]Beratungskosten!$E$30</definedName>
    <definedName name="Beratung_Juli">[6]Beratungskosten!$K$30</definedName>
    <definedName name="Beratung_Juni">[6]Beratungskosten!$J$30</definedName>
    <definedName name="Beratung_Mai">[6]Beratungskosten!$I$30</definedName>
    <definedName name="Beratung_März">[6]Beratungskosten!$G$30</definedName>
    <definedName name="Beratung_November">[6]Beratungskosten!$O$30</definedName>
    <definedName name="Beratung_Oktober">[6]Beratungskosten!$N$30</definedName>
    <definedName name="Beratung_September">[6]Beratungskosten!$M$30</definedName>
    <definedName name="BG_Del" hidden="1">15</definedName>
    <definedName name="BG_Ins" hidden="1">4</definedName>
    <definedName name="BG_Mod" hidden="1">6</definedName>
    <definedName name="bgbg">[0]!bgbg</definedName>
    <definedName name="Bkup_Soft_Maint_3_yr_5x9x8">#REF!</definedName>
    <definedName name="blank">[7]Entry!#REF!</definedName>
    <definedName name="BookV">#REF!</definedName>
    <definedName name="Bottom_Row">[7]Entry!$A$71:$IV$71</definedName>
    <definedName name="Bottom_Row2">[7]Entry!$A$105:$IV$105</definedName>
    <definedName name="BottomRow_BS">#REF!</definedName>
    <definedName name="Brocade_SAN_Switch_Cost">#REF!</definedName>
    <definedName name="BS">[10]BS!$A$1:$P$89</definedName>
    <definedName name="BS_CANd">#REF!</definedName>
    <definedName name="BS_CANl">#REF!</definedName>
    <definedName name="BS_FSCd">#REF!</definedName>
    <definedName name="BS_HUNd">#REF!</definedName>
    <definedName name="BS_HUNl">#REF!</definedName>
    <definedName name="BS_PLMTd">#REF!</definedName>
    <definedName name="BS_PRd">#REF!</definedName>
    <definedName name="BS_SSFd">#REF!</definedName>
    <definedName name="BS_UKd">#REF!</definedName>
    <definedName name="BS_UKl">#REF!</definedName>
    <definedName name="BSMerge1">#REF!</definedName>
    <definedName name="BSMerge2">#REF!</definedName>
    <definedName name="BSMerge3">#REF!</definedName>
    <definedName name="BSMerge4">#REF!</definedName>
    <definedName name="BSPres">[10]BS!$A$1:$P$97</definedName>
    <definedName name="BSTemp1">#REF!</definedName>
    <definedName name="BSTemp2">#REF!</definedName>
    <definedName name="BSTemp3">#REF!</definedName>
    <definedName name="BSTemp4">#REF!</definedName>
    <definedName name="C_Dept">#REF!</definedName>
    <definedName name="capamt">#REF!</definedName>
    <definedName name="Cash">#REF!</definedName>
    <definedName name="casha">#REF!</definedName>
    <definedName name="cashaccr">#REF!</definedName>
    <definedName name="cashamort">#REF!</definedName>
    <definedName name="CashboxIds">#REF!</definedName>
    <definedName name="cashgain">'[11]2. Schedule of Investments'!#REF!</definedName>
    <definedName name="CashInEF">#REF!</definedName>
    <definedName name="CashInIR">#REF!</definedName>
    <definedName name="CashOutCapex">#REF!</definedName>
    <definedName name="CashOutExp">#REF!</definedName>
    <definedName name="cashpaid">#REF!</definedName>
    <definedName name="CASHPMTS">#REF!</definedName>
    <definedName name="cashpurch">#REF!</definedName>
    <definedName name="cashugl">#REF!</definedName>
    <definedName name="Category">#REF!</definedName>
    <definedName name="CBWorkbookPriority" hidden="1">-203281184</definedName>
    <definedName name="ChangeDates">#REF!</definedName>
    <definedName name="CHECK">#REF!</definedName>
    <definedName name="Cisco_11503_Support_Costs">[8]Assumptions!$B$172</definedName>
    <definedName name="Cisco_2651_Router_w_VPN">#REF!</definedName>
    <definedName name="Cisco_2950T_24_cost">#REF!</definedName>
    <definedName name="Cisco_3550_12T_cost">#REF!</definedName>
    <definedName name="Cisco_3550_Costs">[8]Assumptions!$B$176</definedName>
    <definedName name="Cisco_3550_Support_Costs">[8]Assumptions!$B$177</definedName>
    <definedName name="Cisco_IOS_7200_IPSEC_Upgrade">#REF!</definedName>
    <definedName name="Cisco_SSL_Accelerator_Support_Costs">[8]Assumptions!$B$173</definedName>
    <definedName name="code1">#REF!</definedName>
    <definedName name="code2">[12]input!#REF!</definedName>
    <definedName name="code3">#REF!</definedName>
    <definedName name="cogs">#REF!</definedName>
    <definedName name="column">#REF!</definedName>
    <definedName name="CommonSize_BS">#REF!</definedName>
    <definedName name="CommonSize_BS_Col1">#REF!</definedName>
    <definedName name="CommonSize_IS">[7]Entry!$P$2:$AC$67</definedName>
    <definedName name="Company">#REF!</definedName>
    <definedName name="Company_ID">'[13]Entity Table'!$A$1:$B$23</definedName>
    <definedName name="Company1">#REF!</definedName>
    <definedName name="Company2">#REF!</definedName>
    <definedName name="CONV">'[14]MergeCo Cap Table'!$D$4</definedName>
    <definedName name="convert">#REF!</definedName>
    <definedName name="Cost_of_AIT_3_Tapes">#REF!</definedName>
    <definedName name="Cost_of_Fibre_Cables">#REF!</definedName>
    <definedName name="Cost_of_GBIC">#REF!</definedName>
    <definedName name="Cost_of_SSL_Certs__1_year_renewal">#REF!</definedName>
    <definedName name="CostofGoods">[7]Entry!$A$18:$A$29</definedName>
    <definedName name="CR">#REF!</definedName>
    <definedName name="_xlnm.Criteria">#REF!</definedName>
    <definedName name="CS_BS_Col1">#REF!</definedName>
    <definedName name="CSCol1">[7]Entry!$P$1:$P$65536</definedName>
    <definedName name="CSEX">'[15]MergeCo Cap Table'!$D$4</definedName>
    <definedName name="CSS_11501_cost">#REF!</definedName>
    <definedName name="CSS_11503_cost">#REF!</definedName>
    <definedName name="Cubix_Replacement_Strategy">#REF!</definedName>
    <definedName name="CumInvSubs">#REF!</definedName>
    <definedName name="CurrentQuarter">#REF!</definedName>
    <definedName name="d" hidden="1">{#N/A,#N/A,FALSE,"Sales_Total";#N/A,#N/A,FALSE,"Sales_Comp";#N/A,#N/A,FALSE,"Sales_Ops"}</definedName>
    <definedName name="DA_Server_Costs">[8]Assumptions!$B$161</definedName>
    <definedName name="Data">'[16]AR - R&amp;D Funding'!#REF!</definedName>
    <definedName name="data64">[17]Invoice!$D$39</definedName>
    <definedName name="data8">#REF!</definedName>
    <definedName name="_xlnm.Database">#REF!</definedName>
    <definedName name="DataCenter_Strategy">#REF!</definedName>
    <definedName name="DataCompression">#REF!</definedName>
    <definedName name="DataCompression_2005">[8]Assumptions!$B$44</definedName>
    <definedName name="DataCompressionfactor">#REF!</definedName>
    <definedName name="Date">#REF!</definedName>
    <definedName name="date1">[7]Entry!#REF!</definedName>
    <definedName name="Dates">[7]Entry!$A$8:$IV$8</definedName>
    <definedName name="Dates_BS">#REF!</definedName>
    <definedName name="Dates2">[7]Entry!$A$84:$IV$84</definedName>
    <definedName name="DateTable">[18]!DateTable</definedName>
    <definedName name="DB_Server_Cost">#REF!</definedName>
    <definedName name="DB_Server_Costs">[8]Assumptions!$B$158</definedName>
    <definedName name="DBStrategy">#REF!</definedName>
    <definedName name="de0843fees">#REF!</definedName>
    <definedName name="de0843value">#REF!</definedName>
    <definedName name="dec">#REF!</definedName>
    <definedName name="Dell_1U_1GB">#REF!</definedName>
    <definedName name="Dell_1U_2GB">#REF!</definedName>
    <definedName name="Dell_2_yr_service_contract_PE_2450">#REF!</definedName>
    <definedName name="Dell_2_yr_service_contract_PE_4400">#REF!</definedName>
    <definedName name="Dell_Blade_1GB_RAM">#REF!</definedName>
    <definedName name="Dell_Blade_2GB_RAM">#REF!</definedName>
    <definedName name="Dell_Blade_Base">#REF!</definedName>
    <definedName name="Dep">#REF!</definedName>
    <definedName name="Dep.">#REF!</definedName>
    <definedName name="Department">#REF!</definedName>
    <definedName name="Dept">#REF!</definedName>
    <definedName name="Description">#REF!</definedName>
    <definedName name="df" hidden="1">{#N/A,#N/A,TRUE,"FY BCG";#N/A,#N/A,TRUE,"FY w|o Wireless";#N/A,#N/A,TRUE,"FY Wireless"}</definedName>
    <definedName name="dflt4">'[17]Customize Your Invoice'!$E$26</definedName>
    <definedName name="dflt5">'[17]Customize Your Invoice'!$E$27</definedName>
    <definedName name="dflt6">'[17]Customize Your Invoice'!$D$28</definedName>
    <definedName name="DI">#REF!</definedName>
    <definedName name="DIFF">#REF!</definedName>
    <definedName name="DiskControllerCost">#REF!</definedName>
    <definedName name="DNI">#REF!</definedName>
    <definedName name="Dollar_Variance">#REF!</definedName>
    <definedName name="DR">#REF!</definedName>
    <definedName name="DURATION">#REF!</definedName>
    <definedName name="e" hidden="1">{#N/A,#N/A,FALSE,"4yr_Units";#N/A,#N/A,FALSE,"00yr_Units";#N/A,#N/A,FALSE,"99yr_Units";#N/A,#N/A,FALSE,"98yr_Units";#N/A,#N/A,FALSE,"97yr_Units"}</definedName>
    <definedName name="EARN2AmortBeg">#REF!</definedName>
    <definedName name="EARN2CheckSum">'[19]Earnings (Maturity)'!#REF!</definedName>
    <definedName name="EARN2ColumnRefs">#REF!</definedName>
    <definedName name="EARN2CrValue">'[19]Earnings (Maturity)'!#REF!</definedName>
    <definedName name="EARN2Cusip">#REF!</definedName>
    <definedName name="EARN2DayBasis">'[19]Earnings (Maturity)'!#REF!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prev">'[20]Earnings (Asset)'!#REF!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'[21]Earnings (Asset)'!#REF!</definedName>
    <definedName name="EARNselectmmfpymt2">'[21]Earnings (Asset)'!#REF!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prev">'[20]Earnings (Asset)'!#REF!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eriodLkp2">'[20]Earnings (Asset)'!#REF!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prev">'[20]Earnings (Asset)'!#REF!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prev">'[20]Earnings (Asset)'!#REF!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prev">'[20]Earnings (Asset)'!#REF!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prev">'[20]Earnings (Asset)'!#REF!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BIT">#REF!</definedName>
    <definedName name="EBITAve">#REF!</definedName>
    <definedName name="EBITCoef">#REF!</definedName>
    <definedName name="EBITComp">#REF!</definedName>
    <definedName name="EBITDA">#REF!</definedName>
    <definedName name="EBITDAAve">#REF!</definedName>
    <definedName name="EBITDACoef">#REF!</definedName>
    <definedName name="EBT">#REF!</definedName>
    <definedName name="EFFECTIVE_I">#REF!</definedName>
    <definedName name="ELic">#REF!</definedName>
    <definedName name="ELic2">#REF!</definedName>
    <definedName name="ELic3">#REF!</definedName>
    <definedName name="ELic4">#REF!</definedName>
    <definedName name="ELic5">#REF!</definedName>
    <definedName name="EMC_Monthly_Rates">#REF!</definedName>
    <definedName name="EMC_Storage_Mirroring_Factor___BCV">#REF!</definedName>
    <definedName name="EMCStorageMaintPerMonth">#REF!</definedName>
    <definedName name="EMCStorageReUse">#REF!</definedName>
    <definedName name="Emp_Lkup">[22]List!#REF!</definedName>
    <definedName name="employees">'[23]Cash flow2004'!#REF!</definedName>
    <definedName name="employees1">'[23]Cash flow2004'!#REF!</definedName>
    <definedName name="engdriveexp">#REF!</definedName>
    <definedName name="engdriveexpqtr">#REF!</definedName>
    <definedName name="engr_prcnt_training">0.025</definedName>
    <definedName name="Enterprise">#REF!</definedName>
    <definedName name="EPs">#REF!</definedName>
    <definedName name="Estimate">#REF!</definedName>
    <definedName name="ESupp">#REF!</definedName>
    <definedName name="ESupp2">#REF!</definedName>
    <definedName name="ESupp3">#REF!</definedName>
    <definedName name="ESupp4">#REF!</definedName>
    <definedName name="ESupp5">#REF!</definedName>
    <definedName name="ESuppQtr">#REF!</definedName>
    <definedName name="ESuppQtr2">#REF!</definedName>
    <definedName name="ESuppQtr3">#REF!</definedName>
    <definedName name="ESuppQtr4">#REF!</definedName>
    <definedName name="ESuppQtr5">#REF!</definedName>
    <definedName name="Excel_Generator_Costs">[8]Assumptions!$B$166</definedName>
    <definedName name="Exhibits">[7]Template!$A$101:$A$116</definedName>
    <definedName name="Existing_Customer_PV_Increase_month">#REF!</definedName>
    <definedName name="Exp">#REF!</definedName>
    <definedName name="Export_Server_Costs">[8]Assumptions!$B$164</definedName>
    <definedName name="f" hidden="1">{#N/A,#N/A,TRUE,"3Q BCG";#N/A,#N/A,TRUE,"3Q w|o Wireless";#N/A,#N/A,TRUE,"3Q Wireless"}</definedName>
    <definedName name="FACE">#REF!</definedName>
    <definedName name="FACE0">#REF!</definedName>
    <definedName name="FACEMAR">#REF!</definedName>
    <definedName name="Factor_Dedicated_Server_Client">#REF!</definedName>
    <definedName name="Factor_High_Volume_Client">#REF!</definedName>
    <definedName name="Factor_New_Report">#REF!</definedName>
    <definedName name="FAT">#REF!</definedName>
    <definedName name="fcsq">[0]!fcsq</definedName>
    <definedName name="fdsafdsafdsa">#REF!</definedName>
    <definedName name="fdsfd" hidden="1">#REF!</definedName>
    <definedName name="feb">#REF!</definedName>
    <definedName name="FHorizontalAxis">#REF!</definedName>
    <definedName name="FIFO_PUR_COST">'[24]FIFO Purchase Cost analysis'!$A$4:$T$72</definedName>
    <definedName name="FirstYear">[7]Entry!$K$1:$K$65536</definedName>
    <definedName name="FirstYear_BS">#REF!</definedName>
    <definedName name="FModelCompany">#REF!</definedName>
    <definedName name="For_estimated_supplemental_assessment_on__leasehold_improvements_added_from_3_1_91_to_2_28_92.">'[25]Accrued exp - taxes'!#REF!</definedName>
    <definedName name="Format_Value">[0]!Format_Value</definedName>
    <definedName name="FOtherAxes">#REF!</definedName>
    <definedName name="FReportBody">#REF!</definedName>
    <definedName name="FReportTitle">#REF!</definedName>
    <definedName name="FunnelNumSum">#REF!</definedName>
    <definedName name="FVerticalAxis">#REF!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>#REF!</definedName>
    <definedName name="GehaltApril">[6]Personalkosten!$H$47</definedName>
    <definedName name="GehaltAugust">[6]Personalkosten!$L$47</definedName>
    <definedName name="GehaltDezember">[6]Personalkosten!$P$47</definedName>
    <definedName name="GehaltFebruar">[6]Personalkosten!$F$47</definedName>
    <definedName name="GehaltJanuar">[6]Personalkosten!$E$47</definedName>
    <definedName name="GehaltJuli">[6]Personalkosten!$K$47</definedName>
    <definedName name="GehaltJuni">[6]Personalkosten!$J$47</definedName>
    <definedName name="gehaltMai">[6]Personalkosten!$I$47</definedName>
    <definedName name="GehaltMärz">[6]Personalkosten!$G$47</definedName>
    <definedName name="GehaltNovember">[6]Personalkosten!$O$47</definedName>
    <definedName name="GehaltOktober">[6]Personalkosten!$N$47</definedName>
    <definedName name="GehaltSeptember">[6]Personalkosten!$M$47</definedName>
    <definedName name="Gesamtkosten_April">#REF!</definedName>
    <definedName name="Gesamtkosten_August">#REF!</definedName>
    <definedName name="Gesamtkosten_Dezember">#REF!</definedName>
    <definedName name="Gesamtkosten_Februar">#REF!</definedName>
    <definedName name="Gesamtkosten_Januar">#REF!</definedName>
    <definedName name="Gesamtkosten_Juli">#REF!</definedName>
    <definedName name="gesamtkosten_Juni">#REF!</definedName>
    <definedName name="Gesamtkosten_Mai">#REF!</definedName>
    <definedName name="Gesamtkosten_März">#REF!</definedName>
    <definedName name="Gesamtkosten_November">#REF!</definedName>
    <definedName name="Gesamtkosten_Oktober">#REF!</definedName>
    <definedName name="Gesamtkosten_September">#REF!</definedName>
    <definedName name="gfgfgf">'[26]Cash Flow Statement'!#REF!</definedName>
    <definedName name="GLAccounts">#REF!</definedName>
    <definedName name="GLNames">#REF!</definedName>
    <definedName name="GP">[7]Entry!$A$19:$A$28</definedName>
    <definedName name="GPCS">[7]Entry!$P$29</definedName>
    <definedName name="GPINT">[7]Entry!$N$29</definedName>
    <definedName name="GPlines">[7]Entry!$A$28:$A$28</definedName>
    <definedName name="GPS">#REF!</definedName>
    <definedName name="GRAPHPAGE">#REF!</definedName>
    <definedName name="GRD">'[16]AR - R&amp;D Funding'!#REF!</definedName>
    <definedName name="GTITLE1">#REF!</definedName>
    <definedName name="GTITLE2">#REF!</definedName>
    <definedName name="GTITLE3">#REF!</definedName>
    <definedName name="GTITLE4">#REF!</definedName>
    <definedName name="GuidelineMax">#REF!</definedName>
    <definedName name="GVKey">""</definedName>
    <definedName name="H">#REF!</definedName>
    <definedName name="hbhbhj" hidden="1">{#N/A,#N/A,FALSE,"Aging Summary";#N/A,#N/A,FALSE,"Ratio Analysis";#N/A,#N/A,FALSE,"Test 120 Day Accts";#N/A,#N/A,FALSE,"Tickmarks"}</definedName>
    <definedName name="Head_Unit_cost_for_DB_SAN">#REF!</definedName>
    <definedName name="headcount">#REF!</definedName>
    <definedName name="Header">#REF!</definedName>
    <definedName name="hgf">[0]!hgf</definedName>
    <definedName name="hhh" hidden="1">{#N/A,#N/A,TRUE,"4Q BCG";#N/A,#N/A,TRUE,"4Q w|o Wireless";#N/A,#N/A,TRUE,"4Q Wireless"}</definedName>
    <definedName name="Hierarchy">#REF!</definedName>
    <definedName name="High_Volume_Customer_PV___Month">#REF!*1000000</definedName>
    <definedName name="hitech">#REF!</definedName>
    <definedName name="HJ_A">[27]Brugstaat!$M$6</definedName>
    <definedName name="HJ_A00">[27]Brugstaat!$M$7</definedName>
    <definedName name="HJ_A00.10">[27]Brugstaat!$M$8</definedName>
    <definedName name="HJ_A00.20">[27]Brugstaat!$M$9</definedName>
    <definedName name="HJ_A00.30">[27]Brugstaat!$M$10</definedName>
    <definedName name="HJ_A00.50">[27]Brugstaat!$M$12</definedName>
    <definedName name="HJ_A00.60">[27]Brugstaat!$M$13</definedName>
    <definedName name="HJ_A00.70">[27]Brugstaat!$M$14</definedName>
    <definedName name="HJ_A20">[27]Brugstaat!$M$16</definedName>
    <definedName name="HJ_A20.10">[27]Brugstaat!$M$17</definedName>
    <definedName name="HJ_A20.20">[27]Brugstaat!$M$18</definedName>
    <definedName name="HJ_A20.30">[27]Brugstaat!$M$19</definedName>
    <definedName name="HJ_A20.50">[27]Brugstaat!$M$21</definedName>
    <definedName name="HJ_A20.60">[27]Brugstaat!$M$22</definedName>
    <definedName name="HJ_A20.70">[27]Brugstaat!$M$23</definedName>
    <definedName name="HJ_A40">[27]Brugstaat!$M$25</definedName>
    <definedName name="HJ_A40.10">[27]Brugstaat!$M$26</definedName>
    <definedName name="HJ_A40.20">[27]Brugstaat!$M$27</definedName>
    <definedName name="HJ_A40.30">[27]Brugstaat!$M$28</definedName>
    <definedName name="HJ_A40.50">[27]Brugstaat!$M$30</definedName>
    <definedName name="HJ_A40.60">[27]Brugstaat!$M$31</definedName>
    <definedName name="HJ_A40.70">[27]Brugstaat!$M$32</definedName>
    <definedName name="HJ_A60">[27]Brugstaat!$M$34</definedName>
    <definedName name="HJ_A60.10">[27]Brugstaat!$M$35</definedName>
    <definedName name="HJ_A60.20">[27]Brugstaat!$M$36</definedName>
    <definedName name="HJ_A60.30">[27]Brugstaat!$M$37</definedName>
    <definedName name="HJ_A60.50">[27]Brugstaat!$M$39</definedName>
    <definedName name="HJ_A60.60">[27]Brugstaat!$M$40</definedName>
    <definedName name="HJ_A60.70">[27]Brugstaat!$M$41</definedName>
    <definedName name="HJ_A80">[27]Brugstaat!$M$43</definedName>
    <definedName name="HJ_A80.10">[27]Brugstaat!$M$44</definedName>
    <definedName name="HJ_A80.20">[27]Brugstaat!$M$45</definedName>
    <definedName name="HJ_A80.30">[27]Brugstaat!$M$46</definedName>
    <definedName name="HJ_A80.50">[27]Brugstaat!$M$48</definedName>
    <definedName name="HJ_A80.60">[27]Brugstaat!$M$49</definedName>
    <definedName name="HJ_A80.70">[27]Brugstaat!$M$50</definedName>
    <definedName name="HJ_B">[27]Brugstaat!$M$52</definedName>
    <definedName name="HJ_B00">[27]Brugstaat!$M$53</definedName>
    <definedName name="HJ_B00.10">[27]Brugstaat!$M$54</definedName>
    <definedName name="HJ_B00.20">[27]Brugstaat!$M$55</definedName>
    <definedName name="HJ_B00.30">[27]Brugstaat!$M$56</definedName>
    <definedName name="HJ_B00.50">[27]Brugstaat!$M$58</definedName>
    <definedName name="HJ_B00.60">[27]Brugstaat!$M$59</definedName>
    <definedName name="HJ_B00.70">[27]Brugstaat!$M$60</definedName>
    <definedName name="HJ_B20">[27]Brugstaat!$M$62</definedName>
    <definedName name="HJ_B20.10">[27]Brugstaat!$M$63</definedName>
    <definedName name="HJ_B20.20">[27]Brugstaat!$M$64</definedName>
    <definedName name="HJ_B20.30">[27]Brugstaat!$M$65</definedName>
    <definedName name="HJ_B20.50">[27]Brugstaat!$M$67</definedName>
    <definedName name="HJ_B20.60">[27]Brugstaat!$M$68</definedName>
    <definedName name="HJ_B20.70">[27]Brugstaat!$M$69</definedName>
    <definedName name="HJ_B40">[27]Brugstaat!$M$71</definedName>
    <definedName name="HJ_B40.10">[27]Brugstaat!$M$72</definedName>
    <definedName name="HJ_B40.20">[27]Brugstaat!$M$73</definedName>
    <definedName name="HJ_B40.30">[27]Brugstaat!$M$74</definedName>
    <definedName name="HJ_B40.50">[27]Brugstaat!$M$76</definedName>
    <definedName name="HJ_B40.60">[27]Brugstaat!$M$77</definedName>
    <definedName name="HJ_B40.70">[27]Brugstaat!$M$78</definedName>
    <definedName name="HJ_B60">[27]Brugstaat!$M$80</definedName>
    <definedName name="HJ_B60.10">[27]Brugstaat!$M$81</definedName>
    <definedName name="HJ_B60.20">[27]Brugstaat!$M$82</definedName>
    <definedName name="HJ_B60.30">[27]Brugstaat!$M$83</definedName>
    <definedName name="HJ_B60.50">[27]Brugstaat!$M$85</definedName>
    <definedName name="HJ_B60.60">[27]Brugstaat!$M$86</definedName>
    <definedName name="HJ_B60.70">[27]Brugstaat!$M$87</definedName>
    <definedName name="HJ_B80">[27]Brugstaat!$M$89</definedName>
    <definedName name="HJ_B80.10">[27]Brugstaat!$M$90</definedName>
    <definedName name="HJ_B80.20">[27]Brugstaat!$M$91</definedName>
    <definedName name="HJ_B80.30">[27]Brugstaat!$M$92</definedName>
    <definedName name="HJ_B80.50">[27]Brugstaat!$M$94</definedName>
    <definedName name="HJ_B80.60">[27]Brugstaat!$M$95</definedName>
    <definedName name="HJ_B80.70">[27]Brugstaat!$M$96</definedName>
    <definedName name="hrs">#REF!</definedName>
    <definedName name="IAEG">#REF!</definedName>
    <definedName name="IANI">'[7]COMP 1'!$A$34</definedName>
    <definedName name="IANIG">#REF!</definedName>
    <definedName name="IBDTC">#REF!</definedName>
    <definedName name="IBM_1U_1GB">SUM(#REF!,#REF!,#REF!,#REF!)</definedName>
    <definedName name="IBM_1U_2GB">SUM(#REF!,#REF!,#REF!,#REF!,#REF!,#REF!)</definedName>
    <definedName name="IBM_Blade_1GB_RAM">SUM(#REF!,#REF!,#REF!)</definedName>
    <definedName name="IBM_Blade_2GB_RAM">SUM(#REF!,#REF!,#REF!,#REF!)</definedName>
    <definedName name="IBM_Blade_Base">SUM(#REF!,#REF!)</definedName>
    <definedName name="IC">#REF!</definedName>
    <definedName name="IHO_Blg1Nr">[27]Inhoud!$B$54</definedName>
    <definedName name="IHO_Blg1Omschr">[27]Inhoud!$C$54</definedName>
    <definedName name="Income_Adjustments">[7]Entry!$A$79:$N$106</definedName>
    <definedName name="Income_Statement">[7]Entry!$A$2:$N$70</definedName>
    <definedName name="increases">[28]lookups!$F$2:$G$25</definedName>
    <definedName name="Incremental_cost___new_BkUp_server">#REF!</definedName>
    <definedName name="IndirectDiscount">#REF!</definedName>
    <definedName name="Inflow_Storage_Increments__RAW">#REF!</definedName>
    <definedName name="Inflow_Storage_Mirroring_Factor">#REF!</definedName>
    <definedName name="Initial_cost___Backup_Software">#REF!</definedName>
    <definedName name="Initial_cost_for_Storage_first_purchase">#REF!</definedName>
    <definedName name="Install_costs_for_2_tray_disks">#REF!</definedName>
    <definedName name="Install_costs_for_Head_Unit_Disks">#REF!</definedName>
    <definedName name="Int">#REF!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>#REF!</definedName>
    <definedName name="Intel_Pro100_Server_cards">#REF!</definedName>
    <definedName name="Interim">[7]Entry!$L$1:$M$65536</definedName>
    <definedName name="Interim2">[7]Entry!$AA$1:$AB$65536</definedName>
    <definedName name="INTR78">#REF!</definedName>
    <definedName name="INTSL">#REF!</definedName>
    <definedName name="IP_Phone_7960_Costs">[8]Assumptions!$B$169</definedName>
    <definedName name="IP_Phone_7960_Support_Costs">[8]Assumptions!$B$170</definedName>
    <definedName name="IP_Phone_Power_Cord_Costs">[8]Assumptions!$B$171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_CANd">#REF!</definedName>
    <definedName name="IS_CANl">#REF!</definedName>
    <definedName name="IS_FSCd">#REF!</definedName>
    <definedName name="IS_Full">[7]Entry!$A$2:$N$77</definedName>
    <definedName name="IS_HUNd">#REF!</definedName>
    <definedName name="IS_HUNl">#REF!</definedName>
    <definedName name="IS_ISd">#REF!</definedName>
    <definedName name="IS_PLMTd">#REF!</definedName>
    <definedName name="IS_PRd">#REF!</definedName>
    <definedName name="IS_Print">[7]Entry!$A$2:$N$74</definedName>
    <definedName name="IS_SSFd">#REF!</definedName>
    <definedName name="IS_UKd">#REF!</definedName>
    <definedName name="IS_UKl">#REF!</definedName>
    <definedName name="ISG">#REF!</definedName>
    <definedName name="ISPresMo">#REF!</definedName>
    <definedName name="ISPresYTD">#REF!</definedName>
    <definedName name="Italy">'[16]AR - R&amp;D Funding'!#REF!</definedName>
    <definedName name="jan">#REF!</definedName>
    <definedName name="jjj" hidden="1">{#N/A,#N/A,TRUE,"4Q BCG";#N/A,#N/A,TRUE,"4Q w|o Wireless";#N/A,#N/A,TRUE,"4Q Wireless"}</definedName>
    <definedName name="jkj" hidden="1">{#N/A,#N/A,TRUE,"FY BCG";#N/A,#N/A,TRUE,"FY w|o Wireless";#N/A,#N/A,TRUE,"FY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>#REF!</definedName>
    <definedName name="JMS_License_increments">#REF!</definedName>
    <definedName name="jobs">#REF!</definedName>
    <definedName name="JSXLicense">#REF!</definedName>
    <definedName name="june">#REF!</definedName>
    <definedName name="ka">#REF!</definedName>
    <definedName name="KFZ_April">[6]Fahrzeugkosten!$H$35</definedName>
    <definedName name="KFZ_August">[6]Fahrzeugkosten!$L$35</definedName>
    <definedName name="KFZ_Dezember">[6]Fahrzeugkosten!$P$35</definedName>
    <definedName name="KFZ_Februar">[6]Fahrzeugkosten!$F$35</definedName>
    <definedName name="KFZ_Januar">[6]Fahrzeugkosten!$E$35</definedName>
    <definedName name="KFZ_Juli">[6]Fahrzeugkosten!$K$35</definedName>
    <definedName name="KFZ_Juni">[6]Fahrzeugkosten!$J$35</definedName>
    <definedName name="KFZ_Mai">[6]Fahrzeugkosten!$I$35</definedName>
    <definedName name="KFZ_März">[6]Fahrzeugkosten!$G$35</definedName>
    <definedName name="KFZ_November">[6]Fahrzeugkosten!$O$35</definedName>
    <definedName name="KFZ_Oktober">[6]Fahrzeugkosten!$N$35</definedName>
    <definedName name="KFZ_September">[6]Fahrzeugkosten!$M$35</definedName>
    <definedName name="Lager_001_12_2001">'[29]Dezember 2001'!$I$510</definedName>
    <definedName name="Lager_004_12_2001">'[29]Dezember 2001'!$I$532</definedName>
    <definedName name="Lager_100_12_2001">'[29]Dezember 2001'!$I$1367</definedName>
    <definedName name="Lager_999_12_2001">'[29]Dezember 2001'!$I$1382</definedName>
    <definedName name="LastAE">#REF!</definedName>
    <definedName name="LastColumn">[7]Entry!$N$1:$N$65536</definedName>
    <definedName name="LastColumn1">[7]Entry!$AC$1:$AC$65536</definedName>
    <definedName name="Liabilities">#REF!</definedName>
    <definedName name="ListOffset" hidden="1">1</definedName>
    <definedName name="LIVEviewBytesPerPV">#REF!</definedName>
    <definedName name="ltaccr">#REF!</definedName>
    <definedName name="ltamort">#REF!</definedName>
    <definedName name="LTDTC">#REF!</definedName>
    <definedName name="LTM">#REF!</definedName>
    <definedName name="LTMDate">[7]Template!$C$4</definedName>
    <definedName name="LTMR">'[30]Comp Ratio BS'!#REF!</definedName>
    <definedName name="LTMR1">#REF!</definedName>
    <definedName name="LTMR2">#REF!</definedName>
    <definedName name="ltpaid">#REF!</definedName>
    <definedName name="ltpurch">#REF!</definedName>
    <definedName name="ltugl">#REF!</definedName>
    <definedName name="Lucent_UBS_Financial_Services__Inc.">#REF!</definedName>
    <definedName name="LYN">'[31]ISTMT-QTD'!#REF!</definedName>
    <definedName name="Maintenance_cost_for_2_tray_disks">#REF!</definedName>
    <definedName name="Maintenance_cost_for_Head_Unit_Disks">#REF!</definedName>
    <definedName name="march">#REF!</definedName>
    <definedName name="MarginAmt">#REF!</definedName>
    <definedName name="MarginPercent">#REF!</definedName>
    <definedName name="MARKET">#REF!</definedName>
    <definedName name="master">#REF!</definedName>
    <definedName name="Material_April">[6]Materialeinkauf!$M$177</definedName>
    <definedName name="Material_August">[6]Materialeinkauf!$Q$177</definedName>
    <definedName name="Material_Dezember">[6]Materialeinkauf!$U$177</definedName>
    <definedName name="Material_Februar">[6]Materialeinkauf!$K$177</definedName>
    <definedName name="Material_Januar">[6]Materialeinkauf!$J$177</definedName>
    <definedName name="Material_Juli">[6]Materialeinkauf!$P$177</definedName>
    <definedName name="Material_Juni">[6]Materialeinkauf!$O$177</definedName>
    <definedName name="Material_Mai">[6]Materialeinkauf!$N$177</definedName>
    <definedName name="Material_März">[6]Materialeinkauf!$L$177</definedName>
    <definedName name="Material_November">[6]Materialeinkauf!$T$177</definedName>
    <definedName name="Material_Oktober">[6]Materialeinkauf!$S$177</definedName>
    <definedName name="Material_September">[6]Materialeinkauf!$R$177</definedName>
    <definedName name="matrix">#REF!</definedName>
    <definedName name="Max_Customers_per_Database_Server">#REF!</definedName>
    <definedName name="Max_KBps_per_DA_server">#REF!</definedName>
    <definedName name="Max_Trays_per_HeadUnit">#REF!</definedName>
    <definedName name="MaxDBSize">#REF!</definedName>
    <definedName name="MaxHighVolumeClientsPerSystem">#REF!</definedName>
    <definedName name="MaxLowVolumeClientsPerSystem">#REF!</definedName>
    <definedName name="MaxMMPVsPerSystem">#REF!</definedName>
    <definedName name="MaxSystemsPerDiskHead">#REF!</definedName>
    <definedName name="may">#REF!</definedName>
    <definedName name="Merge1">[7]Entry!$B$6</definedName>
    <definedName name="Merge2">[7]Entry!$B$7</definedName>
    <definedName name="Merge3">[7]Entry!$B$72</definedName>
    <definedName name="Merge4">[7]Entry!$B$73</definedName>
    <definedName name="Merge5">[7]Entry!$B$74</definedName>
    <definedName name="Merge6">[7]Entry!$B$106</definedName>
    <definedName name="Merge7">[7]Entry!$Q$6</definedName>
    <definedName name="Merge8">[7]Entry!$Q$7</definedName>
    <definedName name="MergedHeaders">[7]Entry!#REF!,[7]Entry!#REF!,[7]Entry!#REF!,[7]Entry!#REF!,[7]Entry!#REF!,[7]Entry!#REF!</definedName>
    <definedName name="mfgexp">#REF!</definedName>
    <definedName name="mfgexpqtr">#REF!</definedName>
    <definedName name="Microsoft_Office_200_Pro_license">#REF!</definedName>
    <definedName name="Microsoft_SQL_Server_7">#REF!</definedName>
    <definedName name="Microsoft_Visual_C___6.0_Pro">#REF!</definedName>
    <definedName name="Min_Bandwidth_Cost_ATT">#REF!</definedName>
    <definedName name="Min_Bandwidth_Cost_ATT_OLD">#REF!</definedName>
    <definedName name="Min_Bandwidth_Cost_ATT_UPDATED2H04">#REF!</definedName>
    <definedName name="Min_Bandwidth_Cost_EMC">#REF!</definedName>
    <definedName name="Min_Bandwidth_Cost_Inflow">#REF!</definedName>
    <definedName name="Min_Bandwidth_Cost_TBD">#REF!</definedName>
    <definedName name="Minimum_Bandwidth_CIR__GB_EMC">#REF!</definedName>
    <definedName name="Minimum_Bandwidth_CIR__Mbps_ATT">#REF!</definedName>
    <definedName name="Minimum_Bandwidth_CIR__Mbps_ATT_OLD">#REF!</definedName>
    <definedName name="Minimum_Bandwidth_CIR__Mbps_ATT_UPDATED2H04">#REF!</definedName>
    <definedName name="Minimum_Bandwidth_CIR__Mbps_Inflow">#REF!</definedName>
    <definedName name="Minimum_Bandwidth_CIR__Mbps_TBD">#REF!</definedName>
    <definedName name="Minimum_Service_Fee_AT_T_NoRack">SUM(#REF!)</definedName>
    <definedName name="Minimum_Service_Fee_Inflow_No_Rack">SUM(#REF!)</definedName>
    <definedName name="Minimum_Service_Fee_TBD_No_Rack">SUM(#REF!)</definedName>
    <definedName name="mktgexp">#REF!</definedName>
    <definedName name="mktgexpqtr">#REF!</definedName>
    <definedName name="modepr">#REF!</definedName>
    <definedName name="Month">[13]Mth!$A$1:$B$13</definedName>
    <definedName name="Monthly_Rack_Cost_at_AT_T">SUM(#REF!)</definedName>
    <definedName name="Monthly_Rack_Cost_at_Inflow">SUM(#REF!)</definedName>
    <definedName name="Monthly_Rack_Cost_at_TBD">SUM(#REF!)</definedName>
    <definedName name="mty">#REF!</definedName>
    <definedName name="n" hidden="1">{#N/A,#N/A,FALSE,"Aging Summary";#N/A,#N/A,FALSE,"Ratio Analysis";#N/A,#N/A,FALSE,"Test 120 Day Accts";#N/A,#N/A,FALSE,"Tickmarks"}</definedName>
    <definedName name="Name">'[32]Client Info'!$C$3</definedName>
    <definedName name="NameArea">[0]!NameArea</definedName>
    <definedName name="Names">#REF!</definedName>
    <definedName name="nbv">#REF!</definedName>
    <definedName name="NetCashFlow">#REF!</definedName>
    <definedName name="NetEarnings">#REF!</definedName>
    <definedName name="NetGear_WG511NA_Wireless_cards">#REF!</definedName>
    <definedName name="NetGear_WGT624_Wireless_Access_Pt">#REF!</definedName>
    <definedName name="new">'[9]Plan 00'!#REF!</definedName>
    <definedName name="New_Customer_PV_Volume___Month">#REF!*1000000</definedName>
    <definedName name="NEW_LTMR">'[33]Comp Ratio BS'!#REF!</definedName>
    <definedName name="New_Rack_Installation_at_AT_T">#REF!</definedName>
    <definedName name="New_Rack_Installation_at_Inflow">#REF!</definedName>
    <definedName name="New_Rack_Installation_at_TBD">#REF!</definedName>
    <definedName name="New_Rack_Switch_Costs">[8]Assumptions!$B$174</definedName>
    <definedName name="New_Rack_Switch_Support_Costs">[8]Assumptions!$B$175</definedName>
    <definedName name="newcash">#REF!</definedName>
    <definedName name="NewDBLicense">#REF!</definedName>
    <definedName name="NewDBMaintAnnual">#REF!</definedName>
    <definedName name="newheadcount">#REF!</definedName>
    <definedName name="newrevenue">#REF!</definedName>
    <definedName name="next">#REF!</definedName>
    <definedName name="NI">[7]Entry!$A$59:$A$62</definedName>
    <definedName name="NIS">#REF!</definedName>
    <definedName name="Note">[7]Entry!#REF!</definedName>
    <definedName name="Note1">#REF!</definedName>
    <definedName name="ntrate">#REF!</definedName>
    <definedName name="NUMPMTS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>'[4]Plan 00'!#REF!</definedName>
    <definedName name="OE">[7]Entry!$A$41</definedName>
    <definedName name="OECS">[7]Entry!$P$41</definedName>
    <definedName name="OEINT">[7]Entry!$N$41</definedName>
    <definedName name="OElines">[7]Entry!$A$40:$A$40</definedName>
    <definedName name="OI">[7]Entry!$A$56</definedName>
    <definedName name="OICS">[7]Entry!$P$56</definedName>
    <definedName name="OIINT">[7]Entry!$N$56</definedName>
    <definedName name="OIlines">[7]Entry!$A$51:$A$55</definedName>
    <definedName name="old">#REF!</definedName>
    <definedName name="OLDINFO">#REF!</definedName>
    <definedName name="OLic">#REF!</definedName>
    <definedName name="one">#REF!</definedName>
    <definedName name="onea">#REF!</definedName>
    <definedName name="Operating_System_Cost_for_DB">#REF!</definedName>
    <definedName name="OPs">#REF!</definedName>
    <definedName name="Oracle">#REF!</definedName>
    <definedName name="OracleEE2YearMaintAnnual">#REF!</definedName>
    <definedName name="OracleEELicense2Year">#REF!</definedName>
    <definedName name="OracleEEPerpetMaintAnnual">#REF!</definedName>
    <definedName name="OracleFinance2yr3Svr">#REF!</definedName>
    <definedName name="OracleLicense2Year">#REF!</definedName>
    <definedName name="OracleMaint">#REF!</definedName>
    <definedName name="OracleMaintAnnual">#REF!</definedName>
    <definedName name="OraclePurchaseCost">#REF!</definedName>
    <definedName name="OracleSEInventoryPostEMC">#REF!</definedName>
    <definedName name="OracleSEtoEE2yrUpgrade">#REF!</definedName>
    <definedName name="OracleSEtoEEMaintUpgrade">#REF!</definedName>
    <definedName name="OS_Cost_for_Aggregator">#REF!</definedName>
    <definedName name="OS_Cost_for_DA_Servers">#REF!</definedName>
    <definedName name="OS_Cost_for_Transformer">#REF!</definedName>
    <definedName name="OSupp">#REF!</definedName>
    <definedName name="OSuppQtr">#REF!</definedName>
    <definedName name="OTHER">#REF!</definedName>
    <definedName name="OtherIncome">[7]Entry!$A$44:$A$56</definedName>
    <definedName name="OutstandingOptions">'[34]Option Ledger'!$F$93</definedName>
    <definedName name="p.detail">'[35]LBR_EXP template(Orig)'!$A$8:$T$133</definedName>
    <definedName name="p.sum">'[35]LBR_EXP template(Orig)'!$A$212:$T$245</definedName>
    <definedName name="page1">#REF!</definedName>
    <definedName name="page2">#REF!</definedName>
    <definedName name="paid">#REF!</definedName>
    <definedName name="PAYMENT">#REF!</definedName>
    <definedName name="pc0x">'[36]FY96 CB Div Pool '!#REF!</definedName>
    <definedName name="pc1x">'[36]FY96 CB Div Pool '!#REF!</definedName>
    <definedName name="pc2x">'[36]FY96 CB Div Pool '!#REF!</definedName>
    <definedName name="pc3x">'[36]FY96 CB Div Pool '!#REF!</definedName>
    <definedName name="pc4x">'[36]FY96 CB Div Pool '!#REF!</definedName>
    <definedName name="pc5x">'[36]FY96 CB Div Pool '!#REF!</definedName>
    <definedName name="PD">#REF!</definedName>
    <definedName name="Perf">[28]lookups!$A$8:$B$15</definedName>
    <definedName name="PERFAcctgReturn">#REF!</definedName>
    <definedName name="PERFAcctgReturnAnnlzd">#REF!</definedName>
    <definedName name="PERFAvgBal">#REF!</definedName>
    <definedName name="PERFBalDetails">[19]Performance!#REF!</definedName>
    <definedName name="PERFChecks">[19]Performance!#REF!</definedName>
    <definedName name="PERFHardCode">[19]Performance!#REF!</definedName>
    <definedName name="PERFmodifieddietz">#REF!</definedName>
    <definedName name="PERFTaxRate">#REF!</definedName>
    <definedName name="PERFTotalReturn">#REF!</definedName>
    <definedName name="PERFTotalReturnAnnlzd">#REF!</definedName>
    <definedName name="PERFValueCheck">[19]Performance!#REF!</definedName>
    <definedName name="PERFZeros">[19]Performance!#REF!</definedName>
    <definedName name="Period">#REF!</definedName>
    <definedName name="PeriodsInYear">#REF!</definedName>
    <definedName name="Pilot">#REF!</definedName>
    <definedName name="Pivot_Company">#REF!</definedName>
    <definedName name="PIX_525_R_cost">#REF!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>#REF!</definedName>
    <definedName name="PopCache_GL_INTERFACE_REFERENCE7" hidden="1">[37]PopCache!$A$1:$A$2</definedName>
    <definedName name="PriceMul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A">#REF!</definedName>
    <definedName name="Products">#REF!</definedName>
    <definedName name="PROE">#REF!</definedName>
    <definedName name="proforma">#REF!</definedName>
    <definedName name="PSMBegMMF">#REF!</definedName>
    <definedName name="PSMColumnRefs">#REF!</definedName>
    <definedName name="PSMEndMMF">#REF!</definedName>
    <definedName name="PSMPurchID">[19]PurchasesSales!#REF!</definedName>
    <definedName name="PSMSalesMatsID">[19]PurchasesSales!#REF!</definedName>
    <definedName name="purch">#REF!</definedName>
    <definedName name="puui" hidden="1">{#N/A,#N/A,TRUE,"Qrt BCG";#N/A,#N/A,TRUE,"Qrt w|o Wireless";#N/A,#N/A,TRUE,"Qrt Wireless"}</definedName>
    <definedName name="PWERM_Monte">[0]!PWERM_Monte</definedName>
    <definedName name="qaw">[0]!qaw</definedName>
    <definedName name="qqqee">[0]!qqqee</definedName>
    <definedName name="qqww">[0]!qqww</definedName>
    <definedName name="qqzz">[0]!qqzz</definedName>
    <definedName name="QR">#REF!</definedName>
    <definedName name="QuestSpotlineLicenseCost">#REF!</definedName>
    <definedName name="qwe">[0]!qwe</definedName>
    <definedName name="RATE">#REF!</definedName>
    <definedName name="Ratings">#REF!</definedName>
    <definedName name="Ratio_of_Old_DA_to_New_DA">#REF!</definedName>
    <definedName name="RECAmortBeg">#REF!</definedName>
    <definedName name="RECAmortEnd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IntRcvblBeg">#REF!</definedName>
    <definedName name="RECIntRcvblEnd">#REF!</definedName>
    <definedName name="RECLiquidityBeg">#REF!</definedName>
    <definedName name="RECLiquidityEnd">#REF!</definedName>
    <definedName name="_xlnm.Record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[38]Testing!#REF!</definedName>
    <definedName name="Ref_24">#REF!</definedName>
    <definedName name="Ref_25">#REF!</definedName>
    <definedName name="Ref_26">#REF!</definedName>
    <definedName name="Ref_27">'[39]TM''s'!#REF!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'[39]TM''s'!#REF!</definedName>
    <definedName name="Ref_34">[38]Testing!#REF!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isekosten_April">[6]Reisekosten!$H$34</definedName>
    <definedName name="Reisekosten_August">[6]Reisekosten!$L$34</definedName>
    <definedName name="Reisekosten_Dezember">[6]Reisekosten!$P$34</definedName>
    <definedName name="Reisekosten_Februar">[6]Reisekosten!$F$34</definedName>
    <definedName name="Reisekosten_Januar">[6]Reisekosten!$E$34</definedName>
    <definedName name="Reisekosten_Juli">[6]Reisekosten!$K$34</definedName>
    <definedName name="Reisekosten_Juni">[6]Reisekosten!$J$34</definedName>
    <definedName name="Reisekosten_Mai">[6]Reisekosten!$I$34</definedName>
    <definedName name="Reisekosten_März">[6]Reisekosten!$G$34</definedName>
    <definedName name="Reisekosten_November">[6]Reisekosten!$O$34</definedName>
    <definedName name="Reisekosten_Oktober">[6]Reisekosten!$N$34</definedName>
    <definedName name="Reisekosten_September">[6]Reisekosten!$M$34</definedName>
    <definedName name="RemainingOptionPool">'[34]Option Ledger'!$B$108</definedName>
    <definedName name="Rev">#REF!</definedName>
    <definedName name="Revenue">#REF!</definedName>
    <definedName name="RevenueAmt">#REF!</definedName>
    <definedName name="RevenuePercent">#REF!</definedName>
    <definedName name="RG_Bedrijfsnaam">[27]Instellingen!$C$8</definedName>
    <definedName name="RG_BeginDatumHj">[27]Instellingen!$C$63</definedName>
    <definedName name="RG_EindDatumHj">[27]Instellingen!$C$64</definedName>
    <definedName name="RG_JaartalHj">[27]Instellingen!$C$62</definedName>
    <definedName name="RG_Plaats">[27]Instellingen!$C$12</definedName>
    <definedName name="RID">'[31]ISTMT-QTD'!#REF!</definedName>
    <definedName name="ROAA">#REF!</definedName>
    <definedName name="ROAE">#REF!</definedName>
    <definedName name="Rohertrag_April">#REF!</definedName>
    <definedName name="Rohertrag_August">#REF!</definedName>
    <definedName name="Rohertrag_Dezember">#REF!</definedName>
    <definedName name="Rohertrag_Februar">#REF!</definedName>
    <definedName name="Rohertrag_Januar">#REF!</definedName>
    <definedName name="Rohertrag_Juli">#REF!</definedName>
    <definedName name="Rohertrag_Juni">#REF!</definedName>
    <definedName name="Rohertrag_Mai">#REF!</definedName>
    <definedName name="Rohertrag_März">#REF!</definedName>
    <definedName name="Rohertrag_November">#REF!</definedName>
    <definedName name="Rohertrag_Oktober">#REF!</definedName>
    <definedName name="Rohertrag_September">#REF!</definedName>
    <definedName name="ROTC">'[7]COMP 1'!$A$33</definedName>
    <definedName name="round">#REF!</definedName>
    <definedName name="row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cenarios">#REF!</definedName>
    <definedName name="sdaddsa" hidden="1">{#N/A,#N/A,FALSE,"Aging Summary";#N/A,#N/A,FALSE,"Ratio Analysis";#N/A,#N/A,FALSE,"Test 120 Day Accts";#N/A,#N/A,FALSE,"Tickmarks"}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>#REF!</definedName>
    <definedName name="Sh_Col_Index">'[36]FY96 CB Div Pool '!#REF!</definedName>
    <definedName name="Sh_Row_Index">'[36]FY96 CB Div Pool '!#REF!</definedName>
    <definedName name="Sh_Row_Map">'[36]FY96 CB Div Pool '!#REF!</definedName>
    <definedName name="Share_Table">'[36]FY96 CB Div Pool '!#REF!</definedName>
    <definedName name="SharePrices">#REF!</definedName>
    <definedName name="Sirius_Head_Unit_cost_for_DB_SAN">#REF!</definedName>
    <definedName name="Sirius_Storage_Disk_Cost">#REF!</definedName>
    <definedName name="Sirius_Storage_Tray_Cost">#REF!</definedName>
    <definedName name="Sirius_StorageDiskCost">#REF!</definedName>
    <definedName name="SL_AMORT">#REF!</definedName>
    <definedName name="SL_INT">#REF!</definedName>
    <definedName name="Sonstige_Kosten_April">'[6]Sonstige Kosten+Maint+deliv'!$I$37</definedName>
    <definedName name="Sonstige_Kosten_August">'[6]Sonstige Kosten+Maint+deliv'!$M$37</definedName>
    <definedName name="Sonstige_Kosten_Dezember">'[6]Sonstige Kosten+Maint+deliv'!$Q$37</definedName>
    <definedName name="Sonstige_Kosten_Februar">'[6]Sonstige Kosten+Maint+deliv'!$G$37</definedName>
    <definedName name="Sonstige_Kosten_Januar">'[6]Sonstige Kosten+Maint+deliv'!$F$37</definedName>
    <definedName name="Sonstige_Kosten_Juli">'[6]Sonstige Kosten+Maint+deliv'!$L$37</definedName>
    <definedName name="Sonstige_Kosten_Juni">'[6]Sonstige Kosten+Maint+deliv'!$K$37</definedName>
    <definedName name="Sonstige_Kosten_Mai">#REF!</definedName>
    <definedName name="Sonstige_Kosten_März">'[6]Sonstige Kosten+Maint+deliv'!$H$37</definedName>
    <definedName name="Sonstige_Kosten_November">'[6]Sonstige Kosten+Maint+deliv'!$P$37</definedName>
    <definedName name="Sonstige_Kosten_Oktober">'[6]Sonstige Kosten+Maint+deliv'!$O$37</definedName>
    <definedName name="Sonstige_Kosten_September">'[6]Sonstige Kosten+Maint+deliv'!$N$37</definedName>
    <definedName name="SORTAllpositions1">#REF!</definedName>
    <definedName name="SORTAllpositions2">#REF!</definedName>
    <definedName name="SORTPurchs1">#REF!</definedName>
    <definedName name="SORTPurchs2">#REF!</definedName>
    <definedName name="SORTSales1">#REF!</definedName>
    <definedName name="SORTSales2">#REF!</definedName>
    <definedName name="Source1">[7]Entry!#REF!</definedName>
    <definedName name="Source2">[7]Entry!#REF!</definedName>
    <definedName name="SP">#REF!</definedName>
    <definedName name="Spain">'[16]AR - R&amp;D Funding'!#REF!</definedName>
    <definedName name="Spec">#REF!</definedName>
    <definedName name="SPLic">#REF!</definedName>
    <definedName name="SPLic2">#REF!</definedName>
    <definedName name="SPLic3">#REF!</definedName>
    <definedName name="SPLic4">#REF!</definedName>
    <definedName name="SPLic5">#REF!</definedName>
    <definedName name="SPPs">#REF!</definedName>
    <definedName name="SPSet">"current"</definedName>
    <definedName name="SPSupp">#REF!</definedName>
    <definedName name="SPSuppQtr">#REF!</definedName>
    <definedName name="SPSuppQtr2">#REF!</definedName>
    <definedName name="SPSuppQtr3">#REF!</definedName>
    <definedName name="SPSuppQtr4">#REF!</definedName>
    <definedName name="SPSuppQtr5">#REF!</definedName>
    <definedName name="SPWS_WBID">"F5875748-F9AC-4EAD-A86C-2ED852DC79DE"</definedName>
    <definedName name="ssaa">[0]!ssaa</definedName>
    <definedName name="staccr">#REF!</definedName>
    <definedName name="stamort">#REF!</definedName>
    <definedName name="STAMORTT">#REF!</definedName>
    <definedName name="start">#REF!</definedName>
    <definedName name="Startup_Costs_for_TBD_Data_Center">#REF!</definedName>
    <definedName name="STATED_I">#REF!</definedName>
    <definedName name="stats">#REF!</definedName>
    <definedName name="stgain">'[11]2. Schedule of Investments'!#REF!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totalreturnbeg">#REF!</definedName>
    <definedName name="STMTtotalreturnend">#REF!</definedName>
    <definedName name="STMTValueCheck">[19]Statement!#REF!</definedName>
    <definedName name="STMTwambeg">#REF!</definedName>
    <definedName name="STMTwamend">#REF!</definedName>
    <definedName name="STMTyldbeg">#REF!</definedName>
    <definedName name="STMTyldend">#REF!</definedName>
    <definedName name="stop">#REF!</definedName>
    <definedName name="Storage_at_Inflow">#REF!</definedName>
    <definedName name="Storage_Disk_Cost">#REF!</definedName>
    <definedName name="Storage_Solution">#REF!</definedName>
    <definedName name="Storage_Tray_Cost">#REF!</definedName>
    <definedName name="StorageAtEMC">#REF!</definedName>
    <definedName name="StorageRawCostPerGB">#REF!</definedName>
    <definedName name="StorageRedundancyFactor">#REF!</definedName>
    <definedName name="StorageRedundancyFactorEMC">#REF!</definedName>
    <definedName name="StorageRedundancyFactorInflow">#REF!</definedName>
    <definedName name="StorageSavingsFactor">#REF!</definedName>
    <definedName name="stpaid">#REF!</definedName>
    <definedName name="stpurch">#REF!</definedName>
    <definedName name="stugl">#REF!</definedName>
    <definedName name="SUM">#REF!</definedName>
    <definedName name="SUMMARY">#REF!</definedName>
    <definedName name="SUMMARY2">[1]GERM3435!$D$308:$O$340</definedName>
    <definedName name="SUMMassetclassoptions">[19]Summary!#REF!</definedName>
    <definedName name="SUMMAstCLsOpt">[19]Summary!#REF!</definedName>
    <definedName name="SUMMCompName">#REF!</definedName>
    <definedName name="SUMMmatdistribtools">[19]Summary!#REF!</definedName>
    <definedName name="SUMMValueCheck">[19]Summary!#REF!</definedName>
    <definedName name="SWC">#REF!</definedName>
    <definedName name="Symantec_AntiVirus_support">#REF!</definedName>
    <definedName name="Symantec_Norton_Internet_Security">#REF!</definedName>
    <definedName name="TA">#REF!</definedName>
    <definedName name="Tadj">[7]Entry!$A$89:$A$94</definedName>
    <definedName name="TANGIBLE">#REF!</definedName>
    <definedName name="TAT">#REF!</definedName>
    <definedName name="TATE">#REF!</definedName>
    <definedName name="Tax">#REF!</definedName>
    <definedName name="TaxRate">#REF!</definedName>
    <definedName name="TaxRateRow">[7]Entry!$A$76:$IV$76</definedName>
    <definedName name="TCA">#REF!</definedName>
    <definedName name="TCL">#REF!</definedName>
    <definedName name="Temp1">[7]Entry!$B$6</definedName>
    <definedName name="Temp2">[7]Entry!$B$7</definedName>
    <definedName name="Temp3">[7]Entry!$B$72</definedName>
    <definedName name="Temp4">[7]Entry!$B$73</definedName>
    <definedName name="Temp5">[7]Entry!$B$74</definedName>
    <definedName name="Temp6">[7]Entry!$B$106</definedName>
    <definedName name="Temp7">[7]Entry!$Q$6</definedName>
    <definedName name="Temp8">[7]Entry!$Q$7</definedName>
    <definedName name="TERM">#REF!</definedName>
    <definedName name="TextRefCopy1">#REF!</definedName>
    <definedName name="TextRefCopy2">#REF!</definedName>
    <definedName name="TextRefCopy3">#REF!</definedName>
    <definedName name="TextRefCopy6">#REF!</definedName>
    <definedName name="TextRefCopyRangeCount" hidden="1">3</definedName>
    <definedName name="TFA">#REF!</definedName>
    <definedName name="ThisDate">[40]!ThisDate</definedName>
    <definedName name="Ticker">""</definedName>
    <definedName name="TIME">#REF!</definedName>
    <definedName name="TL">#REF!</definedName>
    <definedName name="TLE">#REF!</definedName>
    <definedName name="TNR">[7]Entry!$A$9:$A$16</definedName>
    <definedName name="TOE">[7]Entry!$A$31:$A$40</definedName>
    <definedName name="TOI">[7]Entry!$A$45:$A$55</definedName>
    <definedName name="tolls">#REF!</definedName>
    <definedName name="Topline">[7]Entry!$A$8</definedName>
    <definedName name="Total_Revenue">#REF!</definedName>
    <definedName name="totalout">#REF!</definedName>
    <definedName name="TR">[7]Entry!$A$17</definedName>
    <definedName name="Transformer_Costs">[8]Assumptions!$B$160</definedName>
    <definedName name="TRATE">#REF!</definedName>
    <definedName name="TRCS">[7]Entry!$P$17</definedName>
    <definedName name="TRINT">[7]Entry!$N$17</definedName>
    <definedName name="TRlines">[7]Entry!$A$16:$A$16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>#REF!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>#REF!</definedName>
    <definedName name="U_DEPT">#REF!</definedName>
    <definedName name="UK_Balance_Sheet">[41]BS02!$A$1:$B$65536,[41]BS02!$D$1:$D$65536</definedName>
    <definedName name="Unique">#REF!</definedName>
    <definedName name="UnitSold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_2H04">#REF!</definedName>
    <definedName name="UpgradePct">#REF!</definedName>
    <definedName name="ValCo">#REF!</definedName>
    <definedName name="ValComp">#REF!</definedName>
    <definedName name="VALUE">#REF!</definedName>
    <definedName name="VALUE2">[1]GERM3435!$D$347:$O$375</definedName>
    <definedName name="verfügbare_SoAfA_bis2003">'[42]SoPo 02'!#REF!</definedName>
    <definedName name="verfügbare_SoAfA_bis2004">'[42]SoPo 03'!#REF!</definedName>
    <definedName name="Verisign_Reseller_Costs">[8]Assumptions!$B$167</definedName>
    <definedName name="Versicherungen_April">[6]Versicherungen!$H$32</definedName>
    <definedName name="Versicherungen_August">[6]Versicherungen!$L$32</definedName>
    <definedName name="Versicherungen_Dezember">[6]Versicherungen!$P$32</definedName>
    <definedName name="Versicherungen_Februar">[6]Versicherungen!$F$32</definedName>
    <definedName name="Versicherungen_Januar">[6]Versicherungen!$E$32</definedName>
    <definedName name="Versicherungen_Juli">[6]Versicherungen!$K$32</definedName>
    <definedName name="Versicherungen_Juni">[6]Versicherungen!$J$32</definedName>
    <definedName name="Versicherungen_Mai">[6]Versicherungen!$I$32</definedName>
    <definedName name="Versicherungen_März">[6]Versicherungen!$G$32</definedName>
    <definedName name="Versicherungen_November">[6]Versicherungen!$O$32</definedName>
    <definedName name="Versicherungen_Oktober">[6]Versicherungen!$N$32</definedName>
    <definedName name="Versicherungen_September">[6]Versicherungen!$M$32</definedName>
    <definedName name="vital5">'[17]Customize Your Invoice'!$E$15</definedName>
    <definedName name="VJ_A">[27]Brugstaat!$P$6</definedName>
    <definedName name="VJ_B">[27]Brugstaat!$P$52</definedName>
    <definedName name="voraussichtliche_Produktionskosten___Stück">#REF!</definedName>
    <definedName name="voraussichtlicher_Verkaufspreis___Stück">#REF!</definedName>
    <definedName name="VPN_Acceleration_for_7206">#REF!</definedName>
    <definedName name="w" hidden="1">{#N/A,#N/A,FALSE,"Tech_Total";#N/A,#N/A,FALSE,"Tech_Comp";#N/A,#N/A,FALSE,"Tech_Ops";#N/A,#N/A,FALSE,"Tech_Maint"}</definedName>
    <definedName name="WC">#REF!</definedName>
    <definedName name="Web_Server_Costs">[8]Assumptions!$B$163</definedName>
    <definedName name="Werbung_April">[6]Werbekosten!$H$29</definedName>
    <definedName name="Werbung_August">[6]Werbekosten!$L$29</definedName>
    <definedName name="Werbung_Dezember">[6]Werbekosten!$P$29</definedName>
    <definedName name="Werbung_Februar">[6]Werbekosten!$F$29</definedName>
    <definedName name="Werbung_Januar">[6]Werbekosten!$E$29</definedName>
    <definedName name="Werbung_Juli">[6]Werbekosten!$K$29</definedName>
    <definedName name="Werbung_Juni">[6]Werbekosten!$J$29</definedName>
    <definedName name="Werbung_Mai">[6]Werbekosten!$I$29</definedName>
    <definedName name="Werbung_März">[6]Werbekosten!$G$29</definedName>
    <definedName name="Werbung_November">[6]Werbekosten!$O$29</definedName>
    <definedName name="Werbung_Oktober">[6]Werbekosten!$N$29</definedName>
    <definedName name="Werbung_September">[6]Werbekosten!$M$29</definedName>
    <definedName name="wert" hidden="1">{#N/A,#N/A,TRUE,"1Q BCG";#N/A,#N/A,TRUE,"1Q w|o Wireless";#N/A,#N/A,TRUE,"1Q Wireless"}</definedName>
    <definedName name="Windows_2000_Server_cost">#REF!</definedName>
    <definedName name="Windows_XP_Home_cost">#REF!</definedName>
    <definedName name="Windows_XP_Professional_cost">#REF!</definedName>
    <definedName name="Workgroup">#REF!</definedName>
    <definedName name="WORKSHEET">#REF!</definedName>
    <definedName name="wq" hidden="1">{#N/A,#N/A,FALSE,"4yr_Units";#N/A,#N/A,FALSE,"00yr_Units";#N/A,#N/A,FALSE,"99yr_Units";#N/A,#N/A,FALSE,"98yr_Units";#N/A,#N/A,FALSE,"97yr_Units"}</definedName>
    <definedName name="writeoff">#REF!</definedName>
    <definedName name="wrn.1st._.Quarter." hidden="1">{#N/A,#N/A,TRUE,"1Q BCG";#N/A,#N/A,TRUE,"1Q w|o Wireless";#N/A,#N/A,TRUE,"1Q Wireless"}</definedName>
    <definedName name="wrn.2nd._.Quarter.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hidden="1">{#N/A,#N/A,FALSE,"Sales_Total";#N/A,#N/A,FALSE,"Mktg_Total";#N/A,#N/A,FALSE,"Tech_Total";#N/A,#N/A,FALSE,"Dev_Total";#N/A,#N/A,FALSE,"Admin_Total"}</definedName>
    <definedName name="wrn.Development." hidden="1">{#N/A,#N/A,FALSE,"Dev_Total";#N/A,#N/A,FALSE,"Dev_Comp";#N/A,#N/A,FALSE,"Dev_Equip"}</definedName>
    <definedName name="wrn.ebara." hidden="1">{#N/A,#N/A,FALSE,"EIC";#N/A,#N/A,FALSE,"AIRVAC";#N/A,#N/A,FALSE,"EAC";#N/A,#N/A,FALSE,"ETI"}</definedName>
    <definedName name="wrn.Fiscal._.Year." hidden="1">{#N/A,#N/A,TRUE,"FY BCG";#N/A,#N/A,TRUE,"FY w|o Wireless";#N/A,#N/A,TRUE,"FY Wireless"}</definedName>
    <definedName name="wrn.Maintenance." hidden="1">{#N/A,#N/A,FALSE,"97Maint";#N/A,#N/A,FALSE,"98Maint";#N/A,#N/A,FALSE,"99Maint";#N/A,#N/A,FALSE,"00_Maint"}</definedName>
    <definedName name="wrn.Monthlys." hidden="1">{#N/A,#N/A,TRUE,"Monthly BCG";#N/A,#N/A,TRUE,"Monthly w|o Wireless";#N/A,#N/A,TRUE,"Monthly Wireless"}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hidden="1">{#N/A,#N/A,TRUE,"Qrt BCG";#N/A,#N/A,TRUE,"Qrt w|o Wireless";#N/A,#N/A,TRUE,"Qrt Wireless"}</definedName>
    <definedName name="wrn.Sales." hidden="1">{#N/A,#N/A,FALSE,"Sales_Total";#N/A,#N/A,FALSE,"Sales_Comp";#N/A,#N/A,FALSE,"Sales_Ops"}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hidden="1">{#N/A,#N/A,FALSE,"Tech_Total";#N/A,#N/A,FALSE,"Tech_Comp";#N/A,#N/A,FALSE,"Tech_Ops";#N/A,#N/A,FALSE,"Tech_Maint"}</definedName>
    <definedName name="wrn.Units." hidden="1">{#N/A,#N/A,FALSE,"4yr_Units";#N/A,#N/A,FALSE,"00yr_Units";#N/A,#N/A,FALSE,"99yr_Units";#N/A,#N/A,FALSE,"98yr_Units";#N/A,#N/A,FALSE,"97yr_Units"}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>#REF!</definedName>
    <definedName name="x86DBServerCost">#REF!</definedName>
    <definedName name="Xrate">'[43]Budget 2010-2012'!$G$69</definedName>
    <definedName name="XREF_COLUMN_1" hidden="1">#REF!</definedName>
    <definedName name="XREF_COLUMN_2" hidden="1">[44]Lead!#REF!</definedName>
    <definedName name="XREF_COLUMN_3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[45]XREF!#REF!</definedName>
    <definedName name="XRefCopy2" hidden="1">'[46]FAS 123'!#REF!</definedName>
    <definedName name="XRefCopy2Row" hidden="1">#REF!</definedName>
    <definedName name="XRefCopy3" hidden="1">'[47]Exp-vested over periods'!#REF!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RangeCount" hidden="1">3</definedName>
    <definedName name="XRefPaste1" hidden="1">#REF!</definedName>
    <definedName name="XRefPaste10" hidden="1">[48]Warrants!#REF!</definedName>
    <definedName name="XRefPaste10Row" hidden="1">#REF!</definedName>
    <definedName name="XRefPaste11" hidden="1">[48]Warrants!#REF!</definedName>
    <definedName name="XRefPaste11Row" hidden="1">#REF!</definedName>
    <definedName name="XRefPaste12" hidden="1">[48]Warrants!#REF!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Row" hidden="1">#REF!</definedName>
    <definedName name="XRefPaste2" hidden="1">'[47]Exp-vested over periods'!#REF!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" hidden="1">[48]Warrants!#REF!</definedName>
    <definedName name="XRefPaste6Row" hidden="1">#REF!</definedName>
    <definedName name="XRefPaste7" hidden="1">[48]Warrants!#REF!</definedName>
    <definedName name="XRefPaste7Row" hidden="1">#REF!</definedName>
    <definedName name="XRefPaste8" hidden="1">[48]Warrants!#REF!</definedName>
    <definedName name="XRefPaste8Row" hidden="1">#REF!</definedName>
    <definedName name="XRefPaste9" hidden="1">[48]Warrants!#REF!</definedName>
    <definedName name="XRefPaste9Row" hidden="1">#REF!</definedName>
    <definedName name="XRefPasteRangeCount" hidden="1">2</definedName>
    <definedName name="Year">#REF!</definedName>
    <definedName name="yioyi" hidden="1">{#N/A,#N/A,TRUE,"1Q BCG";#N/A,#N/A,TRUE,"1Q w|o Wireless";#N/A,#N/A,TRUE,"1Q Wireless"}</definedName>
    <definedName name="yrate">#REF!</definedName>
    <definedName name="ZADJ">[7]Template!$A$25</definedName>
    <definedName name="ZAE">[7]Template!$A$50</definedName>
    <definedName name="ZAP">[7]Template!$A$47</definedName>
    <definedName name="ZCL">[7]Template!$A$52</definedName>
    <definedName name="ZCMS">[7]Template!$A$36</definedName>
    <definedName name="ZCOGS">[7]Template!$A$9</definedName>
    <definedName name="ZCPLTD">[7]Template!$A$49</definedName>
    <definedName name="ZDA">[7]Template!$A$24</definedName>
    <definedName name="ZDeprecAmort">#REF!</definedName>
    <definedName name="ZEBITDA">[7]Template!$A$27</definedName>
    <definedName name="ZFAN">[7]Template!$A$42</definedName>
    <definedName name="ZGM">[7]Template!$A$10</definedName>
    <definedName name="Zinsaufwand_April">[6]Zinsaufwand!$G$33</definedName>
    <definedName name="Zinsaufwand_August">[6]Zinsaufwand!$K$33</definedName>
    <definedName name="Zinsaufwand_Dezember">[6]Zinsaufwand!$O$33</definedName>
    <definedName name="Zinsaufwand_Februar">[6]Zinsaufwand!$E$33</definedName>
    <definedName name="Zinsaufwand_Januar">[6]Zinsaufwand!$D$33</definedName>
    <definedName name="Zinsaufwand_Juli">[6]Zinsaufwand!$J$33</definedName>
    <definedName name="Zinsaufwand_Juni">[6]Zinsaufwand!$I$33</definedName>
    <definedName name="Zinsaufwand_Mai">[6]Zinsaufwand!$H$33</definedName>
    <definedName name="Zinsaufwand_März">[6]Zinsaufwand!$F$33</definedName>
    <definedName name="Zinsaufwand_November">[6]Zinsaufwand!$N$33</definedName>
    <definedName name="Zinsaufwand_Oktober">[6]Zinsaufwand!$M$33</definedName>
    <definedName name="Zinsaufwand_September">[6]Zinsaufwand!$L$33</definedName>
    <definedName name="ZIntExp">[7]Template!$A$23</definedName>
    <definedName name="ZINV">[7]Template!$A$38</definedName>
    <definedName name="ZLTD">[7]Template!$A$55</definedName>
    <definedName name="ZNI">[7]Template!$A$21</definedName>
    <definedName name="ZNP">[7]Template!$A$48</definedName>
    <definedName name="ZNS">[7]Template!$A$8</definedName>
    <definedName name="ZOA">[7]Template!$A$43</definedName>
    <definedName name="ZOCA">[7]Template!$A$39</definedName>
    <definedName name="ZOCL">[7]Template!$A$51</definedName>
    <definedName name="ZOI">[7]Template!$A$18</definedName>
    <definedName name="ZOL">[7]Template!$A$54</definedName>
    <definedName name="ZOM">[7]Template!$A$16</definedName>
    <definedName name="ZPBT">[7]Template!$A$19</definedName>
    <definedName name="ZRD">[7]Template!$A$12</definedName>
    <definedName name="ZREC">[7]Template!$A$37</definedName>
    <definedName name="ZSE">[7]Template!$A$57</definedName>
    <definedName name="ZSGA">[7]Template!$A$13</definedName>
    <definedName name="ZTA">[7]Template!$A$44</definedName>
    <definedName name="ZTCA">[7]Template!$A$40</definedName>
    <definedName name="ZTICK">#REF!</definedName>
    <definedName name="ZTICK2">#REF!</definedName>
    <definedName name="ZTICKBS">#REF!</definedName>
    <definedName name="ZTICKIS">#REF!</definedName>
    <definedName name="ZTOE">[7]Template!$A$14</definedName>
    <definedName name="zxc">[0]!zxc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4" i="26" l="1"/>
  <c r="M15" i="26"/>
  <c r="M16" i="26"/>
  <c r="G15" i="26"/>
  <c r="G14" i="26"/>
  <c r="G16" i="26"/>
  <c r="M18" i="26"/>
  <c r="E20" i="26"/>
  <c r="M20" i="26"/>
  <c r="G13" i="26"/>
  <c r="M13" i="26" s="1"/>
  <c r="M7" i="26"/>
  <c r="M8" i="26"/>
  <c r="M9" i="26"/>
  <c r="M10" i="26"/>
  <c r="M11" i="26"/>
  <c r="M12" i="26"/>
  <c r="M17" i="26"/>
  <c r="M19" i="26" l="1"/>
  <c r="D15" i="34"/>
  <c r="D14" i="34"/>
  <c r="D10" i="34" l="1"/>
  <c r="M6" i="26"/>
  <c r="E19" i="26" l="1"/>
  <c r="E21" i="26" l="1"/>
  <c r="D9" i="34"/>
  <c r="D11" i="34" s="1"/>
  <c r="M21" i="26" l="1"/>
</calcChain>
</file>

<file path=xl/sharedStrings.xml><?xml version="1.0" encoding="utf-8"?>
<sst xmlns="http://schemas.openxmlformats.org/spreadsheetml/2006/main" count="820" uniqueCount="479">
  <si>
    <t>Accrued Freight/Fulfillment</t>
  </si>
  <si>
    <t>Company:</t>
  </si>
  <si>
    <t>Date:</t>
  </si>
  <si>
    <t>Account</t>
  </si>
  <si>
    <t>Description</t>
  </si>
  <si>
    <t>220950</t>
  </si>
  <si>
    <t>Title:</t>
  </si>
  <si>
    <t>Total</t>
  </si>
  <si>
    <t>{b}</t>
  </si>
  <si>
    <t>{c}</t>
  </si>
  <si>
    <t>Trial Balance Summary</t>
  </si>
  <si>
    <t>Ledger:</t>
  </si>
  <si>
    <t>ACTUAL</t>
  </si>
  <si>
    <t>Page:</t>
  </si>
  <si>
    <t>User:</t>
  </si>
  <si>
    <t>Fin. Period:</t>
  </si>
  <si>
    <t>Type</t>
  </si>
  <si>
    <t>Beginning Balance</t>
  </si>
  <si>
    <t>Debit</t>
  </si>
  <si>
    <t>Credit</t>
  </si>
  <si>
    <t>Ending Balance</t>
  </si>
  <si>
    <t>Freight In</t>
  </si>
  <si>
    <t>L</t>
  </si>
  <si>
    <t>Subledger Recon:</t>
  </si>
  <si>
    <t>Period</t>
  </si>
  <si>
    <t>Classification</t>
  </si>
  <si>
    <t>Additions</t>
  </si>
  <si>
    <t>Invoiced</t>
  </si>
  <si>
    <t>Pending Invoice Balance</t>
  </si>
  <si>
    <t>Rx</t>
  </si>
  <si>
    <t xml:space="preserve">Trial Balance </t>
  </si>
  <si>
    <t xml:space="preserve">Check 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</si>
  <si>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</si>
  <si>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Reconciling Items</t>
  </si>
  <si>
    <t>Account Details</t>
  </si>
  <si>
    <t>Parameters</t>
  </si>
  <si>
    <t>&lt;Empty&gt;</t>
  </si>
  <si>
    <t>Branch (Dynamic):</t>
  </si>
  <si>
    <t>Ledger (Dynamic):</t>
  </si>
  <si>
    <t>From Period:</t>
  </si>
  <si>
    <t>To Period:</t>
  </si>
  <si>
    <t>Account:</t>
  </si>
  <si>
    <t>Subaccount (Dynamic):</t>
  </si>
  <si>
    <t>From Date (Dynamic):</t>
  </si>
  <si>
    <t>Period Start Date:</t>
  </si>
  <si>
    <t>To Date (Dynamic):</t>
  </si>
  <si>
    <t>Period End Date: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</si>
  <si>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</si>
  <si>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</si>
  <si>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</si>
  <si>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</si>
  <si>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</si>
  <si>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</si>
  <si>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Turnover:</t>
  </si>
  <si>
    <t>Ending Balance:</t>
  </si>
  <si>
    <t>Selected</t>
  </si>
  <si>
    <t>Module</t>
  </si>
  <si>
    <t>Batch Number</t>
  </si>
  <si>
    <t>Tran. Date</t>
  </si>
  <si>
    <t>Ref. Number</t>
  </si>
  <si>
    <t>Subaccount</t>
  </si>
  <si>
    <t>Beg. Balance</t>
  </si>
  <si>
    <t>Debit Amount</t>
  </si>
  <si>
    <t>Credit Amount</t>
  </si>
  <si>
    <t>Reclass. Batch Number</t>
  </si>
  <si>
    <t>GL</t>
  </si>
  <si>
    <t>Guajardo, Gilberto</t>
  </si>
  <si>
    <t>Total:</t>
  </si>
  <si>
    <t>112000</t>
  </si>
  <si>
    <t>A</t>
  </si>
  <si>
    <t>121100</t>
  </si>
  <si>
    <t>Trade Accounts Receivable</t>
  </si>
  <si>
    <t>123100</t>
  </si>
  <si>
    <t>EE Advances &amp; Other Receivables</t>
  </si>
  <si>
    <t>141000</t>
  </si>
  <si>
    <t>Inventory - Finished Products</t>
  </si>
  <si>
    <t>141110</t>
  </si>
  <si>
    <t>180100</t>
  </si>
  <si>
    <t>Intercompany Clearing Account</t>
  </si>
  <si>
    <t>191000</t>
  </si>
  <si>
    <t>Deposits - Long Term</t>
  </si>
  <si>
    <t>200100</t>
  </si>
  <si>
    <t>Purchase Order Received (unbilled)</t>
  </si>
  <si>
    <t>201100</t>
  </si>
  <si>
    <t>Trade Accounts Payable</t>
  </si>
  <si>
    <t>210100</t>
  </si>
  <si>
    <t>Clearing Account - Payroll</t>
  </si>
  <si>
    <t>210150</t>
  </si>
  <si>
    <t>Clearing Account - Concur</t>
  </si>
  <si>
    <t>211200</t>
  </si>
  <si>
    <t>220150</t>
  </si>
  <si>
    <t>Accrued T&amp;E Expenses</t>
  </si>
  <si>
    <t>220450</t>
  </si>
  <si>
    <t>Accrued Sales/Marketing</t>
  </si>
  <si>
    <t>410000</t>
  </si>
  <si>
    <t>I</t>
  </si>
  <si>
    <t>Sales - Products</t>
  </si>
  <si>
    <t>497100</t>
  </si>
  <si>
    <t>Slotting Fees</t>
  </si>
  <si>
    <t>511000</t>
  </si>
  <si>
    <t>E</t>
  </si>
  <si>
    <t>Cost of Goods - Materials</t>
  </si>
  <si>
    <t>515000</t>
  </si>
  <si>
    <t>Freight Inbound</t>
  </si>
  <si>
    <t>541000</t>
  </si>
  <si>
    <t>Inventory Adjustment</t>
  </si>
  <si>
    <t>600100</t>
  </si>
  <si>
    <t>Salaries and Wages</t>
  </si>
  <si>
    <t>600200</t>
  </si>
  <si>
    <t>Bonus - Performance</t>
  </si>
  <si>
    <t>600400</t>
  </si>
  <si>
    <t>Payroll Tax</t>
  </si>
  <si>
    <t>610600</t>
  </si>
  <si>
    <t>Recruiting Costs and Placement Fees</t>
  </si>
  <si>
    <t>610900</t>
  </si>
  <si>
    <t>Meetings &amp; Events</t>
  </si>
  <si>
    <t>611100</t>
  </si>
  <si>
    <t>Employee Welfare</t>
  </si>
  <si>
    <t>620200</t>
  </si>
  <si>
    <t>Transportation</t>
  </si>
  <si>
    <t>620300</t>
  </si>
  <si>
    <t>Lodging</t>
  </si>
  <si>
    <t>620400</t>
  </si>
  <si>
    <t>Travel Meals</t>
  </si>
  <si>
    <t>620500</t>
  </si>
  <si>
    <t>Business Meals and Ent</t>
  </si>
  <si>
    <t>620600</t>
  </si>
  <si>
    <t>629000</t>
  </si>
  <si>
    <t>Travel Expense - other</t>
  </si>
  <si>
    <t>630100</t>
  </si>
  <si>
    <t>Outside Consulting Services</t>
  </si>
  <si>
    <t>630110</t>
  </si>
  <si>
    <t>Independent Contractors</t>
  </si>
  <si>
    <t>630300</t>
  </si>
  <si>
    <t>Product Samples</t>
  </si>
  <si>
    <t>631000</t>
  </si>
  <si>
    <t>Rent</t>
  </si>
  <si>
    <t>631210</t>
  </si>
  <si>
    <t>Communication and Cellular services</t>
  </si>
  <si>
    <t>632000</t>
  </si>
  <si>
    <t>Office Supplies</t>
  </si>
  <si>
    <t>632050</t>
  </si>
  <si>
    <t>Facility Services</t>
  </si>
  <si>
    <t>632300</t>
  </si>
  <si>
    <t>Dues and Subscription</t>
  </si>
  <si>
    <t>701100</t>
  </si>
  <si>
    <t>Fulfillment Services</t>
  </si>
  <si>
    <t>751200</t>
  </si>
  <si>
    <t>Bank Analysis and Service Charges</t>
  </si>
  <si>
    <t>821100</t>
  </si>
  <si>
    <t>Realized (gain) loss - currency conversion</t>
  </si>
  <si>
    <t>821200</t>
  </si>
  <si>
    <t>Unrealized (gain) loss - currency conversion</t>
  </si>
  <si>
    <t>Company (Dynamic):</t>
  </si>
  <si>
    <t>I/C Payable - US</t>
  </si>
  <si>
    <t>#FQ-220950</t>
  </si>
  <si>
    <t>580100</t>
  </si>
  <si>
    <t>I/C COGS</t>
  </si>
  <si>
    <t>632200</t>
  </si>
  <si>
    <t>Printing</t>
  </si>
  <si>
    <t>633100</t>
  </si>
  <si>
    <t>IT Hardware</t>
  </si>
  <si>
    <t>720100</t>
  </si>
  <si>
    <t>720500</t>
  </si>
  <si>
    <t>Channel Marketing - Merchandising</t>
  </si>
  <si>
    <t>730300</t>
  </si>
  <si>
    <t>Digital Marketing</t>
  </si>
  <si>
    <t>180110</t>
  </si>
  <si>
    <t>Intercompany Clearing Expenses</t>
  </si>
  <si>
    <t>201120</t>
  </si>
  <si>
    <t>AP Trade Provisional</t>
  </si>
  <si>
    <t>220600</t>
  </si>
  <si>
    <t>Accrued IT/Technology</t>
  </si>
  <si>
    <t>220800</t>
  </si>
  <si>
    <t>Accrued Legal</t>
  </si>
  <si>
    <t>220960</t>
  </si>
  <si>
    <t>Accrued Engineering/Mfg Expense</t>
  </si>
  <si>
    <t>600250</t>
  </si>
  <si>
    <t>Bonus - Sign On</t>
  </si>
  <si>
    <t>620100</t>
  </si>
  <si>
    <t>Airfare</t>
  </si>
  <si>
    <t>630200</t>
  </si>
  <si>
    <t>Legal Fees</t>
  </si>
  <si>
    <t>633200</t>
  </si>
  <si>
    <t>Software and Technology</t>
  </si>
  <si>
    <t>Fulfillment</t>
  </si>
  <si>
    <t>220100</t>
  </si>
  <si>
    <t>Accrued Expenses</t>
  </si>
  <si>
    <t>220700</t>
  </si>
  <si>
    <t>Accrued HR/Recruiting Costs</t>
  </si>
  <si>
    <t>600475</t>
  </si>
  <si>
    <t>Bonus - Misc</t>
  </si>
  <si>
    <t>514000</t>
  </si>
  <si>
    <t>Purchase Price Variance</t>
  </si>
  <si>
    <t>SGHoldCo</t>
  </si>
  <si>
    <t>Citi Oper Acct - 4003</t>
  </si>
  <si>
    <t>112001</t>
  </si>
  <si>
    <t>Citi Oper Acct - 4011</t>
  </si>
  <si>
    <t>123220</t>
  </si>
  <si>
    <t>VAT Input</t>
  </si>
  <si>
    <t>180150</t>
  </si>
  <si>
    <t>I/C Receivable</t>
  </si>
  <si>
    <t>182100</t>
  </si>
  <si>
    <t>Investment in Affiliates</t>
  </si>
  <si>
    <t>240100</t>
  </si>
  <si>
    <t>311205</t>
  </si>
  <si>
    <t>811100</t>
  </si>
  <si>
    <t>Interest Expense</t>
  </si>
  <si>
    <t>610700</t>
  </si>
  <si>
    <t>Relocation Expense</t>
  </si>
  <si>
    <t>Travel and Ent (non-employee)</t>
  </si>
  <si>
    <t>720301</t>
  </si>
  <si>
    <t>Retailer rack merchandising (BDF)</t>
  </si>
  <si>
    <t>752400</t>
  </si>
  <si>
    <t>Taxes -  State, City and Local</t>
  </si>
  <si>
    <t>MAY</t>
  </si>
  <si>
    <t>JUULSG</t>
  </si>
  <si>
    <t>Freight Out Expense</t>
  </si>
  <si>
    <t>Freight Out Capitalization</t>
  </si>
  <si>
    <t xml:space="preserve">SGHoldco ACCRUED FREIGHT RECONCILIATION </t>
  </si>
  <si>
    <t>131000</t>
  </si>
  <si>
    <t>Deposits - Short Term</t>
  </si>
  <si>
    <t>180155</t>
  </si>
  <si>
    <t>I/C Receivable - InterCo USD</t>
  </si>
  <si>
    <t>201125</t>
  </si>
  <si>
    <t>Accrued Accounts Payable</t>
  </si>
  <si>
    <t>220850</t>
  </si>
  <si>
    <t>Accrued FDA/SRA</t>
  </si>
  <si>
    <t>600450</t>
  </si>
  <si>
    <t>Bonus - Other</t>
  </si>
  <si>
    <t>610200</t>
  </si>
  <si>
    <t>Health Insurance</t>
  </si>
  <si>
    <t>632100</t>
  </si>
  <si>
    <t>Postage, Courier and Delivery</t>
  </si>
  <si>
    <t>701200</t>
  </si>
  <si>
    <t>Supplier Charges</t>
  </si>
  <si>
    <t>701500</t>
  </si>
  <si>
    <t>Capital equipment - parts/maintenance</t>
  </si>
  <si>
    <t>712600</t>
  </si>
  <si>
    <t>Equipment/Storage Rental</t>
  </si>
  <si>
    <t>720110</t>
  </si>
  <si>
    <t>Freight Out</t>
  </si>
  <si>
    <t>720200</t>
  </si>
  <si>
    <t>730100</t>
  </si>
  <si>
    <t>Brand Development</t>
  </si>
  <si>
    <t>730500</t>
  </si>
  <si>
    <t>Public Relations</t>
  </si>
  <si>
    <t>Beginning Balance:</t>
  </si>
  <si>
    <t>GU001-DUT-4140-JRK</t>
  </si>
  <si>
    <t>KR001-DUT-4140-JRK</t>
  </si>
  <si>
    <t>KR001-DUT-4140-JUL</t>
  </si>
  <si>
    <t>SG001-DUT-4140-JRK</t>
  </si>
  <si>
    <t>JUNE</t>
  </si>
  <si>
    <t>Type of Spreadsheet or Key Report:</t>
  </si>
  <si>
    <t>Reconcilliation</t>
  </si>
  <si>
    <t>Spreadsheet or Key Report Name:</t>
  </si>
  <si>
    <t>220950 Accrued Freight &amp; Fulfillment Reconcilliation</t>
  </si>
  <si>
    <t>Reconcilliation for Freight out accrued and fulfillment account with all ending and beginning balances.</t>
  </si>
  <si>
    <t>File Path:</t>
  </si>
  <si>
    <t>Version:</t>
  </si>
  <si>
    <t>GL Account(s) affected:</t>
  </si>
  <si>
    <t>Reporting Currency</t>
  </si>
  <si>
    <t>Amount per Subledger/Detailed Recon/Calculation</t>
  </si>
  <si>
    <t>GL Balance: Current Period</t>
  </si>
  <si>
    <t>Difference</t>
  </si>
  <si>
    <t>Difference explained - Please add explanation herein e.g. "Below de minimis" or reference where reconciliation has been done</t>
  </si>
  <si>
    <t>N/A</t>
  </si>
  <si>
    <t xml:space="preserve"> </t>
  </si>
  <si>
    <t>Balance Change Month over Month:</t>
  </si>
  <si>
    <t>Percentage Balance Change Month over Month:</t>
  </si>
  <si>
    <t>Period on Period Change Threshold</t>
  </si>
  <si>
    <t>Flux/Trending Analysis if period on Period change is greater than Threshold</t>
  </si>
  <si>
    <t>Key or Non-Key Account:</t>
  </si>
  <si>
    <t>Risk Level (High, Medium, Low):</t>
  </si>
  <si>
    <t>Data source(s):</t>
  </si>
  <si>
    <t>Source system:</t>
  </si>
  <si>
    <t>Accumatica</t>
  </si>
  <si>
    <t>Source Report Name:</t>
  </si>
  <si>
    <t>Account Details &amp; Trial Balance Summary</t>
  </si>
  <si>
    <t>Control Number (if applicable):</t>
  </si>
  <si>
    <t>Frequency:</t>
  </si>
  <si>
    <t>Monthly</t>
  </si>
  <si>
    <t>Month / Period:</t>
  </si>
  <si>
    <t>Preparer:</t>
  </si>
  <si>
    <t>Gilberto M. Guajardo</t>
  </si>
  <si>
    <t>1st Reviewer:</t>
  </si>
  <si>
    <t>2nd Reviewer:</t>
  </si>
  <si>
    <t>PREPARER PROCEDURES</t>
  </si>
  <si>
    <t>Procedures performed to prepare the spreadsheet:</t>
  </si>
  <si>
    <t>Download acccount details and trial balance and use DCL Invoices to calculate correct freight out expenses for adjustments.</t>
  </si>
  <si>
    <t>Name of Excel Tab:</t>
  </si>
  <si>
    <t>Description / Purpose of Tab:</t>
  </si>
  <si>
    <t>Reconilliation of invoices, additions and adjustments for Account 220950. Including outstanding balances aswell</t>
  </si>
  <si>
    <t>220950 Account Details June</t>
  </si>
  <si>
    <t>Sign-off</t>
  </si>
  <si>
    <t>Date</t>
  </si>
  <si>
    <t>I have independently calculated the balance and included all relevant support to validate the balance.</t>
  </si>
  <si>
    <t>GG</t>
  </si>
  <si>
    <t>I have ensured the mathematical accuracy of this reconciliation.</t>
  </si>
  <si>
    <t>I have ensured there are no hard coded numbers or all hard coded numbers are properly supported.</t>
  </si>
  <si>
    <t>I have investigated unusual items, if any, and have posted adjustments if necessary.</t>
  </si>
  <si>
    <t>I have appropriately addressed review comments provided by the reviewer.</t>
  </si>
  <si>
    <t>All reconciling items/variances over $450,000 or 10% have been verified as valid and properly explained in the documentation.</t>
  </si>
  <si>
    <t>I have reviewed reconciling items (as applicable) carried over from prior months and documented reason to maintain or write off item.</t>
  </si>
  <si>
    <t>REVIEWER PROCEDURES</t>
  </si>
  <si>
    <t>Criteria for Investigation (both qualitative and quantitative factors):</t>
  </si>
  <si>
    <t>Predictability of Expectations:</t>
  </si>
  <si>
    <t>Procedures performed by reviewer, including samples sub-selected and items requiring further explanation:</t>
  </si>
  <si>
    <t>For all spreadsheets:</t>
  </si>
  <si>
    <t>Change/Version Review</t>
  </si>
  <si>
    <t>Calculations/Formulas</t>
  </si>
  <si>
    <t>Correct Data Source</t>
  </si>
  <si>
    <t>Correct Logic</t>
  </si>
  <si>
    <t>Saved on Shared Drive (automatically backed up)</t>
  </si>
  <si>
    <t>If the spreadsheet is a reconciliation:</t>
  </si>
  <si>
    <r>
      <t>I have agreed the balance per the reconciliation to the general le</t>
    </r>
    <r>
      <rPr>
        <sz val="10"/>
        <rFont val="Arial Narrow"/>
        <family val="2"/>
      </rPr>
      <t>dger and ensured that the reconciliation is not reconciling the GL to the GL.</t>
    </r>
  </si>
  <si>
    <t>I have validated that the independently calculated balance is sufficiently supported by appropriate documentation.</t>
  </si>
  <si>
    <t>I have ensured that supporting documentation is adequate and agrees to the reconciliation.</t>
  </si>
  <si>
    <t>I have received sufficient responses to any queries I may have had.</t>
  </si>
  <si>
    <t>I have ensured that the reconciliation and underlying details were prepared in accordance with the Company's accounting policies.</t>
  </si>
  <si>
    <t>SPREADSHEET CHANGE CONTROL</t>
  </si>
  <si>
    <t>Spreadsheet Change Control</t>
  </si>
  <si>
    <t>Date of Change:</t>
  </si>
  <si>
    <t>Purpose of Change:</t>
  </si>
  <si>
    <t>Description of Change(s):</t>
  </si>
  <si>
    <t>Change Control Checklist</t>
  </si>
  <si>
    <t>Yes / No</t>
  </si>
  <si>
    <t>Were new GL accounts being affected by this spreadsheet change?  If Yes, were these tested to ensure completeness/accuracy?</t>
  </si>
  <si>
    <t>Was there a change in calculation methodology?  If Yes, was a technical memo prepared?</t>
  </si>
  <si>
    <t>Were sources (reports, systems) of the spreadsheet  changed?  If Yes, were these tested to ensure completeness/accuracy?</t>
  </si>
  <si>
    <t>Were input totals re-checked from the source document?</t>
  </si>
  <si>
    <t>Were all formulas and cell links verified?</t>
  </si>
  <si>
    <t>Were totals recomputed for accuracy and completeness?</t>
  </si>
  <si>
    <t>Are check totals built into spreadsheet to ensure accuracy?</t>
  </si>
  <si>
    <t>REPORTS</t>
  </si>
  <si>
    <t>Description of key reports used in creating the spreadsheet:</t>
  </si>
  <si>
    <t>Steps taken to validate completeness and accuracy of source data:</t>
  </si>
  <si>
    <t>Assertions relating to classes of transactions</t>
  </si>
  <si>
    <t>Assertions</t>
  </si>
  <si>
    <t>Explanation</t>
  </si>
  <si>
    <t>Procedures</t>
  </si>
  <si>
    <t>Assertion Mapping - document Reference</t>
  </si>
  <si>
    <t>Occurrence</t>
  </si>
  <si>
    <t>Transactions recognized in the financial statements have occurred and relate to the entity.</t>
  </si>
  <si>
    <t>Completeness</t>
  </si>
  <si>
    <t>All transactions that were supposed to be recorded have been recognized in the financial statements.</t>
  </si>
  <si>
    <t>Accuracy</t>
  </si>
  <si>
    <t>Transactions have been recorded accurately at their appropriate amounts.</t>
  </si>
  <si>
    <t>Cut-off</t>
  </si>
  <si>
    <t>Transactions have been recognized in the correct accounting periods.</t>
  </si>
  <si>
    <t>Transactions have been classified and presented fairly in the financial statements.</t>
  </si>
  <si>
    <t>Assertions relating to assets, liabilities and equity balances at the period end</t>
  </si>
  <si>
    <t>Existence</t>
  </si>
  <si>
    <t>Assets, liabilities and equity balances exist at the period end.</t>
  </si>
  <si>
    <t>All assets, liabilities and equity balances that were supposed to be recorded have been recognized in the financial statements.</t>
  </si>
  <si>
    <t>Rights &amp; Obligations</t>
  </si>
  <si>
    <t>Entity has the right to ownership or use of the recognized assets, and the liabilities recognized in the financial statements represent the obligations of the entity.</t>
  </si>
  <si>
    <t>Valuation</t>
  </si>
  <si>
    <t>Assets, liabilities and equity balances have been valued appropriately.</t>
  </si>
  <si>
    <t>Assertions relating to presentation and disclosures</t>
  </si>
  <si>
    <t>Examples: Related Party Disclosures</t>
  </si>
  <si>
    <t>Transactions and events disclosed in the financial statements have occurred and relate to the entity.</t>
  </si>
  <si>
    <t>All transactions, balances, events and other matters that should have been disclosed have been disclosed in the financial statements.</t>
  </si>
  <si>
    <t>Classification &amp; Understandability</t>
  </si>
  <si>
    <t>Disclosed events, transactions, balances and other financial matters have been classified appropriately and presented clearly in a manner that promotes the understandability of information contained in the financial statements.</t>
  </si>
  <si>
    <t>Accuracy &amp; Valuation</t>
  </si>
  <si>
    <t>Transactions, events, balances and other financial matters have been disclosed accurately at their appropriate amounts.</t>
  </si>
  <si>
    <t>a) JE Input is compared to uploaded JE in ACM
b) Accrued rebates have matched payments to customers or shortpayments by customers</t>
  </si>
  <si>
    <t>LOW</t>
  </si>
  <si>
    <t>Freight rates &amp; Accumatica Journal Entries</t>
  </si>
  <si>
    <t>Seyong Lee</t>
  </si>
  <si>
    <t>Trial Balance | Account Details 220950 | DCL Invoices</t>
  </si>
  <si>
    <t>Provided reconcilliation table to verify that there is no variance between trasactions and current month ending balance.</t>
  </si>
  <si>
    <t>When pulling account detail data only posted entries appear in our transaction details.</t>
  </si>
  <si>
    <t>Transactions based on JE Calculations based on current month Freight rates and shipment Volumes</t>
  </si>
  <si>
    <t xml:space="preserve">All Journal entries and account detials have been retrieved for the correct month of analysis. </t>
  </si>
  <si>
    <t>All data in reconciliation has sources and formulas to explain are final calculation and classifications.</t>
  </si>
  <si>
    <t>Freight out and warehousing balances for current month have been reconcilled between account 220950 beginning balances and ending balances.</t>
  </si>
  <si>
    <t xml:space="preserve">Total transactions (Warehouses, Freight out, Warranty) are tied out to 220950 ending balance
</t>
  </si>
  <si>
    <t xml:space="preserve">Freight out rates and cost have been communicated to supervisor and other management for leadership reporting.
</t>
  </si>
  <si>
    <t xml:space="preserve">Transactions between beginning balance and ending balance have all tied out to current Trial Balance Data.
</t>
  </si>
  <si>
    <t>All Additions, invoices and adjustment are reflected by the 220950 Account details tab. This show all of the transactions that ocurred to the account for the current month of analysis.</t>
  </si>
  <si>
    <t>A) Trial balance and Account details must match in ending balance. If they do then all transactions for current account have been disclosed and are available for review.</t>
  </si>
  <si>
    <t xml:space="preserve">Mapping is done by GL team in consulation with Logistics team including new accounts </t>
  </si>
  <si>
    <t>https://juul.box.com/s/480d6xcpgpn1qw168mo8rhvqy51a8v2f</t>
  </si>
  <si>
    <t>-786177.22</t>
  </si>
  <si>
    <t>SG001-DUT-4140-JUL</t>
  </si>
  <si>
    <t>GU001-DUT-4140-JSK</t>
  </si>
  <si>
    <t>PH001-STR-4100-JAC</t>
  </si>
  <si>
    <t>PH001-STR-4100-JRK</t>
  </si>
  <si>
    <t>PH001-STR-4100-JUL</t>
  </si>
  <si>
    <t>148100</t>
  </si>
  <si>
    <t>I/C PII Adjustment</t>
  </si>
  <si>
    <t>151000</t>
  </si>
  <si>
    <t>Capital In Progress</t>
  </si>
  <si>
    <t>181100</t>
  </si>
  <si>
    <t>Investment in Subsidiaries</t>
  </si>
  <si>
    <t>220975</t>
  </si>
  <si>
    <t>Accrued Facilities</t>
  </si>
  <si>
    <t>Equity Contribution from Parent</t>
  </si>
  <si>
    <t>493000</t>
  </si>
  <si>
    <t>Sales Returns</t>
  </si>
  <si>
    <t>810000</t>
  </si>
  <si>
    <t>Non-Cash Stock Comp Expense</t>
  </si>
  <si>
    <t>610800</t>
  </si>
  <si>
    <t>Training and Education</t>
  </si>
  <si>
    <t>DNU-Fulfillment Services</t>
  </si>
  <si>
    <t>DNU-Sponsorships</t>
  </si>
  <si>
    <t>DNU-Outside Merchandising Services</t>
  </si>
  <si>
    <t>DNU-Channel Marketing - Merchandising</t>
  </si>
  <si>
    <t>DNU-Brand Development</t>
  </si>
  <si>
    <t>DNU-Digital Marketing</t>
  </si>
  <si>
    <t>DNU-Bank Analysis and Service Charges</t>
  </si>
  <si>
    <t>760010</t>
  </si>
  <si>
    <t>760040</t>
  </si>
  <si>
    <t>Testing Expenses</t>
  </si>
  <si>
    <t>760050</t>
  </si>
  <si>
    <t>Tradeshows/Sales Sponsorships</t>
  </si>
  <si>
    <t>760080</t>
  </si>
  <si>
    <t>760090</t>
  </si>
  <si>
    <t>760110</t>
  </si>
  <si>
    <t>760150</t>
  </si>
  <si>
    <t>JULY</t>
  </si>
  <si>
    <t>SGD</t>
  </si>
  <si>
    <t>Reconciiliation Sheet</t>
  </si>
  <si>
    <t>Beginning Balance - July 2019</t>
  </si>
  <si>
    <t>Ending Balance - July 2019</t>
  </si>
  <si>
    <t>August</t>
  </si>
  <si>
    <t>10 Sep 2019 23:23 PM GMT+00:00</t>
  </si>
  <si>
    <t>082019</t>
  </si>
  <si>
    <t>01/08/2019 00:00:00</t>
  </si>
  <si>
    <t>31/08/2019 00:00:00</t>
  </si>
  <si>
    <t>-406771.54</t>
  </si>
  <si>
    <t>-1192948.76</t>
  </si>
  <si>
    <t>GL08-00002245</t>
  </si>
  <si>
    <t>08-2019</t>
  </si>
  <si>
    <t>Freight in Capitalizatio | July 2019</t>
  </si>
  <si>
    <t>GL08-00002742</t>
  </si>
  <si>
    <t>Freight in Capitalization | August 2019</t>
  </si>
  <si>
    <t>KR001-CRP-6000-JAC</t>
  </si>
  <si>
    <t>ID001-STR-4100-JRK</t>
  </si>
  <si>
    <t>ID001-STR-4100-JBK</t>
  </si>
  <si>
    <t>PH001-STR-4100-JBK</t>
  </si>
  <si>
    <t>PH001-STR-4100-JSK</t>
  </si>
  <si>
    <t>KR001-CRP-6000-JBK</t>
  </si>
  <si>
    <t>GL08-00002743</t>
  </si>
  <si>
    <t>Fulfillment Expense Accrual | August 2019</t>
  </si>
  <si>
    <t>Freight Out Expense | August 2019</t>
  </si>
  <si>
    <t>1 of 4</t>
  </si>
  <si>
    <t>119100</t>
  </si>
  <si>
    <t>System Cash Clearing Account</t>
  </si>
  <si>
    <t>121130</t>
  </si>
  <si>
    <t>Trade AR Adjustments</t>
  </si>
  <si>
    <t>130620</t>
  </si>
  <si>
    <t>Prepaid Rent</t>
  </si>
  <si>
    <t>150200</t>
  </si>
  <si>
    <t>Tools, Machinery and Equipment</t>
  </si>
  <si>
    <t>211100</t>
  </si>
  <si>
    <t>Accrued Salaries and Wages</t>
  </si>
  <si>
    <t>Accrued Bonus - Performance</t>
  </si>
  <si>
    <t>211300</t>
  </si>
  <si>
    <t>Accrued Payroll Taxes</t>
  </si>
  <si>
    <t>220900</t>
  </si>
  <si>
    <t>Accrued Consulting</t>
  </si>
  <si>
    <t>293120</t>
  </si>
  <si>
    <t>I/C - Loan Payable Non-Current - IHB (Old 291040)</t>
  </si>
  <si>
    <t>497300</t>
  </si>
  <si>
    <t>Promotional Allowances</t>
  </si>
  <si>
    <t>631100</t>
  </si>
  <si>
    <t>Repairs and Maintenance</t>
  </si>
  <si>
    <t>720600</t>
  </si>
  <si>
    <t>Channel Marketing - Collateral</t>
  </si>
  <si>
    <t>720610</t>
  </si>
  <si>
    <t>Channel Support</t>
  </si>
  <si>
    <t>753000</t>
  </si>
  <si>
    <t>Fines and Penalties</t>
  </si>
  <si>
    <t>Trial Balance for Account 220950 for Month of Aug 2019</t>
  </si>
  <si>
    <t>Transactions for Account 220950 for Month</t>
  </si>
  <si>
    <t>TB 9.10.19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</si>
</sst>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\/d\/yyyy\ h:mm\ AM/PM"/>
    <numFmt numFmtId="165" formatCode="#,##0.00;[Red]\-#,##0.00"/>
    <numFmt numFmtId="166" formatCode="m\/d\/yyyy"/>
    <numFmt numFmtId="167" formatCode="#,##0;[Red]\-#,##0"/>
    <numFmt numFmtId="168" formatCode="dd\/mm\/yyyy\ hh:mm"/>
    <numFmt numFmtId="169" formatCode="dd\/mm\/yyyy"/>
    <numFmt numFmtId="170" formatCode="mm\/dd\/yyyy"/>
    <numFmt numFmtId="171" formatCode="_(&quot;$&quot;* #,##0_);_(&quot;$&quot;* \(#,##0\);_(&quot;$&quot;* &quot;-&quot;??_);_(@_)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12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9"/>
      <color rgb="FFFF0000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3AAB84"/>
      <name val="Arial Narrow"/>
      <family val="2"/>
    </font>
    <font>
      <b/>
      <sz val="10"/>
      <color rgb="FF00B0F0"/>
      <name val="Arial Narrow"/>
      <family val="2"/>
    </font>
    <font>
      <sz val="10"/>
      <name val="Arial Narrow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80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47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43" fontId="3" fillId="0" borderId="0" applyFont="0" applyFill="0" applyBorder="0" applyAlignment="0" applyProtection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Alignment="0"/>
    <xf numFmtId="43" fontId="6" fillId="0" borderId="0" applyFont="0" applyFill="0" applyBorder="0" applyAlignment="0" applyProtection="0"/>
    <xf numFmtId="0" fontId="8" fillId="2" borderId="0">
      <alignment horizontal="left" vertical="top"/>
    </xf>
    <xf numFmtId="0" fontId="6" fillId="2" borderId="0"/>
    <xf numFmtId="0" fontId="9" fillId="2" borderId="0">
      <alignment horizontal="left" vertical="top"/>
    </xf>
    <xf numFmtId="0" fontId="9" fillId="2" borderId="0">
      <alignment horizontal="right" vertical="top"/>
    </xf>
    <xf numFmtId="164" fontId="9" fillId="2" borderId="0">
      <alignment horizontal="right" vertical="top"/>
    </xf>
    <xf numFmtId="0" fontId="10" fillId="3" borderId="2">
      <alignment horizontal="left" vertical="top"/>
    </xf>
    <xf numFmtId="0" fontId="10" fillId="3" borderId="2">
      <alignment horizontal="right" vertical="top"/>
    </xf>
    <xf numFmtId="165" fontId="9" fillId="2" borderId="0">
      <alignment horizontal="right" vertical="top"/>
    </xf>
    <xf numFmtId="0" fontId="8" fillId="2" borderId="0">
      <alignment horizontal="left" vertical="top"/>
    </xf>
    <xf numFmtId="0" fontId="6" fillId="2" borderId="0"/>
    <xf numFmtId="0" fontId="9" fillId="2" borderId="0">
      <alignment horizontal="left" vertical="top"/>
    </xf>
    <xf numFmtId="0" fontId="9" fillId="2" borderId="0">
      <alignment horizontal="right" vertical="top"/>
    </xf>
    <xf numFmtId="164" fontId="9" fillId="2" borderId="0">
      <alignment horizontal="right" vertical="top"/>
    </xf>
    <xf numFmtId="0" fontId="10" fillId="3" borderId="2">
      <alignment horizontal="left" vertical="top"/>
    </xf>
    <xf numFmtId="0" fontId="10" fillId="3" borderId="2">
      <alignment horizontal="right" vertical="top"/>
    </xf>
    <xf numFmtId="165" fontId="9" fillId="2" borderId="0">
      <alignment horizontal="right" vertical="top"/>
    </xf>
    <xf numFmtId="0" fontId="11" fillId="4" borderId="1" applyAlignment="0"/>
    <xf numFmtId="0" fontId="12" fillId="5" borderId="3" applyAlignment="0"/>
    <xf numFmtId="0" fontId="1" fillId="0" borderId="0"/>
    <xf numFmtId="44" fontId="6" fillId="0" borderId="0" applyFont="0" applyFill="0" applyBorder="0" applyAlignment="0" applyProtection="0"/>
    <xf numFmtId="0" fontId="10" fillId="2" borderId="4">
      <alignment horizontal="left" vertical="top"/>
    </xf>
    <xf numFmtId="165" fontId="10" fillId="2" borderId="4">
      <alignment horizontal="right" vertical="top"/>
    </xf>
    <xf numFmtId="166" fontId="12" fillId="5" borderId="3"/>
    <xf numFmtId="167" fontId="12" fillId="5" borderId="3"/>
    <xf numFmtId="165" fontId="12" fillId="5" borderId="3"/>
    <xf numFmtId="0" fontId="6" fillId="0" borderId="0" applyAlignment="0"/>
    <xf numFmtId="43" fontId="1" fillId="0" borderId="0" applyFont="0" applyFill="0" applyBorder="0" applyAlignment="0" applyProtection="0"/>
    <xf numFmtId="0" fontId="13" fillId="4" borderId="1" applyAlignment="0"/>
    <xf numFmtId="0" fontId="14" fillId="5" borderId="3" applyAlignment="0"/>
    <xf numFmtId="166" fontId="14" fillId="5" borderId="3"/>
    <xf numFmtId="165" fontId="14" fillId="5" borderId="3"/>
    <xf numFmtId="0" fontId="5" fillId="0" borderId="0" applyAlignment="0"/>
    <xf numFmtId="44" fontId="5" fillId="0" borderId="0" applyFont="0" applyFill="0" applyBorder="0" applyAlignment="0" applyProtection="0"/>
    <xf numFmtId="165" fontId="12" fillId="5" borderId="3"/>
    <xf numFmtId="43" fontId="5" fillId="0" borderId="0" applyFont="0" applyFill="0" applyBorder="0" applyAlignment="0" applyProtection="0"/>
    <xf numFmtId="165" fontId="12" fillId="5" borderId="3"/>
    <xf numFmtId="0" fontId="11" fillId="4" borderId="1" applyAlignment="0"/>
    <xf numFmtId="0" fontId="15" fillId="0" borderId="0" applyAlignment="0"/>
    <xf numFmtId="0" fontId="5" fillId="2" borderId="0"/>
    <xf numFmtId="0" fontId="10" fillId="3" borderId="2">
      <alignment horizontal="left" vertical="top"/>
    </xf>
    <xf numFmtId="0" fontId="10" fillId="3" borderId="2">
      <alignment horizontal="right" vertical="top"/>
    </xf>
    <xf numFmtId="0" fontId="4" fillId="0" borderId="0"/>
    <xf numFmtId="0" fontId="18" fillId="0" borderId="0" applyAlignment="0"/>
    <xf numFmtId="43" fontId="5" fillId="0" borderId="0" applyFont="0" applyFill="0" applyBorder="0" applyAlignment="0" applyProtection="0"/>
    <xf numFmtId="0" fontId="18" fillId="0" borderId="0" applyAlignment="0"/>
    <xf numFmtId="0" fontId="21" fillId="0" borderId="0" applyAlignment="0"/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21" fillId="0" borderId="0">
      <alignment horizontal="right" vertical="top"/>
    </xf>
    <xf numFmtId="164" fontId="21" fillId="0" borderId="0">
      <alignment horizontal="right" vertical="top"/>
    </xf>
    <xf numFmtId="0" fontId="20" fillId="0" borderId="0" applyAlignment="0"/>
    <xf numFmtId="0" fontId="20" fillId="0" borderId="0">
      <alignment horizontal="left" vertical="top"/>
    </xf>
    <xf numFmtId="0" fontId="20" fillId="0" borderId="0">
      <alignment horizontal="left" vertical="top"/>
    </xf>
    <xf numFmtId="0" fontId="22" fillId="0" borderId="0" applyAlignment="0"/>
    <xf numFmtId="0" fontId="22" fillId="0" borderId="0">
      <alignment horizontal="right" vertical="top"/>
    </xf>
    <xf numFmtId="0" fontId="22" fillId="0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left" vertical="top"/>
    </xf>
    <xf numFmtId="0" fontId="22" fillId="0" borderId="19">
      <alignment horizontal="left" vertical="top"/>
    </xf>
    <xf numFmtId="0" fontId="22" fillId="0" borderId="19">
      <alignment horizontal="right" vertical="top"/>
    </xf>
    <xf numFmtId="0" fontId="22" fillId="0" borderId="2">
      <alignment horizontal="left" vertical="top"/>
    </xf>
    <xf numFmtId="0" fontId="22" fillId="0" borderId="2">
      <alignment horizontal="right" vertical="top"/>
    </xf>
    <xf numFmtId="0" fontId="22" fillId="3" borderId="2">
      <alignment horizontal="left" vertical="top"/>
    </xf>
    <xf numFmtId="0" fontId="22" fillId="3" borderId="2">
      <alignment horizontal="right" vertical="top"/>
    </xf>
    <xf numFmtId="165" fontId="21" fillId="0" borderId="0">
      <alignment horizontal="right" vertical="top"/>
    </xf>
    <xf numFmtId="0" fontId="18" fillId="0" borderId="4"/>
    <xf numFmtId="0" fontId="22" fillId="0" borderId="4">
      <alignment horizontal="left" vertical="top"/>
    </xf>
    <xf numFmtId="165" fontId="22" fillId="0" borderId="0">
      <alignment horizontal="right" vertical="top"/>
    </xf>
    <xf numFmtId="165" fontId="22" fillId="0" borderId="4">
      <alignment horizontal="right" vertical="top"/>
    </xf>
    <xf numFmtId="0" fontId="20" fillId="2" borderId="0">
      <alignment horizontal="left" vertical="top"/>
    </xf>
    <xf numFmtId="0" fontId="18" fillId="2" borderId="0"/>
    <xf numFmtId="0" fontId="21" fillId="2" borderId="0">
      <alignment horizontal="left" vertical="top"/>
    </xf>
    <xf numFmtId="0" fontId="21" fillId="2" borderId="0">
      <alignment horizontal="right" vertical="top"/>
    </xf>
    <xf numFmtId="164" fontId="21" fillId="2" borderId="0">
      <alignment horizontal="right" vertical="top"/>
    </xf>
    <xf numFmtId="165" fontId="21" fillId="2" borderId="0">
      <alignment horizontal="right" vertical="top"/>
    </xf>
    <xf numFmtId="0" fontId="22" fillId="2" borderId="4">
      <alignment horizontal="left" vertical="top"/>
    </xf>
    <xf numFmtId="165" fontId="22" fillId="2" borderId="4">
      <alignment horizontal="right" vertical="top"/>
    </xf>
    <xf numFmtId="0" fontId="17" fillId="5" borderId="3" applyAlignment="0"/>
    <xf numFmtId="0" fontId="16" fillId="4" borderId="1" applyAlignment="0"/>
    <xf numFmtId="0" fontId="17" fillId="5" borderId="3" applyAlignment="0"/>
    <xf numFmtId="166" fontId="17" fillId="5" borderId="3"/>
    <xf numFmtId="165" fontId="17" fillId="5" borderId="3"/>
    <xf numFmtId="0" fontId="5" fillId="0" borderId="0" applyAlignment="0"/>
    <xf numFmtId="0" fontId="9" fillId="0" borderId="0" applyAlignment="0"/>
    <xf numFmtId="0" fontId="9" fillId="0" borderId="0">
      <alignment horizontal="left" vertical="top"/>
    </xf>
    <xf numFmtId="0" fontId="9" fillId="0" borderId="0">
      <alignment horizontal="left" vertical="top"/>
    </xf>
    <xf numFmtId="0" fontId="9" fillId="0" borderId="0">
      <alignment horizontal="right" vertical="top"/>
    </xf>
    <xf numFmtId="0" fontId="9" fillId="0" borderId="0">
      <alignment horizontal="right" vertical="top"/>
    </xf>
    <xf numFmtId="164" fontId="9" fillId="0" borderId="0">
      <alignment horizontal="right" vertical="top"/>
    </xf>
    <xf numFmtId="0" fontId="8" fillId="0" borderId="0" applyAlignment="0"/>
    <xf numFmtId="0" fontId="8" fillId="0" borderId="0">
      <alignment horizontal="left" vertical="top"/>
    </xf>
    <xf numFmtId="0" fontId="8" fillId="0" borderId="0">
      <alignment horizontal="left" vertical="top"/>
    </xf>
    <xf numFmtId="0" fontId="10" fillId="0" borderId="0" applyAlignment="0"/>
    <xf numFmtId="0" fontId="10" fillId="0" borderId="0">
      <alignment horizontal="right" vertical="top"/>
    </xf>
    <xf numFmtId="0" fontId="10" fillId="0" borderId="0">
      <alignment horizontal="righ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0" fillId="0" borderId="19">
      <alignment horizontal="left" vertical="top"/>
    </xf>
    <xf numFmtId="0" fontId="10" fillId="0" borderId="19">
      <alignment horizontal="right" vertical="top"/>
    </xf>
    <xf numFmtId="0" fontId="10" fillId="0" borderId="2">
      <alignment horizontal="left" vertical="top"/>
    </xf>
    <xf numFmtId="0" fontId="10" fillId="0" borderId="2">
      <alignment horizontal="right" vertical="top"/>
    </xf>
    <xf numFmtId="165" fontId="9" fillId="0" borderId="0">
      <alignment horizontal="right" vertical="top"/>
    </xf>
    <xf numFmtId="0" fontId="5" fillId="0" borderId="4"/>
    <xf numFmtId="0" fontId="10" fillId="0" borderId="4">
      <alignment horizontal="left" vertical="top"/>
    </xf>
    <xf numFmtId="165" fontId="10" fillId="0" borderId="0">
      <alignment horizontal="right" vertical="top"/>
    </xf>
    <xf numFmtId="165" fontId="10" fillId="0" borderId="4">
      <alignment horizontal="right" vertical="top"/>
    </xf>
    <xf numFmtId="0" fontId="12" fillId="5" borderId="3" applyAlignment="0"/>
    <xf numFmtId="0" fontId="27" fillId="0" borderId="0" applyAlignment="0"/>
    <xf numFmtId="0" fontId="27" fillId="0" borderId="0" applyAlignment="0"/>
    <xf numFmtId="0" fontId="28" fillId="0" borderId="0" applyAlignment="0"/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28" fillId="0" borderId="0">
      <alignment horizontal="right" vertical="top"/>
    </xf>
    <xf numFmtId="164" fontId="28" fillId="0" borderId="0">
      <alignment horizontal="right" vertical="top"/>
    </xf>
    <xf numFmtId="0" fontId="29" fillId="0" borderId="0" applyAlignment="0"/>
    <xf numFmtId="0" fontId="29" fillId="0" borderId="0">
      <alignment horizontal="left" vertical="top"/>
    </xf>
    <xf numFmtId="0" fontId="29" fillId="0" borderId="0">
      <alignment horizontal="left" vertical="top"/>
    </xf>
    <xf numFmtId="0" fontId="30" fillId="0" borderId="0" applyAlignment="0"/>
    <xf numFmtId="0" fontId="30" fillId="0" borderId="0">
      <alignment horizontal="right" vertical="top"/>
    </xf>
    <xf numFmtId="0" fontId="30" fillId="0" borderId="0">
      <alignment horizontal="right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30" fillId="0" borderId="19">
      <alignment horizontal="left" vertical="top"/>
    </xf>
    <xf numFmtId="0" fontId="30" fillId="0" borderId="19">
      <alignment horizontal="right" vertical="top"/>
    </xf>
    <xf numFmtId="0" fontId="30" fillId="0" borderId="2">
      <alignment horizontal="left" vertical="top"/>
    </xf>
    <xf numFmtId="0" fontId="30" fillId="0" borderId="2">
      <alignment horizontal="right" vertical="top"/>
    </xf>
    <xf numFmtId="0" fontId="30" fillId="3" borderId="2">
      <alignment horizontal="left" vertical="top"/>
    </xf>
    <xf numFmtId="0" fontId="30" fillId="3" borderId="2">
      <alignment horizontal="right" vertical="top"/>
    </xf>
    <xf numFmtId="165" fontId="28" fillId="0" borderId="0">
      <alignment horizontal="right" vertical="top"/>
    </xf>
    <xf numFmtId="0" fontId="27" fillId="0" borderId="4"/>
    <xf numFmtId="0" fontId="30" fillId="0" borderId="4">
      <alignment horizontal="left" vertical="top"/>
    </xf>
    <xf numFmtId="165" fontId="30" fillId="0" borderId="0">
      <alignment horizontal="right" vertical="top"/>
    </xf>
    <xf numFmtId="165" fontId="30" fillId="0" borderId="4">
      <alignment horizontal="right" vertical="top"/>
    </xf>
    <xf numFmtId="0" fontId="29" fillId="2" borderId="0">
      <alignment horizontal="left" vertical="top"/>
    </xf>
    <xf numFmtId="0" fontId="27" fillId="2" borderId="0"/>
    <xf numFmtId="0" fontId="28" fillId="2" borderId="0">
      <alignment horizontal="left" vertical="top"/>
    </xf>
    <xf numFmtId="0" fontId="28" fillId="2" borderId="0">
      <alignment horizontal="right" vertical="top"/>
    </xf>
    <xf numFmtId="164" fontId="28" fillId="2" borderId="0">
      <alignment horizontal="right" vertical="top"/>
    </xf>
    <xf numFmtId="165" fontId="28" fillId="2" borderId="0">
      <alignment horizontal="right" vertical="top"/>
    </xf>
    <xf numFmtId="0" fontId="30" fillId="2" borderId="4">
      <alignment horizontal="left" vertical="top"/>
    </xf>
    <xf numFmtId="165" fontId="30" fillId="2" borderId="4">
      <alignment horizontal="right" vertical="top"/>
    </xf>
    <xf numFmtId="0" fontId="31" fillId="5" borderId="3" applyAlignment="0"/>
    <xf numFmtId="0" fontId="32" fillId="4" borderId="1" applyAlignment="0"/>
    <xf numFmtId="0" fontId="31" fillId="5" borderId="3" applyAlignment="0"/>
    <xf numFmtId="166" fontId="31" fillId="5" borderId="3"/>
    <xf numFmtId="165" fontId="31" fillId="5" borderId="3"/>
    <xf numFmtId="169" fontId="12" fillId="5" borderId="3"/>
    <xf numFmtId="168" fontId="9" fillId="0" borderId="0">
      <alignment horizontal="right" vertical="top"/>
    </xf>
    <xf numFmtId="168" fontId="9" fillId="2" borderId="0">
      <alignment horizontal="right" vertical="top"/>
    </xf>
    <xf numFmtId="0" fontId="33" fillId="0" borderId="0" applyAlignment="0"/>
    <xf numFmtId="0" fontId="33" fillId="0" borderId="0" applyAlignment="0"/>
    <xf numFmtId="0" fontId="34" fillId="0" borderId="0" applyAlignment="0"/>
    <xf numFmtId="0" fontId="34" fillId="0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right" vertical="top"/>
    </xf>
    <xf numFmtId="168" fontId="34" fillId="0" borderId="0">
      <alignment horizontal="right" vertical="top"/>
    </xf>
    <xf numFmtId="0" fontId="35" fillId="0" borderId="0" applyAlignment="0"/>
    <xf numFmtId="0" fontId="35" fillId="0" borderId="0">
      <alignment horizontal="left" vertical="top"/>
    </xf>
    <xf numFmtId="0" fontId="35" fillId="0" borderId="0">
      <alignment horizontal="left" vertical="top"/>
    </xf>
    <xf numFmtId="0" fontId="36" fillId="0" borderId="0" applyAlignment="0"/>
    <xf numFmtId="0" fontId="36" fillId="0" borderId="0">
      <alignment horizontal="right" vertical="top"/>
    </xf>
    <xf numFmtId="0" fontId="36" fillId="0" borderId="0">
      <alignment horizontal="right" vertical="top"/>
    </xf>
    <xf numFmtId="0" fontId="36" fillId="0" borderId="0">
      <alignment horizontal="left" vertical="top"/>
    </xf>
    <xf numFmtId="0" fontId="36" fillId="0" borderId="0">
      <alignment horizontal="left" vertical="top"/>
    </xf>
    <xf numFmtId="0" fontId="36" fillId="0" borderId="19">
      <alignment horizontal="left" vertical="top"/>
    </xf>
    <xf numFmtId="0" fontId="36" fillId="0" borderId="19">
      <alignment horizontal="right" vertical="top"/>
    </xf>
    <xf numFmtId="0" fontId="36" fillId="0" borderId="2">
      <alignment horizontal="left" vertical="top"/>
    </xf>
    <xf numFmtId="0" fontId="36" fillId="0" borderId="2">
      <alignment horizontal="right" vertical="top"/>
    </xf>
    <xf numFmtId="0" fontId="36" fillId="3" borderId="2">
      <alignment horizontal="left" vertical="top"/>
    </xf>
    <xf numFmtId="0" fontId="36" fillId="3" borderId="2">
      <alignment horizontal="right" vertical="top"/>
    </xf>
    <xf numFmtId="165" fontId="34" fillId="0" borderId="0">
      <alignment horizontal="right" vertical="top"/>
    </xf>
    <xf numFmtId="0" fontId="33" fillId="0" borderId="4"/>
    <xf numFmtId="0" fontId="36" fillId="0" borderId="4">
      <alignment horizontal="left" vertical="top"/>
    </xf>
    <xf numFmtId="165" fontId="36" fillId="0" borderId="0">
      <alignment horizontal="right" vertical="top"/>
    </xf>
    <xf numFmtId="165" fontId="36" fillId="0" borderId="4">
      <alignment horizontal="right" vertical="top"/>
    </xf>
    <xf numFmtId="0" fontId="35" fillId="2" borderId="0">
      <alignment horizontal="left" vertical="top"/>
    </xf>
    <xf numFmtId="0" fontId="33" fillId="2" borderId="0"/>
    <xf numFmtId="0" fontId="34" fillId="2" borderId="0">
      <alignment horizontal="left" vertical="top"/>
    </xf>
    <xf numFmtId="0" fontId="34" fillId="2" borderId="0">
      <alignment horizontal="right" vertical="top"/>
    </xf>
    <xf numFmtId="168" fontId="34" fillId="2" borderId="0">
      <alignment horizontal="right" vertical="top"/>
    </xf>
    <xf numFmtId="165" fontId="34" fillId="2" borderId="0">
      <alignment horizontal="right" vertical="top"/>
    </xf>
    <xf numFmtId="0" fontId="36" fillId="2" borderId="4">
      <alignment horizontal="left" vertical="top"/>
    </xf>
    <xf numFmtId="165" fontId="36" fillId="2" borderId="4">
      <alignment horizontal="right" vertical="top"/>
    </xf>
    <xf numFmtId="0" fontId="37" fillId="5" borderId="3" applyAlignment="0"/>
    <xf numFmtId="0" fontId="38" fillId="4" borderId="1" applyAlignment="0"/>
    <xf numFmtId="0" fontId="37" fillId="5" borderId="3" applyAlignment="0"/>
    <xf numFmtId="169" fontId="37" fillId="5" borderId="3"/>
    <xf numFmtId="165" fontId="37" fillId="5" borderId="3"/>
    <xf numFmtId="0" fontId="40" fillId="0" borderId="0" applyAlignment="0"/>
    <xf numFmtId="0" fontId="41" fillId="5" borderId="3" applyAlignment="0"/>
    <xf numFmtId="0" fontId="42" fillId="4" borderId="1" applyAlignment="0"/>
    <xf numFmtId="0" fontId="41" fillId="5" borderId="3" applyAlignment="0"/>
    <xf numFmtId="169" fontId="41" fillId="5" borderId="3"/>
    <xf numFmtId="165" fontId="41" fillId="5" borderId="3"/>
    <xf numFmtId="0" fontId="40" fillId="0" borderId="0" applyAlignment="0"/>
    <xf numFmtId="0" fontId="43" fillId="0" borderId="0" applyAlignment="0"/>
    <xf numFmtId="0" fontId="43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43" fillId="0" borderId="0">
      <alignment horizontal="right" vertical="top"/>
    </xf>
    <xf numFmtId="168" fontId="43" fillId="0" borderId="0">
      <alignment horizontal="right" vertical="top"/>
    </xf>
    <xf numFmtId="0" fontId="44" fillId="0" borderId="0" applyAlignment="0"/>
    <xf numFmtId="0" fontId="44" fillId="0" borderId="0">
      <alignment horizontal="left" vertical="top"/>
    </xf>
    <xf numFmtId="0" fontId="44" fillId="0" borderId="0">
      <alignment horizontal="left" vertical="top"/>
    </xf>
    <xf numFmtId="0" fontId="45" fillId="0" borderId="0" applyAlignment="0"/>
    <xf numFmtId="0" fontId="45" fillId="0" borderId="0">
      <alignment horizontal="right" vertical="top"/>
    </xf>
    <xf numFmtId="0" fontId="45" fillId="0" borderId="0">
      <alignment horizontal="right" vertical="top"/>
    </xf>
    <xf numFmtId="0" fontId="45" fillId="0" borderId="0">
      <alignment horizontal="left" vertical="top"/>
    </xf>
    <xf numFmtId="0" fontId="45" fillId="0" borderId="0">
      <alignment horizontal="left" vertical="top"/>
    </xf>
    <xf numFmtId="0" fontId="45" fillId="0" borderId="19">
      <alignment horizontal="left" vertical="top"/>
    </xf>
    <xf numFmtId="0" fontId="45" fillId="0" borderId="19">
      <alignment horizontal="right" vertical="top"/>
    </xf>
    <xf numFmtId="0" fontId="45" fillId="0" borderId="2">
      <alignment horizontal="left" vertical="top"/>
    </xf>
    <xf numFmtId="0" fontId="45" fillId="0" borderId="2">
      <alignment horizontal="right" vertical="top"/>
    </xf>
    <xf numFmtId="0" fontId="45" fillId="3" borderId="2">
      <alignment horizontal="left" vertical="top"/>
    </xf>
    <xf numFmtId="0" fontId="45" fillId="3" borderId="2">
      <alignment horizontal="right" vertical="top"/>
    </xf>
    <xf numFmtId="165" fontId="43" fillId="0" borderId="0">
      <alignment horizontal="right" vertical="top"/>
    </xf>
    <xf numFmtId="0" fontId="40" fillId="0" borderId="4"/>
    <xf numFmtId="0" fontId="45" fillId="0" borderId="4">
      <alignment horizontal="left" vertical="top"/>
    </xf>
    <xf numFmtId="165" fontId="45" fillId="0" borderId="0">
      <alignment horizontal="right" vertical="top"/>
    </xf>
    <xf numFmtId="165" fontId="45" fillId="0" borderId="4">
      <alignment horizontal="right" vertical="top"/>
    </xf>
    <xf numFmtId="0" fontId="44" fillId="2" borderId="0">
      <alignment horizontal="left" vertical="top"/>
    </xf>
    <xf numFmtId="0" fontId="40" fillId="2" borderId="0"/>
    <xf numFmtId="0" fontId="43" fillId="2" borderId="0">
      <alignment horizontal="left" vertical="top"/>
    </xf>
    <xf numFmtId="0" fontId="43" fillId="2" borderId="0">
      <alignment horizontal="right" vertical="top"/>
    </xf>
    <xf numFmtId="168" fontId="43" fillId="2" borderId="0">
      <alignment horizontal="right" vertical="top"/>
    </xf>
    <xf numFmtId="165" fontId="43" fillId="2" borderId="0">
      <alignment horizontal="right" vertical="top"/>
    </xf>
    <xf numFmtId="0" fontId="45" fillId="2" borderId="4">
      <alignment horizontal="left" vertical="top"/>
    </xf>
    <xf numFmtId="165" fontId="45" fillId="2" borderId="4">
      <alignment horizontal="right" vertical="top"/>
    </xf>
    <xf numFmtId="0" fontId="47" fillId="0" borderId="0" applyAlignment="0"/>
    <xf numFmtId="0" fontId="47" fillId="0" borderId="0" applyAlignment="0"/>
    <xf numFmtId="0" fontId="48" fillId="0" borderId="0" applyAlignment="0"/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48" fillId="0" borderId="0">
      <alignment horizontal="right" vertical="top"/>
    </xf>
    <xf numFmtId="168" fontId="48" fillId="0" borderId="0">
      <alignment horizontal="right" vertical="top"/>
    </xf>
    <xf numFmtId="0" fontId="49" fillId="0" borderId="0" applyAlignment="0"/>
    <xf numFmtId="0" fontId="49" fillId="0" borderId="0">
      <alignment horizontal="left" vertical="top"/>
    </xf>
    <xf numFmtId="0" fontId="49" fillId="0" borderId="0">
      <alignment horizontal="left" vertical="top"/>
    </xf>
    <xf numFmtId="0" fontId="50" fillId="0" borderId="0" applyAlignment="0"/>
    <xf numFmtId="0" fontId="50" fillId="0" borderId="0">
      <alignment horizontal="right" vertical="top"/>
    </xf>
    <xf numFmtId="0" fontId="50" fillId="0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left" vertical="top"/>
    </xf>
    <xf numFmtId="0" fontId="50" fillId="0" borderId="19">
      <alignment horizontal="left" vertical="top"/>
    </xf>
    <xf numFmtId="0" fontId="50" fillId="0" borderId="19">
      <alignment horizontal="right" vertical="top"/>
    </xf>
    <xf numFmtId="0" fontId="50" fillId="0" borderId="2">
      <alignment horizontal="left" vertical="top"/>
    </xf>
    <xf numFmtId="0" fontId="50" fillId="0" borderId="2">
      <alignment horizontal="right" vertical="top"/>
    </xf>
    <xf numFmtId="0" fontId="50" fillId="3" borderId="2">
      <alignment horizontal="left" vertical="top"/>
    </xf>
    <xf numFmtId="0" fontId="50" fillId="3" borderId="2">
      <alignment horizontal="right" vertical="top"/>
    </xf>
    <xf numFmtId="165" fontId="48" fillId="0" borderId="0">
      <alignment horizontal="right" vertical="top"/>
    </xf>
    <xf numFmtId="0" fontId="47" fillId="0" borderId="4"/>
    <xf numFmtId="0" fontId="50" fillId="0" borderId="4">
      <alignment horizontal="left" vertical="top"/>
    </xf>
    <xf numFmtId="165" fontId="50" fillId="0" borderId="0">
      <alignment horizontal="right" vertical="top"/>
    </xf>
    <xf numFmtId="165" fontId="50" fillId="0" borderId="4">
      <alignment horizontal="right" vertical="top"/>
    </xf>
    <xf numFmtId="0" fontId="49" fillId="2" borderId="0">
      <alignment horizontal="left" vertical="top"/>
    </xf>
    <xf numFmtId="0" fontId="47" fillId="2" borderId="0"/>
    <xf numFmtId="0" fontId="48" fillId="2" borderId="0">
      <alignment horizontal="left" vertical="top"/>
    </xf>
    <xf numFmtId="0" fontId="48" fillId="2" borderId="0">
      <alignment horizontal="right" vertical="top"/>
    </xf>
    <xf numFmtId="168" fontId="48" fillId="2" borderId="0">
      <alignment horizontal="right" vertical="top"/>
    </xf>
    <xf numFmtId="165" fontId="48" fillId="2" borderId="0">
      <alignment horizontal="right" vertical="top"/>
    </xf>
    <xf numFmtId="0" fontId="50" fillId="2" borderId="4">
      <alignment horizontal="left" vertical="top"/>
    </xf>
    <xf numFmtId="165" fontId="50" fillId="2" borderId="4">
      <alignment horizontal="right" vertical="top"/>
    </xf>
    <xf numFmtId="0" fontId="51" fillId="5" borderId="3" applyAlignment="0"/>
    <xf numFmtId="0" fontId="52" fillId="4" borderId="1" applyAlignment="0"/>
    <xf numFmtId="0" fontId="51" fillId="5" borderId="3" applyAlignment="0"/>
    <xf numFmtId="169" fontId="51" fillId="5" borderId="3"/>
    <xf numFmtId="165" fontId="51" fillId="5" borderId="3"/>
    <xf numFmtId="44" fontId="1" fillId="0" borderId="0" applyFont="0" applyFill="0" applyBorder="0" applyAlignment="0" applyProtection="0"/>
    <xf numFmtId="0" fontId="47" fillId="0" borderId="19"/>
    <xf numFmtId="0" fontId="50" fillId="0" borderId="19">
      <alignment horizontal="right" vertical="top"/>
    </xf>
    <xf numFmtId="0" fontId="50" fillId="0" borderId="2">
      <alignment horizontal="left" vertical="top"/>
    </xf>
    <xf numFmtId="0" fontId="47" fillId="0" borderId="2"/>
    <xf numFmtId="0" fontId="50" fillId="0" borderId="2">
      <alignment horizontal="right" vertical="top"/>
    </xf>
    <xf numFmtId="0" fontId="50" fillId="3" borderId="2">
      <alignment horizontal="left" vertical="top"/>
    </xf>
    <xf numFmtId="0" fontId="47" fillId="3" borderId="2"/>
    <xf numFmtId="0" fontId="50" fillId="3" borderId="2">
      <alignment horizontal="right" vertical="top"/>
    </xf>
    <xf numFmtId="165" fontId="48" fillId="0" borderId="0">
      <alignment horizontal="right" vertical="top"/>
    </xf>
    <xf numFmtId="0" fontId="47" fillId="0" borderId="4"/>
    <xf numFmtId="0" fontId="50" fillId="0" borderId="4">
      <alignment horizontal="left" vertical="top"/>
    </xf>
    <xf numFmtId="165" fontId="50" fillId="0" borderId="0">
      <alignment horizontal="right" vertical="top"/>
    </xf>
    <xf numFmtId="165" fontId="50" fillId="0" borderId="4">
      <alignment horizontal="right" vertical="top"/>
    </xf>
    <xf numFmtId="0" fontId="49" fillId="2" borderId="0">
      <alignment horizontal="left" vertical="top"/>
    </xf>
    <xf numFmtId="0" fontId="47" fillId="2" borderId="0"/>
    <xf numFmtId="0" fontId="48" fillId="2" borderId="0">
      <alignment horizontal="left" vertical="top"/>
    </xf>
    <xf numFmtId="0" fontId="48" fillId="2" borderId="0">
      <alignment horizontal="right" vertical="top"/>
    </xf>
    <xf numFmtId="168" fontId="48" fillId="2" borderId="0">
      <alignment horizontal="right" vertical="top"/>
    </xf>
    <xf numFmtId="165" fontId="48" fillId="2" borderId="0">
      <alignment horizontal="right" vertical="top"/>
    </xf>
    <xf numFmtId="0" fontId="50" fillId="2" borderId="4">
      <alignment horizontal="left" vertical="top"/>
    </xf>
    <xf numFmtId="165" fontId="50" fillId="2" borderId="4">
      <alignment horizontal="right" vertical="top"/>
    </xf>
    <xf numFmtId="170" fontId="12" fillId="5" borderId="3"/>
    <xf numFmtId="9" fontId="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Alignment="0"/>
    <xf numFmtId="0" fontId="63" fillId="5" borderId="3" applyAlignment="0"/>
    <xf numFmtId="0" fontId="64" fillId="4" borderId="1" applyAlignment="0"/>
    <xf numFmtId="0" fontId="63" fillId="5" borderId="3" applyAlignment="0"/>
    <xf numFmtId="169" fontId="63" fillId="5" borderId="3"/>
    <xf numFmtId="165" fontId="63" fillId="5" borderId="3"/>
    <xf numFmtId="0" fontId="62" fillId="0" borderId="0" applyAlignment="0"/>
    <xf numFmtId="0" fontId="65" fillId="0" borderId="0" applyAlignment="0"/>
    <xf numFmtId="0" fontId="65" fillId="0" borderId="0">
      <alignment horizontal="left" vertical="top"/>
    </xf>
    <xf numFmtId="0" fontId="65" fillId="0" borderId="0">
      <alignment horizontal="left" vertical="top"/>
    </xf>
    <xf numFmtId="0" fontId="65" fillId="0" borderId="0">
      <alignment horizontal="right" vertical="top"/>
    </xf>
    <xf numFmtId="0" fontId="65" fillId="0" borderId="0">
      <alignment horizontal="right" vertical="top"/>
    </xf>
    <xf numFmtId="168" fontId="65" fillId="0" borderId="0">
      <alignment horizontal="right" vertical="top"/>
    </xf>
    <xf numFmtId="0" fontId="66" fillId="0" borderId="0" applyAlignment="0"/>
    <xf numFmtId="0" fontId="66" fillId="0" borderId="0">
      <alignment horizontal="left" vertical="top"/>
    </xf>
    <xf numFmtId="0" fontId="66" fillId="0" borderId="0">
      <alignment horizontal="left" vertical="top"/>
    </xf>
    <xf numFmtId="0" fontId="67" fillId="0" borderId="0" applyAlignment="0"/>
    <xf numFmtId="0" fontId="67" fillId="0" borderId="0">
      <alignment horizontal="right" vertical="top"/>
    </xf>
    <xf numFmtId="0" fontId="67" fillId="0" borderId="0">
      <alignment horizontal="right" vertical="top"/>
    </xf>
    <xf numFmtId="0" fontId="67" fillId="0" borderId="0">
      <alignment horizontal="left" vertical="top"/>
    </xf>
    <xf numFmtId="0" fontId="67" fillId="0" borderId="0">
      <alignment horizontal="left" vertical="top"/>
    </xf>
    <xf numFmtId="0" fontId="67" fillId="0" borderId="19">
      <alignment horizontal="left" vertical="top"/>
    </xf>
    <xf numFmtId="0" fontId="67" fillId="0" borderId="19">
      <alignment horizontal="right" vertical="top"/>
    </xf>
    <xf numFmtId="0" fontId="67" fillId="0" borderId="2">
      <alignment horizontal="left" vertical="top"/>
    </xf>
    <xf numFmtId="0" fontId="67" fillId="0" borderId="2">
      <alignment horizontal="right" vertical="top"/>
    </xf>
    <xf numFmtId="0" fontId="67" fillId="3" borderId="2">
      <alignment horizontal="left" vertical="top"/>
    </xf>
    <xf numFmtId="0" fontId="67" fillId="3" borderId="2">
      <alignment horizontal="right" vertical="top"/>
    </xf>
    <xf numFmtId="165" fontId="65" fillId="0" borderId="0">
      <alignment horizontal="right" vertical="top"/>
    </xf>
    <xf numFmtId="0" fontId="62" fillId="0" borderId="4"/>
    <xf numFmtId="0" fontId="67" fillId="0" borderId="4">
      <alignment horizontal="left" vertical="top"/>
    </xf>
    <xf numFmtId="165" fontId="67" fillId="0" borderId="0">
      <alignment horizontal="right" vertical="top"/>
    </xf>
    <xf numFmtId="165" fontId="67" fillId="0" borderId="4">
      <alignment horizontal="right" vertical="top"/>
    </xf>
    <xf numFmtId="0" fontId="66" fillId="2" borderId="0">
      <alignment horizontal="left" vertical="top"/>
    </xf>
    <xf numFmtId="0" fontId="62" fillId="2" borderId="0"/>
    <xf numFmtId="0" fontId="65" fillId="2" borderId="0">
      <alignment horizontal="left" vertical="top"/>
    </xf>
    <xf numFmtId="0" fontId="65" fillId="2" borderId="0">
      <alignment horizontal="right" vertical="top"/>
    </xf>
    <xf numFmtId="168" fontId="65" fillId="2" borderId="0">
      <alignment horizontal="right" vertical="top"/>
    </xf>
    <xf numFmtId="165" fontId="65" fillId="2" borderId="0">
      <alignment horizontal="right" vertical="top"/>
    </xf>
    <xf numFmtId="0" fontId="67" fillId="2" borderId="4">
      <alignment horizontal="left" vertical="top"/>
    </xf>
    <xf numFmtId="165" fontId="67" fillId="2" borderId="4">
      <alignment horizontal="right" vertical="top"/>
    </xf>
  </cellStyleXfs>
  <cellXfs count="188">
    <xf numFmtId="0" fontId="0" fillId="0" borderId="0" xfId="0"/>
    <xf numFmtId="43" fontId="5" fillId="0" borderId="0" xfId="1" applyFont="1"/>
    <xf numFmtId="0" fontId="19" fillId="0" borderId="0" xfId="0" applyFont="1"/>
    <xf numFmtId="0" fontId="0" fillId="6" borderId="0" xfId="0" applyFill="1"/>
    <xf numFmtId="0" fontId="23" fillId="0" borderId="0" xfId="9" applyFont="1"/>
    <xf numFmtId="0" fontId="5" fillId="0" borderId="0" xfId="9"/>
    <xf numFmtId="0" fontId="26" fillId="0" borderId="0" xfId="9" applyFont="1"/>
    <xf numFmtId="0" fontId="5" fillId="0" borderId="0" xfId="9" applyAlignment="1">
      <alignment horizontal="center"/>
    </xf>
    <xf numFmtId="0" fontId="7" fillId="0" borderId="12" xfId="9" applyFont="1" applyBorder="1" applyAlignment="1">
      <alignment horizontal="center"/>
    </xf>
    <xf numFmtId="0" fontId="25" fillId="0" borderId="12" xfId="9" applyFont="1" applyBorder="1" applyAlignment="1">
      <alignment horizontal="center"/>
    </xf>
    <xf numFmtId="0" fontId="7" fillId="0" borderId="13" xfId="9" applyFont="1" applyBorder="1" applyAlignment="1">
      <alignment horizontal="center"/>
    </xf>
    <xf numFmtId="0" fontId="24" fillId="0" borderId="0" xfId="9" applyFont="1" applyAlignment="1">
      <alignment horizontal="center"/>
    </xf>
    <xf numFmtId="0" fontId="25" fillId="0" borderId="0" xfId="9" applyFont="1" applyAlignment="1">
      <alignment horizontal="center"/>
    </xf>
    <xf numFmtId="0" fontId="25" fillId="0" borderId="15" xfId="9" applyFont="1" applyBorder="1" applyAlignment="1">
      <alignment horizontal="center"/>
    </xf>
    <xf numFmtId="0" fontId="5" fillId="0" borderId="14" xfId="9" applyBorder="1"/>
    <xf numFmtId="43" fontId="25" fillId="0" borderId="0" xfId="1" applyFont="1"/>
    <xf numFmtId="43" fontId="5" fillId="0" borderId="0" xfId="1" applyFont="1" applyAlignment="1">
      <alignment horizontal="center"/>
    </xf>
    <xf numFmtId="43" fontId="5" fillId="0" borderId="15" xfId="1" applyFont="1" applyBorder="1"/>
    <xf numFmtId="0" fontId="7" fillId="0" borderId="0" xfId="9" applyFont="1"/>
    <xf numFmtId="0" fontId="5" fillId="0" borderId="16" xfId="9" applyBorder="1"/>
    <xf numFmtId="0" fontId="7" fillId="0" borderId="17" xfId="9" applyFont="1" applyBorder="1"/>
    <xf numFmtId="43" fontId="5" fillId="0" borderId="17" xfId="9" applyNumberFormat="1" applyBorder="1"/>
    <xf numFmtId="43" fontId="25" fillId="0" borderId="17" xfId="9" applyNumberFormat="1" applyFont="1" applyBorder="1"/>
    <xf numFmtId="0" fontId="5" fillId="0" borderId="17" xfId="9" applyBorder="1"/>
    <xf numFmtId="0" fontId="5" fillId="0" borderId="18" xfId="9" applyBorder="1"/>
    <xf numFmtId="0" fontId="5" fillId="7" borderId="5" xfId="9" applyFill="1" applyBorder="1"/>
    <xf numFmtId="0" fontId="5" fillId="7" borderId="7" xfId="9" applyFill="1" applyBorder="1"/>
    <xf numFmtId="0" fontId="5" fillId="7" borderId="8" xfId="9" applyFill="1" applyBorder="1"/>
    <xf numFmtId="0" fontId="17" fillId="5" borderId="3" xfId="91"/>
    <xf numFmtId="166" fontId="17" fillId="5" borderId="3" xfId="92"/>
    <xf numFmtId="165" fontId="17" fillId="5" borderId="3" xfId="93"/>
    <xf numFmtId="43" fontId="0" fillId="0" borderId="0" xfId="0" applyNumberFormat="1"/>
    <xf numFmtId="17" fontId="5" fillId="0" borderId="0" xfId="9" applyNumberFormat="1"/>
    <xf numFmtId="0" fontId="7" fillId="0" borderId="12" xfId="9" applyFont="1" applyBorder="1" applyAlignment="1">
      <alignment horizontal="left"/>
    </xf>
    <xf numFmtId="0" fontId="0" fillId="0" borderId="17" xfId="0" applyBorder="1"/>
    <xf numFmtId="43" fontId="0" fillId="0" borderId="17" xfId="0" applyNumberFormat="1" applyBorder="1"/>
    <xf numFmtId="43" fontId="5" fillId="0" borderId="17" xfId="1" applyFont="1" applyBorder="1" applyAlignment="1">
      <alignment horizontal="center"/>
    </xf>
    <xf numFmtId="43" fontId="5" fillId="0" borderId="18" xfId="1" applyFont="1" applyBorder="1"/>
    <xf numFmtId="0" fontId="5" fillId="0" borderId="20" xfId="9" applyBorder="1"/>
    <xf numFmtId="0" fontId="7" fillId="0" borderId="21" xfId="9" applyFont="1" applyBorder="1"/>
    <xf numFmtId="43" fontId="5" fillId="0" borderId="21" xfId="1" applyFont="1" applyBorder="1"/>
    <xf numFmtId="43" fontId="25" fillId="0" borderId="21" xfId="1" applyFont="1" applyBorder="1"/>
    <xf numFmtId="43" fontId="25" fillId="0" borderId="15" xfId="1" applyFont="1" applyBorder="1"/>
    <xf numFmtId="43" fontId="25" fillId="0" borderId="22" xfId="1" applyFont="1" applyBorder="1"/>
    <xf numFmtId="0" fontId="0" fillId="0" borderId="0" xfId="0" applyFill="1"/>
    <xf numFmtId="43" fontId="25" fillId="0" borderId="0" xfId="1" applyFont="1" applyBorder="1"/>
    <xf numFmtId="43" fontId="46" fillId="0" borderId="21" xfId="1" applyFont="1" applyBorder="1"/>
    <xf numFmtId="0" fontId="5" fillId="7" borderId="0" xfId="9" applyFill="1" applyBorder="1"/>
    <xf numFmtId="0" fontId="5" fillId="0" borderId="0" xfId="9" applyBorder="1"/>
    <xf numFmtId="43" fontId="5" fillId="0" borderId="0" xfId="1" applyFont="1" applyBorder="1"/>
    <xf numFmtId="0" fontId="25" fillId="0" borderId="0" xfId="9" applyFont="1" applyBorder="1" applyAlignment="1">
      <alignment horizontal="center"/>
    </xf>
    <xf numFmtId="0" fontId="7" fillId="0" borderId="0" xfId="9" applyFont="1" applyBorder="1" applyAlignment="1">
      <alignment horizontal="center"/>
    </xf>
    <xf numFmtId="0" fontId="39" fillId="0" borderId="0" xfId="0" applyFont="1"/>
    <xf numFmtId="0" fontId="54" fillId="0" borderId="0" xfId="0" applyFont="1"/>
    <xf numFmtId="44" fontId="0" fillId="0" borderId="0" xfId="282" applyFont="1"/>
    <xf numFmtId="43" fontId="0" fillId="0" borderId="0" xfId="0" applyNumberFormat="1" applyFont="1"/>
    <xf numFmtId="0" fontId="0" fillId="9" borderId="0" xfId="0" applyFill="1"/>
    <xf numFmtId="0" fontId="47" fillId="2" borderId="0" xfId="297" applyFill="1" applyAlignment="1"/>
    <xf numFmtId="0" fontId="48" fillId="2" borderId="0" xfId="298" applyNumberFormat="1" applyFont="1" applyFill="1" applyBorder="1" applyAlignment="1">
      <alignment horizontal="left" vertical="top"/>
    </xf>
    <xf numFmtId="165" fontId="48" fillId="2" borderId="0" xfId="301" applyNumberFormat="1" applyFont="1" applyFill="1" applyBorder="1" applyAlignment="1">
      <alignment horizontal="right" vertical="top"/>
    </xf>
    <xf numFmtId="0" fontId="50" fillId="2" borderId="4" xfId="302" applyNumberFormat="1" applyFont="1" applyFill="1" applyBorder="1" applyAlignment="1">
      <alignment horizontal="left" vertical="top"/>
    </xf>
    <xf numFmtId="165" fontId="50" fillId="2" borderId="4" xfId="303" applyNumberFormat="1" applyFont="1" applyFill="1" applyBorder="1" applyAlignment="1">
      <alignment horizontal="right" vertical="top"/>
    </xf>
    <xf numFmtId="0" fontId="47" fillId="2" borderId="0" xfId="270" applyFill="1" applyAlignment="1"/>
    <xf numFmtId="0" fontId="48" fillId="2" borderId="0" xfId="271" applyNumberFormat="1" applyFont="1" applyFill="1" applyBorder="1" applyAlignment="1">
      <alignment horizontal="left" vertical="top"/>
    </xf>
    <xf numFmtId="165" fontId="48" fillId="2" borderId="0" xfId="274" applyNumberFormat="1" applyFont="1" applyFill="1" applyBorder="1" applyAlignment="1">
      <alignment horizontal="right" vertical="top"/>
    </xf>
    <xf numFmtId="0" fontId="50" fillId="2" borderId="4" xfId="275" applyNumberFormat="1" applyFont="1" applyFill="1" applyBorder="1" applyAlignment="1">
      <alignment horizontal="left" vertical="top"/>
    </xf>
    <xf numFmtId="165" fontId="50" fillId="2" borderId="4" xfId="276" applyNumberFormat="1" applyFont="1" applyFill="1" applyBorder="1" applyAlignment="1">
      <alignment horizontal="right" vertical="top"/>
    </xf>
    <xf numFmtId="0" fontId="5" fillId="2" borderId="0" xfId="49" applyFill="1" applyAlignment="1"/>
    <xf numFmtId="0" fontId="9" fillId="2" borderId="0" xfId="13" applyNumberFormat="1" applyFont="1" applyFill="1" applyBorder="1" applyAlignment="1">
      <alignment horizontal="left" vertical="top"/>
    </xf>
    <xf numFmtId="165" fontId="9" fillId="2" borderId="0" xfId="18" applyNumberFormat="1" applyFont="1" applyFill="1" applyBorder="1" applyAlignment="1">
      <alignment horizontal="right" vertical="top"/>
    </xf>
    <xf numFmtId="0" fontId="10" fillId="2" borderId="4" xfId="31" applyNumberFormat="1" applyFont="1" applyFill="1" applyBorder="1" applyAlignment="1">
      <alignment horizontal="left" vertical="top"/>
    </xf>
    <xf numFmtId="165" fontId="10" fillId="2" borderId="4" xfId="32" applyNumberFormat="1" applyFont="1" applyFill="1" applyBorder="1" applyAlignment="1">
      <alignment horizontal="right" vertical="top"/>
    </xf>
    <xf numFmtId="0" fontId="12" fillId="5" borderId="3" xfId="28" applyFont="1" applyFill="1" applyBorder="1" applyAlignment="1"/>
    <xf numFmtId="0" fontId="11" fillId="4" borderId="1" xfId="27" applyFont="1" applyFill="1" applyBorder="1" applyAlignment="1"/>
    <xf numFmtId="0" fontId="5" fillId="0" borderId="0" xfId="42" applyNumberFormat="1" applyFont="1" applyFill="1" applyBorder="1"/>
    <xf numFmtId="17" fontId="23" fillId="0" borderId="0" xfId="9" applyNumberFormat="1" applyFont="1"/>
    <xf numFmtId="0" fontId="0" fillId="0" borderId="23" xfId="0" applyBorder="1"/>
    <xf numFmtId="0" fontId="55" fillId="0" borderId="0" xfId="0" applyFont="1" applyFill="1" applyAlignment="1">
      <alignment vertical="center"/>
    </xf>
    <xf numFmtId="0" fontId="55" fillId="0" borderId="0" xfId="0" applyFont="1" applyFill="1" applyAlignment="1">
      <alignment vertical="top"/>
    </xf>
    <xf numFmtId="0" fontId="56" fillId="0" borderId="6" xfId="0" applyFont="1" applyFill="1" applyBorder="1" applyAlignment="1">
      <alignment vertical="center"/>
    </xf>
    <xf numFmtId="0" fontId="56" fillId="11" borderId="6" xfId="0" applyFont="1" applyFill="1" applyBorder="1" applyAlignment="1">
      <alignment vertical="center"/>
    </xf>
    <xf numFmtId="0" fontId="55" fillId="0" borderId="0" xfId="0" applyFont="1" applyFill="1" applyBorder="1" applyAlignment="1">
      <alignment vertical="center"/>
    </xf>
    <xf numFmtId="0" fontId="55" fillId="0" borderId="0" xfId="0" applyFont="1" applyFill="1" applyAlignment="1">
      <alignment vertical="top" wrapText="1"/>
    </xf>
    <xf numFmtId="0" fontId="55" fillId="10" borderId="6" xfId="0" quotePrefix="1" applyFont="1" applyFill="1" applyBorder="1" applyAlignment="1">
      <alignment horizontal="left" vertical="top" wrapText="1"/>
    </xf>
    <xf numFmtId="0" fontId="55" fillId="10" borderId="10" xfId="0" quotePrefix="1" applyFont="1" applyFill="1" applyBorder="1" applyAlignment="1">
      <alignment horizontal="left" vertical="top" wrapText="1"/>
    </xf>
    <xf numFmtId="0" fontId="55" fillId="11" borderId="0" xfId="0" applyFont="1" applyFill="1" applyAlignment="1">
      <alignment vertical="center"/>
    </xf>
    <xf numFmtId="0" fontId="55" fillId="11" borderId="0" xfId="0" applyFont="1" applyFill="1" applyAlignment="1">
      <alignment vertical="top"/>
    </xf>
    <xf numFmtId="0" fontId="55" fillId="11" borderId="0" xfId="0" applyFont="1" applyFill="1" applyBorder="1" applyAlignment="1">
      <alignment vertical="center"/>
    </xf>
    <xf numFmtId="0" fontId="57" fillId="0" borderId="0" xfId="0" applyFont="1" applyFill="1" applyBorder="1" applyAlignment="1">
      <alignment vertical="center"/>
    </xf>
    <xf numFmtId="0" fontId="55" fillId="0" borderId="0" xfId="0" applyFont="1" applyFill="1" applyBorder="1" applyAlignment="1">
      <alignment vertical="top"/>
    </xf>
    <xf numFmtId="0" fontId="56" fillId="0" borderId="0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top" wrapText="1"/>
    </xf>
    <xf numFmtId="0" fontId="56" fillId="0" borderId="0" xfId="0" applyFont="1" applyFill="1" applyBorder="1" applyAlignment="1">
      <alignment horizontal="left" vertical="center" wrapText="1"/>
    </xf>
    <xf numFmtId="0" fontId="55" fillId="10" borderId="1" xfId="0" applyFont="1" applyFill="1" applyBorder="1" applyAlignment="1">
      <alignment horizontal="left" vertical="center" wrapText="1"/>
    </xf>
    <xf numFmtId="0" fontId="58" fillId="0" borderId="0" xfId="0" applyFont="1" applyFill="1" applyBorder="1" applyAlignment="1">
      <alignment vertical="center"/>
    </xf>
    <xf numFmtId="0" fontId="56" fillId="0" borderId="0" xfId="0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/>
    </xf>
    <xf numFmtId="0" fontId="55" fillId="0" borderId="0" xfId="0" applyFont="1" applyFill="1" applyAlignment="1">
      <alignment horizontal="center" vertical="center"/>
    </xf>
    <xf numFmtId="0" fontId="56" fillId="0" borderId="0" xfId="0" applyFont="1" applyFill="1" applyBorder="1" applyAlignment="1">
      <alignment vertical="center"/>
    </xf>
    <xf numFmtId="0" fontId="55" fillId="0" borderId="0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horizontal="left" vertical="top"/>
    </xf>
    <xf numFmtId="0" fontId="56" fillId="0" borderId="0" xfId="0" applyFont="1" applyFill="1" applyAlignment="1">
      <alignment vertical="center"/>
    </xf>
    <xf numFmtId="0" fontId="57" fillId="0" borderId="0" xfId="0" applyFont="1" applyFill="1" applyBorder="1" applyAlignment="1">
      <alignment horizontal="left" vertical="center" wrapText="1"/>
    </xf>
    <xf numFmtId="0" fontId="56" fillId="0" borderId="1" xfId="0" applyFont="1" applyFill="1" applyBorder="1"/>
    <xf numFmtId="0" fontId="56" fillId="0" borderId="9" xfId="0" applyFont="1" applyFill="1" applyBorder="1" applyAlignment="1">
      <alignment vertical="center"/>
    </xf>
    <xf numFmtId="0" fontId="56" fillId="0" borderId="9" xfId="0" applyFont="1" applyFill="1" applyBorder="1" applyAlignment="1">
      <alignment vertical="top"/>
    </xf>
    <xf numFmtId="0" fontId="56" fillId="0" borderId="1" xfId="0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/>
    </xf>
    <xf numFmtId="14" fontId="55" fillId="10" borderId="1" xfId="0" applyNumberFormat="1" applyFont="1" applyFill="1" applyBorder="1" applyAlignment="1">
      <alignment horizontal="center"/>
    </xf>
    <xf numFmtId="0" fontId="60" fillId="13" borderId="11" xfId="0" applyFont="1" applyFill="1" applyBorder="1" applyAlignment="1">
      <alignment vertical="top"/>
    </xf>
    <xf numFmtId="0" fontId="60" fillId="13" borderId="12" xfId="0" applyFont="1" applyFill="1" applyBorder="1" applyAlignment="1">
      <alignment vertical="top"/>
    </xf>
    <xf numFmtId="0" fontId="60" fillId="13" borderId="13" xfId="0" applyFont="1" applyFill="1" applyBorder="1" applyAlignment="1">
      <alignment vertical="top"/>
    </xf>
    <xf numFmtId="0" fontId="60" fillId="0" borderId="25" xfId="0" applyFont="1" applyFill="1" applyBorder="1" applyAlignment="1">
      <alignment vertical="top"/>
    </xf>
    <xf numFmtId="0" fontId="60" fillId="0" borderId="26" xfId="0" applyFont="1" applyFill="1" applyBorder="1" applyAlignment="1">
      <alignment vertical="top" wrapText="1"/>
    </xf>
    <xf numFmtId="0" fontId="60" fillId="0" borderId="27" xfId="0" applyFont="1" applyFill="1" applyBorder="1" applyAlignment="1">
      <alignment vertical="top" wrapText="1"/>
    </xf>
    <xf numFmtId="0" fontId="3" fillId="0" borderId="28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3" fillId="0" borderId="29" xfId="0" applyFont="1" applyFill="1" applyBorder="1" applyAlignment="1">
      <alignment vertical="top" wrapText="1"/>
    </xf>
    <xf numFmtId="0" fontId="3" fillId="0" borderId="30" xfId="0" applyFont="1" applyFill="1" applyBorder="1" applyAlignment="1">
      <alignment vertical="top"/>
    </xf>
    <xf numFmtId="0" fontId="3" fillId="0" borderId="31" xfId="0" applyFont="1" applyFill="1" applyBorder="1" applyAlignment="1">
      <alignment vertical="top" wrapText="1"/>
    </xf>
    <xf numFmtId="0" fontId="3" fillId="0" borderId="32" xfId="0" applyFont="1" applyFill="1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25" xfId="0" applyFont="1" applyFill="1" applyBorder="1" applyAlignment="1">
      <alignment vertical="top"/>
    </xf>
    <xf numFmtId="0" fontId="3" fillId="0" borderId="26" xfId="0" applyFont="1" applyFill="1" applyBorder="1" applyAlignment="1">
      <alignment vertical="top" wrapText="1"/>
    </xf>
    <xf numFmtId="0" fontId="3" fillId="0" borderId="27" xfId="0" applyFont="1" applyFill="1" applyBorder="1" applyAlignment="1">
      <alignment vertical="top" wrapText="1"/>
    </xf>
    <xf numFmtId="0" fontId="60" fillId="0" borderId="33" xfId="0" applyFont="1" applyFill="1" applyBorder="1" applyAlignment="1">
      <alignment vertical="top"/>
    </xf>
    <xf numFmtId="0" fontId="60" fillId="0" borderId="34" xfId="0" applyFont="1" applyFill="1" applyBorder="1" applyAlignment="1">
      <alignment vertical="top" wrapText="1"/>
    </xf>
    <xf numFmtId="0" fontId="60" fillId="0" borderId="35" xfId="0" applyFont="1" applyFill="1" applyBorder="1" applyAlignment="1">
      <alignment vertical="top" wrapText="1"/>
    </xf>
    <xf numFmtId="0" fontId="3" fillId="8" borderId="29" xfId="0" applyFont="1" applyFill="1" applyBorder="1" applyAlignment="1">
      <alignment vertical="top" wrapText="1"/>
    </xf>
    <xf numFmtId="0" fontId="0" fillId="0" borderId="0" xfId="0" applyBorder="1"/>
    <xf numFmtId="0" fontId="7" fillId="0" borderId="36" xfId="9" applyFont="1" applyBorder="1" applyAlignment="1">
      <alignment horizontal="left"/>
    </xf>
    <xf numFmtId="0" fontId="0" fillId="0" borderId="24" xfId="0" applyBorder="1"/>
    <xf numFmtId="0" fontId="0" fillId="0" borderId="37" xfId="0" applyBorder="1"/>
    <xf numFmtId="0" fontId="0" fillId="0" borderId="38" xfId="0" applyBorder="1"/>
    <xf numFmtId="0" fontId="0" fillId="0" borderId="0" xfId="0" applyFill="1" applyBorder="1"/>
    <xf numFmtId="0" fontId="62" fillId="0" borderId="0" xfId="307" applyNumberFormat="1" applyFont="1" applyFill="1" applyBorder="1"/>
    <xf numFmtId="0" fontId="64" fillId="4" borderId="1" xfId="309" applyFont="1" applyFill="1" applyBorder="1" applyAlignment="1"/>
    <xf numFmtId="0" fontId="63" fillId="5" borderId="3" xfId="310" applyFont="1" applyFill="1" applyBorder="1" applyAlignment="1"/>
    <xf numFmtId="169" fontId="63" fillId="5" borderId="3" xfId="311" applyNumberFormat="1" applyFont="1" applyFill="1" applyBorder="1" applyAlignment="1"/>
    <xf numFmtId="165" fontId="63" fillId="5" borderId="3" xfId="312" applyNumberFormat="1" applyFont="1" applyFill="1" applyBorder="1" applyAlignment="1"/>
    <xf numFmtId="0" fontId="67" fillId="3" borderId="2" xfId="332" applyNumberFormat="1" applyFont="1" applyFill="1" applyBorder="1" applyAlignment="1">
      <alignment horizontal="left" vertical="top"/>
    </xf>
    <xf numFmtId="0" fontId="67" fillId="3" borderId="2" xfId="333" applyNumberFormat="1" applyFont="1" applyFill="1" applyBorder="1" applyAlignment="1">
      <alignment horizontal="right" vertical="top"/>
    </xf>
    <xf numFmtId="0" fontId="66" fillId="2" borderId="0" xfId="339" applyNumberFormat="1" applyFont="1" applyFill="1" applyBorder="1" applyAlignment="1">
      <alignment horizontal="left" vertical="top"/>
    </xf>
    <xf numFmtId="0" fontId="62" fillId="2" borderId="0" xfId="340" applyFill="1" applyAlignment="1"/>
    <xf numFmtId="0" fontId="65" fillId="2" borderId="0" xfId="341" applyNumberFormat="1" applyFont="1" applyFill="1" applyBorder="1" applyAlignment="1">
      <alignment horizontal="left" vertical="top"/>
    </xf>
    <xf numFmtId="0" fontId="65" fillId="2" borderId="0" xfId="342" applyNumberFormat="1" applyFont="1" applyFill="1" applyBorder="1" applyAlignment="1">
      <alignment horizontal="right" vertical="top"/>
    </xf>
    <xf numFmtId="168" fontId="65" fillId="2" borderId="0" xfId="343" applyNumberFormat="1" applyFont="1" applyFill="1" applyBorder="1" applyAlignment="1">
      <alignment horizontal="right" vertical="top"/>
    </xf>
    <xf numFmtId="165" fontId="65" fillId="2" borderId="0" xfId="344" applyNumberFormat="1" applyFont="1" applyFill="1" applyBorder="1" applyAlignment="1">
      <alignment horizontal="right" vertical="top"/>
    </xf>
    <xf numFmtId="0" fontId="67" fillId="2" borderId="4" xfId="345" applyNumberFormat="1" applyFont="1" applyFill="1" applyBorder="1" applyAlignment="1">
      <alignment horizontal="left" vertical="top"/>
    </xf>
    <xf numFmtId="165" fontId="67" fillId="2" borderId="4" xfId="346" applyNumberFormat="1" applyFont="1" applyFill="1" applyBorder="1" applyAlignment="1">
      <alignment horizontal="right" vertical="top"/>
    </xf>
    <xf numFmtId="0" fontId="55" fillId="10" borderId="1" xfId="0" applyFont="1" applyFill="1" applyBorder="1" applyAlignment="1">
      <alignment horizontal="left" vertical="center" wrapText="1"/>
    </xf>
    <xf numFmtId="0" fontId="55" fillId="8" borderId="1" xfId="0" applyFont="1" applyFill="1" applyBorder="1" applyAlignment="1">
      <alignment horizontal="left" vertical="center" wrapText="1"/>
    </xf>
    <xf numFmtId="0" fontId="60" fillId="13" borderId="11" xfId="0" applyFont="1" applyFill="1" applyBorder="1" applyAlignment="1">
      <alignment horizontal="left" vertical="top"/>
    </xf>
    <xf numFmtId="0" fontId="60" fillId="13" borderId="12" xfId="0" applyFont="1" applyFill="1" applyBorder="1" applyAlignment="1">
      <alignment horizontal="left" vertical="top"/>
    </xf>
    <xf numFmtId="0" fontId="60" fillId="13" borderId="13" xfId="0" applyFont="1" applyFill="1" applyBorder="1" applyAlignment="1">
      <alignment horizontal="left" vertical="top"/>
    </xf>
    <xf numFmtId="0" fontId="55" fillId="0" borderId="1" xfId="0" applyFont="1" applyFill="1" applyBorder="1" applyAlignment="1">
      <alignment horizontal="left" vertical="center"/>
    </xf>
    <xf numFmtId="0" fontId="55" fillId="0" borderId="6" xfId="0" applyFont="1" applyFill="1" applyBorder="1" applyAlignment="1">
      <alignment horizontal="left" vertical="center"/>
    </xf>
    <xf numFmtId="0" fontId="55" fillId="0" borderId="9" xfId="0" applyFont="1" applyFill="1" applyBorder="1" applyAlignment="1">
      <alignment horizontal="left" vertical="center"/>
    </xf>
    <xf numFmtId="0" fontId="55" fillId="0" borderId="10" xfId="0" applyFont="1" applyFill="1" applyBorder="1" applyAlignment="1">
      <alignment horizontal="left" vertical="center"/>
    </xf>
    <xf numFmtId="0" fontId="56" fillId="12" borderId="1" xfId="0" applyFont="1" applyFill="1" applyBorder="1" applyAlignment="1">
      <alignment horizontal="center" vertical="center"/>
    </xf>
    <xf numFmtId="14" fontId="55" fillId="10" borderId="1" xfId="0" applyNumberFormat="1" applyFont="1" applyFill="1" applyBorder="1" applyAlignment="1">
      <alignment horizontal="left" vertical="top"/>
    </xf>
    <xf numFmtId="14" fontId="55" fillId="8" borderId="1" xfId="0" applyNumberFormat="1" applyFont="1" applyFill="1" applyBorder="1" applyAlignment="1">
      <alignment horizontal="left" vertical="top"/>
    </xf>
    <xf numFmtId="0" fontId="56" fillId="0" borderId="1" xfId="0" applyFont="1" applyFill="1" applyBorder="1" applyAlignment="1">
      <alignment horizontal="left" vertical="center"/>
    </xf>
    <xf numFmtId="17" fontId="55" fillId="10" borderId="6" xfId="0" quotePrefix="1" applyNumberFormat="1" applyFont="1" applyFill="1" applyBorder="1" applyAlignment="1">
      <alignment horizontal="left" vertical="top" wrapText="1"/>
    </xf>
    <xf numFmtId="0" fontId="55" fillId="8" borderId="10" xfId="0" quotePrefix="1" applyFont="1" applyFill="1" applyBorder="1" applyAlignment="1">
      <alignment horizontal="left" vertical="top" wrapText="1"/>
    </xf>
    <xf numFmtId="0" fontId="55" fillId="10" borderId="6" xfId="0" applyFont="1" applyFill="1" applyBorder="1" applyAlignment="1">
      <alignment horizontal="left" vertical="center" wrapText="1"/>
    </xf>
    <xf numFmtId="0" fontId="55" fillId="8" borderId="9" xfId="0" applyFont="1" applyFill="1" applyBorder="1" applyAlignment="1">
      <alignment horizontal="left" vertical="center" wrapText="1"/>
    </xf>
    <xf numFmtId="0" fontId="55" fillId="8" borderId="10" xfId="0" applyFont="1" applyFill="1" applyBorder="1" applyAlignment="1">
      <alignment horizontal="left" vertical="center" wrapText="1"/>
    </xf>
    <xf numFmtId="0" fontId="56" fillId="0" borderId="0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center" wrapText="1"/>
    </xf>
    <xf numFmtId="0" fontId="55" fillId="0" borderId="24" xfId="0" applyFont="1" applyFill="1" applyBorder="1" applyAlignment="1">
      <alignment horizontal="left" vertical="center" wrapText="1"/>
    </xf>
    <xf numFmtId="0" fontId="55" fillId="10" borderId="6" xfId="0" quotePrefix="1" applyFont="1" applyFill="1" applyBorder="1" applyAlignment="1">
      <alignment horizontal="left" vertical="top" wrapText="1"/>
    </xf>
    <xf numFmtId="6" fontId="55" fillId="10" borderId="6" xfId="282" quotePrefix="1" applyNumberFormat="1" applyFont="1" applyFill="1" applyBorder="1" applyAlignment="1">
      <alignment horizontal="left" vertical="top" wrapText="1"/>
    </xf>
    <xf numFmtId="6" fontId="55" fillId="8" borderId="10" xfId="282" quotePrefix="1" applyNumberFormat="1" applyFont="1" applyFill="1" applyBorder="1" applyAlignment="1">
      <alignment horizontal="left" vertical="top" wrapText="1"/>
    </xf>
    <xf numFmtId="9" fontId="55" fillId="10" borderId="6" xfId="305" quotePrefix="1" applyFont="1" applyFill="1" applyBorder="1" applyAlignment="1">
      <alignment horizontal="left" vertical="top" wrapText="1"/>
    </xf>
    <xf numFmtId="9" fontId="55" fillId="8" borderId="10" xfId="305" quotePrefix="1" applyFont="1" applyFill="1" applyBorder="1" applyAlignment="1">
      <alignment horizontal="left" vertical="top" wrapText="1"/>
    </xf>
    <xf numFmtId="9" fontId="55" fillId="10" borderId="6" xfId="305" quotePrefix="1" applyFont="1" applyFill="1" applyBorder="1" applyAlignment="1">
      <alignment horizontal="left" wrapText="1"/>
    </xf>
    <xf numFmtId="9" fontId="55" fillId="8" borderId="10" xfId="305" quotePrefix="1" applyFont="1" applyFill="1" applyBorder="1" applyAlignment="1">
      <alignment horizontal="left" wrapText="1"/>
    </xf>
    <xf numFmtId="0" fontId="61" fillId="10" borderId="6" xfId="306" quotePrefix="1" applyFill="1" applyBorder="1" applyAlignment="1">
      <alignment horizontal="left" vertical="top" wrapText="1"/>
    </xf>
    <xf numFmtId="38" fontId="55" fillId="10" borderId="6" xfId="282" quotePrefix="1" applyNumberFormat="1" applyFont="1" applyFill="1" applyBorder="1" applyAlignment="1">
      <alignment horizontal="left" vertical="top" wrapText="1"/>
    </xf>
    <xf numFmtId="38" fontId="55" fillId="8" borderId="10" xfId="282" quotePrefix="1" applyNumberFormat="1" applyFont="1" applyFill="1" applyBorder="1" applyAlignment="1">
      <alignment horizontal="left" vertical="top" wrapText="1"/>
    </xf>
    <xf numFmtId="171" fontId="55" fillId="10" borderId="6" xfId="282" quotePrefix="1" applyNumberFormat="1" applyFont="1" applyFill="1" applyBorder="1" applyAlignment="1">
      <alignment horizontal="left" vertical="top" wrapText="1"/>
    </xf>
    <xf numFmtId="171" fontId="55" fillId="8" borderId="10" xfId="282" quotePrefix="1" applyNumberFormat="1" applyFont="1" applyFill="1" applyBorder="1" applyAlignment="1">
      <alignment horizontal="left" vertical="top" wrapText="1"/>
    </xf>
    <xf numFmtId="43" fontId="55" fillId="10" borderId="6" xfId="282" quotePrefix="1" applyNumberFormat="1" applyFont="1" applyFill="1" applyBorder="1" applyAlignment="1">
      <alignment horizontal="left" vertical="top" wrapText="1"/>
    </xf>
    <xf numFmtId="0" fontId="53" fillId="0" borderId="0" xfId="0" applyFont="1" applyAlignment="1">
      <alignment horizontal="center" wrapText="1"/>
    </xf>
    <xf numFmtId="16" fontId="55" fillId="10" borderId="1" xfId="0" applyNumberFormat="1" applyFont="1" applyFill="1" applyBorder="1" applyAlignment="1">
      <alignment horizontal="center" vertical="center"/>
    </xf>
  </cellXfs>
  <cellStyles count="347">
    <cellStyle name="Comma" xfId="1" builtinId="3"/>
    <cellStyle name="Comma 2" xfId="45" xr:uid="{E968D24C-74D5-4A1B-9FB3-243961D53DC7}"/>
    <cellStyle name="Comma 2 10 2" xfId="7" xr:uid="{4E0E8381-2D2C-4420-AE06-5D742A4A85CC}"/>
    <cellStyle name="Comma 2 3" xfId="3" xr:uid="{D7FCFA91-0622-4266-9871-2CEBE50960A6}"/>
    <cellStyle name="Comma 6" xfId="37" xr:uid="{EF161A9D-5209-4889-9086-88928F98F743}"/>
    <cellStyle name="Comma 7" xfId="10" xr:uid="{38A5CE4F-ECCA-4994-8D92-173FB5D01EFB}"/>
    <cellStyle name="Comma 7 2" xfId="54" xr:uid="{FE94B1B2-A124-46F3-8A2A-727EF8D88DA5}"/>
    <cellStyle name="Currency" xfId="282" builtinId="4"/>
    <cellStyle name="Currency 2" xfId="6" xr:uid="{35AD611D-48C7-437E-8B57-FB90C4409F94}"/>
    <cellStyle name="Currency 3" xfId="43" xr:uid="{4155A23B-8AC0-4B95-9B22-0672A372F3E7}"/>
    <cellStyle name="Currency 5" xfId="30" xr:uid="{2C980972-1379-4A97-8962-9E0B90324C80}"/>
    <cellStyle name="Hyperlink" xfId="306" builtinId="8"/>
    <cellStyle name="Normal" xfId="0" builtinId="0"/>
    <cellStyle name="Normal 10" xfId="242" xr:uid="{00000000-0005-0000-0000-00001F010000}"/>
    <cellStyle name="Normal 11" xfId="307" xr:uid="{A915F89E-FA1D-490B-A7E8-1EA5E16FA352}"/>
    <cellStyle name="Normal 2" xfId="29" xr:uid="{020D058D-1944-4038-B60A-F9758258200B}"/>
    <cellStyle name="Normal 2 2" xfId="42" xr:uid="{D37BFD7C-5830-4B8E-A37F-3AF358783391}"/>
    <cellStyle name="Normal 2 2 2" xfId="36" xr:uid="{C4A91377-98C3-40CC-93D1-4B084E5F86B0}"/>
    <cellStyle name="Normal 3" xfId="48" xr:uid="{B8977E58-F616-4CDC-BDE3-77FF914DFF35}"/>
    <cellStyle name="Normal 3 2 2" xfId="5" xr:uid="{72F7D43B-10DE-420C-8BC3-288F1D292218}"/>
    <cellStyle name="Normal 3 3" xfId="2" xr:uid="{26E687BE-A921-4B1D-9824-424F33D8F2EA}"/>
    <cellStyle name="Normal 4" xfId="52" xr:uid="{0D850871-B2D5-48FA-9895-D1BFDF08D77D}"/>
    <cellStyle name="Normal 5" xfId="53" xr:uid="{B9C4F483-1405-462C-A4B8-5F402420AE60}"/>
    <cellStyle name="Normal 5 2" xfId="4" xr:uid="{E2A841B6-135A-4A1B-A808-3C48DACABB6B}"/>
    <cellStyle name="Normal 6" xfId="119" xr:uid="{00000000-0005-0000-0000-0000A4000000}"/>
    <cellStyle name="Normal 7" xfId="162" xr:uid="{00000000-0005-0000-0000-0000CF000000}"/>
    <cellStyle name="Normal 8" xfId="9" xr:uid="{B47DB734-917A-42E8-B58A-9A44F0EA2879}"/>
    <cellStyle name="Normal 9" xfId="202" xr:uid="{00000000-0005-0000-0000-0000F7000000}"/>
    <cellStyle name="Percent" xfId="305" builtinId="5"/>
    <cellStyle name="Percent 3" xfId="8" xr:uid="{065A6F40-1CA3-48DD-B9CB-6C33140B335B}"/>
    <cellStyle name="Style 1" xfId="55" xr:uid="{446E25E0-1C0D-40E4-AE80-7E4022C77C69}"/>
    <cellStyle name="Style 1 10" xfId="208" xr:uid="{00000000-0005-0000-0000-000001000000}"/>
    <cellStyle name="Style 1 11" xfId="243" xr:uid="{00000000-0005-0000-0000-000001000000}"/>
    <cellStyle name="Style 1 12" xfId="277" xr:uid="{00000000-0005-0000-0000-000001000000}"/>
    <cellStyle name="Style 1 13" xfId="308" xr:uid="{C93C2C5C-8D0D-4459-AF24-D91CA8B57608}"/>
    <cellStyle name="Style 1 14" xfId="313" xr:uid="{BE1B3EDF-745D-487B-93A4-78BD05AA018F}"/>
    <cellStyle name="Style 1 2" xfId="89" xr:uid="{139215C2-EA8A-4ED0-B6C6-E00B2CCA19AE}"/>
    <cellStyle name="Style 1 3" xfId="94" xr:uid="{00000000-0005-0000-0000-000001000000}"/>
    <cellStyle name="Style 1 4" xfId="118" xr:uid="{00000000-0005-0000-0000-000001000000}"/>
    <cellStyle name="Style 1 5" xfId="120" xr:uid="{00000000-0005-0000-0000-000001000000}"/>
    <cellStyle name="Style 1 6" xfId="154" xr:uid="{00000000-0005-0000-0000-000001000000}"/>
    <cellStyle name="Style 1 7" xfId="163" xr:uid="{00000000-0005-0000-0000-000001000000}"/>
    <cellStyle name="Style 1 8" xfId="197" xr:uid="{00000000-0005-0000-0000-000001000000}"/>
    <cellStyle name="Style 1 9" xfId="203" xr:uid="{00000000-0005-0000-0000-000001000000}"/>
    <cellStyle name="Style 10" xfId="64" xr:uid="{3DE3C072-81FE-4717-ADB8-C2E746B678D5}"/>
    <cellStyle name="Style 10 2" xfId="103" xr:uid="{00000000-0005-0000-0000-00000A000000}"/>
    <cellStyle name="Style 10 3" xfId="129" xr:uid="{00000000-0005-0000-0000-00000A000000}"/>
    <cellStyle name="Style 10 4" xfId="172" xr:uid="{00000000-0005-0000-0000-00000A000000}"/>
    <cellStyle name="Style 10 5" xfId="217" xr:uid="{00000000-0005-0000-0000-00000A000000}"/>
    <cellStyle name="Style 10 6" xfId="252" xr:uid="{00000000-0005-0000-0000-00000A000000}"/>
    <cellStyle name="Style 10 7" xfId="322" xr:uid="{530E115B-6DAB-4840-8403-A1C47C611BF0}"/>
    <cellStyle name="Style 11" xfId="65" xr:uid="{B053CF5C-A96D-4020-B7BB-CCA64E745E52}"/>
    <cellStyle name="Style 11 2" xfId="104" xr:uid="{00000000-0005-0000-0000-00000B000000}"/>
    <cellStyle name="Style 11 3" xfId="130" xr:uid="{00000000-0005-0000-0000-00000B000000}"/>
    <cellStyle name="Style 11 4" xfId="173" xr:uid="{00000000-0005-0000-0000-00000B000000}"/>
    <cellStyle name="Style 11 5" xfId="218" xr:uid="{00000000-0005-0000-0000-00000B000000}"/>
    <cellStyle name="Style 11 6" xfId="253" xr:uid="{00000000-0005-0000-0000-00000B000000}"/>
    <cellStyle name="Style 11 7" xfId="323" xr:uid="{5603EDFB-0361-4A23-948C-A3898F5B120F}"/>
    <cellStyle name="Style 12" xfId="66" xr:uid="{EB2F273F-19C0-4058-B2DA-DF1F03D8C79B}"/>
    <cellStyle name="Style 12 2" xfId="105" xr:uid="{00000000-0005-0000-0000-00000C000000}"/>
    <cellStyle name="Style 12 3" xfId="131" xr:uid="{00000000-0005-0000-0000-00000C000000}"/>
    <cellStyle name="Style 12 4" xfId="174" xr:uid="{00000000-0005-0000-0000-00000C000000}"/>
    <cellStyle name="Style 12 5" xfId="219" xr:uid="{00000000-0005-0000-0000-00000C000000}"/>
    <cellStyle name="Style 12 6" xfId="254" xr:uid="{00000000-0005-0000-0000-00000C000000}"/>
    <cellStyle name="Style 12 7" xfId="324" xr:uid="{97BE4A15-4EDF-46BD-BC90-CACDB1BECCCA}"/>
    <cellStyle name="Style 13" xfId="67" xr:uid="{6B6E55C9-F32A-4BE0-894B-E4816693DF22}"/>
    <cellStyle name="Style 13 2" xfId="106" xr:uid="{00000000-0005-0000-0000-00000D000000}"/>
    <cellStyle name="Style 13 3" xfId="132" xr:uid="{00000000-0005-0000-0000-00000D000000}"/>
    <cellStyle name="Style 13 4" xfId="175" xr:uid="{00000000-0005-0000-0000-00000D000000}"/>
    <cellStyle name="Style 13 5" xfId="220" xr:uid="{00000000-0005-0000-0000-00000D000000}"/>
    <cellStyle name="Style 13 6" xfId="255" xr:uid="{00000000-0005-0000-0000-00000D000000}"/>
    <cellStyle name="Style 13 7" xfId="325" xr:uid="{14CEBFED-8526-4E53-92F3-9A6BA25B11AE}"/>
    <cellStyle name="Style 14" xfId="68" xr:uid="{0439F5F8-6581-4A21-9A16-EFDB92ECEBAC}"/>
    <cellStyle name="Style 14 2" xfId="107" xr:uid="{00000000-0005-0000-0000-00000E000000}"/>
    <cellStyle name="Style 14 3" xfId="133" xr:uid="{00000000-0005-0000-0000-00000E000000}"/>
    <cellStyle name="Style 14 4" xfId="176" xr:uid="{00000000-0005-0000-0000-00000E000000}"/>
    <cellStyle name="Style 14 5" xfId="221" xr:uid="{00000000-0005-0000-0000-00000E000000}"/>
    <cellStyle name="Style 14 6" xfId="256" xr:uid="{00000000-0005-0000-0000-00000E000000}"/>
    <cellStyle name="Style 14 7" xfId="326" xr:uid="{982BC428-7272-4426-A31B-70040F3485EF}"/>
    <cellStyle name="Style 15" xfId="69" xr:uid="{301E8B35-CEC1-43FE-95A9-A67C80995233}"/>
    <cellStyle name="Style 15 2" xfId="108" xr:uid="{00000000-0005-0000-0000-00000F000000}"/>
    <cellStyle name="Style 15 3" xfId="134" xr:uid="{00000000-0005-0000-0000-00000F000000}"/>
    <cellStyle name="Style 15 4" xfId="177" xr:uid="{00000000-0005-0000-0000-00000F000000}"/>
    <cellStyle name="Style 15 5" xfId="222" xr:uid="{00000000-0005-0000-0000-00000F000000}"/>
    <cellStyle name="Style 15 6" xfId="257" xr:uid="{00000000-0005-0000-0000-00000F000000}"/>
    <cellStyle name="Style 15 7" xfId="327" xr:uid="{1FD94C59-71C5-4D19-83EC-87E6B7C5A933}"/>
    <cellStyle name="Style 16" xfId="70" xr:uid="{E0C1F5FE-51F3-4178-9BEE-89B36E47803B}"/>
    <cellStyle name="Style 16 2" xfId="109" xr:uid="{00000000-0005-0000-0000-000010000000}"/>
    <cellStyle name="Style 16 3" xfId="135" xr:uid="{00000000-0005-0000-0000-000010000000}"/>
    <cellStyle name="Style 16 4" xfId="178" xr:uid="{00000000-0005-0000-0000-000010000000}"/>
    <cellStyle name="Style 16 5" xfId="223" xr:uid="{00000000-0005-0000-0000-000010000000}"/>
    <cellStyle name="Style 16 6" xfId="258" xr:uid="{00000000-0005-0000-0000-000010000000}"/>
    <cellStyle name="Style 16 7" xfId="328" xr:uid="{06371139-B69F-4A7B-A425-4AB0AF5E45A4}"/>
    <cellStyle name="Style 17" xfId="71" xr:uid="{D785A6F8-C0C0-48BE-9826-4751501F32B5}"/>
    <cellStyle name="Style 17 2" xfId="110" xr:uid="{00000000-0005-0000-0000-000011000000}"/>
    <cellStyle name="Style 17 3" xfId="136" xr:uid="{00000000-0005-0000-0000-000011000000}"/>
    <cellStyle name="Style 17 4" xfId="179" xr:uid="{00000000-0005-0000-0000-000011000000}"/>
    <cellStyle name="Style 17 5" xfId="224" xr:uid="{00000000-0005-0000-0000-000011000000}"/>
    <cellStyle name="Style 17 6" xfId="259" xr:uid="{00000000-0005-0000-0000-000011000000}"/>
    <cellStyle name="Style 17 7" xfId="283" xr:uid="{00000000-0005-0000-0000-000011000000}"/>
    <cellStyle name="Style 17 8" xfId="329" xr:uid="{82A4F449-250D-4DFF-845F-6AB7FB3F14D9}"/>
    <cellStyle name="Style 18" xfId="72" xr:uid="{8386A30A-38E1-4E98-BA48-A89B4464A2AC}"/>
    <cellStyle name="Style 18 2" xfId="111" xr:uid="{00000000-0005-0000-0000-000012000000}"/>
    <cellStyle name="Style 18 3" xfId="137" xr:uid="{00000000-0005-0000-0000-000012000000}"/>
    <cellStyle name="Style 18 4" xfId="180" xr:uid="{00000000-0005-0000-0000-000012000000}"/>
    <cellStyle name="Style 18 5" xfId="225" xr:uid="{00000000-0005-0000-0000-000012000000}"/>
    <cellStyle name="Style 18 6" xfId="260" xr:uid="{00000000-0005-0000-0000-000012000000}"/>
    <cellStyle name="Style 18 7" xfId="284" xr:uid="{00000000-0005-0000-0000-000012000000}"/>
    <cellStyle name="Style 18 8" xfId="330" xr:uid="{7223E27B-B741-4C8C-84E2-DF3A799276CA}"/>
    <cellStyle name="Style 19" xfId="73" xr:uid="{8FAE38FC-9A64-40C9-9B60-2CBE6F443D8E}"/>
    <cellStyle name="Style 19 2" xfId="112" xr:uid="{00000000-0005-0000-0000-000013000000}"/>
    <cellStyle name="Style 19 3" xfId="138" xr:uid="{00000000-0005-0000-0000-000013000000}"/>
    <cellStyle name="Style 19 4" xfId="181" xr:uid="{00000000-0005-0000-0000-000013000000}"/>
    <cellStyle name="Style 19 5" xfId="226" xr:uid="{00000000-0005-0000-0000-000013000000}"/>
    <cellStyle name="Style 19 6" xfId="261" xr:uid="{00000000-0005-0000-0000-000013000000}"/>
    <cellStyle name="Style 19 7" xfId="285" xr:uid="{00000000-0005-0000-0000-000013000000}"/>
    <cellStyle name="Style 19 8" xfId="331" xr:uid="{7C78A1F2-9168-4BE7-80A8-EBF304DAAA95}"/>
    <cellStyle name="Style 2" xfId="27" xr:uid="{E8AC5A1D-3EEE-4BAE-AAFE-106B575EBC0A}"/>
    <cellStyle name="Style 2 10" xfId="204" xr:uid="{00000000-0005-0000-0000-000002000000}"/>
    <cellStyle name="Style 2 11" xfId="209" xr:uid="{00000000-0005-0000-0000-000002000000}"/>
    <cellStyle name="Style 2 12" xfId="244" xr:uid="{00000000-0005-0000-0000-000002000000}"/>
    <cellStyle name="Style 2 13" xfId="278" xr:uid="{00000000-0005-0000-0000-000002000000}"/>
    <cellStyle name="Style 2 14" xfId="309" xr:uid="{A9869586-D91B-45FB-8477-7B53B135E82C}"/>
    <cellStyle name="Style 2 15" xfId="314" xr:uid="{970BADD3-9637-45AB-AD7B-D353C663B540}"/>
    <cellStyle name="Style 2 2" xfId="38" xr:uid="{5B595B6A-29ED-4388-B86B-F219D76FE67D}"/>
    <cellStyle name="Style 2 2 2" xfId="47" xr:uid="{02D7A317-49DE-4E99-9CC8-2D970EB79311}"/>
    <cellStyle name="Style 2 3" xfId="56" xr:uid="{BF6D53A6-2B3A-4C82-BE04-C4BD7DC2A07D}"/>
    <cellStyle name="Style 2 4" xfId="90" xr:uid="{DBF26B4F-DF14-42EA-84AD-B09DD876B6FB}"/>
    <cellStyle name="Style 2 5" xfId="95" xr:uid="{00000000-0005-0000-0000-000002000000}"/>
    <cellStyle name="Style 2 6" xfId="121" xr:uid="{00000000-0005-0000-0000-000002000000}"/>
    <cellStyle name="Style 2 7" xfId="155" xr:uid="{00000000-0005-0000-0000-000002000000}"/>
    <cellStyle name="Style 2 8" xfId="164" xr:uid="{00000000-0005-0000-0000-000002000000}"/>
    <cellStyle name="Style 2 9" xfId="198" xr:uid="{00000000-0005-0000-0000-000002000000}"/>
    <cellStyle name="Style 20" xfId="16" xr:uid="{FECD5351-36EE-4F1C-9735-3F7C61532881}"/>
    <cellStyle name="Style 20 10" xfId="332" xr:uid="{7F811A5E-C2C9-4A3A-A9B8-C11036D174F1}"/>
    <cellStyle name="Style 20 2" xfId="24" xr:uid="{FD833DB3-8E1B-4279-9434-5A3E1C0060B2}"/>
    <cellStyle name="Style 20 3" xfId="50" xr:uid="{BE5D200A-F9F6-42BE-8AD4-7397BE705CF3}"/>
    <cellStyle name="Style 20 4" xfId="74" xr:uid="{E15D8D37-F3DA-4F4C-91B2-F8BDEDF49C7F}"/>
    <cellStyle name="Style 20 5" xfId="139" xr:uid="{00000000-0005-0000-0000-000014000000}"/>
    <cellStyle name="Style 20 6" xfId="182" xr:uid="{00000000-0005-0000-0000-000014000000}"/>
    <cellStyle name="Style 20 7" xfId="227" xr:uid="{00000000-0005-0000-0000-000014000000}"/>
    <cellStyle name="Style 20 8" xfId="262" xr:uid="{00000000-0005-0000-0000-000014000000}"/>
    <cellStyle name="Style 20 9" xfId="286" xr:uid="{00000000-0005-0000-0000-000014000000}"/>
    <cellStyle name="Style 21" xfId="17" xr:uid="{1B7F958D-79DD-4BB2-B36B-BAFA8338D337}"/>
    <cellStyle name="Style 21 10" xfId="333" xr:uid="{B26D69F6-7000-478A-90F1-B0E07B3FCF27}"/>
    <cellStyle name="Style 21 2" xfId="25" xr:uid="{77457CA7-2FF2-4AD7-B49C-65CD5276D112}"/>
    <cellStyle name="Style 21 3" xfId="51" xr:uid="{9DDA2D59-D85C-48F9-A955-28CAC9DD14BE}"/>
    <cellStyle name="Style 21 4" xfId="75" xr:uid="{FC9BD27B-D6D9-490C-B7B9-9E1C64091EF3}"/>
    <cellStyle name="Style 21 5" xfId="140" xr:uid="{00000000-0005-0000-0000-000015000000}"/>
    <cellStyle name="Style 21 6" xfId="183" xr:uid="{00000000-0005-0000-0000-000015000000}"/>
    <cellStyle name="Style 21 7" xfId="228" xr:uid="{00000000-0005-0000-0000-000015000000}"/>
    <cellStyle name="Style 21 8" xfId="263" xr:uid="{00000000-0005-0000-0000-000015000000}"/>
    <cellStyle name="Style 21 9" xfId="287" xr:uid="{00000000-0005-0000-0000-000015000000}"/>
    <cellStyle name="Style 22" xfId="76" xr:uid="{125349B1-889E-4AA2-9509-B8CC7FA4BD28}"/>
    <cellStyle name="Style 22 2" xfId="113" xr:uid="{00000000-0005-0000-0000-000016000000}"/>
    <cellStyle name="Style 22 3" xfId="141" xr:uid="{00000000-0005-0000-0000-000016000000}"/>
    <cellStyle name="Style 22 4" xfId="184" xr:uid="{00000000-0005-0000-0000-000016000000}"/>
    <cellStyle name="Style 22 5" xfId="229" xr:uid="{00000000-0005-0000-0000-000016000000}"/>
    <cellStyle name="Style 22 6" xfId="264" xr:uid="{00000000-0005-0000-0000-000016000000}"/>
    <cellStyle name="Style 22 7" xfId="288" xr:uid="{00000000-0005-0000-0000-000016000000}"/>
    <cellStyle name="Style 22 8" xfId="334" xr:uid="{CDB53CBA-A832-4D61-BA2E-2078380597D2}"/>
    <cellStyle name="Style 23" xfId="77" xr:uid="{B09CDDC6-EF33-4960-9841-B0EDE60EFCA2}"/>
    <cellStyle name="Style 23 2" xfId="114" xr:uid="{00000000-0005-0000-0000-000017000000}"/>
    <cellStyle name="Style 23 3" xfId="142" xr:uid="{00000000-0005-0000-0000-000017000000}"/>
    <cellStyle name="Style 23 4" xfId="185" xr:uid="{00000000-0005-0000-0000-000017000000}"/>
    <cellStyle name="Style 23 5" xfId="230" xr:uid="{00000000-0005-0000-0000-000017000000}"/>
    <cellStyle name="Style 23 6" xfId="265" xr:uid="{00000000-0005-0000-0000-000017000000}"/>
    <cellStyle name="Style 23 7" xfId="289" xr:uid="{00000000-0005-0000-0000-000017000000}"/>
    <cellStyle name="Style 23 8" xfId="335" xr:uid="{2D05DE4A-3AA1-4E6B-B6A3-FFD0A8BBBE02}"/>
    <cellStyle name="Style 24" xfId="78" xr:uid="{7379375C-3D67-4554-AED8-541C18469585}"/>
    <cellStyle name="Style 24 2" xfId="115" xr:uid="{00000000-0005-0000-0000-000018000000}"/>
    <cellStyle name="Style 24 3" xfId="143" xr:uid="{00000000-0005-0000-0000-000018000000}"/>
    <cellStyle name="Style 24 4" xfId="186" xr:uid="{00000000-0005-0000-0000-000018000000}"/>
    <cellStyle name="Style 24 5" xfId="231" xr:uid="{00000000-0005-0000-0000-000018000000}"/>
    <cellStyle name="Style 24 6" xfId="266" xr:uid="{00000000-0005-0000-0000-000018000000}"/>
    <cellStyle name="Style 24 7" xfId="290" xr:uid="{00000000-0005-0000-0000-000018000000}"/>
    <cellStyle name="Style 24 8" xfId="336" xr:uid="{EDF3ACB1-1EAC-41C9-A638-A415E2F4BFF9}"/>
    <cellStyle name="Style 25" xfId="79" xr:uid="{B50924F8-E3E8-4475-BC64-A14EA982FEB2}"/>
    <cellStyle name="Style 25 2" xfId="116" xr:uid="{00000000-0005-0000-0000-000019000000}"/>
    <cellStyle name="Style 25 3" xfId="144" xr:uid="{00000000-0005-0000-0000-000019000000}"/>
    <cellStyle name="Style 25 4" xfId="187" xr:uid="{00000000-0005-0000-0000-000019000000}"/>
    <cellStyle name="Style 25 5" xfId="232" xr:uid="{00000000-0005-0000-0000-000019000000}"/>
    <cellStyle name="Style 25 6" xfId="267" xr:uid="{00000000-0005-0000-0000-000019000000}"/>
    <cellStyle name="Style 25 7" xfId="291" xr:uid="{00000000-0005-0000-0000-000019000000}"/>
    <cellStyle name="Style 25 8" xfId="337" xr:uid="{8C6DD1A2-1685-4A55-BFD2-EE80A7145EEE}"/>
    <cellStyle name="Style 26" xfId="80" xr:uid="{D3654CB0-A90B-45AE-990D-B322168F52AD}"/>
    <cellStyle name="Style 26 2" xfId="117" xr:uid="{00000000-0005-0000-0000-00001A000000}"/>
    <cellStyle name="Style 26 3" xfId="145" xr:uid="{00000000-0005-0000-0000-00001A000000}"/>
    <cellStyle name="Style 26 4" xfId="188" xr:uid="{00000000-0005-0000-0000-00001A000000}"/>
    <cellStyle name="Style 26 5" xfId="233" xr:uid="{00000000-0005-0000-0000-00001A000000}"/>
    <cellStyle name="Style 26 6" xfId="268" xr:uid="{00000000-0005-0000-0000-00001A000000}"/>
    <cellStyle name="Style 26 7" xfId="292" xr:uid="{00000000-0005-0000-0000-00001A000000}"/>
    <cellStyle name="Style 26 8" xfId="338" xr:uid="{113BDF6A-0D1B-4300-A8B1-07067CB16A64}"/>
    <cellStyle name="Style 27" xfId="11" xr:uid="{F50C314D-895A-4153-968E-6DDDD5DCE893}"/>
    <cellStyle name="Style 27 2" xfId="19" xr:uid="{DB4C57A9-A53B-4E40-9A30-E4B62CB51FC3}"/>
    <cellStyle name="Style 27 3" xfId="81" xr:uid="{9AC694E2-6434-4FAB-8BF7-99D786008925}"/>
    <cellStyle name="Style 27 4" xfId="146" xr:uid="{00000000-0005-0000-0000-00001B000000}"/>
    <cellStyle name="Style 27 5" xfId="189" xr:uid="{00000000-0005-0000-0000-00001B000000}"/>
    <cellStyle name="Style 27 6" xfId="234" xr:uid="{00000000-0005-0000-0000-00001B000000}"/>
    <cellStyle name="Style 27 7" xfId="269" xr:uid="{00000000-0005-0000-0000-00001B000000}"/>
    <cellStyle name="Style 27 8" xfId="293" xr:uid="{00000000-0005-0000-0000-00001B000000}"/>
    <cellStyle name="Style 27 9" xfId="339" xr:uid="{2D9646B0-2949-47F8-9647-8A6C25DC358C}"/>
    <cellStyle name="Style 28" xfId="12" xr:uid="{792BF131-EB19-4344-B1FF-3019A36F3E9A}"/>
    <cellStyle name="Style 28 10" xfId="340" xr:uid="{DAB7C8AF-3D25-4802-8C00-94D2496D137D}"/>
    <cellStyle name="Style 28 2" xfId="20" xr:uid="{91A2B8E0-7FDF-4D8B-AA49-53047371FEE7}"/>
    <cellStyle name="Style 28 3" xfId="49" xr:uid="{55822433-4C2F-4789-B149-CBC9C604DD10}"/>
    <cellStyle name="Style 28 4" xfId="82" xr:uid="{E1C3CCFD-E368-4C7E-884E-6A613C439B63}"/>
    <cellStyle name="Style 28 5" xfId="147" xr:uid="{00000000-0005-0000-0000-00001C000000}"/>
    <cellStyle name="Style 28 6" xfId="190" xr:uid="{00000000-0005-0000-0000-00001C000000}"/>
    <cellStyle name="Style 28 7" xfId="235" xr:uid="{00000000-0005-0000-0000-00001C000000}"/>
    <cellStyle name="Style 28 8" xfId="270" xr:uid="{00000000-0005-0000-0000-00001C000000}"/>
    <cellStyle name="Style 28 9" xfId="294" xr:uid="{00000000-0005-0000-0000-00001C000000}"/>
    <cellStyle name="Style 29" xfId="13" xr:uid="{20EA0206-914C-4D5C-A5C1-9DAE905314C3}"/>
    <cellStyle name="Style 29 2" xfId="21" xr:uid="{B1044ACD-DE30-4F19-8F4A-46BF41084FBB}"/>
    <cellStyle name="Style 29 3" xfId="83" xr:uid="{084FB2B3-D86D-4002-8D41-1B3069452CBB}"/>
    <cellStyle name="Style 29 4" xfId="148" xr:uid="{00000000-0005-0000-0000-00001D000000}"/>
    <cellStyle name="Style 29 5" xfId="191" xr:uid="{00000000-0005-0000-0000-00001D000000}"/>
    <cellStyle name="Style 29 6" xfId="236" xr:uid="{00000000-0005-0000-0000-00001D000000}"/>
    <cellStyle name="Style 29 7" xfId="271" xr:uid="{00000000-0005-0000-0000-00001D000000}"/>
    <cellStyle name="Style 29 8" xfId="295" xr:uid="{00000000-0005-0000-0000-00001D000000}"/>
    <cellStyle name="Style 29 9" xfId="341" xr:uid="{794CCFBE-28A9-4051-AE19-79EA9799741A}"/>
    <cellStyle name="Style 3" xfId="28" xr:uid="{A49D8901-A4DA-444F-B85F-3B9A5A78366D}"/>
    <cellStyle name="Style 3 10" xfId="205" xr:uid="{00000000-0005-0000-0000-000003000000}"/>
    <cellStyle name="Style 3 11" xfId="210" xr:uid="{00000000-0005-0000-0000-000003000000}"/>
    <cellStyle name="Style 3 12" xfId="245" xr:uid="{00000000-0005-0000-0000-000003000000}"/>
    <cellStyle name="Style 3 13" xfId="279" xr:uid="{00000000-0005-0000-0000-000003000000}"/>
    <cellStyle name="Style 3 14" xfId="310" xr:uid="{67B51D7D-B12F-42DE-88F5-ED3A531D5E00}"/>
    <cellStyle name="Style 3 15" xfId="315" xr:uid="{17E02E51-F0C5-4B9D-BC15-7FA519144B6E}"/>
    <cellStyle name="Style 3 2" xfId="39" xr:uid="{578A96E5-B720-439B-858F-8C9DEA744C38}"/>
    <cellStyle name="Style 3 3" xfId="57" xr:uid="{EABCDB97-82AD-41D0-B44C-46BD5D008FA9}"/>
    <cellStyle name="Style 3 4" xfId="91" xr:uid="{D33BF332-FE29-462B-96B2-56B387925D81}"/>
    <cellStyle name="Style 3 5" xfId="96" xr:uid="{00000000-0005-0000-0000-000003000000}"/>
    <cellStyle name="Style 3 6" xfId="122" xr:uid="{00000000-0005-0000-0000-000003000000}"/>
    <cellStyle name="Style 3 7" xfId="156" xr:uid="{00000000-0005-0000-0000-000003000000}"/>
    <cellStyle name="Style 3 8" xfId="165" xr:uid="{00000000-0005-0000-0000-000003000000}"/>
    <cellStyle name="Style 3 9" xfId="199" xr:uid="{00000000-0005-0000-0000-000003000000}"/>
    <cellStyle name="Style 30" xfId="14" xr:uid="{7885CCE2-227D-478A-A08D-7414CD7D6D12}"/>
    <cellStyle name="Style 30 2" xfId="22" xr:uid="{A3A4F8C6-BC33-4C21-8F70-AED523CDDCB7}"/>
    <cellStyle name="Style 30 3" xfId="84" xr:uid="{EBFF5465-AF3A-4F06-9582-E983DBB416E2}"/>
    <cellStyle name="Style 30 4" xfId="149" xr:uid="{00000000-0005-0000-0000-00001E000000}"/>
    <cellStyle name="Style 30 5" xfId="192" xr:uid="{00000000-0005-0000-0000-00001E000000}"/>
    <cellStyle name="Style 30 6" xfId="237" xr:uid="{00000000-0005-0000-0000-00001E000000}"/>
    <cellStyle name="Style 30 7" xfId="272" xr:uid="{00000000-0005-0000-0000-00001E000000}"/>
    <cellStyle name="Style 30 8" xfId="296" xr:uid="{00000000-0005-0000-0000-00001E000000}"/>
    <cellStyle name="Style 30 9" xfId="342" xr:uid="{94D635E5-DB90-416D-BD7B-41938068911C}"/>
    <cellStyle name="Style 31" xfId="15" xr:uid="{157983E9-9B36-4007-9FB3-4A29858B1A5D}"/>
    <cellStyle name="Style 31 10" xfId="343" xr:uid="{01C27573-43B7-48CA-8257-BBF337A2E55D}"/>
    <cellStyle name="Style 31 2" xfId="23" xr:uid="{B7CCD412-9AD0-4AC0-831E-467AACFB9C95}"/>
    <cellStyle name="Style 31 3" xfId="85" xr:uid="{D830D25C-A4E0-45BA-AE95-EDAB574B789D}"/>
    <cellStyle name="Style 31 4" xfId="150" xr:uid="{00000000-0005-0000-0000-00001F000000}"/>
    <cellStyle name="Style 31 5" xfId="161" xr:uid="{A9E2CD68-1BE1-4CC9-87B2-F7970E89CAEB}"/>
    <cellStyle name="Style 31 6" xfId="193" xr:uid="{00000000-0005-0000-0000-00001F000000}"/>
    <cellStyle name="Style 31 7" xfId="238" xr:uid="{00000000-0005-0000-0000-00001F000000}"/>
    <cellStyle name="Style 31 8" xfId="273" xr:uid="{00000000-0005-0000-0000-00001F000000}"/>
    <cellStyle name="Style 31 9" xfId="297" xr:uid="{00000000-0005-0000-0000-00001F000000}"/>
    <cellStyle name="Style 32" xfId="18" xr:uid="{A99169D7-643E-4FA5-8312-27C640F9EEC1}"/>
    <cellStyle name="Style 32 2" xfId="26" xr:uid="{A8402645-025A-4122-AC06-7E02B5151A9E}"/>
    <cellStyle name="Style 32 3" xfId="86" xr:uid="{B3FEEA8F-1CE3-4BA3-AF96-BCC3BCA4CDAE}"/>
    <cellStyle name="Style 32 4" xfId="151" xr:uid="{00000000-0005-0000-0000-000020000000}"/>
    <cellStyle name="Style 32 5" xfId="194" xr:uid="{00000000-0005-0000-0000-000020000000}"/>
    <cellStyle name="Style 32 6" xfId="239" xr:uid="{00000000-0005-0000-0000-000020000000}"/>
    <cellStyle name="Style 32 7" xfId="274" xr:uid="{00000000-0005-0000-0000-000020000000}"/>
    <cellStyle name="Style 32 8" xfId="298" xr:uid="{00000000-0005-0000-0000-000020000000}"/>
    <cellStyle name="Style 32 9" xfId="344" xr:uid="{FF008DBB-15AD-43F1-BFF4-B5DF507B9D23}"/>
    <cellStyle name="Style 33" xfId="31" xr:uid="{8DD5E7D2-22F7-471C-BE96-C46961927188}"/>
    <cellStyle name="Style 33 2" xfId="87" xr:uid="{A5CBA7FE-9BCD-4FD6-A408-CD41C2A999F1}"/>
    <cellStyle name="Style 33 3" xfId="152" xr:uid="{00000000-0005-0000-0000-000021000000}"/>
    <cellStyle name="Style 33 4" xfId="195" xr:uid="{00000000-0005-0000-0000-000021000000}"/>
    <cellStyle name="Style 33 5" xfId="240" xr:uid="{00000000-0005-0000-0000-000021000000}"/>
    <cellStyle name="Style 33 6" xfId="275" xr:uid="{00000000-0005-0000-0000-000021000000}"/>
    <cellStyle name="Style 33 7" xfId="299" xr:uid="{00000000-0005-0000-0000-000021000000}"/>
    <cellStyle name="Style 33 8" xfId="345" xr:uid="{7517BEF3-CD85-48F2-8CCF-73FB64C2FF54}"/>
    <cellStyle name="Style 34" xfId="32" xr:uid="{BBDA07EA-7D1E-4D89-9C01-2F5E52332006}"/>
    <cellStyle name="Style 34 2" xfId="88" xr:uid="{5D893CD9-ECF2-4BE8-9652-F1506494FFB7}"/>
    <cellStyle name="Style 34 3" xfId="153" xr:uid="{00000000-0005-0000-0000-000022000000}"/>
    <cellStyle name="Style 34 4" xfId="196" xr:uid="{00000000-0005-0000-0000-000022000000}"/>
    <cellStyle name="Style 34 5" xfId="241" xr:uid="{00000000-0005-0000-0000-000022000000}"/>
    <cellStyle name="Style 34 6" xfId="276" xr:uid="{00000000-0005-0000-0000-000022000000}"/>
    <cellStyle name="Style 34 7" xfId="300" xr:uid="{00000000-0005-0000-0000-000022000000}"/>
    <cellStyle name="Style 34 8" xfId="346" xr:uid="{562D40A0-3C93-40CF-AE59-88EFD07F6EEB}"/>
    <cellStyle name="Style 35" xfId="301" xr:uid="{00000000-0005-0000-0000-000023000000}"/>
    <cellStyle name="Style 36" xfId="302" xr:uid="{00000000-0005-0000-0000-000024000000}"/>
    <cellStyle name="Style 37" xfId="303" xr:uid="{00000000-0005-0000-0000-000025000000}"/>
    <cellStyle name="Style 4" xfId="33" xr:uid="{F342C420-4696-42C4-A24B-B0DC76AAAA7E}"/>
    <cellStyle name="Style 4 10" xfId="200" xr:uid="{00000000-0005-0000-0000-000004000000}"/>
    <cellStyle name="Style 4 11" xfId="206" xr:uid="{00000000-0005-0000-0000-000004000000}"/>
    <cellStyle name="Style 4 12" xfId="211" xr:uid="{00000000-0005-0000-0000-000004000000}"/>
    <cellStyle name="Style 4 13" xfId="246" xr:uid="{00000000-0005-0000-0000-000004000000}"/>
    <cellStyle name="Style 4 14" xfId="280" xr:uid="{00000000-0005-0000-0000-000004000000}"/>
    <cellStyle name="Style 4 15" xfId="304" xr:uid="{00000000-0005-0000-0000-000004000000}"/>
    <cellStyle name="Style 4 16" xfId="311" xr:uid="{4CC81A50-D61D-47D5-AC6E-91BC20CDA9DD}"/>
    <cellStyle name="Style 4 17" xfId="316" xr:uid="{DF81003A-815E-496F-8C0F-278741981B03}"/>
    <cellStyle name="Style 4 2" xfId="40" xr:uid="{7DBCF914-ACD1-4777-9BAB-478F2333A954}"/>
    <cellStyle name="Style 4 3" xfId="58" xr:uid="{70B909AF-C066-4AA9-A7F8-D688FD9584EF}"/>
    <cellStyle name="Style 4 4" xfId="92" xr:uid="{7329FE3D-7958-453E-A294-9D8F2C955E56}"/>
    <cellStyle name="Style 4 5" xfId="97" xr:uid="{00000000-0005-0000-0000-000004000000}"/>
    <cellStyle name="Style 4 6" xfId="123" xr:uid="{00000000-0005-0000-0000-000004000000}"/>
    <cellStyle name="Style 4 7" xfId="157" xr:uid="{00000000-0005-0000-0000-000004000000}"/>
    <cellStyle name="Style 4 8" xfId="159" xr:uid="{6DE8C1EF-B647-4BEC-A3C1-4F891EB570B5}"/>
    <cellStyle name="Style 4 9" xfId="166" xr:uid="{00000000-0005-0000-0000-000004000000}"/>
    <cellStyle name="Style 5" xfId="41" xr:uid="{C84BC6B9-91FB-4A21-8D60-8598B2E83EF1}"/>
    <cellStyle name="Style 5 10" xfId="167" xr:uid="{00000000-0005-0000-0000-000005000000}"/>
    <cellStyle name="Style 5 11" xfId="201" xr:uid="{00000000-0005-0000-0000-000005000000}"/>
    <cellStyle name="Style 5 12" xfId="207" xr:uid="{00000000-0005-0000-0000-000005000000}"/>
    <cellStyle name="Style 5 13" xfId="212" xr:uid="{00000000-0005-0000-0000-000005000000}"/>
    <cellStyle name="Style 5 14" xfId="247" xr:uid="{00000000-0005-0000-0000-000005000000}"/>
    <cellStyle name="Style 5 15" xfId="281" xr:uid="{00000000-0005-0000-0000-000005000000}"/>
    <cellStyle name="Style 5 16" xfId="312" xr:uid="{3EC3E022-A929-45FC-BE91-537A898EF7AA}"/>
    <cellStyle name="Style 5 17" xfId="317" xr:uid="{17F322A7-F109-4321-90F2-973739B9794E}"/>
    <cellStyle name="Style 5 2" xfId="44" xr:uid="{E1E88AC1-D4EB-4A16-9AA6-2F7FC44AD8A8}"/>
    <cellStyle name="Style 5 3" xfId="59" xr:uid="{29548DF8-A53D-4996-A80C-ED50AD4AE5CA}"/>
    <cellStyle name="Style 5 4" xfId="46" xr:uid="{DF0AC262-F9B0-449A-B289-2350DE99822A}"/>
    <cellStyle name="Style 5 5" xfId="34" xr:uid="{C00B4533-50F1-471C-B996-FF39D6893BD3}"/>
    <cellStyle name="Style 5 6" xfId="93" xr:uid="{5EBFD254-2633-4972-8E36-77276476B7AB}"/>
    <cellStyle name="Style 5 7" xfId="98" xr:uid="{00000000-0005-0000-0000-000005000000}"/>
    <cellStyle name="Style 5 8" xfId="124" xr:uid="{00000000-0005-0000-0000-000005000000}"/>
    <cellStyle name="Style 5 9" xfId="158" xr:uid="{00000000-0005-0000-0000-000005000000}"/>
    <cellStyle name="Style 6" xfId="60" xr:uid="{C4F62BA4-4402-4A35-A21C-6F7F9D652AF0}"/>
    <cellStyle name="Style 6 2" xfId="99" xr:uid="{00000000-0005-0000-0000-000006000000}"/>
    <cellStyle name="Style 6 3" xfId="35" xr:uid="{0F5ADDDE-4ED2-4CEC-988E-1B7582E32CD8}"/>
    <cellStyle name="Style 6 4" xfId="125" xr:uid="{00000000-0005-0000-0000-000006000000}"/>
    <cellStyle name="Style 6 5" xfId="168" xr:uid="{00000000-0005-0000-0000-000006000000}"/>
    <cellStyle name="Style 6 6" xfId="213" xr:uid="{00000000-0005-0000-0000-000006000000}"/>
    <cellStyle name="Style 6 7" xfId="248" xr:uid="{00000000-0005-0000-0000-000006000000}"/>
    <cellStyle name="Style 6 8" xfId="318" xr:uid="{CF43AEAD-4281-4340-B926-2FEE3F62B423}"/>
    <cellStyle name="Style 7" xfId="61" xr:uid="{2E9AE5AC-A02D-4A0B-9B5A-3B26EFBF8685}"/>
    <cellStyle name="Style 7 2" xfId="100" xr:uid="{00000000-0005-0000-0000-000007000000}"/>
    <cellStyle name="Style 7 3" xfId="126" xr:uid="{00000000-0005-0000-0000-000007000000}"/>
    <cellStyle name="Style 7 4" xfId="160" xr:uid="{E779136E-DFFC-4196-B67D-384D05EED32D}"/>
    <cellStyle name="Style 7 5" xfId="169" xr:uid="{00000000-0005-0000-0000-000007000000}"/>
    <cellStyle name="Style 7 6" xfId="214" xr:uid="{00000000-0005-0000-0000-000007000000}"/>
    <cellStyle name="Style 7 7" xfId="249" xr:uid="{00000000-0005-0000-0000-000007000000}"/>
    <cellStyle name="Style 7 8" xfId="319" xr:uid="{C0A4B319-5F61-4180-A09B-F39DB28833CA}"/>
    <cellStyle name="Style 8" xfId="62" xr:uid="{66CD6AEF-2D22-425B-8BED-DECEF1BE8F96}"/>
    <cellStyle name="Style 8 2" xfId="101" xr:uid="{00000000-0005-0000-0000-000008000000}"/>
    <cellStyle name="Style 8 3" xfId="127" xr:uid="{00000000-0005-0000-0000-000008000000}"/>
    <cellStyle name="Style 8 4" xfId="170" xr:uid="{00000000-0005-0000-0000-000008000000}"/>
    <cellStyle name="Style 8 5" xfId="215" xr:uid="{00000000-0005-0000-0000-000008000000}"/>
    <cellStyle name="Style 8 6" xfId="250" xr:uid="{00000000-0005-0000-0000-000008000000}"/>
    <cellStyle name="Style 8 7" xfId="320" xr:uid="{7B02C5FF-C7D4-4D36-80EC-7D789BE53E73}"/>
    <cellStyle name="Style 9" xfId="63" xr:uid="{83D42A7D-8E89-418D-921E-52350BF72230}"/>
    <cellStyle name="Style 9 2" xfId="102" xr:uid="{00000000-0005-0000-0000-000009000000}"/>
    <cellStyle name="Style 9 3" xfId="128" xr:uid="{00000000-0005-0000-0000-000009000000}"/>
    <cellStyle name="Style 9 4" xfId="171" xr:uid="{00000000-0005-0000-0000-000009000000}"/>
    <cellStyle name="Style 9 5" xfId="216" xr:uid="{00000000-0005-0000-0000-000009000000}"/>
    <cellStyle name="Style 9 6" xfId="251" xr:uid="{00000000-0005-0000-0000-000009000000}"/>
    <cellStyle name="Style 9 7" xfId="321" xr:uid="{FF4CCA79-5DFB-420A-80CC-DA8FFDCBD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  <sheetName val="Headcount Details"/>
      <sheetName val="COGS Detail"/>
      <sheetName val="Eng-Ops Expense Details"/>
      <sheetName val="Travel Details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uul.box.com/s/480d6xcpgpn1qw168mo8rhvqy51a8v2f" TargetMode="External"/><Relationship Id="rId1" Type="http://schemas.openxmlformats.org/officeDocument/2006/relationships/hyperlink" Target="https://accounting-simplified.com/financial/users-of-accounting-information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EF03-A6FB-4EF0-A588-FB889AF746B6}">
  <dimension ref="B1:M122"/>
  <sheetViews>
    <sheetView tabSelected="1" topLeftCell="C1" workbookViewId="0">
      <selection activeCell="C38" sqref="C38"/>
    </sheetView>
  </sheetViews>
  <sheetFormatPr defaultColWidth="9.1796875" defaultRowHeight="13" outlineLevelRow="1" x14ac:dyDescent="0.35"/>
  <cols>
    <col min="1" max="1" width="3.26953125" style="77" customWidth="1"/>
    <col min="2" max="2" width="1.7265625" style="77" customWidth="1"/>
    <col min="3" max="3" width="98" style="77" bestFit="1" customWidth="1"/>
    <col min="4" max="4" width="14.54296875" style="78" customWidth="1"/>
    <col min="5" max="5" width="55.26953125" style="78" customWidth="1"/>
    <col min="6" max="6" width="13.81640625" style="77" customWidth="1"/>
    <col min="7" max="7" width="13.453125" style="77" customWidth="1"/>
    <col min="8" max="8" width="11.54296875" style="77" customWidth="1"/>
    <col min="9" max="9" width="10.54296875" style="77" customWidth="1"/>
    <col min="10" max="10" width="1.453125" style="77" customWidth="1"/>
    <col min="11" max="16384" width="9.1796875" style="77"/>
  </cols>
  <sheetData>
    <row r="1" spans="3:9" ht="12.75" customHeight="1" x14ac:dyDescent="0.35"/>
    <row r="2" spans="3:9" x14ac:dyDescent="0.35">
      <c r="C2" s="79" t="s">
        <v>253</v>
      </c>
      <c r="D2" s="173" t="s">
        <v>254</v>
      </c>
      <c r="E2" s="166"/>
    </row>
    <row r="3" spans="3:9" x14ac:dyDescent="0.35">
      <c r="C3" s="79" t="s">
        <v>255</v>
      </c>
      <c r="D3" s="173" t="s">
        <v>256</v>
      </c>
      <c r="E3" s="166"/>
    </row>
    <row r="4" spans="3:9" ht="107.25" customHeight="1" x14ac:dyDescent="0.35">
      <c r="C4" s="79"/>
      <c r="D4" s="173" t="s">
        <v>257</v>
      </c>
      <c r="E4" s="166"/>
    </row>
    <row r="5" spans="3:9" ht="115.5" customHeight="1" x14ac:dyDescent="0.35">
      <c r="C5" s="79" t="s">
        <v>258</v>
      </c>
      <c r="D5" s="180" t="s">
        <v>384</v>
      </c>
      <c r="E5" s="166"/>
      <c r="F5" s="172"/>
      <c r="G5" s="171"/>
      <c r="H5" s="171"/>
      <c r="I5" s="171"/>
    </row>
    <row r="6" spans="3:9" ht="28.5" customHeight="1" x14ac:dyDescent="0.35">
      <c r="C6" s="79" t="s">
        <v>259</v>
      </c>
      <c r="D6" s="173">
        <v>1</v>
      </c>
      <c r="E6" s="166"/>
      <c r="F6" s="172"/>
      <c r="G6" s="171"/>
      <c r="H6" s="171"/>
      <c r="I6" s="171"/>
    </row>
    <row r="7" spans="3:9" ht="64.5" customHeight="1" x14ac:dyDescent="0.35">
      <c r="C7" s="79" t="s">
        <v>260</v>
      </c>
      <c r="D7" s="173">
        <v>220950</v>
      </c>
      <c r="E7" s="166"/>
    </row>
    <row r="8" spans="3:9" x14ac:dyDescent="0.35">
      <c r="C8" s="79" t="s">
        <v>261</v>
      </c>
      <c r="D8" s="181" t="s">
        <v>423</v>
      </c>
      <c r="E8" s="182"/>
    </row>
    <row r="9" spans="3:9" x14ac:dyDescent="0.35">
      <c r="C9" s="79" t="s">
        <v>262</v>
      </c>
      <c r="D9" s="183">
        <f>'Reconciliation Sheet'!M19</f>
        <v>-1192948.76</v>
      </c>
      <c r="E9" s="184"/>
    </row>
    <row r="10" spans="3:9" x14ac:dyDescent="0.35">
      <c r="C10" s="79" t="s">
        <v>263</v>
      </c>
      <c r="D10" s="185">
        <f>'Reconciliation Sheet'!M20</f>
        <v>-1192948.76</v>
      </c>
      <c r="E10" s="175"/>
    </row>
    <row r="11" spans="3:9" x14ac:dyDescent="0.35">
      <c r="C11" s="79" t="s">
        <v>264</v>
      </c>
      <c r="D11" s="185">
        <f>D9-D10</f>
        <v>0</v>
      </c>
      <c r="E11" s="175"/>
    </row>
    <row r="12" spans="3:9" x14ac:dyDescent="0.35">
      <c r="C12" s="79" t="s">
        <v>265</v>
      </c>
      <c r="D12" s="174" t="s">
        <v>266</v>
      </c>
      <c r="E12" s="175"/>
    </row>
    <row r="13" spans="3:9" x14ac:dyDescent="0.35">
      <c r="C13" s="79" t="s">
        <v>267</v>
      </c>
      <c r="D13" s="174"/>
      <c r="E13" s="175"/>
    </row>
    <row r="14" spans="3:9" x14ac:dyDescent="0.35">
      <c r="C14" s="80" t="s">
        <v>268</v>
      </c>
      <c r="D14" s="174">
        <f>'Trial Balance 9.10.19'!D39-'Trial Balance 9.10.19'!G39</f>
        <v>-279019.83</v>
      </c>
      <c r="E14" s="175"/>
    </row>
    <row r="15" spans="3:9" x14ac:dyDescent="0.35">
      <c r="C15" s="80" t="s">
        <v>269</v>
      </c>
      <c r="D15" s="176" t="e">
        <f>'Trial Balance 9.10.19'!D39/'Trial Balance 9.10.19'!G39</f>
        <v>#DIV/0!</v>
      </c>
      <c r="E15" s="177"/>
    </row>
    <row r="16" spans="3:9" x14ac:dyDescent="0.35">
      <c r="C16" s="80" t="s">
        <v>270</v>
      </c>
      <c r="D16" s="176">
        <v>0</v>
      </c>
      <c r="E16" s="177"/>
    </row>
    <row r="17" spans="3:12" ht="52.5" customHeight="1" x14ac:dyDescent="0.3">
      <c r="C17" s="80" t="s">
        <v>271</v>
      </c>
      <c r="D17" s="178">
        <v>0</v>
      </c>
      <c r="E17" s="179"/>
    </row>
    <row r="18" spans="3:12" x14ac:dyDescent="0.35">
      <c r="C18" s="80" t="s">
        <v>272</v>
      </c>
      <c r="D18" s="173">
        <v>0</v>
      </c>
      <c r="E18" s="166"/>
    </row>
    <row r="19" spans="3:12" x14ac:dyDescent="0.35">
      <c r="C19" s="80" t="s">
        <v>273</v>
      </c>
      <c r="D19" s="173" t="s">
        <v>368</v>
      </c>
      <c r="E19" s="166"/>
    </row>
    <row r="20" spans="3:12" ht="80.25" customHeight="1" x14ac:dyDescent="0.35">
      <c r="C20" s="79" t="s">
        <v>274</v>
      </c>
      <c r="D20" s="173" t="s">
        <v>369</v>
      </c>
      <c r="E20" s="166"/>
    </row>
    <row r="21" spans="3:12" ht="30" customHeight="1" x14ac:dyDescent="0.35">
      <c r="C21" s="79" t="s">
        <v>275</v>
      </c>
      <c r="D21" s="173" t="s">
        <v>276</v>
      </c>
      <c r="E21" s="166"/>
    </row>
    <row r="22" spans="3:12" ht="33.75" customHeight="1" x14ac:dyDescent="0.35">
      <c r="C22" s="79" t="s">
        <v>277</v>
      </c>
      <c r="D22" s="173" t="s">
        <v>278</v>
      </c>
      <c r="E22" s="166"/>
    </row>
    <row r="23" spans="3:12" x14ac:dyDescent="0.35">
      <c r="C23" s="79" t="s">
        <v>279</v>
      </c>
      <c r="D23" s="173"/>
      <c r="E23" s="166"/>
      <c r="F23" s="81"/>
    </row>
    <row r="24" spans="3:12" x14ac:dyDescent="0.35">
      <c r="C24" s="79" t="s">
        <v>280</v>
      </c>
      <c r="D24" s="173" t="s">
        <v>281</v>
      </c>
      <c r="E24" s="166"/>
      <c r="F24" s="81"/>
    </row>
    <row r="25" spans="3:12" x14ac:dyDescent="0.35">
      <c r="C25" s="79" t="s">
        <v>282</v>
      </c>
      <c r="D25" s="165">
        <v>43678</v>
      </c>
      <c r="E25" s="166"/>
      <c r="F25" s="81"/>
    </row>
    <row r="26" spans="3:12" x14ac:dyDescent="0.35">
      <c r="D26" s="82"/>
      <c r="E26" s="82"/>
    </row>
    <row r="27" spans="3:12" ht="26" x14ac:dyDescent="0.35">
      <c r="C27" s="79" t="s">
        <v>283</v>
      </c>
      <c r="D27" s="83" t="s">
        <v>284</v>
      </c>
      <c r="E27" s="84"/>
      <c r="F27" s="81"/>
    </row>
    <row r="28" spans="3:12" x14ac:dyDescent="0.35">
      <c r="C28" s="79" t="s">
        <v>285</v>
      </c>
      <c r="D28" s="83" t="s">
        <v>370</v>
      </c>
      <c r="E28" s="84"/>
      <c r="F28" s="81"/>
    </row>
    <row r="29" spans="3:12" x14ac:dyDescent="0.35">
      <c r="C29" s="79" t="s">
        <v>286</v>
      </c>
      <c r="D29" s="83"/>
      <c r="E29" s="84"/>
      <c r="F29" s="81"/>
    </row>
    <row r="30" spans="3:12" s="85" customFormat="1" x14ac:dyDescent="0.35">
      <c r="D30" s="86"/>
      <c r="E30" s="86"/>
      <c r="F30" s="87"/>
    </row>
    <row r="31" spans="3:12" x14ac:dyDescent="0.35">
      <c r="C31" s="88" t="s">
        <v>287</v>
      </c>
      <c r="D31" s="89"/>
      <c r="E31" s="89"/>
      <c r="F31" s="81"/>
      <c r="G31" s="81"/>
      <c r="H31" s="81"/>
      <c r="I31" s="81"/>
      <c r="J31" s="81"/>
      <c r="K31" s="81"/>
      <c r="L31" s="81"/>
    </row>
    <row r="32" spans="3:12" outlineLevel="1" x14ac:dyDescent="0.35">
      <c r="C32" s="90" t="s">
        <v>288</v>
      </c>
      <c r="D32" s="89"/>
      <c r="E32" s="89"/>
      <c r="F32" s="81"/>
      <c r="G32" s="81"/>
      <c r="H32" s="81"/>
      <c r="I32" s="81"/>
      <c r="J32" s="81"/>
      <c r="K32" s="81"/>
      <c r="L32" s="81"/>
    </row>
    <row r="33" spans="3:13" ht="124.5" customHeight="1" outlineLevel="1" x14ac:dyDescent="0.35">
      <c r="C33" s="167" t="s">
        <v>289</v>
      </c>
      <c r="D33" s="168"/>
      <c r="E33" s="168"/>
      <c r="F33" s="168"/>
      <c r="G33" s="168"/>
      <c r="H33" s="168"/>
      <c r="I33" s="169"/>
      <c r="J33" s="81"/>
      <c r="K33" s="81"/>
      <c r="L33" s="81"/>
    </row>
    <row r="34" spans="3:13" ht="12.75" customHeight="1" outlineLevel="1" x14ac:dyDescent="0.35">
      <c r="C34" s="91"/>
      <c r="D34" s="92"/>
      <c r="E34" s="92"/>
      <c r="F34" s="91"/>
      <c r="G34" s="91"/>
      <c r="H34" s="91"/>
      <c r="I34" s="91"/>
      <c r="J34" s="81"/>
      <c r="K34" s="81"/>
      <c r="L34" s="81"/>
    </row>
    <row r="35" spans="3:13" ht="12.75" customHeight="1" outlineLevel="1" x14ac:dyDescent="0.35">
      <c r="C35" s="93" t="s">
        <v>290</v>
      </c>
      <c r="D35" s="170" t="s">
        <v>291</v>
      </c>
      <c r="E35" s="170"/>
      <c r="F35" s="170"/>
      <c r="G35" s="170"/>
      <c r="H35" s="170"/>
      <c r="I35" s="170"/>
      <c r="J35" s="81"/>
      <c r="K35" s="81"/>
      <c r="L35" s="81"/>
    </row>
    <row r="36" spans="3:13" ht="12.75" customHeight="1" outlineLevel="1" x14ac:dyDescent="0.35">
      <c r="C36" s="94" t="s">
        <v>424</v>
      </c>
      <c r="D36" s="152" t="s">
        <v>292</v>
      </c>
      <c r="E36" s="153"/>
      <c r="F36" s="153"/>
      <c r="G36" s="153"/>
      <c r="H36" s="153"/>
      <c r="I36" s="153"/>
      <c r="J36" s="172"/>
      <c r="K36" s="171"/>
      <c r="L36" s="171"/>
      <c r="M36" s="171"/>
    </row>
    <row r="37" spans="3:13" ht="30.75" customHeight="1" outlineLevel="1" x14ac:dyDescent="0.35">
      <c r="C37" s="94" t="s">
        <v>478</v>
      </c>
      <c r="D37" s="152" t="s">
        <v>476</v>
      </c>
      <c r="E37" s="153"/>
      <c r="F37" s="153"/>
      <c r="G37" s="153"/>
      <c r="H37" s="153"/>
      <c r="I37" s="153"/>
      <c r="J37" s="172"/>
      <c r="K37" s="171"/>
      <c r="L37" s="171"/>
      <c r="M37" s="171"/>
    </row>
    <row r="38" spans="3:13" ht="12.75" customHeight="1" outlineLevel="1" x14ac:dyDescent="0.35">
      <c r="C38" s="94" t="s">
        <v>293</v>
      </c>
      <c r="D38" s="152" t="s">
        <v>477</v>
      </c>
      <c r="E38" s="153"/>
      <c r="F38" s="153"/>
      <c r="G38" s="153"/>
      <c r="H38" s="153"/>
      <c r="I38" s="153"/>
      <c r="J38" s="172"/>
      <c r="K38" s="171"/>
      <c r="L38" s="171"/>
      <c r="M38" s="171"/>
    </row>
    <row r="39" spans="3:13" ht="12.75" customHeight="1" outlineLevel="1" x14ac:dyDescent="0.35">
      <c r="C39" s="94"/>
      <c r="D39" s="152"/>
      <c r="E39" s="153"/>
      <c r="F39" s="153"/>
      <c r="G39" s="153"/>
      <c r="H39" s="153"/>
      <c r="I39" s="153"/>
      <c r="J39" s="172"/>
      <c r="K39" s="171"/>
      <c r="L39" s="171"/>
      <c r="M39" s="171"/>
    </row>
    <row r="40" spans="3:13" ht="12.75" customHeight="1" outlineLevel="1" x14ac:dyDescent="0.35">
      <c r="C40" s="94"/>
      <c r="D40" s="152"/>
      <c r="E40" s="153"/>
      <c r="F40" s="153"/>
      <c r="G40" s="153"/>
      <c r="H40" s="153"/>
      <c r="I40" s="153"/>
      <c r="J40" s="172"/>
      <c r="K40" s="171"/>
      <c r="L40" s="171"/>
      <c r="M40" s="171"/>
    </row>
    <row r="41" spans="3:13" ht="12.75" customHeight="1" outlineLevel="1" x14ac:dyDescent="0.35">
      <c r="C41" s="94"/>
      <c r="D41" s="152"/>
      <c r="E41" s="153"/>
      <c r="F41" s="153"/>
      <c r="G41" s="153"/>
      <c r="H41" s="153"/>
      <c r="I41" s="153"/>
      <c r="J41" s="172"/>
      <c r="K41" s="171"/>
      <c r="L41" s="171"/>
      <c r="M41" s="171"/>
    </row>
    <row r="42" spans="3:13" ht="12.75" customHeight="1" outlineLevel="1" x14ac:dyDescent="0.35">
      <c r="C42" s="94"/>
      <c r="D42" s="152"/>
      <c r="E42" s="153"/>
      <c r="F42" s="153"/>
      <c r="G42" s="153"/>
      <c r="H42" s="153"/>
      <c r="I42" s="153"/>
      <c r="J42" s="91"/>
      <c r="K42" s="91"/>
      <c r="L42" s="91"/>
      <c r="M42" s="91"/>
    </row>
    <row r="43" spans="3:13" ht="12.75" customHeight="1" outlineLevel="1" x14ac:dyDescent="0.35">
      <c r="C43" s="91"/>
      <c r="D43" s="171"/>
      <c r="E43" s="171"/>
      <c r="F43" s="171"/>
      <c r="G43" s="171"/>
      <c r="H43" s="171"/>
      <c r="I43" s="171"/>
      <c r="J43" s="81"/>
      <c r="K43" s="81"/>
      <c r="L43" s="81"/>
    </row>
    <row r="44" spans="3:13" outlineLevel="1" x14ac:dyDescent="0.35">
      <c r="C44" s="95"/>
      <c r="D44" s="89"/>
      <c r="E44" s="89"/>
      <c r="F44" s="81"/>
      <c r="G44" s="81"/>
      <c r="H44" s="96" t="s">
        <v>294</v>
      </c>
      <c r="I44" s="96" t="s">
        <v>295</v>
      </c>
      <c r="J44" s="81"/>
      <c r="K44" s="81"/>
      <c r="L44" s="81"/>
    </row>
    <row r="45" spans="3:13" outlineLevel="1" x14ac:dyDescent="0.35">
      <c r="C45" s="158" t="s">
        <v>296</v>
      </c>
      <c r="D45" s="159"/>
      <c r="E45" s="159"/>
      <c r="F45" s="159"/>
      <c r="G45" s="160"/>
      <c r="H45" s="97" t="s">
        <v>297</v>
      </c>
      <c r="I45" s="187">
        <v>43719</v>
      </c>
      <c r="J45" s="81"/>
      <c r="K45" s="81"/>
      <c r="L45" s="81"/>
    </row>
    <row r="46" spans="3:13" outlineLevel="1" x14ac:dyDescent="0.35">
      <c r="C46" s="158" t="s">
        <v>298</v>
      </c>
      <c r="D46" s="159"/>
      <c r="E46" s="159"/>
      <c r="F46" s="159"/>
      <c r="G46" s="160"/>
      <c r="H46" s="97" t="s">
        <v>297</v>
      </c>
      <c r="I46" s="187">
        <v>43719</v>
      </c>
      <c r="J46" s="81"/>
      <c r="K46" s="81"/>
      <c r="L46" s="81"/>
    </row>
    <row r="47" spans="3:13" outlineLevel="1" x14ac:dyDescent="0.35">
      <c r="C47" s="158" t="s">
        <v>299</v>
      </c>
      <c r="D47" s="159"/>
      <c r="E47" s="159"/>
      <c r="F47" s="159"/>
      <c r="G47" s="160"/>
      <c r="H47" s="97" t="s">
        <v>297</v>
      </c>
      <c r="I47" s="187">
        <v>43719</v>
      </c>
      <c r="J47" s="81"/>
      <c r="K47" s="81"/>
      <c r="L47" s="81"/>
    </row>
    <row r="48" spans="3:13" outlineLevel="1" x14ac:dyDescent="0.35">
      <c r="C48" s="158" t="s">
        <v>300</v>
      </c>
      <c r="D48" s="159"/>
      <c r="E48" s="159"/>
      <c r="F48" s="159"/>
      <c r="G48" s="160"/>
      <c r="H48" s="97" t="s">
        <v>297</v>
      </c>
      <c r="I48" s="187">
        <v>43719</v>
      </c>
    </row>
    <row r="49" spans="3:12" outlineLevel="1" x14ac:dyDescent="0.35">
      <c r="C49" s="158" t="s">
        <v>301</v>
      </c>
      <c r="D49" s="159"/>
      <c r="E49" s="159"/>
      <c r="F49" s="159"/>
      <c r="G49" s="160"/>
      <c r="H49" s="97" t="s">
        <v>297</v>
      </c>
      <c r="I49" s="187">
        <v>43719</v>
      </c>
      <c r="J49" s="81"/>
      <c r="K49" s="81"/>
      <c r="L49" s="81"/>
    </row>
    <row r="50" spans="3:12" outlineLevel="1" x14ac:dyDescent="0.35">
      <c r="C50" s="158" t="s">
        <v>302</v>
      </c>
      <c r="D50" s="159"/>
      <c r="E50" s="159"/>
      <c r="F50" s="159"/>
      <c r="G50" s="160"/>
      <c r="H50" s="97" t="s">
        <v>297</v>
      </c>
      <c r="I50" s="187">
        <v>43719</v>
      </c>
      <c r="J50" s="81"/>
      <c r="K50" s="81"/>
      <c r="L50" s="81"/>
    </row>
    <row r="51" spans="3:12" outlineLevel="1" x14ac:dyDescent="0.35">
      <c r="C51" s="158" t="s">
        <v>303</v>
      </c>
      <c r="D51" s="159"/>
      <c r="E51" s="159"/>
      <c r="F51" s="159"/>
      <c r="G51" s="160"/>
      <c r="H51" s="97" t="s">
        <v>297</v>
      </c>
      <c r="I51" s="187">
        <v>43719</v>
      </c>
      <c r="J51" s="81"/>
      <c r="K51" s="81"/>
      <c r="L51" s="81"/>
    </row>
    <row r="52" spans="3:12" outlineLevel="1" x14ac:dyDescent="0.35">
      <c r="H52" s="98"/>
      <c r="I52" s="98"/>
    </row>
    <row r="53" spans="3:12" x14ac:dyDescent="0.35">
      <c r="H53" s="98"/>
      <c r="I53" s="98"/>
    </row>
    <row r="54" spans="3:12" x14ac:dyDescent="0.35">
      <c r="C54" s="88" t="s">
        <v>304</v>
      </c>
      <c r="D54" s="89"/>
      <c r="E54" s="89"/>
      <c r="F54" s="81"/>
      <c r="G54" s="81"/>
      <c r="H54" s="81"/>
      <c r="I54" s="81"/>
      <c r="J54" s="81"/>
      <c r="K54" s="81"/>
      <c r="L54" s="81"/>
    </row>
    <row r="55" spans="3:12" x14ac:dyDescent="0.35">
      <c r="C55" s="90" t="s">
        <v>305</v>
      </c>
      <c r="D55" s="92"/>
      <c r="E55" s="92"/>
      <c r="F55" s="91"/>
      <c r="G55" s="91"/>
      <c r="H55" s="91"/>
      <c r="I55" s="81"/>
      <c r="J55" s="81"/>
      <c r="K55" s="81"/>
      <c r="L55" s="81"/>
    </row>
    <row r="56" spans="3:12" ht="53.25" customHeight="1" x14ac:dyDescent="0.35">
      <c r="C56" s="152"/>
      <c r="D56" s="153"/>
      <c r="E56" s="153"/>
      <c r="F56" s="153"/>
      <c r="G56" s="153"/>
      <c r="H56" s="153"/>
      <c r="I56" s="153"/>
      <c r="J56" s="81"/>
      <c r="K56" s="81"/>
      <c r="L56" s="81"/>
    </row>
    <row r="58" spans="3:12" x14ac:dyDescent="0.35">
      <c r="C58" s="93" t="s">
        <v>306</v>
      </c>
      <c r="D58" s="92"/>
      <c r="E58" s="92"/>
      <c r="F58" s="91"/>
      <c r="G58" s="91"/>
      <c r="H58" s="91"/>
      <c r="I58" s="81"/>
      <c r="J58" s="81"/>
      <c r="K58" s="81"/>
      <c r="L58" s="81"/>
    </row>
    <row r="59" spans="3:12" ht="58.5" customHeight="1" x14ac:dyDescent="0.35">
      <c r="C59" s="152"/>
      <c r="D59" s="153"/>
      <c r="E59" s="153"/>
      <c r="F59" s="153"/>
      <c r="G59" s="153"/>
      <c r="H59" s="153"/>
      <c r="I59" s="153"/>
      <c r="J59" s="81"/>
      <c r="K59" s="81"/>
      <c r="L59" s="81"/>
    </row>
    <row r="61" spans="3:12" x14ac:dyDescent="0.35">
      <c r="C61" s="90" t="s">
        <v>307</v>
      </c>
    </row>
    <row r="62" spans="3:12" ht="50.25" customHeight="1" x14ac:dyDescent="0.35">
      <c r="C62" s="152"/>
      <c r="D62" s="153"/>
      <c r="E62" s="153"/>
      <c r="F62" s="153"/>
      <c r="G62" s="153"/>
      <c r="H62" s="153"/>
      <c r="I62" s="153"/>
      <c r="J62" s="81"/>
      <c r="K62" s="81"/>
      <c r="L62" s="81"/>
    </row>
    <row r="63" spans="3:12" x14ac:dyDescent="0.35">
      <c r="C63" s="95"/>
      <c r="D63" s="89"/>
      <c r="E63" s="89"/>
      <c r="F63" s="81"/>
      <c r="G63" s="81"/>
      <c r="H63" s="96"/>
      <c r="I63" s="96"/>
      <c r="J63" s="81"/>
      <c r="K63" s="81"/>
      <c r="L63" s="81"/>
    </row>
    <row r="64" spans="3:12" x14ac:dyDescent="0.35">
      <c r="C64" s="99" t="s">
        <v>308</v>
      </c>
      <c r="D64" s="89"/>
      <c r="E64" s="89"/>
      <c r="F64" s="81"/>
      <c r="G64" s="81"/>
      <c r="H64" s="96" t="s">
        <v>294</v>
      </c>
      <c r="I64" s="96" t="s">
        <v>295</v>
      </c>
      <c r="J64" s="81"/>
      <c r="K64" s="81"/>
      <c r="L64" s="81"/>
    </row>
    <row r="65" spans="2:12" x14ac:dyDescent="0.35">
      <c r="C65" s="158" t="s">
        <v>309</v>
      </c>
      <c r="D65" s="159"/>
      <c r="E65" s="159"/>
      <c r="F65" s="159"/>
      <c r="G65" s="160"/>
      <c r="H65" s="97"/>
      <c r="I65" s="97"/>
      <c r="J65" s="81"/>
      <c r="K65" s="81"/>
      <c r="L65" s="81"/>
    </row>
    <row r="66" spans="2:12" x14ac:dyDescent="0.35">
      <c r="C66" s="158" t="s">
        <v>310</v>
      </c>
      <c r="D66" s="159"/>
      <c r="E66" s="159"/>
      <c r="F66" s="159"/>
      <c r="G66" s="160"/>
      <c r="H66" s="97"/>
      <c r="I66" s="97"/>
      <c r="J66" s="81"/>
      <c r="K66" s="81"/>
      <c r="L66" s="81"/>
    </row>
    <row r="67" spans="2:12" x14ac:dyDescent="0.35">
      <c r="C67" s="158" t="s">
        <v>311</v>
      </c>
      <c r="D67" s="159"/>
      <c r="E67" s="159"/>
      <c r="F67" s="159"/>
      <c r="G67" s="160"/>
      <c r="H67" s="97"/>
      <c r="I67" s="97"/>
      <c r="J67" s="81"/>
      <c r="K67" s="81"/>
      <c r="L67" s="81"/>
    </row>
    <row r="68" spans="2:12" x14ac:dyDescent="0.35">
      <c r="C68" s="158" t="s">
        <v>312</v>
      </c>
      <c r="D68" s="159"/>
      <c r="E68" s="159"/>
      <c r="F68" s="159"/>
      <c r="G68" s="160"/>
      <c r="H68" s="97"/>
      <c r="I68" s="97"/>
      <c r="J68" s="81"/>
      <c r="K68" s="81"/>
      <c r="L68" s="81"/>
    </row>
    <row r="69" spans="2:12" x14ac:dyDescent="0.35">
      <c r="C69" s="158" t="s">
        <v>313</v>
      </c>
      <c r="D69" s="159"/>
      <c r="E69" s="159"/>
      <c r="F69" s="159"/>
      <c r="G69" s="160"/>
      <c r="H69" s="97"/>
      <c r="I69" s="97"/>
      <c r="J69" s="81"/>
      <c r="K69" s="81"/>
      <c r="L69" s="81"/>
    </row>
    <row r="70" spans="2:12" x14ac:dyDescent="0.35">
      <c r="C70" s="100"/>
      <c r="D70" s="101"/>
      <c r="E70" s="101"/>
      <c r="F70" s="100"/>
      <c r="G70" s="100"/>
      <c r="H70" s="98"/>
      <c r="I70" s="98"/>
      <c r="J70" s="81"/>
      <c r="K70" s="81"/>
      <c r="L70" s="81"/>
    </row>
    <row r="71" spans="2:12" x14ac:dyDescent="0.35">
      <c r="B71" s="81"/>
      <c r="C71" s="102" t="s">
        <v>314</v>
      </c>
      <c r="H71" s="96" t="s">
        <v>294</v>
      </c>
      <c r="I71" s="96" t="s">
        <v>295</v>
      </c>
      <c r="J71" s="81"/>
      <c r="K71" s="81"/>
      <c r="L71" s="81"/>
    </row>
    <row r="72" spans="2:12" x14ac:dyDescent="0.35">
      <c r="C72" s="158" t="s">
        <v>315</v>
      </c>
      <c r="D72" s="159"/>
      <c r="E72" s="159"/>
      <c r="F72" s="159"/>
      <c r="G72" s="160"/>
      <c r="H72" s="97"/>
      <c r="I72" s="97"/>
      <c r="J72" s="81"/>
      <c r="K72" s="81"/>
      <c r="L72" s="81"/>
    </row>
    <row r="73" spans="2:12" x14ac:dyDescent="0.35">
      <c r="C73" s="158" t="s">
        <v>299</v>
      </c>
      <c r="D73" s="159"/>
      <c r="E73" s="159"/>
      <c r="F73" s="159"/>
      <c r="G73" s="160"/>
      <c r="H73" s="97"/>
      <c r="I73" s="97"/>
      <c r="J73" s="81"/>
      <c r="K73" s="81"/>
      <c r="L73" s="81"/>
    </row>
    <row r="74" spans="2:12" x14ac:dyDescent="0.35">
      <c r="C74" s="158" t="s">
        <v>316</v>
      </c>
      <c r="D74" s="159"/>
      <c r="E74" s="159"/>
      <c r="F74" s="159"/>
      <c r="G74" s="160"/>
      <c r="H74" s="97"/>
      <c r="I74" s="97"/>
      <c r="J74" s="81"/>
      <c r="K74" s="81"/>
      <c r="L74" s="81"/>
    </row>
    <row r="75" spans="2:12" x14ac:dyDescent="0.35">
      <c r="C75" s="158" t="s">
        <v>317</v>
      </c>
      <c r="D75" s="159"/>
      <c r="E75" s="159"/>
      <c r="F75" s="159"/>
      <c r="G75" s="160"/>
      <c r="H75" s="97"/>
      <c r="I75" s="97"/>
      <c r="J75" s="81"/>
      <c r="K75" s="81"/>
      <c r="L75" s="81"/>
    </row>
    <row r="76" spans="2:12" x14ac:dyDescent="0.35">
      <c r="C76" s="158" t="s">
        <v>318</v>
      </c>
      <c r="D76" s="159"/>
      <c r="E76" s="159"/>
      <c r="F76" s="159"/>
      <c r="G76" s="160"/>
      <c r="H76" s="97"/>
      <c r="I76" s="97"/>
      <c r="J76" s="81"/>
      <c r="K76" s="81"/>
      <c r="L76" s="81"/>
    </row>
    <row r="77" spans="2:12" x14ac:dyDescent="0.35">
      <c r="C77" s="158" t="s">
        <v>319</v>
      </c>
      <c r="D77" s="159"/>
      <c r="E77" s="159"/>
      <c r="F77" s="159"/>
      <c r="G77" s="160"/>
      <c r="H77" s="97"/>
      <c r="I77" s="97"/>
      <c r="J77" s="81"/>
      <c r="K77" s="81"/>
      <c r="L77" s="81"/>
    </row>
    <row r="78" spans="2:12" ht="15.75" customHeight="1" x14ac:dyDescent="0.35">
      <c r="B78" s="81"/>
      <c r="C78" s="91"/>
      <c r="D78" s="92"/>
      <c r="E78" s="92"/>
      <c r="F78" s="91"/>
      <c r="G78" s="91"/>
      <c r="H78" s="91"/>
      <c r="I78" s="91"/>
      <c r="J78" s="81"/>
      <c r="K78" s="81"/>
      <c r="L78" s="81"/>
    </row>
    <row r="79" spans="2:12" ht="12.75" customHeight="1" x14ac:dyDescent="0.35">
      <c r="B79" s="81"/>
      <c r="C79" s="103" t="s">
        <v>320</v>
      </c>
      <c r="D79" s="92"/>
      <c r="E79" s="92"/>
      <c r="F79" s="91"/>
      <c r="G79" s="91"/>
      <c r="H79" s="91"/>
      <c r="I79" s="91"/>
      <c r="J79" s="81"/>
      <c r="K79" s="81"/>
      <c r="L79" s="81"/>
    </row>
    <row r="80" spans="2:12" x14ac:dyDescent="0.35">
      <c r="B80" s="81"/>
      <c r="C80" s="161" t="s">
        <v>321</v>
      </c>
      <c r="D80" s="161"/>
      <c r="E80" s="161"/>
      <c r="F80" s="161"/>
      <c r="G80" s="161"/>
      <c r="H80" s="161"/>
      <c r="I80" s="81"/>
      <c r="J80" s="81"/>
    </row>
    <row r="81" spans="2:12" x14ac:dyDescent="0.3">
      <c r="B81" s="81"/>
      <c r="C81" s="104" t="s">
        <v>322</v>
      </c>
      <c r="D81" s="162"/>
      <c r="E81" s="163"/>
      <c r="F81" s="163"/>
      <c r="G81" s="163"/>
      <c r="H81" s="163"/>
      <c r="I81" s="81"/>
      <c r="J81" s="81"/>
    </row>
    <row r="82" spans="2:12" x14ac:dyDescent="0.3">
      <c r="B82" s="81"/>
      <c r="C82" s="104" t="s">
        <v>323</v>
      </c>
      <c r="D82" s="162"/>
      <c r="E82" s="163"/>
      <c r="F82" s="163"/>
      <c r="G82" s="163"/>
      <c r="H82" s="163"/>
      <c r="I82" s="81"/>
      <c r="J82" s="81"/>
    </row>
    <row r="83" spans="2:12" x14ac:dyDescent="0.3">
      <c r="B83" s="81"/>
      <c r="C83" s="104" t="s">
        <v>259</v>
      </c>
      <c r="D83" s="162"/>
      <c r="E83" s="163"/>
      <c r="F83" s="163"/>
      <c r="G83" s="163"/>
      <c r="H83" s="163"/>
      <c r="I83" s="81"/>
      <c r="J83" s="81"/>
    </row>
    <row r="84" spans="2:12" x14ac:dyDescent="0.3">
      <c r="B84" s="81"/>
      <c r="C84" s="104" t="s">
        <v>324</v>
      </c>
      <c r="D84" s="162"/>
      <c r="E84" s="163"/>
      <c r="F84" s="163"/>
      <c r="G84" s="163"/>
      <c r="H84" s="163"/>
      <c r="I84" s="81"/>
      <c r="J84" s="81"/>
    </row>
    <row r="85" spans="2:12" x14ac:dyDescent="0.35">
      <c r="B85" s="81"/>
      <c r="C85" s="105"/>
      <c r="D85" s="106"/>
      <c r="E85" s="106"/>
      <c r="F85" s="105"/>
      <c r="G85" s="81"/>
      <c r="H85" s="81"/>
      <c r="I85" s="81"/>
      <c r="J85" s="81"/>
    </row>
    <row r="86" spans="2:12" x14ac:dyDescent="0.35">
      <c r="B86" s="81"/>
      <c r="C86" s="164" t="s">
        <v>325</v>
      </c>
      <c r="D86" s="164"/>
      <c r="E86" s="164"/>
      <c r="F86" s="107" t="s">
        <v>326</v>
      </c>
      <c r="G86" s="107" t="s">
        <v>294</v>
      </c>
      <c r="H86" s="107" t="s">
        <v>295</v>
      </c>
      <c r="I86" s="81"/>
      <c r="J86" s="81"/>
    </row>
    <row r="87" spans="2:12" x14ac:dyDescent="0.3">
      <c r="B87" s="81"/>
      <c r="C87" s="158" t="s">
        <v>327</v>
      </c>
      <c r="D87" s="159"/>
      <c r="E87" s="160"/>
      <c r="F87" s="108"/>
      <c r="G87" s="108"/>
      <c r="H87" s="109"/>
      <c r="I87" s="81"/>
      <c r="J87" s="81"/>
    </row>
    <row r="88" spans="2:12" x14ac:dyDescent="0.3">
      <c r="B88" s="81"/>
      <c r="C88" s="157" t="s">
        <v>328</v>
      </c>
      <c r="D88" s="157"/>
      <c r="E88" s="157"/>
      <c r="F88" s="108"/>
      <c r="G88" s="108"/>
      <c r="H88" s="109"/>
      <c r="I88" s="81"/>
      <c r="J88" s="81"/>
    </row>
    <row r="89" spans="2:12" x14ac:dyDescent="0.3">
      <c r="B89" s="81"/>
      <c r="C89" s="157" t="s">
        <v>329</v>
      </c>
      <c r="D89" s="157"/>
      <c r="E89" s="157"/>
      <c r="F89" s="108"/>
      <c r="G89" s="108"/>
      <c r="H89" s="109"/>
      <c r="I89" s="81"/>
      <c r="J89" s="81"/>
    </row>
    <row r="90" spans="2:12" x14ac:dyDescent="0.3">
      <c r="B90" s="81"/>
      <c r="C90" s="157" t="s">
        <v>330</v>
      </c>
      <c r="D90" s="157"/>
      <c r="E90" s="157"/>
      <c r="F90" s="108"/>
      <c r="G90" s="108"/>
      <c r="H90" s="109"/>
      <c r="I90" s="81"/>
      <c r="J90" s="81"/>
    </row>
    <row r="91" spans="2:12" x14ac:dyDescent="0.3">
      <c r="B91" s="81"/>
      <c r="C91" s="157" t="s">
        <v>331</v>
      </c>
      <c r="D91" s="157"/>
      <c r="E91" s="157"/>
      <c r="F91" s="108"/>
      <c r="G91" s="108"/>
      <c r="H91" s="109"/>
      <c r="I91" s="81"/>
      <c r="J91" s="81"/>
    </row>
    <row r="92" spans="2:12" x14ac:dyDescent="0.3">
      <c r="B92" s="81"/>
      <c r="C92" s="157" t="s">
        <v>332</v>
      </c>
      <c r="D92" s="157"/>
      <c r="E92" s="157"/>
      <c r="F92" s="108"/>
      <c r="G92" s="108"/>
      <c r="H92" s="109"/>
      <c r="I92" s="81"/>
      <c r="J92" s="81"/>
    </row>
    <row r="93" spans="2:12" x14ac:dyDescent="0.3">
      <c r="B93" s="81"/>
      <c r="C93" s="157" t="s">
        <v>333</v>
      </c>
      <c r="D93" s="157"/>
      <c r="E93" s="157"/>
      <c r="F93" s="108"/>
      <c r="G93" s="108"/>
      <c r="H93" s="109"/>
      <c r="I93" s="81"/>
      <c r="J93" s="81"/>
    </row>
    <row r="94" spans="2:12" x14ac:dyDescent="0.35">
      <c r="B94" s="81"/>
      <c r="C94" s="99"/>
      <c r="D94" s="89"/>
      <c r="E94" s="89"/>
      <c r="F94" s="81"/>
      <c r="G94" s="81"/>
      <c r="H94" s="81"/>
      <c r="I94" s="81"/>
      <c r="J94" s="81"/>
      <c r="K94" s="81"/>
      <c r="L94" s="81"/>
    </row>
    <row r="95" spans="2:12" ht="12.75" customHeight="1" x14ac:dyDescent="0.35">
      <c r="C95" s="103" t="s">
        <v>334</v>
      </c>
      <c r="D95" s="92"/>
      <c r="E95" s="92"/>
      <c r="F95" s="91"/>
      <c r="G95" s="91"/>
      <c r="H95" s="91"/>
      <c r="I95" s="91"/>
      <c r="J95" s="81"/>
      <c r="K95" s="81"/>
      <c r="L95" s="81"/>
    </row>
    <row r="96" spans="2:12" x14ac:dyDescent="0.35">
      <c r="C96" s="99" t="s">
        <v>335</v>
      </c>
      <c r="J96" s="102"/>
    </row>
    <row r="97" spans="2:12" ht="33.75" customHeight="1" x14ac:dyDescent="0.35">
      <c r="C97" s="152" t="s">
        <v>371</v>
      </c>
      <c r="D97" s="153"/>
      <c r="E97" s="153"/>
      <c r="F97" s="153"/>
      <c r="G97" s="153"/>
      <c r="H97" s="153"/>
      <c r="I97" s="153"/>
      <c r="J97" s="81"/>
      <c r="K97" s="81"/>
      <c r="L97" s="81"/>
    </row>
    <row r="98" spans="2:12" x14ac:dyDescent="0.35">
      <c r="B98" s="81"/>
      <c r="C98" s="99"/>
      <c r="D98" s="89"/>
      <c r="E98" s="89"/>
      <c r="F98" s="81"/>
      <c r="G98" s="81"/>
      <c r="H98" s="81"/>
      <c r="I98" s="81"/>
      <c r="J98" s="81"/>
      <c r="K98" s="81"/>
      <c r="L98" s="81"/>
    </row>
    <row r="99" spans="2:12" x14ac:dyDescent="0.35">
      <c r="C99" s="90" t="s">
        <v>336</v>
      </c>
      <c r="D99" s="92"/>
      <c r="E99" s="92"/>
      <c r="F99" s="91"/>
      <c r="G99" s="91"/>
      <c r="H99" s="91"/>
      <c r="I99" s="81"/>
      <c r="J99" s="81"/>
      <c r="K99" s="81"/>
      <c r="L99" s="81"/>
    </row>
    <row r="100" spans="2:12" ht="54.75" customHeight="1" x14ac:dyDescent="0.35">
      <c r="C100" s="152" t="s">
        <v>372</v>
      </c>
      <c r="D100" s="153"/>
      <c r="E100" s="153"/>
      <c r="F100" s="153"/>
      <c r="G100" s="153"/>
      <c r="H100" s="153"/>
      <c r="I100" s="153"/>
      <c r="J100" s="81"/>
      <c r="K100" s="81"/>
      <c r="L100" s="81"/>
    </row>
    <row r="101" spans="2:12" ht="13.5" thickBot="1" x14ac:dyDescent="0.4">
      <c r="C101" s="81"/>
      <c r="D101" s="92"/>
      <c r="E101" s="92"/>
      <c r="F101" s="91"/>
      <c r="G101" s="91"/>
      <c r="H101" s="91"/>
      <c r="I101" s="91"/>
      <c r="J101" s="81"/>
      <c r="K101" s="81"/>
      <c r="L101" s="81"/>
    </row>
    <row r="102" spans="2:12" ht="13.5" thickBot="1" x14ac:dyDescent="0.4">
      <c r="C102" s="110" t="s">
        <v>337</v>
      </c>
      <c r="D102" s="111"/>
      <c r="E102" s="112"/>
      <c r="F102" s="112"/>
    </row>
    <row r="103" spans="2:12" ht="52" x14ac:dyDescent="0.35">
      <c r="C103" s="113" t="s">
        <v>338</v>
      </c>
      <c r="D103" s="114" t="s">
        <v>339</v>
      </c>
      <c r="E103" s="115" t="s">
        <v>340</v>
      </c>
      <c r="F103" s="115" t="s">
        <v>341</v>
      </c>
    </row>
    <row r="104" spans="2:12" ht="87.5" x14ac:dyDescent="0.35">
      <c r="C104" s="116" t="s">
        <v>342</v>
      </c>
      <c r="D104" s="117" t="s">
        <v>343</v>
      </c>
      <c r="E104" s="130"/>
      <c r="F104" s="118"/>
    </row>
    <row r="105" spans="2:12" ht="87.5" x14ac:dyDescent="0.35">
      <c r="C105" s="116" t="s">
        <v>344</v>
      </c>
      <c r="D105" s="117" t="s">
        <v>345</v>
      </c>
      <c r="E105" s="118" t="s">
        <v>373</v>
      </c>
      <c r="F105" s="118"/>
    </row>
    <row r="106" spans="2:12" ht="75" x14ac:dyDescent="0.35">
      <c r="C106" s="116" t="s">
        <v>346</v>
      </c>
      <c r="D106" s="117" t="s">
        <v>347</v>
      </c>
      <c r="E106" s="118" t="s">
        <v>374</v>
      </c>
      <c r="F106" s="118"/>
    </row>
    <row r="107" spans="2:12" ht="75" x14ac:dyDescent="0.35">
      <c r="C107" s="116" t="s">
        <v>348</v>
      </c>
      <c r="D107" s="117" t="s">
        <v>349</v>
      </c>
      <c r="E107" s="118" t="s">
        <v>375</v>
      </c>
      <c r="F107" s="118"/>
    </row>
    <row r="108" spans="2:12" ht="75.5" thickBot="1" x14ac:dyDescent="0.4">
      <c r="C108" s="119" t="s">
        <v>25</v>
      </c>
      <c r="D108" s="120" t="s">
        <v>350</v>
      </c>
      <c r="E108" s="121" t="s">
        <v>376</v>
      </c>
      <c r="F108" s="121"/>
    </row>
    <row r="109" spans="2:12" ht="15" thickBot="1" x14ac:dyDescent="0.4">
      <c r="C109" s="122"/>
      <c r="D109" s="123"/>
      <c r="E109" s="123"/>
      <c r="F109" s="123"/>
    </row>
    <row r="110" spans="2:12" ht="15" thickBot="1" x14ac:dyDescent="0.4">
      <c r="C110" s="154" t="s">
        <v>351</v>
      </c>
      <c r="D110" s="155"/>
      <c r="E110" s="156"/>
      <c r="F110"/>
    </row>
    <row r="111" spans="2:12" ht="13.5" thickBot="1" x14ac:dyDescent="0.4">
      <c r="C111" s="113" t="s">
        <v>338</v>
      </c>
      <c r="D111" s="114" t="s">
        <v>339</v>
      </c>
      <c r="E111" s="115" t="s">
        <v>340</v>
      </c>
      <c r="F111" s="115"/>
    </row>
    <row r="112" spans="2:12" ht="50" x14ac:dyDescent="0.35">
      <c r="C112" s="124" t="s">
        <v>352</v>
      </c>
      <c r="D112" s="125" t="s">
        <v>353</v>
      </c>
      <c r="E112" s="126" t="s">
        <v>377</v>
      </c>
      <c r="F112" s="126"/>
    </row>
    <row r="113" spans="3:6" ht="112.5" x14ac:dyDescent="0.35">
      <c r="C113" s="116" t="s">
        <v>344</v>
      </c>
      <c r="D113" s="117" t="s">
        <v>354</v>
      </c>
      <c r="E113" s="118" t="s">
        <v>378</v>
      </c>
      <c r="F113" s="118"/>
    </row>
    <row r="114" spans="3:6" ht="162.5" x14ac:dyDescent="0.35">
      <c r="C114" s="116" t="s">
        <v>355</v>
      </c>
      <c r="D114" s="117" t="s">
        <v>356</v>
      </c>
      <c r="E114" s="118" t="s">
        <v>379</v>
      </c>
      <c r="F114" s="118"/>
    </row>
    <row r="115" spans="3:6" ht="63" thickBot="1" x14ac:dyDescent="0.4">
      <c r="C115" s="119" t="s">
        <v>357</v>
      </c>
      <c r="D115" s="120" t="s">
        <v>358</v>
      </c>
      <c r="E115" s="121" t="s">
        <v>380</v>
      </c>
      <c r="F115" s="121"/>
    </row>
    <row r="116" spans="3:6" ht="15" thickBot="1" x14ac:dyDescent="0.4">
      <c r="C116" s="122"/>
      <c r="D116" s="123"/>
      <c r="E116" s="123"/>
      <c r="F116" s="123"/>
    </row>
    <row r="117" spans="3:6" ht="15" thickBot="1" x14ac:dyDescent="0.4">
      <c r="C117" s="154" t="s">
        <v>359</v>
      </c>
      <c r="D117" s="155"/>
      <c r="E117" s="156"/>
      <c r="F117"/>
    </row>
    <row r="118" spans="3:6" ht="13.5" thickBot="1" x14ac:dyDescent="0.4">
      <c r="C118" s="127" t="s">
        <v>338</v>
      </c>
      <c r="D118" s="128" t="s">
        <v>339</v>
      </c>
      <c r="E118" s="129" t="s">
        <v>360</v>
      </c>
      <c r="F118" s="129"/>
    </row>
    <row r="119" spans="3:6" ht="87.5" x14ac:dyDescent="0.35">
      <c r="C119" s="124" t="s">
        <v>342</v>
      </c>
      <c r="D119" s="125" t="s">
        <v>361</v>
      </c>
      <c r="E119" s="126" t="s">
        <v>381</v>
      </c>
      <c r="F119" s="126"/>
    </row>
    <row r="120" spans="3:6" ht="125" x14ac:dyDescent="0.35">
      <c r="C120" s="116" t="s">
        <v>344</v>
      </c>
      <c r="D120" s="117" t="s">
        <v>362</v>
      </c>
      <c r="E120" s="118" t="s">
        <v>382</v>
      </c>
      <c r="F120" s="118"/>
    </row>
    <row r="121" spans="3:6" ht="212.5" x14ac:dyDescent="0.35">
      <c r="C121" s="116" t="s">
        <v>363</v>
      </c>
      <c r="D121" s="117" t="s">
        <v>364</v>
      </c>
      <c r="E121" s="118" t="s">
        <v>383</v>
      </c>
      <c r="F121" s="118"/>
    </row>
    <row r="122" spans="3:6" ht="113" thickBot="1" x14ac:dyDescent="0.4">
      <c r="C122" s="119" t="s">
        <v>365</v>
      </c>
      <c r="D122" s="120" t="s">
        <v>366</v>
      </c>
      <c r="E122" s="121" t="s">
        <v>367</v>
      </c>
      <c r="F122" s="121"/>
    </row>
  </sheetData>
  <mergeCells count="75">
    <mergeCell ref="F5:I5"/>
    <mergeCell ref="D6:E6"/>
    <mergeCell ref="F6:I6"/>
    <mergeCell ref="D12:E12"/>
    <mergeCell ref="D2:E2"/>
    <mergeCell ref="D3:E3"/>
    <mergeCell ref="D4:E4"/>
    <mergeCell ref="D5:E5"/>
    <mergeCell ref="D7:E7"/>
    <mergeCell ref="D8:E8"/>
    <mergeCell ref="D9:E9"/>
    <mergeCell ref="D10:E10"/>
    <mergeCell ref="D11:E11"/>
    <mergeCell ref="D24:E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J36:M41"/>
    <mergeCell ref="D37:I37"/>
    <mergeCell ref="D38:I38"/>
    <mergeCell ref="D39:I39"/>
    <mergeCell ref="D40:I40"/>
    <mergeCell ref="D41:I41"/>
    <mergeCell ref="C48:G48"/>
    <mergeCell ref="D25:E25"/>
    <mergeCell ref="C33:I33"/>
    <mergeCell ref="D35:I35"/>
    <mergeCell ref="D36:I36"/>
    <mergeCell ref="D42:I42"/>
    <mergeCell ref="D43:I43"/>
    <mergeCell ref="C45:G45"/>
    <mergeCell ref="C46:G46"/>
    <mergeCell ref="C47:G47"/>
    <mergeCell ref="C72:G72"/>
    <mergeCell ref="C49:G49"/>
    <mergeCell ref="C50:G50"/>
    <mergeCell ref="C51:G51"/>
    <mergeCell ref="C56:I56"/>
    <mergeCell ref="C59:I59"/>
    <mergeCell ref="C62:I62"/>
    <mergeCell ref="C65:G65"/>
    <mergeCell ref="C66:G66"/>
    <mergeCell ref="C67:G67"/>
    <mergeCell ref="C68:G68"/>
    <mergeCell ref="C69:G69"/>
    <mergeCell ref="C87:E87"/>
    <mergeCell ref="C73:G73"/>
    <mergeCell ref="C74:G74"/>
    <mergeCell ref="C75:G75"/>
    <mergeCell ref="C76:G76"/>
    <mergeCell ref="C77:G77"/>
    <mergeCell ref="C80:H80"/>
    <mergeCell ref="D81:H81"/>
    <mergeCell ref="D82:H82"/>
    <mergeCell ref="D83:H83"/>
    <mergeCell ref="D84:H84"/>
    <mergeCell ref="C86:E86"/>
    <mergeCell ref="C97:I97"/>
    <mergeCell ref="C100:I100"/>
    <mergeCell ref="C110:E110"/>
    <mergeCell ref="C117:E117"/>
    <mergeCell ref="C88:E88"/>
    <mergeCell ref="C89:E89"/>
    <mergeCell ref="C90:E90"/>
    <mergeCell ref="C91:E91"/>
    <mergeCell ref="C92:E92"/>
    <mergeCell ref="C93:E93"/>
  </mergeCells>
  <hyperlinks>
    <hyperlink ref="E121" r:id="rId1" display="https://accounting-simplified.com/financial/users-of-accounting-information.html" xr:uid="{05EE69AB-B62C-4A5A-AB25-712B7B8DC5A1}"/>
    <hyperlink ref="D5" r:id="rId2" xr:uid="{850730A8-6DDE-49BC-A020-83767377F1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E56-47AA-4573-B0E0-0801D8A4F41C}">
  <dimension ref="A1:R23"/>
  <sheetViews>
    <sheetView zoomScale="88" zoomScaleNormal="100" workbookViewId="0">
      <selection activeCell="I12" sqref="I12"/>
    </sheetView>
  </sheetViews>
  <sheetFormatPr defaultRowHeight="14.5" x14ac:dyDescent="0.35"/>
  <cols>
    <col min="1" max="1" width="18.54296875" bestFit="1" customWidth="1"/>
    <col min="3" max="3" width="20.453125" customWidth="1"/>
    <col min="4" max="4" width="46.26953125" customWidth="1"/>
    <col min="5" max="5" width="26.453125" bestFit="1" customWidth="1"/>
    <col min="6" max="6" width="8.1796875" customWidth="1"/>
    <col min="7" max="7" width="21.54296875" customWidth="1"/>
    <col min="8" max="8" width="5.26953125" customWidth="1"/>
    <col min="9" max="9" width="21.54296875" customWidth="1"/>
    <col min="10" max="10" width="6.26953125" customWidth="1"/>
    <col min="11" max="11" width="21.54296875" customWidth="1"/>
    <col min="12" max="12" width="6.81640625" customWidth="1"/>
    <col min="13" max="13" width="28" bestFit="1" customWidth="1"/>
    <col min="14" max="14" width="21.54296875" customWidth="1"/>
    <col min="15" max="16" width="5.26953125" customWidth="1"/>
    <col min="17" max="17" width="19.7265625" bestFit="1" customWidth="1"/>
    <col min="18" max="18" width="20" bestFit="1" customWidth="1"/>
    <col min="19" max="19" width="12.7265625" bestFit="1" customWidth="1"/>
  </cols>
  <sheetData>
    <row r="1" spans="1:18" ht="17.5" x14ac:dyDescent="0.35">
      <c r="A1" s="4" t="s">
        <v>219</v>
      </c>
      <c r="B1" s="5"/>
      <c r="C1" s="5"/>
      <c r="D1" s="3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8" ht="17.5" x14ac:dyDescent="0.35">
      <c r="A2" s="75">
        <v>43678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8" ht="16" thickBot="1" x14ac:dyDescent="0.4">
      <c r="A3" s="6" t="s">
        <v>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8" x14ac:dyDescent="0.35">
      <c r="A4" s="7"/>
      <c r="B4" s="7"/>
      <c r="C4" s="132" t="s">
        <v>24</v>
      </c>
      <c r="D4" s="33" t="s">
        <v>25</v>
      </c>
      <c r="E4" s="8" t="s">
        <v>425</v>
      </c>
      <c r="F4" s="8"/>
      <c r="G4" s="8" t="s">
        <v>26</v>
      </c>
      <c r="H4" s="9"/>
      <c r="I4" s="8" t="s">
        <v>27</v>
      </c>
      <c r="J4" s="8"/>
      <c r="K4" s="8" t="s">
        <v>33</v>
      </c>
      <c r="L4" s="9"/>
      <c r="M4" s="8" t="s">
        <v>426</v>
      </c>
      <c r="N4" s="8" t="s">
        <v>28</v>
      </c>
      <c r="O4" s="10"/>
      <c r="P4" s="51"/>
      <c r="Q4" s="186"/>
      <c r="R4" s="186"/>
    </row>
    <row r="5" spans="1:18" x14ac:dyDescent="0.35">
      <c r="A5" s="11"/>
      <c r="B5" s="11"/>
      <c r="C5" s="133"/>
      <c r="E5" s="31"/>
      <c r="F5" s="12"/>
      <c r="G5" s="12"/>
      <c r="H5" s="12"/>
      <c r="I5" s="12"/>
      <c r="J5" s="12"/>
      <c r="K5" s="12"/>
      <c r="L5" s="12"/>
      <c r="M5" s="31"/>
      <c r="N5" s="31"/>
      <c r="O5" s="13"/>
      <c r="P5" s="50"/>
      <c r="Q5" s="52"/>
      <c r="R5" s="53"/>
    </row>
    <row r="6" spans="1:18" x14ac:dyDescent="0.35">
      <c r="A6" s="5"/>
      <c r="B6" s="11"/>
      <c r="C6" s="133" t="s">
        <v>215</v>
      </c>
      <c r="D6" t="s">
        <v>218</v>
      </c>
      <c r="E6" s="31">
        <v>-379311.11</v>
      </c>
      <c r="F6" s="15"/>
      <c r="H6" s="15"/>
      <c r="I6" s="31"/>
      <c r="J6" s="15"/>
      <c r="K6" s="31"/>
      <c r="L6" s="31"/>
      <c r="M6" s="55">
        <f>(G6+E6+I6+K6)</f>
        <v>-379311.11</v>
      </c>
      <c r="N6" s="31"/>
      <c r="O6" s="17"/>
      <c r="P6" s="49"/>
      <c r="Q6" s="54"/>
      <c r="R6" s="54"/>
    </row>
    <row r="7" spans="1:18" x14ac:dyDescent="0.35">
      <c r="A7" s="5"/>
      <c r="C7" s="133" t="s">
        <v>215</v>
      </c>
      <c r="D7" t="s">
        <v>185</v>
      </c>
      <c r="E7" s="31">
        <v>-67167.06</v>
      </c>
      <c r="F7" s="15"/>
      <c r="H7" s="15"/>
      <c r="I7" s="31"/>
      <c r="J7" s="31"/>
      <c r="K7" s="31"/>
      <c r="L7" s="31"/>
      <c r="M7" s="55">
        <f t="shared" ref="M7:M17" si="0">(G7+E7+I7+K7)</f>
        <v>-67167.06</v>
      </c>
      <c r="N7" s="31"/>
      <c r="O7" s="17"/>
      <c r="P7" s="49"/>
      <c r="Q7" s="54"/>
      <c r="R7" s="54"/>
    </row>
    <row r="8" spans="1:18" x14ac:dyDescent="0.35">
      <c r="A8" s="5"/>
      <c r="B8" s="11"/>
      <c r="C8" s="134" t="s">
        <v>215</v>
      </c>
      <c r="D8" s="76" t="s">
        <v>217</v>
      </c>
      <c r="E8" s="31">
        <v>-1449.37</v>
      </c>
      <c r="H8" s="15"/>
      <c r="I8" s="31"/>
      <c r="J8" s="31"/>
      <c r="K8" s="31"/>
      <c r="L8" s="31"/>
      <c r="M8" s="55">
        <f t="shared" si="0"/>
        <v>-1449.37</v>
      </c>
      <c r="N8" s="31"/>
      <c r="O8" s="17"/>
      <c r="P8" s="49"/>
      <c r="Q8" s="54"/>
      <c r="R8" s="54"/>
    </row>
    <row r="9" spans="1:18" x14ac:dyDescent="0.35">
      <c r="A9" s="5"/>
      <c r="B9" s="11"/>
      <c r="C9" s="133" t="s">
        <v>252</v>
      </c>
      <c r="D9" t="s">
        <v>185</v>
      </c>
      <c r="E9" s="31">
        <v>-33046.43</v>
      </c>
      <c r="F9" s="15"/>
      <c r="G9" s="31"/>
      <c r="H9" s="2"/>
      <c r="I9" s="31"/>
      <c r="J9" s="31"/>
      <c r="K9" s="31"/>
      <c r="L9" s="31"/>
      <c r="M9" s="55">
        <f t="shared" si="0"/>
        <v>-33046.43</v>
      </c>
      <c r="N9" s="31"/>
      <c r="O9" s="17"/>
      <c r="P9" s="49"/>
    </row>
    <row r="10" spans="1:18" x14ac:dyDescent="0.35">
      <c r="A10" s="5"/>
      <c r="B10" s="11"/>
      <c r="C10" s="134" t="s">
        <v>252</v>
      </c>
      <c r="D10" s="76" t="s">
        <v>217</v>
      </c>
      <c r="E10" s="31">
        <v>-713.09</v>
      </c>
      <c r="F10" s="15"/>
      <c r="G10" s="31"/>
      <c r="H10" s="2"/>
      <c r="I10" s="31"/>
      <c r="J10" s="31"/>
      <c r="K10" s="31"/>
      <c r="L10" s="31"/>
      <c r="M10" s="55">
        <f t="shared" si="0"/>
        <v>-713.09</v>
      </c>
      <c r="N10" s="31"/>
      <c r="O10" s="17"/>
      <c r="P10" s="49"/>
    </row>
    <row r="11" spans="1:18" x14ac:dyDescent="0.35">
      <c r="A11" s="5"/>
      <c r="B11" s="11"/>
      <c r="C11" s="133" t="s">
        <v>422</v>
      </c>
      <c r="D11" t="s">
        <v>185</v>
      </c>
      <c r="E11" s="31">
        <v>-96222.909999999989</v>
      </c>
      <c r="F11" s="15"/>
      <c r="G11" s="31"/>
      <c r="H11" s="15"/>
      <c r="I11" s="31"/>
      <c r="J11" s="31"/>
      <c r="K11" s="31"/>
      <c r="L11" s="31"/>
      <c r="M11" s="55">
        <f t="shared" si="0"/>
        <v>-96222.909999999989</v>
      </c>
      <c r="N11" s="31"/>
      <c r="O11" s="17"/>
      <c r="P11" s="49"/>
    </row>
    <row r="12" spans="1:18" x14ac:dyDescent="0.35">
      <c r="A12" s="5"/>
      <c r="B12" s="11"/>
      <c r="C12" s="133" t="s">
        <v>422</v>
      </c>
      <c r="D12" s="131" t="s">
        <v>217</v>
      </c>
      <c r="E12" s="31">
        <v>-208267.24999999997</v>
      </c>
      <c r="F12" s="15"/>
      <c r="G12" s="31"/>
      <c r="H12" s="15"/>
      <c r="I12" s="31"/>
      <c r="J12" s="31"/>
      <c r="K12" s="31"/>
      <c r="L12" s="31"/>
      <c r="M12" s="55">
        <f t="shared" si="0"/>
        <v>-208267.24999999997</v>
      </c>
      <c r="N12" s="31"/>
      <c r="O12" s="17"/>
      <c r="P12" s="49"/>
    </row>
    <row r="13" spans="1:18" x14ac:dyDescent="0.35">
      <c r="A13" s="5"/>
      <c r="B13" s="11"/>
      <c r="C13" s="134" t="s">
        <v>422</v>
      </c>
      <c r="D13" s="76" t="s">
        <v>218</v>
      </c>
      <c r="F13" s="15"/>
      <c r="G13" s="31">
        <f>-SUM('220950 Account Details'!L27:L35)</f>
        <v>-115343.72</v>
      </c>
      <c r="H13" s="15"/>
      <c r="I13" s="31"/>
      <c r="J13" s="31"/>
      <c r="K13" s="31"/>
      <c r="L13" s="31"/>
      <c r="M13" s="55">
        <f t="shared" si="0"/>
        <v>-115343.72</v>
      </c>
      <c r="N13" s="31"/>
      <c r="O13" s="17"/>
      <c r="P13" s="49"/>
    </row>
    <row r="14" spans="1:18" x14ac:dyDescent="0.35">
      <c r="A14" s="5"/>
      <c r="B14" s="11"/>
      <c r="C14" s="133" t="s">
        <v>427</v>
      </c>
      <c r="D14" s="136" t="s">
        <v>185</v>
      </c>
      <c r="E14" s="31"/>
      <c r="F14" s="15"/>
      <c r="G14" s="31">
        <f>(SUM('220950 Account Details'!K44:K51)-SUM('220950 Account Details'!L44:L51))</f>
        <v>-85639.74</v>
      </c>
      <c r="H14" s="15"/>
      <c r="I14" s="31"/>
      <c r="J14" s="31"/>
      <c r="K14" s="31"/>
      <c r="L14" s="31"/>
      <c r="M14" s="55">
        <f t="shared" si="0"/>
        <v>-85639.74</v>
      </c>
      <c r="N14" s="31"/>
      <c r="O14" s="17"/>
      <c r="P14" s="49"/>
    </row>
    <row r="15" spans="1:18" x14ac:dyDescent="0.35">
      <c r="A15" s="5"/>
      <c r="B15" s="5"/>
      <c r="C15" s="133" t="s">
        <v>427</v>
      </c>
      <c r="D15" s="136" t="s">
        <v>217</v>
      </c>
      <c r="E15" s="31">
        <v>0</v>
      </c>
      <c r="F15" s="15"/>
      <c r="G15" s="31">
        <f>(SUM('220950 Account Details'!K52:K59)-SUM('220950 Account Details'!L52:L59))</f>
        <v>-14849.06</v>
      </c>
      <c r="H15" s="15"/>
      <c r="I15" s="31"/>
      <c r="J15" s="31"/>
      <c r="K15" s="31"/>
      <c r="L15" s="31"/>
      <c r="M15" s="55">
        <f t="shared" si="0"/>
        <v>-14849.06</v>
      </c>
      <c r="N15" s="31"/>
      <c r="O15" s="17"/>
      <c r="P15" s="49"/>
    </row>
    <row r="16" spans="1:18" x14ac:dyDescent="0.35">
      <c r="A16" s="5"/>
      <c r="B16" s="5"/>
      <c r="C16" s="133" t="s">
        <v>427</v>
      </c>
      <c r="D16" s="136" t="s">
        <v>218</v>
      </c>
      <c r="E16" s="31">
        <v>0</v>
      </c>
      <c r="F16" s="16"/>
      <c r="G16" s="31">
        <f>(SUM('220950 Account Details'!K36:K43)+SUM('220950 Account Details'!L36:L43))</f>
        <v>-190939.02000000002</v>
      </c>
      <c r="H16" s="1"/>
      <c r="I16" s="16"/>
      <c r="J16" s="16"/>
      <c r="K16" s="16"/>
      <c r="L16" s="16"/>
      <c r="M16" s="55">
        <f t="shared" si="0"/>
        <v>-190939.02000000002</v>
      </c>
      <c r="N16" s="31"/>
      <c r="O16" s="17"/>
      <c r="P16" s="49"/>
    </row>
    <row r="17" spans="1:16" x14ac:dyDescent="0.35">
      <c r="A17" s="5"/>
      <c r="B17" s="5"/>
      <c r="C17" s="133"/>
      <c r="E17" s="31">
        <v>0</v>
      </c>
      <c r="F17" s="16"/>
      <c r="G17" s="31"/>
      <c r="H17" s="16"/>
      <c r="I17" s="16"/>
      <c r="J17" s="16"/>
      <c r="K17" s="16"/>
      <c r="L17" s="16"/>
      <c r="M17" s="55">
        <f t="shared" si="0"/>
        <v>0</v>
      </c>
      <c r="N17" s="31"/>
      <c r="O17" s="17"/>
      <c r="P17" s="49"/>
    </row>
    <row r="18" spans="1:16" ht="15" thickBot="1" x14ac:dyDescent="0.4">
      <c r="A18" s="5"/>
      <c r="B18" s="5"/>
      <c r="C18" s="135"/>
      <c r="D18" s="34"/>
      <c r="E18" s="35">
        <v>0</v>
      </c>
      <c r="F18" s="36"/>
      <c r="G18" s="36"/>
      <c r="H18" s="36"/>
      <c r="I18" s="36"/>
      <c r="J18" s="36"/>
      <c r="K18" s="36"/>
      <c r="L18" s="36"/>
      <c r="M18" s="31">
        <f t="shared" ref="M18" si="1">(E18+G18+I18+K18)</f>
        <v>0</v>
      </c>
      <c r="N18" s="36"/>
      <c r="O18" s="37"/>
      <c r="P18" s="49"/>
    </row>
    <row r="19" spans="1:16" ht="15" thickBot="1" x14ac:dyDescent="0.4">
      <c r="A19" s="5"/>
      <c r="B19" s="5"/>
      <c r="C19" s="38"/>
      <c r="D19" s="39" t="s">
        <v>7</v>
      </c>
      <c r="E19" s="40">
        <f>SUM(E5:E17)</f>
        <v>-786177.22</v>
      </c>
      <c r="F19" s="41" t="s">
        <v>8</v>
      </c>
      <c r="G19" s="40"/>
      <c r="H19" s="40"/>
      <c r="I19" s="40"/>
      <c r="J19" s="40"/>
      <c r="K19" s="40"/>
      <c r="L19" s="40"/>
      <c r="M19" s="40">
        <f>SUM(M5:M18)</f>
        <v>-1192948.76</v>
      </c>
      <c r="N19" s="46" t="s">
        <v>155</v>
      </c>
      <c r="O19" s="43" t="s">
        <v>9</v>
      </c>
      <c r="P19" s="45"/>
    </row>
    <row r="20" spans="1:16" ht="15" thickTop="1" x14ac:dyDescent="0.35">
      <c r="A20" s="5"/>
      <c r="B20" s="5"/>
      <c r="C20" s="14"/>
      <c r="D20" s="18" t="s">
        <v>30</v>
      </c>
      <c r="E20" s="1">
        <f>'Trial Balance 9.10.19'!D44</f>
        <v>-786177.22</v>
      </c>
      <c r="F20" s="15"/>
      <c r="G20" s="5"/>
      <c r="H20" s="5"/>
      <c r="I20" s="5"/>
      <c r="J20" s="5"/>
      <c r="K20" s="5"/>
      <c r="L20" s="5"/>
      <c r="M20" s="1">
        <f>'Trial Balance 9.10.19'!G44</f>
        <v>-1192948.76</v>
      </c>
      <c r="O20" s="42"/>
      <c r="P20" s="45"/>
    </row>
    <row r="21" spans="1:16" ht="15" thickBot="1" x14ac:dyDescent="0.4">
      <c r="A21" s="5"/>
      <c r="B21" s="5"/>
      <c r="C21" s="19"/>
      <c r="D21" s="20" t="s">
        <v>31</v>
      </c>
      <c r="E21" s="21">
        <f>E20-E19</f>
        <v>0</v>
      </c>
      <c r="F21" s="22" t="s">
        <v>29</v>
      </c>
      <c r="G21" s="23"/>
      <c r="H21" s="23"/>
      <c r="I21" s="23"/>
      <c r="J21" s="23"/>
      <c r="K21" s="23"/>
      <c r="L21" s="23"/>
      <c r="M21" s="21">
        <f>M20-M19</f>
        <v>0</v>
      </c>
      <c r="N21" s="22" t="s">
        <v>29</v>
      </c>
      <c r="O21" s="24"/>
      <c r="P21" s="48"/>
    </row>
    <row r="22" spans="1:16" ht="15" thickBot="1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" thickBot="1" x14ac:dyDescent="0.4">
      <c r="A23" s="5"/>
      <c r="B23" s="5"/>
      <c r="C23" s="25" t="s">
        <v>32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47"/>
    </row>
  </sheetData>
  <mergeCells count="1">
    <mergeCell ref="Q4:R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541C-00EC-4EF4-871F-8F438B6A2290}">
  <sheetPr filterMode="1"/>
  <dimension ref="A1:H522"/>
  <sheetViews>
    <sheetView workbookViewId="0">
      <selection activeCell="E136" sqref="E136"/>
    </sheetView>
  </sheetViews>
  <sheetFormatPr defaultRowHeight="14.5" x14ac:dyDescent="0.35"/>
  <cols>
    <col min="1" max="1" width="14.54296875" customWidth="1"/>
    <col min="2" max="2" width="5.453125" customWidth="1"/>
    <col min="3" max="3" width="16.26953125" customWidth="1"/>
    <col min="4" max="4" width="18.1796875" customWidth="1"/>
    <col min="5" max="6" width="19.1796875" customWidth="1"/>
    <col min="7" max="7" width="18.1796875" customWidth="1"/>
  </cols>
  <sheetData>
    <row r="1" spans="1:8" x14ac:dyDescent="0.35">
      <c r="A1" s="144" t="s">
        <v>10</v>
      </c>
      <c r="B1" s="145"/>
      <c r="C1" s="145"/>
      <c r="D1" s="146" t="s">
        <v>11</v>
      </c>
      <c r="E1" s="146" t="s">
        <v>12</v>
      </c>
      <c r="F1" s="146" t="s">
        <v>13</v>
      </c>
      <c r="G1" s="147" t="s">
        <v>448</v>
      </c>
      <c r="H1" s="3"/>
    </row>
    <row r="2" spans="1:8" x14ac:dyDescent="0.35">
      <c r="A2" s="146" t="s">
        <v>1</v>
      </c>
      <c r="B2" s="146" t="s">
        <v>194</v>
      </c>
      <c r="C2" s="145"/>
      <c r="D2" s="145"/>
      <c r="E2" s="145"/>
      <c r="F2" s="146" t="s">
        <v>2</v>
      </c>
      <c r="G2" s="148">
        <v>43718.974323050803</v>
      </c>
      <c r="H2" s="3"/>
    </row>
    <row r="3" spans="1:8" x14ac:dyDescent="0.35">
      <c r="A3" s="146" t="s">
        <v>14</v>
      </c>
      <c r="B3" s="146" t="s">
        <v>66</v>
      </c>
      <c r="C3" s="145"/>
      <c r="D3" s="146" t="s">
        <v>15</v>
      </c>
      <c r="E3" s="146" t="s">
        <v>435</v>
      </c>
      <c r="F3" s="145"/>
      <c r="G3" s="145"/>
      <c r="H3" s="3"/>
    </row>
    <row r="4" spans="1:8" x14ac:dyDescent="0.35">
      <c r="A4" s="145"/>
      <c r="B4" s="145"/>
      <c r="C4" s="145"/>
      <c r="D4" s="145"/>
      <c r="E4" s="145"/>
      <c r="F4" s="145"/>
      <c r="G4" s="145"/>
      <c r="H4" s="3"/>
    </row>
    <row r="5" spans="1:8" x14ac:dyDescent="0.35">
      <c r="A5" s="142" t="s">
        <v>3</v>
      </c>
      <c r="B5" s="142" t="s">
        <v>16</v>
      </c>
      <c r="C5" s="142" t="s">
        <v>4</v>
      </c>
      <c r="D5" s="143" t="s">
        <v>17</v>
      </c>
      <c r="E5" s="143" t="s">
        <v>18</v>
      </c>
      <c r="F5" s="143" t="s">
        <v>19</v>
      </c>
      <c r="G5" s="143" t="s">
        <v>20</v>
      </c>
      <c r="H5" s="3"/>
    </row>
    <row r="6" spans="1:8" hidden="1" x14ac:dyDescent="0.35">
      <c r="A6" s="146" t="s">
        <v>68</v>
      </c>
      <c r="B6" s="146" t="s">
        <v>69</v>
      </c>
      <c r="C6" s="146" t="s">
        <v>195</v>
      </c>
      <c r="D6" s="149">
        <v>707190.83</v>
      </c>
      <c r="E6" s="149">
        <v>5453650</v>
      </c>
      <c r="F6" s="149">
        <v>4687829.5999999996</v>
      </c>
      <c r="G6" s="149">
        <v>1473011.23</v>
      </c>
      <c r="H6" s="3"/>
    </row>
    <row r="7" spans="1:8" hidden="1" x14ac:dyDescent="0.35">
      <c r="A7" s="146" t="s">
        <v>196</v>
      </c>
      <c r="B7" s="146" t="s">
        <v>69</v>
      </c>
      <c r="C7" s="146" t="s">
        <v>197</v>
      </c>
      <c r="D7" s="149">
        <v>5878145.8899999997</v>
      </c>
      <c r="E7" s="149">
        <v>31973427.719999999</v>
      </c>
      <c r="F7" s="149">
        <v>32109816.48</v>
      </c>
      <c r="G7" s="149">
        <v>5741757.1299999999</v>
      </c>
    </row>
    <row r="8" spans="1:8" hidden="1" x14ac:dyDescent="0.35">
      <c r="A8" s="146" t="s">
        <v>449</v>
      </c>
      <c r="B8" s="146" t="s">
        <v>69</v>
      </c>
      <c r="C8" s="146" t="s">
        <v>450</v>
      </c>
      <c r="D8" s="149">
        <v>0</v>
      </c>
      <c r="E8" s="149">
        <v>5539449.4000000004</v>
      </c>
      <c r="F8" s="149">
        <v>5539449.4000000004</v>
      </c>
      <c r="G8" s="149">
        <v>0</v>
      </c>
    </row>
    <row r="9" spans="1:8" hidden="1" x14ac:dyDescent="0.35">
      <c r="A9" s="146" t="s">
        <v>70</v>
      </c>
      <c r="B9" s="146" t="s">
        <v>69</v>
      </c>
      <c r="C9" s="146" t="s">
        <v>71</v>
      </c>
      <c r="D9" s="149">
        <v>3791391.24</v>
      </c>
      <c r="E9" s="149">
        <v>4574304.16</v>
      </c>
      <c r="F9" s="149">
        <v>6638578.2699999996</v>
      </c>
      <c r="G9" s="149">
        <v>1727117.13</v>
      </c>
    </row>
    <row r="10" spans="1:8" hidden="1" x14ac:dyDescent="0.35">
      <c r="A10" s="146" t="s">
        <v>451</v>
      </c>
      <c r="B10" s="146" t="s">
        <v>69</v>
      </c>
      <c r="C10" s="146" t="s">
        <v>452</v>
      </c>
      <c r="D10" s="149">
        <v>46423.45</v>
      </c>
      <c r="E10" s="149">
        <v>5832.69</v>
      </c>
      <c r="F10" s="149">
        <v>46423.45</v>
      </c>
      <c r="G10" s="149">
        <v>5832.69</v>
      </c>
    </row>
    <row r="11" spans="1:8" hidden="1" x14ac:dyDescent="0.35">
      <c r="A11" s="146" t="s">
        <v>72</v>
      </c>
      <c r="B11" s="146" t="s">
        <v>69</v>
      </c>
      <c r="C11" s="146" t="s">
        <v>73</v>
      </c>
      <c r="D11" s="149">
        <v>32817</v>
      </c>
      <c r="E11" s="149">
        <v>0</v>
      </c>
      <c r="F11" s="149">
        <v>32817</v>
      </c>
      <c r="G11" s="149">
        <v>0</v>
      </c>
    </row>
    <row r="12" spans="1:8" hidden="1" x14ac:dyDescent="0.35">
      <c r="A12" s="146" t="s">
        <v>198</v>
      </c>
      <c r="B12" s="146" t="s">
        <v>69</v>
      </c>
      <c r="C12" s="146" t="s">
        <v>199</v>
      </c>
      <c r="D12" s="149">
        <v>242201.97</v>
      </c>
      <c r="E12" s="149">
        <v>25534.52</v>
      </c>
      <c r="F12" s="149">
        <v>0</v>
      </c>
      <c r="G12" s="149">
        <v>267736.49</v>
      </c>
    </row>
    <row r="13" spans="1:8" hidden="1" x14ac:dyDescent="0.35">
      <c r="A13" s="146" t="s">
        <v>453</v>
      </c>
      <c r="B13" s="146" t="s">
        <v>69</v>
      </c>
      <c r="C13" s="146" t="s">
        <v>454</v>
      </c>
      <c r="D13" s="149">
        <v>0</v>
      </c>
      <c r="E13" s="149">
        <v>5674.8</v>
      </c>
      <c r="F13" s="149">
        <v>0</v>
      </c>
      <c r="G13" s="149">
        <v>5674.8</v>
      </c>
    </row>
    <row r="14" spans="1:8" hidden="1" x14ac:dyDescent="0.35">
      <c r="A14" s="146" t="s">
        <v>220</v>
      </c>
      <c r="B14" s="146" t="s">
        <v>69</v>
      </c>
      <c r="C14" s="146" t="s">
        <v>221</v>
      </c>
      <c r="D14" s="149">
        <v>138934.25</v>
      </c>
      <c r="E14" s="149">
        <v>1800</v>
      </c>
      <c r="F14" s="149">
        <v>0</v>
      </c>
      <c r="G14" s="149">
        <v>140734.25</v>
      </c>
    </row>
    <row r="15" spans="1:8" hidden="1" x14ac:dyDescent="0.35">
      <c r="A15" s="146" t="s">
        <v>74</v>
      </c>
      <c r="B15" s="146" t="s">
        <v>69</v>
      </c>
      <c r="C15" s="146" t="s">
        <v>75</v>
      </c>
      <c r="D15" s="149">
        <v>9682277.6699999999</v>
      </c>
      <c r="E15" s="149">
        <v>16835583.649999999</v>
      </c>
      <c r="F15" s="149">
        <v>10881609.960000001</v>
      </c>
      <c r="G15" s="149">
        <v>15636251.359999999</v>
      </c>
    </row>
    <row r="16" spans="1:8" hidden="1" x14ac:dyDescent="0.35">
      <c r="A16" s="146" t="s">
        <v>76</v>
      </c>
      <c r="B16" s="146" t="s">
        <v>69</v>
      </c>
      <c r="C16" s="146" t="s">
        <v>21</v>
      </c>
      <c r="D16" s="149">
        <v>23584.42</v>
      </c>
      <c r="E16" s="149">
        <v>349030.22</v>
      </c>
      <c r="F16" s="149">
        <v>47893.39</v>
      </c>
      <c r="G16" s="149">
        <v>324721.25</v>
      </c>
    </row>
    <row r="17" spans="1:7" hidden="1" x14ac:dyDescent="0.35">
      <c r="A17" s="146" t="s">
        <v>391</v>
      </c>
      <c r="B17" s="146" t="s">
        <v>69</v>
      </c>
      <c r="C17" s="146" t="s">
        <v>392</v>
      </c>
      <c r="D17" s="149">
        <v>-2281514.2599999998</v>
      </c>
      <c r="E17" s="149">
        <v>0</v>
      </c>
      <c r="F17" s="149">
        <v>31921.91</v>
      </c>
      <c r="G17" s="149">
        <v>-2313436.17</v>
      </c>
    </row>
    <row r="18" spans="1:7" hidden="1" x14ac:dyDescent="0.35">
      <c r="A18" s="146" t="s">
        <v>455</v>
      </c>
      <c r="B18" s="146" t="s">
        <v>69</v>
      </c>
      <c r="C18" s="146" t="s">
        <v>456</v>
      </c>
      <c r="D18" s="149">
        <v>41626.705000000002</v>
      </c>
      <c r="E18" s="149">
        <v>0</v>
      </c>
      <c r="F18" s="149">
        <v>0</v>
      </c>
      <c r="G18" s="149">
        <v>41626.705000000002</v>
      </c>
    </row>
    <row r="19" spans="1:7" hidden="1" x14ac:dyDescent="0.35">
      <c r="A19" s="146" t="s">
        <v>393</v>
      </c>
      <c r="B19" s="146" t="s">
        <v>69</v>
      </c>
      <c r="C19" s="146" t="s">
        <v>394</v>
      </c>
      <c r="D19" s="149">
        <v>278588.63500000001</v>
      </c>
      <c r="E19" s="149">
        <v>117235.43</v>
      </c>
      <c r="F19" s="149">
        <v>153857.73000000001</v>
      </c>
      <c r="G19" s="149">
        <v>241966.33499999999</v>
      </c>
    </row>
    <row r="20" spans="1:7" hidden="1" x14ac:dyDescent="0.35">
      <c r="A20" s="146" t="s">
        <v>77</v>
      </c>
      <c r="B20" s="146" t="s">
        <v>69</v>
      </c>
      <c r="C20" s="146" t="s">
        <v>78</v>
      </c>
      <c r="D20" s="149">
        <v>-21064160.260000002</v>
      </c>
      <c r="E20" s="149">
        <v>8961611.0299999993</v>
      </c>
      <c r="F20" s="149">
        <v>14274474.199999999</v>
      </c>
      <c r="G20" s="149">
        <v>-26377023.43</v>
      </c>
    </row>
    <row r="21" spans="1:7" hidden="1" x14ac:dyDescent="0.35">
      <c r="A21" s="146" t="s">
        <v>167</v>
      </c>
      <c r="B21" s="146" t="s">
        <v>69</v>
      </c>
      <c r="C21" s="146" t="s">
        <v>168</v>
      </c>
      <c r="D21" s="149">
        <v>16992.54</v>
      </c>
      <c r="E21" s="149">
        <v>17349455.620000001</v>
      </c>
      <c r="F21" s="149">
        <v>60703715.710000001</v>
      </c>
      <c r="G21" s="149">
        <v>-43337267.549999997</v>
      </c>
    </row>
    <row r="22" spans="1:7" hidden="1" x14ac:dyDescent="0.35">
      <c r="A22" s="146" t="s">
        <v>200</v>
      </c>
      <c r="B22" s="146" t="s">
        <v>69</v>
      </c>
      <c r="C22" s="146" t="s">
        <v>201</v>
      </c>
      <c r="D22" s="149">
        <v>3816536.15</v>
      </c>
      <c r="E22" s="149">
        <v>262288.59999999998</v>
      </c>
      <c r="F22" s="149">
        <v>8027553.9800000004</v>
      </c>
      <c r="G22" s="149">
        <v>-3948729.23</v>
      </c>
    </row>
    <row r="23" spans="1:7" hidden="1" x14ac:dyDescent="0.35">
      <c r="A23" s="146" t="s">
        <v>222</v>
      </c>
      <c r="B23" s="146" t="s">
        <v>69</v>
      </c>
      <c r="C23" s="146" t="s">
        <v>223</v>
      </c>
      <c r="D23" s="149">
        <v>56318584.039999999</v>
      </c>
      <c r="E23" s="149">
        <v>16016603.01</v>
      </c>
      <c r="F23" s="149">
        <v>1815178.85</v>
      </c>
      <c r="G23" s="149">
        <v>70520008.200000003</v>
      </c>
    </row>
    <row r="24" spans="1:7" hidden="1" x14ac:dyDescent="0.35">
      <c r="A24" s="146" t="s">
        <v>395</v>
      </c>
      <c r="B24" s="146" t="s">
        <v>69</v>
      </c>
      <c r="C24" s="146" t="s">
        <v>396</v>
      </c>
      <c r="D24" s="149">
        <v>3947837.11</v>
      </c>
      <c r="E24" s="149">
        <v>0</v>
      </c>
      <c r="F24" s="149">
        <v>0</v>
      </c>
      <c r="G24" s="149">
        <v>3947837.11</v>
      </c>
    </row>
    <row r="25" spans="1:7" hidden="1" x14ac:dyDescent="0.35">
      <c r="A25" s="146" t="s">
        <v>202</v>
      </c>
      <c r="B25" s="146" t="s">
        <v>69</v>
      </c>
      <c r="C25" s="146" t="s">
        <v>203</v>
      </c>
      <c r="D25" s="149">
        <v>-1257.1199999999999</v>
      </c>
      <c r="E25" s="149">
        <v>0</v>
      </c>
      <c r="F25" s="149">
        <v>0</v>
      </c>
      <c r="G25" s="149">
        <v>-1257.1199999999999</v>
      </c>
    </row>
    <row r="26" spans="1:7" hidden="1" x14ac:dyDescent="0.35">
      <c r="A26" s="146" t="s">
        <v>79</v>
      </c>
      <c r="B26" s="146" t="s">
        <v>69</v>
      </c>
      <c r="C26" s="146" t="s">
        <v>80</v>
      </c>
      <c r="D26" s="149">
        <v>2044044.53</v>
      </c>
      <c r="E26" s="149">
        <v>0</v>
      </c>
      <c r="F26" s="149">
        <v>9636.9500000000007</v>
      </c>
      <c r="G26" s="149">
        <v>2034407.58</v>
      </c>
    </row>
    <row r="27" spans="1:7" hidden="1" x14ac:dyDescent="0.35">
      <c r="A27" s="146" t="s">
        <v>81</v>
      </c>
      <c r="B27" s="146" t="s">
        <v>22</v>
      </c>
      <c r="C27" s="146" t="s">
        <v>82</v>
      </c>
      <c r="D27" s="149">
        <v>842433.82</v>
      </c>
      <c r="E27" s="149">
        <v>14257916.859999999</v>
      </c>
      <c r="F27" s="149">
        <v>16355050.48</v>
      </c>
      <c r="G27" s="149">
        <v>-1254699.8</v>
      </c>
    </row>
    <row r="28" spans="1:7" hidden="1" x14ac:dyDescent="0.35">
      <c r="A28" s="146" t="s">
        <v>83</v>
      </c>
      <c r="B28" s="146" t="s">
        <v>22</v>
      </c>
      <c r="C28" s="146" t="s">
        <v>84</v>
      </c>
      <c r="D28" s="149">
        <v>-13594243.550000001</v>
      </c>
      <c r="E28" s="149">
        <v>12672927.119999999</v>
      </c>
      <c r="F28" s="149">
        <v>10841832.869999999</v>
      </c>
      <c r="G28" s="149">
        <v>-11763149.300000001</v>
      </c>
    </row>
    <row r="29" spans="1:7" hidden="1" x14ac:dyDescent="0.35">
      <c r="A29" s="146" t="s">
        <v>169</v>
      </c>
      <c r="B29" s="146" t="s">
        <v>22</v>
      </c>
      <c r="C29" s="146" t="s">
        <v>170</v>
      </c>
      <c r="D29" s="149">
        <v>-29674.83</v>
      </c>
      <c r="E29" s="149">
        <v>31492.2</v>
      </c>
      <c r="F29" s="149">
        <v>3077.04</v>
      </c>
      <c r="G29" s="149">
        <v>-1259.67</v>
      </c>
    </row>
    <row r="30" spans="1:7" hidden="1" x14ac:dyDescent="0.35">
      <c r="A30" s="146" t="s">
        <v>224</v>
      </c>
      <c r="B30" s="146" t="s">
        <v>22</v>
      </c>
      <c r="C30" s="146" t="s">
        <v>225</v>
      </c>
      <c r="D30" s="149">
        <v>-406282.18</v>
      </c>
      <c r="E30" s="149">
        <v>406282.18</v>
      </c>
      <c r="F30" s="149">
        <v>0</v>
      </c>
      <c r="G30" s="149">
        <v>0</v>
      </c>
    </row>
    <row r="31" spans="1:7" hidden="1" x14ac:dyDescent="0.35">
      <c r="A31" s="146" t="s">
        <v>85</v>
      </c>
      <c r="B31" s="146" t="s">
        <v>22</v>
      </c>
      <c r="C31" s="146" t="s">
        <v>86</v>
      </c>
      <c r="D31" s="149">
        <v>335129.51</v>
      </c>
      <c r="E31" s="149">
        <v>2957283.17</v>
      </c>
      <c r="F31" s="149">
        <v>2875494.15</v>
      </c>
      <c r="G31" s="149">
        <v>416918.53</v>
      </c>
    </row>
    <row r="32" spans="1:7" hidden="1" x14ac:dyDescent="0.35">
      <c r="A32" s="146" t="s">
        <v>87</v>
      </c>
      <c r="B32" s="146" t="s">
        <v>22</v>
      </c>
      <c r="C32" s="146" t="s">
        <v>88</v>
      </c>
      <c r="D32" s="149">
        <v>124496.16</v>
      </c>
      <c r="E32" s="149">
        <v>157255.32999999999</v>
      </c>
      <c r="F32" s="149">
        <v>160349.28</v>
      </c>
      <c r="G32" s="149">
        <v>121402.21</v>
      </c>
    </row>
    <row r="33" spans="1:7" hidden="1" x14ac:dyDescent="0.35">
      <c r="A33" s="146" t="s">
        <v>457</v>
      </c>
      <c r="B33" s="146" t="s">
        <v>22</v>
      </c>
      <c r="C33" s="146" t="s">
        <v>458</v>
      </c>
      <c r="D33" s="149">
        <v>-121966.1</v>
      </c>
      <c r="E33" s="149">
        <v>121966.1</v>
      </c>
      <c r="F33" s="149">
        <v>0</v>
      </c>
      <c r="G33" s="149">
        <v>0</v>
      </c>
    </row>
    <row r="34" spans="1:7" hidden="1" x14ac:dyDescent="0.35">
      <c r="A34" s="146" t="s">
        <v>89</v>
      </c>
      <c r="B34" s="146" t="s">
        <v>22</v>
      </c>
      <c r="C34" s="146" t="s">
        <v>459</v>
      </c>
      <c r="D34" s="149">
        <v>-1633770.34</v>
      </c>
      <c r="E34" s="149">
        <v>1633770.34</v>
      </c>
      <c r="F34" s="149">
        <v>752205.28</v>
      </c>
      <c r="G34" s="149">
        <v>-752205.28</v>
      </c>
    </row>
    <row r="35" spans="1:7" hidden="1" x14ac:dyDescent="0.35">
      <c r="A35" s="146" t="s">
        <v>460</v>
      </c>
      <c r="B35" s="146" t="s">
        <v>22</v>
      </c>
      <c r="C35" s="146" t="s">
        <v>461</v>
      </c>
      <c r="D35" s="149">
        <v>0</v>
      </c>
      <c r="E35" s="149">
        <v>0</v>
      </c>
      <c r="F35" s="149">
        <v>119911.41</v>
      </c>
      <c r="G35" s="149">
        <v>-119911.41</v>
      </c>
    </row>
    <row r="36" spans="1:7" hidden="1" x14ac:dyDescent="0.35">
      <c r="A36" s="146" t="s">
        <v>186</v>
      </c>
      <c r="B36" s="146" t="s">
        <v>22</v>
      </c>
      <c r="C36" s="146" t="s">
        <v>187</v>
      </c>
      <c r="D36" s="149">
        <v>-3280857.76</v>
      </c>
      <c r="E36" s="149">
        <v>3280857.76</v>
      </c>
      <c r="F36" s="149">
        <v>2370267.29</v>
      </c>
      <c r="G36" s="149">
        <v>-2370267.29</v>
      </c>
    </row>
    <row r="37" spans="1:7" hidden="1" x14ac:dyDescent="0.35">
      <c r="A37" s="146" t="s">
        <v>90</v>
      </c>
      <c r="B37" s="146" t="s">
        <v>22</v>
      </c>
      <c r="C37" s="146" t="s">
        <v>91</v>
      </c>
      <c r="D37" s="149">
        <v>-162541.01</v>
      </c>
      <c r="E37" s="149">
        <v>162541.01</v>
      </c>
      <c r="F37" s="149">
        <v>125761.44</v>
      </c>
      <c r="G37" s="149">
        <v>-125761.44</v>
      </c>
    </row>
    <row r="38" spans="1:7" hidden="1" x14ac:dyDescent="0.35">
      <c r="A38" s="146" t="s">
        <v>92</v>
      </c>
      <c r="B38" s="146" t="s">
        <v>22</v>
      </c>
      <c r="C38" s="146" t="s">
        <v>93</v>
      </c>
      <c r="D38" s="149">
        <v>-2208804.77</v>
      </c>
      <c r="E38" s="149">
        <v>2208804.77</v>
      </c>
      <c r="F38" s="149">
        <v>0</v>
      </c>
      <c r="G38" s="149">
        <v>0</v>
      </c>
    </row>
    <row r="39" spans="1:7" hidden="1" x14ac:dyDescent="0.35">
      <c r="A39" s="146" t="s">
        <v>171</v>
      </c>
      <c r="B39" s="146" t="s">
        <v>22</v>
      </c>
      <c r="C39" s="146" t="s">
        <v>172</v>
      </c>
      <c r="D39" s="149">
        <v>-279019.83</v>
      </c>
      <c r="E39" s="149">
        <v>279019.83</v>
      </c>
      <c r="F39" s="149">
        <v>0</v>
      </c>
      <c r="G39" s="149">
        <v>0</v>
      </c>
    </row>
    <row r="40" spans="1:7" hidden="1" x14ac:dyDescent="0.35">
      <c r="A40" s="146" t="s">
        <v>188</v>
      </c>
      <c r="B40" s="146" t="s">
        <v>22</v>
      </c>
      <c r="C40" s="146" t="s">
        <v>189</v>
      </c>
      <c r="D40" s="149">
        <v>-202657.61</v>
      </c>
      <c r="E40" s="149">
        <v>202657.61</v>
      </c>
      <c r="F40" s="149">
        <v>0</v>
      </c>
      <c r="G40" s="149">
        <v>0</v>
      </c>
    </row>
    <row r="41" spans="1:7" hidden="1" x14ac:dyDescent="0.35">
      <c r="A41" s="146" t="s">
        <v>173</v>
      </c>
      <c r="B41" s="146" t="s">
        <v>22</v>
      </c>
      <c r="C41" s="146" t="s">
        <v>174</v>
      </c>
      <c r="D41" s="149">
        <v>-436610.68</v>
      </c>
      <c r="E41" s="149">
        <v>436610.68</v>
      </c>
      <c r="F41" s="149">
        <v>0</v>
      </c>
      <c r="G41" s="149">
        <v>0</v>
      </c>
    </row>
    <row r="42" spans="1:7" hidden="1" x14ac:dyDescent="0.35">
      <c r="A42" s="146" t="s">
        <v>226</v>
      </c>
      <c r="B42" s="146" t="s">
        <v>22</v>
      </c>
      <c r="C42" s="146" t="s">
        <v>227</v>
      </c>
      <c r="D42" s="149">
        <v>-129523.26</v>
      </c>
      <c r="E42" s="149">
        <v>129523.26</v>
      </c>
      <c r="F42" s="149">
        <v>0</v>
      </c>
      <c r="G42" s="149">
        <v>0</v>
      </c>
    </row>
    <row r="43" spans="1:7" hidden="1" x14ac:dyDescent="0.35">
      <c r="A43" s="146" t="s">
        <v>462</v>
      </c>
      <c r="B43" s="146" t="s">
        <v>22</v>
      </c>
      <c r="C43" s="146" t="s">
        <v>463</v>
      </c>
      <c r="D43" s="149">
        <v>-39031.25</v>
      </c>
      <c r="E43" s="149">
        <v>39031.25</v>
      </c>
      <c r="F43" s="149">
        <v>0</v>
      </c>
      <c r="G43" s="149">
        <v>0</v>
      </c>
    </row>
    <row r="44" spans="1:7" x14ac:dyDescent="0.35">
      <c r="A44" s="146" t="s">
        <v>5</v>
      </c>
      <c r="B44" s="146" t="s">
        <v>22</v>
      </c>
      <c r="C44" s="146" t="s">
        <v>0</v>
      </c>
      <c r="D44" s="149">
        <v>-786177.22</v>
      </c>
      <c r="E44" s="149">
        <v>63532.69</v>
      </c>
      <c r="F44" s="149">
        <v>470304.23</v>
      </c>
      <c r="G44" s="149">
        <v>-1192948.76</v>
      </c>
    </row>
    <row r="45" spans="1:7" hidden="1" x14ac:dyDescent="0.35">
      <c r="A45" s="146" t="s">
        <v>175</v>
      </c>
      <c r="B45" s="146" t="s">
        <v>22</v>
      </c>
      <c r="C45" s="146" t="s">
        <v>176</v>
      </c>
      <c r="D45" s="149">
        <v>-36340.94</v>
      </c>
      <c r="E45" s="149">
        <v>36340.94</v>
      </c>
      <c r="F45" s="149">
        <v>0</v>
      </c>
      <c r="G45" s="149">
        <v>0</v>
      </c>
    </row>
    <row r="46" spans="1:7" hidden="1" x14ac:dyDescent="0.35">
      <c r="A46" s="146" t="s">
        <v>397</v>
      </c>
      <c r="B46" s="146" t="s">
        <v>22</v>
      </c>
      <c r="C46" s="146" t="s">
        <v>398</v>
      </c>
      <c r="D46" s="149">
        <v>-34815.660000000003</v>
      </c>
      <c r="E46" s="149">
        <v>34815.660000000003</v>
      </c>
      <c r="F46" s="149">
        <v>0</v>
      </c>
      <c r="G46" s="149">
        <v>0</v>
      </c>
    </row>
    <row r="47" spans="1:7" hidden="1" x14ac:dyDescent="0.35">
      <c r="A47" s="146" t="s">
        <v>204</v>
      </c>
      <c r="B47" s="146" t="s">
        <v>22</v>
      </c>
      <c r="C47" s="146" t="s">
        <v>154</v>
      </c>
      <c r="D47" s="149">
        <v>-24306316.640000001</v>
      </c>
      <c r="E47" s="149">
        <v>111796.26</v>
      </c>
      <c r="F47" s="149">
        <v>6289127.1500000004</v>
      </c>
      <c r="G47" s="149">
        <v>-30483647.530000001</v>
      </c>
    </row>
    <row r="48" spans="1:7" hidden="1" x14ac:dyDescent="0.35">
      <c r="A48" s="146" t="s">
        <v>464</v>
      </c>
      <c r="B48" s="146" t="s">
        <v>22</v>
      </c>
      <c r="C48" s="146" t="s">
        <v>465</v>
      </c>
      <c r="D48" s="149">
        <v>-37990810.670000002</v>
      </c>
      <c r="E48" s="149">
        <v>43545215.789999999</v>
      </c>
      <c r="F48" s="149">
        <v>5554405.1200000001</v>
      </c>
      <c r="G48" s="149">
        <v>0</v>
      </c>
    </row>
    <row r="49" spans="1:7" hidden="1" x14ac:dyDescent="0.35">
      <c r="A49" s="146" t="s">
        <v>205</v>
      </c>
      <c r="B49" s="146" t="s">
        <v>22</v>
      </c>
      <c r="C49" s="146" t="s">
        <v>399</v>
      </c>
      <c r="D49" s="149">
        <v>-2988930.96</v>
      </c>
      <c r="E49" s="149">
        <v>0</v>
      </c>
      <c r="F49" s="149">
        <v>0</v>
      </c>
      <c r="G49" s="149">
        <v>-2988930.96</v>
      </c>
    </row>
    <row r="50" spans="1:7" hidden="1" x14ac:dyDescent="0.35">
      <c r="A50" s="146" t="s">
        <v>94</v>
      </c>
      <c r="B50" s="146" t="s">
        <v>95</v>
      </c>
      <c r="C50" s="146" t="s">
        <v>96</v>
      </c>
      <c r="D50" s="149">
        <v>-12185957.300000001</v>
      </c>
      <c r="E50" s="149">
        <v>3625879.14</v>
      </c>
      <c r="F50" s="149">
        <v>4596392.1900000004</v>
      </c>
      <c r="G50" s="149">
        <v>-13156470.35</v>
      </c>
    </row>
    <row r="51" spans="1:7" hidden="1" x14ac:dyDescent="0.35">
      <c r="A51" s="146" t="s">
        <v>400</v>
      </c>
      <c r="B51" s="146" t="s">
        <v>95</v>
      </c>
      <c r="C51" s="146" t="s">
        <v>401</v>
      </c>
      <c r="D51" s="149">
        <v>26792.34</v>
      </c>
      <c r="E51" s="149">
        <v>47039.49</v>
      </c>
      <c r="F51" s="149">
        <v>47039.49</v>
      </c>
      <c r="G51" s="149">
        <v>26792.34</v>
      </c>
    </row>
    <row r="52" spans="1:7" hidden="1" x14ac:dyDescent="0.35">
      <c r="A52" s="146" t="s">
        <v>97</v>
      </c>
      <c r="B52" s="146" t="s">
        <v>95</v>
      </c>
      <c r="C52" s="146" t="s">
        <v>98</v>
      </c>
      <c r="D52" s="149">
        <v>3411426.48</v>
      </c>
      <c r="E52" s="149">
        <v>3050941.39</v>
      </c>
      <c r="F52" s="149">
        <v>2725725.12</v>
      </c>
      <c r="G52" s="149">
        <v>3736642.75</v>
      </c>
    </row>
    <row r="53" spans="1:7" hidden="1" x14ac:dyDescent="0.35">
      <c r="A53" s="146" t="s">
        <v>466</v>
      </c>
      <c r="B53" s="146" t="s">
        <v>95</v>
      </c>
      <c r="C53" s="146" t="s">
        <v>467</v>
      </c>
      <c r="D53" s="149">
        <v>0</v>
      </c>
      <c r="E53" s="149">
        <v>56389.87</v>
      </c>
      <c r="F53" s="149">
        <v>0</v>
      </c>
      <c r="G53" s="149">
        <v>56389.87</v>
      </c>
    </row>
    <row r="54" spans="1:7" hidden="1" x14ac:dyDescent="0.35">
      <c r="A54" s="146" t="s">
        <v>402</v>
      </c>
      <c r="B54" s="146" t="s">
        <v>95</v>
      </c>
      <c r="C54" s="146" t="s">
        <v>403</v>
      </c>
      <c r="D54" s="149">
        <v>426576.9</v>
      </c>
      <c r="E54" s="149">
        <v>0</v>
      </c>
      <c r="F54" s="149">
        <v>0</v>
      </c>
      <c r="G54" s="149">
        <v>426576.9</v>
      </c>
    </row>
    <row r="55" spans="1:7" hidden="1" x14ac:dyDescent="0.35">
      <c r="A55" s="146" t="s">
        <v>206</v>
      </c>
      <c r="B55" s="146" t="s">
        <v>95</v>
      </c>
      <c r="C55" s="146" t="s">
        <v>207</v>
      </c>
      <c r="D55" s="149">
        <v>0.53</v>
      </c>
      <c r="E55" s="149">
        <v>0</v>
      </c>
      <c r="F55" s="149">
        <v>0</v>
      </c>
      <c r="G55" s="149">
        <v>0.53</v>
      </c>
    </row>
    <row r="56" spans="1:7" hidden="1" x14ac:dyDescent="0.35">
      <c r="A56" s="146" t="s">
        <v>99</v>
      </c>
      <c r="B56" s="146" t="s">
        <v>100</v>
      </c>
      <c r="C56" s="146" t="s">
        <v>101</v>
      </c>
      <c r="D56" s="149">
        <v>5652691.46</v>
      </c>
      <c r="E56" s="149">
        <v>600847.27</v>
      </c>
      <c r="F56" s="149">
        <v>174181.48</v>
      </c>
      <c r="G56" s="149">
        <v>6079357.25</v>
      </c>
    </row>
    <row r="57" spans="1:7" hidden="1" x14ac:dyDescent="0.35">
      <c r="A57" s="146" t="s">
        <v>192</v>
      </c>
      <c r="B57" s="146" t="s">
        <v>100</v>
      </c>
      <c r="C57" s="146" t="s">
        <v>193</v>
      </c>
      <c r="D57" s="149">
        <v>61711.57</v>
      </c>
      <c r="E57" s="149">
        <v>1786.94</v>
      </c>
      <c r="F57" s="149">
        <v>13291.62</v>
      </c>
      <c r="G57" s="149">
        <v>50206.89</v>
      </c>
    </row>
    <row r="58" spans="1:7" hidden="1" x14ac:dyDescent="0.35">
      <c r="A58" s="146" t="s">
        <v>102</v>
      </c>
      <c r="B58" s="146" t="s">
        <v>100</v>
      </c>
      <c r="C58" s="146" t="s">
        <v>103</v>
      </c>
      <c r="D58" s="149">
        <v>359095.01</v>
      </c>
      <c r="E58" s="149">
        <v>6267.75</v>
      </c>
      <c r="F58" s="149">
        <v>1121.8399999999999</v>
      </c>
      <c r="G58" s="149">
        <v>364240.92</v>
      </c>
    </row>
    <row r="59" spans="1:7" hidden="1" x14ac:dyDescent="0.35">
      <c r="A59" s="146" t="s">
        <v>104</v>
      </c>
      <c r="B59" s="146" t="s">
        <v>100</v>
      </c>
      <c r="C59" s="146" t="s">
        <v>105</v>
      </c>
      <c r="D59" s="149">
        <v>998.12</v>
      </c>
      <c r="E59" s="149">
        <v>0</v>
      </c>
      <c r="F59" s="149">
        <v>0</v>
      </c>
      <c r="G59" s="149">
        <v>998.12</v>
      </c>
    </row>
    <row r="60" spans="1:7" hidden="1" x14ac:dyDescent="0.35">
      <c r="A60" s="146" t="s">
        <v>156</v>
      </c>
      <c r="B60" s="146" t="s">
        <v>100</v>
      </c>
      <c r="C60" s="146" t="s">
        <v>157</v>
      </c>
      <c r="D60" s="149">
        <v>-940476.94</v>
      </c>
      <c r="E60" s="149">
        <v>0</v>
      </c>
      <c r="F60" s="149">
        <v>0</v>
      </c>
      <c r="G60" s="149">
        <v>-940476.94</v>
      </c>
    </row>
    <row r="61" spans="1:7" hidden="1" x14ac:dyDescent="0.35">
      <c r="A61" s="146" t="s">
        <v>106</v>
      </c>
      <c r="B61" s="146" t="s">
        <v>100</v>
      </c>
      <c r="C61" s="146" t="s">
        <v>107</v>
      </c>
      <c r="D61" s="149">
        <v>4126744.73</v>
      </c>
      <c r="E61" s="149">
        <v>1217855.1299999999</v>
      </c>
      <c r="F61" s="149">
        <v>158730.03</v>
      </c>
      <c r="G61" s="149">
        <v>5185869.83</v>
      </c>
    </row>
    <row r="62" spans="1:7" hidden="1" x14ac:dyDescent="0.35">
      <c r="A62" s="146" t="s">
        <v>108</v>
      </c>
      <c r="B62" s="146" t="s">
        <v>100</v>
      </c>
      <c r="C62" s="146" t="s">
        <v>109</v>
      </c>
      <c r="D62" s="149">
        <v>1623155.2</v>
      </c>
      <c r="E62" s="149">
        <v>1754982.57</v>
      </c>
      <c r="F62" s="149">
        <v>1617914.29</v>
      </c>
      <c r="G62" s="149">
        <v>1760223.48</v>
      </c>
    </row>
    <row r="63" spans="1:7" hidden="1" x14ac:dyDescent="0.35">
      <c r="A63" s="146" t="s">
        <v>177</v>
      </c>
      <c r="B63" s="146" t="s">
        <v>100</v>
      </c>
      <c r="C63" s="146" t="s">
        <v>178</v>
      </c>
      <c r="D63" s="149">
        <v>724349.01</v>
      </c>
      <c r="E63" s="149">
        <v>625500</v>
      </c>
      <c r="F63" s="149">
        <v>15856.05</v>
      </c>
      <c r="G63" s="149">
        <v>1333992.96</v>
      </c>
    </row>
    <row r="64" spans="1:7" hidden="1" x14ac:dyDescent="0.35">
      <c r="A64" s="146" t="s">
        <v>110</v>
      </c>
      <c r="B64" s="146" t="s">
        <v>100</v>
      </c>
      <c r="C64" s="146" t="s">
        <v>111</v>
      </c>
      <c r="D64" s="149">
        <v>260619.18</v>
      </c>
      <c r="E64" s="149">
        <v>220623.29</v>
      </c>
      <c r="F64" s="149">
        <v>571.98</v>
      </c>
      <c r="G64" s="149">
        <v>480670.49</v>
      </c>
    </row>
    <row r="65" spans="1:7" hidden="1" x14ac:dyDescent="0.35">
      <c r="A65" s="146" t="s">
        <v>228</v>
      </c>
      <c r="B65" s="146" t="s">
        <v>100</v>
      </c>
      <c r="C65" s="146" t="s">
        <v>229</v>
      </c>
      <c r="D65" s="149">
        <v>34081.01</v>
      </c>
      <c r="E65" s="149">
        <v>0</v>
      </c>
      <c r="F65" s="149">
        <v>0</v>
      </c>
      <c r="G65" s="149">
        <v>34081.01</v>
      </c>
    </row>
    <row r="66" spans="1:7" hidden="1" x14ac:dyDescent="0.35">
      <c r="A66" s="146" t="s">
        <v>190</v>
      </c>
      <c r="B66" s="146" t="s">
        <v>100</v>
      </c>
      <c r="C66" s="146" t="s">
        <v>191</v>
      </c>
      <c r="D66" s="149">
        <v>2969343.74</v>
      </c>
      <c r="E66" s="149">
        <v>0</v>
      </c>
      <c r="F66" s="149">
        <v>0</v>
      </c>
      <c r="G66" s="149">
        <v>2969343.74</v>
      </c>
    </row>
    <row r="67" spans="1:7" hidden="1" x14ac:dyDescent="0.35">
      <c r="A67" s="146" t="s">
        <v>230</v>
      </c>
      <c r="B67" s="146" t="s">
        <v>100</v>
      </c>
      <c r="C67" s="146" t="s">
        <v>231</v>
      </c>
      <c r="D67" s="149">
        <v>61020.78</v>
      </c>
      <c r="E67" s="149">
        <v>0</v>
      </c>
      <c r="F67" s="149">
        <v>6231.27</v>
      </c>
      <c r="G67" s="149">
        <v>54789.51</v>
      </c>
    </row>
    <row r="68" spans="1:7" hidden="1" x14ac:dyDescent="0.35">
      <c r="A68" s="146" t="s">
        <v>112</v>
      </c>
      <c r="B68" s="146" t="s">
        <v>100</v>
      </c>
      <c r="C68" s="146" t="s">
        <v>113</v>
      </c>
      <c r="D68" s="149">
        <v>1469360.66</v>
      </c>
      <c r="E68" s="149">
        <v>95581.59</v>
      </c>
      <c r="F68" s="149">
        <v>337183.24</v>
      </c>
      <c r="G68" s="149">
        <v>1227759.01</v>
      </c>
    </row>
    <row r="69" spans="1:7" hidden="1" x14ac:dyDescent="0.35">
      <c r="A69" s="146" t="s">
        <v>208</v>
      </c>
      <c r="B69" s="146" t="s">
        <v>100</v>
      </c>
      <c r="C69" s="146" t="s">
        <v>209</v>
      </c>
      <c r="D69" s="149">
        <v>138822.97</v>
      </c>
      <c r="E69" s="149">
        <v>77184.61</v>
      </c>
      <c r="F69" s="149">
        <v>21325.57</v>
      </c>
      <c r="G69" s="149">
        <v>194682.01</v>
      </c>
    </row>
    <row r="70" spans="1:7" hidden="1" x14ac:dyDescent="0.35">
      <c r="A70" s="146" t="s">
        <v>404</v>
      </c>
      <c r="B70" s="146" t="s">
        <v>100</v>
      </c>
      <c r="C70" s="146" t="s">
        <v>405</v>
      </c>
      <c r="D70" s="149">
        <v>3243.02</v>
      </c>
      <c r="E70" s="149">
        <v>1787.62</v>
      </c>
      <c r="F70" s="149">
        <v>1787.62</v>
      </c>
      <c r="G70" s="149">
        <v>3243.02</v>
      </c>
    </row>
    <row r="71" spans="1:7" hidden="1" x14ac:dyDescent="0.35">
      <c r="A71" s="146" t="s">
        <v>114</v>
      </c>
      <c r="B71" s="146" t="s">
        <v>100</v>
      </c>
      <c r="C71" s="146" t="s">
        <v>115</v>
      </c>
      <c r="D71" s="149">
        <v>34804.44</v>
      </c>
      <c r="E71" s="149">
        <v>3982.56</v>
      </c>
      <c r="F71" s="149">
        <v>464.56</v>
      </c>
      <c r="G71" s="149">
        <v>38322.44</v>
      </c>
    </row>
    <row r="72" spans="1:7" hidden="1" x14ac:dyDescent="0.35">
      <c r="A72" s="146" t="s">
        <v>116</v>
      </c>
      <c r="B72" s="146" t="s">
        <v>100</v>
      </c>
      <c r="C72" s="146" t="s">
        <v>117</v>
      </c>
      <c r="D72" s="149">
        <v>22692.26</v>
      </c>
      <c r="E72" s="149">
        <v>45242.54</v>
      </c>
      <c r="F72" s="149">
        <v>7906.91</v>
      </c>
      <c r="G72" s="149">
        <v>60027.89</v>
      </c>
    </row>
    <row r="73" spans="1:7" hidden="1" x14ac:dyDescent="0.35">
      <c r="A73" s="146" t="s">
        <v>179</v>
      </c>
      <c r="B73" s="146" t="s">
        <v>100</v>
      </c>
      <c r="C73" s="146" t="s">
        <v>180</v>
      </c>
      <c r="D73" s="149">
        <v>824906.8</v>
      </c>
      <c r="E73" s="149">
        <v>585257.56000000006</v>
      </c>
      <c r="F73" s="149">
        <v>67302.649999999994</v>
      </c>
      <c r="G73" s="149">
        <v>1342861.71</v>
      </c>
    </row>
    <row r="74" spans="1:7" hidden="1" x14ac:dyDescent="0.35">
      <c r="A74" s="146" t="s">
        <v>118</v>
      </c>
      <c r="B74" s="146" t="s">
        <v>100</v>
      </c>
      <c r="C74" s="146" t="s">
        <v>119</v>
      </c>
      <c r="D74" s="149">
        <v>61183.35</v>
      </c>
      <c r="E74" s="149">
        <v>31378.22</v>
      </c>
      <c r="F74" s="149">
        <v>14497.26</v>
      </c>
      <c r="G74" s="149">
        <v>78064.31</v>
      </c>
    </row>
    <row r="75" spans="1:7" hidden="1" x14ac:dyDescent="0.35">
      <c r="A75" s="146" t="s">
        <v>120</v>
      </c>
      <c r="B75" s="146" t="s">
        <v>100</v>
      </c>
      <c r="C75" s="146" t="s">
        <v>121</v>
      </c>
      <c r="D75" s="149">
        <v>371491.71</v>
      </c>
      <c r="E75" s="149">
        <v>181896.31</v>
      </c>
      <c r="F75" s="149">
        <v>87959.77</v>
      </c>
      <c r="G75" s="149">
        <v>465428.25</v>
      </c>
    </row>
    <row r="76" spans="1:7" hidden="1" x14ac:dyDescent="0.35">
      <c r="A76" s="146" t="s">
        <v>122</v>
      </c>
      <c r="B76" s="146" t="s">
        <v>100</v>
      </c>
      <c r="C76" s="146" t="s">
        <v>123</v>
      </c>
      <c r="D76" s="149">
        <v>26417.75</v>
      </c>
      <c r="E76" s="149">
        <v>10653.85</v>
      </c>
      <c r="F76" s="149">
        <v>5908.22</v>
      </c>
      <c r="G76" s="149">
        <v>31163.38</v>
      </c>
    </row>
    <row r="77" spans="1:7" hidden="1" x14ac:dyDescent="0.35">
      <c r="A77" s="146" t="s">
        <v>124</v>
      </c>
      <c r="B77" s="146" t="s">
        <v>100</v>
      </c>
      <c r="C77" s="146" t="s">
        <v>125</v>
      </c>
      <c r="D77" s="149">
        <v>30457.46</v>
      </c>
      <c r="E77" s="149">
        <v>13179.44</v>
      </c>
      <c r="F77" s="149">
        <v>7165.19</v>
      </c>
      <c r="G77" s="149">
        <v>36471.71</v>
      </c>
    </row>
    <row r="78" spans="1:7" hidden="1" x14ac:dyDescent="0.35">
      <c r="A78" s="146" t="s">
        <v>126</v>
      </c>
      <c r="B78" s="146" t="s">
        <v>100</v>
      </c>
      <c r="C78" s="146" t="s">
        <v>210</v>
      </c>
      <c r="D78" s="149">
        <v>23573.1</v>
      </c>
      <c r="E78" s="149">
        <v>24369.03</v>
      </c>
      <c r="F78" s="149">
        <v>6479.27</v>
      </c>
      <c r="G78" s="149">
        <v>41462.86</v>
      </c>
    </row>
    <row r="79" spans="1:7" hidden="1" x14ac:dyDescent="0.35">
      <c r="A79" s="146" t="s">
        <v>127</v>
      </c>
      <c r="B79" s="146" t="s">
        <v>100</v>
      </c>
      <c r="C79" s="146" t="s">
        <v>128</v>
      </c>
      <c r="D79" s="149">
        <v>138512.65</v>
      </c>
      <c r="E79" s="149">
        <v>7522.99</v>
      </c>
      <c r="F79" s="149">
        <v>18263.57</v>
      </c>
      <c r="G79" s="149">
        <v>127772.07</v>
      </c>
    </row>
    <row r="80" spans="1:7" hidden="1" x14ac:dyDescent="0.35">
      <c r="A80" s="146" t="s">
        <v>129</v>
      </c>
      <c r="B80" s="146" t="s">
        <v>100</v>
      </c>
      <c r="C80" s="146" t="s">
        <v>130</v>
      </c>
      <c r="D80" s="149">
        <v>5422558.6699999999</v>
      </c>
      <c r="E80" s="149">
        <v>1455350.48</v>
      </c>
      <c r="F80" s="149">
        <v>1512804.32</v>
      </c>
      <c r="G80" s="149">
        <v>5365104.83</v>
      </c>
    </row>
    <row r="81" spans="1:7" hidden="1" x14ac:dyDescent="0.35">
      <c r="A81" s="146" t="s">
        <v>131</v>
      </c>
      <c r="B81" s="146" t="s">
        <v>100</v>
      </c>
      <c r="C81" s="146" t="s">
        <v>132</v>
      </c>
      <c r="D81" s="149">
        <v>61291.03</v>
      </c>
      <c r="E81" s="149">
        <v>19632.13</v>
      </c>
      <c r="F81" s="149">
        <v>24057.51</v>
      </c>
      <c r="G81" s="149">
        <v>56865.65</v>
      </c>
    </row>
    <row r="82" spans="1:7" hidden="1" x14ac:dyDescent="0.35">
      <c r="A82" s="146" t="s">
        <v>181</v>
      </c>
      <c r="B82" s="146" t="s">
        <v>100</v>
      </c>
      <c r="C82" s="146" t="s">
        <v>182</v>
      </c>
      <c r="D82" s="149">
        <v>1309217.32</v>
      </c>
      <c r="E82" s="149">
        <v>449640.77</v>
      </c>
      <c r="F82" s="149">
        <v>346388.22</v>
      </c>
      <c r="G82" s="149">
        <v>1412469.87</v>
      </c>
    </row>
    <row r="83" spans="1:7" hidden="1" x14ac:dyDescent="0.35">
      <c r="A83" s="146" t="s">
        <v>133</v>
      </c>
      <c r="B83" s="146" t="s">
        <v>100</v>
      </c>
      <c r="C83" s="146" t="s">
        <v>134</v>
      </c>
      <c r="D83" s="149">
        <v>155182.78</v>
      </c>
      <c r="E83" s="149">
        <v>29542.15</v>
      </c>
      <c r="F83" s="149">
        <v>2955.3</v>
      </c>
      <c r="G83" s="149">
        <v>181769.63</v>
      </c>
    </row>
    <row r="84" spans="1:7" hidden="1" x14ac:dyDescent="0.35">
      <c r="A84" s="146" t="s">
        <v>135</v>
      </c>
      <c r="B84" s="146" t="s">
        <v>100</v>
      </c>
      <c r="C84" s="146" t="s">
        <v>136</v>
      </c>
      <c r="D84" s="149">
        <v>335165.98</v>
      </c>
      <c r="E84" s="149">
        <v>145946.12</v>
      </c>
      <c r="F84" s="149">
        <v>0</v>
      </c>
      <c r="G84" s="149">
        <v>481112.1</v>
      </c>
    </row>
    <row r="85" spans="1:7" hidden="1" x14ac:dyDescent="0.35">
      <c r="A85" s="146" t="s">
        <v>468</v>
      </c>
      <c r="B85" s="146" t="s">
        <v>100</v>
      </c>
      <c r="C85" s="146" t="s">
        <v>469</v>
      </c>
      <c r="D85" s="149">
        <v>0</v>
      </c>
      <c r="E85" s="149">
        <v>850.05</v>
      </c>
      <c r="F85" s="149">
        <v>0</v>
      </c>
      <c r="G85" s="149">
        <v>850.05</v>
      </c>
    </row>
    <row r="86" spans="1:7" hidden="1" x14ac:dyDescent="0.35">
      <c r="A86" s="146" t="s">
        <v>137</v>
      </c>
      <c r="B86" s="146" t="s">
        <v>100</v>
      </c>
      <c r="C86" s="146" t="s">
        <v>138</v>
      </c>
      <c r="D86" s="149">
        <v>34493.22</v>
      </c>
      <c r="E86" s="149">
        <v>21203.89</v>
      </c>
      <c r="F86" s="149">
        <v>6523.11</v>
      </c>
      <c r="G86" s="149">
        <v>49174</v>
      </c>
    </row>
    <row r="87" spans="1:7" hidden="1" x14ac:dyDescent="0.35">
      <c r="A87" s="146" t="s">
        <v>139</v>
      </c>
      <c r="B87" s="146" t="s">
        <v>100</v>
      </c>
      <c r="C87" s="146" t="s">
        <v>140</v>
      </c>
      <c r="D87" s="149">
        <v>209744.81</v>
      </c>
      <c r="E87" s="149">
        <v>22169.62</v>
      </c>
      <c r="F87" s="149">
        <v>38132.449999999997</v>
      </c>
      <c r="G87" s="149">
        <v>193781.98</v>
      </c>
    </row>
    <row r="88" spans="1:7" hidden="1" x14ac:dyDescent="0.35">
      <c r="A88" s="146" t="s">
        <v>141</v>
      </c>
      <c r="B88" s="146" t="s">
        <v>100</v>
      </c>
      <c r="C88" s="146" t="s">
        <v>142</v>
      </c>
      <c r="D88" s="149">
        <v>2257.02</v>
      </c>
      <c r="E88" s="149">
        <v>1275.05</v>
      </c>
      <c r="F88" s="149">
        <v>0</v>
      </c>
      <c r="G88" s="149">
        <v>3532.07</v>
      </c>
    </row>
    <row r="89" spans="1:7" hidden="1" x14ac:dyDescent="0.35">
      <c r="A89" s="146" t="s">
        <v>232</v>
      </c>
      <c r="B89" s="146" t="s">
        <v>100</v>
      </c>
      <c r="C89" s="146" t="s">
        <v>233</v>
      </c>
      <c r="D89" s="149">
        <v>51192.46</v>
      </c>
      <c r="E89" s="149">
        <v>18795</v>
      </c>
      <c r="F89" s="149">
        <v>40714.620000000003</v>
      </c>
      <c r="G89" s="149">
        <v>29272.84</v>
      </c>
    </row>
    <row r="90" spans="1:7" hidden="1" x14ac:dyDescent="0.35">
      <c r="A90" s="146" t="s">
        <v>158</v>
      </c>
      <c r="B90" s="146" t="s">
        <v>100</v>
      </c>
      <c r="C90" s="146" t="s">
        <v>159</v>
      </c>
      <c r="D90" s="149">
        <v>5372.59</v>
      </c>
      <c r="E90" s="149">
        <v>0</v>
      </c>
      <c r="F90" s="149">
        <v>0</v>
      </c>
      <c r="G90" s="149">
        <v>5372.59</v>
      </c>
    </row>
    <row r="91" spans="1:7" hidden="1" x14ac:dyDescent="0.35">
      <c r="A91" s="146" t="s">
        <v>143</v>
      </c>
      <c r="B91" s="146" t="s">
        <v>100</v>
      </c>
      <c r="C91" s="146" t="s">
        <v>144</v>
      </c>
      <c r="D91" s="149">
        <v>13553.41</v>
      </c>
      <c r="E91" s="149">
        <v>43173.09</v>
      </c>
      <c r="F91" s="149">
        <v>3192.82</v>
      </c>
      <c r="G91" s="149">
        <v>53533.68</v>
      </c>
    </row>
    <row r="92" spans="1:7" hidden="1" x14ac:dyDescent="0.35">
      <c r="A92" s="146" t="s">
        <v>160</v>
      </c>
      <c r="B92" s="146" t="s">
        <v>100</v>
      </c>
      <c r="C92" s="146" t="s">
        <v>161</v>
      </c>
      <c r="D92" s="149">
        <v>752579.6</v>
      </c>
      <c r="E92" s="149">
        <v>1017.69</v>
      </c>
      <c r="F92" s="149">
        <v>279053.46999999997</v>
      </c>
      <c r="G92" s="149">
        <v>474543.82</v>
      </c>
    </row>
    <row r="93" spans="1:7" hidden="1" x14ac:dyDescent="0.35">
      <c r="A93" s="146" t="s">
        <v>183</v>
      </c>
      <c r="B93" s="146" t="s">
        <v>100</v>
      </c>
      <c r="C93" s="146" t="s">
        <v>184</v>
      </c>
      <c r="D93" s="149">
        <v>8842.69</v>
      </c>
      <c r="E93" s="149">
        <v>0</v>
      </c>
      <c r="F93" s="149">
        <v>0</v>
      </c>
      <c r="G93" s="149">
        <v>8842.69</v>
      </c>
    </row>
    <row r="94" spans="1:7" hidden="1" x14ac:dyDescent="0.35">
      <c r="A94" s="146" t="s">
        <v>145</v>
      </c>
      <c r="B94" s="146" t="s">
        <v>100</v>
      </c>
      <c r="C94" s="146" t="s">
        <v>406</v>
      </c>
      <c r="D94" s="149">
        <v>148356.71</v>
      </c>
      <c r="E94" s="149">
        <v>0</v>
      </c>
      <c r="F94" s="149">
        <v>0</v>
      </c>
      <c r="G94" s="149">
        <v>148356.71</v>
      </c>
    </row>
    <row r="95" spans="1:7" hidden="1" x14ac:dyDescent="0.35">
      <c r="A95" s="146" t="s">
        <v>234</v>
      </c>
      <c r="B95" s="146" t="s">
        <v>100</v>
      </c>
      <c r="C95" s="146" t="s">
        <v>235</v>
      </c>
      <c r="D95" s="149">
        <v>183145.47</v>
      </c>
      <c r="E95" s="149">
        <v>12931.44</v>
      </c>
      <c r="F95" s="149">
        <v>0</v>
      </c>
      <c r="G95" s="149">
        <v>196076.91</v>
      </c>
    </row>
    <row r="96" spans="1:7" hidden="1" x14ac:dyDescent="0.35">
      <c r="A96" s="146" t="s">
        <v>236</v>
      </c>
      <c r="B96" s="146" t="s">
        <v>100</v>
      </c>
      <c r="C96" s="146" t="s">
        <v>237</v>
      </c>
      <c r="D96" s="149">
        <v>199.8</v>
      </c>
      <c r="E96" s="149">
        <v>0</v>
      </c>
      <c r="F96" s="149">
        <v>0</v>
      </c>
      <c r="G96" s="149">
        <v>199.8</v>
      </c>
    </row>
    <row r="97" spans="1:7" hidden="1" x14ac:dyDescent="0.35">
      <c r="A97" s="146" t="s">
        <v>238</v>
      </c>
      <c r="B97" s="146" t="s">
        <v>100</v>
      </c>
      <c r="C97" s="146" t="s">
        <v>239</v>
      </c>
      <c r="D97" s="149">
        <v>10890</v>
      </c>
      <c r="E97" s="149">
        <v>0</v>
      </c>
      <c r="F97" s="149">
        <v>0</v>
      </c>
      <c r="G97" s="149">
        <v>10890</v>
      </c>
    </row>
    <row r="98" spans="1:7" hidden="1" x14ac:dyDescent="0.35">
      <c r="A98" s="146" t="s">
        <v>162</v>
      </c>
      <c r="B98" s="146" t="s">
        <v>100</v>
      </c>
      <c r="C98" s="146" t="s">
        <v>407</v>
      </c>
      <c r="D98" s="149">
        <v>841298.18</v>
      </c>
      <c r="E98" s="149">
        <v>0</v>
      </c>
      <c r="F98" s="149">
        <v>0</v>
      </c>
      <c r="G98" s="149">
        <v>841298.18</v>
      </c>
    </row>
    <row r="99" spans="1:7" hidden="1" x14ac:dyDescent="0.35">
      <c r="A99" s="146" t="s">
        <v>240</v>
      </c>
      <c r="B99" s="146" t="s">
        <v>100</v>
      </c>
      <c r="C99" s="146" t="s">
        <v>241</v>
      </c>
      <c r="D99" s="149">
        <v>240920.44</v>
      </c>
      <c r="E99" s="149">
        <v>18086.23</v>
      </c>
      <c r="F99" s="149">
        <v>3237.17</v>
      </c>
      <c r="G99" s="149">
        <v>255769.5</v>
      </c>
    </row>
    <row r="100" spans="1:7" hidden="1" x14ac:dyDescent="0.35">
      <c r="A100" s="146" t="s">
        <v>242</v>
      </c>
      <c r="B100" s="146" t="s">
        <v>100</v>
      </c>
      <c r="C100" s="146" t="s">
        <v>408</v>
      </c>
      <c r="D100" s="149">
        <v>11311.64</v>
      </c>
      <c r="E100" s="149">
        <v>0</v>
      </c>
      <c r="F100" s="149">
        <v>0</v>
      </c>
      <c r="G100" s="149">
        <v>11311.64</v>
      </c>
    </row>
    <row r="101" spans="1:7" hidden="1" x14ac:dyDescent="0.35">
      <c r="A101" s="146" t="s">
        <v>211</v>
      </c>
      <c r="B101" s="146" t="s">
        <v>100</v>
      </c>
      <c r="C101" s="146" t="s">
        <v>212</v>
      </c>
      <c r="D101" s="149">
        <v>2202299.5099999998</v>
      </c>
      <c r="E101" s="149">
        <v>440361.73</v>
      </c>
      <c r="F101" s="149">
        <v>1023140.5</v>
      </c>
      <c r="G101" s="149">
        <v>1619520.74</v>
      </c>
    </row>
    <row r="102" spans="1:7" hidden="1" x14ac:dyDescent="0.35">
      <c r="A102" s="146" t="s">
        <v>163</v>
      </c>
      <c r="B102" s="146" t="s">
        <v>100</v>
      </c>
      <c r="C102" s="146" t="s">
        <v>409</v>
      </c>
      <c r="D102" s="149">
        <v>986222.82</v>
      </c>
      <c r="E102" s="149">
        <v>82809.429999999993</v>
      </c>
      <c r="F102" s="149">
        <v>45595.45</v>
      </c>
      <c r="G102" s="149">
        <v>1023436.8</v>
      </c>
    </row>
    <row r="103" spans="1:7" hidden="1" x14ac:dyDescent="0.35">
      <c r="A103" s="146" t="s">
        <v>470</v>
      </c>
      <c r="B103" s="146" t="s">
        <v>100</v>
      </c>
      <c r="C103" s="146" t="s">
        <v>471</v>
      </c>
      <c r="D103" s="149">
        <v>0</v>
      </c>
      <c r="E103" s="149">
        <v>639.83000000000004</v>
      </c>
      <c r="F103" s="149">
        <v>0</v>
      </c>
      <c r="G103" s="149">
        <v>639.83000000000004</v>
      </c>
    </row>
    <row r="104" spans="1:7" hidden="1" x14ac:dyDescent="0.35">
      <c r="A104" s="146" t="s">
        <v>472</v>
      </c>
      <c r="B104" s="146" t="s">
        <v>100</v>
      </c>
      <c r="C104" s="146" t="s">
        <v>473</v>
      </c>
      <c r="D104" s="149">
        <v>0</v>
      </c>
      <c r="E104" s="149">
        <v>3598.57</v>
      </c>
      <c r="F104" s="149">
        <v>0</v>
      </c>
      <c r="G104" s="149">
        <v>3598.57</v>
      </c>
    </row>
    <row r="105" spans="1:7" hidden="1" x14ac:dyDescent="0.35">
      <c r="A105" s="146" t="s">
        <v>243</v>
      </c>
      <c r="B105" s="146" t="s">
        <v>100</v>
      </c>
      <c r="C105" s="146" t="s">
        <v>410</v>
      </c>
      <c r="D105" s="149">
        <v>890.41</v>
      </c>
      <c r="E105" s="149">
        <v>0</v>
      </c>
      <c r="F105" s="149">
        <v>0</v>
      </c>
      <c r="G105" s="149">
        <v>890.41</v>
      </c>
    </row>
    <row r="106" spans="1:7" hidden="1" x14ac:dyDescent="0.35">
      <c r="A106" s="146" t="s">
        <v>165</v>
      </c>
      <c r="B106" s="146" t="s">
        <v>100</v>
      </c>
      <c r="C106" s="146" t="s">
        <v>411</v>
      </c>
      <c r="D106" s="149">
        <v>138.99</v>
      </c>
      <c r="E106" s="149">
        <v>0</v>
      </c>
      <c r="F106" s="149">
        <v>0</v>
      </c>
      <c r="G106" s="149">
        <v>138.99</v>
      </c>
    </row>
    <row r="107" spans="1:7" hidden="1" x14ac:dyDescent="0.35">
      <c r="A107" s="146" t="s">
        <v>245</v>
      </c>
      <c r="B107" s="146" t="s">
        <v>100</v>
      </c>
      <c r="C107" s="146" t="s">
        <v>246</v>
      </c>
      <c r="D107" s="149">
        <v>170401.58</v>
      </c>
      <c r="E107" s="149">
        <v>0</v>
      </c>
      <c r="F107" s="149">
        <v>0</v>
      </c>
      <c r="G107" s="149">
        <v>170401.58</v>
      </c>
    </row>
    <row r="108" spans="1:7" hidden="1" x14ac:dyDescent="0.35">
      <c r="A108" s="146" t="s">
        <v>147</v>
      </c>
      <c r="B108" s="146" t="s">
        <v>100</v>
      </c>
      <c r="C108" s="146" t="s">
        <v>412</v>
      </c>
      <c r="D108" s="149">
        <v>10957.19</v>
      </c>
      <c r="E108" s="149">
        <v>145.13999999999999</v>
      </c>
      <c r="F108" s="149">
        <v>469.62</v>
      </c>
      <c r="G108" s="149">
        <v>10632.71</v>
      </c>
    </row>
    <row r="109" spans="1:7" hidden="1" x14ac:dyDescent="0.35">
      <c r="A109" s="146" t="s">
        <v>213</v>
      </c>
      <c r="B109" s="146" t="s">
        <v>100</v>
      </c>
      <c r="C109" s="146" t="s">
        <v>214</v>
      </c>
      <c r="D109" s="149">
        <v>11469.78</v>
      </c>
      <c r="E109" s="149">
        <v>0</v>
      </c>
      <c r="F109" s="149">
        <v>0</v>
      </c>
      <c r="G109" s="149">
        <v>11469.78</v>
      </c>
    </row>
    <row r="110" spans="1:7" hidden="1" x14ac:dyDescent="0.35">
      <c r="A110" s="146" t="s">
        <v>474</v>
      </c>
      <c r="B110" s="146" t="s">
        <v>100</v>
      </c>
      <c r="C110" s="146" t="s">
        <v>475</v>
      </c>
      <c r="D110" s="149">
        <v>0</v>
      </c>
      <c r="E110" s="149">
        <v>201.92</v>
      </c>
      <c r="F110" s="149">
        <v>0</v>
      </c>
      <c r="G110" s="149">
        <v>201.92</v>
      </c>
    </row>
    <row r="111" spans="1:7" hidden="1" x14ac:dyDescent="0.35">
      <c r="A111" s="146" t="s">
        <v>413</v>
      </c>
      <c r="B111" s="146" t="s">
        <v>100</v>
      </c>
      <c r="C111" s="146" t="s">
        <v>146</v>
      </c>
      <c r="D111" s="149">
        <v>131547.92000000001</v>
      </c>
      <c r="E111" s="149">
        <v>105940.57</v>
      </c>
      <c r="F111" s="149">
        <v>30953.31</v>
      </c>
      <c r="G111" s="149">
        <v>206535.18</v>
      </c>
    </row>
    <row r="112" spans="1:7" hidden="1" x14ac:dyDescent="0.35">
      <c r="A112" s="146" t="s">
        <v>414</v>
      </c>
      <c r="B112" s="146" t="s">
        <v>100</v>
      </c>
      <c r="C112" s="146" t="s">
        <v>415</v>
      </c>
      <c r="D112" s="149">
        <v>8515.7800000000007</v>
      </c>
      <c r="E112" s="149">
        <v>0</v>
      </c>
      <c r="F112" s="149">
        <v>0</v>
      </c>
      <c r="G112" s="149">
        <v>8515.7800000000007</v>
      </c>
    </row>
    <row r="113" spans="1:7" hidden="1" x14ac:dyDescent="0.35">
      <c r="A113" s="146" t="s">
        <v>416</v>
      </c>
      <c r="B113" s="146" t="s">
        <v>100</v>
      </c>
      <c r="C113" s="146" t="s">
        <v>417</v>
      </c>
      <c r="D113" s="149">
        <v>558071.13</v>
      </c>
      <c r="E113" s="149">
        <v>4822.01</v>
      </c>
      <c r="F113" s="149">
        <v>180940.47</v>
      </c>
      <c r="G113" s="149">
        <v>381952.67</v>
      </c>
    </row>
    <row r="114" spans="1:7" hidden="1" x14ac:dyDescent="0.35">
      <c r="A114" s="146" t="s">
        <v>418</v>
      </c>
      <c r="B114" s="146" t="s">
        <v>100</v>
      </c>
      <c r="C114" s="146" t="s">
        <v>164</v>
      </c>
      <c r="D114" s="149">
        <v>354201.44</v>
      </c>
      <c r="E114" s="149">
        <v>109259.9</v>
      </c>
      <c r="F114" s="149">
        <v>626246.29</v>
      </c>
      <c r="G114" s="149">
        <v>-162784.95000000001</v>
      </c>
    </row>
    <row r="115" spans="1:7" hidden="1" x14ac:dyDescent="0.35">
      <c r="A115" s="146" t="s">
        <v>419</v>
      </c>
      <c r="B115" s="146" t="s">
        <v>100</v>
      </c>
      <c r="C115" s="146" t="s">
        <v>244</v>
      </c>
      <c r="D115" s="149">
        <v>62345</v>
      </c>
      <c r="E115" s="149">
        <v>0</v>
      </c>
      <c r="F115" s="149">
        <v>0</v>
      </c>
      <c r="G115" s="149">
        <v>62345</v>
      </c>
    </row>
    <row r="116" spans="1:7" hidden="1" x14ac:dyDescent="0.35">
      <c r="A116" s="146" t="s">
        <v>420</v>
      </c>
      <c r="B116" s="146" t="s">
        <v>100</v>
      </c>
      <c r="C116" s="146" t="s">
        <v>166</v>
      </c>
      <c r="D116" s="149">
        <v>27306.48</v>
      </c>
      <c r="E116" s="149">
        <v>27782.98</v>
      </c>
      <c r="F116" s="149">
        <v>280</v>
      </c>
      <c r="G116" s="149">
        <v>54809.46</v>
      </c>
    </row>
    <row r="117" spans="1:7" hidden="1" x14ac:dyDescent="0.35">
      <c r="A117" s="146" t="s">
        <v>421</v>
      </c>
      <c r="B117" s="146" t="s">
        <v>100</v>
      </c>
      <c r="C117" s="146" t="s">
        <v>148</v>
      </c>
      <c r="D117" s="149">
        <v>6807.85</v>
      </c>
      <c r="E117" s="149">
        <v>10532.45</v>
      </c>
      <c r="F117" s="149">
        <v>929.27</v>
      </c>
      <c r="G117" s="149">
        <v>16411.03</v>
      </c>
    </row>
    <row r="118" spans="1:7" hidden="1" x14ac:dyDescent="0.35">
      <c r="A118" s="146" t="s">
        <v>149</v>
      </c>
      <c r="B118" s="146" t="s">
        <v>100</v>
      </c>
      <c r="C118" s="146" t="s">
        <v>150</v>
      </c>
      <c r="D118" s="149">
        <v>-136947.39000000001</v>
      </c>
      <c r="E118" s="149">
        <v>423378.81</v>
      </c>
      <c r="F118" s="149">
        <v>221579.35</v>
      </c>
      <c r="G118" s="149">
        <v>64852.07</v>
      </c>
    </row>
    <row r="119" spans="1:7" hidden="1" x14ac:dyDescent="0.35">
      <c r="A119" s="146" t="s">
        <v>151</v>
      </c>
      <c r="B119" s="146" t="s">
        <v>100</v>
      </c>
      <c r="C119" s="146" t="s">
        <v>152</v>
      </c>
      <c r="D119" s="149">
        <v>-243369.32</v>
      </c>
      <c r="E119" s="149">
        <v>1684333.48</v>
      </c>
      <c r="F119" s="149">
        <v>2421656.29</v>
      </c>
      <c r="G119" s="149">
        <v>-980692.13</v>
      </c>
    </row>
    <row r="120" spans="1:7" hidden="1" x14ac:dyDescent="0.35">
      <c r="A120" s="145"/>
      <c r="B120" s="145"/>
      <c r="C120" s="150" t="s">
        <v>67</v>
      </c>
      <c r="D120" s="151">
        <v>4.4296029955148697E-8</v>
      </c>
      <c r="E120" s="151">
        <v>207660691.34999999</v>
      </c>
      <c r="F120" s="151">
        <v>207660691.34999999</v>
      </c>
      <c r="G120" s="151">
        <v>-1.16415321826935E-8</v>
      </c>
    </row>
    <row r="121" spans="1:7" x14ac:dyDescent="0.35">
      <c r="A121" s="68"/>
      <c r="B121" s="68"/>
      <c r="C121" s="68"/>
      <c r="D121" s="69"/>
      <c r="E121" s="69"/>
      <c r="F121" s="69"/>
      <c r="G121" s="69"/>
    </row>
    <row r="122" spans="1:7" x14ac:dyDescent="0.35">
      <c r="A122" s="68"/>
      <c r="B122" s="68"/>
      <c r="C122" s="68"/>
      <c r="D122" s="69"/>
      <c r="E122" s="69"/>
      <c r="F122" s="69"/>
      <c r="G122" s="69"/>
    </row>
    <row r="123" spans="1:7" x14ac:dyDescent="0.35">
      <c r="A123" s="68"/>
      <c r="B123" s="68"/>
      <c r="C123" s="68"/>
      <c r="D123" s="69"/>
      <c r="E123" s="69"/>
      <c r="F123" s="69"/>
      <c r="G123" s="69"/>
    </row>
    <row r="124" spans="1:7" x14ac:dyDescent="0.35">
      <c r="A124" s="68"/>
      <c r="B124" s="68"/>
      <c r="C124" s="68"/>
      <c r="D124" s="69"/>
      <c r="E124" s="69"/>
      <c r="F124" s="69"/>
      <c r="G124" s="69"/>
    </row>
    <row r="125" spans="1:7" x14ac:dyDescent="0.35">
      <c r="A125" s="68"/>
      <c r="B125" s="68"/>
      <c r="C125" s="68"/>
      <c r="D125" s="69"/>
      <c r="E125" s="69"/>
      <c r="F125" s="69"/>
      <c r="G125" s="69"/>
    </row>
    <row r="126" spans="1:7" x14ac:dyDescent="0.35">
      <c r="A126" s="68"/>
      <c r="B126" s="68"/>
      <c r="C126" s="68"/>
      <c r="D126" s="69"/>
      <c r="E126" s="69"/>
      <c r="F126" s="69"/>
      <c r="G126" s="69"/>
    </row>
    <row r="127" spans="1:7" x14ac:dyDescent="0.35">
      <c r="A127" s="68"/>
      <c r="B127" s="68"/>
      <c r="C127" s="68"/>
      <c r="D127" s="69"/>
      <c r="E127" s="69"/>
      <c r="F127" s="69"/>
      <c r="G127" s="69"/>
    </row>
    <row r="128" spans="1:7" x14ac:dyDescent="0.35">
      <c r="A128" s="68"/>
      <c r="B128" s="68"/>
      <c r="C128" s="68"/>
      <c r="D128" s="69"/>
      <c r="E128" s="69"/>
      <c r="F128" s="69"/>
      <c r="G128" s="69"/>
    </row>
    <row r="129" spans="1:7" x14ac:dyDescent="0.35">
      <c r="A129" s="68"/>
      <c r="B129" s="68"/>
      <c r="C129" s="68"/>
      <c r="D129" s="69"/>
      <c r="E129" s="69"/>
      <c r="F129" s="69"/>
      <c r="G129" s="69"/>
    </row>
    <row r="130" spans="1:7" x14ac:dyDescent="0.35">
      <c r="A130" s="68"/>
      <c r="B130" s="68"/>
      <c r="C130" s="68"/>
      <c r="D130" s="69"/>
      <c r="E130" s="69"/>
      <c r="F130" s="69"/>
      <c r="G130" s="69"/>
    </row>
    <row r="131" spans="1:7" x14ac:dyDescent="0.35">
      <c r="A131" s="68"/>
      <c r="B131" s="68"/>
      <c r="C131" s="68"/>
      <c r="D131" s="69"/>
      <c r="E131" s="69"/>
      <c r="F131" s="69"/>
      <c r="G131" s="69"/>
    </row>
    <row r="132" spans="1:7" x14ac:dyDescent="0.35">
      <c r="A132" s="68"/>
      <c r="B132" s="68"/>
      <c r="C132" s="68"/>
      <c r="D132" s="69"/>
      <c r="E132" s="69"/>
      <c r="F132" s="69"/>
      <c r="G132" s="69"/>
    </row>
    <row r="133" spans="1:7" x14ac:dyDescent="0.35">
      <c r="A133" s="68"/>
      <c r="B133" s="68"/>
      <c r="C133" s="68"/>
      <c r="D133" s="69"/>
      <c r="E133" s="69"/>
      <c r="F133" s="69"/>
      <c r="G133" s="69"/>
    </row>
    <row r="134" spans="1:7" x14ac:dyDescent="0.35">
      <c r="A134" s="68"/>
      <c r="B134" s="68"/>
      <c r="C134" s="68"/>
      <c r="D134" s="69"/>
      <c r="E134" s="69"/>
      <c r="F134" s="69"/>
      <c r="G134" s="69"/>
    </row>
    <row r="135" spans="1:7" x14ac:dyDescent="0.35">
      <c r="A135" s="68"/>
      <c r="B135" s="68"/>
      <c r="C135" s="68"/>
      <c r="D135" s="69"/>
      <c r="E135" s="69"/>
      <c r="F135" s="69"/>
      <c r="G135" s="69"/>
    </row>
    <row r="136" spans="1:7" x14ac:dyDescent="0.35">
      <c r="A136" s="68"/>
      <c r="B136" s="68"/>
      <c r="C136" s="68"/>
      <c r="D136" s="69"/>
      <c r="E136" s="69"/>
      <c r="F136" s="69"/>
      <c r="G136" s="69"/>
    </row>
    <row r="137" spans="1:7" x14ac:dyDescent="0.35">
      <c r="A137" s="68"/>
      <c r="B137" s="68"/>
      <c r="C137" s="68"/>
      <c r="D137" s="69"/>
      <c r="E137" s="69"/>
      <c r="F137" s="69"/>
      <c r="G137" s="69"/>
    </row>
    <row r="138" spans="1:7" x14ac:dyDescent="0.35">
      <c r="A138" s="68"/>
      <c r="B138" s="68"/>
      <c r="C138" s="68"/>
      <c r="D138" s="69"/>
      <c r="E138" s="69"/>
      <c r="F138" s="69"/>
      <c r="G138" s="69"/>
    </row>
    <row r="139" spans="1:7" x14ac:dyDescent="0.35">
      <c r="A139" s="68"/>
      <c r="B139" s="68"/>
      <c r="C139" s="68"/>
      <c r="D139" s="69"/>
      <c r="E139" s="69"/>
      <c r="F139" s="69"/>
      <c r="G139" s="69"/>
    </row>
    <row r="140" spans="1:7" x14ac:dyDescent="0.35">
      <c r="A140" s="68"/>
      <c r="B140" s="68"/>
      <c r="C140" s="68"/>
      <c r="D140" s="69"/>
      <c r="E140" s="69"/>
      <c r="F140" s="69"/>
      <c r="G140" s="69"/>
    </row>
    <row r="141" spans="1:7" x14ac:dyDescent="0.35">
      <c r="A141" s="68"/>
      <c r="B141" s="68"/>
      <c r="C141" s="68"/>
      <c r="D141" s="69"/>
      <c r="E141" s="69"/>
      <c r="F141" s="69"/>
      <c r="G141" s="69"/>
    </row>
    <row r="142" spans="1:7" x14ac:dyDescent="0.35">
      <c r="A142" s="68"/>
      <c r="B142" s="68"/>
      <c r="C142" s="68"/>
      <c r="D142" s="69"/>
      <c r="E142" s="69"/>
      <c r="F142" s="69"/>
      <c r="G142" s="69"/>
    </row>
    <row r="143" spans="1:7" x14ac:dyDescent="0.35">
      <c r="A143" s="68"/>
      <c r="B143" s="68"/>
      <c r="C143" s="68"/>
      <c r="D143" s="69"/>
      <c r="E143" s="69"/>
      <c r="F143" s="69"/>
      <c r="G143" s="69"/>
    </row>
    <row r="144" spans="1:7" x14ac:dyDescent="0.35">
      <c r="A144" s="68"/>
      <c r="B144" s="68"/>
      <c r="C144" s="68"/>
      <c r="D144" s="69"/>
      <c r="E144" s="69"/>
      <c r="F144" s="69"/>
      <c r="G144" s="69"/>
    </row>
    <row r="145" spans="1:7" x14ac:dyDescent="0.35">
      <c r="A145" s="67"/>
      <c r="B145" s="67"/>
      <c r="C145" s="70"/>
      <c r="D145" s="71"/>
      <c r="E145" s="71"/>
      <c r="F145" s="71"/>
      <c r="G145" s="71"/>
    </row>
    <row r="146" spans="1:7" x14ac:dyDescent="0.35">
      <c r="A146" s="63"/>
      <c r="B146" s="63"/>
      <c r="C146" s="63"/>
      <c r="D146" s="64"/>
      <c r="E146" s="64"/>
      <c r="F146" s="64"/>
      <c r="G146" s="64"/>
    </row>
    <row r="147" spans="1:7" x14ac:dyDescent="0.35">
      <c r="A147" s="63"/>
      <c r="B147" s="63"/>
      <c r="C147" s="63"/>
      <c r="D147" s="64"/>
      <c r="E147" s="64"/>
      <c r="F147" s="64"/>
      <c r="G147" s="64"/>
    </row>
    <row r="148" spans="1:7" x14ac:dyDescent="0.35">
      <c r="A148" s="62"/>
      <c r="B148" s="62"/>
      <c r="C148" s="65"/>
      <c r="D148" s="66"/>
      <c r="E148" s="66"/>
      <c r="F148" s="66"/>
      <c r="G148" s="66"/>
    </row>
    <row r="149" spans="1:7" x14ac:dyDescent="0.35">
      <c r="A149" s="58"/>
      <c r="B149" s="57"/>
      <c r="C149" s="58"/>
      <c r="D149" s="58"/>
      <c r="E149" s="58"/>
      <c r="F149" s="59"/>
      <c r="G149" s="59"/>
    </row>
    <row r="150" spans="1:7" x14ac:dyDescent="0.35">
      <c r="A150" s="58"/>
      <c r="B150" s="57"/>
      <c r="C150" s="58"/>
      <c r="D150" s="58"/>
      <c r="E150" s="58"/>
      <c r="F150" s="59"/>
      <c r="G150" s="59"/>
    </row>
    <row r="151" spans="1:7" x14ac:dyDescent="0.35">
      <c r="A151" s="58"/>
      <c r="B151" s="57"/>
      <c r="C151" s="58"/>
      <c r="D151" s="58"/>
      <c r="E151" s="58"/>
      <c r="F151" s="59"/>
      <c r="G151" s="59"/>
    </row>
    <row r="152" spans="1:7" x14ac:dyDescent="0.35">
      <c r="A152" s="58"/>
      <c r="B152" s="57"/>
      <c r="C152" s="58"/>
      <c r="D152" s="58"/>
      <c r="E152" s="58"/>
      <c r="F152" s="59"/>
      <c r="G152" s="59"/>
    </row>
    <row r="153" spans="1:7" x14ac:dyDescent="0.35">
      <c r="A153" s="58"/>
      <c r="B153" s="57"/>
      <c r="C153" s="58"/>
      <c r="D153" s="58"/>
      <c r="E153" s="58"/>
      <c r="F153" s="59"/>
      <c r="G153" s="59"/>
    </row>
    <row r="154" spans="1:7" x14ac:dyDescent="0.35">
      <c r="A154" s="58"/>
      <c r="B154" s="57"/>
      <c r="C154" s="58"/>
      <c r="D154" s="58"/>
      <c r="E154" s="58"/>
      <c r="F154" s="59"/>
      <c r="G154" s="59"/>
    </row>
    <row r="155" spans="1:7" x14ac:dyDescent="0.35">
      <c r="A155" s="58"/>
      <c r="B155" s="57"/>
      <c r="C155" s="58"/>
      <c r="D155" s="58"/>
      <c r="E155" s="58"/>
      <c r="F155" s="59"/>
      <c r="G155" s="59"/>
    </row>
    <row r="156" spans="1:7" x14ac:dyDescent="0.35">
      <c r="A156" s="58"/>
      <c r="B156" s="57"/>
      <c r="C156" s="58"/>
      <c r="D156" s="58"/>
      <c r="E156" s="58"/>
      <c r="F156" s="59"/>
      <c r="G156" s="59"/>
    </row>
    <row r="157" spans="1:7" x14ac:dyDescent="0.35">
      <c r="A157" s="58"/>
      <c r="B157" s="57"/>
      <c r="C157" s="58"/>
      <c r="D157" s="58"/>
      <c r="E157" s="58"/>
      <c r="F157" s="59"/>
      <c r="G157" s="59"/>
    </row>
    <row r="158" spans="1:7" x14ac:dyDescent="0.35">
      <c r="A158" s="58"/>
      <c r="B158" s="57"/>
      <c r="C158" s="58"/>
      <c r="D158" s="58"/>
      <c r="E158" s="58"/>
      <c r="F158" s="59"/>
      <c r="G158" s="59"/>
    </row>
    <row r="159" spans="1:7" x14ac:dyDescent="0.35">
      <c r="A159" s="58"/>
      <c r="B159" s="57"/>
      <c r="C159" s="58"/>
      <c r="D159" s="58"/>
      <c r="E159" s="58"/>
      <c r="F159" s="59"/>
      <c r="G159" s="59"/>
    </row>
    <row r="160" spans="1:7" x14ac:dyDescent="0.35">
      <c r="A160" s="58"/>
      <c r="B160" s="57"/>
      <c r="C160" s="58"/>
      <c r="D160" s="58"/>
      <c r="E160" s="58"/>
      <c r="F160" s="59"/>
      <c r="G160" s="59"/>
    </row>
    <row r="161" spans="1:7" x14ac:dyDescent="0.35">
      <c r="A161" s="58"/>
      <c r="B161" s="57"/>
      <c r="C161" s="58"/>
      <c r="D161" s="58"/>
      <c r="E161" s="58"/>
      <c r="F161" s="59"/>
      <c r="G161" s="59"/>
    </row>
    <row r="162" spans="1:7" x14ac:dyDescent="0.35">
      <c r="A162" s="58"/>
      <c r="B162" s="57"/>
      <c r="C162" s="58"/>
      <c r="D162" s="58"/>
      <c r="E162" s="58"/>
      <c r="F162" s="59"/>
      <c r="G162" s="59"/>
    </row>
    <row r="163" spans="1:7" x14ac:dyDescent="0.35">
      <c r="A163" s="58"/>
      <c r="B163" s="57"/>
      <c r="C163" s="58"/>
      <c r="D163" s="58"/>
      <c r="E163" s="58"/>
      <c r="F163" s="59"/>
      <c r="G163" s="59"/>
    </row>
    <row r="164" spans="1:7" x14ac:dyDescent="0.35">
      <c r="A164" s="58"/>
      <c r="B164" s="57"/>
      <c r="C164" s="58"/>
      <c r="D164" s="58"/>
      <c r="E164" s="58"/>
      <c r="F164" s="59"/>
      <c r="G164" s="59"/>
    </row>
    <row r="165" spans="1:7" x14ac:dyDescent="0.35">
      <c r="A165" s="58"/>
      <c r="B165" s="57"/>
      <c r="C165" s="58"/>
      <c r="D165" s="58"/>
      <c r="E165" s="58"/>
      <c r="F165" s="59"/>
      <c r="G165" s="59"/>
    </row>
    <row r="166" spans="1:7" x14ac:dyDescent="0.35">
      <c r="A166" s="58"/>
      <c r="B166" s="57"/>
      <c r="C166" s="58"/>
      <c r="D166" s="58"/>
      <c r="E166" s="58"/>
      <c r="F166" s="59"/>
      <c r="G166" s="59"/>
    </row>
    <row r="167" spans="1:7" x14ac:dyDescent="0.35">
      <c r="A167" s="58"/>
      <c r="B167" s="57"/>
      <c r="C167" s="58"/>
      <c r="D167" s="58"/>
      <c r="E167" s="58"/>
      <c r="F167" s="59"/>
      <c r="G167" s="59"/>
    </row>
    <row r="168" spans="1:7" x14ac:dyDescent="0.35">
      <c r="A168" s="58"/>
      <c r="B168" s="57"/>
      <c r="C168" s="58"/>
      <c r="D168" s="58"/>
      <c r="E168" s="58"/>
      <c r="F168" s="59"/>
      <c r="G168" s="59"/>
    </row>
    <row r="169" spans="1:7" x14ac:dyDescent="0.35">
      <c r="A169" s="58"/>
      <c r="B169" s="57"/>
      <c r="C169" s="58"/>
      <c r="D169" s="58"/>
      <c r="E169" s="58"/>
      <c r="F169" s="59"/>
      <c r="G169" s="59"/>
    </row>
    <row r="170" spans="1:7" x14ac:dyDescent="0.35">
      <c r="A170" s="58"/>
      <c r="B170" s="57"/>
      <c r="C170" s="58"/>
      <c r="D170" s="58"/>
      <c r="E170" s="58"/>
      <c r="F170" s="59"/>
      <c r="G170" s="59"/>
    </row>
    <row r="171" spans="1:7" x14ac:dyDescent="0.35">
      <c r="A171" s="58"/>
      <c r="B171" s="57"/>
      <c r="C171" s="58"/>
      <c r="D171" s="58"/>
      <c r="E171" s="58"/>
      <c r="F171" s="59"/>
      <c r="G171" s="59"/>
    </row>
    <row r="172" spans="1:7" x14ac:dyDescent="0.35">
      <c r="A172" s="58"/>
      <c r="B172" s="57"/>
      <c r="C172" s="58"/>
      <c r="D172" s="58"/>
      <c r="E172" s="58"/>
      <c r="F172" s="59"/>
      <c r="G172" s="59"/>
    </row>
    <row r="173" spans="1:7" x14ac:dyDescent="0.35">
      <c r="A173" s="58"/>
      <c r="B173" s="57"/>
      <c r="C173" s="58"/>
      <c r="D173" s="58"/>
      <c r="E173" s="58"/>
      <c r="F173" s="59"/>
      <c r="G173" s="59"/>
    </row>
    <row r="174" spans="1:7" x14ac:dyDescent="0.35">
      <c r="A174" s="58"/>
      <c r="B174" s="57"/>
      <c r="C174" s="58"/>
      <c r="D174" s="58"/>
      <c r="E174" s="58"/>
      <c r="F174" s="59"/>
      <c r="G174" s="59"/>
    </row>
    <row r="175" spans="1:7" x14ac:dyDescent="0.35">
      <c r="A175" s="58"/>
      <c r="B175" s="57"/>
      <c r="C175" s="58"/>
      <c r="D175" s="58"/>
      <c r="E175" s="58"/>
      <c r="F175" s="59"/>
      <c r="G175" s="59"/>
    </row>
    <row r="176" spans="1:7" x14ac:dyDescent="0.35">
      <c r="A176" s="58"/>
      <c r="B176" s="57"/>
      <c r="C176" s="58"/>
      <c r="D176" s="58"/>
      <c r="E176" s="58"/>
      <c r="F176" s="59"/>
      <c r="G176" s="59"/>
    </row>
    <row r="177" spans="1:7" x14ac:dyDescent="0.35">
      <c r="A177" s="58"/>
      <c r="B177" s="57"/>
      <c r="C177" s="58"/>
      <c r="D177" s="58"/>
      <c r="E177" s="58"/>
      <c r="F177" s="59"/>
      <c r="G177" s="59"/>
    </row>
    <row r="178" spans="1:7" x14ac:dyDescent="0.35">
      <c r="A178" s="58"/>
      <c r="B178" s="57"/>
      <c r="C178" s="58"/>
      <c r="D178" s="58"/>
      <c r="E178" s="58"/>
      <c r="F178" s="59"/>
      <c r="G178" s="59"/>
    </row>
    <row r="179" spans="1:7" x14ac:dyDescent="0.35">
      <c r="A179" s="58"/>
      <c r="B179" s="57"/>
      <c r="C179" s="58"/>
      <c r="D179" s="58"/>
      <c r="E179" s="58"/>
      <c r="F179" s="59"/>
      <c r="G179" s="59"/>
    </row>
    <row r="180" spans="1:7" x14ac:dyDescent="0.35">
      <c r="A180" s="58"/>
      <c r="B180" s="57"/>
      <c r="C180" s="58"/>
      <c r="D180" s="58"/>
      <c r="E180" s="58"/>
      <c r="F180" s="59"/>
      <c r="G180" s="59"/>
    </row>
    <row r="181" spans="1:7" x14ac:dyDescent="0.35">
      <c r="A181" s="58"/>
      <c r="B181" s="57"/>
      <c r="C181" s="58"/>
      <c r="D181" s="58"/>
      <c r="E181" s="58"/>
      <c r="F181" s="59"/>
      <c r="G181" s="59"/>
    </row>
    <row r="182" spans="1:7" x14ac:dyDescent="0.35">
      <c r="A182" s="58"/>
      <c r="B182" s="57"/>
      <c r="C182" s="58"/>
      <c r="D182" s="58"/>
      <c r="E182" s="58"/>
      <c r="F182" s="59"/>
      <c r="G182" s="59"/>
    </row>
    <row r="183" spans="1:7" x14ac:dyDescent="0.35">
      <c r="A183" s="58"/>
      <c r="B183" s="57"/>
      <c r="C183" s="58"/>
      <c r="D183" s="58"/>
      <c r="E183" s="58"/>
      <c r="F183" s="59"/>
      <c r="G183" s="59"/>
    </row>
    <row r="184" spans="1:7" x14ac:dyDescent="0.35">
      <c r="A184" s="58"/>
      <c r="B184" s="57"/>
      <c r="C184" s="58"/>
      <c r="D184" s="58"/>
      <c r="E184" s="58"/>
      <c r="F184" s="59"/>
      <c r="G184" s="59"/>
    </row>
    <row r="185" spans="1:7" x14ac:dyDescent="0.35">
      <c r="A185" s="58"/>
      <c r="B185" s="57"/>
      <c r="C185" s="58"/>
      <c r="D185" s="58"/>
      <c r="E185" s="58"/>
      <c r="F185" s="59"/>
      <c r="G185" s="59"/>
    </row>
    <row r="186" spans="1:7" x14ac:dyDescent="0.35">
      <c r="A186" s="58"/>
      <c r="B186" s="57"/>
      <c r="C186" s="58"/>
      <c r="D186" s="58"/>
      <c r="E186" s="58"/>
      <c r="F186" s="59"/>
      <c r="G186" s="59"/>
    </row>
    <row r="187" spans="1:7" x14ac:dyDescent="0.35">
      <c r="A187" s="58"/>
      <c r="B187" s="57"/>
      <c r="C187" s="58"/>
      <c r="D187" s="58"/>
      <c r="E187" s="58"/>
      <c r="F187" s="59"/>
      <c r="G187" s="59"/>
    </row>
    <row r="188" spans="1:7" x14ac:dyDescent="0.35">
      <c r="A188" s="58"/>
      <c r="B188" s="57"/>
      <c r="C188" s="58"/>
      <c r="D188" s="58"/>
      <c r="E188" s="58"/>
      <c r="F188" s="59"/>
      <c r="G188" s="59"/>
    </row>
    <row r="189" spans="1:7" x14ac:dyDescent="0.35">
      <c r="A189" s="58"/>
      <c r="B189" s="57"/>
      <c r="C189" s="58"/>
      <c r="D189" s="58"/>
      <c r="E189" s="58"/>
      <c r="F189" s="59"/>
      <c r="G189" s="59"/>
    </row>
    <row r="190" spans="1:7" x14ac:dyDescent="0.35">
      <c r="A190" s="58"/>
      <c r="B190" s="57"/>
      <c r="C190" s="58"/>
      <c r="D190" s="58"/>
      <c r="E190" s="58"/>
      <c r="F190" s="59"/>
      <c r="G190" s="59"/>
    </row>
    <row r="191" spans="1:7" x14ac:dyDescent="0.35">
      <c r="A191" s="58"/>
      <c r="B191" s="57"/>
      <c r="C191" s="58"/>
      <c r="D191" s="58"/>
      <c r="E191" s="58"/>
      <c r="F191" s="59"/>
      <c r="G191" s="59"/>
    </row>
    <row r="192" spans="1:7" x14ac:dyDescent="0.35">
      <c r="A192" s="58"/>
      <c r="B192" s="57"/>
      <c r="C192" s="58"/>
      <c r="D192" s="58"/>
      <c r="E192" s="58"/>
      <c r="F192" s="59"/>
      <c r="G192" s="59"/>
    </row>
    <row r="193" spans="1:7" x14ac:dyDescent="0.35">
      <c r="A193" s="58"/>
      <c r="B193" s="57"/>
      <c r="C193" s="58"/>
      <c r="D193" s="58"/>
      <c r="E193" s="58"/>
      <c r="F193" s="59"/>
      <c r="G193" s="59"/>
    </row>
    <row r="194" spans="1:7" x14ac:dyDescent="0.35">
      <c r="A194" s="58"/>
      <c r="B194" s="57"/>
      <c r="C194" s="58"/>
      <c r="D194" s="58"/>
      <c r="E194" s="58"/>
      <c r="F194" s="59"/>
      <c r="G194" s="59"/>
    </row>
    <row r="195" spans="1:7" x14ac:dyDescent="0.35">
      <c r="A195" s="58"/>
      <c r="B195" s="57"/>
      <c r="C195" s="58"/>
      <c r="D195" s="58"/>
      <c r="E195" s="58"/>
      <c r="F195" s="59"/>
      <c r="G195" s="59"/>
    </row>
    <row r="196" spans="1:7" x14ac:dyDescent="0.35">
      <c r="A196" s="58"/>
      <c r="B196" s="57"/>
      <c r="C196" s="58"/>
      <c r="D196" s="58"/>
      <c r="E196" s="58"/>
      <c r="F196" s="59"/>
      <c r="G196" s="59"/>
    </row>
    <row r="197" spans="1:7" x14ac:dyDescent="0.35">
      <c r="A197" s="58"/>
      <c r="B197" s="57"/>
      <c r="C197" s="58"/>
      <c r="D197" s="58"/>
      <c r="E197" s="58"/>
      <c r="F197" s="59"/>
      <c r="G197" s="59"/>
    </row>
    <row r="198" spans="1:7" x14ac:dyDescent="0.35">
      <c r="A198" s="58"/>
      <c r="B198" s="57"/>
      <c r="C198" s="58"/>
      <c r="D198" s="58"/>
      <c r="E198" s="58"/>
      <c r="F198" s="59"/>
      <c r="G198" s="59"/>
    </row>
    <row r="199" spans="1:7" x14ac:dyDescent="0.35">
      <c r="A199" s="58"/>
      <c r="B199" s="57"/>
      <c r="C199" s="58"/>
      <c r="D199" s="58"/>
      <c r="E199" s="58"/>
      <c r="F199" s="59"/>
      <c r="G199" s="59"/>
    </row>
    <row r="200" spans="1:7" x14ac:dyDescent="0.35">
      <c r="A200" s="58"/>
      <c r="B200" s="57"/>
      <c r="C200" s="58"/>
      <c r="D200" s="58"/>
      <c r="E200" s="58"/>
      <c r="F200" s="59"/>
      <c r="G200" s="59"/>
    </row>
    <row r="201" spans="1:7" x14ac:dyDescent="0.35">
      <c r="A201" s="58"/>
      <c r="B201" s="57"/>
      <c r="C201" s="58"/>
      <c r="D201" s="58"/>
      <c r="E201" s="58"/>
      <c r="F201" s="59"/>
      <c r="G201" s="59"/>
    </row>
    <row r="202" spans="1:7" x14ac:dyDescent="0.35">
      <c r="A202" s="58"/>
      <c r="B202" s="57"/>
      <c r="C202" s="58"/>
      <c r="D202" s="58"/>
      <c r="E202" s="58"/>
      <c r="F202" s="59"/>
      <c r="G202" s="59"/>
    </row>
    <row r="203" spans="1:7" x14ac:dyDescent="0.35">
      <c r="A203" s="58"/>
      <c r="B203" s="57"/>
      <c r="C203" s="58"/>
      <c r="D203" s="58"/>
      <c r="E203" s="58"/>
      <c r="F203" s="59"/>
      <c r="G203" s="59"/>
    </row>
    <row r="204" spans="1:7" x14ac:dyDescent="0.35">
      <c r="A204" s="58"/>
      <c r="B204" s="57"/>
      <c r="C204" s="58"/>
      <c r="D204" s="58"/>
      <c r="E204" s="58"/>
      <c r="F204" s="59"/>
      <c r="G204" s="59"/>
    </row>
    <row r="205" spans="1:7" x14ac:dyDescent="0.35">
      <c r="A205" s="58"/>
      <c r="B205" s="57"/>
      <c r="C205" s="58"/>
      <c r="D205" s="58"/>
      <c r="E205" s="58"/>
      <c r="F205" s="59"/>
      <c r="G205" s="59"/>
    </row>
    <row r="206" spans="1:7" x14ac:dyDescent="0.35">
      <c r="A206" s="58"/>
      <c r="B206" s="57"/>
      <c r="C206" s="58"/>
      <c r="D206" s="58"/>
      <c r="E206" s="58"/>
      <c r="F206" s="59"/>
      <c r="G206" s="59"/>
    </row>
    <row r="207" spans="1:7" x14ac:dyDescent="0.35">
      <c r="A207" s="58"/>
      <c r="B207" s="57"/>
      <c r="C207" s="58"/>
      <c r="D207" s="58"/>
      <c r="E207" s="58"/>
      <c r="F207" s="59"/>
      <c r="G207" s="59"/>
    </row>
    <row r="208" spans="1:7" x14ac:dyDescent="0.35">
      <c r="A208" s="58"/>
      <c r="B208" s="57"/>
      <c r="C208" s="58"/>
      <c r="D208" s="58"/>
      <c r="E208" s="58"/>
      <c r="F208" s="59"/>
      <c r="G208" s="59"/>
    </row>
    <row r="209" spans="1:7" x14ac:dyDescent="0.35">
      <c r="A209" s="58"/>
      <c r="B209" s="57"/>
      <c r="C209" s="58"/>
      <c r="D209" s="58"/>
      <c r="E209" s="58"/>
      <c r="F209" s="59"/>
      <c r="G209" s="59"/>
    </row>
    <row r="210" spans="1:7" x14ac:dyDescent="0.35">
      <c r="A210" s="58"/>
      <c r="B210" s="57"/>
      <c r="C210" s="58"/>
      <c r="D210" s="58"/>
      <c r="E210" s="58"/>
      <c r="F210" s="59"/>
      <c r="G210" s="59"/>
    </row>
    <row r="211" spans="1:7" x14ac:dyDescent="0.35">
      <c r="A211" s="58"/>
      <c r="B211" s="57"/>
      <c r="C211" s="58"/>
      <c r="D211" s="58"/>
      <c r="E211" s="58"/>
      <c r="F211" s="59"/>
      <c r="G211" s="59"/>
    </row>
    <row r="212" spans="1:7" x14ac:dyDescent="0.35">
      <c r="A212" s="58"/>
      <c r="B212" s="57"/>
      <c r="C212" s="58"/>
      <c r="D212" s="58"/>
      <c r="E212" s="58"/>
      <c r="F212" s="59"/>
      <c r="G212" s="59"/>
    </row>
    <row r="213" spans="1:7" x14ac:dyDescent="0.35">
      <c r="A213" s="58"/>
      <c r="B213" s="57"/>
      <c r="C213" s="58"/>
      <c r="D213" s="58"/>
      <c r="E213" s="58"/>
      <c r="F213" s="59"/>
      <c r="G213" s="59"/>
    </row>
    <row r="214" spans="1:7" x14ac:dyDescent="0.35">
      <c r="A214" s="58"/>
      <c r="B214" s="57"/>
      <c r="C214" s="58"/>
      <c r="D214" s="58"/>
      <c r="E214" s="58"/>
      <c r="F214" s="59"/>
      <c r="G214" s="59"/>
    </row>
    <row r="215" spans="1:7" x14ac:dyDescent="0.35">
      <c r="A215" s="58"/>
      <c r="B215" s="57"/>
      <c r="C215" s="58"/>
      <c r="D215" s="58"/>
      <c r="E215" s="58"/>
      <c r="F215" s="59"/>
      <c r="G215" s="59"/>
    </row>
    <row r="216" spans="1:7" x14ac:dyDescent="0.35">
      <c r="A216" s="58"/>
      <c r="B216" s="57"/>
      <c r="C216" s="58"/>
      <c r="D216" s="58"/>
      <c r="E216" s="58"/>
      <c r="F216" s="59"/>
      <c r="G216" s="59"/>
    </row>
    <row r="217" spans="1:7" x14ac:dyDescent="0.35">
      <c r="A217" s="58"/>
      <c r="B217" s="57"/>
      <c r="C217" s="58"/>
      <c r="D217" s="58"/>
      <c r="E217" s="58"/>
      <c r="F217" s="59"/>
      <c r="G217" s="59"/>
    </row>
    <row r="218" spans="1:7" x14ac:dyDescent="0.35">
      <c r="A218" s="58"/>
      <c r="B218" s="57"/>
      <c r="C218" s="58"/>
      <c r="D218" s="58"/>
      <c r="E218" s="58"/>
      <c r="F218" s="59"/>
      <c r="G218" s="59"/>
    </row>
    <row r="219" spans="1:7" x14ac:dyDescent="0.35">
      <c r="A219" s="58"/>
      <c r="B219" s="57"/>
      <c r="C219" s="58"/>
      <c r="D219" s="58"/>
      <c r="E219" s="58"/>
      <c r="F219" s="59"/>
      <c r="G219" s="59"/>
    </row>
    <row r="220" spans="1:7" x14ac:dyDescent="0.35">
      <c r="A220" s="58"/>
      <c r="B220" s="57"/>
      <c r="C220" s="58"/>
      <c r="D220" s="58"/>
      <c r="E220" s="58"/>
      <c r="F220" s="59"/>
      <c r="G220" s="59"/>
    </row>
    <row r="221" spans="1:7" x14ac:dyDescent="0.35">
      <c r="A221" s="58"/>
      <c r="B221" s="57"/>
      <c r="C221" s="58"/>
      <c r="D221" s="58"/>
      <c r="E221" s="58"/>
      <c r="F221" s="59"/>
      <c r="G221" s="59"/>
    </row>
    <row r="222" spans="1:7" x14ac:dyDescent="0.35">
      <c r="A222" s="58"/>
      <c r="B222" s="57"/>
      <c r="C222" s="58"/>
      <c r="D222" s="58"/>
      <c r="E222" s="58"/>
      <c r="F222" s="59"/>
      <c r="G222" s="59"/>
    </row>
    <row r="223" spans="1:7" x14ac:dyDescent="0.35">
      <c r="A223" s="58"/>
      <c r="B223" s="57"/>
      <c r="C223" s="58"/>
      <c r="D223" s="58"/>
      <c r="E223" s="58"/>
      <c r="F223" s="59"/>
      <c r="G223" s="59"/>
    </row>
    <row r="224" spans="1:7" x14ac:dyDescent="0.35">
      <c r="A224" s="58"/>
      <c r="B224" s="57"/>
      <c r="C224" s="58"/>
      <c r="D224" s="58"/>
      <c r="E224" s="58"/>
      <c r="F224" s="59"/>
      <c r="G224" s="59"/>
    </row>
    <row r="225" spans="1:7" x14ac:dyDescent="0.35">
      <c r="A225" s="58"/>
      <c r="B225" s="57"/>
      <c r="C225" s="58"/>
      <c r="D225" s="58"/>
      <c r="E225" s="58"/>
      <c r="F225" s="59"/>
      <c r="G225" s="59"/>
    </row>
    <row r="226" spans="1:7" x14ac:dyDescent="0.35">
      <c r="A226" s="58"/>
      <c r="B226" s="57"/>
      <c r="C226" s="58"/>
      <c r="D226" s="58"/>
      <c r="E226" s="58"/>
      <c r="F226" s="59"/>
      <c r="G226" s="59"/>
    </row>
    <row r="227" spans="1:7" x14ac:dyDescent="0.35">
      <c r="A227" s="58"/>
      <c r="B227" s="57"/>
      <c r="C227" s="58"/>
      <c r="D227" s="58"/>
      <c r="E227" s="58"/>
      <c r="F227" s="59"/>
      <c r="G227" s="59"/>
    </row>
    <row r="228" spans="1:7" x14ac:dyDescent="0.35">
      <c r="A228" s="58"/>
      <c r="B228" s="57"/>
      <c r="C228" s="58"/>
      <c r="D228" s="58"/>
      <c r="E228" s="58"/>
      <c r="F228" s="59"/>
      <c r="G228" s="59"/>
    </row>
    <row r="229" spans="1:7" x14ac:dyDescent="0.35">
      <c r="A229" s="58"/>
      <c r="B229" s="57"/>
      <c r="C229" s="58"/>
      <c r="D229" s="58"/>
      <c r="E229" s="58"/>
      <c r="F229" s="59"/>
      <c r="G229" s="59"/>
    </row>
    <row r="230" spans="1:7" x14ac:dyDescent="0.35">
      <c r="A230" s="58"/>
      <c r="B230" s="57"/>
      <c r="C230" s="58"/>
      <c r="D230" s="58"/>
      <c r="E230" s="58"/>
      <c r="F230" s="59"/>
      <c r="G230" s="59"/>
    </row>
    <row r="231" spans="1:7" x14ac:dyDescent="0.35">
      <c r="A231" s="58"/>
      <c r="B231" s="57"/>
      <c r="C231" s="58"/>
      <c r="D231" s="58"/>
      <c r="E231" s="58"/>
      <c r="F231" s="59"/>
      <c r="G231" s="59"/>
    </row>
    <row r="232" spans="1:7" x14ac:dyDescent="0.35">
      <c r="A232" s="58"/>
      <c r="B232" s="57"/>
      <c r="C232" s="58"/>
      <c r="D232" s="58"/>
      <c r="E232" s="58"/>
      <c r="F232" s="59"/>
      <c r="G232" s="59"/>
    </row>
    <row r="233" spans="1:7" x14ac:dyDescent="0.35">
      <c r="A233" s="58"/>
      <c r="B233" s="57"/>
      <c r="C233" s="58"/>
      <c r="D233" s="58"/>
      <c r="E233" s="58"/>
      <c r="F233" s="59"/>
      <c r="G233" s="59"/>
    </row>
    <row r="234" spans="1:7" x14ac:dyDescent="0.35">
      <c r="A234" s="58"/>
      <c r="B234" s="57"/>
      <c r="C234" s="58"/>
      <c r="D234" s="58"/>
      <c r="E234" s="58"/>
      <c r="F234" s="59"/>
      <c r="G234" s="59"/>
    </row>
    <row r="235" spans="1:7" x14ac:dyDescent="0.35">
      <c r="A235" s="58"/>
      <c r="B235" s="57"/>
      <c r="C235" s="58"/>
      <c r="D235" s="58"/>
      <c r="E235" s="58"/>
      <c r="F235" s="59"/>
      <c r="G235" s="59"/>
    </row>
    <row r="236" spans="1:7" x14ac:dyDescent="0.35">
      <c r="A236" s="58"/>
      <c r="B236" s="57"/>
      <c r="C236" s="58"/>
      <c r="D236" s="58"/>
      <c r="E236" s="58"/>
      <c r="F236" s="59"/>
      <c r="G236" s="59"/>
    </row>
    <row r="237" spans="1:7" x14ac:dyDescent="0.35">
      <c r="A237" s="58"/>
      <c r="B237" s="57"/>
      <c r="C237" s="58"/>
      <c r="D237" s="58"/>
      <c r="E237" s="58"/>
      <c r="F237" s="59"/>
      <c r="G237" s="59"/>
    </row>
    <row r="238" spans="1:7" x14ac:dyDescent="0.35">
      <c r="A238" s="58"/>
      <c r="B238" s="57"/>
      <c r="C238" s="58"/>
      <c r="D238" s="58"/>
      <c r="E238" s="58"/>
      <c r="F238" s="59"/>
      <c r="G238" s="59"/>
    </row>
    <row r="239" spans="1:7" x14ac:dyDescent="0.35">
      <c r="A239" s="58"/>
      <c r="B239" s="57"/>
      <c r="C239" s="58"/>
      <c r="D239" s="58"/>
      <c r="E239" s="58"/>
      <c r="F239" s="59"/>
      <c r="G239" s="59"/>
    </row>
    <row r="240" spans="1:7" x14ac:dyDescent="0.35">
      <c r="A240" s="58"/>
      <c r="B240" s="57"/>
      <c r="C240" s="58"/>
      <c r="D240" s="58"/>
      <c r="E240" s="58"/>
      <c r="F240" s="59"/>
      <c r="G240" s="59"/>
    </row>
    <row r="241" spans="1:7" x14ac:dyDescent="0.35">
      <c r="A241" s="58"/>
      <c r="B241" s="57"/>
      <c r="C241" s="58"/>
      <c r="D241" s="58"/>
      <c r="E241" s="58"/>
      <c r="F241" s="59"/>
      <c r="G241" s="59"/>
    </row>
    <row r="242" spans="1:7" x14ac:dyDescent="0.35">
      <c r="A242" s="58"/>
      <c r="B242" s="57"/>
      <c r="C242" s="58"/>
      <c r="D242" s="58"/>
      <c r="E242" s="58"/>
      <c r="F242" s="59"/>
      <c r="G242" s="59"/>
    </row>
    <row r="243" spans="1:7" x14ac:dyDescent="0.35">
      <c r="A243" s="58"/>
      <c r="B243" s="57"/>
      <c r="C243" s="58"/>
      <c r="D243" s="58"/>
      <c r="E243" s="58"/>
      <c r="F243" s="59"/>
      <c r="G243" s="59"/>
    </row>
    <row r="244" spans="1:7" x14ac:dyDescent="0.35">
      <c r="A244" s="58"/>
      <c r="B244" s="57"/>
      <c r="C244" s="58"/>
      <c r="D244" s="58"/>
      <c r="E244" s="58"/>
      <c r="F244" s="59"/>
      <c r="G244" s="59"/>
    </row>
    <row r="245" spans="1:7" x14ac:dyDescent="0.35">
      <c r="A245" s="58"/>
      <c r="B245" s="57"/>
      <c r="C245" s="58"/>
      <c r="D245" s="58"/>
      <c r="E245" s="58"/>
      <c r="F245" s="59"/>
      <c r="G245" s="59"/>
    </row>
    <row r="246" spans="1:7" x14ac:dyDescent="0.35">
      <c r="A246" s="58"/>
      <c r="B246" s="57"/>
      <c r="C246" s="58"/>
      <c r="D246" s="58"/>
      <c r="E246" s="58"/>
      <c r="F246" s="59"/>
      <c r="G246" s="59"/>
    </row>
    <row r="247" spans="1:7" x14ac:dyDescent="0.35">
      <c r="A247" s="58"/>
      <c r="B247" s="57"/>
      <c r="C247" s="58"/>
      <c r="D247" s="58"/>
      <c r="E247" s="58"/>
      <c r="F247" s="59"/>
      <c r="G247" s="59"/>
    </row>
    <row r="248" spans="1:7" x14ac:dyDescent="0.35">
      <c r="A248" s="58"/>
      <c r="B248" s="57"/>
      <c r="C248" s="58"/>
      <c r="D248" s="58"/>
      <c r="E248" s="58"/>
      <c r="F248" s="59"/>
      <c r="G248" s="59"/>
    </row>
    <row r="249" spans="1:7" x14ac:dyDescent="0.35">
      <c r="A249" s="58"/>
      <c r="B249" s="57"/>
      <c r="C249" s="58"/>
      <c r="D249" s="58"/>
      <c r="E249" s="58"/>
      <c r="F249" s="59"/>
      <c r="G249" s="59"/>
    </row>
    <row r="250" spans="1:7" x14ac:dyDescent="0.35">
      <c r="A250" s="58"/>
      <c r="B250" s="57"/>
      <c r="C250" s="58"/>
      <c r="D250" s="58"/>
      <c r="E250" s="58"/>
      <c r="F250" s="59"/>
      <c r="G250" s="59"/>
    </row>
    <row r="251" spans="1:7" x14ac:dyDescent="0.35">
      <c r="A251" s="58"/>
      <c r="B251" s="57"/>
      <c r="C251" s="58"/>
      <c r="D251" s="58"/>
      <c r="E251" s="58"/>
      <c r="F251" s="59"/>
      <c r="G251" s="59"/>
    </row>
    <row r="252" spans="1:7" x14ac:dyDescent="0.35">
      <c r="A252" s="58"/>
      <c r="B252" s="57"/>
      <c r="C252" s="58"/>
      <c r="D252" s="58"/>
      <c r="E252" s="58"/>
      <c r="F252" s="59"/>
      <c r="G252" s="59"/>
    </row>
    <row r="253" spans="1:7" x14ac:dyDescent="0.35">
      <c r="A253" s="58"/>
      <c r="B253" s="57"/>
      <c r="C253" s="58"/>
      <c r="D253" s="58"/>
      <c r="E253" s="58"/>
      <c r="F253" s="59"/>
      <c r="G253" s="59"/>
    </row>
    <row r="254" spans="1:7" x14ac:dyDescent="0.35">
      <c r="A254" s="58"/>
      <c r="B254" s="57"/>
      <c r="C254" s="58"/>
      <c r="D254" s="58"/>
      <c r="E254" s="58"/>
      <c r="F254" s="59"/>
      <c r="G254" s="59"/>
    </row>
    <row r="255" spans="1:7" x14ac:dyDescent="0.35">
      <c r="A255" s="58"/>
      <c r="B255" s="57"/>
      <c r="C255" s="58"/>
      <c r="D255" s="58"/>
      <c r="E255" s="58"/>
      <c r="F255" s="59"/>
      <c r="G255" s="59"/>
    </row>
    <row r="256" spans="1:7" x14ac:dyDescent="0.35">
      <c r="A256" s="58"/>
      <c r="B256" s="57"/>
      <c r="C256" s="58"/>
      <c r="D256" s="58"/>
      <c r="E256" s="58"/>
      <c r="F256" s="59"/>
      <c r="G256" s="59"/>
    </row>
    <row r="257" spans="1:7" x14ac:dyDescent="0.35">
      <c r="A257" s="58"/>
      <c r="B257" s="57"/>
      <c r="C257" s="58"/>
      <c r="D257" s="58"/>
      <c r="E257" s="58"/>
      <c r="F257" s="59"/>
      <c r="G257" s="59"/>
    </row>
    <row r="258" spans="1:7" x14ac:dyDescent="0.35">
      <c r="A258" s="58"/>
      <c r="B258" s="57"/>
      <c r="C258" s="58"/>
      <c r="D258" s="58"/>
      <c r="E258" s="58"/>
      <c r="F258" s="59"/>
      <c r="G258" s="59"/>
    </row>
    <row r="259" spans="1:7" x14ac:dyDescent="0.35">
      <c r="A259" s="58"/>
      <c r="B259" s="57"/>
      <c r="C259" s="58"/>
      <c r="D259" s="58"/>
      <c r="E259" s="58"/>
      <c r="F259" s="59"/>
      <c r="G259" s="59"/>
    </row>
    <row r="260" spans="1:7" x14ac:dyDescent="0.35">
      <c r="A260" s="58"/>
      <c r="B260" s="57"/>
      <c r="C260" s="58"/>
      <c r="D260" s="58"/>
      <c r="E260" s="58"/>
      <c r="F260" s="59"/>
      <c r="G260" s="59"/>
    </row>
    <row r="261" spans="1:7" x14ac:dyDescent="0.35">
      <c r="A261" s="58"/>
      <c r="B261" s="57"/>
      <c r="C261" s="58"/>
      <c r="D261" s="58"/>
      <c r="E261" s="58"/>
      <c r="F261" s="59"/>
      <c r="G261" s="59"/>
    </row>
    <row r="262" spans="1:7" x14ac:dyDescent="0.35">
      <c r="A262" s="58"/>
      <c r="B262" s="57"/>
      <c r="C262" s="58"/>
      <c r="D262" s="58"/>
      <c r="E262" s="58"/>
      <c r="F262" s="59"/>
      <c r="G262" s="59"/>
    </row>
    <row r="263" spans="1:7" x14ac:dyDescent="0.35">
      <c r="A263" s="58"/>
      <c r="B263" s="57"/>
      <c r="C263" s="58"/>
      <c r="D263" s="58"/>
      <c r="E263" s="58"/>
      <c r="F263" s="59"/>
      <c r="G263" s="59"/>
    </row>
    <row r="264" spans="1:7" x14ac:dyDescent="0.35">
      <c r="A264" s="58"/>
      <c r="B264" s="57"/>
      <c r="C264" s="58"/>
      <c r="D264" s="58"/>
      <c r="E264" s="58"/>
      <c r="F264" s="59"/>
      <c r="G264" s="59"/>
    </row>
    <row r="265" spans="1:7" x14ac:dyDescent="0.35">
      <c r="A265" s="58"/>
      <c r="B265" s="57"/>
      <c r="C265" s="58"/>
      <c r="D265" s="58"/>
      <c r="E265" s="58"/>
      <c r="F265" s="59"/>
      <c r="G265" s="59"/>
    </row>
    <row r="266" spans="1:7" x14ac:dyDescent="0.35">
      <c r="A266" s="58"/>
      <c r="B266" s="57"/>
      <c r="C266" s="58"/>
      <c r="D266" s="58"/>
      <c r="E266" s="58"/>
      <c r="F266" s="59"/>
      <c r="G266" s="59"/>
    </row>
    <row r="267" spans="1:7" x14ac:dyDescent="0.35">
      <c r="A267" s="58"/>
      <c r="B267" s="57"/>
      <c r="C267" s="58"/>
      <c r="D267" s="58"/>
      <c r="E267" s="58"/>
      <c r="F267" s="59"/>
      <c r="G267" s="59"/>
    </row>
    <row r="268" spans="1:7" x14ac:dyDescent="0.35">
      <c r="A268" s="58"/>
      <c r="B268" s="57"/>
      <c r="C268" s="58"/>
      <c r="D268" s="58"/>
      <c r="E268" s="58"/>
      <c r="F268" s="59"/>
      <c r="G268" s="59"/>
    </row>
    <row r="269" spans="1:7" x14ac:dyDescent="0.35">
      <c r="A269" s="58"/>
      <c r="B269" s="57"/>
      <c r="C269" s="58"/>
      <c r="D269" s="58"/>
      <c r="E269" s="58"/>
      <c r="F269" s="59"/>
      <c r="G269" s="59"/>
    </row>
    <row r="270" spans="1:7" x14ac:dyDescent="0.35">
      <c r="A270" s="58"/>
      <c r="B270" s="57"/>
      <c r="C270" s="58"/>
      <c r="D270" s="58"/>
      <c r="E270" s="58"/>
      <c r="F270" s="59"/>
      <c r="G270" s="59"/>
    </row>
    <row r="271" spans="1:7" x14ac:dyDescent="0.35">
      <c r="A271" s="58"/>
      <c r="B271" s="57"/>
      <c r="C271" s="58"/>
      <c r="D271" s="58"/>
      <c r="E271" s="58"/>
      <c r="F271" s="59"/>
      <c r="G271" s="59"/>
    </row>
    <row r="272" spans="1:7" x14ac:dyDescent="0.35">
      <c r="A272" s="58"/>
      <c r="B272" s="57"/>
      <c r="C272" s="58"/>
      <c r="D272" s="58"/>
      <c r="E272" s="58"/>
      <c r="F272" s="59"/>
      <c r="G272" s="59"/>
    </row>
    <row r="273" spans="1:7" x14ac:dyDescent="0.35">
      <c r="A273" s="58"/>
      <c r="B273" s="57"/>
      <c r="C273" s="58"/>
      <c r="D273" s="58"/>
      <c r="E273" s="58"/>
      <c r="F273" s="59"/>
      <c r="G273" s="59"/>
    </row>
    <row r="274" spans="1:7" x14ac:dyDescent="0.35">
      <c r="A274" s="58"/>
      <c r="B274" s="57"/>
      <c r="C274" s="58"/>
      <c r="D274" s="58"/>
      <c r="E274" s="58"/>
      <c r="F274" s="59"/>
      <c r="G274" s="59"/>
    </row>
    <row r="275" spans="1:7" x14ac:dyDescent="0.35">
      <c r="A275" s="58"/>
      <c r="B275" s="57"/>
      <c r="C275" s="58"/>
      <c r="D275" s="58"/>
      <c r="E275" s="58"/>
      <c r="F275" s="59"/>
      <c r="G275" s="59"/>
    </row>
    <row r="276" spans="1:7" x14ac:dyDescent="0.35">
      <c r="A276" s="58"/>
      <c r="B276" s="57"/>
      <c r="C276" s="58"/>
      <c r="D276" s="58"/>
      <c r="E276" s="58"/>
      <c r="F276" s="59"/>
      <c r="G276" s="59"/>
    </row>
    <row r="277" spans="1:7" x14ac:dyDescent="0.35">
      <c r="A277" s="58"/>
      <c r="B277" s="57"/>
      <c r="C277" s="58"/>
      <c r="D277" s="58"/>
      <c r="E277" s="58"/>
      <c r="F277" s="59"/>
      <c r="G277" s="59"/>
    </row>
    <row r="278" spans="1:7" x14ac:dyDescent="0.35">
      <c r="A278" s="58"/>
      <c r="B278" s="57"/>
      <c r="C278" s="58"/>
      <c r="D278" s="58"/>
      <c r="E278" s="58"/>
      <c r="F278" s="59"/>
      <c r="G278" s="59"/>
    </row>
    <row r="279" spans="1:7" x14ac:dyDescent="0.35">
      <c r="A279" s="58"/>
      <c r="B279" s="57"/>
      <c r="C279" s="58"/>
      <c r="D279" s="58"/>
      <c r="E279" s="58"/>
      <c r="F279" s="59"/>
      <c r="G279" s="59"/>
    </row>
    <row r="280" spans="1:7" x14ac:dyDescent="0.35">
      <c r="A280" s="58"/>
      <c r="B280" s="57"/>
      <c r="C280" s="58"/>
      <c r="D280" s="58"/>
      <c r="E280" s="58"/>
      <c r="F280" s="59"/>
      <c r="G280" s="59"/>
    </row>
    <row r="281" spans="1:7" x14ac:dyDescent="0.35">
      <c r="A281" s="58"/>
      <c r="B281" s="57"/>
      <c r="C281" s="58"/>
      <c r="D281" s="58"/>
      <c r="E281" s="58"/>
      <c r="F281" s="59"/>
      <c r="G281" s="59"/>
    </row>
    <row r="282" spans="1:7" x14ac:dyDescent="0.35">
      <c r="A282" s="58"/>
      <c r="B282" s="57"/>
      <c r="C282" s="58"/>
      <c r="D282" s="58"/>
      <c r="E282" s="58"/>
      <c r="F282" s="59"/>
      <c r="G282" s="59"/>
    </row>
    <row r="283" spans="1:7" x14ac:dyDescent="0.35">
      <c r="A283" s="58"/>
      <c r="B283" s="57"/>
      <c r="C283" s="58"/>
      <c r="D283" s="58"/>
      <c r="E283" s="58"/>
      <c r="F283" s="59"/>
      <c r="G283" s="59"/>
    </row>
    <row r="284" spans="1:7" x14ac:dyDescent="0.35">
      <c r="A284" s="58"/>
      <c r="B284" s="57"/>
      <c r="C284" s="58"/>
      <c r="D284" s="58"/>
      <c r="E284" s="58"/>
      <c r="F284" s="59"/>
      <c r="G284" s="59"/>
    </row>
    <row r="285" spans="1:7" x14ac:dyDescent="0.35">
      <c r="A285" s="58"/>
      <c r="B285" s="57"/>
      <c r="C285" s="58"/>
      <c r="D285" s="58"/>
      <c r="E285" s="58"/>
      <c r="F285" s="59"/>
      <c r="G285" s="59"/>
    </row>
    <row r="286" spans="1:7" x14ac:dyDescent="0.35">
      <c r="A286" s="58"/>
      <c r="B286" s="57"/>
      <c r="C286" s="58"/>
      <c r="D286" s="58"/>
      <c r="E286" s="58"/>
      <c r="F286" s="59"/>
      <c r="G286" s="59"/>
    </row>
    <row r="287" spans="1:7" x14ac:dyDescent="0.35">
      <c r="A287" s="58"/>
      <c r="B287" s="57"/>
      <c r="C287" s="58"/>
      <c r="D287" s="58"/>
      <c r="E287" s="58"/>
      <c r="F287" s="59"/>
      <c r="G287" s="59"/>
    </row>
    <row r="288" spans="1:7" x14ac:dyDescent="0.35">
      <c r="A288" s="58"/>
      <c r="B288" s="57"/>
      <c r="C288" s="58"/>
      <c r="D288" s="58"/>
      <c r="E288" s="58"/>
      <c r="F288" s="59"/>
      <c r="G288" s="59"/>
    </row>
    <row r="289" spans="1:7" x14ac:dyDescent="0.35">
      <c r="A289" s="58"/>
      <c r="B289" s="57"/>
      <c r="C289" s="58"/>
      <c r="D289" s="58"/>
      <c r="E289" s="58"/>
      <c r="F289" s="59"/>
      <c r="G289" s="59"/>
    </row>
    <row r="290" spans="1:7" x14ac:dyDescent="0.35">
      <c r="A290" s="58"/>
      <c r="B290" s="57"/>
      <c r="C290" s="58"/>
      <c r="D290" s="58"/>
      <c r="E290" s="58"/>
      <c r="F290" s="59"/>
      <c r="G290" s="59"/>
    </row>
    <row r="291" spans="1:7" x14ac:dyDescent="0.35">
      <c r="A291" s="58"/>
      <c r="B291" s="57"/>
      <c r="C291" s="58"/>
      <c r="D291" s="58"/>
      <c r="E291" s="58"/>
      <c r="F291" s="59"/>
      <c r="G291" s="59"/>
    </row>
    <row r="292" spans="1:7" x14ac:dyDescent="0.35">
      <c r="A292" s="58"/>
      <c r="B292" s="57"/>
      <c r="C292" s="58"/>
      <c r="D292" s="58"/>
      <c r="E292" s="58"/>
      <c r="F292" s="59"/>
      <c r="G292" s="59"/>
    </row>
    <row r="293" spans="1:7" x14ac:dyDescent="0.35">
      <c r="A293" s="58"/>
      <c r="B293" s="57"/>
      <c r="C293" s="58"/>
      <c r="D293" s="58"/>
      <c r="E293" s="58"/>
      <c r="F293" s="59"/>
      <c r="G293" s="59"/>
    </row>
    <row r="294" spans="1:7" x14ac:dyDescent="0.35">
      <c r="A294" s="58"/>
      <c r="B294" s="57"/>
      <c r="C294" s="58"/>
      <c r="D294" s="58"/>
      <c r="E294" s="58"/>
      <c r="F294" s="59"/>
      <c r="G294" s="59"/>
    </row>
    <row r="295" spans="1:7" x14ac:dyDescent="0.35">
      <c r="A295" s="58"/>
      <c r="B295" s="57"/>
      <c r="C295" s="58"/>
      <c r="D295" s="58"/>
      <c r="E295" s="58"/>
      <c r="F295" s="59"/>
      <c r="G295" s="59"/>
    </row>
    <row r="296" spans="1:7" x14ac:dyDescent="0.35">
      <c r="A296" s="58"/>
      <c r="B296" s="57"/>
      <c r="C296" s="58"/>
      <c r="D296" s="58"/>
      <c r="E296" s="58"/>
      <c r="F296" s="59"/>
      <c r="G296" s="59"/>
    </row>
    <row r="297" spans="1:7" x14ac:dyDescent="0.35">
      <c r="A297" s="58"/>
      <c r="B297" s="57"/>
      <c r="C297" s="58"/>
      <c r="D297" s="58"/>
      <c r="E297" s="58"/>
      <c r="F297" s="59"/>
      <c r="G297" s="59"/>
    </row>
    <row r="298" spans="1:7" x14ac:dyDescent="0.35">
      <c r="A298" s="58"/>
      <c r="B298" s="57"/>
      <c r="C298" s="58"/>
      <c r="D298" s="58"/>
      <c r="E298" s="58"/>
      <c r="F298" s="59"/>
      <c r="G298" s="59"/>
    </row>
    <row r="299" spans="1:7" x14ac:dyDescent="0.35">
      <c r="A299" s="58"/>
      <c r="B299" s="57"/>
      <c r="C299" s="58"/>
      <c r="D299" s="58"/>
      <c r="E299" s="58"/>
      <c r="F299" s="59"/>
      <c r="G299" s="59"/>
    </row>
    <row r="300" spans="1:7" x14ac:dyDescent="0.35">
      <c r="A300" s="58"/>
      <c r="B300" s="57"/>
      <c r="C300" s="58"/>
      <c r="D300" s="58"/>
      <c r="E300" s="58"/>
      <c r="F300" s="59"/>
      <c r="G300" s="59"/>
    </row>
    <row r="301" spans="1:7" x14ac:dyDescent="0.35">
      <c r="A301" s="58"/>
      <c r="B301" s="57"/>
      <c r="C301" s="58"/>
      <c r="D301" s="58"/>
      <c r="E301" s="58"/>
      <c r="F301" s="59"/>
      <c r="G301" s="59"/>
    </row>
    <row r="302" spans="1:7" x14ac:dyDescent="0.35">
      <c r="A302" s="58"/>
      <c r="B302" s="57"/>
      <c r="C302" s="58"/>
      <c r="D302" s="58"/>
      <c r="E302" s="58"/>
      <c r="F302" s="59"/>
      <c r="G302" s="59"/>
    </row>
    <row r="303" spans="1:7" x14ac:dyDescent="0.35">
      <c r="A303" s="58"/>
      <c r="B303" s="57"/>
      <c r="C303" s="58"/>
      <c r="D303" s="58"/>
      <c r="E303" s="58"/>
      <c r="F303" s="59"/>
      <c r="G303" s="59"/>
    </row>
    <row r="304" spans="1:7" x14ac:dyDescent="0.35">
      <c r="A304" s="58"/>
      <c r="B304" s="57"/>
      <c r="C304" s="58"/>
      <c r="D304" s="58"/>
      <c r="E304" s="58"/>
      <c r="F304" s="59"/>
      <c r="G304" s="59"/>
    </row>
    <row r="305" spans="1:7" x14ac:dyDescent="0.35">
      <c r="A305" s="58"/>
      <c r="B305" s="57"/>
      <c r="C305" s="58"/>
      <c r="D305" s="58"/>
      <c r="E305" s="58"/>
      <c r="F305" s="59"/>
      <c r="G305" s="59"/>
    </row>
    <row r="306" spans="1:7" x14ac:dyDescent="0.35">
      <c r="A306" s="58"/>
      <c r="B306" s="57"/>
      <c r="C306" s="58"/>
      <c r="D306" s="58"/>
      <c r="E306" s="58"/>
      <c r="F306" s="59"/>
      <c r="G306" s="59"/>
    </row>
    <row r="307" spans="1:7" x14ac:dyDescent="0.35">
      <c r="A307" s="58"/>
      <c r="B307" s="57"/>
      <c r="C307" s="58"/>
      <c r="D307" s="58"/>
      <c r="E307" s="58"/>
      <c r="F307" s="59"/>
      <c r="G307" s="59"/>
    </row>
    <row r="308" spans="1:7" x14ac:dyDescent="0.35">
      <c r="A308" s="58"/>
      <c r="B308" s="57"/>
      <c r="C308" s="58"/>
      <c r="D308" s="58"/>
      <c r="E308" s="58"/>
      <c r="F308" s="59"/>
      <c r="G308" s="59"/>
    </row>
    <row r="309" spans="1:7" x14ac:dyDescent="0.35">
      <c r="A309" s="58"/>
      <c r="B309" s="57"/>
      <c r="C309" s="58"/>
      <c r="D309" s="58"/>
      <c r="E309" s="58"/>
      <c r="F309" s="59"/>
      <c r="G309" s="59"/>
    </row>
    <row r="310" spans="1:7" x14ac:dyDescent="0.35">
      <c r="A310" s="58"/>
      <c r="B310" s="57"/>
      <c r="C310" s="58"/>
      <c r="D310" s="58"/>
      <c r="E310" s="58"/>
      <c r="F310" s="59"/>
      <c r="G310" s="59"/>
    </row>
    <row r="311" spans="1:7" x14ac:dyDescent="0.35">
      <c r="A311" s="58"/>
      <c r="B311" s="57"/>
      <c r="C311" s="58"/>
      <c r="D311" s="58"/>
      <c r="E311" s="58"/>
      <c r="F311" s="59"/>
      <c r="G311" s="59"/>
    </row>
    <row r="312" spans="1:7" x14ac:dyDescent="0.35">
      <c r="A312" s="58"/>
      <c r="B312" s="57"/>
      <c r="C312" s="58"/>
      <c r="D312" s="58"/>
      <c r="E312" s="58"/>
      <c r="F312" s="59"/>
      <c r="G312" s="59"/>
    </row>
    <row r="313" spans="1:7" x14ac:dyDescent="0.35">
      <c r="A313" s="58"/>
      <c r="B313" s="57"/>
      <c r="C313" s="58"/>
      <c r="D313" s="58"/>
      <c r="E313" s="58"/>
      <c r="F313" s="59"/>
      <c r="G313" s="59"/>
    </row>
    <row r="314" spans="1:7" x14ac:dyDescent="0.35">
      <c r="A314" s="58"/>
      <c r="B314" s="57"/>
      <c r="C314" s="58"/>
      <c r="D314" s="58"/>
      <c r="E314" s="58"/>
      <c r="F314" s="59"/>
      <c r="G314" s="59"/>
    </row>
    <row r="315" spans="1:7" x14ac:dyDescent="0.35">
      <c r="A315" s="58"/>
      <c r="B315" s="57"/>
      <c r="C315" s="58"/>
      <c r="D315" s="58"/>
      <c r="E315" s="58"/>
      <c r="F315" s="59"/>
      <c r="G315" s="59"/>
    </row>
    <row r="316" spans="1:7" x14ac:dyDescent="0.35">
      <c r="A316" s="58"/>
      <c r="B316" s="57"/>
      <c r="C316" s="58"/>
      <c r="D316" s="58"/>
      <c r="E316" s="58"/>
      <c r="F316" s="59"/>
      <c r="G316" s="59"/>
    </row>
    <row r="317" spans="1:7" x14ac:dyDescent="0.35">
      <c r="A317" s="58"/>
      <c r="B317" s="57"/>
      <c r="C317" s="58"/>
      <c r="D317" s="58"/>
      <c r="E317" s="58"/>
      <c r="F317" s="59"/>
      <c r="G317" s="59"/>
    </row>
    <row r="318" spans="1:7" x14ac:dyDescent="0.35">
      <c r="A318" s="58"/>
      <c r="B318" s="57"/>
      <c r="C318" s="58"/>
      <c r="D318" s="58"/>
      <c r="E318" s="58"/>
      <c r="F318" s="59"/>
      <c r="G318" s="59"/>
    </row>
    <row r="319" spans="1:7" x14ac:dyDescent="0.35">
      <c r="A319" s="58"/>
      <c r="B319" s="57"/>
      <c r="C319" s="58"/>
      <c r="D319" s="58"/>
      <c r="E319" s="58"/>
      <c r="F319" s="59"/>
      <c r="G319" s="59"/>
    </row>
    <row r="320" spans="1:7" x14ac:dyDescent="0.35">
      <c r="A320" s="58"/>
      <c r="B320" s="57"/>
      <c r="C320" s="58"/>
      <c r="D320" s="58"/>
      <c r="E320" s="58"/>
      <c r="F320" s="59"/>
      <c r="G320" s="59"/>
    </row>
    <row r="321" spans="1:7" x14ac:dyDescent="0.35">
      <c r="A321" s="58"/>
      <c r="B321" s="57"/>
      <c r="C321" s="58"/>
      <c r="D321" s="58"/>
      <c r="E321" s="58"/>
      <c r="F321" s="59"/>
      <c r="G321" s="59"/>
    </row>
    <row r="322" spans="1:7" x14ac:dyDescent="0.35">
      <c r="A322" s="58"/>
      <c r="B322" s="57"/>
      <c r="C322" s="58"/>
      <c r="D322" s="58"/>
      <c r="E322" s="58"/>
      <c r="F322" s="59"/>
      <c r="G322" s="59"/>
    </row>
    <row r="323" spans="1:7" x14ac:dyDescent="0.35">
      <c r="A323" s="58"/>
      <c r="B323" s="57"/>
      <c r="C323" s="58"/>
      <c r="D323" s="58"/>
      <c r="E323" s="58"/>
      <c r="F323" s="59"/>
      <c r="G323" s="59"/>
    </row>
    <row r="324" spans="1:7" x14ac:dyDescent="0.35">
      <c r="A324" s="58"/>
      <c r="B324" s="57"/>
      <c r="C324" s="58"/>
      <c r="D324" s="58"/>
      <c r="E324" s="58"/>
      <c r="F324" s="59"/>
      <c r="G324" s="59"/>
    </row>
    <row r="325" spans="1:7" x14ac:dyDescent="0.35">
      <c r="A325" s="58"/>
      <c r="B325" s="57"/>
      <c r="C325" s="58"/>
      <c r="D325" s="58"/>
      <c r="E325" s="58"/>
      <c r="F325" s="59"/>
      <c r="G325" s="59"/>
    </row>
    <row r="326" spans="1:7" x14ac:dyDescent="0.35">
      <c r="A326" s="58"/>
      <c r="B326" s="57"/>
      <c r="C326" s="58"/>
      <c r="D326" s="58"/>
      <c r="E326" s="58"/>
      <c r="F326" s="59"/>
      <c r="G326" s="59"/>
    </row>
    <row r="327" spans="1:7" x14ac:dyDescent="0.35">
      <c r="A327" s="58"/>
      <c r="B327" s="57"/>
      <c r="C327" s="58"/>
      <c r="D327" s="58"/>
      <c r="E327" s="58"/>
      <c r="F327" s="59"/>
      <c r="G327" s="59"/>
    </row>
    <row r="328" spans="1:7" x14ac:dyDescent="0.35">
      <c r="A328" s="58"/>
      <c r="B328" s="57"/>
      <c r="C328" s="58"/>
      <c r="D328" s="58"/>
      <c r="E328" s="58"/>
      <c r="F328" s="59"/>
      <c r="G328" s="59"/>
    </row>
    <row r="329" spans="1:7" x14ac:dyDescent="0.35">
      <c r="A329" s="58"/>
      <c r="B329" s="57"/>
      <c r="C329" s="58"/>
      <c r="D329" s="58"/>
      <c r="E329" s="58"/>
      <c r="F329" s="59"/>
      <c r="G329" s="59"/>
    </row>
    <row r="330" spans="1:7" x14ac:dyDescent="0.35">
      <c r="A330" s="58"/>
      <c r="B330" s="57"/>
      <c r="C330" s="58"/>
      <c r="D330" s="58"/>
      <c r="E330" s="58"/>
      <c r="F330" s="59"/>
      <c r="G330" s="59"/>
    </row>
    <row r="331" spans="1:7" x14ac:dyDescent="0.35">
      <c r="A331" s="58"/>
      <c r="B331" s="57"/>
      <c r="C331" s="58"/>
      <c r="D331" s="58"/>
      <c r="E331" s="58"/>
      <c r="F331" s="59"/>
      <c r="G331" s="59"/>
    </row>
    <row r="332" spans="1:7" x14ac:dyDescent="0.35">
      <c r="A332" s="58"/>
      <c r="B332" s="57"/>
      <c r="C332" s="58"/>
      <c r="D332" s="58"/>
      <c r="E332" s="58"/>
      <c r="F332" s="59"/>
      <c r="G332" s="59"/>
    </row>
    <row r="333" spans="1:7" x14ac:dyDescent="0.35">
      <c r="A333" s="58"/>
      <c r="B333" s="57"/>
      <c r="C333" s="58"/>
      <c r="D333" s="58"/>
      <c r="E333" s="58"/>
      <c r="F333" s="59"/>
      <c r="G333" s="59"/>
    </row>
    <row r="334" spans="1:7" x14ac:dyDescent="0.35">
      <c r="A334" s="58"/>
      <c r="B334" s="57"/>
      <c r="C334" s="58"/>
      <c r="D334" s="58"/>
      <c r="E334" s="58"/>
      <c r="F334" s="59"/>
      <c r="G334" s="59"/>
    </row>
    <row r="335" spans="1:7" x14ac:dyDescent="0.35">
      <c r="A335" s="58"/>
      <c r="B335" s="57"/>
      <c r="C335" s="58"/>
      <c r="D335" s="58"/>
      <c r="E335" s="58"/>
      <c r="F335" s="59"/>
      <c r="G335" s="59"/>
    </row>
    <row r="336" spans="1:7" x14ac:dyDescent="0.35">
      <c r="A336" s="58"/>
      <c r="B336" s="57"/>
      <c r="C336" s="58"/>
      <c r="D336" s="58"/>
      <c r="E336" s="58"/>
      <c r="F336" s="59"/>
      <c r="G336" s="59"/>
    </row>
    <row r="337" spans="1:7" x14ac:dyDescent="0.35">
      <c r="A337" s="58"/>
      <c r="B337" s="57"/>
      <c r="C337" s="58"/>
      <c r="D337" s="58"/>
      <c r="E337" s="58"/>
      <c r="F337" s="59"/>
      <c r="G337" s="59"/>
    </row>
    <row r="338" spans="1:7" x14ac:dyDescent="0.35">
      <c r="A338" s="58"/>
      <c r="B338" s="57"/>
      <c r="C338" s="58"/>
      <c r="D338" s="58"/>
      <c r="E338" s="58"/>
      <c r="F338" s="59"/>
      <c r="G338" s="59"/>
    </row>
    <row r="339" spans="1:7" x14ac:dyDescent="0.35">
      <c r="A339" s="58"/>
      <c r="B339" s="57"/>
      <c r="C339" s="58"/>
      <c r="D339" s="58"/>
      <c r="E339" s="58"/>
      <c r="F339" s="59"/>
      <c r="G339" s="59"/>
    </row>
    <row r="340" spans="1:7" x14ac:dyDescent="0.35">
      <c r="A340" s="58"/>
      <c r="B340" s="57"/>
      <c r="C340" s="58"/>
      <c r="D340" s="58"/>
      <c r="E340" s="58"/>
      <c r="F340" s="59"/>
      <c r="G340" s="59"/>
    </row>
    <row r="341" spans="1:7" x14ac:dyDescent="0.35">
      <c r="A341" s="58"/>
      <c r="B341" s="57"/>
      <c r="C341" s="58"/>
      <c r="D341" s="58"/>
      <c r="E341" s="58"/>
      <c r="F341" s="59"/>
      <c r="G341" s="59"/>
    </row>
    <row r="342" spans="1:7" x14ac:dyDescent="0.35">
      <c r="A342" s="58"/>
      <c r="B342" s="57"/>
      <c r="C342" s="58"/>
      <c r="D342" s="58"/>
      <c r="E342" s="58"/>
      <c r="F342" s="59"/>
      <c r="G342" s="59"/>
    </row>
    <row r="343" spans="1:7" x14ac:dyDescent="0.35">
      <c r="A343" s="58"/>
      <c r="B343" s="57"/>
      <c r="C343" s="58"/>
      <c r="D343" s="58"/>
      <c r="E343" s="58"/>
      <c r="F343" s="59"/>
      <c r="G343" s="59"/>
    </row>
    <row r="344" spans="1:7" x14ac:dyDescent="0.35">
      <c r="A344" s="58"/>
      <c r="B344" s="57"/>
      <c r="C344" s="58"/>
      <c r="D344" s="58"/>
      <c r="E344" s="58"/>
      <c r="F344" s="59"/>
      <c r="G344" s="59"/>
    </row>
    <row r="345" spans="1:7" x14ac:dyDescent="0.35">
      <c r="A345" s="58"/>
      <c r="B345" s="57"/>
      <c r="C345" s="58"/>
      <c r="D345" s="58"/>
      <c r="E345" s="58"/>
      <c r="F345" s="59"/>
      <c r="G345" s="59"/>
    </row>
    <row r="346" spans="1:7" x14ac:dyDescent="0.35">
      <c r="A346" s="58"/>
      <c r="B346" s="57"/>
      <c r="C346" s="58"/>
      <c r="D346" s="58"/>
      <c r="E346" s="58"/>
      <c r="F346" s="59"/>
      <c r="G346" s="59"/>
    </row>
    <row r="347" spans="1:7" x14ac:dyDescent="0.35">
      <c r="A347" s="58"/>
      <c r="B347" s="57"/>
      <c r="C347" s="58"/>
      <c r="D347" s="58"/>
      <c r="E347" s="58"/>
      <c r="F347" s="59"/>
      <c r="G347" s="59"/>
    </row>
    <row r="348" spans="1:7" x14ac:dyDescent="0.35">
      <c r="A348" s="58"/>
      <c r="B348" s="57"/>
      <c r="C348" s="58"/>
      <c r="D348" s="58"/>
      <c r="E348" s="58"/>
      <c r="F348" s="59"/>
      <c r="G348" s="59"/>
    </row>
    <row r="349" spans="1:7" x14ac:dyDescent="0.35">
      <c r="A349" s="58"/>
      <c r="B349" s="57"/>
      <c r="C349" s="58"/>
      <c r="D349" s="58"/>
      <c r="E349" s="58"/>
      <c r="F349" s="59"/>
      <c r="G349" s="59"/>
    </row>
    <row r="350" spans="1:7" x14ac:dyDescent="0.35">
      <c r="A350" s="58"/>
      <c r="B350" s="57"/>
      <c r="C350" s="58"/>
      <c r="D350" s="58"/>
      <c r="E350" s="58"/>
      <c r="F350" s="59"/>
      <c r="G350" s="59"/>
    </row>
    <row r="351" spans="1:7" x14ac:dyDescent="0.35">
      <c r="A351" s="58"/>
      <c r="B351" s="57"/>
      <c r="C351" s="58"/>
      <c r="D351" s="58"/>
      <c r="E351" s="58"/>
      <c r="F351" s="59"/>
      <c r="G351" s="59"/>
    </row>
    <row r="352" spans="1:7" x14ac:dyDescent="0.35">
      <c r="A352" s="58"/>
      <c r="B352" s="57"/>
      <c r="C352" s="58"/>
      <c r="D352" s="58"/>
      <c r="E352" s="58"/>
      <c r="F352" s="59"/>
      <c r="G352" s="59"/>
    </row>
    <row r="353" spans="1:7" x14ac:dyDescent="0.35">
      <c r="A353" s="58"/>
      <c r="B353" s="57"/>
      <c r="C353" s="58"/>
      <c r="D353" s="58"/>
      <c r="E353" s="58"/>
      <c r="F353" s="59"/>
      <c r="G353" s="59"/>
    </row>
    <row r="354" spans="1:7" x14ac:dyDescent="0.35">
      <c r="A354" s="58"/>
      <c r="B354" s="57"/>
      <c r="C354" s="58"/>
      <c r="D354" s="58"/>
      <c r="E354" s="58"/>
      <c r="F354" s="59"/>
      <c r="G354" s="59"/>
    </row>
    <row r="355" spans="1:7" x14ac:dyDescent="0.35">
      <c r="A355" s="58"/>
      <c r="B355" s="57"/>
      <c r="C355" s="58"/>
      <c r="D355" s="58"/>
      <c r="E355" s="58"/>
      <c r="F355" s="59"/>
      <c r="G355" s="59"/>
    </row>
    <row r="356" spans="1:7" x14ac:dyDescent="0.35">
      <c r="A356" s="58"/>
      <c r="B356" s="57"/>
      <c r="C356" s="58"/>
      <c r="D356" s="58"/>
      <c r="E356" s="58"/>
      <c r="F356" s="59"/>
      <c r="G356" s="59"/>
    </row>
    <row r="357" spans="1:7" x14ac:dyDescent="0.35">
      <c r="A357" s="58"/>
      <c r="B357" s="57"/>
      <c r="C357" s="58"/>
      <c r="D357" s="58"/>
      <c r="E357" s="58"/>
      <c r="F357" s="59"/>
      <c r="G357" s="59"/>
    </row>
    <row r="358" spans="1:7" x14ac:dyDescent="0.35">
      <c r="A358" s="58"/>
      <c r="B358" s="57"/>
      <c r="C358" s="58"/>
      <c r="D358" s="58"/>
      <c r="E358" s="58"/>
      <c r="F358" s="59"/>
      <c r="G358" s="59"/>
    </row>
    <row r="359" spans="1:7" x14ac:dyDescent="0.35">
      <c r="A359" s="58"/>
      <c r="B359" s="57"/>
      <c r="C359" s="58"/>
      <c r="D359" s="58"/>
      <c r="E359" s="58"/>
      <c r="F359" s="59"/>
      <c r="G359" s="59"/>
    </row>
    <row r="360" spans="1:7" x14ac:dyDescent="0.35">
      <c r="A360" s="58"/>
      <c r="B360" s="57"/>
      <c r="C360" s="58"/>
      <c r="D360" s="58"/>
      <c r="E360" s="58"/>
      <c r="F360" s="59"/>
      <c r="G360" s="59"/>
    </row>
    <row r="361" spans="1:7" x14ac:dyDescent="0.35">
      <c r="A361" s="58"/>
      <c r="B361" s="57"/>
      <c r="C361" s="58"/>
      <c r="D361" s="58"/>
      <c r="E361" s="58"/>
      <c r="F361" s="59"/>
      <c r="G361" s="59"/>
    </row>
    <row r="362" spans="1:7" x14ac:dyDescent="0.35">
      <c r="A362" s="58"/>
      <c r="B362" s="57"/>
      <c r="C362" s="58"/>
      <c r="D362" s="58"/>
      <c r="E362" s="58"/>
      <c r="F362" s="59"/>
      <c r="G362" s="59"/>
    </row>
    <row r="363" spans="1:7" x14ac:dyDescent="0.35">
      <c r="A363" s="58"/>
      <c r="B363" s="57"/>
      <c r="C363" s="58"/>
      <c r="D363" s="58"/>
      <c r="E363" s="58"/>
      <c r="F363" s="59"/>
      <c r="G363" s="59"/>
    </row>
    <row r="364" spans="1:7" x14ac:dyDescent="0.35">
      <c r="A364" s="58"/>
      <c r="B364" s="57"/>
      <c r="C364" s="58"/>
      <c r="D364" s="58"/>
      <c r="E364" s="58"/>
      <c r="F364" s="59"/>
      <c r="G364" s="59"/>
    </row>
    <row r="365" spans="1:7" x14ac:dyDescent="0.35">
      <c r="A365" s="58"/>
      <c r="B365" s="57"/>
      <c r="C365" s="58"/>
      <c r="D365" s="58"/>
      <c r="E365" s="58"/>
      <c r="F365" s="59"/>
      <c r="G365" s="59"/>
    </row>
    <row r="366" spans="1:7" x14ac:dyDescent="0.35">
      <c r="A366" s="58"/>
      <c r="B366" s="57"/>
      <c r="C366" s="58"/>
      <c r="D366" s="58"/>
      <c r="E366" s="58"/>
      <c r="F366" s="59"/>
      <c r="G366" s="59"/>
    </row>
    <row r="367" spans="1:7" x14ac:dyDescent="0.35">
      <c r="A367" s="58"/>
      <c r="B367" s="57"/>
      <c r="C367" s="58"/>
      <c r="D367" s="58"/>
      <c r="E367" s="58"/>
      <c r="F367" s="59"/>
      <c r="G367" s="59"/>
    </row>
    <row r="368" spans="1:7" x14ac:dyDescent="0.35">
      <c r="A368" s="58"/>
      <c r="B368" s="57"/>
      <c r="C368" s="58"/>
      <c r="D368" s="58"/>
      <c r="E368" s="58"/>
      <c r="F368" s="59"/>
      <c r="G368" s="59"/>
    </row>
    <row r="369" spans="1:7" x14ac:dyDescent="0.35">
      <c r="A369" s="58"/>
      <c r="B369" s="57"/>
      <c r="C369" s="58"/>
      <c r="D369" s="58"/>
      <c r="E369" s="58"/>
      <c r="F369" s="59"/>
      <c r="G369" s="59"/>
    </row>
    <row r="370" spans="1:7" x14ac:dyDescent="0.35">
      <c r="A370" s="58"/>
      <c r="B370" s="57"/>
      <c r="C370" s="58"/>
      <c r="D370" s="58"/>
      <c r="E370" s="58"/>
      <c r="F370" s="59"/>
      <c r="G370" s="59"/>
    </row>
    <row r="371" spans="1:7" x14ac:dyDescent="0.35">
      <c r="A371" s="58"/>
      <c r="B371" s="57"/>
      <c r="C371" s="58"/>
      <c r="D371" s="58"/>
      <c r="E371" s="58"/>
      <c r="F371" s="59"/>
      <c r="G371" s="59"/>
    </row>
    <row r="372" spans="1:7" x14ac:dyDescent="0.35">
      <c r="A372" s="58"/>
      <c r="B372" s="57"/>
      <c r="C372" s="58"/>
      <c r="D372" s="58"/>
      <c r="E372" s="58"/>
      <c r="F372" s="59"/>
      <c r="G372" s="59"/>
    </row>
    <row r="373" spans="1:7" x14ac:dyDescent="0.35">
      <c r="A373" s="58"/>
      <c r="B373" s="57"/>
      <c r="C373" s="58"/>
      <c r="D373" s="58"/>
      <c r="E373" s="58"/>
      <c r="F373" s="59"/>
      <c r="G373" s="59"/>
    </row>
    <row r="374" spans="1:7" x14ac:dyDescent="0.35">
      <c r="A374" s="58"/>
      <c r="B374" s="57"/>
      <c r="C374" s="58"/>
      <c r="D374" s="58"/>
      <c r="E374" s="58"/>
      <c r="F374" s="59"/>
      <c r="G374" s="59"/>
    </row>
    <row r="375" spans="1:7" x14ac:dyDescent="0.35">
      <c r="A375" s="58"/>
      <c r="B375" s="57"/>
      <c r="C375" s="58"/>
      <c r="D375" s="58"/>
      <c r="E375" s="58"/>
      <c r="F375" s="59"/>
      <c r="G375" s="59"/>
    </row>
    <row r="376" spans="1:7" x14ac:dyDescent="0.35">
      <c r="A376" s="58"/>
      <c r="B376" s="57"/>
      <c r="C376" s="58"/>
      <c r="D376" s="58"/>
      <c r="E376" s="58"/>
      <c r="F376" s="59"/>
      <c r="G376" s="59"/>
    </row>
    <row r="377" spans="1:7" x14ac:dyDescent="0.35">
      <c r="A377" s="58"/>
      <c r="B377" s="57"/>
      <c r="C377" s="58"/>
      <c r="D377" s="58"/>
      <c r="E377" s="58"/>
      <c r="F377" s="59"/>
      <c r="G377" s="59"/>
    </row>
    <row r="378" spans="1:7" x14ac:dyDescent="0.35">
      <c r="A378" s="58"/>
      <c r="B378" s="57"/>
      <c r="C378" s="58"/>
      <c r="D378" s="58"/>
      <c r="E378" s="58"/>
      <c r="F378" s="59"/>
      <c r="G378" s="59"/>
    </row>
    <row r="379" spans="1:7" x14ac:dyDescent="0.35">
      <c r="A379" s="58"/>
      <c r="B379" s="57"/>
      <c r="C379" s="58"/>
      <c r="D379" s="58"/>
      <c r="E379" s="58"/>
      <c r="F379" s="59"/>
      <c r="G379" s="59"/>
    </row>
    <row r="380" spans="1:7" x14ac:dyDescent="0.35">
      <c r="A380" s="58"/>
      <c r="B380" s="57"/>
      <c r="C380" s="58"/>
      <c r="D380" s="58"/>
      <c r="E380" s="58"/>
      <c r="F380" s="59"/>
      <c r="G380" s="59"/>
    </row>
    <row r="381" spans="1:7" x14ac:dyDescent="0.35">
      <c r="A381" s="58"/>
      <c r="B381" s="57"/>
      <c r="C381" s="58"/>
      <c r="D381" s="58"/>
      <c r="E381" s="58"/>
      <c r="F381" s="59"/>
      <c r="G381" s="59"/>
    </row>
    <row r="382" spans="1:7" x14ac:dyDescent="0.35">
      <c r="A382" s="58"/>
      <c r="B382" s="57"/>
      <c r="C382" s="58"/>
      <c r="D382" s="58"/>
      <c r="E382" s="58"/>
      <c r="F382" s="59"/>
      <c r="G382" s="59"/>
    </row>
    <row r="383" spans="1:7" x14ac:dyDescent="0.35">
      <c r="A383" s="58"/>
      <c r="B383" s="57"/>
      <c r="C383" s="58"/>
      <c r="D383" s="58"/>
      <c r="E383" s="58"/>
      <c r="F383" s="59"/>
      <c r="G383" s="59"/>
    </row>
    <row r="384" spans="1:7" x14ac:dyDescent="0.35">
      <c r="A384" s="58"/>
      <c r="B384" s="57"/>
      <c r="C384" s="58"/>
      <c r="D384" s="58"/>
      <c r="E384" s="58"/>
      <c r="F384" s="59"/>
      <c r="G384" s="59"/>
    </row>
    <row r="385" spans="1:7" x14ac:dyDescent="0.35">
      <c r="A385" s="58"/>
      <c r="B385" s="57"/>
      <c r="C385" s="58"/>
      <c r="D385" s="58"/>
      <c r="E385" s="58"/>
      <c r="F385" s="59"/>
      <c r="G385" s="59"/>
    </row>
    <row r="386" spans="1:7" x14ac:dyDescent="0.35">
      <c r="A386" s="58"/>
      <c r="B386" s="57"/>
      <c r="C386" s="58"/>
      <c r="D386" s="58"/>
      <c r="E386" s="58"/>
      <c r="F386" s="59"/>
      <c r="G386" s="59"/>
    </row>
    <row r="387" spans="1:7" x14ac:dyDescent="0.35">
      <c r="A387" s="58"/>
      <c r="B387" s="57"/>
      <c r="C387" s="58"/>
      <c r="D387" s="58"/>
      <c r="E387" s="58"/>
      <c r="F387" s="59"/>
      <c r="G387" s="59"/>
    </row>
    <row r="388" spans="1:7" x14ac:dyDescent="0.35">
      <c r="A388" s="58"/>
      <c r="B388" s="57"/>
      <c r="C388" s="58"/>
      <c r="D388" s="58"/>
      <c r="E388" s="58"/>
      <c r="F388" s="59"/>
      <c r="G388" s="59"/>
    </row>
    <row r="389" spans="1:7" x14ac:dyDescent="0.35">
      <c r="A389" s="58"/>
      <c r="B389" s="57"/>
      <c r="C389" s="58"/>
      <c r="D389" s="58"/>
      <c r="E389" s="58"/>
      <c r="F389" s="59"/>
      <c r="G389" s="59"/>
    </row>
    <row r="390" spans="1:7" x14ac:dyDescent="0.35">
      <c r="A390" s="58"/>
      <c r="B390" s="57"/>
      <c r="C390" s="58"/>
      <c r="D390" s="58"/>
      <c r="E390" s="58"/>
      <c r="F390" s="59"/>
      <c r="G390" s="59"/>
    </row>
    <row r="391" spans="1:7" x14ac:dyDescent="0.35">
      <c r="A391" s="58"/>
      <c r="B391" s="57"/>
      <c r="C391" s="58"/>
      <c r="D391" s="58"/>
      <c r="E391" s="58"/>
      <c r="F391" s="59"/>
      <c r="G391" s="59"/>
    </row>
    <row r="392" spans="1:7" x14ac:dyDescent="0.35">
      <c r="A392" s="58"/>
      <c r="B392" s="57"/>
      <c r="C392" s="58"/>
      <c r="D392" s="58"/>
      <c r="E392" s="58"/>
      <c r="F392" s="59"/>
      <c r="G392" s="59"/>
    </row>
    <row r="393" spans="1:7" x14ac:dyDescent="0.35">
      <c r="A393" s="58"/>
      <c r="B393" s="57"/>
      <c r="C393" s="58"/>
      <c r="D393" s="58"/>
      <c r="E393" s="58"/>
      <c r="F393" s="59"/>
      <c r="G393" s="59"/>
    </row>
    <row r="394" spans="1:7" x14ac:dyDescent="0.35">
      <c r="A394" s="58"/>
      <c r="B394" s="57"/>
      <c r="C394" s="58"/>
      <c r="D394" s="58"/>
      <c r="E394" s="58"/>
      <c r="F394" s="59"/>
      <c r="G394" s="59"/>
    </row>
    <row r="395" spans="1:7" x14ac:dyDescent="0.35">
      <c r="A395" s="58"/>
      <c r="B395" s="57"/>
      <c r="C395" s="58"/>
      <c r="D395" s="58"/>
      <c r="E395" s="58"/>
      <c r="F395" s="59"/>
      <c r="G395" s="59"/>
    </row>
    <row r="396" spans="1:7" x14ac:dyDescent="0.35">
      <c r="A396" s="58"/>
      <c r="B396" s="57"/>
      <c r="C396" s="58"/>
      <c r="D396" s="58"/>
      <c r="E396" s="58"/>
      <c r="F396" s="59"/>
      <c r="G396" s="59"/>
    </row>
    <row r="397" spans="1:7" x14ac:dyDescent="0.35">
      <c r="A397" s="58"/>
      <c r="B397" s="57"/>
      <c r="C397" s="58"/>
      <c r="D397" s="58"/>
      <c r="E397" s="58"/>
      <c r="F397" s="59"/>
      <c r="G397" s="59"/>
    </row>
    <row r="398" spans="1:7" x14ac:dyDescent="0.35">
      <c r="A398" s="58"/>
      <c r="B398" s="57"/>
      <c r="C398" s="58"/>
      <c r="D398" s="58"/>
      <c r="E398" s="58"/>
      <c r="F398" s="59"/>
      <c r="G398" s="59"/>
    </row>
    <row r="399" spans="1:7" x14ac:dyDescent="0.35">
      <c r="A399" s="58"/>
      <c r="B399" s="57"/>
      <c r="C399" s="58"/>
      <c r="D399" s="58"/>
      <c r="E399" s="58"/>
      <c r="F399" s="59"/>
      <c r="G399" s="59"/>
    </row>
    <row r="400" spans="1:7" x14ac:dyDescent="0.35">
      <c r="A400" s="58"/>
      <c r="B400" s="57"/>
      <c r="C400" s="58"/>
      <c r="D400" s="58"/>
      <c r="E400" s="58"/>
      <c r="F400" s="59"/>
      <c r="G400" s="59"/>
    </row>
    <row r="401" spans="1:7" x14ac:dyDescent="0.35">
      <c r="A401" s="58"/>
      <c r="B401" s="57"/>
      <c r="C401" s="58"/>
      <c r="D401" s="58"/>
      <c r="E401" s="58"/>
      <c r="F401" s="59"/>
      <c r="G401" s="59"/>
    </row>
    <row r="402" spans="1:7" x14ac:dyDescent="0.35">
      <c r="A402" s="58"/>
      <c r="B402" s="57"/>
      <c r="C402" s="58"/>
      <c r="D402" s="58"/>
      <c r="E402" s="58"/>
      <c r="F402" s="59"/>
      <c r="G402" s="59"/>
    </row>
    <row r="403" spans="1:7" x14ac:dyDescent="0.35">
      <c r="A403" s="58"/>
      <c r="B403" s="57"/>
      <c r="C403" s="58"/>
      <c r="D403" s="58"/>
      <c r="E403" s="58"/>
      <c r="F403" s="59"/>
      <c r="G403" s="59"/>
    </row>
    <row r="404" spans="1:7" x14ac:dyDescent="0.35">
      <c r="A404" s="58"/>
      <c r="B404" s="57"/>
      <c r="C404" s="58"/>
      <c r="D404" s="58"/>
      <c r="E404" s="58"/>
      <c r="F404" s="59"/>
      <c r="G404" s="59"/>
    </row>
    <row r="405" spans="1:7" x14ac:dyDescent="0.35">
      <c r="A405" s="58"/>
      <c r="B405" s="57"/>
      <c r="C405" s="58"/>
      <c r="D405" s="58"/>
      <c r="E405" s="58"/>
      <c r="F405" s="59"/>
      <c r="G405" s="59"/>
    </row>
    <row r="406" spans="1:7" x14ac:dyDescent="0.35">
      <c r="A406" s="58"/>
      <c r="B406" s="57"/>
      <c r="C406" s="58"/>
      <c r="D406" s="58"/>
      <c r="E406" s="58"/>
      <c r="F406" s="59"/>
      <c r="G406" s="59"/>
    </row>
    <row r="407" spans="1:7" x14ac:dyDescent="0.35">
      <c r="A407" s="58"/>
      <c r="B407" s="57"/>
      <c r="C407" s="58"/>
      <c r="D407" s="58"/>
      <c r="E407" s="58"/>
      <c r="F407" s="59"/>
      <c r="G407" s="59"/>
    </row>
    <row r="408" spans="1:7" x14ac:dyDescent="0.35">
      <c r="A408" s="58"/>
      <c r="B408" s="57"/>
      <c r="C408" s="58"/>
      <c r="D408" s="58"/>
      <c r="E408" s="58"/>
      <c r="F408" s="59"/>
      <c r="G408" s="59"/>
    </row>
    <row r="409" spans="1:7" x14ac:dyDescent="0.35">
      <c r="A409" s="58"/>
      <c r="B409" s="57"/>
      <c r="C409" s="58"/>
      <c r="D409" s="58"/>
      <c r="E409" s="58"/>
      <c r="F409" s="59"/>
      <c r="G409" s="59"/>
    </row>
    <row r="410" spans="1:7" x14ac:dyDescent="0.35">
      <c r="A410" s="58"/>
      <c r="B410" s="57"/>
      <c r="C410" s="58"/>
      <c r="D410" s="58"/>
      <c r="E410" s="58"/>
      <c r="F410" s="59"/>
      <c r="G410" s="59"/>
    </row>
    <row r="411" spans="1:7" x14ac:dyDescent="0.35">
      <c r="A411" s="58"/>
      <c r="B411" s="57"/>
      <c r="C411" s="58"/>
      <c r="D411" s="58"/>
      <c r="E411" s="58"/>
      <c r="F411" s="59"/>
      <c r="G411" s="59"/>
    </row>
    <row r="412" spans="1:7" x14ac:dyDescent="0.35">
      <c r="A412" s="58"/>
      <c r="B412" s="57"/>
      <c r="C412" s="58"/>
      <c r="D412" s="58"/>
      <c r="E412" s="58"/>
      <c r="F412" s="59"/>
      <c r="G412" s="59"/>
    </row>
    <row r="413" spans="1:7" x14ac:dyDescent="0.35">
      <c r="A413" s="58"/>
      <c r="B413" s="57"/>
      <c r="C413" s="58"/>
      <c r="D413" s="58"/>
      <c r="E413" s="58"/>
      <c r="F413" s="59"/>
      <c r="G413" s="59"/>
    </row>
    <row r="414" spans="1:7" x14ac:dyDescent="0.35">
      <c r="A414" s="58"/>
      <c r="B414" s="57"/>
      <c r="C414" s="58"/>
      <c r="D414" s="58"/>
      <c r="E414" s="58"/>
      <c r="F414" s="59"/>
      <c r="G414" s="59"/>
    </row>
    <row r="415" spans="1:7" x14ac:dyDescent="0.35">
      <c r="A415" s="58"/>
      <c r="B415" s="57"/>
      <c r="C415" s="58"/>
      <c r="D415" s="58"/>
      <c r="E415" s="58"/>
      <c r="F415" s="59"/>
      <c r="G415" s="59"/>
    </row>
    <row r="416" spans="1:7" x14ac:dyDescent="0.35">
      <c r="A416" s="58"/>
      <c r="B416" s="57"/>
      <c r="C416" s="58"/>
      <c r="D416" s="58"/>
      <c r="E416" s="58"/>
      <c r="F416" s="59"/>
      <c r="G416" s="59"/>
    </row>
    <row r="417" spans="1:7" x14ac:dyDescent="0.35">
      <c r="A417" s="58"/>
      <c r="B417" s="57"/>
      <c r="C417" s="58"/>
      <c r="D417" s="58"/>
      <c r="E417" s="58"/>
      <c r="F417" s="59"/>
      <c r="G417" s="59"/>
    </row>
    <row r="418" spans="1:7" x14ac:dyDescent="0.35">
      <c r="A418" s="58"/>
      <c r="B418" s="57"/>
      <c r="C418" s="58"/>
      <c r="D418" s="58"/>
      <c r="E418" s="58"/>
      <c r="F418" s="59"/>
      <c r="G418" s="59"/>
    </row>
    <row r="419" spans="1:7" x14ac:dyDescent="0.35">
      <c r="A419" s="58"/>
      <c r="B419" s="57"/>
      <c r="C419" s="58"/>
      <c r="D419" s="58"/>
      <c r="E419" s="58"/>
      <c r="F419" s="59"/>
      <c r="G419" s="59"/>
    </row>
    <row r="420" spans="1:7" x14ac:dyDescent="0.35">
      <c r="A420" s="58"/>
      <c r="B420" s="57"/>
      <c r="C420" s="58"/>
      <c r="D420" s="58"/>
      <c r="E420" s="58"/>
      <c r="F420" s="59"/>
      <c r="G420" s="59"/>
    </row>
    <row r="421" spans="1:7" x14ac:dyDescent="0.35">
      <c r="A421" s="58"/>
      <c r="B421" s="57"/>
      <c r="C421" s="58"/>
      <c r="D421" s="58"/>
      <c r="E421" s="58"/>
      <c r="F421" s="59"/>
      <c r="G421" s="59"/>
    </row>
    <row r="422" spans="1:7" x14ac:dyDescent="0.35">
      <c r="A422" s="58"/>
      <c r="B422" s="57"/>
      <c r="C422" s="58"/>
      <c r="D422" s="58"/>
      <c r="E422" s="58"/>
      <c r="F422" s="59"/>
      <c r="G422" s="59"/>
    </row>
    <row r="423" spans="1:7" x14ac:dyDescent="0.35">
      <c r="A423" s="58"/>
      <c r="B423" s="57"/>
      <c r="C423" s="58"/>
      <c r="D423" s="58"/>
      <c r="E423" s="58"/>
      <c r="F423" s="59"/>
      <c r="G423" s="59"/>
    </row>
    <row r="424" spans="1:7" x14ac:dyDescent="0.35">
      <c r="A424" s="58"/>
      <c r="B424" s="57"/>
      <c r="C424" s="58"/>
      <c r="D424" s="58"/>
      <c r="E424" s="58"/>
      <c r="F424" s="59"/>
      <c r="G424" s="59"/>
    </row>
    <row r="425" spans="1:7" x14ac:dyDescent="0.35">
      <c r="A425" s="58"/>
      <c r="B425" s="57"/>
      <c r="C425" s="58"/>
      <c r="D425" s="58"/>
      <c r="E425" s="58"/>
      <c r="F425" s="59"/>
      <c r="G425" s="59"/>
    </row>
    <row r="426" spans="1:7" x14ac:dyDescent="0.35">
      <c r="A426" s="58"/>
      <c r="B426" s="57"/>
      <c r="C426" s="58"/>
      <c r="D426" s="58"/>
      <c r="E426" s="58"/>
      <c r="F426" s="59"/>
      <c r="G426" s="59"/>
    </row>
    <row r="427" spans="1:7" x14ac:dyDescent="0.35">
      <c r="A427" s="58"/>
      <c r="B427" s="57"/>
      <c r="C427" s="58"/>
      <c r="D427" s="58"/>
      <c r="E427" s="58"/>
      <c r="F427" s="59"/>
      <c r="G427" s="59"/>
    </row>
    <row r="428" spans="1:7" x14ac:dyDescent="0.35">
      <c r="A428" s="58"/>
      <c r="B428" s="57"/>
      <c r="C428" s="58"/>
      <c r="D428" s="58"/>
      <c r="E428" s="58"/>
      <c r="F428" s="59"/>
      <c r="G428" s="59"/>
    </row>
    <row r="429" spans="1:7" x14ac:dyDescent="0.35">
      <c r="A429" s="58"/>
      <c r="B429" s="57"/>
      <c r="C429" s="58"/>
      <c r="D429" s="58"/>
      <c r="E429" s="58"/>
      <c r="F429" s="59"/>
      <c r="G429" s="59"/>
    </row>
    <row r="430" spans="1:7" x14ac:dyDescent="0.35">
      <c r="A430" s="58"/>
      <c r="B430" s="57"/>
      <c r="C430" s="58"/>
      <c r="D430" s="58"/>
      <c r="E430" s="58"/>
      <c r="F430" s="59"/>
      <c r="G430" s="59"/>
    </row>
    <row r="431" spans="1:7" x14ac:dyDescent="0.35">
      <c r="A431" s="58"/>
      <c r="B431" s="57"/>
      <c r="C431" s="58"/>
      <c r="D431" s="58"/>
      <c r="E431" s="58"/>
      <c r="F431" s="59"/>
      <c r="G431" s="59"/>
    </row>
    <row r="432" spans="1:7" x14ac:dyDescent="0.35">
      <c r="A432" s="58"/>
      <c r="B432" s="57"/>
      <c r="C432" s="58"/>
      <c r="D432" s="58"/>
      <c r="E432" s="58"/>
      <c r="F432" s="59"/>
      <c r="G432" s="59"/>
    </row>
    <row r="433" spans="1:7" x14ac:dyDescent="0.35">
      <c r="A433" s="58"/>
      <c r="B433" s="57"/>
      <c r="C433" s="58"/>
      <c r="D433" s="58"/>
      <c r="E433" s="58"/>
      <c r="F433" s="59"/>
      <c r="G433" s="59"/>
    </row>
    <row r="434" spans="1:7" x14ac:dyDescent="0.35">
      <c r="A434" s="58"/>
      <c r="B434" s="57"/>
      <c r="C434" s="58"/>
      <c r="D434" s="58"/>
      <c r="E434" s="58"/>
      <c r="F434" s="59"/>
      <c r="G434" s="59"/>
    </row>
    <row r="435" spans="1:7" x14ac:dyDescent="0.35">
      <c r="A435" s="58"/>
      <c r="B435" s="57"/>
      <c r="C435" s="58"/>
      <c r="D435" s="58"/>
      <c r="E435" s="58"/>
      <c r="F435" s="59"/>
      <c r="G435" s="59"/>
    </row>
    <row r="436" spans="1:7" x14ac:dyDescent="0.35">
      <c r="A436" s="58"/>
      <c r="B436" s="57"/>
      <c r="C436" s="58"/>
      <c r="D436" s="58"/>
      <c r="E436" s="58"/>
      <c r="F436" s="59"/>
      <c r="G436" s="59"/>
    </row>
    <row r="437" spans="1:7" x14ac:dyDescent="0.35">
      <c r="A437" s="58"/>
      <c r="B437" s="57"/>
      <c r="C437" s="58"/>
      <c r="D437" s="58"/>
      <c r="E437" s="58"/>
      <c r="F437" s="59"/>
      <c r="G437" s="59"/>
    </row>
    <row r="438" spans="1:7" x14ac:dyDescent="0.35">
      <c r="A438" s="58"/>
      <c r="B438" s="57"/>
      <c r="C438" s="58"/>
      <c r="D438" s="58"/>
      <c r="E438" s="58"/>
      <c r="F438" s="59"/>
      <c r="G438" s="59"/>
    </row>
    <row r="439" spans="1:7" x14ac:dyDescent="0.35">
      <c r="A439" s="58"/>
      <c r="B439" s="57"/>
      <c r="C439" s="58"/>
      <c r="D439" s="58"/>
      <c r="E439" s="58"/>
      <c r="F439" s="59"/>
      <c r="G439" s="59"/>
    </row>
    <row r="440" spans="1:7" x14ac:dyDescent="0.35">
      <c r="A440" s="58"/>
      <c r="B440" s="57"/>
      <c r="C440" s="58"/>
      <c r="D440" s="58"/>
      <c r="E440" s="58"/>
      <c r="F440" s="59"/>
      <c r="G440" s="59"/>
    </row>
    <row r="441" spans="1:7" x14ac:dyDescent="0.35">
      <c r="A441" s="58"/>
      <c r="B441" s="57"/>
      <c r="C441" s="58"/>
      <c r="D441" s="58"/>
      <c r="E441" s="58"/>
      <c r="F441" s="59"/>
      <c r="G441" s="59"/>
    </row>
    <row r="442" spans="1:7" x14ac:dyDescent="0.35">
      <c r="A442" s="58"/>
      <c r="B442" s="57"/>
      <c r="C442" s="58"/>
      <c r="D442" s="58"/>
      <c r="E442" s="58"/>
      <c r="F442" s="59"/>
      <c r="G442" s="59"/>
    </row>
    <row r="443" spans="1:7" x14ac:dyDescent="0.35">
      <c r="A443" s="58"/>
      <c r="B443" s="57"/>
      <c r="C443" s="58"/>
      <c r="D443" s="58"/>
      <c r="E443" s="58"/>
      <c r="F443" s="59"/>
      <c r="G443" s="59"/>
    </row>
    <row r="444" spans="1:7" x14ac:dyDescent="0.35">
      <c r="A444" s="58"/>
      <c r="B444" s="57"/>
      <c r="C444" s="58"/>
      <c r="D444" s="58"/>
      <c r="E444" s="58"/>
      <c r="F444" s="59"/>
      <c r="G444" s="59"/>
    </row>
    <row r="445" spans="1:7" x14ac:dyDescent="0.35">
      <c r="A445" s="58"/>
      <c r="B445" s="57"/>
      <c r="C445" s="58"/>
      <c r="D445" s="58"/>
      <c r="E445" s="58"/>
      <c r="F445" s="59"/>
      <c r="G445" s="59"/>
    </row>
    <row r="446" spans="1:7" x14ac:dyDescent="0.35">
      <c r="A446" s="58"/>
      <c r="B446" s="57"/>
      <c r="C446" s="58"/>
      <c r="D446" s="58"/>
      <c r="E446" s="58"/>
      <c r="F446" s="59"/>
      <c r="G446" s="59"/>
    </row>
    <row r="447" spans="1:7" x14ac:dyDescent="0.35">
      <c r="A447" s="58"/>
      <c r="B447" s="57"/>
      <c r="C447" s="58"/>
      <c r="D447" s="58"/>
      <c r="E447" s="58"/>
      <c r="F447" s="59"/>
      <c r="G447" s="59"/>
    </row>
    <row r="448" spans="1:7" x14ac:dyDescent="0.35">
      <c r="A448" s="58"/>
      <c r="B448" s="57"/>
      <c r="C448" s="58"/>
      <c r="D448" s="58"/>
      <c r="E448" s="58"/>
      <c r="F448" s="59"/>
      <c r="G448" s="59"/>
    </row>
    <row r="449" spans="1:7" x14ac:dyDescent="0.35">
      <c r="A449" s="58"/>
      <c r="B449" s="57"/>
      <c r="C449" s="58"/>
      <c r="D449" s="58"/>
      <c r="E449" s="58"/>
      <c r="F449" s="59"/>
      <c r="G449" s="59"/>
    </row>
    <row r="450" spans="1:7" x14ac:dyDescent="0.35">
      <c r="A450" s="58"/>
      <c r="B450" s="57"/>
      <c r="C450" s="58"/>
      <c r="D450" s="58"/>
      <c r="E450" s="58"/>
      <c r="F450" s="59"/>
      <c r="G450" s="59"/>
    </row>
    <row r="451" spans="1:7" x14ac:dyDescent="0.35">
      <c r="A451" s="58"/>
      <c r="B451" s="57"/>
      <c r="C451" s="58"/>
      <c r="D451" s="58"/>
      <c r="E451" s="58"/>
      <c r="F451" s="59"/>
      <c r="G451" s="59"/>
    </row>
    <row r="452" spans="1:7" x14ac:dyDescent="0.35">
      <c r="A452" s="58"/>
      <c r="B452" s="57"/>
      <c r="C452" s="58"/>
      <c r="D452" s="58"/>
      <c r="E452" s="58"/>
      <c r="F452" s="59"/>
      <c r="G452" s="59"/>
    </row>
    <row r="453" spans="1:7" x14ac:dyDescent="0.35">
      <c r="A453" s="58"/>
      <c r="B453" s="57"/>
      <c r="C453" s="58"/>
      <c r="D453" s="58"/>
      <c r="E453" s="58"/>
      <c r="F453" s="59"/>
      <c r="G453" s="59"/>
    </row>
    <row r="454" spans="1:7" x14ac:dyDescent="0.35">
      <c r="A454" s="58"/>
      <c r="B454" s="57"/>
      <c r="C454" s="58"/>
      <c r="D454" s="58"/>
      <c r="E454" s="58"/>
      <c r="F454" s="59"/>
      <c r="G454" s="59"/>
    </row>
    <row r="455" spans="1:7" x14ac:dyDescent="0.35">
      <c r="A455" s="58"/>
      <c r="B455" s="57"/>
      <c r="C455" s="58"/>
      <c r="D455" s="58"/>
      <c r="E455" s="58"/>
      <c r="F455" s="59"/>
      <c r="G455" s="59"/>
    </row>
    <row r="456" spans="1:7" x14ac:dyDescent="0.35">
      <c r="A456" s="58"/>
      <c r="B456" s="57"/>
      <c r="C456" s="58"/>
      <c r="D456" s="58"/>
      <c r="E456" s="58"/>
      <c r="F456" s="59"/>
      <c r="G456" s="59"/>
    </row>
    <row r="457" spans="1:7" x14ac:dyDescent="0.35">
      <c r="A457" s="58"/>
      <c r="B457" s="57"/>
      <c r="C457" s="58"/>
      <c r="D457" s="58"/>
      <c r="E457" s="58"/>
      <c r="F457" s="59"/>
      <c r="G457" s="59"/>
    </row>
    <row r="458" spans="1:7" x14ac:dyDescent="0.35">
      <c r="A458" s="58"/>
      <c r="B458" s="57"/>
      <c r="C458" s="58"/>
      <c r="D458" s="58"/>
      <c r="E458" s="58"/>
      <c r="F458" s="59"/>
      <c r="G458" s="59"/>
    </row>
    <row r="459" spans="1:7" x14ac:dyDescent="0.35">
      <c r="A459" s="58"/>
      <c r="B459" s="57"/>
      <c r="C459" s="58"/>
      <c r="D459" s="58"/>
      <c r="E459" s="58"/>
      <c r="F459" s="59"/>
      <c r="G459" s="59"/>
    </row>
    <row r="460" spans="1:7" x14ac:dyDescent="0.35">
      <c r="A460" s="58"/>
      <c r="B460" s="57"/>
      <c r="C460" s="58"/>
      <c r="D460" s="58"/>
      <c r="E460" s="58"/>
      <c r="F460" s="59"/>
      <c r="G460" s="59"/>
    </row>
    <row r="461" spans="1:7" x14ac:dyDescent="0.35">
      <c r="A461" s="58"/>
      <c r="B461" s="57"/>
      <c r="C461" s="58"/>
      <c r="D461" s="58"/>
      <c r="E461" s="58"/>
      <c r="F461" s="59"/>
      <c r="G461" s="59"/>
    </row>
    <row r="462" spans="1:7" x14ac:dyDescent="0.35">
      <c r="A462" s="58"/>
      <c r="B462" s="57"/>
      <c r="C462" s="58"/>
      <c r="D462" s="58"/>
      <c r="E462" s="58"/>
      <c r="F462" s="59"/>
      <c r="G462" s="59"/>
    </row>
    <row r="463" spans="1:7" x14ac:dyDescent="0.35">
      <c r="A463" s="58"/>
      <c r="B463" s="57"/>
      <c r="C463" s="58"/>
      <c r="D463" s="58"/>
      <c r="E463" s="58"/>
      <c r="F463" s="59"/>
      <c r="G463" s="59"/>
    </row>
    <row r="464" spans="1:7" x14ac:dyDescent="0.35">
      <c r="A464" s="58"/>
      <c r="B464" s="57"/>
      <c r="C464" s="58"/>
      <c r="D464" s="58"/>
      <c r="E464" s="58"/>
      <c r="F464" s="59"/>
      <c r="G464" s="59"/>
    </row>
    <row r="465" spans="1:7" x14ac:dyDescent="0.35">
      <c r="A465" s="58"/>
      <c r="B465" s="57"/>
      <c r="C465" s="58"/>
      <c r="D465" s="58"/>
      <c r="E465" s="58"/>
      <c r="F465" s="59"/>
      <c r="G465" s="59"/>
    </row>
    <row r="466" spans="1:7" x14ac:dyDescent="0.35">
      <c r="A466" s="58"/>
      <c r="B466" s="57"/>
      <c r="C466" s="58"/>
      <c r="D466" s="58"/>
      <c r="E466" s="58"/>
      <c r="F466" s="59"/>
      <c r="G466" s="59"/>
    </row>
    <row r="467" spans="1:7" x14ac:dyDescent="0.35">
      <c r="A467" s="58"/>
      <c r="B467" s="57"/>
      <c r="C467" s="58"/>
      <c r="D467" s="58"/>
      <c r="E467" s="58"/>
      <c r="F467" s="59"/>
      <c r="G467" s="59"/>
    </row>
    <row r="468" spans="1:7" x14ac:dyDescent="0.35">
      <c r="A468" s="58"/>
      <c r="B468" s="57"/>
      <c r="C468" s="58"/>
      <c r="D468" s="58"/>
      <c r="E468" s="58"/>
      <c r="F468" s="59"/>
      <c r="G468" s="59"/>
    </row>
    <row r="469" spans="1:7" x14ac:dyDescent="0.35">
      <c r="A469" s="58"/>
      <c r="B469" s="57"/>
      <c r="C469" s="58"/>
      <c r="D469" s="58"/>
      <c r="E469" s="58"/>
      <c r="F469" s="59"/>
      <c r="G469" s="59"/>
    </row>
    <row r="470" spans="1:7" x14ac:dyDescent="0.35">
      <c r="A470" s="58"/>
      <c r="B470" s="57"/>
      <c r="C470" s="58"/>
      <c r="D470" s="58"/>
      <c r="E470" s="58"/>
      <c r="F470" s="59"/>
      <c r="G470" s="59"/>
    </row>
    <row r="471" spans="1:7" x14ac:dyDescent="0.35">
      <c r="A471" s="58"/>
      <c r="B471" s="57"/>
      <c r="C471" s="58"/>
      <c r="D471" s="58"/>
      <c r="E471" s="58"/>
      <c r="F471" s="59"/>
      <c r="G471" s="59"/>
    </row>
    <row r="472" spans="1:7" x14ac:dyDescent="0.35">
      <c r="A472" s="58"/>
      <c r="B472" s="57"/>
      <c r="C472" s="58"/>
      <c r="D472" s="58"/>
      <c r="E472" s="58"/>
      <c r="F472" s="59"/>
      <c r="G472" s="59"/>
    </row>
    <row r="473" spans="1:7" x14ac:dyDescent="0.35">
      <c r="A473" s="58"/>
      <c r="B473" s="57"/>
      <c r="C473" s="58"/>
      <c r="D473" s="58"/>
      <c r="E473" s="58"/>
      <c r="F473" s="59"/>
      <c r="G473" s="59"/>
    </row>
    <row r="474" spans="1:7" x14ac:dyDescent="0.35">
      <c r="A474" s="58"/>
      <c r="B474" s="57"/>
      <c r="C474" s="58"/>
      <c r="D474" s="58"/>
      <c r="E474" s="58"/>
      <c r="F474" s="59"/>
      <c r="G474" s="59"/>
    </row>
    <row r="475" spans="1:7" x14ac:dyDescent="0.35">
      <c r="A475" s="58"/>
      <c r="B475" s="57"/>
      <c r="C475" s="58"/>
      <c r="D475" s="58"/>
      <c r="E475" s="58"/>
      <c r="F475" s="59"/>
      <c r="G475" s="59"/>
    </row>
    <row r="476" spans="1:7" x14ac:dyDescent="0.35">
      <c r="A476" s="58"/>
      <c r="B476" s="57"/>
      <c r="C476" s="58"/>
      <c r="D476" s="58"/>
      <c r="E476" s="58"/>
      <c r="F476" s="59"/>
      <c r="G476" s="59"/>
    </row>
    <row r="477" spans="1:7" x14ac:dyDescent="0.35">
      <c r="A477" s="58"/>
      <c r="B477" s="57"/>
      <c r="C477" s="58"/>
      <c r="D477" s="58"/>
      <c r="E477" s="58"/>
      <c r="F477" s="59"/>
      <c r="G477" s="59"/>
    </row>
    <row r="478" spans="1:7" x14ac:dyDescent="0.35">
      <c r="A478" s="58"/>
      <c r="B478" s="57"/>
      <c r="C478" s="58"/>
      <c r="D478" s="58"/>
      <c r="E478" s="58"/>
      <c r="F478" s="59"/>
      <c r="G478" s="59"/>
    </row>
    <row r="479" spans="1:7" x14ac:dyDescent="0.35">
      <c r="A479" s="58"/>
      <c r="B479" s="57"/>
      <c r="C479" s="58"/>
      <c r="D479" s="58"/>
      <c r="E479" s="58"/>
      <c r="F479" s="59"/>
      <c r="G479" s="59"/>
    </row>
    <row r="480" spans="1:7" x14ac:dyDescent="0.35">
      <c r="A480" s="58"/>
      <c r="B480" s="57"/>
      <c r="C480" s="58"/>
      <c r="D480" s="58"/>
      <c r="E480" s="58"/>
      <c r="F480" s="59"/>
      <c r="G480" s="59"/>
    </row>
    <row r="481" spans="1:7" x14ac:dyDescent="0.35">
      <c r="A481" s="58"/>
      <c r="B481" s="57"/>
      <c r="C481" s="58"/>
      <c r="D481" s="58"/>
      <c r="E481" s="58"/>
      <c r="F481" s="59"/>
      <c r="G481" s="59"/>
    </row>
    <row r="482" spans="1:7" x14ac:dyDescent="0.35">
      <c r="A482" s="58"/>
      <c r="B482" s="57"/>
      <c r="C482" s="58"/>
      <c r="D482" s="58"/>
      <c r="E482" s="58"/>
      <c r="F482" s="59"/>
      <c r="G482" s="59"/>
    </row>
    <row r="483" spans="1:7" x14ac:dyDescent="0.35">
      <c r="A483" s="58"/>
      <c r="B483" s="57"/>
      <c r="C483" s="58"/>
      <c r="D483" s="58"/>
      <c r="E483" s="58"/>
      <c r="F483" s="59"/>
      <c r="G483" s="59"/>
    </row>
    <row r="484" spans="1:7" x14ac:dyDescent="0.35">
      <c r="A484" s="58"/>
      <c r="B484" s="57"/>
      <c r="C484" s="58"/>
      <c r="D484" s="58"/>
      <c r="E484" s="58"/>
      <c r="F484" s="59"/>
      <c r="G484" s="59"/>
    </row>
    <row r="485" spans="1:7" x14ac:dyDescent="0.35">
      <c r="A485" s="58"/>
      <c r="B485" s="57"/>
      <c r="C485" s="58"/>
      <c r="D485" s="58"/>
      <c r="E485" s="58"/>
      <c r="F485" s="59"/>
      <c r="G485" s="59"/>
    </row>
    <row r="486" spans="1:7" x14ac:dyDescent="0.35">
      <c r="A486" s="58"/>
      <c r="B486" s="57"/>
      <c r="C486" s="58"/>
      <c r="D486" s="58"/>
      <c r="E486" s="58"/>
      <c r="F486" s="59"/>
      <c r="G486" s="59"/>
    </row>
    <row r="487" spans="1:7" x14ac:dyDescent="0.35">
      <c r="A487" s="58"/>
      <c r="B487" s="57"/>
      <c r="C487" s="58"/>
      <c r="D487" s="58"/>
      <c r="E487" s="58"/>
      <c r="F487" s="59"/>
      <c r="G487" s="59"/>
    </row>
    <row r="488" spans="1:7" x14ac:dyDescent="0.35">
      <c r="A488" s="58"/>
      <c r="B488" s="57"/>
      <c r="C488" s="58"/>
      <c r="D488" s="58"/>
      <c r="E488" s="58"/>
      <c r="F488" s="59"/>
      <c r="G488" s="59"/>
    </row>
    <row r="489" spans="1:7" x14ac:dyDescent="0.35">
      <c r="A489" s="58"/>
      <c r="B489" s="57"/>
      <c r="C489" s="58"/>
      <c r="D489" s="58"/>
      <c r="E489" s="58"/>
      <c r="F489" s="59"/>
      <c r="G489" s="59"/>
    </row>
    <row r="490" spans="1:7" x14ac:dyDescent="0.35">
      <c r="A490" s="58"/>
      <c r="B490" s="57"/>
      <c r="C490" s="58"/>
      <c r="D490" s="58"/>
      <c r="E490" s="58"/>
      <c r="F490" s="59"/>
      <c r="G490" s="59"/>
    </row>
    <row r="491" spans="1:7" x14ac:dyDescent="0.35">
      <c r="A491" s="58"/>
      <c r="B491" s="57"/>
      <c r="C491" s="58"/>
      <c r="D491" s="58"/>
      <c r="E491" s="58"/>
      <c r="F491" s="59"/>
      <c r="G491" s="59"/>
    </row>
    <row r="492" spans="1:7" x14ac:dyDescent="0.35">
      <c r="A492" s="58"/>
      <c r="B492" s="57"/>
      <c r="C492" s="58"/>
      <c r="D492" s="58"/>
      <c r="E492" s="58"/>
      <c r="F492" s="59"/>
      <c r="G492" s="59"/>
    </row>
    <row r="493" spans="1:7" x14ac:dyDescent="0.35">
      <c r="A493" s="58"/>
      <c r="B493" s="57"/>
      <c r="C493" s="58"/>
      <c r="D493" s="58"/>
      <c r="E493" s="58"/>
      <c r="F493" s="59"/>
      <c r="G493" s="59"/>
    </row>
    <row r="494" spans="1:7" x14ac:dyDescent="0.35">
      <c r="A494" s="58"/>
      <c r="B494" s="57"/>
      <c r="C494" s="58"/>
      <c r="D494" s="58"/>
      <c r="E494" s="58"/>
      <c r="F494" s="59"/>
      <c r="G494" s="59"/>
    </row>
    <row r="495" spans="1:7" x14ac:dyDescent="0.35">
      <c r="A495" s="58"/>
      <c r="B495" s="57"/>
      <c r="C495" s="58"/>
      <c r="D495" s="58"/>
      <c r="E495" s="58"/>
      <c r="F495" s="59"/>
      <c r="G495" s="59"/>
    </row>
    <row r="496" spans="1:7" x14ac:dyDescent="0.35">
      <c r="A496" s="58"/>
      <c r="B496" s="57"/>
      <c r="C496" s="58"/>
      <c r="D496" s="58"/>
      <c r="E496" s="58"/>
      <c r="F496" s="59"/>
      <c r="G496" s="59"/>
    </row>
    <row r="497" spans="1:7" x14ac:dyDescent="0.35">
      <c r="A497" s="58"/>
      <c r="B497" s="57"/>
      <c r="C497" s="58"/>
      <c r="D497" s="58"/>
      <c r="E497" s="58"/>
      <c r="F497" s="59"/>
      <c r="G497" s="59"/>
    </row>
    <row r="498" spans="1:7" x14ac:dyDescent="0.35">
      <c r="A498" s="58"/>
      <c r="B498" s="57"/>
      <c r="C498" s="58"/>
      <c r="D498" s="58"/>
      <c r="E498" s="58"/>
      <c r="F498" s="59"/>
      <c r="G498" s="59"/>
    </row>
    <row r="499" spans="1:7" x14ac:dyDescent="0.35">
      <c r="A499" s="58"/>
      <c r="B499" s="57"/>
      <c r="C499" s="58"/>
      <c r="D499" s="58"/>
      <c r="E499" s="58"/>
      <c r="F499" s="59"/>
      <c r="G499" s="59"/>
    </row>
    <row r="500" spans="1:7" x14ac:dyDescent="0.35">
      <c r="A500" s="58"/>
      <c r="B500" s="57"/>
      <c r="C500" s="58"/>
      <c r="D500" s="58"/>
      <c r="E500" s="58"/>
      <c r="F500" s="59"/>
      <c r="G500" s="59"/>
    </row>
    <row r="501" spans="1:7" x14ac:dyDescent="0.35">
      <c r="A501" s="58"/>
      <c r="B501" s="57"/>
      <c r="C501" s="58"/>
      <c r="D501" s="58"/>
      <c r="E501" s="58"/>
      <c r="F501" s="59"/>
      <c r="G501" s="59"/>
    </row>
    <row r="502" spans="1:7" x14ac:dyDescent="0.35">
      <c r="A502" s="58"/>
      <c r="B502" s="57"/>
      <c r="C502" s="58"/>
      <c r="D502" s="58"/>
      <c r="E502" s="58"/>
      <c r="F502" s="59"/>
      <c r="G502" s="59"/>
    </row>
    <row r="503" spans="1:7" x14ac:dyDescent="0.35">
      <c r="A503" s="58"/>
      <c r="B503" s="57"/>
      <c r="C503" s="58"/>
      <c r="D503" s="58"/>
      <c r="E503" s="58"/>
      <c r="F503" s="59"/>
      <c r="G503" s="59"/>
    </row>
    <row r="504" spans="1:7" x14ac:dyDescent="0.35">
      <c r="A504" s="58"/>
      <c r="B504" s="57"/>
      <c r="C504" s="58"/>
      <c r="D504" s="58"/>
      <c r="E504" s="58"/>
      <c r="F504" s="59"/>
      <c r="G504" s="59"/>
    </row>
    <row r="505" spans="1:7" x14ac:dyDescent="0.35">
      <c r="A505" s="58"/>
      <c r="B505" s="57"/>
      <c r="C505" s="58"/>
      <c r="D505" s="58"/>
      <c r="E505" s="58"/>
      <c r="F505" s="59"/>
      <c r="G505" s="59"/>
    </row>
    <row r="506" spans="1:7" x14ac:dyDescent="0.35">
      <c r="A506" s="58"/>
      <c r="B506" s="57"/>
      <c r="C506" s="58"/>
      <c r="D506" s="58"/>
      <c r="E506" s="58"/>
      <c r="F506" s="59"/>
      <c r="G506" s="59"/>
    </row>
    <row r="507" spans="1:7" x14ac:dyDescent="0.35">
      <c r="A507" s="58"/>
      <c r="B507" s="57"/>
      <c r="C507" s="58"/>
      <c r="D507" s="58"/>
      <c r="E507" s="58"/>
      <c r="F507" s="59"/>
      <c r="G507" s="59"/>
    </row>
    <row r="508" spans="1:7" x14ac:dyDescent="0.35">
      <c r="A508" s="58"/>
      <c r="B508" s="57"/>
      <c r="C508" s="58"/>
      <c r="D508" s="58"/>
      <c r="E508" s="58"/>
      <c r="F508" s="59"/>
      <c r="G508" s="59"/>
    </row>
    <row r="509" spans="1:7" x14ac:dyDescent="0.35">
      <c r="A509" s="58"/>
      <c r="B509" s="57"/>
      <c r="C509" s="58"/>
      <c r="D509" s="58"/>
      <c r="E509" s="58"/>
      <c r="F509" s="59"/>
      <c r="G509" s="59"/>
    </row>
    <row r="510" spans="1:7" x14ac:dyDescent="0.35">
      <c r="A510" s="58"/>
      <c r="B510" s="57"/>
      <c r="C510" s="58"/>
      <c r="D510" s="58"/>
      <c r="E510" s="58"/>
      <c r="F510" s="59"/>
      <c r="G510" s="59"/>
    </row>
    <row r="511" spans="1:7" x14ac:dyDescent="0.35">
      <c r="A511" s="58"/>
      <c r="B511" s="57"/>
      <c r="C511" s="58"/>
      <c r="D511" s="58"/>
      <c r="E511" s="58"/>
      <c r="F511" s="59"/>
      <c r="G511" s="59"/>
    </row>
    <row r="512" spans="1:7" x14ac:dyDescent="0.35">
      <c r="A512" s="58"/>
      <c r="B512" s="57"/>
      <c r="C512" s="58"/>
      <c r="D512" s="58"/>
      <c r="E512" s="58"/>
      <c r="F512" s="59"/>
      <c r="G512" s="59"/>
    </row>
    <row r="513" spans="1:7" x14ac:dyDescent="0.35">
      <c r="A513" s="58"/>
      <c r="B513" s="57"/>
      <c r="C513" s="58"/>
      <c r="D513" s="58"/>
      <c r="E513" s="58"/>
      <c r="F513" s="59"/>
      <c r="G513" s="59"/>
    </row>
    <row r="514" spans="1:7" x14ac:dyDescent="0.35">
      <c r="A514" s="58"/>
      <c r="B514" s="57"/>
      <c r="C514" s="58"/>
      <c r="D514" s="58"/>
      <c r="E514" s="58"/>
      <c r="F514" s="59"/>
      <c r="G514" s="59"/>
    </row>
    <row r="515" spans="1:7" x14ac:dyDescent="0.35">
      <c r="A515" s="58"/>
      <c r="B515" s="57"/>
      <c r="C515" s="58"/>
      <c r="D515" s="58"/>
      <c r="E515" s="58"/>
      <c r="F515" s="59"/>
      <c r="G515" s="59"/>
    </row>
    <row r="516" spans="1:7" x14ac:dyDescent="0.35">
      <c r="A516" s="58"/>
      <c r="B516" s="57"/>
      <c r="C516" s="58"/>
      <c r="D516" s="58"/>
      <c r="E516" s="58"/>
      <c r="F516" s="59"/>
      <c r="G516" s="59"/>
    </row>
    <row r="517" spans="1:7" x14ac:dyDescent="0.35">
      <c r="A517" s="58"/>
      <c r="B517" s="57"/>
      <c r="C517" s="58"/>
      <c r="D517" s="58"/>
      <c r="E517" s="58"/>
      <c r="F517" s="59"/>
      <c r="G517" s="59"/>
    </row>
    <row r="518" spans="1:7" x14ac:dyDescent="0.35">
      <c r="A518" s="58"/>
      <c r="B518" s="57"/>
      <c r="C518" s="58"/>
      <c r="D518" s="58"/>
      <c r="E518" s="58"/>
      <c r="F518" s="59"/>
      <c r="G518" s="59"/>
    </row>
    <row r="519" spans="1:7" x14ac:dyDescent="0.35">
      <c r="A519" s="58"/>
      <c r="B519" s="57"/>
      <c r="C519" s="58"/>
      <c r="D519" s="58"/>
      <c r="E519" s="58"/>
      <c r="F519" s="59"/>
      <c r="G519" s="59"/>
    </row>
    <row r="520" spans="1:7" x14ac:dyDescent="0.35">
      <c r="A520" s="58"/>
      <c r="B520" s="57"/>
      <c r="C520" s="58"/>
      <c r="D520" s="58"/>
      <c r="E520" s="58"/>
      <c r="F520" s="59"/>
      <c r="G520" s="59"/>
    </row>
    <row r="521" spans="1:7" x14ac:dyDescent="0.35">
      <c r="A521" s="58"/>
      <c r="B521" s="57"/>
      <c r="C521" s="58"/>
      <c r="D521" s="58"/>
      <c r="E521" s="58"/>
      <c r="F521" s="59"/>
      <c r="G521" s="59"/>
    </row>
    <row r="522" spans="1:7" x14ac:dyDescent="0.35">
      <c r="A522" s="57"/>
      <c r="B522" s="57"/>
      <c r="C522" s="57"/>
      <c r="D522" s="57"/>
      <c r="E522" s="60"/>
      <c r="F522" s="61"/>
      <c r="G522" s="61"/>
    </row>
  </sheetData>
  <autoFilter ref="A5:G120" xr:uid="{140FC667-EA5B-4B81-8FDE-FBCEBCF1E22B}">
    <filterColumn colId="0">
      <filters>
        <filter val="220950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471-BB3C-420A-B6B7-DF311C328EC2}">
  <dimension ref="A1:N75"/>
  <sheetViews>
    <sheetView topLeftCell="A31" zoomScale="99" zoomScaleNormal="99" workbookViewId="0">
      <selection activeCell="L36" sqref="K36:L43"/>
    </sheetView>
  </sheetViews>
  <sheetFormatPr defaultRowHeight="14.5" x14ac:dyDescent="0.35"/>
  <cols>
    <col min="3" max="3" width="24" customWidth="1"/>
    <col min="4" max="4" width="11" bestFit="1" customWidth="1"/>
    <col min="5" max="5" width="59.54296875" customWidth="1"/>
    <col min="6" max="6" width="46.1796875" bestFit="1" customWidth="1"/>
    <col min="7" max="7" width="11.54296875" bestFit="1" customWidth="1"/>
    <col min="9" max="9" width="19.453125" bestFit="1" customWidth="1"/>
    <col min="10" max="11" width="12.54296875" bestFit="1" customWidth="1"/>
    <col min="12" max="12" width="13.26953125" bestFit="1" customWidth="1"/>
    <col min="13" max="13" width="13.453125" bestFit="1" customWidth="1"/>
  </cols>
  <sheetData>
    <row r="1" spans="1:2" x14ac:dyDescent="0.35">
      <c r="A1" s="138" t="s">
        <v>6</v>
      </c>
      <c r="B1" s="139" t="s">
        <v>34</v>
      </c>
    </row>
    <row r="2" spans="1:2" x14ac:dyDescent="0.35">
      <c r="A2" s="138" t="s">
        <v>1</v>
      </c>
      <c r="B2" s="139" t="s">
        <v>194</v>
      </c>
    </row>
    <row r="3" spans="1:2" x14ac:dyDescent="0.35">
      <c r="A3" s="138" t="s">
        <v>2</v>
      </c>
      <c r="B3" s="139" t="s">
        <v>428</v>
      </c>
    </row>
    <row r="4" spans="1:2" x14ac:dyDescent="0.35">
      <c r="A4" s="73"/>
      <c r="B4" s="72"/>
    </row>
    <row r="5" spans="1:2" x14ac:dyDescent="0.35">
      <c r="A5" s="137" t="s">
        <v>35</v>
      </c>
      <c r="B5" s="137"/>
    </row>
    <row r="6" spans="1:2" ht="2.5" customHeight="1" x14ac:dyDescent="0.35">
      <c r="A6" s="137" t="s">
        <v>153</v>
      </c>
      <c r="B6" s="137" t="s">
        <v>216</v>
      </c>
    </row>
    <row r="7" spans="1:2" x14ac:dyDescent="0.35">
      <c r="A7" s="137" t="s">
        <v>37</v>
      </c>
      <c r="B7" s="137" t="s">
        <v>216</v>
      </c>
    </row>
    <row r="8" spans="1:2" x14ac:dyDescent="0.35">
      <c r="A8" s="137" t="s">
        <v>38</v>
      </c>
      <c r="B8" s="137" t="s">
        <v>12</v>
      </c>
    </row>
    <row r="9" spans="1:2" x14ac:dyDescent="0.35">
      <c r="A9" s="137" t="s">
        <v>39</v>
      </c>
      <c r="B9" s="137" t="s">
        <v>429</v>
      </c>
    </row>
    <row r="10" spans="1:2" x14ac:dyDescent="0.35">
      <c r="A10" s="137" t="s">
        <v>40</v>
      </c>
      <c r="B10" s="137" t="s">
        <v>429</v>
      </c>
    </row>
    <row r="11" spans="1:2" x14ac:dyDescent="0.35">
      <c r="A11" s="137" t="s">
        <v>41</v>
      </c>
      <c r="B11" s="137" t="s">
        <v>5</v>
      </c>
    </row>
    <row r="12" spans="1:2" x14ac:dyDescent="0.35">
      <c r="A12" s="137" t="s">
        <v>42</v>
      </c>
      <c r="B12" s="137" t="s">
        <v>36</v>
      </c>
    </row>
    <row r="13" spans="1:2" x14ac:dyDescent="0.35">
      <c r="A13" s="137" t="s">
        <v>43</v>
      </c>
      <c r="B13" s="137" t="s">
        <v>36</v>
      </c>
    </row>
    <row r="14" spans="1:2" x14ac:dyDescent="0.35">
      <c r="A14" s="137" t="s">
        <v>44</v>
      </c>
      <c r="B14" s="137" t="s">
        <v>430</v>
      </c>
    </row>
    <row r="15" spans="1:2" x14ac:dyDescent="0.35">
      <c r="A15" s="137" t="s">
        <v>45</v>
      </c>
      <c r="B15" s="137" t="s">
        <v>36</v>
      </c>
    </row>
    <row r="16" spans="1:2" x14ac:dyDescent="0.35">
      <c r="A16" s="137" t="s">
        <v>46</v>
      </c>
      <c r="B16" s="137" t="s">
        <v>431</v>
      </c>
    </row>
    <row r="17" spans="1:14" x14ac:dyDescent="0.35">
      <c r="A17" s="137" t="s">
        <v>47</v>
      </c>
      <c r="B17" s="137" t="s">
        <v>48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</row>
    <row r="18" spans="1:14" x14ac:dyDescent="0.35">
      <c r="A18" s="137" t="s">
        <v>49</v>
      </c>
      <c r="B18" s="137" t="s">
        <v>48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</row>
    <row r="19" spans="1:14" x14ac:dyDescent="0.35">
      <c r="A19" s="137" t="s">
        <v>50</v>
      </c>
      <c r="B19" s="137" t="s">
        <v>48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</row>
    <row r="20" spans="1:14" x14ac:dyDescent="0.35">
      <c r="A20" s="137" t="s">
        <v>51</v>
      </c>
      <c r="B20" s="137" t="s">
        <v>48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</row>
    <row r="21" spans="1:14" x14ac:dyDescent="0.35">
      <c r="A21" s="137" t="s">
        <v>52</v>
      </c>
      <c r="B21" s="137" t="s">
        <v>48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</row>
    <row r="22" spans="1:14" x14ac:dyDescent="0.35">
      <c r="A22" s="137" t="s">
        <v>247</v>
      </c>
      <c r="B22" s="137" t="s">
        <v>385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</row>
    <row r="23" spans="1:14" x14ac:dyDescent="0.35">
      <c r="A23" s="137" t="s">
        <v>53</v>
      </c>
      <c r="B23" s="137" t="s">
        <v>432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</row>
    <row r="24" spans="1:14" x14ac:dyDescent="0.35">
      <c r="A24" s="137" t="s">
        <v>54</v>
      </c>
      <c r="B24" s="137" t="s">
        <v>433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</row>
    <row r="25" spans="1:14" x14ac:dyDescent="0.3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 spans="1:14" x14ac:dyDescent="0.35">
      <c r="A26" s="138" t="s">
        <v>55</v>
      </c>
      <c r="B26" s="138" t="s">
        <v>56</v>
      </c>
      <c r="C26" s="138" t="s">
        <v>57</v>
      </c>
      <c r="D26" s="138" t="s">
        <v>58</v>
      </c>
      <c r="E26" s="138" t="s">
        <v>24</v>
      </c>
      <c r="F26" s="138" t="s">
        <v>4</v>
      </c>
      <c r="G26" s="138" t="s">
        <v>59</v>
      </c>
      <c r="H26" s="138" t="s">
        <v>3</v>
      </c>
      <c r="I26" s="138" t="s">
        <v>60</v>
      </c>
      <c r="J26" s="138" t="s">
        <v>61</v>
      </c>
      <c r="K26" s="138" t="s">
        <v>62</v>
      </c>
      <c r="L26" s="138" t="s">
        <v>63</v>
      </c>
      <c r="M26" s="138" t="s">
        <v>20</v>
      </c>
      <c r="N26" s="138" t="s">
        <v>64</v>
      </c>
    </row>
    <row r="27" spans="1:14" x14ac:dyDescent="0.35">
      <c r="A27" s="139"/>
      <c r="B27" s="139" t="s">
        <v>65</v>
      </c>
      <c r="C27" s="139" t="s">
        <v>434</v>
      </c>
      <c r="D27" s="140">
        <v>43685</v>
      </c>
      <c r="E27" s="139" t="s">
        <v>435</v>
      </c>
      <c r="F27" s="139" t="s">
        <v>436</v>
      </c>
      <c r="G27" s="139"/>
      <c r="H27" s="139" t="s">
        <v>5</v>
      </c>
      <c r="I27" s="139" t="s">
        <v>248</v>
      </c>
      <c r="J27" s="141">
        <v>-786177.22</v>
      </c>
      <c r="K27" s="141">
        <v>0</v>
      </c>
      <c r="L27" s="141">
        <v>1238.68</v>
      </c>
      <c r="M27" s="141">
        <v>-787415.9</v>
      </c>
      <c r="N27" s="139"/>
    </row>
    <row r="28" spans="1:14" x14ac:dyDescent="0.35">
      <c r="A28" s="139"/>
      <c r="B28" s="139" t="s">
        <v>65</v>
      </c>
      <c r="C28" s="139" t="s">
        <v>434</v>
      </c>
      <c r="D28" s="140">
        <v>43685</v>
      </c>
      <c r="E28" s="139" t="s">
        <v>435</v>
      </c>
      <c r="F28" s="139" t="s">
        <v>436</v>
      </c>
      <c r="G28" s="139"/>
      <c r="H28" s="139" t="s">
        <v>5</v>
      </c>
      <c r="I28" s="139" t="s">
        <v>249</v>
      </c>
      <c r="J28" s="141">
        <v>-787415.9</v>
      </c>
      <c r="K28" s="141">
        <v>0</v>
      </c>
      <c r="L28" s="141">
        <v>48150.91</v>
      </c>
      <c r="M28" s="141">
        <v>-835566.81</v>
      </c>
      <c r="N28" s="139"/>
    </row>
    <row r="29" spans="1:14" s="44" customFormat="1" x14ac:dyDescent="0.35">
      <c r="A29" s="139"/>
      <c r="B29" s="139" t="s">
        <v>65</v>
      </c>
      <c r="C29" s="139" t="s">
        <v>434</v>
      </c>
      <c r="D29" s="140">
        <v>43685</v>
      </c>
      <c r="E29" s="139" t="s">
        <v>435</v>
      </c>
      <c r="F29" s="139" t="s">
        <v>436</v>
      </c>
      <c r="G29" s="139"/>
      <c r="H29" s="139" t="s">
        <v>5</v>
      </c>
      <c r="I29" s="139" t="s">
        <v>389</v>
      </c>
      <c r="J29" s="141">
        <v>-835566.81</v>
      </c>
      <c r="K29" s="141">
        <v>0</v>
      </c>
      <c r="L29" s="141">
        <v>39232.400000000001</v>
      </c>
      <c r="M29" s="141">
        <v>-874799.21</v>
      </c>
      <c r="N29" s="139"/>
    </row>
    <row r="30" spans="1:14" x14ac:dyDescent="0.35">
      <c r="A30" s="139"/>
      <c r="B30" s="139" t="s">
        <v>65</v>
      </c>
      <c r="C30" s="139" t="s">
        <v>434</v>
      </c>
      <c r="D30" s="140">
        <v>43685</v>
      </c>
      <c r="E30" s="139" t="s">
        <v>435</v>
      </c>
      <c r="F30" s="139" t="s">
        <v>436</v>
      </c>
      <c r="G30" s="139"/>
      <c r="H30" s="139" t="s">
        <v>5</v>
      </c>
      <c r="I30" s="139" t="s">
        <v>251</v>
      </c>
      <c r="J30" s="141">
        <v>-874799.21</v>
      </c>
      <c r="K30" s="141">
        <v>0</v>
      </c>
      <c r="L30" s="141">
        <v>3603.44</v>
      </c>
      <c r="M30" s="141">
        <v>-878402.65</v>
      </c>
      <c r="N30" s="139"/>
    </row>
    <row r="31" spans="1:14" s="56" customFormat="1" x14ac:dyDescent="0.35">
      <c r="A31" s="139"/>
      <c r="B31" s="139" t="s">
        <v>65</v>
      </c>
      <c r="C31" s="139" t="s">
        <v>434</v>
      </c>
      <c r="D31" s="140">
        <v>43685</v>
      </c>
      <c r="E31" s="139" t="s">
        <v>435</v>
      </c>
      <c r="F31" s="139" t="s">
        <v>436</v>
      </c>
      <c r="G31" s="139"/>
      <c r="H31" s="139" t="s">
        <v>5</v>
      </c>
      <c r="I31" s="139" t="s">
        <v>386</v>
      </c>
      <c r="J31" s="141">
        <v>-878402.65</v>
      </c>
      <c r="K31" s="141">
        <v>0</v>
      </c>
      <c r="L31" s="141">
        <v>1081.03</v>
      </c>
      <c r="M31" s="141">
        <v>-879483.68</v>
      </c>
      <c r="N31" s="139"/>
    </row>
    <row r="32" spans="1:14" x14ac:dyDescent="0.35">
      <c r="A32" s="139"/>
      <c r="B32" s="139" t="s">
        <v>65</v>
      </c>
      <c r="C32" s="139" t="s">
        <v>434</v>
      </c>
      <c r="D32" s="140">
        <v>43685</v>
      </c>
      <c r="E32" s="139" t="s">
        <v>435</v>
      </c>
      <c r="F32" s="139" t="s">
        <v>436</v>
      </c>
      <c r="G32" s="139"/>
      <c r="H32" s="139" t="s">
        <v>5</v>
      </c>
      <c r="I32" s="139" t="s">
        <v>390</v>
      </c>
      <c r="J32" s="141">
        <v>-879483.68</v>
      </c>
      <c r="K32" s="141">
        <v>0</v>
      </c>
      <c r="L32" s="141">
        <v>14391.22</v>
      </c>
      <c r="M32" s="141">
        <v>-893874.9</v>
      </c>
      <c r="N32" s="139"/>
    </row>
    <row r="33" spans="1:14" x14ac:dyDescent="0.35">
      <c r="A33" s="139"/>
      <c r="B33" s="139" t="s">
        <v>65</v>
      </c>
      <c r="C33" s="139" t="s">
        <v>434</v>
      </c>
      <c r="D33" s="140">
        <v>43685</v>
      </c>
      <c r="E33" s="139" t="s">
        <v>435</v>
      </c>
      <c r="F33" s="139" t="s">
        <v>436</v>
      </c>
      <c r="G33" s="139"/>
      <c r="H33" s="139" t="s">
        <v>5</v>
      </c>
      <c r="I33" s="139" t="s">
        <v>387</v>
      </c>
      <c r="J33" s="141">
        <v>-893874.9</v>
      </c>
      <c r="K33" s="141">
        <v>0</v>
      </c>
      <c r="L33" s="141">
        <v>326.56</v>
      </c>
      <c r="M33" s="141">
        <v>-894201.46</v>
      </c>
      <c r="N33" s="139"/>
    </row>
    <row r="34" spans="1:14" x14ac:dyDescent="0.35">
      <c r="A34" s="139"/>
      <c r="B34" s="139" t="s">
        <v>65</v>
      </c>
      <c r="C34" s="139" t="s">
        <v>434</v>
      </c>
      <c r="D34" s="140">
        <v>43685</v>
      </c>
      <c r="E34" s="139" t="s">
        <v>435</v>
      </c>
      <c r="F34" s="139" t="s">
        <v>436</v>
      </c>
      <c r="G34" s="139"/>
      <c r="H34" s="139" t="s">
        <v>5</v>
      </c>
      <c r="I34" s="139" t="s">
        <v>388</v>
      </c>
      <c r="J34" s="141">
        <v>-894201.46</v>
      </c>
      <c r="K34" s="141">
        <v>0</v>
      </c>
      <c r="L34" s="141">
        <v>472.95</v>
      </c>
      <c r="M34" s="141">
        <v>-894674.41</v>
      </c>
      <c r="N34" s="139"/>
    </row>
    <row r="35" spans="1:14" s="56" customFormat="1" x14ac:dyDescent="0.35">
      <c r="A35" s="139"/>
      <c r="B35" s="139" t="s">
        <v>65</v>
      </c>
      <c r="C35" s="139" t="s">
        <v>434</v>
      </c>
      <c r="D35" s="140">
        <v>43685</v>
      </c>
      <c r="E35" s="139" t="s">
        <v>435</v>
      </c>
      <c r="F35" s="139" t="s">
        <v>436</v>
      </c>
      <c r="G35" s="139"/>
      <c r="H35" s="139" t="s">
        <v>5</v>
      </c>
      <c r="I35" s="139" t="s">
        <v>250</v>
      </c>
      <c r="J35" s="141">
        <v>-894674.41</v>
      </c>
      <c r="K35" s="141">
        <v>0</v>
      </c>
      <c r="L35" s="141">
        <v>6846.53</v>
      </c>
      <c r="M35" s="141">
        <v>-901520.94</v>
      </c>
      <c r="N35" s="139"/>
    </row>
    <row r="36" spans="1:14" x14ac:dyDescent="0.35">
      <c r="A36" s="139"/>
      <c r="B36" s="139" t="s">
        <v>65</v>
      </c>
      <c r="C36" s="139" t="s">
        <v>437</v>
      </c>
      <c r="D36" s="140">
        <v>43708</v>
      </c>
      <c r="E36" s="139" t="s">
        <v>435</v>
      </c>
      <c r="F36" s="139" t="s">
        <v>438</v>
      </c>
      <c r="G36" s="139"/>
      <c r="H36" s="139" t="s">
        <v>5</v>
      </c>
      <c r="I36" s="139" t="s">
        <v>389</v>
      </c>
      <c r="J36" s="141">
        <v>-901520.94</v>
      </c>
      <c r="K36" s="141">
        <v>0</v>
      </c>
      <c r="L36" s="141">
        <v>-31776.71</v>
      </c>
      <c r="M36" s="141">
        <v>-933297.65</v>
      </c>
      <c r="N36" s="139"/>
    </row>
    <row r="37" spans="1:14" x14ac:dyDescent="0.35">
      <c r="A37" s="139"/>
      <c r="B37" s="139" t="s">
        <v>65</v>
      </c>
      <c r="C37" s="139" t="s">
        <v>437</v>
      </c>
      <c r="D37" s="140">
        <v>43708</v>
      </c>
      <c r="E37" s="139" t="s">
        <v>435</v>
      </c>
      <c r="F37" s="139" t="s">
        <v>438</v>
      </c>
      <c r="G37" s="139"/>
      <c r="H37" s="139" t="s">
        <v>5</v>
      </c>
      <c r="I37" s="139" t="s">
        <v>388</v>
      </c>
      <c r="J37" s="141">
        <v>-933297.65</v>
      </c>
      <c r="K37" s="141">
        <v>0</v>
      </c>
      <c r="L37" s="141">
        <v>-557.49</v>
      </c>
      <c r="M37" s="141">
        <v>-933855.14</v>
      </c>
      <c r="N37" s="139"/>
    </row>
    <row r="38" spans="1:14" x14ac:dyDescent="0.35">
      <c r="A38" s="139"/>
      <c r="B38" s="139" t="s">
        <v>65</v>
      </c>
      <c r="C38" s="139" t="s">
        <v>437</v>
      </c>
      <c r="D38" s="140">
        <v>43708</v>
      </c>
      <c r="E38" s="139" t="s">
        <v>435</v>
      </c>
      <c r="F38" s="139" t="s">
        <v>438</v>
      </c>
      <c r="G38" s="139"/>
      <c r="H38" s="139" t="s">
        <v>5</v>
      </c>
      <c r="I38" s="139" t="s">
        <v>439</v>
      </c>
      <c r="J38" s="141">
        <v>-933855.14</v>
      </c>
      <c r="K38" s="141">
        <v>23786.080000000002</v>
      </c>
      <c r="L38" s="141">
        <v>0</v>
      </c>
      <c r="M38" s="141">
        <v>-910069.06</v>
      </c>
      <c r="N38" s="139"/>
    </row>
    <row r="39" spans="1:14" x14ac:dyDescent="0.35">
      <c r="A39" s="139"/>
      <c r="B39" s="139" t="s">
        <v>65</v>
      </c>
      <c r="C39" s="139" t="s">
        <v>437</v>
      </c>
      <c r="D39" s="140">
        <v>43708</v>
      </c>
      <c r="E39" s="139" t="s">
        <v>435</v>
      </c>
      <c r="F39" s="139" t="s">
        <v>438</v>
      </c>
      <c r="G39" s="139"/>
      <c r="H39" s="139" t="s">
        <v>5</v>
      </c>
      <c r="I39" s="139" t="s">
        <v>440</v>
      </c>
      <c r="J39" s="141">
        <v>-910069.06</v>
      </c>
      <c r="K39" s="141">
        <v>0</v>
      </c>
      <c r="L39" s="141">
        <v>-151450.41</v>
      </c>
      <c r="M39" s="141">
        <v>-1061519.47</v>
      </c>
      <c r="N39" s="139"/>
    </row>
    <row r="40" spans="1:14" x14ac:dyDescent="0.35">
      <c r="A40" s="139"/>
      <c r="B40" s="139" t="s">
        <v>65</v>
      </c>
      <c r="C40" s="139" t="s">
        <v>437</v>
      </c>
      <c r="D40" s="140">
        <v>43708</v>
      </c>
      <c r="E40" s="139" t="s">
        <v>435</v>
      </c>
      <c r="F40" s="139" t="s">
        <v>438</v>
      </c>
      <c r="G40" s="139"/>
      <c r="H40" s="139" t="s">
        <v>5</v>
      </c>
      <c r="I40" s="139" t="s">
        <v>441</v>
      </c>
      <c r="J40" s="141">
        <v>-1061519.47</v>
      </c>
      <c r="K40" s="141">
        <v>0</v>
      </c>
      <c r="L40" s="141">
        <v>-37165.75</v>
      </c>
      <c r="M40" s="141">
        <v>-1098685.22</v>
      </c>
      <c r="N40" s="139"/>
    </row>
    <row r="41" spans="1:14" x14ac:dyDescent="0.35">
      <c r="A41" s="139"/>
      <c r="B41" s="139" t="s">
        <v>65</v>
      </c>
      <c r="C41" s="139" t="s">
        <v>437</v>
      </c>
      <c r="D41" s="140">
        <v>43708</v>
      </c>
      <c r="E41" s="139" t="s">
        <v>435</v>
      </c>
      <c r="F41" s="139" t="s">
        <v>438</v>
      </c>
      <c r="G41" s="139"/>
      <c r="H41" s="139" t="s">
        <v>5</v>
      </c>
      <c r="I41" s="139" t="s">
        <v>442</v>
      </c>
      <c r="J41" s="141">
        <v>-1098685.22</v>
      </c>
      <c r="K41" s="141">
        <v>0</v>
      </c>
      <c r="L41" s="141">
        <v>-6968.58</v>
      </c>
      <c r="M41" s="141">
        <v>-1105653.8</v>
      </c>
      <c r="N41" s="139"/>
    </row>
    <row r="42" spans="1:14" x14ac:dyDescent="0.35">
      <c r="A42" s="139"/>
      <c r="B42" s="139" t="s">
        <v>65</v>
      </c>
      <c r="C42" s="139" t="s">
        <v>437</v>
      </c>
      <c r="D42" s="140">
        <v>43708</v>
      </c>
      <c r="E42" s="139" t="s">
        <v>435</v>
      </c>
      <c r="F42" s="139" t="s">
        <v>438</v>
      </c>
      <c r="G42" s="139"/>
      <c r="H42" s="139" t="s">
        <v>5</v>
      </c>
      <c r="I42" s="139" t="s">
        <v>443</v>
      </c>
      <c r="J42" s="141">
        <v>-1105653.8</v>
      </c>
      <c r="K42" s="141">
        <v>0</v>
      </c>
      <c r="L42" s="141">
        <v>-4645.72</v>
      </c>
      <c r="M42" s="141">
        <v>-1110299.52</v>
      </c>
      <c r="N42" s="139"/>
    </row>
    <row r="43" spans="1:14" x14ac:dyDescent="0.35">
      <c r="A43" s="139"/>
      <c r="B43" s="139" t="s">
        <v>65</v>
      </c>
      <c r="C43" s="139" t="s">
        <v>437</v>
      </c>
      <c r="D43" s="140">
        <v>43708</v>
      </c>
      <c r="E43" s="139" t="s">
        <v>435</v>
      </c>
      <c r="F43" s="139" t="s">
        <v>438</v>
      </c>
      <c r="G43" s="139"/>
      <c r="H43" s="139" t="s">
        <v>5</v>
      </c>
      <c r="I43" s="139" t="s">
        <v>444</v>
      </c>
      <c r="J43" s="141">
        <v>-1110299.52</v>
      </c>
      <c r="K43" s="141">
        <v>17839.560000000001</v>
      </c>
      <c r="L43" s="141">
        <v>0</v>
      </c>
      <c r="M43" s="141">
        <v>-1092459.96</v>
      </c>
      <c r="N43" s="139"/>
    </row>
    <row r="44" spans="1:14" x14ac:dyDescent="0.35">
      <c r="A44" s="139"/>
      <c r="B44" s="139" t="s">
        <v>65</v>
      </c>
      <c r="C44" s="139" t="s">
        <v>445</v>
      </c>
      <c r="D44" s="140">
        <v>43708</v>
      </c>
      <c r="E44" s="139" t="s">
        <v>435</v>
      </c>
      <c r="F44" s="139" t="s">
        <v>446</v>
      </c>
      <c r="G44" s="139"/>
      <c r="H44" s="139" t="s">
        <v>5</v>
      </c>
      <c r="I44" s="139" t="s">
        <v>388</v>
      </c>
      <c r="J44" s="141">
        <v>-1092459.96</v>
      </c>
      <c r="K44" s="141">
        <v>0</v>
      </c>
      <c r="L44" s="141">
        <v>250.04</v>
      </c>
      <c r="M44" s="141">
        <v>-1092710</v>
      </c>
      <c r="N44" s="139"/>
    </row>
    <row r="45" spans="1:14" x14ac:dyDescent="0.35">
      <c r="A45" s="139"/>
      <c r="B45" s="139" t="s">
        <v>65</v>
      </c>
      <c r="C45" s="139" t="s">
        <v>445</v>
      </c>
      <c r="D45" s="140">
        <v>43708</v>
      </c>
      <c r="E45" s="139" t="s">
        <v>435</v>
      </c>
      <c r="F45" s="139" t="s">
        <v>446</v>
      </c>
      <c r="G45" s="139"/>
      <c r="H45" s="139" t="s">
        <v>5</v>
      </c>
      <c r="I45" s="139" t="s">
        <v>389</v>
      </c>
      <c r="J45" s="141">
        <v>-1092710</v>
      </c>
      <c r="K45" s="141">
        <v>0</v>
      </c>
      <c r="L45" s="141">
        <v>14252.45</v>
      </c>
      <c r="M45" s="141">
        <v>-1106962.45</v>
      </c>
      <c r="N45" s="139"/>
    </row>
    <row r="46" spans="1:14" x14ac:dyDescent="0.35">
      <c r="A46" s="139"/>
      <c r="B46" s="139" t="s">
        <v>65</v>
      </c>
      <c r="C46" s="139" t="s">
        <v>445</v>
      </c>
      <c r="D46" s="140">
        <v>43708</v>
      </c>
      <c r="E46" s="139" t="s">
        <v>435</v>
      </c>
      <c r="F46" s="139" t="s">
        <v>446</v>
      </c>
      <c r="G46" s="139"/>
      <c r="H46" s="139" t="s">
        <v>5</v>
      </c>
      <c r="I46" s="139" t="s">
        <v>439</v>
      </c>
      <c r="J46" s="141">
        <v>-1106962.45</v>
      </c>
      <c r="K46" s="141">
        <v>10668.5</v>
      </c>
      <c r="L46" s="141">
        <v>0</v>
      </c>
      <c r="M46" s="141">
        <v>-1096293.95</v>
      </c>
      <c r="N46" s="139"/>
    </row>
    <row r="47" spans="1:14" x14ac:dyDescent="0.35">
      <c r="A47" s="139"/>
      <c r="B47" s="139" t="s">
        <v>65</v>
      </c>
      <c r="C47" s="139" t="s">
        <v>445</v>
      </c>
      <c r="D47" s="140">
        <v>43708</v>
      </c>
      <c r="E47" s="139" t="s">
        <v>435</v>
      </c>
      <c r="F47" s="139" t="s">
        <v>446</v>
      </c>
      <c r="G47" s="139"/>
      <c r="H47" s="139" t="s">
        <v>5</v>
      </c>
      <c r="I47" s="139" t="s">
        <v>440</v>
      </c>
      <c r="J47" s="141">
        <v>-1096293.95</v>
      </c>
      <c r="K47" s="141">
        <v>0</v>
      </c>
      <c r="L47" s="141">
        <v>67928.36</v>
      </c>
      <c r="M47" s="141">
        <v>-1164222.31</v>
      </c>
      <c r="N47" s="139"/>
    </row>
    <row r="48" spans="1:14" x14ac:dyDescent="0.35">
      <c r="A48" s="139"/>
      <c r="B48" s="139" t="s">
        <v>65</v>
      </c>
      <c r="C48" s="139" t="s">
        <v>445</v>
      </c>
      <c r="D48" s="140">
        <v>43708</v>
      </c>
      <c r="E48" s="139" t="s">
        <v>435</v>
      </c>
      <c r="F48" s="139" t="s">
        <v>446</v>
      </c>
      <c r="G48" s="139"/>
      <c r="H48" s="139" t="s">
        <v>5</v>
      </c>
      <c r="I48" s="139" t="s">
        <v>441</v>
      </c>
      <c r="J48" s="141">
        <v>-1164222.31</v>
      </c>
      <c r="K48" s="141">
        <v>0</v>
      </c>
      <c r="L48" s="141">
        <v>16669.54</v>
      </c>
      <c r="M48" s="141">
        <v>-1180891.8500000001</v>
      </c>
      <c r="N48" s="139"/>
    </row>
    <row r="49" spans="1:14" x14ac:dyDescent="0.35">
      <c r="A49" s="139"/>
      <c r="B49" s="139" t="s">
        <v>65</v>
      </c>
      <c r="C49" s="139" t="s">
        <v>445</v>
      </c>
      <c r="D49" s="140">
        <v>43708</v>
      </c>
      <c r="E49" s="139" t="s">
        <v>435</v>
      </c>
      <c r="F49" s="139" t="s">
        <v>446</v>
      </c>
      <c r="G49" s="139"/>
      <c r="H49" s="139" t="s">
        <v>5</v>
      </c>
      <c r="I49" s="139" t="s">
        <v>442</v>
      </c>
      <c r="J49" s="141">
        <v>-1180891.8500000001</v>
      </c>
      <c r="K49" s="141">
        <v>0</v>
      </c>
      <c r="L49" s="141">
        <v>3125.54</v>
      </c>
      <c r="M49" s="141">
        <v>-1184017.3899999999</v>
      </c>
      <c r="N49" s="139"/>
    </row>
    <row r="50" spans="1:14" x14ac:dyDescent="0.35">
      <c r="A50" s="139"/>
      <c r="B50" s="139" t="s">
        <v>65</v>
      </c>
      <c r="C50" s="139" t="s">
        <v>445</v>
      </c>
      <c r="D50" s="140">
        <v>43708</v>
      </c>
      <c r="E50" s="139" t="s">
        <v>435</v>
      </c>
      <c r="F50" s="139" t="s">
        <v>446</v>
      </c>
      <c r="G50" s="139"/>
      <c r="H50" s="139" t="s">
        <v>5</v>
      </c>
      <c r="I50" s="139" t="s">
        <v>443</v>
      </c>
      <c r="J50" s="141">
        <v>-1184017.3899999999</v>
      </c>
      <c r="K50" s="141">
        <v>0</v>
      </c>
      <c r="L50" s="141">
        <v>2083.69</v>
      </c>
      <c r="M50" s="141">
        <v>-1186101.08</v>
      </c>
      <c r="N50" s="139"/>
    </row>
    <row r="51" spans="1:14" x14ac:dyDescent="0.35">
      <c r="A51" s="139"/>
      <c r="B51" s="139" t="s">
        <v>65</v>
      </c>
      <c r="C51" s="139" t="s">
        <v>445</v>
      </c>
      <c r="D51" s="140">
        <v>43708</v>
      </c>
      <c r="E51" s="139" t="s">
        <v>435</v>
      </c>
      <c r="F51" s="139" t="s">
        <v>446</v>
      </c>
      <c r="G51" s="139"/>
      <c r="H51" s="139" t="s">
        <v>5</v>
      </c>
      <c r="I51" s="139" t="s">
        <v>444</v>
      </c>
      <c r="J51" s="141">
        <v>-1186101.08</v>
      </c>
      <c r="K51" s="141">
        <v>8001.38</v>
      </c>
      <c r="L51" s="141">
        <v>0</v>
      </c>
      <c r="M51" s="141">
        <v>-1178099.7</v>
      </c>
      <c r="N51" s="139"/>
    </row>
    <row r="52" spans="1:14" x14ac:dyDescent="0.35">
      <c r="A52" s="139"/>
      <c r="B52" s="139" t="s">
        <v>65</v>
      </c>
      <c r="C52" s="139" t="s">
        <v>445</v>
      </c>
      <c r="D52" s="140">
        <v>43708</v>
      </c>
      <c r="E52" s="139" t="s">
        <v>435</v>
      </c>
      <c r="F52" s="139" t="s">
        <v>447</v>
      </c>
      <c r="G52" s="139"/>
      <c r="H52" s="139" t="s">
        <v>5</v>
      </c>
      <c r="I52" s="139" t="s">
        <v>388</v>
      </c>
      <c r="J52" s="141">
        <v>-1178099.7</v>
      </c>
      <c r="K52" s="141">
        <v>0</v>
      </c>
      <c r="L52" s="141">
        <v>43.35</v>
      </c>
      <c r="M52" s="141">
        <v>-1178143.05</v>
      </c>
      <c r="N52" s="139"/>
    </row>
    <row r="53" spans="1:14" x14ac:dyDescent="0.35">
      <c r="A53" s="139"/>
      <c r="B53" s="139" t="s">
        <v>65</v>
      </c>
      <c r="C53" s="139" t="s">
        <v>445</v>
      </c>
      <c r="D53" s="140">
        <v>43708</v>
      </c>
      <c r="E53" s="139" t="s">
        <v>435</v>
      </c>
      <c r="F53" s="139" t="s">
        <v>447</v>
      </c>
      <c r="G53" s="139"/>
      <c r="H53" s="139" t="s">
        <v>5</v>
      </c>
      <c r="I53" s="139" t="s">
        <v>389</v>
      </c>
      <c r="J53" s="141">
        <v>-1178143.05</v>
      </c>
      <c r="K53" s="141">
        <v>0</v>
      </c>
      <c r="L53" s="141">
        <v>2471.23</v>
      </c>
      <c r="M53" s="141">
        <v>-1180614.28</v>
      </c>
      <c r="N53" s="139"/>
    </row>
    <row r="54" spans="1:14" x14ac:dyDescent="0.35">
      <c r="A54" s="139"/>
      <c r="B54" s="139" t="s">
        <v>65</v>
      </c>
      <c r="C54" s="139" t="s">
        <v>445</v>
      </c>
      <c r="D54" s="140">
        <v>43708</v>
      </c>
      <c r="E54" s="139" t="s">
        <v>435</v>
      </c>
      <c r="F54" s="139" t="s">
        <v>447</v>
      </c>
      <c r="G54" s="139"/>
      <c r="H54" s="139" t="s">
        <v>5</v>
      </c>
      <c r="I54" s="139" t="s">
        <v>439</v>
      </c>
      <c r="J54" s="141">
        <v>-1180614.28</v>
      </c>
      <c r="K54" s="141">
        <v>1849.81</v>
      </c>
      <c r="L54" s="141">
        <v>0</v>
      </c>
      <c r="M54" s="141">
        <v>-1178764.47</v>
      </c>
      <c r="N54" s="139"/>
    </row>
    <row r="55" spans="1:14" x14ac:dyDescent="0.35">
      <c r="A55" s="139"/>
      <c r="B55" s="139" t="s">
        <v>65</v>
      </c>
      <c r="C55" s="139" t="s">
        <v>445</v>
      </c>
      <c r="D55" s="140">
        <v>43708</v>
      </c>
      <c r="E55" s="139" t="s">
        <v>435</v>
      </c>
      <c r="F55" s="139" t="s">
        <v>447</v>
      </c>
      <c r="G55" s="139"/>
      <c r="H55" s="139" t="s">
        <v>5</v>
      </c>
      <c r="I55" s="139" t="s">
        <v>440</v>
      </c>
      <c r="J55" s="141">
        <v>-1178764.47</v>
      </c>
      <c r="K55" s="141">
        <v>0</v>
      </c>
      <c r="L55" s="141">
        <v>11778.09</v>
      </c>
      <c r="M55" s="141">
        <v>-1190542.56</v>
      </c>
      <c r="N55" s="139"/>
    </row>
    <row r="56" spans="1:14" x14ac:dyDescent="0.35">
      <c r="A56" s="139"/>
      <c r="B56" s="139" t="s">
        <v>65</v>
      </c>
      <c r="C56" s="139" t="s">
        <v>445</v>
      </c>
      <c r="D56" s="140">
        <v>43708</v>
      </c>
      <c r="E56" s="139" t="s">
        <v>435</v>
      </c>
      <c r="F56" s="139" t="s">
        <v>447</v>
      </c>
      <c r="G56" s="139"/>
      <c r="H56" s="139" t="s">
        <v>5</v>
      </c>
      <c r="I56" s="139" t="s">
        <v>441</v>
      </c>
      <c r="J56" s="141">
        <v>-1190542.56</v>
      </c>
      <c r="K56" s="141">
        <v>0</v>
      </c>
      <c r="L56" s="141">
        <v>2890.33</v>
      </c>
      <c r="M56" s="141">
        <v>-1193432.8899999999</v>
      </c>
      <c r="N56" s="139"/>
    </row>
    <row r="57" spans="1:14" x14ac:dyDescent="0.35">
      <c r="A57" s="139"/>
      <c r="B57" s="139" t="s">
        <v>65</v>
      </c>
      <c r="C57" s="139" t="s">
        <v>445</v>
      </c>
      <c r="D57" s="140">
        <v>43708</v>
      </c>
      <c r="E57" s="139" t="s">
        <v>435</v>
      </c>
      <c r="F57" s="139" t="s">
        <v>447</v>
      </c>
      <c r="G57" s="139"/>
      <c r="H57" s="139" t="s">
        <v>5</v>
      </c>
      <c r="I57" s="139" t="s">
        <v>442</v>
      </c>
      <c r="J57" s="141">
        <v>-1193432.8899999999</v>
      </c>
      <c r="K57" s="141">
        <v>0</v>
      </c>
      <c r="L57" s="141">
        <v>541.94000000000005</v>
      </c>
      <c r="M57" s="141">
        <v>-1193974.83</v>
      </c>
      <c r="N57" s="139"/>
    </row>
    <row r="58" spans="1:14" x14ac:dyDescent="0.35">
      <c r="A58" s="139"/>
      <c r="B58" s="139" t="s">
        <v>65</v>
      </c>
      <c r="C58" s="139" t="s">
        <v>445</v>
      </c>
      <c r="D58" s="140">
        <v>43708</v>
      </c>
      <c r="E58" s="139" t="s">
        <v>435</v>
      </c>
      <c r="F58" s="139" t="s">
        <v>447</v>
      </c>
      <c r="G58" s="139"/>
      <c r="H58" s="139" t="s">
        <v>5</v>
      </c>
      <c r="I58" s="139" t="s">
        <v>443</v>
      </c>
      <c r="J58" s="141">
        <v>-1193974.83</v>
      </c>
      <c r="K58" s="141">
        <v>0</v>
      </c>
      <c r="L58" s="141">
        <v>361.29</v>
      </c>
      <c r="M58" s="141">
        <v>-1194336.1200000001</v>
      </c>
      <c r="N58" s="139"/>
    </row>
    <row r="59" spans="1:14" x14ac:dyDescent="0.35">
      <c r="A59" s="139"/>
      <c r="B59" s="139" t="s">
        <v>65</v>
      </c>
      <c r="C59" s="139" t="s">
        <v>445</v>
      </c>
      <c r="D59" s="140">
        <v>43708</v>
      </c>
      <c r="E59" s="139" t="s">
        <v>435</v>
      </c>
      <c r="F59" s="139" t="s">
        <v>447</v>
      </c>
      <c r="G59" s="139"/>
      <c r="H59" s="139" t="s">
        <v>5</v>
      </c>
      <c r="I59" s="139" t="s">
        <v>444</v>
      </c>
      <c r="J59" s="141">
        <v>-1194336.1200000001</v>
      </c>
      <c r="K59" s="141">
        <v>1387.36</v>
      </c>
      <c r="L59" s="141">
        <v>0</v>
      </c>
      <c r="M59" s="141">
        <v>-1192948.76</v>
      </c>
      <c r="N59" s="139"/>
    </row>
    <row r="60" spans="1:14" x14ac:dyDescent="0.35">
      <c r="A60" s="28"/>
      <c r="B60" s="28"/>
      <c r="C60" s="28"/>
      <c r="D60" s="29"/>
      <c r="E60" s="28"/>
      <c r="F60" s="28"/>
      <c r="G60" s="28"/>
      <c r="H60" s="28"/>
      <c r="I60" s="28"/>
      <c r="J60" s="30"/>
      <c r="K60" s="30"/>
      <c r="L60" s="30"/>
      <c r="M60" s="30"/>
      <c r="N60" s="28"/>
    </row>
    <row r="61" spans="1:14" x14ac:dyDescent="0.35">
      <c r="A61" s="28"/>
      <c r="B61" s="28"/>
      <c r="C61" s="28"/>
      <c r="D61" s="29"/>
      <c r="E61" s="28"/>
      <c r="F61" s="28"/>
      <c r="G61" s="28"/>
      <c r="H61" s="28"/>
      <c r="I61" s="28"/>
      <c r="J61" s="30"/>
      <c r="K61" s="30"/>
      <c r="L61" s="30"/>
      <c r="M61" s="30"/>
      <c r="N61" s="28"/>
    </row>
    <row r="62" spans="1:14" x14ac:dyDescent="0.35">
      <c r="A62" s="28"/>
      <c r="B62" s="28"/>
      <c r="C62" s="28"/>
      <c r="D62" s="29"/>
      <c r="E62" s="28"/>
      <c r="F62" s="28"/>
      <c r="G62" s="28"/>
      <c r="H62" s="28"/>
      <c r="I62" s="28"/>
      <c r="J62" s="30"/>
      <c r="K62" s="30"/>
      <c r="L62" s="30"/>
      <c r="M62" s="30"/>
      <c r="N62" s="28"/>
    </row>
    <row r="63" spans="1:14" x14ac:dyDescent="0.35">
      <c r="A63" s="28"/>
      <c r="B63" s="28"/>
      <c r="C63" s="28"/>
      <c r="D63" s="29"/>
      <c r="E63" s="28"/>
      <c r="F63" s="28"/>
      <c r="G63" s="28"/>
      <c r="H63" s="28"/>
      <c r="I63" s="28"/>
      <c r="J63" s="30"/>
      <c r="K63" s="30"/>
      <c r="L63" s="30"/>
      <c r="M63" s="30"/>
      <c r="N63" s="28"/>
    </row>
    <row r="64" spans="1:14" x14ac:dyDescent="0.35">
      <c r="A64" s="28"/>
      <c r="B64" s="28"/>
      <c r="C64" s="28"/>
      <c r="D64" s="29"/>
      <c r="E64" s="28"/>
      <c r="F64" s="28"/>
      <c r="G64" s="28"/>
      <c r="H64" s="28"/>
      <c r="I64" s="28"/>
      <c r="J64" s="30"/>
      <c r="K64" s="30"/>
      <c r="L64" s="30"/>
      <c r="M64" s="30"/>
      <c r="N64" s="28"/>
    </row>
    <row r="65" spans="1:14" x14ac:dyDescent="0.35">
      <c r="A65" s="28"/>
      <c r="B65" s="28"/>
      <c r="C65" s="28"/>
      <c r="D65" s="29"/>
      <c r="E65" s="28"/>
      <c r="F65" s="28"/>
      <c r="G65" s="28"/>
      <c r="H65" s="28"/>
      <c r="I65" s="28"/>
      <c r="J65" s="30"/>
      <c r="K65" s="30"/>
      <c r="L65" s="30"/>
      <c r="M65" s="30"/>
      <c r="N65" s="28"/>
    </row>
    <row r="66" spans="1:14" x14ac:dyDescent="0.35">
      <c r="A66" s="28"/>
      <c r="B66" s="28"/>
      <c r="C66" s="28"/>
      <c r="D66" s="29"/>
      <c r="E66" s="28"/>
      <c r="F66" s="28"/>
      <c r="G66" s="28"/>
      <c r="H66" s="28"/>
      <c r="I66" s="28"/>
      <c r="J66" s="30"/>
      <c r="K66" s="30"/>
      <c r="L66" s="30"/>
      <c r="M66" s="30"/>
      <c r="N66" s="28"/>
    </row>
    <row r="67" spans="1:14" x14ac:dyDescent="0.35">
      <c r="A67" s="28"/>
      <c r="B67" s="28"/>
      <c r="C67" s="28"/>
      <c r="D67" s="29"/>
      <c r="E67" s="28"/>
      <c r="F67" s="28"/>
      <c r="G67" s="28"/>
      <c r="H67" s="28"/>
      <c r="I67" s="28"/>
      <c r="J67" s="30"/>
      <c r="K67" s="30"/>
      <c r="L67" s="30"/>
      <c r="M67" s="30"/>
      <c r="N67" s="28"/>
    </row>
    <row r="68" spans="1:14" x14ac:dyDescent="0.35">
      <c r="A68" s="28"/>
      <c r="B68" s="28"/>
      <c r="C68" s="28"/>
      <c r="D68" s="29"/>
      <c r="E68" s="28"/>
      <c r="F68" s="28"/>
      <c r="G68" s="28"/>
      <c r="H68" s="28"/>
      <c r="I68" s="28"/>
      <c r="J68" s="30"/>
      <c r="K68" s="30"/>
      <c r="L68" s="30"/>
      <c r="M68" s="30"/>
      <c r="N68" s="28"/>
    </row>
    <row r="69" spans="1:14" x14ac:dyDescent="0.35">
      <c r="A69" s="28"/>
      <c r="B69" s="28"/>
      <c r="C69" s="28"/>
      <c r="D69" s="29"/>
      <c r="E69" s="28"/>
      <c r="F69" s="28"/>
      <c r="G69" s="28"/>
      <c r="H69" s="28"/>
      <c r="I69" s="28"/>
      <c r="J69" s="30"/>
      <c r="K69" s="30"/>
      <c r="L69" s="30"/>
      <c r="M69" s="30"/>
      <c r="N69" s="28"/>
    </row>
    <row r="70" spans="1:14" x14ac:dyDescent="0.35">
      <c r="A70" s="28"/>
      <c r="B70" s="28"/>
      <c r="C70" s="28"/>
      <c r="D70" s="29"/>
      <c r="E70" s="28"/>
      <c r="F70" s="28"/>
      <c r="G70" s="28"/>
      <c r="H70" s="28"/>
      <c r="I70" s="28"/>
      <c r="J70" s="30"/>
      <c r="K70" s="30"/>
      <c r="L70" s="30"/>
      <c r="M70" s="30"/>
      <c r="N70" s="28"/>
    </row>
    <row r="71" spans="1:14" x14ac:dyDescent="0.35">
      <c r="A71" s="28"/>
      <c r="B71" s="28"/>
      <c r="C71" s="28"/>
      <c r="D71" s="29"/>
      <c r="E71" s="28"/>
      <c r="F71" s="28"/>
      <c r="G71" s="28"/>
      <c r="H71" s="28"/>
      <c r="I71" s="28"/>
      <c r="J71" s="30"/>
      <c r="K71" s="30"/>
      <c r="L71" s="30"/>
      <c r="M71" s="30"/>
      <c r="N71" s="28"/>
    </row>
    <row r="72" spans="1:14" x14ac:dyDescent="0.35">
      <c r="A72" s="28"/>
      <c r="B72" s="28"/>
      <c r="C72" s="28"/>
      <c r="D72" s="29"/>
      <c r="E72" s="28"/>
      <c r="F72" s="28"/>
      <c r="G72" s="28"/>
      <c r="H72" s="28"/>
      <c r="I72" s="28"/>
      <c r="J72" s="30"/>
      <c r="K72" s="30"/>
      <c r="L72" s="30"/>
      <c r="M72" s="30"/>
      <c r="N72" s="28"/>
    </row>
    <row r="73" spans="1:14" x14ac:dyDescent="0.35">
      <c r="A73" s="28"/>
      <c r="B73" s="28"/>
      <c r="C73" s="28"/>
      <c r="D73" s="29"/>
      <c r="E73" s="28"/>
      <c r="F73" s="28"/>
      <c r="G73" s="28"/>
      <c r="H73" s="28"/>
      <c r="I73" s="28"/>
      <c r="J73" s="30"/>
      <c r="K73" s="30"/>
      <c r="L73" s="30"/>
      <c r="M73" s="30"/>
      <c r="N73" s="28"/>
    </row>
    <row r="74" spans="1:14" x14ac:dyDescent="0.35">
      <c r="A74" s="28"/>
      <c r="B74" s="28"/>
      <c r="C74" s="28"/>
      <c r="D74" s="29"/>
      <c r="E74" s="28"/>
      <c r="F74" s="28"/>
      <c r="G74" s="28"/>
      <c r="H74" s="28"/>
      <c r="I74" s="28"/>
      <c r="J74" s="30"/>
      <c r="K74" s="30"/>
      <c r="L74" s="30"/>
      <c r="M74" s="30"/>
      <c r="N74" s="28"/>
    </row>
    <row r="75" spans="1:14" x14ac:dyDescent="0.35">
      <c r="A75" s="28"/>
      <c r="B75" s="28"/>
      <c r="C75" s="28"/>
      <c r="D75" s="29"/>
      <c r="E75" s="28"/>
      <c r="F75" s="28"/>
      <c r="G75" s="28"/>
      <c r="H75" s="28"/>
      <c r="I75" s="28"/>
      <c r="J75" s="30"/>
      <c r="K75" s="30"/>
      <c r="L75" s="30"/>
      <c r="M75" s="30"/>
      <c r="N75" s="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220950 Accrued Freight &amp; Fulfil</vt:lpstr>
      <vt:lpstr>Reconciliation Sheet</vt:lpstr>
      <vt:lpstr>Trial Balance 9.10.19</vt:lpstr>
      <vt:lpstr>220950 Account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Fu</dc:creator>
  <cp:lastModifiedBy>Gilberto Guajardo (c)</cp:lastModifiedBy>
  <cp:lastPrinted>2019-09-10T22:36:23Z</cp:lastPrinted>
  <dcterms:created xsi:type="dcterms:W3CDTF">2018-09-19T15:58:20Z</dcterms:created>
  <dcterms:modified xsi:type="dcterms:W3CDTF">2019-09-11T17:46:28Z</dcterms:modified>
</cp:coreProperties>
</file>